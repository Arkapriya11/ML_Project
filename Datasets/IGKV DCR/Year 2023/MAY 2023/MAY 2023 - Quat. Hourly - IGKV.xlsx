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IGKB DCR\Year 2023\MAY 2023\"/>
    </mc:Choice>
  </mc:AlternateContent>
  <xr:revisionPtr revIDLastSave="0" documentId="13_ncr:1_{59E6B9AD-6761-45C7-A339-7CC905002DAB}" xr6:coauthVersionLast="47" xr6:coauthVersionMax="47" xr10:uidLastSave="{00000000-0000-0000-0000-000000000000}"/>
  <bookViews>
    <workbookView xWindow="-120" yWindow="-120" windowWidth="20730" windowHeight="11040" tabRatio="814" firstSheet="14" activeTab="32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91029"/>
</workbook>
</file>

<file path=xl/calcChain.xml><?xml version="1.0" encoding="utf-8"?>
<calcChain xmlns="http://schemas.openxmlformats.org/spreadsheetml/2006/main">
  <c r="D23" i="5" l="1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I119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J101" i="6"/>
  <c r="K92" i="6"/>
  <c r="J92" i="6"/>
  <c r="K91" i="6"/>
  <c r="J91" i="6"/>
  <c r="K90" i="6"/>
  <c r="J90" i="6"/>
  <c r="K89" i="6"/>
  <c r="J89" i="6"/>
  <c r="K88" i="6"/>
  <c r="J88" i="6"/>
  <c r="K87" i="6"/>
  <c r="J87" i="6"/>
  <c r="J81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J61" i="6"/>
  <c r="K51" i="6"/>
  <c r="J51" i="6"/>
  <c r="K50" i="6"/>
  <c r="J50" i="6"/>
  <c r="K49" i="6"/>
  <c r="J49" i="6"/>
  <c r="K48" i="6"/>
  <c r="J48" i="6"/>
  <c r="K47" i="6"/>
  <c r="J47" i="6"/>
  <c r="J41" i="6"/>
  <c r="T40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T21" i="6"/>
  <c r="I21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Q110" i="41"/>
  <c r="Q112" i="41" s="1"/>
  <c r="P110" i="41"/>
  <c r="P112" i="41" s="1"/>
  <c r="O110" i="41"/>
  <c r="O112" i="41" s="1"/>
  <c r="N110" i="41"/>
  <c r="N112" i="41" s="1"/>
  <c r="M110" i="41"/>
  <c r="M112" i="41" s="1"/>
  <c r="L110" i="41"/>
  <c r="L112" i="41" s="1"/>
  <c r="K110" i="41"/>
  <c r="K112" i="41" s="1"/>
  <c r="J110" i="41"/>
  <c r="J112" i="41" s="1"/>
  <c r="I110" i="41"/>
  <c r="I112" i="41" s="1"/>
  <c r="H110" i="41"/>
  <c r="H112" i="41" s="1"/>
  <c r="G110" i="41"/>
  <c r="G112" i="41" s="1"/>
  <c r="F110" i="41"/>
  <c r="F112" i="41" s="1"/>
  <c r="E110" i="41"/>
  <c r="E112" i="41" s="1"/>
  <c r="D110" i="41"/>
  <c r="D112" i="41" s="1"/>
  <c r="C110" i="41"/>
  <c r="C112" i="41" s="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9" i="39" s="1"/>
  <c r="P108" i="41"/>
  <c r="P39" i="39" s="1"/>
  <c r="O108" i="41"/>
  <c r="O39" i="39" s="1"/>
  <c r="N108" i="41"/>
  <c r="N39" i="39" s="1"/>
  <c r="M108" i="41"/>
  <c r="M39" i="39" s="1"/>
  <c r="L108" i="41"/>
  <c r="L39" i="39" s="1"/>
  <c r="K108" i="41"/>
  <c r="K39" i="39" s="1"/>
  <c r="J108" i="41"/>
  <c r="J39" i="39" s="1"/>
  <c r="I108" i="41"/>
  <c r="I39" i="39" s="1"/>
  <c r="H108" i="41"/>
  <c r="H39" i="39" s="1"/>
  <c r="G108" i="41"/>
  <c r="G39" i="39" s="1"/>
  <c r="F108" i="41"/>
  <c r="F39" i="39" s="1"/>
  <c r="E108" i="41"/>
  <c r="E39" i="39" s="1"/>
  <c r="D108" i="41"/>
  <c r="D39" i="39" s="1"/>
  <c r="C108" i="41"/>
  <c r="C39" i="39" s="1"/>
  <c r="B108" i="41"/>
  <c r="B39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9" i="39" s="1"/>
  <c r="Q110" i="40"/>
  <c r="Q112" i="40" s="1"/>
  <c r="P110" i="40"/>
  <c r="P112" i="40" s="1"/>
  <c r="O110" i="40"/>
  <c r="O112" i="40" s="1"/>
  <c r="N110" i="40"/>
  <c r="N112" i="40" s="1"/>
  <c r="M110" i="40"/>
  <c r="M112" i="40" s="1"/>
  <c r="L110" i="40"/>
  <c r="L112" i="40" s="1"/>
  <c r="K110" i="40"/>
  <c r="K112" i="40" s="1"/>
  <c r="J110" i="40"/>
  <c r="J112" i="40" s="1"/>
  <c r="I110" i="40"/>
  <c r="I112" i="40" s="1"/>
  <c r="H110" i="40"/>
  <c r="H112" i="40" s="1"/>
  <c r="G110" i="40"/>
  <c r="G112" i="40" s="1"/>
  <c r="F110" i="40"/>
  <c r="F112" i="40" s="1"/>
  <c r="E110" i="40"/>
  <c r="E112" i="40" s="1"/>
  <c r="D110" i="40"/>
  <c r="D112" i="40" s="1"/>
  <c r="C110" i="40"/>
  <c r="C112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F38" i="39" s="1"/>
  <c r="E108" i="40"/>
  <c r="E38" i="39" s="1"/>
  <c r="D108" i="40"/>
  <c r="D38" i="39" s="1"/>
  <c r="C108" i="40"/>
  <c r="C38" i="39" s="1"/>
  <c r="B108" i="40"/>
  <c r="B38" i="39" s="1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A38" i="39" s="1"/>
  <c r="Q110" i="44"/>
  <c r="Q112" i="44" s="1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I110" i="44"/>
  <c r="I112" i="44" s="1"/>
  <c r="H110" i="44"/>
  <c r="H112" i="44" s="1"/>
  <c r="G110" i="44"/>
  <c r="G112" i="44" s="1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F37" i="39" s="1"/>
  <c r="E108" i="44"/>
  <c r="E37" i="39" s="1"/>
  <c r="D108" i="44"/>
  <c r="D37" i="39" s="1"/>
  <c r="C108" i="44"/>
  <c r="C37" i="39" s="1"/>
  <c r="B108" i="44"/>
  <c r="B37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7" i="39" s="1"/>
  <c r="Q110" i="33"/>
  <c r="Q112" i="33" s="1"/>
  <c r="P110" i="33"/>
  <c r="P112" i="33" s="1"/>
  <c r="O110" i="33"/>
  <c r="O112" i="33" s="1"/>
  <c r="N110" i="33"/>
  <c r="N112" i="33" s="1"/>
  <c r="M110" i="33"/>
  <c r="M112" i="33" s="1"/>
  <c r="L110" i="33"/>
  <c r="L112" i="33" s="1"/>
  <c r="K110" i="33"/>
  <c r="K112" i="33" s="1"/>
  <c r="J110" i="33"/>
  <c r="J112" i="33" s="1"/>
  <c r="I110" i="33"/>
  <c r="I112" i="33" s="1"/>
  <c r="H110" i="33"/>
  <c r="H112" i="33" s="1"/>
  <c r="G110" i="33"/>
  <c r="G112" i="33" s="1"/>
  <c r="F110" i="33"/>
  <c r="F112" i="33" s="1"/>
  <c r="E110" i="33"/>
  <c r="E111" i="33" s="1"/>
  <c r="D110" i="33"/>
  <c r="D112" i="33" s="1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F36" i="39" s="1"/>
  <c r="E108" i="33"/>
  <c r="E36" i="39" s="1"/>
  <c r="D108" i="33"/>
  <c r="D36" i="39" s="1"/>
  <c r="C108" i="33"/>
  <c r="C36" i="39" s="1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Q110" i="32"/>
  <c r="Q112" i="32" s="1"/>
  <c r="P110" i="32"/>
  <c r="P112" i="32" s="1"/>
  <c r="O110" i="32"/>
  <c r="O112" i="32" s="1"/>
  <c r="N110" i="32"/>
  <c r="N112" i="32" s="1"/>
  <c r="M110" i="32"/>
  <c r="M112" i="32" s="1"/>
  <c r="L110" i="32"/>
  <c r="L112" i="32" s="1"/>
  <c r="K110" i="32"/>
  <c r="K112" i="32" s="1"/>
  <c r="J110" i="32"/>
  <c r="J112" i="32" s="1"/>
  <c r="I110" i="32"/>
  <c r="I112" i="32" s="1"/>
  <c r="H110" i="32"/>
  <c r="H112" i="32" s="1"/>
  <c r="G110" i="32"/>
  <c r="G112" i="32" s="1"/>
  <c r="F110" i="32"/>
  <c r="F112" i="32" s="1"/>
  <c r="E110" i="32"/>
  <c r="E112" i="32" s="1"/>
  <c r="D110" i="32"/>
  <c r="D112" i="32" s="1"/>
  <c r="C110" i="32"/>
  <c r="C112" i="32" s="1"/>
  <c r="B110" i="32"/>
  <c r="B112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Q110" i="31"/>
  <c r="Q112" i="31" s="1"/>
  <c r="P110" i="31"/>
  <c r="P112" i="31" s="1"/>
  <c r="O110" i="31"/>
  <c r="O112" i="31" s="1"/>
  <c r="N110" i="31"/>
  <c r="N112" i="31" s="1"/>
  <c r="M110" i="31"/>
  <c r="M112" i="31" s="1"/>
  <c r="L110" i="31"/>
  <c r="L112" i="31" s="1"/>
  <c r="K110" i="31"/>
  <c r="K112" i="31" s="1"/>
  <c r="J110" i="31"/>
  <c r="J112" i="31" s="1"/>
  <c r="I110" i="31"/>
  <c r="I112" i="31" s="1"/>
  <c r="H110" i="31"/>
  <c r="H112" i="31" s="1"/>
  <c r="G110" i="31"/>
  <c r="G112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A34" i="39" s="1"/>
  <c r="Q110" i="30"/>
  <c r="Q112" i="30" s="1"/>
  <c r="P110" i="30"/>
  <c r="P112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J110" i="30"/>
  <c r="J112" i="30" s="1"/>
  <c r="I110" i="30"/>
  <c r="I112" i="30" s="1"/>
  <c r="H110" i="30"/>
  <c r="H112" i="30" s="1"/>
  <c r="G110" i="30"/>
  <c r="G112" i="30" s="1"/>
  <c r="F110" i="30"/>
  <c r="F112" i="30" s="1"/>
  <c r="E110" i="30"/>
  <c r="E112" i="30" s="1"/>
  <c r="D110" i="30"/>
  <c r="D112" i="30" s="1"/>
  <c r="C110" i="30"/>
  <c r="C112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F33" i="39" s="1"/>
  <c r="E108" i="30"/>
  <c r="E33" i="39" s="1"/>
  <c r="D108" i="30"/>
  <c r="D33" i="39" s="1"/>
  <c r="C108" i="30"/>
  <c r="C33" i="39" s="1"/>
  <c r="B108" i="30"/>
  <c r="B33" i="39" s="1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2" i="29" s="1"/>
  <c r="P110" i="29"/>
  <c r="P112" i="29" s="1"/>
  <c r="O110" i="29"/>
  <c r="O112" i="29" s="1"/>
  <c r="N110" i="29"/>
  <c r="N112" i="29" s="1"/>
  <c r="M110" i="29"/>
  <c r="M112" i="29" s="1"/>
  <c r="L110" i="29"/>
  <c r="L112" i="29" s="1"/>
  <c r="K110" i="29"/>
  <c r="K112" i="29" s="1"/>
  <c r="J110" i="29"/>
  <c r="J112" i="29" s="1"/>
  <c r="I110" i="29"/>
  <c r="I112" i="29" s="1"/>
  <c r="H110" i="29"/>
  <c r="H112" i="29" s="1"/>
  <c r="G110" i="29"/>
  <c r="G112" i="29" s="1"/>
  <c r="F110" i="29"/>
  <c r="F112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2" i="28" s="1"/>
  <c r="P110" i="28"/>
  <c r="P112" i="28" s="1"/>
  <c r="O110" i="28"/>
  <c r="O112" i="28" s="1"/>
  <c r="N110" i="28"/>
  <c r="N112" i="28" s="1"/>
  <c r="M110" i="28"/>
  <c r="M111" i="28" s="1"/>
  <c r="L110" i="28"/>
  <c r="L112" i="28" s="1"/>
  <c r="K110" i="28"/>
  <c r="K112" i="28" s="1"/>
  <c r="J110" i="28"/>
  <c r="J112" i="28" s="1"/>
  <c r="I110" i="28"/>
  <c r="I112" i="28" s="1"/>
  <c r="H112" i="28"/>
  <c r="G112" i="28"/>
  <c r="F110" i="28"/>
  <c r="F112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0" i="27"/>
  <c r="Q112" i="27" s="1"/>
  <c r="P110" i="27"/>
  <c r="P112" i="27" s="1"/>
  <c r="O110" i="27"/>
  <c r="O112" i="27" s="1"/>
  <c r="N110" i="27"/>
  <c r="N112" i="27" s="1"/>
  <c r="M110" i="27"/>
  <c r="M112" i="27" s="1"/>
  <c r="L110" i="27"/>
  <c r="L112" i="27" s="1"/>
  <c r="K110" i="27"/>
  <c r="K112" i="27" s="1"/>
  <c r="J110" i="27"/>
  <c r="J112" i="27" s="1"/>
  <c r="I110" i="27"/>
  <c r="I112" i="27" s="1"/>
  <c r="H110" i="27"/>
  <c r="H112" i="27" s="1"/>
  <c r="G110" i="27"/>
  <c r="G112" i="27" s="1"/>
  <c r="F110" i="27"/>
  <c r="F112" i="27" s="1"/>
  <c r="E110" i="27"/>
  <c r="E112" i="27" s="1"/>
  <c r="D110" i="27"/>
  <c r="D112" i="27" s="1"/>
  <c r="C110" i="27"/>
  <c r="C112" i="27" s="1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Q110" i="26"/>
  <c r="Q112" i="26" s="1"/>
  <c r="P110" i="26"/>
  <c r="P112" i="26" s="1"/>
  <c r="O110" i="26"/>
  <c r="O112" i="26" s="1"/>
  <c r="N110" i="26"/>
  <c r="N112" i="26" s="1"/>
  <c r="M110" i="26"/>
  <c r="M112" i="26" s="1"/>
  <c r="L110" i="26"/>
  <c r="L112" i="26" s="1"/>
  <c r="K110" i="26"/>
  <c r="K112" i="26" s="1"/>
  <c r="J110" i="26"/>
  <c r="J112" i="26" s="1"/>
  <c r="I110" i="26"/>
  <c r="I112" i="26" s="1"/>
  <c r="H110" i="26"/>
  <c r="H112" i="26" s="1"/>
  <c r="G110" i="26"/>
  <c r="G112" i="26" s="1"/>
  <c r="F110" i="26"/>
  <c r="F112" i="26" s="1"/>
  <c r="E110" i="26"/>
  <c r="E112" i="26" s="1"/>
  <c r="D110" i="26"/>
  <c r="D112" i="26" s="1"/>
  <c r="C110" i="26"/>
  <c r="C112" i="26" s="1"/>
  <c r="B110" i="26"/>
  <c r="B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10" i="25"/>
  <c r="Q112" i="25" s="1"/>
  <c r="P110" i="25"/>
  <c r="P112" i="25" s="1"/>
  <c r="O110" i="25"/>
  <c r="O112" i="25" s="1"/>
  <c r="N110" i="25"/>
  <c r="N112" i="25" s="1"/>
  <c r="M110" i="25"/>
  <c r="M112" i="25" s="1"/>
  <c r="L110" i="25"/>
  <c r="L112" i="25" s="1"/>
  <c r="K110" i="25"/>
  <c r="K112" i="25" s="1"/>
  <c r="J110" i="25"/>
  <c r="J112" i="25" s="1"/>
  <c r="I110" i="25"/>
  <c r="I112" i="25" s="1"/>
  <c r="H110" i="25"/>
  <c r="H112" i="25" s="1"/>
  <c r="G110" i="25"/>
  <c r="G112" i="25" s="1"/>
  <c r="F110" i="25"/>
  <c r="F112" i="25" s="1"/>
  <c r="E110" i="25"/>
  <c r="E112" i="25" s="1"/>
  <c r="D110" i="25"/>
  <c r="D112" i="25" s="1"/>
  <c r="C110" i="25"/>
  <c r="C112" i="25" s="1"/>
  <c r="B110" i="25"/>
  <c r="B112" i="25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2" i="24" s="1"/>
  <c r="M110" i="24"/>
  <c r="M112" i="24" s="1"/>
  <c r="L110" i="24"/>
  <c r="L112" i="24" s="1"/>
  <c r="K110" i="24"/>
  <c r="K112" i="24" s="1"/>
  <c r="J110" i="24"/>
  <c r="J112" i="24" s="1"/>
  <c r="I110" i="24"/>
  <c r="I112" i="24" s="1"/>
  <c r="H110" i="24"/>
  <c r="H112" i="24" s="1"/>
  <c r="G110" i="24"/>
  <c r="G112" i="24" s="1"/>
  <c r="F110" i="24"/>
  <c r="F112" i="24" s="1"/>
  <c r="E110" i="24"/>
  <c r="E112" i="24" s="1"/>
  <c r="D110" i="24"/>
  <c r="D112" i="24" s="1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2" i="23" s="1"/>
  <c r="M110" i="23"/>
  <c r="M112" i="23" s="1"/>
  <c r="L110" i="23"/>
  <c r="L112" i="23" s="1"/>
  <c r="K110" i="23"/>
  <c r="K112" i="23" s="1"/>
  <c r="J110" i="23"/>
  <c r="J112" i="23" s="1"/>
  <c r="I110" i="23"/>
  <c r="I112" i="23" s="1"/>
  <c r="H110" i="23"/>
  <c r="H112" i="23" s="1"/>
  <c r="G110" i="23"/>
  <c r="G112" i="23" s="1"/>
  <c r="F110" i="23"/>
  <c r="F112" i="23" s="1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2" i="23"/>
  <c r="A26" i="39" s="1"/>
  <c r="Q110" i="22"/>
  <c r="Q112" i="22" s="1"/>
  <c r="P110" i="22"/>
  <c r="P112" i="22" s="1"/>
  <c r="O110" i="22"/>
  <c r="O112" i="22" s="1"/>
  <c r="N110" i="22"/>
  <c r="N112" i="22" s="1"/>
  <c r="M110" i="22"/>
  <c r="M112" i="22" s="1"/>
  <c r="L110" i="22"/>
  <c r="L112" i="22" s="1"/>
  <c r="K110" i="22"/>
  <c r="K112" i="22" s="1"/>
  <c r="J110" i="22"/>
  <c r="J112" i="22" s="1"/>
  <c r="I110" i="22"/>
  <c r="I112" i="22" s="1"/>
  <c r="H110" i="22"/>
  <c r="H112" i="22" s="1"/>
  <c r="G110" i="22"/>
  <c r="G112" i="22" s="1"/>
  <c r="F110" i="22"/>
  <c r="F112" i="22" s="1"/>
  <c r="E110" i="22"/>
  <c r="E112" i="22" s="1"/>
  <c r="D110" i="22"/>
  <c r="D112" i="22" s="1"/>
  <c r="C110" i="22"/>
  <c r="C112" i="22" s="1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D25" i="39" s="1"/>
  <c r="C108" i="22"/>
  <c r="C25" i="39" s="1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2" i="21" s="1"/>
  <c r="O110" i="21"/>
  <c r="O112" i="21" s="1"/>
  <c r="N110" i="21"/>
  <c r="N112" i="21" s="1"/>
  <c r="M110" i="21"/>
  <c r="M112" i="21" s="1"/>
  <c r="L110" i="21"/>
  <c r="L112" i="21" s="1"/>
  <c r="K110" i="21"/>
  <c r="K112" i="21" s="1"/>
  <c r="J110" i="21"/>
  <c r="J112" i="21" s="1"/>
  <c r="I110" i="21"/>
  <c r="I112" i="21" s="1"/>
  <c r="H110" i="21"/>
  <c r="H112" i="21" s="1"/>
  <c r="G110" i="21"/>
  <c r="G112" i="21" s="1"/>
  <c r="F110" i="21"/>
  <c r="F112" i="21" s="1"/>
  <c r="E110" i="21"/>
  <c r="E112" i="21" s="1"/>
  <c r="D110" i="21"/>
  <c r="D112" i="21" s="1"/>
  <c r="C110" i="21"/>
  <c r="C112" i="21" s="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 s="1"/>
  <c r="Q110" i="20"/>
  <c r="Q112" i="20" s="1"/>
  <c r="P112" i="20"/>
  <c r="O110" i="20"/>
  <c r="O112" i="20" s="1"/>
  <c r="N110" i="20"/>
  <c r="N112" i="20" s="1"/>
  <c r="M110" i="20"/>
  <c r="M112" i="20" s="1"/>
  <c r="L110" i="20"/>
  <c r="L112" i="20" s="1"/>
  <c r="K110" i="20"/>
  <c r="K112" i="20" s="1"/>
  <c r="J110" i="20"/>
  <c r="J112" i="20" s="1"/>
  <c r="I110" i="20"/>
  <c r="I112" i="20" s="1"/>
  <c r="H110" i="20"/>
  <c r="H112" i="20" s="1"/>
  <c r="G110" i="20"/>
  <c r="G112" i="20" s="1"/>
  <c r="F110" i="20"/>
  <c r="F112" i="20" s="1"/>
  <c r="E110" i="20"/>
  <c r="E112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Q110" i="19"/>
  <c r="Q112" i="19" s="1"/>
  <c r="P110" i="19"/>
  <c r="P112" i="19" s="1"/>
  <c r="O110" i="19"/>
  <c r="O112" i="19" s="1"/>
  <c r="N110" i="19"/>
  <c r="N112" i="19" s="1"/>
  <c r="M110" i="19"/>
  <c r="M112" i="19" s="1"/>
  <c r="L110" i="19"/>
  <c r="L112" i="19" s="1"/>
  <c r="K110" i="19"/>
  <c r="K112" i="19" s="1"/>
  <c r="J110" i="19"/>
  <c r="J112" i="19" s="1"/>
  <c r="I110" i="19"/>
  <c r="I112" i="19" s="1"/>
  <c r="H110" i="19"/>
  <c r="H112" i="19" s="1"/>
  <c r="G110" i="19"/>
  <c r="G112" i="19" s="1"/>
  <c r="F110" i="19"/>
  <c r="F112" i="19" s="1"/>
  <c r="E110" i="19"/>
  <c r="E112" i="19" s="1"/>
  <c r="D110" i="19"/>
  <c r="D112" i="19" s="1"/>
  <c r="C110" i="19"/>
  <c r="C112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2" i="18" s="1"/>
  <c r="O110" i="18"/>
  <c r="O112" i="18" s="1"/>
  <c r="N110" i="18"/>
  <c r="N112" i="18" s="1"/>
  <c r="M110" i="18"/>
  <c r="M112" i="18" s="1"/>
  <c r="L110" i="18"/>
  <c r="L112" i="18" s="1"/>
  <c r="K110" i="18"/>
  <c r="K112" i="18" s="1"/>
  <c r="J110" i="18"/>
  <c r="J112" i="18" s="1"/>
  <c r="I110" i="18"/>
  <c r="I112" i="18" s="1"/>
  <c r="H112" i="18"/>
  <c r="G112" i="18"/>
  <c r="F112" i="18"/>
  <c r="E112" i="18"/>
  <c r="D112" i="18"/>
  <c r="C112" i="18"/>
  <c r="B112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Q110" i="17"/>
  <c r="Q112" i="17" s="1"/>
  <c r="P110" i="17"/>
  <c r="P112" i="17" s="1"/>
  <c r="O110" i="17"/>
  <c r="O112" i="17" s="1"/>
  <c r="N110" i="17"/>
  <c r="N112" i="17" s="1"/>
  <c r="M110" i="17"/>
  <c r="M112" i="17" s="1"/>
  <c r="L110" i="17"/>
  <c r="L112" i="17" s="1"/>
  <c r="K110" i="17"/>
  <c r="K112" i="17" s="1"/>
  <c r="J110" i="17"/>
  <c r="J112" i="17" s="1"/>
  <c r="I110" i="17"/>
  <c r="I112" i="17" s="1"/>
  <c r="H110" i="17"/>
  <c r="H112" i="17" s="1"/>
  <c r="G110" i="17"/>
  <c r="G112" i="17" s="1"/>
  <c r="F110" i="17"/>
  <c r="F112" i="17" s="1"/>
  <c r="E110" i="17"/>
  <c r="E112" i="17" s="1"/>
  <c r="D110" i="17"/>
  <c r="D112" i="17" s="1"/>
  <c r="C110" i="17"/>
  <c r="C112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 s="1"/>
  <c r="Q110" i="16"/>
  <c r="Q112" i="16" s="1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J110" i="16"/>
  <c r="J112" i="16" s="1"/>
  <c r="I110" i="16"/>
  <c r="I112" i="16" s="1"/>
  <c r="H110" i="16"/>
  <c r="H112" i="16" s="1"/>
  <c r="G110" i="16"/>
  <c r="G112" i="16" s="1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Q112" i="14"/>
  <c r="P112" i="14"/>
  <c r="O110" i="14"/>
  <c r="O112" i="14" s="1"/>
  <c r="N110" i="14"/>
  <c r="N112" i="14" s="1"/>
  <c r="M110" i="14"/>
  <c r="M112" i="14" s="1"/>
  <c r="L110" i="14"/>
  <c r="L112" i="14" s="1"/>
  <c r="K110" i="14"/>
  <c r="K112" i="14" s="1"/>
  <c r="J110" i="14"/>
  <c r="J112" i="14" s="1"/>
  <c r="I110" i="14"/>
  <c r="I112" i="14" s="1"/>
  <c r="H110" i="14"/>
  <c r="H112" i="14" s="1"/>
  <c r="G110" i="14"/>
  <c r="G112" i="14" s="1"/>
  <c r="F110" i="14"/>
  <c r="F112" i="14" s="1"/>
  <c r="E110" i="14"/>
  <c r="E112" i="14" s="1"/>
  <c r="D110" i="14"/>
  <c r="D112" i="14" s="1"/>
  <c r="C110" i="14"/>
  <c r="C112" i="14" s="1"/>
  <c r="B110" i="14"/>
  <c r="B112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2" i="13"/>
  <c r="P112" i="13"/>
  <c r="O110" i="13"/>
  <c r="O112" i="13" s="1"/>
  <c r="N110" i="13"/>
  <c r="N112" i="13" s="1"/>
  <c r="M110" i="13"/>
  <c r="M112" i="13" s="1"/>
  <c r="L110" i="13"/>
  <c r="L112" i="13" s="1"/>
  <c r="K110" i="13"/>
  <c r="K112" i="13" s="1"/>
  <c r="J110" i="13"/>
  <c r="J112" i="13" s="1"/>
  <c r="I110" i="13"/>
  <c r="I112" i="13" s="1"/>
  <c r="H110" i="13"/>
  <c r="H112" i="13" s="1"/>
  <c r="G110" i="13"/>
  <c r="G112" i="13" s="1"/>
  <c r="F110" i="13"/>
  <c r="F112" i="13" s="1"/>
  <c r="E110" i="13"/>
  <c r="E112" i="13" s="1"/>
  <c r="D110" i="13"/>
  <c r="D112" i="13" s="1"/>
  <c r="C110" i="13"/>
  <c r="C112" i="13" s="1"/>
  <c r="B110" i="13"/>
  <c r="B112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2" i="12"/>
  <c r="P110" i="12"/>
  <c r="P112" i="12" s="1"/>
  <c r="O110" i="12"/>
  <c r="O112" i="12" s="1"/>
  <c r="N110" i="12"/>
  <c r="N112" i="12" s="1"/>
  <c r="M110" i="12"/>
  <c r="M112" i="12" s="1"/>
  <c r="L110" i="12"/>
  <c r="L112" i="12" s="1"/>
  <c r="K110" i="12"/>
  <c r="K112" i="12" s="1"/>
  <c r="J110" i="12"/>
  <c r="J112" i="12" s="1"/>
  <c r="I110" i="12"/>
  <c r="I112" i="12" s="1"/>
  <c r="H110" i="12"/>
  <c r="H112" i="12" s="1"/>
  <c r="G110" i="12"/>
  <c r="G112" i="12" s="1"/>
  <c r="F110" i="12"/>
  <c r="F112" i="12" s="1"/>
  <c r="E112" i="12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2" i="11" s="1"/>
  <c r="P112" i="11"/>
  <c r="O110" i="11"/>
  <c r="O112" i="11" s="1"/>
  <c r="N110" i="11"/>
  <c r="N112" i="11" s="1"/>
  <c r="M110" i="11"/>
  <c r="M112" i="11" s="1"/>
  <c r="L110" i="11"/>
  <c r="L112" i="11" s="1"/>
  <c r="K110" i="11"/>
  <c r="K112" i="11" s="1"/>
  <c r="J110" i="11"/>
  <c r="J112" i="11" s="1"/>
  <c r="I110" i="11"/>
  <c r="I112" i="11" s="1"/>
  <c r="H112" i="11"/>
  <c r="G112" i="11"/>
  <c r="F110" i="11"/>
  <c r="F112" i="11" s="1"/>
  <c r="E112" i="11"/>
  <c r="D112" i="11"/>
  <c r="C112" i="11"/>
  <c r="B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 s="1"/>
  <c r="P110" i="10"/>
  <c r="P112" i="10" s="1"/>
  <c r="O110" i="10"/>
  <c r="O112" i="10" s="1"/>
  <c r="N110" i="10"/>
  <c r="N112" i="10" s="1"/>
  <c r="M110" i="10"/>
  <c r="M112" i="10" s="1"/>
  <c r="L110" i="10"/>
  <c r="L112" i="10" s="1"/>
  <c r="K110" i="10"/>
  <c r="K112" i="10" s="1"/>
  <c r="J110" i="10"/>
  <c r="J112" i="10" s="1"/>
  <c r="I110" i="10"/>
  <c r="I112" i="10" s="1"/>
  <c r="H110" i="10"/>
  <c r="H112" i="10" s="1"/>
  <c r="G110" i="10"/>
  <c r="G112" i="10" s="1"/>
  <c r="F110" i="10"/>
  <c r="F112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J112" i="9"/>
  <c r="I111" i="9"/>
  <c r="Q110" i="9"/>
  <c r="Q112" i="9" s="1"/>
  <c r="P110" i="9"/>
  <c r="P112" i="9" s="1"/>
  <c r="O110" i="9"/>
  <c r="O112" i="9" s="1"/>
  <c r="N110" i="9"/>
  <c r="N112" i="9" s="1"/>
  <c r="M110" i="9"/>
  <c r="M112" i="9" s="1"/>
  <c r="L110" i="9"/>
  <c r="L111" i="9" s="1"/>
  <c r="K110" i="9"/>
  <c r="K111" i="9" s="1"/>
  <c r="J110" i="9"/>
  <c r="J111" i="9" s="1"/>
  <c r="I110" i="9"/>
  <c r="I112" i="9" s="1"/>
  <c r="H110" i="9"/>
  <c r="H112" i="9" s="1"/>
  <c r="G110" i="9"/>
  <c r="G111" i="9" s="1"/>
  <c r="F110" i="9"/>
  <c r="F112" i="9" s="1"/>
  <c r="E110" i="9"/>
  <c r="E112" i="9" s="1"/>
  <c r="D110" i="9"/>
  <c r="D112" i="9" s="1"/>
  <c r="C110" i="9"/>
  <c r="C111" i="9" s="1"/>
  <c r="B110" i="9"/>
  <c r="B112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Q110" i="8"/>
  <c r="Q112" i="8" s="1"/>
  <c r="P110" i="8"/>
  <c r="P112" i="8" s="1"/>
  <c r="O110" i="8"/>
  <c r="O112" i="8" s="1"/>
  <c r="N110" i="8"/>
  <c r="N112" i="8" s="1"/>
  <c r="M110" i="8"/>
  <c r="M112" i="8" s="1"/>
  <c r="L110" i="8"/>
  <c r="L112" i="8" s="1"/>
  <c r="K110" i="8"/>
  <c r="K112" i="8" s="1"/>
  <c r="J110" i="8"/>
  <c r="J112" i="8" s="1"/>
  <c r="I110" i="8"/>
  <c r="I112" i="8" s="1"/>
  <c r="H110" i="8"/>
  <c r="H112" i="8" s="1"/>
  <c r="G110" i="8"/>
  <c r="G112" i="8" s="1"/>
  <c r="F110" i="8"/>
  <c r="F112" i="8" s="1"/>
  <c r="E110" i="8"/>
  <c r="E112" i="8" s="1"/>
  <c r="D110" i="8"/>
  <c r="D112" i="8" s="1"/>
  <c r="C110" i="8"/>
  <c r="C112" i="8" s="1"/>
  <c r="B110" i="8"/>
  <c r="B112" i="8" s="1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0" i="3"/>
  <c r="Q112" i="3" s="1"/>
  <c r="P110" i="3"/>
  <c r="P112" i="3" s="1"/>
  <c r="O110" i="3"/>
  <c r="O112" i="3" s="1"/>
  <c r="N110" i="3"/>
  <c r="N112" i="3" s="1"/>
  <c r="M110" i="3"/>
  <c r="M112" i="3" s="1"/>
  <c r="L110" i="3"/>
  <c r="L112" i="3" s="1"/>
  <c r="K110" i="3"/>
  <c r="K112" i="3" s="1"/>
  <c r="J110" i="3"/>
  <c r="J112" i="3" s="1"/>
  <c r="I110" i="3"/>
  <c r="I112" i="3" s="1"/>
  <c r="H110" i="3"/>
  <c r="H112" i="3" s="1"/>
  <c r="G110" i="3"/>
  <c r="G112" i="3" s="1"/>
  <c r="F110" i="3"/>
  <c r="F112" i="3" s="1"/>
  <c r="E110" i="3"/>
  <c r="E112" i="3" s="1"/>
  <c r="D110" i="3"/>
  <c r="D112" i="3" s="1"/>
  <c r="C110" i="3"/>
  <c r="C112" i="3" s="1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Q110" i="2"/>
  <c r="Q112" i="2" s="1"/>
  <c r="P110" i="2"/>
  <c r="P112" i="2" s="1"/>
  <c r="O110" i="2"/>
  <c r="O112" i="2" s="1"/>
  <c r="N110" i="2"/>
  <c r="N112" i="2" s="1"/>
  <c r="M110" i="2"/>
  <c r="M112" i="2" s="1"/>
  <c r="L110" i="2"/>
  <c r="L112" i="2" s="1"/>
  <c r="K110" i="2"/>
  <c r="K112" i="2" s="1"/>
  <c r="J110" i="2"/>
  <c r="J112" i="2" s="1"/>
  <c r="I110" i="2"/>
  <c r="I112" i="2" s="1"/>
  <c r="H110" i="2"/>
  <c r="H112" i="2" s="1"/>
  <c r="G110" i="2"/>
  <c r="G112" i="2" s="1"/>
  <c r="F110" i="2"/>
  <c r="F112" i="2" s="1"/>
  <c r="E110" i="2"/>
  <c r="E112" i="2" s="1"/>
  <c r="D110" i="2"/>
  <c r="D112" i="2" s="1"/>
  <c r="C110" i="2"/>
  <c r="C112" i="2" s="1"/>
  <c r="B110" i="2"/>
  <c r="B112" i="2" s="1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B2" i="2"/>
  <c r="A9" i="39" s="1"/>
  <c r="B2" i="39" s="1"/>
  <c r="D2" i="5" s="1"/>
  <c r="F111" i="9" l="1"/>
  <c r="C112" i="9"/>
  <c r="G112" i="9"/>
  <c r="K112" i="9"/>
  <c r="O111" i="9"/>
  <c r="K111" i="41"/>
  <c r="J111" i="41"/>
  <c r="I111" i="41"/>
  <c r="H111" i="41"/>
  <c r="G111" i="41"/>
  <c r="F111" i="41"/>
  <c r="E111" i="41"/>
  <c r="D111" i="41"/>
  <c r="C111" i="41"/>
  <c r="B111" i="41"/>
  <c r="Q111" i="41"/>
  <c r="P111" i="41"/>
  <c r="O111" i="41"/>
  <c r="N111" i="41"/>
  <c r="M111" i="41"/>
  <c r="L111" i="41"/>
  <c r="H111" i="40"/>
  <c r="G111" i="40"/>
  <c r="F111" i="40"/>
  <c r="E111" i="40"/>
  <c r="D111" i="40"/>
  <c r="C111" i="40"/>
  <c r="B111" i="40"/>
  <c r="Q111" i="40"/>
  <c r="P111" i="40"/>
  <c r="O111" i="40"/>
  <c r="N111" i="40"/>
  <c r="M111" i="40"/>
  <c r="L111" i="40"/>
  <c r="K111" i="40"/>
  <c r="J111" i="40"/>
  <c r="I111" i="40"/>
  <c r="E111" i="44"/>
  <c r="D111" i="44"/>
  <c r="C111" i="44"/>
  <c r="B111" i="44"/>
  <c r="Q111" i="44"/>
  <c r="P111" i="44"/>
  <c r="O111" i="44"/>
  <c r="N111" i="44"/>
  <c r="M111" i="44"/>
  <c r="L111" i="44"/>
  <c r="K111" i="44"/>
  <c r="J111" i="44"/>
  <c r="I111" i="44"/>
  <c r="H111" i="44"/>
  <c r="G111" i="44"/>
  <c r="F111" i="44"/>
  <c r="F111" i="33"/>
  <c r="E112" i="33"/>
  <c r="D111" i="33"/>
  <c r="C111" i="33"/>
  <c r="B111" i="33"/>
  <c r="Q111" i="33"/>
  <c r="P111" i="33"/>
  <c r="O111" i="33"/>
  <c r="N111" i="33"/>
  <c r="M111" i="33"/>
  <c r="L111" i="33"/>
  <c r="K111" i="33"/>
  <c r="J111" i="33"/>
  <c r="I111" i="33"/>
  <c r="H111" i="33"/>
  <c r="G111" i="33"/>
  <c r="C111" i="32"/>
  <c r="B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Q111" i="31"/>
  <c r="P111" i="31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Q111" i="30"/>
  <c r="P111" i="30"/>
  <c r="O111" i="30"/>
  <c r="N111" i="30"/>
  <c r="J111" i="29"/>
  <c r="I111" i="29"/>
  <c r="H111" i="29"/>
  <c r="G111" i="29"/>
  <c r="F111" i="29"/>
  <c r="E111" i="29"/>
  <c r="D111" i="29"/>
  <c r="C111" i="29"/>
  <c r="B111" i="29"/>
  <c r="Q111" i="29"/>
  <c r="P111" i="29"/>
  <c r="O111" i="29"/>
  <c r="N111" i="29"/>
  <c r="M111" i="29"/>
  <c r="L111" i="29"/>
  <c r="K111" i="29"/>
  <c r="G111" i="28"/>
  <c r="F111" i="28"/>
  <c r="E111" i="28"/>
  <c r="D111" i="28"/>
  <c r="C111" i="28"/>
  <c r="B111" i="28"/>
  <c r="Q111" i="28"/>
  <c r="P111" i="28"/>
  <c r="O111" i="28"/>
  <c r="N111" i="28"/>
  <c r="M112" i="28"/>
  <c r="L111" i="28"/>
  <c r="K111" i="28"/>
  <c r="J111" i="28"/>
  <c r="I111" i="28"/>
  <c r="H111" i="28"/>
  <c r="D111" i="27"/>
  <c r="C111" i="27"/>
  <c r="B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F111" i="26"/>
  <c r="E111" i="26"/>
  <c r="D111" i="26"/>
  <c r="C111" i="26"/>
  <c r="B111" i="26"/>
  <c r="Q111" i="26"/>
  <c r="P111" i="26"/>
  <c r="O111" i="26"/>
  <c r="N111" i="26"/>
  <c r="M111" i="26"/>
  <c r="L111" i="26"/>
  <c r="K111" i="26"/>
  <c r="J111" i="26"/>
  <c r="I111" i="26"/>
  <c r="H111" i="26"/>
  <c r="G111" i="26"/>
  <c r="H111" i="25"/>
  <c r="G111" i="25"/>
  <c r="F111" i="25"/>
  <c r="E111" i="25"/>
  <c r="D111" i="25"/>
  <c r="C111" i="25"/>
  <c r="B111" i="25"/>
  <c r="Q111" i="25"/>
  <c r="P111" i="25"/>
  <c r="O111" i="25"/>
  <c r="N111" i="25"/>
  <c r="M111" i="25"/>
  <c r="L111" i="25"/>
  <c r="K111" i="25"/>
  <c r="J111" i="25"/>
  <c r="I111" i="25"/>
  <c r="I111" i="24"/>
  <c r="H111" i="24"/>
  <c r="G111" i="24"/>
  <c r="F111" i="24"/>
  <c r="E111" i="24"/>
  <c r="D111" i="24"/>
  <c r="C111" i="24"/>
  <c r="B111" i="24"/>
  <c r="Q111" i="24"/>
  <c r="P111" i="24"/>
  <c r="O111" i="24"/>
  <c r="N111" i="24"/>
  <c r="M111" i="24"/>
  <c r="L111" i="24"/>
  <c r="K111" i="24"/>
  <c r="J111" i="24"/>
  <c r="G111" i="23"/>
  <c r="F111" i="23"/>
  <c r="E111" i="23"/>
  <c r="D111" i="23"/>
  <c r="C111" i="23"/>
  <c r="B111" i="23"/>
  <c r="Q111" i="23"/>
  <c r="P111" i="23"/>
  <c r="O111" i="23"/>
  <c r="N111" i="23"/>
  <c r="M111" i="23"/>
  <c r="L111" i="23"/>
  <c r="K111" i="23"/>
  <c r="J111" i="23"/>
  <c r="I111" i="23"/>
  <c r="H111" i="23"/>
  <c r="E111" i="22"/>
  <c r="D111" i="22"/>
  <c r="C111" i="22"/>
  <c r="B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G111" i="21"/>
  <c r="F111" i="21"/>
  <c r="E111" i="21"/>
  <c r="D111" i="21"/>
  <c r="C111" i="21"/>
  <c r="B111" i="21"/>
  <c r="Q111" i="21"/>
  <c r="P111" i="21"/>
  <c r="O111" i="21"/>
  <c r="N111" i="21"/>
  <c r="M111" i="21"/>
  <c r="L111" i="21"/>
  <c r="K111" i="21"/>
  <c r="J111" i="21"/>
  <c r="I111" i="21"/>
  <c r="H111" i="21"/>
  <c r="I111" i="20"/>
  <c r="H111" i="20"/>
  <c r="G111" i="20"/>
  <c r="F111" i="20"/>
  <c r="E111" i="20"/>
  <c r="D111" i="20"/>
  <c r="C111" i="20"/>
  <c r="B111" i="20"/>
  <c r="Q111" i="20"/>
  <c r="P111" i="20"/>
  <c r="O111" i="20"/>
  <c r="N111" i="20"/>
  <c r="M111" i="20"/>
  <c r="L111" i="20"/>
  <c r="K111" i="20"/>
  <c r="J111" i="20"/>
  <c r="I111" i="19"/>
  <c r="H111" i="19"/>
  <c r="G111" i="19"/>
  <c r="F111" i="19"/>
  <c r="E111" i="19"/>
  <c r="D111" i="19"/>
  <c r="C111" i="19"/>
  <c r="B111" i="19"/>
  <c r="Q111" i="19"/>
  <c r="P111" i="19"/>
  <c r="O111" i="19"/>
  <c r="N111" i="19"/>
  <c r="M111" i="19"/>
  <c r="L111" i="19"/>
  <c r="K111" i="19"/>
  <c r="J111" i="19"/>
  <c r="I111" i="18"/>
  <c r="H111" i="18"/>
  <c r="G111" i="18"/>
  <c r="F111" i="18"/>
  <c r="E111" i="18"/>
  <c r="D111" i="18"/>
  <c r="C111" i="18"/>
  <c r="B111" i="18"/>
  <c r="Q111" i="18"/>
  <c r="P111" i="18"/>
  <c r="O111" i="18"/>
  <c r="N111" i="18"/>
  <c r="M111" i="18"/>
  <c r="L111" i="18"/>
  <c r="K111" i="18"/>
  <c r="J111" i="18"/>
  <c r="K111" i="17"/>
  <c r="J111" i="17"/>
  <c r="I111" i="17"/>
  <c r="H111" i="17"/>
  <c r="G111" i="17"/>
  <c r="F111" i="17"/>
  <c r="E111" i="17"/>
  <c r="D111" i="17"/>
  <c r="C111" i="17"/>
  <c r="B111" i="17"/>
  <c r="Q111" i="17"/>
  <c r="P111" i="17"/>
  <c r="O111" i="17"/>
  <c r="N111" i="17"/>
  <c r="M111" i="17"/>
  <c r="L111" i="17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Q111" i="16"/>
  <c r="P111" i="16"/>
  <c r="O111" i="16"/>
  <c r="N111" i="16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Q111" i="15"/>
  <c r="P111" i="15"/>
  <c r="D24" i="5"/>
  <c r="D44" i="5" s="1"/>
  <c r="D111" i="14"/>
  <c r="C111" i="14"/>
  <c r="B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F111" i="13"/>
  <c r="E111" i="13"/>
  <c r="D111" i="13"/>
  <c r="C111" i="13"/>
  <c r="B111" i="13"/>
  <c r="Q111" i="13"/>
  <c r="P111" i="13"/>
  <c r="O111" i="13"/>
  <c r="N111" i="13"/>
  <c r="M111" i="13"/>
  <c r="L111" i="13"/>
  <c r="K111" i="13"/>
  <c r="J111" i="13"/>
  <c r="I111" i="13"/>
  <c r="H111" i="13"/>
  <c r="G111" i="13"/>
  <c r="G111" i="12"/>
  <c r="F111" i="12"/>
  <c r="E111" i="12"/>
  <c r="D111" i="12"/>
  <c r="C111" i="12"/>
  <c r="B111" i="12"/>
  <c r="Q111" i="12"/>
  <c r="P111" i="12"/>
  <c r="O111" i="12"/>
  <c r="N111" i="12"/>
  <c r="M111" i="12"/>
  <c r="L111" i="12"/>
  <c r="K111" i="12"/>
  <c r="J111" i="12"/>
  <c r="I111" i="12"/>
  <c r="H111" i="12"/>
  <c r="I111" i="11"/>
  <c r="H111" i="11"/>
  <c r="G111" i="11"/>
  <c r="F111" i="11"/>
  <c r="E111" i="11"/>
  <c r="D111" i="11"/>
  <c r="C111" i="11"/>
  <c r="B111" i="11"/>
  <c r="Q111" i="11"/>
  <c r="P111" i="11"/>
  <c r="O111" i="11"/>
  <c r="N111" i="11"/>
  <c r="M111" i="11"/>
  <c r="L111" i="11"/>
  <c r="K111" i="11"/>
  <c r="J111" i="11"/>
  <c r="K111" i="10"/>
  <c r="J111" i="10"/>
  <c r="I111" i="10"/>
  <c r="H111" i="10"/>
  <c r="G111" i="10"/>
  <c r="F111" i="10"/>
  <c r="E111" i="10"/>
  <c r="D111" i="10"/>
  <c r="C111" i="10"/>
  <c r="B111" i="10"/>
  <c r="Q111" i="10"/>
  <c r="P111" i="10"/>
  <c r="O111" i="10"/>
  <c r="N111" i="10"/>
  <c r="M111" i="10"/>
  <c r="L111" i="10"/>
  <c r="L112" i="9"/>
  <c r="H111" i="9"/>
  <c r="E111" i="9"/>
  <c r="D111" i="9"/>
  <c r="Q111" i="9"/>
  <c r="P111" i="9"/>
  <c r="N111" i="9"/>
  <c r="M111" i="9"/>
  <c r="B111" i="9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Q111" i="8"/>
  <c r="P111" i="8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H45" i="39"/>
  <c r="H44" i="39"/>
  <c r="H43" i="39"/>
  <c r="H42" i="39"/>
  <c r="H41" i="39"/>
  <c r="F45" i="39"/>
  <c r="F44" i="39"/>
  <c r="F43" i="39"/>
  <c r="F42" i="39"/>
  <c r="F41" i="39"/>
  <c r="B45" i="39"/>
  <c r="B44" i="39"/>
  <c r="B43" i="39"/>
  <c r="B42" i="39"/>
  <c r="B41" i="39"/>
  <c r="O45" i="39"/>
  <c r="O44" i="39"/>
  <c r="O43" i="39"/>
  <c r="O42" i="39"/>
  <c r="O41" i="39"/>
  <c r="P45" i="39"/>
  <c r="P44" i="39"/>
  <c r="P43" i="39"/>
  <c r="P42" i="39"/>
  <c r="P41" i="39"/>
  <c r="Q45" i="39"/>
  <c r="Q44" i="39"/>
  <c r="Q43" i="39"/>
  <c r="Q42" i="39"/>
  <c r="Q41" i="39"/>
  <c r="N45" i="39"/>
  <c r="N44" i="39"/>
  <c r="N43" i="39"/>
  <c r="N42" i="39"/>
  <c r="N41" i="39"/>
  <c r="M45" i="39"/>
  <c r="M44" i="39"/>
  <c r="M43" i="39"/>
  <c r="M42" i="39"/>
  <c r="M41" i="39"/>
  <c r="L45" i="39"/>
  <c r="L44" i="39"/>
  <c r="L43" i="39"/>
  <c r="L42" i="39"/>
  <c r="L41" i="39"/>
  <c r="K45" i="39"/>
  <c r="K44" i="39"/>
  <c r="K43" i="39"/>
  <c r="K42" i="39"/>
  <c r="K41" i="39"/>
  <c r="J45" i="39"/>
  <c r="J44" i="39"/>
  <c r="J43" i="39"/>
  <c r="J42" i="39"/>
  <c r="J41" i="39"/>
  <c r="I45" i="39"/>
  <c r="I44" i="39"/>
  <c r="I43" i="39"/>
  <c r="I42" i="39"/>
  <c r="I41" i="39"/>
  <c r="G45" i="39"/>
  <c r="G44" i="39"/>
  <c r="G43" i="39"/>
  <c r="G42" i="39"/>
  <c r="G41" i="39"/>
  <c r="E45" i="39"/>
  <c r="E44" i="39"/>
  <c r="E43" i="39"/>
  <c r="E42" i="39"/>
  <c r="E41" i="39"/>
  <c r="D45" i="39"/>
  <c r="D44" i="39"/>
  <c r="D43" i="39"/>
  <c r="D42" i="39"/>
  <c r="D41" i="39"/>
  <c r="C45" i="39"/>
  <c r="C44" i="39"/>
  <c r="C43" i="39"/>
  <c r="C42" i="39"/>
  <c r="C41" i="39"/>
  <c r="E111" i="2"/>
  <c r="D111" i="2"/>
  <c r="C111" i="2"/>
  <c r="B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H47" i="39" l="1"/>
  <c r="H46" i="39"/>
  <c r="M47" i="39"/>
  <c r="M46" i="39"/>
  <c r="F47" i="39"/>
  <c r="F46" i="39"/>
  <c r="D47" i="39"/>
  <c r="D46" i="39"/>
  <c r="I47" i="39"/>
  <c r="I46" i="39"/>
  <c r="L47" i="39"/>
  <c r="L46" i="39"/>
  <c r="E47" i="39"/>
  <c r="E46" i="39"/>
  <c r="J47" i="39"/>
  <c r="J46" i="39"/>
  <c r="C47" i="39"/>
  <c r="C46" i="39"/>
  <c r="K47" i="39"/>
  <c r="K46" i="39"/>
  <c r="Q47" i="39"/>
  <c r="Q46" i="39"/>
  <c r="N47" i="39"/>
  <c r="N46" i="39"/>
  <c r="P47" i="39"/>
  <c r="P46" i="39"/>
  <c r="B47" i="39"/>
  <c r="B46" i="39"/>
  <c r="G47" i="39"/>
  <c r="G46" i="39"/>
  <c r="O47" i="39"/>
  <c r="O46" i="39"/>
</calcChain>
</file>

<file path=xl/sharedStrings.xml><?xml version="1.0" encoding="utf-8"?>
<sst xmlns="http://schemas.openxmlformats.org/spreadsheetml/2006/main" count="6554" uniqueCount="3213">
  <si>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</si>
  <si>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</si>
  <si>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</si>
  <si>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</si>
  <si>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</si>
  <si>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</si>
  <si>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</si>
  <si>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</si>
  <si>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</si>
  <si>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</si>
  <si>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</si>
  <si>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</si>
  <si>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</si>
  <si>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</si>
  <si>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</si>
  <si>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</si>
  <si>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</si>
  <si>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</si>
  <si>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</si>
  <si>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</si>
  <si>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</si>
  <si>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</si>
  <si>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</si>
  <si>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</si>
  <si>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</si>
  <si>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</si>
  <si>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</si>
  <si>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</si>
  <si>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</si>
  <si>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</si>
  <si>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</si>
  <si>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</si>
  <si>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</si>
  <si>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</si>
  <si>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</si>
  <si>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</si>
  <si>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</si>
  <si>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</si>
  <si>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</si>
  <si>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</si>
  <si>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</si>
  <si>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</si>
  <si>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</si>
  <si>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</si>
  <si>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</si>
  <si>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</si>
  <si>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</si>
  <si>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</si>
  <si>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</si>
  <si>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</si>
  <si>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</si>
  <si>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</si>
  <si>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</si>
  <si>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</si>
  <si>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</si>
  <si>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</si>
  <si>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</si>
  <si>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</si>
  <si>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</si>
  <si>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</si>
  <si>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</si>
  <si>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</si>
  <si>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</si>
  <si>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</si>
  <si>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</si>
  <si>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</si>
  <si>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</si>
  <si>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</si>
  <si>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</si>
  <si>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</si>
  <si>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</si>
  <si>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</si>
  <si>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</si>
  <si>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</si>
  <si>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</si>
  <si>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</si>
  <si>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</si>
  <si>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</si>
  <si>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</si>
  <si>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</si>
  <si>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</si>
  <si>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</si>
  <si>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</si>
  <si>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</si>
  <si>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</si>
  <si>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</si>
  <si>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</si>
  <si>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</si>
  <si>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</si>
  <si>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</si>
  <si>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</si>
  <si>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</si>
  <si>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</si>
  <si>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</si>
  <si>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</si>
  <si>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</si>
  <si>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</si>
  <si>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</si>
  <si>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</si>
  <si>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</si>
  <si>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</si>
  <si>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</si>
  <si>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</si>
  <si>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</si>
  <si>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</si>
  <si>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</si>
  <si>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</si>
  <si>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</si>
  <si>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</si>
  <si>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</si>
  <si>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</si>
  <si>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</si>
  <si>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</si>
  <si>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</si>
  <si>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</si>
  <si>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</si>
  <si>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</si>
  <si>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</si>
  <si>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</si>
  <si>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</si>
  <si>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</si>
  <si>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</si>
  <si>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</si>
  <si>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</si>
  <si>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</si>
  <si>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</si>
  <si>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</si>
  <si>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</si>
  <si>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</si>
  <si>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</si>
  <si>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</si>
  <si>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</si>
  <si>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</si>
  <si>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</si>
  <si>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</si>
  <si>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</si>
  <si>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</si>
  <si>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</si>
  <si>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</si>
  <si>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</si>
  <si>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</si>
  <si>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</si>
  <si>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</si>
  <si>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</si>
  <si>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</si>
  <si>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</si>
  <si>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</si>
  <si>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</si>
  <si>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</si>
  <si>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</si>
  <si>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</si>
  <si>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</si>
  <si>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</si>
  <si>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</si>
  <si>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</si>
  <si>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</si>
  <si>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</si>
  <si>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</si>
  <si>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</si>
  <si>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</si>
  <si>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</si>
  <si>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</si>
  <si>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</si>
  <si>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</si>
  <si>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</si>
  <si>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</si>
  <si>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</si>
  <si>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</si>
  <si>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</si>
  <si>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</si>
  <si>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</si>
  <si>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</si>
  <si>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</si>
  <si>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</si>
  <si>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</si>
  <si>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</si>
  <si>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</si>
  <si>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</si>
  <si>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</si>
  <si>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</si>
  <si>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</si>
  <si>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</si>
  <si>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</si>
  <si>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</si>
  <si>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</si>
  <si>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</si>
  <si>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</si>
  <si>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</si>
  <si>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</si>
  <si>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</si>
  <si>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</si>
  <si>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</si>
  <si>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</si>
  <si>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</si>
  <si>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</si>
  <si>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</si>
  <si>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</si>
  <si>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</si>
  <si>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</si>
  <si>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</si>
  <si>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</si>
  <si>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</si>
  <si>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</si>
  <si>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</si>
  <si>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</si>
  <si>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</si>
  <si>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</si>
  <si>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</si>
  <si>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</si>
  <si>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</si>
  <si>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</si>
  <si>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</si>
  <si>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</si>
  <si>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</si>
  <si>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</si>
  <si>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</si>
  <si>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</si>
  <si>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</si>
  <si>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</si>
  <si>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</si>
  <si>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</si>
  <si>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</si>
  <si>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</si>
  <si>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</si>
  <si>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</si>
  <si>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</si>
  <si>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</si>
  <si>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</si>
  <si>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</si>
  <si>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</si>
  <si>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</si>
  <si>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</si>
  <si>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</si>
  <si>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</si>
  <si>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</si>
  <si>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</si>
  <si>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</si>
  <si>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</si>
  <si>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01/05/2023 00:15</t>
  </si>
  <si>
    <t>01/05/2023 00:30</t>
  </si>
  <si>
    <t>01/05/2023 01:00</t>
  </si>
  <si>
    <t>01/05/2023 01:15</t>
  </si>
  <si>
    <t>01/05/2023 01:30</t>
  </si>
  <si>
    <t>01/05/2023 01:45</t>
  </si>
  <si>
    <t>01/05/2023 02:00</t>
  </si>
  <si>
    <t>01/05/2023 02:15</t>
  </si>
  <si>
    <t>01/05/2023 02:30</t>
  </si>
  <si>
    <t>01/05/2023 02:45</t>
  </si>
  <si>
    <t>01/05/2023 03:00</t>
  </si>
  <si>
    <t>01/05/2023 03:15</t>
  </si>
  <si>
    <t>01/05/2023 03:30</t>
  </si>
  <si>
    <t>01/05/2023 03:45</t>
  </si>
  <si>
    <t>01/05/2023 04:00</t>
  </si>
  <si>
    <t>01/05/2023 04:15</t>
  </si>
  <si>
    <t>01/05/2023 04:30</t>
  </si>
  <si>
    <t>01/05/2023 04:45</t>
  </si>
  <si>
    <t>01/05/2023 05:00</t>
  </si>
  <si>
    <t>01/05/2023 05:15</t>
  </si>
  <si>
    <t>01/05/2023 05:30</t>
  </si>
  <si>
    <t>01/05/2023 05:45</t>
  </si>
  <si>
    <t>01/05/2023 06:00</t>
  </si>
  <si>
    <t>01/05/2023 06:15</t>
  </si>
  <si>
    <t>01/05/2023 06:30</t>
  </si>
  <si>
    <t>01/05/2023 06:45</t>
  </si>
  <si>
    <t>01/05/2023 07:00</t>
  </si>
  <si>
    <t>01/05/2023 07:15</t>
  </si>
  <si>
    <t>01/05/2023 07:30</t>
  </si>
  <si>
    <t>01/05/2023 07:45</t>
  </si>
  <si>
    <t>01/05/2023 08:00</t>
  </si>
  <si>
    <t>01/05/2023 08:15</t>
  </si>
  <si>
    <t>01/05/2023 08:30</t>
  </si>
  <si>
    <t>01/05/2023 08:45</t>
  </si>
  <si>
    <t>01/05/2023 09:00</t>
  </si>
  <si>
    <t>01/05/2023 09:15</t>
  </si>
  <si>
    <t>01/05/2023 09:30</t>
  </si>
  <si>
    <t>01/05/2023 09:45</t>
  </si>
  <si>
    <t>01/05/2023 10:00</t>
  </si>
  <si>
    <t>01/05/2023 10:15</t>
  </si>
  <si>
    <t>01/05/2023 10:30</t>
  </si>
  <si>
    <t>01/05/2023 10:45</t>
  </si>
  <si>
    <t>01/05/2023 11:00</t>
  </si>
  <si>
    <t>01/05/2023 11:15</t>
  </si>
  <si>
    <t>01/05/2023 11:30</t>
  </si>
  <si>
    <t>01/05/2023 11:45</t>
  </si>
  <si>
    <t>01/05/2023 12:00</t>
  </si>
  <si>
    <t>01/05/2023 12:15</t>
  </si>
  <si>
    <t>01/05/2023 12:30</t>
  </si>
  <si>
    <t>01/05/2023 12:45</t>
  </si>
  <si>
    <t>01/05/2023 13:00</t>
  </si>
  <si>
    <t>01/05/2023 13:15</t>
  </si>
  <si>
    <t>01/05/2023 13:30</t>
  </si>
  <si>
    <t>01/05/2023 13:45</t>
  </si>
  <si>
    <t>01/05/2023 14:00</t>
  </si>
  <si>
    <t>01/05/2023 14:15</t>
  </si>
  <si>
    <t>01/05/2023 14:30</t>
  </si>
  <si>
    <t>01/05/2023 14:45</t>
  </si>
  <si>
    <t>01/05/2023 15:00</t>
  </si>
  <si>
    <t>01/05/2023 15:15</t>
  </si>
  <si>
    <t>01/05/2023 15:30</t>
  </si>
  <si>
    <t>01/05/2023 15:45</t>
  </si>
  <si>
    <t>01/05/2023 16:00</t>
  </si>
  <si>
    <t>01/05/2023 16:15</t>
  </si>
  <si>
    <t>01/05/2023 16:30</t>
  </si>
  <si>
    <t>01/05/2023 16:45</t>
  </si>
  <si>
    <t>01/05/2023 17:00</t>
  </si>
  <si>
    <t>01/05/2023 17:15</t>
  </si>
  <si>
    <t>01/05/2023 17:30</t>
  </si>
  <si>
    <t>01/05/2023 17:45</t>
  </si>
  <si>
    <t>01/05/2023 18:00</t>
  </si>
  <si>
    <t>01/05/2023 18:15</t>
  </si>
  <si>
    <t>01/05/2023 18:30</t>
  </si>
  <si>
    <t>01/05/2023 18:45</t>
  </si>
  <si>
    <t>01/05/2023 19:00</t>
  </si>
  <si>
    <t>01/05/2023 19:15</t>
  </si>
  <si>
    <t>01/05/2023 19:30</t>
  </si>
  <si>
    <t>01/05/2023 19:45</t>
  </si>
  <si>
    <t>01/05/2023 20:00</t>
  </si>
  <si>
    <t>01/05/2023 20:15</t>
  </si>
  <si>
    <t>01/05/2023 20:30</t>
  </si>
  <si>
    <t>01/05/2023 20:45</t>
  </si>
  <si>
    <t>01/05/2023 21:00</t>
  </si>
  <si>
    <t>01/05/2023 21:15</t>
  </si>
  <si>
    <t>01/05/2023 21:30</t>
  </si>
  <si>
    <t>01/05/2023 21:45</t>
  </si>
  <si>
    <t>01/05/2023 22:00</t>
  </si>
  <si>
    <t>01/05/2023 22:15</t>
  </si>
  <si>
    <t>01/05/2023 22:30</t>
  </si>
  <si>
    <t>01/05/2023 22:45</t>
  </si>
  <si>
    <t>01/05/2023 23:00</t>
  </si>
  <si>
    <t>01/05/2023 23:15</t>
  </si>
  <si>
    <t>01/05/2023 23:30</t>
  </si>
  <si>
    <t>01/05/2023 23:45</t>
  </si>
  <si>
    <t>01/05/2023 24:00</t>
  </si>
  <si>
    <t>02/05/2023 00:15</t>
  </si>
  <si>
    <t>02/05/2023 00:30</t>
  </si>
  <si>
    <t>02/05/2023 00:45</t>
  </si>
  <si>
    <t>02/05/2023 01:00</t>
  </si>
  <si>
    <t>02/05/2023 01:15</t>
  </si>
  <si>
    <t>02/05/2023 01:30</t>
  </si>
  <si>
    <t>02/05/2023 01:45</t>
  </si>
  <si>
    <t>02/05/2023 02:00</t>
  </si>
  <si>
    <t>02/05/2023 02:15</t>
  </si>
  <si>
    <t>02/05/2023 02:30</t>
  </si>
  <si>
    <t>02/05/2023 02:45</t>
  </si>
  <si>
    <t>02/05/2023 03:00</t>
  </si>
  <si>
    <t>02/05/2023 03:15</t>
  </si>
  <si>
    <t>02/05/2023 03:30</t>
  </si>
  <si>
    <t>02/05/2023 03:45</t>
  </si>
  <si>
    <t>02/05/2023 04:00</t>
  </si>
  <si>
    <t>02/05/2023 04:15</t>
  </si>
  <si>
    <t>02/05/2023 04:30</t>
  </si>
  <si>
    <t>02/05/2023 04:45</t>
  </si>
  <si>
    <t>02/05/2023 05:00</t>
  </si>
  <si>
    <t>02/05/2023 05:15</t>
  </si>
  <si>
    <t>02/05/2023 05:30</t>
  </si>
  <si>
    <t>02/05/2023 05:45</t>
  </si>
  <si>
    <t>02/05/2023 06:00</t>
  </si>
  <si>
    <t>02/05/2023 06:15</t>
  </si>
  <si>
    <t>02/05/2023 06:30</t>
  </si>
  <si>
    <t>02/05/2023 06:45</t>
  </si>
  <si>
    <t>02/05/2023 07:00</t>
  </si>
  <si>
    <t>02/05/2023 07:15</t>
  </si>
  <si>
    <t>02/05/2023 07:30</t>
  </si>
  <si>
    <t>02/05/2023 07:45</t>
  </si>
  <si>
    <t>02/05/2023 08:00</t>
  </si>
  <si>
    <t>02/05/2023 08:15</t>
  </si>
  <si>
    <t>02/05/2023 08:30</t>
  </si>
  <si>
    <t>02/05/2023 08:45</t>
  </si>
  <si>
    <t>02/05/2023 09:00</t>
  </si>
  <si>
    <t>02/05/2023 09:15</t>
  </si>
  <si>
    <t>02/05/2023 09:30</t>
  </si>
  <si>
    <t>02/05/2023 09:45</t>
  </si>
  <si>
    <t>02/05/2023 10:00</t>
  </si>
  <si>
    <t>02/05/2023 10:15</t>
  </si>
  <si>
    <t>02/05/2023 10:30</t>
  </si>
  <si>
    <t>02/05/2023 10:45</t>
  </si>
  <si>
    <t>02/05/2023 11:00</t>
  </si>
  <si>
    <t>02/05/2023 11:15</t>
  </si>
  <si>
    <t>02/05/2023 11:30</t>
  </si>
  <si>
    <t>02/05/2023 11:45</t>
  </si>
  <si>
    <t>02/05/2023 12:00</t>
  </si>
  <si>
    <t>02/05/2023 12:15</t>
  </si>
  <si>
    <t>02/05/2023 12:30</t>
  </si>
  <si>
    <t>02/05/2023 12:45</t>
  </si>
  <si>
    <t>02/05/2023 13:00</t>
  </si>
  <si>
    <t>02/05/2023 13:15</t>
  </si>
  <si>
    <t>02/05/2023 13:30</t>
  </si>
  <si>
    <t>02/05/2023 13:45</t>
  </si>
  <si>
    <t>02/05/2023 14:00</t>
  </si>
  <si>
    <t>02/05/2023 14:15</t>
  </si>
  <si>
    <t>02/05/2023 14:30</t>
  </si>
  <si>
    <t>02/05/2023 14:45</t>
  </si>
  <si>
    <t>02/05/2023 15:00</t>
  </si>
  <si>
    <t>02/05/2023 15:15</t>
  </si>
  <si>
    <t>02/05/2023 15:30</t>
  </si>
  <si>
    <t>02/05/2023 15:45</t>
  </si>
  <si>
    <t>02/05/2023 16:00</t>
  </si>
  <si>
    <t>02/05/2023 16:15</t>
  </si>
  <si>
    <t>02/05/2023 16:30</t>
  </si>
  <si>
    <t>02/05/2023 16:45</t>
  </si>
  <si>
    <t>02/05/2023 17:00</t>
  </si>
  <si>
    <t>02/05/2023 17:15</t>
  </si>
  <si>
    <t>02/05/2023 17:30</t>
  </si>
  <si>
    <t>02/05/2023 17:45</t>
  </si>
  <si>
    <t>02/05/2023 18:00</t>
  </si>
  <si>
    <t>02/05/2023 18:15</t>
  </si>
  <si>
    <t>02/05/2023 18:30</t>
  </si>
  <si>
    <t>02/05/2023 18:45</t>
  </si>
  <si>
    <t>02/05/2023 19:00</t>
  </si>
  <si>
    <t>02/05/2023 19:15</t>
  </si>
  <si>
    <t>02/05/2023 19:30</t>
  </si>
  <si>
    <t>02/05/2023 19:45</t>
  </si>
  <si>
    <t>02/05/2023 20:00</t>
  </si>
  <si>
    <t>02/05/2023 20:15</t>
  </si>
  <si>
    <t>02/05/2023 20:30</t>
  </si>
  <si>
    <t>02/05/2023 20:45</t>
  </si>
  <si>
    <t>02/05/2023 21:00</t>
  </si>
  <si>
    <t>02/05/2023 21:15</t>
  </si>
  <si>
    <t>02/05/2023 21:30</t>
  </si>
  <si>
    <t>02/05/2023 21:45</t>
  </si>
  <si>
    <t>02/05/2023 22:00</t>
  </si>
  <si>
    <t>02/05/2023 22:15</t>
  </si>
  <si>
    <t>02/05/2023 22:30</t>
  </si>
  <si>
    <t>02/05/2023 22:45</t>
  </si>
  <si>
    <t>02/05/2023 23:00</t>
  </si>
  <si>
    <t>02/05/2023 23:15</t>
  </si>
  <si>
    <t>02/05/2023 23:30</t>
  </si>
  <si>
    <t>02/05/2023 23:45</t>
  </si>
  <si>
    <t>02/05/2023 24:00</t>
  </si>
  <si>
    <t>03/05/2023 00:15</t>
  </si>
  <si>
    <t>03/05/2023 00:30</t>
  </si>
  <si>
    <t>03/05/2023 00:45</t>
  </si>
  <si>
    <t>03/05/2023 01:00</t>
  </si>
  <si>
    <t>03/05/2023 01:15</t>
  </si>
  <si>
    <t>03/05/2023 01:30</t>
  </si>
  <si>
    <t>03/05/2023 01:45</t>
  </si>
  <si>
    <t>03/05/2023 02:00</t>
  </si>
  <si>
    <t>03/05/2023 02:15</t>
  </si>
  <si>
    <t>03/05/2023 02:30</t>
  </si>
  <si>
    <t>03/05/2023 02:45</t>
  </si>
  <si>
    <t>03/05/2023 03:00</t>
  </si>
  <si>
    <t>03/05/2023 03:15</t>
  </si>
  <si>
    <t>03/05/2023 03:30</t>
  </si>
  <si>
    <t>03/05/2023 03:45</t>
  </si>
  <si>
    <t>03/05/2023 04:00</t>
  </si>
  <si>
    <t>03/05/2023 04:15</t>
  </si>
  <si>
    <t>03/05/2023 04:30</t>
  </si>
  <si>
    <t>03/05/2023 04:45</t>
  </si>
  <si>
    <t>03/05/2023 05:00</t>
  </si>
  <si>
    <t>03/05/2023 05:15</t>
  </si>
  <si>
    <t>03/05/2023 05:30</t>
  </si>
  <si>
    <t>03/05/2023 05:45</t>
  </si>
  <si>
    <t>03/05/2023 06:00</t>
  </si>
  <si>
    <t>03/05/2023 06:15</t>
  </si>
  <si>
    <t>03/05/2023 06:30</t>
  </si>
  <si>
    <t>03/05/2023 06:45</t>
  </si>
  <si>
    <t>03/05/2023 07:00</t>
  </si>
  <si>
    <t>03/05/2023 07:15</t>
  </si>
  <si>
    <t>03/05/2023 07:30</t>
  </si>
  <si>
    <t>03/05/2023 07:45</t>
  </si>
  <si>
    <t>03/05/2023 08:00</t>
  </si>
  <si>
    <t>03/05/2023 08:15</t>
  </si>
  <si>
    <t>03/05/2023 08:30</t>
  </si>
  <si>
    <t>03/05/2023 08:45</t>
  </si>
  <si>
    <t>03/05/2023 09:00</t>
  </si>
  <si>
    <t>03/05/2023 09:15</t>
  </si>
  <si>
    <t>03/05/2023 09:30</t>
  </si>
  <si>
    <t>03/05/2023 09:45</t>
  </si>
  <si>
    <t>03/05/2023 10:00</t>
  </si>
  <si>
    <t>03/05/2023 10:15</t>
  </si>
  <si>
    <t>03/05/2023 10:30</t>
  </si>
  <si>
    <t>03/05/2023 10:45</t>
  </si>
  <si>
    <t>03/05/2023 11:00</t>
  </si>
  <si>
    <t>03/05/2023 11:15</t>
  </si>
  <si>
    <t>03/05/2023 11:30</t>
  </si>
  <si>
    <t>03/05/2023 11:45</t>
  </si>
  <si>
    <t>03/05/2023 12:00</t>
  </si>
  <si>
    <t>03/05/2023 12:15</t>
  </si>
  <si>
    <t>03/05/2023 12:30</t>
  </si>
  <si>
    <t>03/05/2023 12:45</t>
  </si>
  <si>
    <t>03/05/2023 13:00</t>
  </si>
  <si>
    <t>03/05/2023 13:15</t>
  </si>
  <si>
    <t>03/05/2023 13:30</t>
  </si>
  <si>
    <t>03/05/2023 13:45</t>
  </si>
  <si>
    <t>03/05/2023 14:00</t>
  </si>
  <si>
    <t>03/05/2023 14:15</t>
  </si>
  <si>
    <t>03/05/2023 14:30</t>
  </si>
  <si>
    <t>03/05/2023 14:45</t>
  </si>
  <si>
    <t>03/05/2023 15:00</t>
  </si>
  <si>
    <t>03/05/2023 15:15</t>
  </si>
  <si>
    <t>03/05/2023 15:30</t>
  </si>
  <si>
    <t>03/05/2023 15:45</t>
  </si>
  <si>
    <t>03/05/2023 16:00</t>
  </si>
  <si>
    <t>03/05/2023 16:15</t>
  </si>
  <si>
    <t>03/05/2023 16:30</t>
  </si>
  <si>
    <t>03/05/2023 16:45</t>
  </si>
  <si>
    <t>03/05/2023 17:00</t>
  </si>
  <si>
    <t>03/05/2023 17:15</t>
  </si>
  <si>
    <t>03/05/2023 17:30</t>
  </si>
  <si>
    <t>03/05/2023 17:45</t>
  </si>
  <si>
    <t>03/05/2023 18:00</t>
  </si>
  <si>
    <t>03/05/2023 18:15</t>
  </si>
  <si>
    <t>03/05/2023 18:30</t>
  </si>
  <si>
    <t>03/05/2023 18:45</t>
  </si>
  <si>
    <t>03/05/2023 19:00</t>
  </si>
  <si>
    <t>03/05/2023 19:15</t>
  </si>
  <si>
    <t>03/05/2023 19:30</t>
  </si>
  <si>
    <t>03/05/2023 19:45</t>
  </si>
  <si>
    <t>03/05/2023 20:00</t>
  </si>
  <si>
    <t>03/05/2023 20:15</t>
  </si>
  <si>
    <t>03/05/2023 20:30</t>
  </si>
  <si>
    <t>03/05/2023 20:45</t>
  </si>
  <si>
    <t>03/05/2023 21:00</t>
  </si>
  <si>
    <t>03/05/2023 21:15</t>
  </si>
  <si>
    <t>03/05/2023 21:30</t>
  </si>
  <si>
    <t>03/05/2023 21:45</t>
  </si>
  <si>
    <t>03/05/2023 22:00</t>
  </si>
  <si>
    <t>03/05/2023 22:15</t>
  </si>
  <si>
    <t>03/05/2023 22:30</t>
  </si>
  <si>
    <t>03/05/2023 22:45</t>
  </si>
  <si>
    <t>03/05/2023 23:00</t>
  </si>
  <si>
    <t>03/05/2023 23:15</t>
  </si>
  <si>
    <t>03/05/2023 23:30</t>
  </si>
  <si>
    <t>03/05/2023 23:45</t>
  </si>
  <si>
    <t>03/05/2023 24:00</t>
  </si>
  <si>
    <t>01/05/2023 00:15 - 31/05/2022 00:00</t>
  </si>
  <si>
    <t>04/05/2023 00:15</t>
  </si>
  <si>
    <t>04/05/2023 00:30</t>
  </si>
  <si>
    <t>04/05/2023 00:45</t>
  </si>
  <si>
    <t>04/05/2023 01:00</t>
  </si>
  <si>
    <t>04/05/2023 01:15</t>
  </si>
  <si>
    <t>04/05/2023 01:30</t>
  </si>
  <si>
    <t>04/05/2023 01:45</t>
  </si>
  <si>
    <t>04/05/2023 02:00</t>
  </si>
  <si>
    <t>04/05/2023 02:15</t>
  </si>
  <si>
    <t>04/05/2023 02:30</t>
  </si>
  <si>
    <t>04/05/2023 02:45</t>
  </si>
  <si>
    <t>04/05/2023 03:00</t>
  </si>
  <si>
    <t>04/05/2023 03:15</t>
  </si>
  <si>
    <t>04/05/2023 03:30</t>
  </si>
  <si>
    <t>04/05/2023 03:45</t>
  </si>
  <si>
    <t>04/05/2023 04:00</t>
  </si>
  <si>
    <t>04/05/2023 04:15</t>
  </si>
  <si>
    <t>04/05/2023 04:30</t>
  </si>
  <si>
    <t>04/05/2023 04:45</t>
  </si>
  <si>
    <t>04/05/2023 05:00</t>
  </si>
  <si>
    <t>04/05/2023 05:15</t>
  </si>
  <si>
    <t>04/05/2023 05:30</t>
  </si>
  <si>
    <t>04/05/2023 05:45</t>
  </si>
  <si>
    <t>04/05/2023 06:00</t>
  </si>
  <si>
    <t>04/05/2023 06:15</t>
  </si>
  <si>
    <t>04/05/2023 06:30</t>
  </si>
  <si>
    <t>04/05/2023 06:45</t>
  </si>
  <si>
    <t>04/05/2023 07:00</t>
  </si>
  <si>
    <t>04/05/2023 07:15</t>
  </si>
  <si>
    <t>04/05/2023 07:30</t>
  </si>
  <si>
    <t>04/05/2023 07:45</t>
  </si>
  <si>
    <t>04/05/2023 08:00</t>
  </si>
  <si>
    <t>04/05/2023 08:15</t>
  </si>
  <si>
    <t>04/05/2023 08:30</t>
  </si>
  <si>
    <t>04/05/2023 08:45</t>
  </si>
  <si>
    <t>04/05/2023 09:00</t>
  </si>
  <si>
    <t>04/05/2023 09:15</t>
  </si>
  <si>
    <t>04/05/2023 09:30</t>
  </si>
  <si>
    <t>04/05/2023 09:45</t>
  </si>
  <si>
    <t>04/05/2023 10:00</t>
  </si>
  <si>
    <t>04/05/2023 10:15</t>
  </si>
  <si>
    <t>04/05/2023 10:30</t>
  </si>
  <si>
    <t>04/05/2023 10:45</t>
  </si>
  <si>
    <t>04/05/2023 11:00</t>
  </si>
  <si>
    <t>04/05/2023 11:15</t>
  </si>
  <si>
    <t>04/05/2023 11:30</t>
  </si>
  <si>
    <t>04/05/2023 11:45</t>
  </si>
  <si>
    <t>04/05/2023 12:00</t>
  </si>
  <si>
    <t>04/05/2023 12:15</t>
  </si>
  <si>
    <t>04/05/2023 12:30</t>
  </si>
  <si>
    <t>04/05/2023 12:45</t>
  </si>
  <si>
    <t>04/05/2023 13:00</t>
  </si>
  <si>
    <t>04/05/2023 13:15</t>
  </si>
  <si>
    <t>04/05/2023 13:30</t>
  </si>
  <si>
    <t>04/05/2023 13:45</t>
  </si>
  <si>
    <t>04/05/2023 14:00</t>
  </si>
  <si>
    <t>04/05/2023 14:15</t>
  </si>
  <si>
    <t>04/05/2023 14:30</t>
  </si>
  <si>
    <t>04/05/2023 14:45</t>
  </si>
  <si>
    <t>04/05/2023 15:00</t>
  </si>
  <si>
    <t>04/05/2023 15:15</t>
  </si>
  <si>
    <t>04/05/2023 15:30</t>
  </si>
  <si>
    <t>04/05/2023 15:45</t>
  </si>
  <si>
    <t>04/05/2023 16:00</t>
  </si>
  <si>
    <t>04/05/2023 16:15</t>
  </si>
  <si>
    <t>04/05/2023 16:30</t>
  </si>
  <si>
    <t>04/05/2023 16:45</t>
  </si>
  <si>
    <t>04/05/2023 17:00</t>
  </si>
  <si>
    <t>04/05/2023 17:15</t>
  </si>
  <si>
    <t>04/05/2023 17:30</t>
  </si>
  <si>
    <t>04/05/2023 17:45</t>
  </si>
  <si>
    <t>04/05/2023 18:00</t>
  </si>
  <si>
    <t>04/05/2023 18:15</t>
  </si>
  <si>
    <t>04/05/2023 18:30</t>
  </si>
  <si>
    <t>04/05/2023 18:45</t>
  </si>
  <si>
    <t>04/05/2023 19:00</t>
  </si>
  <si>
    <t>04/05/2023 19:15</t>
  </si>
  <si>
    <t>04/05/2023 19:30</t>
  </si>
  <si>
    <t>04/05/2023 19:45</t>
  </si>
  <si>
    <t>04/05/2023 20:00</t>
  </si>
  <si>
    <t>04/05/2023 20:15</t>
  </si>
  <si>
    <t>04/05/2023 20:30</t>
  </si>
  <si>
    <t>04/05/2023 20:45</t>
  </si>
  <si>
    <t>04/05/2023 21:00</t>
  </si>
  <si>
    <t>04/05/2023 21:15</t>
  </si>
  <si>
    <t>04/05/2023 21:30</t>
  </si>
  <si>
    <t>04/05/2023 21:45</t>
  </si>
  <si>
    <t>04/05/2023 22:00</t>
  </si>
  <si>
    <t>04/05/2023 22:15</t>
  </si>
  <si>
    <t>04/05/2023 22:30</t>
  </si>
  <si>
    <t>04/05/2023 22:45</t>
  </si>
  <si>
    <t>04/05/2023 23:00</t>
  </si>
  <si>
    <t>04/05/2023 23:15</t>
  </si>
  <si>
    <t>04/05/2023 23:30</t>
  </si>
  <si>
    <t>04/05/2023 23:45</t>
  </si>
  <si>
    <t>04/05/2023 24:00</t>
  </si>
  <si>
    <t>05/05/2023 00:15</t>
  </si>
  <si>
    <t>05/05/2023 00:30</t>
  </si>
  <si>
    <t>05/05/2023 00:45</t>
  </si>
  <si>
    <t>05/05/2023 01:00</t>
  </si>
  <si>
    <t>05/05/2023 01:15</t>
  </si>
  <si>
    <t>05/05/2023 01:30</t>
  </si>
  <si>
    <t>05/05/2023 01:45</t>
  </si>
  <si>
    <t>05/05/2023 02:00</t>
  </si>
  <si>
    <t>05/05/2023 02:15</t>
  </si>
  <si>
    <t>05/05/2023 02:30</t>
  </si>
  <si>
    <t>05/05/2023 02:45</t>
  </si>
  <si>
    <t>05/05/2023 03:00</t>
  </si>
  <si>
    <t>05/05/2023 03:15</t>
  </si>
  <si>
    <t>05/05/2023 03:30</t>
  </si>
  <si>
    <t>05/05/2023 03:45</t>
  </si>
  <si>
    <t>05/05/2023 04:00</t>
  </si>
  <si>
    <t>05/05/2023 04:15</t>
  </si>
  <si>
    <t>05/05/2023 04:30</t>
  </si>
  <si>
    <t>05/05/2023 04:45</t>
  </si>
  <si>
    <t>05/05/2023 05:00</t>
  </si>
  <si>
    <t>05/05/2023 05:15</t>
  </si>
  <si>
    <t>05/05/2023 05:30</t>
  </si>
  <si>
    <t>05/05/2023 05:45</t>
  </si>
  <si>
    <t>05/05/2023 06:00</t>
  </si>
  <si>
    <t>05/05/2023 06:15</t>
  </si>
  <si>
    <t>05/05/2023 06:30</t>
  </si>
  <si>
    <t>05/05/2023 06:45</t>
  </si>
  <si>
    <t>05/05/2023 07:00</t>
  </si>
  <si>
    <t>05/05/2023 07:15</t>
  </si>
  <si>
    <t>05/05/2023 07:30</t>
  </si>
  <si>
    <t>05/05/2023 07:45</t>
  </si>
  <si>
    <t>05/05/2023 08:00</t>
  </si>
  <si>
    <t>05/05/2023 08:15</t>
  </si>
  <si>
    <t>05/05/2023 08:30</t>
  </si>
  <si>
    <t>05/05/2023 08:45</t>
  </si>
  <si>
    <t>05/05/2023 09:00</t>
  </si>
  <si>
    <t>05/05/2023 09:15</t>
  </si>
  <si>
    <t>05/05/2023 09:30</t>
  </si>
  <si>
    <t>05/05/2023 09:45</t>
  </si>
  <si>
    <t>05/05/2023 10:00</t>
  </si>
  <si>
    <t>05/05/2023 10:15</t>
  </si>
  <si>
    <t>05/05/2023 10:30</t>
  </si>
  <si>
    <t>05/05/2023 10:45</t>
  </si>
  <si>
    <t>05/05/2023 11:00</t>
  </si>
  <si>
    <t>05/05/2023 11:15</t>
  </si>
  <si>
    <t>05/05/2023 11:30</t>
  </si>
  <si>
    <t>05/05/2023 11:45</t>
  </si>
  <si>
    <t>05/05/2023 12:00</t>
  </si>
  <si>
    <t>05/05/2023 12:15</t>
  </si>
  <si>
    <t>05/05/2023 12:30</t>
  </si>
  <si>
    <t>05/05/2023 12:45</t>
  </si>
  <si>
    <t>05/05/2023 13:00</t>
  </si>
  <si>
    <t>05/05/2023 13:15</t>
  </si>
  <si>
    <t>05/05/2023 13:30</t>
  </si>
  <si>
    <t>05/05/2023 13:45</t>
  </si>
  <si>
    <t>05/05/2023 14:00</t>
  </si>
  <si>
    <t>05/05/2023 14:15</t>
  </si>
  <si>
    <t>05/05/2023 14:30</t>
  </si>
  <si>
    <t>05/05/2023 14:45</t>
  </si>
  <si>
    <t>05/05/2023 15:00</t>
  </si>
  <si>
    <t>05/05/2023 15:15</t>
  </si>
  <si>
    <t>05/05/2023 15:30</t>
  </si>
  <si>
    <t>05/05/2023 15:45</t>
  </si>
  <si>
    <t>05/05/2023 16:00</t>
  </si>
  <si>
    <t>05/05/2023 16:15</t>
  </si>
  <si>
    <t>05/05/2023 16:30</t>
  </si>
  <si>
    <t>05/05/2023 16:45</t>
  </si>
  <si>
    <t>05/05/2023 17:00</t>
  </si>
  <si>
    <t>05/05/2023 17:15</t>
  </si>
  <si>
    <t>05/05/2023 17:30</t>
  </si>
  <si>
    <t>05/05/2023 17:45</t>
  </si>
  <si>
    <t>05/05/2023 18:00</t>
  </si>
  <si>
    <t>05/05/2023 18:15</t>
  </si>
  <si>
    <t>05/05/2023 18:30</t>
  </si>
  <si>
    <t>05/05/2023 18:45</t>
  </si>
  <si>
    <t>05/05/2023 19:00</t>
  </si>
  <si>
    <t>05/05/2023 19:15</t>
  </si>
  <si>
    <t>05/05/2023 19:30</t>
  </si>
  <si>
    <t>05/05/2023 19:45</t>
  </si>
  <si>
    <t>05/05/2023 20:00</t>
  </si>
  <si>
    <t>05/05/2023 20:15</t>
  </si>
  <si>
    <t>05/05/2023 20:30</t>
  </si>
  <si>
    <t>05/05/2023 20:45</t>
  </si>
  <si>
    <t>05/05/2023 21:00</t>
  </si>
  <si>
    <t>05/05/2023 21:15</t>
  </si>
  <si>
    <t>05/05/2023 21:30</t>
  </si>
  <si>
    <t>05/05/2023 21:45</t>
  </si>
  <si>
    <t>05/05/2023 22:00</t>
  </si>
  <si>
    <t>05/05/2023 22:15</t>
  </si>
  <si>
    <t>05/05/2023 22:30</t>
  </si>
  <si>
    <t>05/05/2023 22:45</t>
  </si>
  <si>
    <t>05/05/2023 23:00</t>
  </si>
  <si>
    <t>05/05/2023 23:15</t>
  </si>
  <si>
    <t>05/05/2023 23:30</t>
  </si>
  <si>
    <t>05/05/2023 23:45</t>
  </si>
  <si>
    <t>05/05/2023 24:00</t>
  </si>
  <si>
    <t>06/05/2023 00:15</t>
  </si>
  <si>
    <t>06/05/2023 00:30</t>
  </si>
  <si>
    <t>06/05/2023 00:45</t>
  </si>
  <si>
    <t>06/05/2023 01:00</t>
  </si>
  <si>
    <t>06/05/2023 01:15</t>
  </si>
  <si>
    <t>06/05/2023 01:30</t>
  </si>
  <si>
    <t>06/05/2023 01:45</t>
  </si>
  <si>
    <t>06/05/2023 02:00</t>
  </si>
  <si>
    <t>06/05/2023 02:15</t>
  </si>
  <si>
    <t>06/05/2023 02:30</t>
  </si>
  <si>
    <t>06/05/2023 02:45</t>
  </si>
  <si>
    <t>06/05/2023 03:00</t>
  </si>
  <si>
    <t>06/05/2023 03:15</t>
  </si>
  <si>
    <t>06/05/2023 03:30</t>
  </si>
  <si>
    <t>06/05/2023 03:45</t>
  </si>
  <si>
    <t>06/05/2023 04:00</t>
  </si>
  <si>
    <t>06/05/2023 04:15</t>
  </si>
  <si>
    <t>06/05/2023 04:30</t>
  </si>
  <si>
    <t>06/05/2023 04:45</t>
  </si>
  <si>
    <t>06/05/2023 05:00</t>
  </si>
  <si>
    <t>06/05/2023 05:15</t>
  </si>
  <si>
    <t>06/05/2023 05:30</t>
  </si>
  <si>
    <t>06/05/2023 05:45</t>
  </si>
  <si>
    <t>06/05/2023 06:00</t>
  </si>
  <si>
    <t>06/05/2023 06:15</t>
  </si>
  <si>
    <t>06/05/2023 06:30</t>
  </si>
  <si>
    <t>06/05/2023 06:45</t>
  </si>
  <si>
    <t>06/05/2023 07:00</t>
  </si>
  <si>
    <t>06/05/2023 07:15</t>
  </si>
  <si>
    <t>06/05/2023 07:30</t>
  </si>
  <si>
    <t>06/05/2023 07:45</t>
  </si>
  <si>
    <t>06/05/2023 08:00</t>
  </si>
  <si>
    <t>06/05/2023 08:15</t>
  </si>
  <si>
    <t>06/05/2023 08:30</t>
  </si>
  <si>
    <t>06/05/2023 08:45</t>
  </si>
  <si>
    <t>06/05/2023 09:00</t>
  </si>
  <si>
    <t>06/05/2023 09:15</t>
  </si>
  <si>
    <t>06/05/2023 09:30</t>
  </si>
  <si>
    <t>06/05/2023 09:45</t>
  </si>
  <si>
    <t>06/05/2023 10:00</t>
  </si>
  <si>
    <t>06/05/2023 10:15</t>
  </si>
  <si>
    <t>06/05/2023 10:30</t>
  </si>
  <si>
    <t>06/05/2023 10:45</t>
  </si>
  <si>
    <t>06/05/2023 11:00</t>
  </si>
  <si>
    <t>06/05/2023 11:15</t>
  </si>
  <si>
    <t>06/05/2023 11:30</t>
  </si>
  <si>
    <t>06/05/2023 11:45</t>
  </si>
  <si>
    <t>06/05/2023 12:00</t>
  </si>
  <si>
    <t>06/05/2023 12:15</t>
  </si>
  <si>
    <t>06/05/2023 12:30</t>
  </si>
  <si>
    <t>06/05/2023 12:45</t>
  </si>
  <si>
    <t>06/05/2023 13:00</t>
  </si>
  <si>
    <t>06/05/2023 13:15</t>
  </si>
  <si>
    <t>06/05/2023 13:30</t>
  </si>
  <si>
    <t>06/05/2023 13:45</t>
  </si>
  <si>
    <t>06/05/2023 14:00</t>
  </si>
  <si>
    <t>06/05/2023 14:15</t>
  </si>
  <si>
    <t>06/05/2023 14:30</t>
  </si>
  <si>
    <t>06/05/2023 14:45</t>
  </si>
  <si>
    <t>06/05/2023 15:00</t>
  </si>
  <si>
    <t>06/05/2023 15:15</t>
  </si>
  <si>
    <t>06/05/2023 15:30</t>
  </si>
  <si>
    <t>06/05/2023 15:45</t>
  </si>
  <si>
    <t>06/05/2023 16:00</t>
  </si>
  <si>
    <t>06/05/2023 16:15</t>
  </si>
  <si>
    <t>06/05/2023 16:30</t>
  </si>
  <si>
    <t>06/05/2023 16:45</t>
  </si>
  <si>
    <t>06/05/2023 17:00</t>
  </si>
  <si>
    <t>06/05/2023 17:15</t>
  </si>
  <si>
    <t>06/05/2023 17:30</t>
  </si>
  <si>
    <t>06/05/2023 17:45</t>
  </si>
  <si>
    <t>06/05/2023 18:00</t>
  </si>
  <si>
    <t>06/05/2023 18:15</t>
  </si>
  <si>
    <t>06/05/2023 18:30</t>
  </si>
  <si>
    <t>06/05/2023 18:45</t>
  </si>
  <si>
    <t>06/05/2023 19:00</t>
  </si>
  <si>
    <t>06/05/2023 19:15</t>
  </si>
  <si>
    <t>06/05/2023 19:30</t>
  </si>
  <si>
    <t>06/05/2023 19:45</t>
  </si>
  <si>
    <t>06/05/2023 20:00</t>
  </si>
  <si>
    <t>06/05/2023 20:15</t>
  </si>
  <si>
    <t>06/05/2023 20:30</t>
  </si>
  <si>
    <t>06/05/2023 20:45</t>
  </si>
  <si>
    <t>06/05/2023 21:00</t>
  </si>
  <si>
    <t>06/05/2023 21:15</t>
  </si>
  <si>
    <t>06/05/2023 21:30</t>
  </si>
  <si>
    <t>06/05/2023 21:45</t>
  </si>
  <si>
    <t>06/05/2023 22:00</t>
  </si>
  <si>
    <t>06/05/2023 22:15</t>
  </si>
  <si>
    <t>06/05/2023 22:30</t>
  </si>
  <si>
    <t>06/05/2023 22:45</t>
  </si>
  <si>
    <t>06/05/2023 23:00</t>
  </si>
  <si>
    <t>06/05/2023 23:15</t>
  </si>
  <si>
    <t>06/05/2023 23:30</t>
  </si>
  <si>
    <t>06/05/2023 23:45</t>
  </si>
  <si>
    <t>06/05/2023 24:00</t>
  </si>
  <si>
    <t>07/05/2023 00:15</t>
  </si>
  <si>
    <t>07/05/2023 00:30</t>
  </si>
  <si>
    <t>07/05/2023 00:45</t>
  </si>
  <si>
    <t>07/05/2023 01:00</t>
  </si>
  <si>
    <t>07/05/2023 01:15</t>
  </si>
  <si>
    <t>07/05/2023 01:30</t>
  </si>
  <si>
    <t>07/05/2023 01:45</t>
  </si>
  <si>
    <t>07/05/2023 02:00</t>
  </si>
  <si>
    <t>07/05/2023 02:15</t>
  </si>
  <si>
    <t>07/05/2023 02:30</t>
  </si>
  <si>
    <t>07/05/2023 02:45</t>
  </si>
  <si>
    <t>07/05/2023 03:00</t>
  </si>
  <si>
    <t>07/05/2023 03:15</t>
  </si>
  <si>
    <t>07/05/2023 03:30</t>
  </si>
  <si>
    <t>07/05/2023 03:45</t>
  </si>
  <si>
    <t>07/05/2023 04:00</t>
  </si>
  <si>
    <t>07/05/2023 04:15</t>
  </si>
  <si>
    <t>07/05/2023 04:30</t>
  </si>
  <si>
    <t>07/05/2023 04:45</t>
  </si>
  <si>
    <t>07/05/2023 05:00</t>
  </si>
  <si>
    <t>07/05/2023 05:15</t>
  </si>
  <si>
    <t>07/05/2023 05:30</t>
  </si>
  <si>
    <t>07/05/2023 05:45</t>
  </si>
  <si>
    <t>07/05/2023 06:00</t>
  </si>
  <si>
    <t>07/05/2023 06:15</t>
  </si>
  <si>
    <t>07/05/2023 06:30</t>
  </si>
  <si>
    <t>07/05/2023 06:45</t>
  </si>
  <si>
    <t>07/05/2023 07:00</t>
  </si>
  <si>
    <t>07/05/2023 07:15</t>
  </si>
  <si>
    <t>07/05/2023 07:30</t>
  </si>
  <si>
    <t>07/05/2023 07:45</t>
  </si>
  <si>
    <t>07/05/2023 08:00</t>
  </si>
  <si>
    <t>07/05/2023 08:15</t>
  </si>
  <si>
    <t>07/05/2023 08:30</t>
  </si>
  <si>
    <t>07/05/2023 08:45</t>
  </si>
  <si>
    <t>07/05/2023 09:00</t>
  </si>
  <si>
    <t>07/05/2023 09:15</t>
  </si>
  <si>
    <t>07/05/2023 09:30</t>
  </si>
  <si>
    <t>07/05/2023 09:45</t>
  </si>
  <si>
    <t>07/05/2023 10:00</t>
  </si>
  <si>
    <t>07/05/2023 10:15</t>
  </si>
  <si>
    <t>07/05/2023 10:30</t>
  </si>
  <si>
    <t>07/05/2023 10:45</t>
  </si>
  <si>
    <t>07/05/2023 11:00</t>
  </si>
  <si>
    <t>07/05/2023 11:15</t>
  </si>
  <si>
    <t>07/05/2023 11:30</t>
  </si>
  <si>
    <t>07/05/2023 11:45</t>
  </si>
  <si>
    <t>07/05/2023 12:00</t>
  </si>
  <si>
    <t>07/05/2023 12:15</t>
  </si>
  <si>
    <t>07/05/2023 12:30</t>
  </si>
  <si>
    <t>07/05/2023 12:45</t>
  </si>
  <si>
    <t>07/05/2023 13:00</t>
  </si>
  <si>
    <t>07/05/2023 13:15</t>
  </si>
  <si>
    <t>07/05/2023 13:30</t>
  </si>
  <si>
    <t>07/05/2023 13:45</t>
  </si>
  <si>
    <t>07/05/2023 14:00</t>
  </si>
  <si>
    <t>07/05/2023 14:15</t>
  </si>
  <si>
    <t>07/05/2023 14:30</t>
  </si>
  <si>
    <t>07/05/2023 14:45</t>
  </si>
  <si>
    <t>07/05/2023 15:00</t>
  </si>
  <si>
    <t>07/05/2023 15:15</t>
  </si>
  <si>
    <t>07/05/2023 15:30</t>
  </si>
  <si>
    <t>07/05/2023 15:45</t>
  </si>
  <si>
    <t>07/05/2023 16:00</t>
  </si>
  <si>
    <t>07/05/2023 16:15</t>
  </si>
  <si>
    <t>07/05/2023 16:30</t>
  </si>
  <si>
    <t>07/05/2023 16:45</t>
  </si>
  <si>
    <t>07/05/2023 17:00</t>
  </si>
  <si>
    <t>07/05/2023 17:15</t>
  </si>
  <si>
    <t>07/05/2023 17:30</t>
  </si>
  <si>
    <t>07/05/2023 17:45</t>
  </si>
  <si>
    <t>07/05/2023 18:00</t>
  </si>
  <si>
    <t>07/05/2023 18:15</t>
  </si>
  <si>
    <t>07/05/2023 18:30</t>
  </si>
  <si>
    <t>07/05/2023 18:45</t>
  </si>
  <si>
    <t>07/05/2023 19:00</t>
  </si>
  <si>
    <t>07/05/2023 19:15</t>
  </si>
  <si>
    <t>07/05/2023 19:30</t>
  </si>
  <si>
    <t>07/05/2023 19:45</t>
  </si>
  <si>
    <t>07/05/2023 20:00</t>
  </si>
  <si>
    <t>07/05/2023 20:15</t>
  </si>
  <si>
    <t>07/05/2023 20:30</t>
  </si>
  <si>
    <t>07/05/2023 20:45</t>
  </si>
  <si>
    <t>07/05/2023 21:00</t>
  </si>
  <si>
    <t>07/05/2023 21:15</t>
  </si>
  <si>
    <t>07/05/2023 21:30</t>
  </si>
  <si>
    <t>07/05/2023 21:45</t>
  </si>
  <si>
    <t>07/05/2023 22:00</t>
  </si>
  <si>
    <t>07/05/2023 22:15</t>
  </si>
  <si>
    <t>07/05/2023 22:30</t>
  </si>
  <si>
    <t>07/05/2023 22:45</t>
  </si>
  <si>
    <t>07/05/2023 23:00</t>
  </si>
  <si>
    <t>07/05/2023 23:15</t>
  </si>
  <si>
    <t>07/05/2023 23:30</t>
  </si>
  <si>
    <t>07/05/2023 23:45</t>
  </si>
  <si>
    <t>07/05/2023 24:00</t>
  </si>
  <si>
    <t>08/05/2023 00:15</t>
  </si>
  <si>
    <t>08/05/2023 00:30</t>
  </si>
  <si>
    <t>08/05/2023 00:45</t>
  </si>
  <si>
    <t>08/05/2023 01:00</t>
  </si>
  <si>
    <t>08/05/2023 01:15</t>
  </si>
  <si>
    <t>08/05/2023 01:30</t>
  </si>
  <si>
    <t>08/05/2023 01:45</t>
  </si>
  <si>
    <t>08/05/2023 02:00</t>
  </si>
  <si>
    <t>08/05/2023 02:15</t>
  </si>
  <si>
    <t>08/05/2023 02:30</t>
  </si>
  <si>
    <t>08/05/2023 02:45</t>
  </si>
  <si>
    <t>08/05/2023 03:00</t>
  </si>
  <si>
    <t>08/05/2023 03:15</t>
  </si>
  <si>
    <t>08/05/2023 03:30</t>
  </si>
  <si>
    <t>08/05/2023 03:45</t>
  </si>
  <si>
    <t>08/05/2023 04:00</t>
  </si>
  <si>
    <t>08/05/2023 04:15</t>
  </si>
  <si>
    <t>08/05/2023 04:30</t>
  </si>
  <si>
    <t>08/05/2023 04:45</t>
  </si>
  <si>
    <t>08/05/2023 05:00</t>
  </si>
  <si>
    <t>08/05/2023 05:15</t>
  </si>
  <si>
    <t>08/05/2023 05:30</t>
  </si>
  <si>
    <t>08/05/2023 05:45</t>
  </si>
  <si>
    <t>08/05/2023 06:00</t>
  </si>
  <si>
    <t>08/05/2023 06:15</t>
  </si>
  <si>
    <t>08/05/2023 06:30</t>
  </si>
  <si>
    <t>08/05/2023 06:45</t>
  </si>
  <si>
    <t>08/05/2023 07:00</t>
  </si>
  <si>
    <t>08/05/2023 07:15</t>
  </si>
  <si>
    <t>08/05/2023 07:30</t>
  </si>
  <si>
    <t>08/05/2023 07:45</t>
  </si>
  <si>
    <t>08/05/2023 08:00</t>
  </si>
  <si>
    <t>08/05/2023 08:15</t>
  </si>
  <si>
    <t>08/05/2023 08:30</t>
  </si>
  <si>
    <t>08/05/2023 08:45</t>
  </si>
  <si>
    <t>08/05/2023 09:00</t>
  </si>
  <si>
    <t>08/05/2023 09:15</t>
  </si>
  <si>
    <t>08/05/2023 09:30</t>
  </si>
  <si>
    <t>08/05/2023 09:45</t>
  </si>
  <si>
    <t>08/05/2023 10:00</t>
  </si>
  <si>
    <t>08/05/2023 10:15</t>
  </si>
  <si>
    <t>08/05/2023 10:30</t>
  </si>
  <si>
    <t>08/05/2023 10:45</t>
  </si>
  <si>
    <t>08/05/2023 11:00</t>
  </si>
  <si>
    <t>08/05/2023 11:15</t>
  </si>
  <si>
    <t>08/05/2023 11:30</t>
  </si>
  <si>
    <t>08/05/2023 11:45</t>
  </si>
  <si>
    <t>08/05/2023 12:00</t>
  </si>
  <si>
    <t>08/05/2023 12:15</t>
  </si>
  <si>
    <t>08/05/2023 12:30</t>
  </si>
  <si>
    <t>08/05/2023 12:45</t>
  </si>
  <si>
    <t>08/05/2023 13:00</t>
  </si>
  <si>
    <t>08/05/2023 13:15</t>
  </si>
  <si>
    <t>08/05/2023 13:30</t>
  </si>
  <si>
    <t>08/05/2023 13:45</t>
  </si>
  <si>
    <t>08/05/2023 14:00</t>
  </si>
  <si>
    <t>08/05/2023 14:15</t>
  </si>
  <si>
    <t>08/05/2023 14:30</t>
  </si>
  <si>
    <t>08/05/2023 14:45</t>
  </si>
  <si>
    <t>08/05/2023 15:00</t>
  </si>
  <si>
    <t>08/05/2023 15:15</t>
  </si>
  <si>
    <t>08/05/2023 15:30</t>
  </si>
  <si>
    <t>08/05/2023 15:45</t>
  </si>
  <si>
    <t>08/05/2023 16:00</t>
  </si>
  <si>
    <t>08/05/2023 16:15</t>
  </si>
  <si>
    <t>08/05/2023 16:30</t>
  </si>
  <si>
    <t>08/05/2023 16:45</t>
  </si>
  <si>
    <t>08/05/2023 17:00</t>
  </si>
  <si>
    <t>08/05/2023 17:15</t>
  </si>
  <si>
    <t>08/05/2023 17:30</t>
  </si>
  <si>
    <t>08/05/2023 17:45</t>
  </si>
  <si>
    <t>08/05/2023 18:00</t>
  </si>
  <si>
    <t>08/05/2023 18:15</t>
  </si>
  <si>
    <t>08/05/2023 18:30</t>
  </si>
  <si>
    <t>08/05/2023 18:45</t>
  </si>
  <si>
    <t>08/05/2023 19:00</t>
  </si>
  <si>
    <t>08/05/2023 19:15</t>
  </si>
  <si>
    <t>08/05/2023 19:30</t>
  </si>
  <si>
    <t>08/05/2023 19:45</t>
  </si>
  <si>
    <t>08/05/2023 20:00</t>
  </si>
  <si>
    <t>08/05/2023 20:15</t>
  </si>
  <si>
    <t>08/05/2023 20:30</t>
  </si>
  <si>
    <t>08/05/2023 20:45</t>
  </si>
  <si>
    <t>08/05/2023 21:00</t>
  </si>
  <si>
    <t>08/05/2023 21:15</t>
  </si>
  <si>
    <t>08/05/2023 21:30</t>
  </si>
  <si>
    <t>08/05/2023 21:45</t>
  </si>
  <si>
    <t>08/05/2023 22:00</t>
  </si>
  <si>
    <t>08/05/2023 22:15</t>
  </si>
  <si>
    <t>08/05/2023 22:30</t>
  </si>
  <si>
    <t>08/05/2023 22:45</t>
  </si>
  <si>
    <t>08/05/2023 23:00</t>
  </si>
  <si>
    <t>08/05/2023 23:15</t>
  </si>
  <si>
    <t>08/05/2023 23:30</t>
  </si>
  <si>
    <t>08/05/2023 23:45</t>
  </si>
  <si>
    <t>08/05/2023 24:00</t>
  </si>
  <si>
    <t>09/05/2023 00:15</t>
  </si>
  <si>
    <t>09/05/2023 00:30</t>
  </si>
  <si>
    <t>09/05/2023 00:45</t>
  </si>
  <si>
    <t>09/05/2023 01:00</t>
  </si>
  <si>
    <t>09/05/2023 01:15</t>
  </si>
  <si>
    <t>09/05/2023 01:30</t>
  </si>
  <si>
    <t>09/05/2023 01:45</t>
  </si>
  <si>
    <t>09/05/2023 02:00</t>
  </si>
  <si>
    <t>09/05/2023 02:15</t>
  </si>
  <si>
    <t>09/05/2023 02:30</t>
  </si>
  <si>
    <t>09/05/2023 02:45</t>
  </si>
  <si>
    <t>09/05/2023 03:00</t>
  </si>
  <si>
    <t>09/05/2023 03:15</t>
  </si>
  <si>
    <t>09/05/2023 03:30</t>
  </si>
  <si>
    <t>09/05/2023 03:45</t>
  </si>
  <si>
    <t>09/05/2023 04:00</t>
  </si>
  <si>
    <t>09/05/2023 04:15</t>
  </si>
  <si>
    <t>09/05/2023 04:30</t>
  </si>
  <si>
    <t>09/05/2023 04:45</t>
  </si>
  <si>
    <t>09/05/2023 05:00</t>
  </si>
  <si>
    <t>09/05/2023 05:15</t>
  </si>
  <si>
    <t>09/05/2023 05:30</t>
  </si>
  <si>
    <t>09/05/2023 05:45</t>
  </si>
  <si>
    <t>09/05/2023 06:00</t>
  </si>
  <si>
    <t>09/05/2023 06:15</t>
  </si>
  <si>
    <t>09/05/2023 06:30</t>
  </si>
  <si>
    <t>09/05/2023 06:45</t>
  </si>
  <si>
    <t>09/05/2023 07:00</t>
  </si>
  <si>
    <t>09/05/2023 07:15</t>
  </si>
  <si>
    <t>09/05/2023 07:30</t>
  </si>
  <si>
    <t>09/05/2023 07:45</t>
  </si>
  <si>
    <t>09/05/2023 08:00</t>
  </si>
  <si>
    <t>09/05/2023 08:15</t>
  </si>
  <si>
    <t>09/05/2023 08:30</t>
  </si>
  <si>
    <t>09/05/2023 08:45</t>
  </si>
  <si>
    <t>09/05/2023 09:00</t>
  </si>
  <si>
    <t>09/05/2023 09:15</t>
  </si>
  <si>
    <t>09/05/2023 09:30</t>
  </si>
  <si>
    <t>09/05/2023 09:45</t>
  </si>
  <si>
    <t>09/05/2023 10:00</t>
  </si>
  <si>
    <t>09/05/2023 10:15</t>
  </si>
  <si>
    <t>09/05/2023 10:30</t>
  </si>
  <si>
    <t>09/05/2023 10:45</t>
  </si>
  <si>
    <t>09/05/2023 11:00</t>
  </si>
  <si>
    <t>09/05/2023 11:15</t>
  </si>
  <si>
    <t>09/05/2023 11:30</t>
  </si>
  <si>
    <t>09/05/2023 11:45</t>
  </si>
  <si>
    <t>09/05/2023 12:00</t>
  </si>
  <si>
    <t>09/05/2023 12:15</t>
  </si>
  <si>
    <t>09/05/2023 12:30</t>
  </si>
  <si>
    <t>09/05/2023 12:45</t>
  </si>
  <si>
    <t>09/05/2023 13:00</t>
  </si>
  <si>
    <t>09/05/2023 13:15</t>
  </si>
  <si>
    <t>09/05/2023 13:30</t>
  </si>
  <si>
    <t>09/05/2023 13:45</t>
  </si>
  <si>
    <t>09/05/2023 14:00</t>
  </si>
  <si>
    <t>09/05/2023 14:15</t>
  </si>
  <si>
    <t>09/05/2023 14:30</t>
  </si>
  <si>
    <t>09/05/2023 14:45</t>
  </si>
  <si>
    <t>09/05/2023 15:00</t>
  </si>
  <si>
    <t>09/05/2023 15:15</t>
  </si>
  <si>
    <t>09/05/2023 15:30</t>
  </si>
  <si>
    <t>09/05/2023 15:45</t>
  </si>
  <si>
    <t>09/05/2023 16:00</t>
  </si>
  <si>
    <t>09/05/2023 16:15</t>
  </si>
  <si>
    <t>09/05/2023 16:30</t>
  </si>
  <si>
    <t>09/05/2023 16:45</t>
  </si>
  <si>
    <t>09/05/2023 17:00</t>
  </si>
  <si>
    <t>09/05/2023 17:15</t>
  </si>
  <si>
    <t>09/05/2023 17:30</t>
  </si>
  <si>
    <t>09/05/2023 17:45</t>
  </si>
  <si>
    <t>09/05/2023 18:00</t>
  </si>
  <si>
    <t>09/05/2023 18:15</t>
  </si>
  <si>
    <t>09/05/2023 18:30</t>
  </si>
  <si>
    <t>09/05/2023 18:45</t>
  </si>
  <si>
    <t>09/05/2023 19:00</t>
  </si>
  <si>
    <t>09/05/2023 19:15</t>
  </si>
  <si>
    <t>09/05/2023 19:30</t>
  </si>
  <si>
    <t>09/05/2023 19:45</t>
  </si>
  <si>
    <t>09/05/2023 20:00</t>
  </si>
  <si>
    <t>09/05/2023 20:15</t>
  </si>
  <si>
    <t>09/05/2023 20:30</t>
  </si>
  <si>
    <t>09/05/2023 20:45</t>
  </si>
  <si>
    <t>09/05/2023 21:00</t>
  </si>
  <si>
    <t>09/05/2023 21:15</t>
  </si>
  <si>
    <t>09/05/2023 21:30</t>
  </si>
  <si>
    <t>09/05/2023 21:45</t>
  </si>
  <si>
    <t>09/05/2023 22:00</t>
  </si>
  <si>
    <t>09/05/2023 22:15</t>
  </si>
  <si>
    <t>09/05/2023 22:30</t>
  </si>
  <si>
    <t>09/05/2023 22:45</t>
  </si>
  <si>
    <t>09/05/2023 23:00</t>
  </si>
  <si>
    <t>09/05/2023 23:15</t>
  </si>
  <si>
    <t>09/05/2023 23:30</t>
  </si>
  <si>
    <t>09/05/2023 23:45</t>
  </si>
  <si>
    <t>09/05/2023 24:00</t>
  </si>
  <si>
    <t>RAHUL</t>
  </si>
  <si>
    <t>10/05/2023 00:30</t>
  </si>
  <si>
    <t>10/05/2023 00:45</t>
  </si>
  <si>
    <t>10/05/2023 01:00</t>
  </si>
  <si>
    <t>10/05/2023 01:15</t>
  </si>
  <si>
    <t>10/05/2023 01:30</t>
  </si>
  <si>
    <t>10/05/2023 01:45</t>
  </si>
  <si>
    <t>10/05/2023 02:00</t>
  </si>
  <si>
    <t>10/05/2023 02:15</t>
  </si>
  <si>
    <t>10/05/2023 02:30</t>
  </si>
  <si>
    <t>10/05/2023 02:45</t>
  </si>
  <si>
    <t>10/05/2023 03:00</t>
  </si>
  <si>
    <t>10/05/2023 03:15</t>
  </si>
  <si>
    <t>10/05/2023 03:30</t>
  </si>
  <si>
    <t>10/05/2023 03:45</t>
  </si>
  <si>
    <t>10/05/2023 04:00</t>
  </si>
  <si>
    <t>10/05/2023 04:15</t>
  </si>
  <si>
    <t>10/05/2023 04:30</t>
  </si>
  <si>
    <t>10/05/2023 04:45</t>
  </si>
  <si>
    <t>10/05/2023 05:00</t>
  </si>
  <si>
    <t>10/05/2023 05:15</t>
  </si>
  <si>
    <t>10/05/2023 05:30</t>
  </si>
  <si>
    <t>10/05/2023 05:45</t>
  </si>
  <si>
    <t>10/05/2023 06:00</t>
  </si>
  <si>
    <t>10/05/2023 06:15</t>
  </si>
  <si>
    <t>10/05/2023 06:30</t>
  </si>
  <si>
    <t>10/05/2023 06:45</t>
  </si>
  <si>
    <t>10/05/2023 07:00</t>
  </si>
  <si>
    <t>10/05/2023 07:15</t>
  </si>
  <si>
    <t>10/05/2023 07:30</t>
  </si>
  <si>
    <t>10/05/2023 07:45</t>
  </si>
  <si>
    <t>10/05/2023 08:00</t>
  </si>
  <si>
    <t>10/05/2023 08:15</t>
  </si>
  <si>
    <t>10/05/2023 08:30</t>
  </si>
  <si>
    <t>10/05/2023 08:45</t>
  </si>
  <si>
    <t>10/05/2023 09:00</t>
  </si>
  <si>
    <t>10/05/2023 09:15</t>
  </si>
  <si>
    <t>10/05/2023 09:30</t>
  </si>
  <si>
    <t>10/05/2023 09:45</t>
  </si>
  <si>
    <t>10/05/2023 10:00</t>
  </si>
  <si>
    <t>10/05/2023 10:15</t>
  </si>
  <si>
    <t>10/05/2023 10:30</t>
  </si>
  <si>
    <t>10/05/2023 10:45</t>
  </si>
  <si>
    <t>10/05/2023 11:00</t>
  </si>
  <si>
    <t>10/05/2023 11:15</t>
  </si>
  <si>
    <t>10/05/2023 11:30</t>
  </si>
  <si>
    <t>10/05/2023 11:45</t>
  </si>
  <si>
    <t>10/05/2023 12:00</t>
  </si>
  <si>
    <t>10/05/2023 12:15</t>
  </si>
  <si>
    <t>10/05/2023 12:30</t>
  </si>
  <si>
    <t>10/05/2023 12:45</t>
  </si>
  <si>
    <t>10/05/2023 13:00</t>
  </si>
  <si>
    <t>10/05/2023 13:15</t>
  </si>
  <si>
    <t>10/05/2023 13:30</t>
  </si>
  <si>
    <t>10/05/2023 13:45</t>
  </si>
  <si>
    <t>10/05/2023 14:00</t>
  </si>
  <si>
    <t>10/05/2023 14:15</t>
  </si>
  <si>
    <t>10/05/2023 14:30</t>
  </si>
  <si>
    <t>10/05/2023 14:45</t>
  </si>
  <si>
    <t>10/05/2023 15:00</t>
  </si>
  <si>
    <t>10/05/2023 15:15</t>
  </si>
  <si>
    <t>10/05/2023 15:30</t>
  </si>
  <si>
    <t>10/05/2023 15:45</t>
  </si>
  <si>
    <t>10/05/2023 16:00</t>
  </si>
  <si>
    <t>10/05/2023 16:15</t>
  </si>
  <si>
    <t>10/05/2023 16:30</t>
  </si>
  <si>
    <t>10/05/2023 16:45</t>
  </si>
  <si>
    <t>10/05/2023 17:00</t>
  </si>
  <si>
    <t>10/05/2023 17:15</t>
  </si>
  <si>
    <t>10/05/2023 17:30</t>
  </si>
  <si>
    <t>10/05/2023 17:45</t>
  </si>
  <si>
    <t>10/05/2023 18:00</t>
  </si>
  <si>
    <t>10/05/2023 18:15</t>
  </si>
  <si>
    <t>10/05/2023 18:30</t>
  </si>
  <si>
    <t>10/05/2023 18:45</t>
  </si>
  <si>
    <t>10/05/2023 19:00</t>
  </si>
  <si>
    <t>10/05/2023 19:15</t>
  </si>
  <si>
    <t>10/05/2023 19:30</t>
  </si>
  <si>
    <t>10/05/2023 19:45</t>
  </si>
  <si>
    <t>10/05/2023 20:00</t>
  </si>
  <si>
    <t>10/05/2023 20:15</t>
  </si>
  <si>
    <t>10/05/2023 20:30</t>
  </si>
  <si>
    <t>10/05/2023 20:45</t>
  </si>
  <si>
    <t>10/05/2023 21:00</t>
  </si>
  <si>
    <t>10/05/2023 21:15</t>
  </si>
  <si>
    <t>10/05/2023 21:30</t>
  </si>
  <si>
    <t>10/05/2023 21:45</t>
  </si>
  <si>
    <t>10/05/2023 22:00</t>
  </si>
  <si>
    <t>10/05/2023 22:15</t>
  </si>
  <si>
    <t>10/05/2023 22:30</t>
  </si>
  <si>
    <t>10/05/2023 22:45</t>
  </si>
  <si>
    <t>10/05/2023 23:00</t>
  </si>
  <si>
    <t>10/05/2023 23:15</t>
  </si>
  <si>
    <t>10/05/2023 23:30</t>
  </si>
  <si>
    <t>10/05/2023 23:45</t>
  </si>
  <si>
    <t>10/05/2023 24:00</t>
  </si>
  <si>
    <t>11/05/2023 00:15</t>
  </si>
  <si>
    <t>11/05/2023 00:30</t>
  </si>
  <si>
    <t>11/05/2023 00:45</t>
  </si>
  <si>
    <t>11/05/2023 01:00</t>
  </si>
  <si>
    <t>11/05/2023 01:15</t>
  </si>
  <si>
    <t>11/05/2023 01:30</t>
  </si>
  <si>
    <t>11/05/2023 01:45</t>
  </si>
  <si>
    <t>11/05/2023 02:00</t>
  </si>
  <si>
    <t>11/05/2023 02:15</t>
  </si>
  <si>
    <t>11/05/2023 02:30</t>
  </si>
  <si>
    <t>11/05/2023 02:45</t>
  </si>
  <si>
    <t>11/05/2023 03:00</t>
  </si>
  <si>
    <t>11/05/2023 03:15</t>
  </si>
  <si>
    <t>11/05/2023 03:30</t>
  </si>
  <si>
    <t>11/05/2023 03:45</t>
  </si>
  <si>
    <t>11/05/2023 04:00</t>
  </si>
  <si>
    <t>11/05/2023 04:15</t>
  </si>
  <si>
    <t>11/05/2023 04:30</t>
  </si>
  <si>
    <t>11/05/2023 04:45</t>
  </si>
  <si>
    <t>11/05/2023 05:00</t>
  </si>
  <si>
    <t>11/05/2023 05:15</t>
  </si>
  <si>
    <t>11/05/2023 05:30</t>
  </si>
  <si>
    <t>11/05/2023 05:45</t>
  </si>
  <si>
    <t>11/05/2023 06:00</t>
  </si>
  <si>
    <t>11/05/2023 06:15</t>
  </si>
  <si>
    <t>11/05/2023 06:30</t>
  </si>
  <si>
    <t>11/05/2023 06:45</t>
  </si>
  <si>
    <t>11/05/2023 07:00</t>
  </si>
  <si>
    <t>11/05/2023 07:15</t>
  </si>
  <si>
    <t>11/05/2023 07:30</t>
  </si>
  <si>
    <t>11/05/2023 07:45</t>
  </si>
  <si>
    <t>11/05/2023 08:00</t>
  </si>
  <si>
    <t>11/05/2023 08:15</t>
  </si>
  <si>
    <t>11/05/2023 08:30</t>
  </si>
  <si>
    <t>11/05/2023 08:45</t>
  </si>
  <si>
    <t>11/05/2023 09:00</t>
  </si>
  <si>
    <t>11/05/2023 09:15</t>
  </si>
  <si>
    <t>11/05/2023 09:30</t>
  </si>
  <si>
    <t>11/05/2023 09:45</t>
  </si>
  <si>
    <t>11/05/2023 10:00</t>
  </si>
  <si>
    <t>11/05/2023 10:15</t>
  </si>
  <si>
    <t>11/05/2023 10:30</t>
  </si>
  <si>
    <t>11/05/2023 10:45</t>
  </si>
  <si>
    <t>11/05/2023 11:00</t>
  </si>
  <si>
    <t>11/05/2023 11:15</t>
  </si>
  <si>
    <t>11/05/2023 11:30</t>
  </si>
  <si>
    <t>11/05/2023 11:45</t>
  </si>
  <si>
    <t>11/05/2023 12:00</t>
  </si>
  <si>
    <t>11/05/2023 12:15</t>
  </si>
  <si>
    <t>11/05/2023 12:30</t>
  </si>
  <si>
    <t>11/05/2023 12:45</t>
  </si>
  <si>
    <t>11/05/2023 13:00</t>
  </si>
  <si>
    <t>11/05/2023 13:15</t>
  </si>
  <si>
    <t>11/05/2023 13:30</t>
  </si>
  <si>
    <t>11/05/2023 13:45</t>
  </si>
  <si>
    <t>11/05/2023 14:00</t>
  </si>
  <si>
    <t>11/05/2023 14:15</t>
  </si>
  <si>
    <t>11/05/2023 14:30</t>
  </si>
  <si>
    <t>11/05/2023 14:45</t>
  </si>
  <si>
    <t>11/05/2023 15:00</t>
  </si>
  <si>
    <t>11/05/2023 15:15</t>
  </si>
  <si>
    <t>11/05/2023 15:30</t>
  </si>
  <si>
    <t>11/05/2023 15:45</t>
  </si>
  <si>
    <t>11/05/2023 16:00</t>
  </si>
  <si>
    <t>11/05/2023 16:15</t>
  </si>
  <si>
    <t>11/05/2023 16:30</t>
  </si>
  <si>
    <t>11/05/2023 16:45</t>
  </si>
  <si>
    <t>11/05/2023 17:00</t>
  </si>
  <si>
    <t>11/05/2023 17:15</t>
  </si>
  <si>
    <t>11/05/2023 17:30</t>
  </si>
  <si>
    <t>11/05/2023 17:45</t>
  </si>
  <si>
    <t>11/05/2023 18:00</t>
  </si>
  <si>
    <t>11/05/2023 18:15</t>
  </si>
  <si>
    <t>11/05/2023 18:30</t>
  </si>
  <si>
    <t>11/05/2023 18:45</t>
  </si>
  <si>
    <t>11/05/2023 19:00</t>
  </si>
  <si>
    <t>11/05/2023 19:15</t>
  </si>
  <si>
    <t>11/05/2023 19:30</t>
  </si>
  <si>
    <t>11/05/2023 19:45</t>
  </si>
  <si>
    <t>11/05/2023 20:00</t>
  </si>
  <si>
    <t>11/05/2023 20:15</t>
  </si>
  <si>
    <t>11/05/2023 20:30</t>
  </si>
  <si>
    <t>11/05/2023 20:45</t>
  </si>
  <si>
    <t>11/05/2023 21:00</t>
  </si>
  <si>
    <t>11/05/2023 21:15</t>
  </si>
  <si>
    <t>11/05/2023 21:30</t>
  </si>
  <si>
    <t>11/05/2023 21:45</t>
  </si>
  <si>
    <t>11/05/2023 22:00</t>
  </si>
  <si>
    <t>11/05/2023 22:15</t>
  </si>
  <si>
    <t>11/05/2023 22:30</t>
  </si>
  <si>
    <t>11/05/2023 22:45</t>
  </si>
  <si>
    <t>11/05/2023 23:00</t>
  </si>
  <si>
    <t>11/05/2023 23:15</t>
  </si>
  <si>
    <t>11/05/2023 23:30</t>
  </si>
  <si>
    <t>11/05/2023 23:45</t>
  </si>
  <si>
    <t>11/05/2023 24:00</t>
  </si>
  <si>
    <t>12/05/2023 00:15</t>
  </si>
  <si>
    <t>12/05/2023 00:30</t>
  </si>
  <si>
    <t>12/05/2023 00:45</t>
  </si>
  <si>
    <t>12/05/2023 01:00</t>
  </si>
  <si>
    <t>12/05/2023 01:15</t>
  </si>
  <si>
    <t>12/05/2023 01:30</t>
  </si>
  <si>
    <t>12/05/2023 01:45</t>
  </si>
  <si>
    <t>12/05/2023 02:00</t>
  </si>
  <si>
    <t>12/05/2023 02:15</t>
  </si>
  <si>
    <t>12/05/2023 02:30</t>
  </si>
  <si>
    <t>12/05/2023 02:45</t>
  </si>
  <si>
    <t>12/05/2023 03:00</t>
  </si>
  <si>
    <t>12/05/2023 03:15</t>
  </si>
  <si>
    <t>12/05/2023 03:30</t>
  </si>
  <si>
    <t>12/05/2023 03:45</t>
  </si>
  <si>
    <t>12/05/2023 04:00</t>
  </si>
  <si>
    <t>12/05/2023 04:15</t>
  </si>
  <si>
    <t>12/05/2023 04:30</t>
  </si>
  <si>
    <t>12/05/2023 04:45</t>
  </si>
  <si>
    <t>12/05/2023 05:00</t>
  </si>
  <si>
    <t>12/05/2023 05:15</t>
  </si>
  <si>
    <t>12/05/2023 05:30</t>
  </si>
  <si>
    <t>12/05/2023 05:45</t>
  </si>
  <si>
    <t>12/05/2023 06:00</t>
  </si>
  <si>
    <t>12/05/2023 06:15</t>
  </si>
  <si>
    <t>12/05/2023 06:30</t>
  </si>
  <si>
    <t>12/05/2023 06:45</t>
  </si>
  <si>
    <t>12/05/2023 07:00</t>
  </si>
  <si>
    <t>12/05/2023 07:15</t>
  </si>
  <si>
    <t>12/05/2023 07:30</t>
  </si>
  <si>
    <t>12/05/2023 07:45</t>
  </si>
  <si>
    <t>12/05/2023 08:00</t>
  </si>
  <si>
    <t>12/05/2023 08:15</t>
  </si>
  <si>
    <t>12/05/2023 08:30</t>
  </si>
  <si>
    <t>12/05/2023 08:45</t>
  </si>
  <si>
    <t>12/05/2023 09:00</t>
  </si>
  <si>
    <t>12/05/2023 09:15</t>
  </si>
  <si>
    <t>12/05/2023 09:30</t>
  </si>
  <si>
    <t>12/05/2023 09:45</t>
  </si>
  <si>
    <t>12/05/2023 10:00</t>
  </si>
  <si>
    <t>12/05/2023 10:15</t>
  </si>
  <si>
    <t>12/05/2023 10:30</t>
  </si>
  <si>
    <t>12/05/2023 10:45</t>
  </si>
  <si>
    <t>12/05/2023 11:00</t>
  </si>
  <si>
    <t>12/05/2023 11:15</t>
  </si>
  <si>
    <t>12/05/2023 11:30</t>
  </si>
  <si>
    <t>12/05/2023 11:45</t>
  </si>
  <si>
    <t>12/05/2023 12:00</t>
  </si>
  <si>
    <t>12/05/2023 12:15</t>
  </si>
  <si>
    <t>12/05/2023 12:30</t>
  </si>
  <si>
    <t>12/05/2023 12:45</t>
  </si>
  <si>
    <t>12/05/2023 13:00</t>
  </si>
  <si>
    <t>12/05/2023 13:15</t>
  </si>
  <si>
    <t>12/05/2023 13:30</t>
  </si>
  <si>
    <t>12/05/2023 13:45</t>
  </si>
  <si>
    <t>12/05/2023 14:00</t>
  </si>
  <si>
    <t>12/05/2023 14:15</t>
  </si>
  <si>
    <t>12/05/2023 14:30</t>
  </si>
  <si>
    <t>12/05/2023 14:45</t>
  </si>
  <si>
    <t>12/05/2023 15:00</t>
  </si>
  <si>
    <t>12/05/2023 15:15</t>
  </si>
  <si>
    <t>12/05/2023 15:30</t>
  </si>
  <si>
    <t>12/05/2023 15:45</t>
  </si>
  <si>
    <t>12/05/2023 16:00</t>
  </si>
  <si>
    <t>12/05/2023 16:15</t>
  </si>
  <si>
    <t>12/05/2023 16:30</t>
  </si>
  <si>
    <t>12/05/2023 16:45</t>
  </si>
  <si>
    <t>12/05/2023 17:00</t>
  </si>
  <si>
    <t>12/05/2023 17:15</t>
  </si>
  <si>
    <t>12/05/2023 17:30</t>
  </si>
  <si>
    <t>12/05/2023 17:45</t>
  </si>
  <si>
    <t>12/05/2023 18:00</t>
  </si>
  <si>
    <t>12/05/2023 18:15</t>
  </si>
  <si>
    <t>12/05/2023 18:30</t>
  </si>
  <si>
    <t>12/05/2023 18:45</t>
  </si>
  <si>
    <t>12/05/2023 19:00</t>
  </si>
  <si>
    <t>12/05/2023 19:15</t>
  </si>
  <si>
    <t>12/05/2023 19:30</t>
  </si>
  <si>
    <t>12/05/2023 19:45</t>
  </si>
  <si>
    <t>12/05/2023 20:00</t>
  </si>
  <si>
    <t>12/05/2023 20:15</t>
  </si>
  <si>
    <t>12/05/2023 20:30</t>
  </si>
  <si>
    <t>12/05/2023 20:45</t>
  </si>
  <si>
    <t>12/05/2023 21:00</t>
  </si>
  <si>
    <t>12/05/2023 21:15</t>
  </si>
  <si>
    <t>12/05/2023 21:30</t>
  </si>
  <si>
    <t>12/05/2023 21:45</t>
  </si>
  <si>
    <t>12/05/2023 22:00</t>
  </si>
  <si>
    <t>12/05/2023 22:15</t>
  </si>
  <si>
    <t>12/05/2023 22:30</t>
  </si>
  <si>
    <t>12/05/2023 22:45</t>
  </si>
  <si>
    <t>12/05/2023 23:00</t>
  </si>
  <si>
    <t>12/05/2023 23:15</t>
  </si>
  <si>
    <t>12/05/2023 23:30</t>
  </si>
  <si>
    <t>12/05/2023 23:45</t>
  </si>
  <si>
    <t>12/05/2023 24:00</t>
  </si>
  <si>
    <t>13/05/2023 00:15</t>
  </si>
  <si>
    <t>13/05/2023 00:30</t>
  </si>
  <si>
    <t>13/05/2023 00:45</t>
  </si>
  <si>
    <t>13/05/2023 01:00</t>
  </si>
  <si>
    <t>13/05/2023 01:15</t>
  </si>
  <si>
    <t>13/05/2023 01:30</t>
  </si>
  <si>
    <t>13/05/2023 01:45</t>
  </si>
  <si>
    <t>13/05/2023 02:00</t>
  </si>
  <si>
    <t>13/05/2023 02:15</t>
  </si>
  <si>
    <t>13/05/2023 02:30</t>
  </si>
  <si>
    <t>13/05/2023 02:45</t>
  </si>
  <si>
    <t>13/05/2023 03:00</t>
  </si>
  <si>
    <t>13/05/2023 03:15</t>
  </si>
  <si>
    <t>13/05/2023 03:30</t>
  </si>
  <si>
    <t>13/05/2023 03:45</t>
  </si>
  <si>
    <t>13/05/2023 04:00</t>
  </si>
  <si>
    <t>13/05/2023 04:15</t>
  </si>
  <si>
    <t>13/05/2023 04:30</t>
  </si>
  <si>
    <t>13/05/2023 04:45</t>
  </si>
  <si>
    <t>13/05/2023 05:00</t>
  </si>
  <si>
    <t>13/05/2023 05:15</t>
  </si>
  <si>
    <t>13/05/2023 05:30</t>
  </si>
  <si>
    <t>13/05/2023 05:45</t>
  </si>
  <si>
    <t>13/05/2023 06:00</t>
  </si>
  <si>
    <t>13/05/2023 06:15</t>
  </si>
  <si>
    <t>13/05/2023 06:30</t>
  </si>
  <si>
    <t>13/05/2023 06:45</t>
  </si>
  <si>
    <t>13/05/2023 07:00</t>
  </si>
  <si>
    <t>13/05/2023 07:15</t>
  </si>
  <si>
    <t>13/05/2023 07:30</t>
  </si>
  <si>
    <t>13/05/2023 07:45</t>
  </si>
  <si>
    <t>13/05/2023 08:00</t>
  </si>
  <si>
    <t>13/05/2023 08:15</t>
  </si>
  <si>
    <t>13/05/2023 08:30</t>
  </si>
  <si>
    <t>13/05/2023 08:45</t>
  </si>
  <si>
    <t>13/05/2023 09:00</t>
  </si>
  <si>
    <t>13/05/2023 09:15</t>
  </si>
  <si>
    <t>13/05/2023 09:30</t>
  </si>
  <si>
    <t>13/05/2023 09:45</t>
  </si>
  <si>
    <t>13/05/2023 10:00</t>
  </si>
  <si>
    <t>13/05/2023 10:15</t>
  </si>
  <si>
    <t>13/05/2023 10:30</t>
  </si>
  <si>
    <t>13/05/2023 10:45</t>
  </si>
  <si>
    <t>13/05/2023 11:00</t>
  </si>
  <si>
    <t>13/05/2023 11:15</t>
  </si>
  <si>
    <t>13/05/2023 11:30</t>
  </si>
  <si>
    <t>13/05/2023 11:45</t>
  </si>
  <si>
    <t>13/05/2023 12:00</t>
  </si>
  <si>
    <t>13/05/2023 12:15</t>
  </si>
  <si>
    <t>13/05/2023 12:30</t>
  </si>
  <si>
    <t>13/05/2023 12:45</t>
  </si>
  <si>
    <t>13/05/2023 13:00</t>
  </si>
  <si>
    <t>13/05/2023 13:15</t>
  </si>
  <si>
    <t>13/05/2023 13:30</t>
  </si>
  <si>
    <t>13/05/2023 13:45</t>
  </si>
  <si>
    <t>13/05/2023 14:00</t>
  </si>
  <si>
    <t>13/05/2023 14:15</t>
  </si>
  <si>
    <t>13/05/2023 14:30</t>
  </si>
  <si>
    <t>13/05/2023 14:45</t>
  </si>
  <si>
    <t>13/05/2023 15:00</t>
  </si>
  <si>
    <t>13/05/2023 15:15</t>
  </si>
  <si>
    <t>13/05/2023 15:30</t>
  </si>
  <si>
    <t>13/05/2023 15:45</t>
  </si>
  <si>
    <t>13/05/2023 16:00</t>
  </si>
  <si>
    <t>13/05/2023 16:15</t>
  </si>
  <si>
    <t>13/05/2023 16:30</t>
  </si>
  <si>
    <t>13/05/2023 16:45</t>
  </si>
  <si>
    <t>13/05/2023 17:00</t>
  </si>
  <si>
    <t>13/05/2023 17:15</t>
  </si>
  <si>
    <t>13/05/2023 17:30</t>
  </si>
  <si>
    <t>13/05/2023 17:45</t>
  </si>
  <si>
    <t>13/05/2023 18:00</t>
  </si>
  <si>
    <t>13/05/2023 18:15</t>
  </si>
  <si>
    <t>13/05/2023 18:30</t>
  </si>
  <si>
    <t>13/05/2023 18:45</t>
  </si>
  <si>
    <t>13/05/2023 19:00</t>
  </si>
  <si>
    <t>13/05/2023 19:15</t>
  </si>
  <si>
    <t>13/05/2023 19:30</t>
  </si>
  <si>
    <t>13/05/2023 19:45</t>
  </si>
  <si>
    <t>13/05/2023 20:00</t>
  </si>
  <si>
    <t>13/05/2023 20:15</t>
  </si>
  <si>
    <t>13/05/2023 20:30</t>
  </si>
  <si>
    <t>13/05/2023 20:45</t>
  </si>
  <si>
    <t>13/05/2023 21:00</t>
  </si>
  <si>
    <t>13/05/2023 21:15</t>
  </si>
  <si>
    <t>13/05/2023 21:30</t>
  </si>
  <si>
    <t>13/05/2023 21:45</t>
  </si>
  <si>
    <t>13/05/2023 22:00</t>
  </si>
  <si>
    <t>13/05/2023 22:15</t>
  </si>
  <si>
    <t>13/05/2023 22:30</t>
  </si>
  <si>
    <t>13/05/2023 22:45</t>
  </si>
  <si>
    <t>13/05/2023 23:00</t>
  </si>
  <si>
    <t>13/05/2023 23:15</t>
  </si>
  <si>
    <t>13/05/2023 23:30</t>
  </si>
  <si>
    <t>13/05/2023 23:45</t>
  </si>
  <si>
    <t>13/05/2023 24:00</t>
  </si>
  <si>
    <t>14/05/2023 00:15</t>
  </si>
  <si>
    <t>14/05/2023 00:30</t>
  </si>
  <si>
    <t>14/05/2023 00:45</t>
  </si>
  <si>
    <t>14/05/2023 01:00</t>
  </si>
  <si>
    <t>14/05/2023 01:15</t>
  </si>
  <si>
    <t>14/05/2023 01:30</t>
  </si>
  <si>
    <t>14/05/2023 01:45</t>
  </si>
  <si>
    <t>14/05/2023 02:00</t>
  </si>
  <si>
    <t>14/05/2023 02:15</t>
  </si>
  <si>
    <t>14/05/2023 02:30</t>
  </si>
  <si>
    <t>14/05/2023 02:45</t>
  </si>
  <si>
    <t>14/05/2023 03:00</t>
  </si>
  <si>
    <t>14/05/2023 03:15</t>
  </si>
  <si>
    <t>14/05/2023 03:30</t>
  </si>
  <si>
    <t>14/05/2023 03:45</t>
  </si>
  <si>
    <t>14/05/2023 04:00</t>
  </si>
  <si>
    <t>14/05/2023 04:15</t>
  </si>
  <si>
    <t>14/05/2023 04:30</t>
  </si>
  <si>
    <t>14/05/2023 04:45</t>
  </si>
  <si>
    <t>14/05/2023 05:00</t>
  </si>
  <si>
    <t>14/05/2023 05:15</t>
  </si>
  <si>
    <t>14/05/2023 05:30</t>
  </si>
  <si>
    <t>14/05/2023 05:45</t>
  </si>
  <si>
    <t>14/05/2023 06:00</t>
  </si>
  <si>
    <t>14/05/2023 06:15</t>
  </si>
  <si>
    <t>14/05/2023 06:30</t>
  </si>
  <si>
    <t>14/05/2023 06:45</t>
  </si>
  <si>
    <t>14/05/2023 07:00</t>
  </si>
  <si>
    <t>14/05/2023 07:15</t>
  </si>
  <si>
    <t>14/05/2023 07:30</t>
  </si>
  <si>
    <t>14/05/2023 07:45</t>
  </si>
  <si>
    <t>14/05/2023 08:00</t>
  </si>
  <si>
    <t>14/05/2023 08:15</t>
  </si>
  <si>
    <t>14/05/2023 08:30</t>
  </si>
  <si>
    <t>14/05/2023 08:45</t>
  </si>
  <si>
    <t>14/05/2023 09:00</t>
  </si>
  <si>
    <t>14/05/2023 09:15</t>
  </si>
  <si>
    <t>14/05/2023 09:30</t>
  </si>
  <si>
    <t>14/05/2023 09:45</t>
  </si>
  <si>
    <t>14/05/2023 10:00</t>
  </si>
  <si>
    <t>14/05/2023 10:15</t>
  </si>
  <si>
    <t>14/05/2023 10:30</t>
  </si>
  <si>
    <t>14/05/2023 10:45</t>
  </si>
  <si>
    <t>14/05/2023 11:00</t>
  </si>
  <si>
    <t>14/05/2023 11:15</t>
  </si>
  <si>
    <t>14/05/2023 11:30</t>
  </si>
  <si>
    <t>14/05/2023 11:45</t>
  </si>
  <si>
    <t>14/05/2023 12:00</t>
  </si>
  <si>
    <t>14/05/2023 12:15</t>
  </si>
  <si>
    <t>14/05/2023 12:30</t>
  </si>
  <si>
    <t>14/05/2023 12:45</t>
  </si>
  <si>
    <t>14/05/2023 13:00</t>
  </si>
  <si>
    <t>14/05/2023 13:15</t>
  </si>
  <si>
    <t>14/05/2023 13:30</t>
  </si>
  <si>
    <t>14/05/2023 13:45</t>
  </si>
  <si>
    <t>14/05/2023 14:00</t>
  </si>
  <si>
    <t>14/05/2023 14:15</t>
  </si>
  <si>
    <t>14/05/2023 14:30</t>
  </si>
  <si>
    <t>14/05/2023 14:45</t>
  </si>
  <si>
    <t>14/05/2023 15:00</t>
  </si>
  <si>
    <t>14/05/2023 15:15</t>
  </si>
  <si>
    <t>14/05/2023 15:30</t>
  </si>
  <si>
    <t>14/05/2023 15:45</t>
  </si>
  <si>
    <t>14/05/2023 16:00</t>
  </si>
  <si>
    <t>14/05/2023 16:15</t>
  </si>
  <si>
    <t>14/05/2023 16:30</t>
  </si>
  <si>
    <t>14/05/2023 16:45</t>
  </si>
  <si>
    <t>14/05/2023 17:00</t>
  </si>
  <si>
    <t>14/05/2023 17:15</t>
  </si>
  <si>
    <t>14/05/2023 17:30</t>
  </si>
  <si>
    <t>14/05/2023 17:45</t>
  </si>
  <si>
    <t>14/05/2023 18:00</t>
  </si>
  <si>
    <t>14/05/2023 18:15</t>
  </si>
  <si>
    <t>14/05/2023 18:30</t>
  </si>
  <si>
    <t>14/05/2023 18:45</t>
  </si>
  <si>
    <t>14/05/2023 19:00</t>
  </si>
  <si>
    <t>14/05/2023 19:15</t>
  </si>
  <si>
    <t>14/05/2023 19:30</t>
  </si>
  <si>
    <t>14/05/2023 19:45</t>
  </si>
  <si>
    <t>14/05/2023 20:00</t>
  </si>
  <si>
    <t>14/05/2023 20:15</t>
  </si>
  <si>
    <t>14/05/2023 20:30</t>
  </si>
  <si>
    <t>14/05/2023 20:45</t>
  </si>
  <si>
    <t>14/05/2023 21:00</t>
  </si>
  <si>
    <t>14/05/2023 21:15</t>
  </si>
  <si>
    <t>14/05/2023 21:30</t>
  </si>
  <si>
    <t>14/05/2023 21:45</t>
  </si>
  <si>
    <t>14/05/2023 22:00</t>
  </si>
  <si>
    <t>14/05/2023 22:15</t>
  </si>
  <si>
    <t>14/05/2023 22:30</t>
  </si>
  <si>
    <t>14/05/2023 22:45</t>
  </si>
  <si>
    <t>14/05/2023 23:00</t>
  </si>
  <si>
    <t>14/05/2023 23:15</t>
  </si>
  <si>
    <t>14/05/2023 23:30</t>
  </si>
  <si>
    <t>14/05/2023 23:45</t>
  </si>
  <si>
    <t>14/05/2023 24:00</t>
  </si>
  <si>
    <t>15/05/2023 00:15</t>
  </si>
  <si>
    <t>15/05/2023 00:30</t>
  </si>
  <si>
    <t>15/05/2023 00:45</t>
  </si>
  <si>
    <t>15/05/2023 01:00</t>
  </si>
  <si>
    <t>15/05/2023 01:15</t>
  </si>
  <si>
    <t>15/05/2023 01:30</t>
  </si>
  <si>
    <t>15/05/2023 01:45</t>
  </si>
  <si>
    <t>15/05/2023 02:00</t>
  </si>
  <si>
    <t>15/05/2023 02:15</t>
  </si>
  <si>
    <t>15/05/2023 02:30</t>
  </si>
  <si>
    <t>15/05/2023 02:45</t>
  </si>
  <si>
    <t>15/05/2023 03:00</t>
  </si>
  <si>
    <t>15/05/2023 03:15</t>
  </si>
  <si>
    <t>15/05/2023 03:30</t>
  </si>
  <si>
    <t>15/05/2023 03:45</t>
  </si>
  <si>
    <t>15/05/2023 04:00</t>
  </si>
  <si>
    <t>15/05/2023 04:15</t>
  </si>
  <si>
    <t>15/05/2023 04:30</t>
  </si>
  <si>
    <t>15/05/2023 04:45</t>
  </si>
  <si>
    <t>15/05/2023 05:00</t>
  </si>
  <si>
    <t>15/05/2023 05:15</t>
  </si>
  <si>
    <t>15/05/2023 05:30</t>
  </si>
  <si>
    <t>15/05/2023 05:45</t>
  </si>
  <si>
    <t>15/05/2023 06:00</t>
  </si>
  <si>
    <t>15/05/2023 06:15</t>
  </si>
  <si>
    <t>15/05/2023 06:30</t>
  </si>
  <si>
    <t>15/05/2023 06:45</t>
  </si>
  <si>
    <t>15/05/2023 07:00</t>
  </si>
  <si>
    <t>15/05/2023 07:15</t>
  </si>
  <si>
    <t>15/05/2023 07:30</t>
  </si>
  <si>
    <t>15/05/2023 07:45</t>
  </si>
  <si>
    <t>15/05/2023 08:00</t>
  </si>
  <si>
    <t>15/05/2023 08:15</t>
  </si>
  <si>
    <t>15/05/2023 08:30</t>
  </si>
  <si>
    <t>15/05/2023 08:45</t>
  </si>
  <si>
    <t>15/05/2023 09:00</t>
  </si>
  <si>
    <t>15/05/2023 09:15</t>
  </si>
  <si>
    <t>15/05/2023 09:30</t>
  </si>
  <si>
    <t>15/05/2023 09:45</t>
  </si>
  <si>
    <t>15/05/2023 10:00</t>
  </si>
  <si>
    <t>15/05/2023 10:15</t>
  </si>
  <si>
    <t>15/05/2023 10:30</t>
  </si>
  <si>
    <t>15/05/2023 10:45</t>
  </si>
  <si>
    <t>15/05/2023 11:00</t>
  </si>
  <si>
    <t>15/05/2023 11:15</t>
  </si>
  <si>
    <t>15/05/2023 11:30</t>
  </si>
  <si>
    <t>15/05/2023 11:45</t>
  </si>
  <si>
    <t>15/05/2023 12:00</t>
  </si>
  <si>
    <t>15/05/2023 12:15</t>
  </si>
  <si>
    <t>15/05/2023 12:30</t>
  </si>
  <si>
    <t>15/05/2023 12:45</t>
  </si>
  <si>
    <t>15/05/2023 13:00</t>
  </si>
  <si>
    <t>15/05/2023 13:15</t>
  </si>
  <si>
    <t>15/05/2023 13:30</t>
  </si>
  <si>
    <t>15/05/2023 13:45</t>
  </si>
  <si>
    <t>15/05/2023 14:00</t>
  </si>
  <si>
    <t>15/05/2023 14:15</t>
  </si>
  <si>
    <t>15/05/2023 14:30</t>
  </si>
  <si>
    <t>15/05/2023 14:45</t>
  </si>
  <si>
    <t>15/05/2023 15:00</t>
  </si>
  <si>
    <t>15/05/2023 15:15</t>
  </si>
  <si>
    <t>15/05/2023 15:30</t>
  </si>
  <si>
    <t>15/05/2023 15:45</t>
  </si>
  <si>
    <t>15/05/2023 16:00</t>
  </si>
  <si>
    <t>15/05/2023 16:15</t>
  </si>
  <si>
    <t>15/05/2023 16:30</t>
  </si>
  <si>
    <t>15/05/2023 16:45</t>
  </si>
  <si>
    <t>15/05/2023 17:00</t>
  </si>
  <si>
    <t>15/05/2023 17:15</t>
  </si>
  <si>
    <t>15/05/2023 17:30</t>
  </si>
  <si>
    <t>15/05/2023 17:45</t>
  </si>
  <si>
    <t>15/05/2023 18:00</t>
  </si>
  <si>
    <t>15/05/2023 18:15</t>
  </si>
  <si>
    <t>15/05/2023 18:30</t>
  </si>
  <si>
    <t>15/05/2023 18:45</t>
  </si>
  <si>
    <t>15/05/2023 19:00</t>
  </si>
  <si>
    <t>15/05/2023 19:15</t>
  </si>
  <si>
    <t>15/05/2023 19:30</t>
  </si>
  <si>
    <t>15/05/2023 19:45</t>
  </si>
  <si>
    <t>15/05/2023 20:00</t>
  </si>
  <si>
    <t>15/05/2023 20:15</t>
  </si>
  <si>
    <t>15/05/2023 20:30</t>
  </si>
  <si>
    <t>15/05/2023 20:45</t>
  </si>
  <si>
    <t>15/05/2023 21:00</t>
  </si>
  <si>
    <t>15/05/2023 21:15</t>
  </si>
  <si>
    <t>15/05/2023 21:30</t>
  </si>
  <si>
    <t>15/05/2023 21:45</t>
  </si>
  <si>
    <t>15/05/2023 22:00</t>
  </si>
  <si>
    <t>15/05/2023 22:15</t>
  </si>
  <si>
    <t>15/05/2023 22:30</t>
  </si>
  <si>
    <t>15/05/2023 22:45</t>
  </si>
  <si>
    <t>15/05/2023 23:00</t>
  </si>
  <si>
    <t>15/05/2023 23:15</t>
  </si>
  <si>
    <t>15/05/2023 23:30</t>
  </si>
  <si>
    <t>15/05/2023 23:45</t>
  </si>
  <si>
    <t>15/05/2023 24:00</t>
  </si>
  <si>
    <t>16/05/2023 00:15</t>
  </si>
  <si>
    <t>16/05/2023 00:30</t>
  </si>
  <si>
    <t>16/05/2023 00:45</t>
  </si>
  <si>
    <t>16/05/2023 01:00</t>
  </si>
  <si>
    <t>16/05/2023 01:15</t>
  </si>
  <si>
    <t>16/05/2023 01:30</t>
  </si>
  <si>
    <t>16/05/2023 01:45</t>
  </si>
  <si>
    <t>16/05/2023 02:00</t>
  </si>
  <si>
    <t>16/05/2023 02:15</t>
  </si>
  <si>
    <t>16/05/2023 02:30</t>
  </si>
  <si>
    <t>16/05/2023 02:45</t>
  </si>
  <si>
    <t>16/05/2023 03:00</t>
  </si>
  <si>
    <t>16/05/2023 03:15</t>
  </si>
  <si>
    <t>16/05/2023 03:30</t>
  </si>
  <si>
    <t>16/05/2023 03:45</t>
  </si>
  <si>
    <t>16/05/2023 04:00</t>
  </si>
  <si>
    <t>16/05/2023 04:15</t>
  </si>
  <si>
    <t>16/05/2023 04:30</t>
  </si>
  <si>
    <t>16/05/2023 04:45</t>
  </si>
  <si>
    <t>16/05/2023 05:00</t>
  </si>
  <si>
    <t>16/05/2023 05:15</t>
  </si>
  <si>
    <t>16/05/2023 05:30</t>
  </si>
  <si>
    <t>16/05/2023 05:45</t>
  </si>
  <si>
    <t>16/05/2023 06:00</t>
  </si>
  <si>
    <t>16/05/2023 06:15</t>
  </si>
  <si>
    <t>16/05/2023 06:30</t>
  </si>
  <si>
    <t>16/05/2023 06:45</t>
  </si>
  <si>
    <t>16/05/2023 07:00</t>
  </si>
  <si>
    <t>16/05/2023 07:15</t>
  </si>
  <si>
    <t>16/05/2023 07:30</t>
  </si>
  <si>
    <t>16/05/2023 07:45</t>
  </si>
  <si>
    <t>16/05/2023 08:00</t>
  </si>
  <si>
    <t>16/05/2023 08:15</t>
  </si>
  <si>
    <t>16/05/2023 08:30</t>
  </si>
  <si>
    <t>16/05/2023 08:45</t>
  </si>
  <si>
    <t>16/05/2023 09:00</t>
  </si>
  <si>
    <t>16/05/2023 09:15</t>
  </si>
  <si>
    <t>16/05/2023 09:30</t>
  </si>
  <si>
    <t>16/05/2023 09:45</t>
  </si>
  <si>
    <t>16/05/2023 10:00</t>
  </si>
  <si>
    <t>16/05/2023 10:15</t>
  </si>
  <si>
    <t>16/05/2023 10:30</t>
  </si>
  <si>
    <t>16/05/2023 10:45</t>
  </si>
  <si>
    <t>16/05/2023 11:00</t>
  </si>
  <si>
    <t>16/05/2023 11:15</t>
  </si>
  <si>
    <t>16/05/2023 11:30</t>
  </si>
  <si>
    <t>16/05/2023 11:45</t>
  </si>
  <si>
    <t>16/05/2023 12:00</t>
  </si>
  <si>
    <t>16/05/2023 12:15</t>
  </si>
  <si>
    <t>16/05/2023 12:30</t>
  </si>
  <si>
    <t>16/05/2023 12:45</t>
  </si>
  <si>
    <t>16/05/2023 13:00</t>
  </si>
  <si>
    <t>16/05/2023 13:15</t>
  </si>
  <si>
    <t>16/05/2023 13:30</t>
  </si>
  <si>
    <t>16/05/2023 13:45</t>
  </si>
  <si>
    <t>16/05/2023 14:00</t>
  </si>
  <si>
    <t>16/05/2023 14:15</t>
  </si>
  <si>
    <t>16/05/2023 14:30</t>
  </si>
  <si>
    <t>16/05/2023 14:45</t>
  </si>
  <si>
    <t>16/05/2023 15:00</t>
  </si>
  <si>
    <t>16/05/2023 15:15</t>
  </si>
  <si>
    <t>16/05/2023 15:30</t>
  </si>
  <si>
    <t>16/05/2023 15:45</t>
  </si>
  <si>
    <t>16/05/2023 16:00</t>
  </si>
  <si>
    <t>16/05/2023 16:15</t>
  </si>
  <si>
    <t>16/05/2023 16:30</t>
  </si>
  <si>
    <t>16/05/2023 16:45</t>
  </si>
  <si>
    <t>16/05/2023 17:00</t>
  </si>
  <si>
    <t>16/05/2023 17:15</t>
  </si>
  <si>
    <t>16/05/2023 17:30</t>
  </si>
  <si>
    <t>16/05/2023 17:45</t>
  </si>
  <si>
    <t>16/05/2023 18:00</t>
  </si>
  <si>
    <t>16/05/2023 18:15</t>
  </si>
  <si>
    <t>16/05/2023 18:30</t>
  </si>
  <si>
    <t>16/05/2023 18:45</t>
  </si>
  <si>
    <t>16/05/2023 19:00</t>
  </si>
  <si>
    <t>16/05/2023 19:15</t>
  </si>
  <si>
    <t>16/05/2023 19:30</t>
  </si>
  <si>
    <t>16/05/2023 19:45</t>
  </si>
  <si>
    <t>16/05/2023 20:00</t>
  </si>
  <si>
    <t>16/05/2023 20:15</t>
  </si>
  <si>
    <t>16/05/2023 20:30</t>
  </si>
  <si>
    <t>16/05/2023 20:45</t>
  </si>
  <si>
    <t>16/05/2023 21:00</t>
  </si>
  <si>
    <t>16/05/2023 21:15</t>
  </si>
  <si>
    <t>16/05/2023 21:30</t>
  </si>
  <si>
    <t>16/05/2023 21:45</t>
  </si>
  <si>
    <t>16/05/2023 22:00</t>
  </si>
  <si>
    <t>16/05/2023 22:15</t>
  </si>
  <si>
    <t>16/05/2023 22:30</t>
  </si>
  <si>
    <t>16/05/2023 22:45</t>
  </si>
  <si>
    <t>16/05/2023 23:00</t>
  </si>
  <si>
    <t>16/05/2023 23:15</t>
  </si>
  <si>
    <t>16/05/2023 23:30</t>
  </si>
  <si>
    <t>16/05/2023 23:45</t>
  </si>
  <si>
    <t>16/05/2023 24:00</t>
  </si>
  <si>
    <t>17/05/2023 00:15</t>
  </si>
  <si>
    <t>17/05/2023 00:30</t>
  </si>
  <si>
    <t>17/05/2023 00:45</t>
  </si>
  <si>
    <t>17/05/2023 01:00</t>
  </si>
  <si>
    <t>17/05/2023 01:15</t>
  </si>
  <si>
    <t>17/05/2023 01:30</t>
  </si>
  <si>
    <t>17/05/2023 01:45</t>
  </si>
  <si>
    <t>17/05/2023 02:00</t>
  </si>
  <si>
    <t>17/05/2023 02:15</t>
  </si>
  <si>
    <t>17/05/2023 02:30</t>
  </si>
  <si>
    <t>17/05/2023 02:45</t>
  </si>
  <si>
    <t>17/05/2023 03:00</t>
  </si>
  <si>
    <t>17/05/2023 03:15</t>
  </si>
  <si>
    <t>17/05/2023 03:30</t>
  </si>
  <si>
    <t>17/05/2023 03:45</t>
  </si>
  <si>
    <t>17/05/2023 04:00</t>
  </si>
  <si>
    <t>17/05/2023 04:15</t>
  </si>
  <si>
    <t>17/05/2023 04:30</t>
  </si>
  <si>
    <t>17/05/2023 04:45</t>
  </si>
  <si>
    <t>17/05/2023 05:00</t>
  </si>
  <si>
    <t>17/05/2023 05:15</t>
  </si>
  <si>
    <t>17/05/2023 05:30</t>
  </si>
  <si>
    <t>17/05/2023 05:45</t>
  </si>
  <si>
    <t>17/05/2023 06:00</t>
  </si>
  <si>
    <t>17/05/2023 06:15</t>
  </si>
  <si>
    <t>17/05/2023 06:30</t>
  </si>
  <si>
    <t>17/05/2023 06:45</t>
  </si>
  <si>
    <t>17/05/2023 07:00</t>
  </si>
  <si>
    <t>17/05/2023 07:15</t>
  </si>
  <si>
    <t>17/05/2023 07:30</t>
  </si>
  <si>
    <t>17/05/2023 07:45</t>
  </si>
  <si>
    <t>17/05/2023 08:00</t>
  </si>
  <si>
    <t>17/05/2023 08:15</t>
  </si>
  <si>
    <t>17/05/2023 08:30</t>
  </si>
  <si>
    <t>17/05/2023 08:45</t>
  </si>
  <si>
    <t>17/05/2023 09:00</t>
  </si>
  <si>
    <t>17/05/2023 09:15</t>
  </si>
  <si>
    <t>17/05/2023 09:30</t>
  </si>
  <si>
    <t>17/05/2023 09:45</t>
  </si>
  <si>
    <t>17/05/2023 10:00</t>
  </si>
  <si>
    <t>17/05/2023 10:15</t>
  </si>
  <si>
    <t>17/05/2023 10:30</t>
  </si>
  <si>
    <t>17/05/2023 10:45</t>
  </si>
  <si>
    <t>17/05/2023 11:00</t>
  </si>
  <si>
    <t>17/05/2023 11:15</t>
  </si>
  <si>
    <t>17/05/2023 11:30</t>
  </si>
  <si>
    <t>17/05/2023 11:45</t>
  </si>
  <si>
    <t>17/05/2023 12:00</t>
  </si>
  <si>
    <t>17/05/2023 12:15</t>
  </si>
  <si>
    <t>17/05/2023 12:30</t>
  </si>
  <si>
    <t>17/05/2023 12:45</t>
  </si>
  <si>
    <t>17/05/2023 13:00</t>
  </si>
  <si>
    <t>17/05/2023 13:15</t>
  </si>
  <si>
    <t>17/05/2023 13:30</t>
  </si>
  <si>
    <t>17/05/2023 13:45</t>
  </si>
  <si>
    <t>17/05/2023 14:00</t>
  </si>
  <si>
    <t>17/05/2023 14:15</t>
  </si>
  <si>
    <t>17/05/2023 14:30</t>
  </si>
  <si>
    <t>17/05/2023 14:45</t>
  </si>
  <si>
    <t>17/05/2023 15:00</t>
  </si>
  <si>
    <t>17/05/2023 15:15</t>
  </si>
  <si>
    <t>17/05/2023 15:30</t>
  </si>
  <si>
    <t>17/05/2023 15:45</t>
  </si>
  <si>
    <t>17/05/2023 16:00</t>
  </si>
  <si>
    <t>17/05/2023 16:15</t>
  </si>
  <si>
    <t>17/05/2023 16:30</t>
  </si>
  <si>
    <t>17/05/2023 16:45</t>
  </si>
  <si>
    <t>17/05/2023 17:00</t>
  </si>
  <si>
    <t>17/05/2023 17:15</t>
  </si>
  <si>
    <t>17/05/2023 17:30</t>
  </si>
  <si>
    <t>17/05/2023 17:45</t>
  </si>
  <si>
    <t>17/05/2023 18:00</t>
  </si>
  <si>
    <t>17/05/2023 18:15</t>
  </si>
  <si>
    <t>17/05/2023 18:30</t>
  </si>
  <si>
    <t>17/05/2023 18:45</t>
  </si>
  <si>
    <t>17/05/2023 19:00</t>
  </si>
  <si>
    <t>17/05/2023 19:15</t>
  </si>
  <si>
    <t>17/05/2023 19:30</t>
  </si>
  <si>
    <t>17/05/2023 19:45</t>
  </si>
  <si>
    <t>17/05/2023 20:00</t>
  </si>
  <si>
    <t>17/05/2023 20:15</t>
  </si>
  <si>
    <t>17/05/2023 20:30</t>
  </si>
  <si>
    <t>17/05/2023 20:45</t>
  </si>
  <si>
    <t>17/05/2023 21:00</t>
  </si>
  <si>
    <t>17/05/2023 21:15</t>
  </si>
  <si>
    <t>17/05/2023 21:30</t>
  </si>
  <si>
    <t>17/05/2023 21:45</t>
  </si>
  <si>
    <t>17/05/2023 22:00</t>
  </si>
  <si>
    <t>17/05/2023 22:15</t>
  </si>
  <si>
    <t>17/05/2023 22:30</t>
  </si>
  <si>
    <t>17/05/2023 22:45</t>
  </si>
  <si>
    <t>17/05/2023 23:00</t>
  </si>
  <si>
    <t>17/05/2023 23:15</t>
  </si>
  <si>
    <t>17/05/2023 23:30</t>
  </si>
  <si>
    <t>17/05/2023 23:45</t>
  </si>
  <si>
    <t>17/05/2023 24:00</t>
  </si>
  <si>
    <t>18/05/2023 00:15</t>
  </si>
  <si>
    <t>18/05/2023 00:30</t>
  </si>
  <si>
    <t>18/05/2023 00:45</t>
  </si>
  <si>
    <t>18/05/2023 01:00</t>
  </si>
  <si>
    <t>18/05/2023 01:15</t>
  </si>
  <si>
    <t>18/05/2023 01:30</t>
  </si>
  <si>
    <t>18/05/2023 01:45</t>
  </si>
  <si>
    <t>18/05/2023 02:00</t>
  </si>
  <si>
    <t>18/05/2023 02:15</t>
  </si>
  <si>
    <t>18/05/2023 02:30</t>
  </si>
  <si>
    <t>18/05/2023 02:45</t>
  </si>
  <si>
    <t>18/05/2023 03:00</t>
  </si>
  <si>
    <t>18/05/2023 03:15</t>
  </si>
  <si>
    <t>18/05/2023 03:30</t>
  </si>
  <si>
    <t>18/05/2023 03:45</t>
  </si>
  <si>
    <t>18/05/2023 04:00</t>
  </si>
  <si>
    <t>18/05/2023 04:15</t>
  </si>
  <si>
    <t>18/05/2023 04:30</t>
  </si>
  <si>
    <t>18/05/2023 04:45</t>
  </si>
  <si>
    <t>18/05/2023 05:00</t>
  </si>
  <si>
    <t>18/05/2023 05:15</t>
  </si>
  <si>
    <t>18/05/2023 05:30</t>
  </si>
  <si>
    <t>18/05/2023 05:45</t>
  </si>
  <si>
    <t>18/05/2023 06:00</t>
  </si>
  <si>
    <t>18/05/2023 06:15</t>
  </si>
  <si>
    <t>18/05/2023 06:30</t>
  </si>
  <si>
    <t>18/05/2023 06:45</t>
  </si>
  <si>
    <t>18/05/2023 07:00</t>
  </si>
  <si>
    <t>18/05/2023 07:15</t>
  </si>
  <si>
    <t>18/05/2023 07:30</t>
  </si>
  <si>
    <t>18/05/2023 07:45</t>
  </si>
  <si>
    <t>18/05/2023 08:00</t>
  </si>
  <si>
    <t>18/05/2023 08:15</t>
  </si>
  <si>
    <t>18/05/2023 08:30</t>
  </si>
  <si>
    <t>18/05/2023 08:45</t>
  </si>
  <si>
    <t>18/05/2023 09:00</t>
  </si>
  <si>
    <t>18/05/2023 09:15</t>
  </si>
  <si>
    <t>18/05/2023 09:30</t>
  </si>
  <si>
    <t>18/05/2023 09:45</t>
  </si>
  <si>
    <t>18/05/2023 10:00</t>
  </si>
  <si>
    <t>18/05/2023 10:15</t>
  </si>
  <si>
    <t>18/05/2023 10:30</t>
  </si>
  <si>
    <t>18/05/2023 10:45</t>
  </si>
  <si>
    <t>18/05/2023 11:00</t>
  </si>
  <si>
    <t>18/05/2023 11:15</t>
  </si>
  <si>
    <t>18/05/2023 11:30</t>
  </si>
  <si>
    <t>18/05/2023 11:45</t>
  </si>
  <si>
    <t>18/05/2023 12:00</t>
  </si>
  <si>
    <t>18/05/2023 12:15</t>
  </si>
  <si>
    <t>18/05/2023 12:30</t>
  </si>
  <si>
    <t>18/05/2023 12:45</t>
  </si>
  <si>
    <t>18/05/2023 13:00</t>
  </si>
  <si>
    <t>18/05/2023 13:15</t>
  </si>
  <si>
    <t>18/05/2023 13:30</t>
  </si>
  <si>
    <t>18/05/2023 13:45</t>
  </si>
  <si>
    <t>18/05/2023 14:00</t>
  </si>
  <si>
    <t>18/05/2023 14:15</t>
  </si>
  <si>
    <t>18/05/2023 14:30</t>
  </si>
  <si>
    <t>18/05/2023 14:45</t>
  </si>
  <si>
    <t>18/05/2023 15:00</t>
  </si>
  <si>
    <t>18/05/2023 15:15</t>
  </si>
  <si>
    <t>18/05/2023 15:30</t>
  </si>
  <si>
    <t>18/05/2023 15:45</t>
  </si>
  <si>
    <t>18/05/2023 16:00</t>
  </si>
  <si>
    <t>18/05/2023 16:15</t>
  </si>
  <si>
    <t>18/05/2023 16:30</t>
  </si>
  <si>
    <t>18/05/2023 16:45</t>
  </si>
  <si>
    <t>18/05/2023 17:00</t>
  </si>
  <si>
    <t>18/05/2023 17:15</t>
  </si>
  <si>
    <t>18/05/2023 17:30</t>
  </si>
  <si>
    <t>18/05/2023 17:45</t>
  </si>
  <si>
    <t>18/05/2023 18:00</t>
  </si>
  <si>
    <t>18/05/2023 18:15</t>
  </si>
  <si>
    <t>18/05/2023 18:30</t>
  </si>
  <si>
    <t>18/05/2023 18:45</t>
  </si>
  <si>
    <t>18/05/2023 19:00</t>
  </si>
  <si>
    <t>18/05/2023 19:15</t>
  </si>
  <si>
    <t>18/05/2023 19:30</t>
  </si>
  <si>
    <t>18/05/2023 19:45</t>
  </si>
  <si>
    <t>18/05/2023 20:00</t>
  </si>
  <si>
    <t>18/05/2023 20:15</t>
  </si>
  <si>
    <t>18/05/2023 20:30</t>
  </si>
  <si>
    <t>18/05/2023 20:45</t>
  </si>
  <si>
    <t>18/05/2023 21:00</t>
  </si>
  <si>
    <t>18/05/2023 21:15</t>
  </si>
  <si>
    <t>18/05/2023 21:30</t>
  </si>
  <si>
    <t>18/05/2023 21:45</t>
  </si>
  <si>
    <t>18/05/2023 22:00</t>
  </si>
  <si>
    <t>18/05/2023 22:15</t>
  </si>
  <si>
    <t>18/05/2023 22:30</t>
  </si>
  <si>
    <t>18/05/2023 22:45</t>
  </si>
  <si>
    <t>18/05/2023 23:00</t>
  </si>
  <si>
    <t>18/05/2023 23:15</t>
  </si>
  <si>
    <t>18/05/2023 23:30</t>
  </si>
  <si>
    <t>18/05/2023 23:45</t>
  </si>
  <si>
    <t>18/05/2023 24:00</t>
  </si>
  <si>
    <t>19/05/2023 00:15</t>
  </si>
  <si>
    <t>19/05/2023 00:30</t>
  </si>
  <si>
    <t>19/05/2023 00:45</t>
  </si>
  <si>
    <t>19/05/2023 01:00</t>
  </si>
  <si>
    <t>19/05/2023 01:15</t>
  </si>
  <si>
    <t>19/05/2023 01:30</t>
  </si>
  <si>
    <t>19/05/2023 01:45</t>
  </si>
  <si>
    <t>19/05/2023 02:00</t>
  </si>
  <si>
    <t>19/05/2023 02:15</t>
  </si>
  <si>
    <t>19/05/2023 02:30</t>
  </si>
  <si>
    <t>19/05/2023 02:45</t>
  </si>
  <si>
    <t>19/05/2023 03:00</t>
  </si>
  <si>
    <t>19/05/2023 03:15</t>
  </si>
  <si>
    <t>19/05/2023 03:30</t>
  </si>
  <si>
    <t>19/05/2023 03:45</t>
  </si>
  <si>
    <t>19/05/2023 04:00</t>
  </si>
  <si>
    <t>19/05/2023 04:15</t>
  </si>
  <si>
    <t>19/05/2023 04:30</t>
  </si>
  <si>
    <t>19/05/2023 04:45</t>
  </si>
  <si>
    <t>19/05/2023 05:00</t>
  </si>
  <si>
    <t>19/05/2023 05:15</t>
  </si>
  <si>
    <t>19/05/2023 05:30</t>
  </si>
  <si>
    <t>19/05/2023 05:45</t>
  </si>
  <si>
    <t>19/05/2023 06:00</t>
  </si>
  <si>
    <t>19/05/2023 06:15</t>
  </si>
  <si>
    <t>19/05/2023 06:30</t>
  </si>
  <si>
    <t>19/05/2023 06:45</t>
  </si>
  <si>
    <t>19/05/2023 07:00</t>
  </si>
  <si>
    <t>19/05/2023 07:15</t>
  </si>
  <si>
    <t>19/05/2023 07:30</t>
  </si>
  <si>
    <t>19/05/2023 07:45</t>
  </si>
  <si>
    <t>19/05/2023 08:00</t>
  </si>
  <si>
    <t>19/05/2023 08:15</t>
  </si>
  <si>
    <t>19/05/2023 08:30</t>
  </si>
  <si>
    <t>19/05/2023 08:45</t>
  </si>
  <si>
    <t>19/05/2023 09:00</t>
  </si>
  <si>
    <t>19/05/2023 09:15</t>
  </si>
  <si>
    <t>19/05/2023 09:30</t>
  </si>
  <si>
    <t>19/05/2023 09:45</t>
  </si>
  <si>
    <t>19/05/2023 10:00</t>
  </si>
  <si>
    <t>19/05/2023 10:15</t>
  </si>
  <si>
    <t>19/05/2023 10:30</t>
  </si>
  <si>
    <t>19/05/2023 10:45</t>
  </si>
  <si>
    <t>19/05/2023 11:00</t>
  </si>
  <si>
    <t>19/05/2023 11:15</t>
  </si>
  <si>
    <t>19/05/2023 11:30</t>
  </si>
  <si>
    <t>19/05/2023 11:45</t>
  </si>
  <si>
    <t>19/05/2023 12:00</t>
  </si>
  <si>
    <t>19/05/2023 12:15</t>
  </si>
  <si>
    <t>19/05/2023 12:30</t>
  </si>
  <si>
    <t>19/05/2023 12:45</t>
  </si>
  <si>
    <t>19/05/2023 13:00</t>
  </si>
  <si>
    <t>19/05/2023 13:15</t>
  </si>
  <si>
    <t>19/05/2023 13:30</t>
  </si>
  <si>
    <t>19/05/2023 13:45</t>
  </si>
  <si>
    <t>19/05/2023 14:00</t>
  </si>
  <si>
    <t>19/05/2023 14:15</t>
  </si>
  <si>
    <t>19/05/2023 14:30</t>
  </si>
  <si>
    <t>19/05/2023 14:45</t>
  </si>
  <si>
    <t>19/05/2023 15:00</t>
  </si>
  <si>
    <t>19/05/2023 15:15</t>
  </si>
  <si>
    <t>19/05/2023 15:30</t>
  </si>
  <si>
    <t>19/05/2023 15:45</t>
  </si>
  <si>
    <t>19/05/2023 16:00</t>
  </si>
  <si>
    <t>19/05/2023 16:15</t>
  </si>
  <si>
    <t>19/05/2023 16:30</t>
  </si>
  <si>
    <t>19/05/2023 16:45</t>
  </si>
  <si>
    <t>19/05/2023 17:00</t>
  </si>
  <si>
    <t>19/05/2023 17:15</t>
  </si>
  <si>
    <t>19/05/2023 17:30</t>
  </si>
  <si>
    <t>19/05/2023 17:45</t>
  </si>
  <si>
    <t>19/05/2023 18:00</t>
  </si>
  <si>
    <t>19/05/2023 18:15</t>
  </si>
  <si>
    <t>19/05/2023 18:30</t>
  </si>
  <si>
    <t>19/05/2023 18:45</t>
  </si>
  <si>
    <t>19/05/2023 19:00</t>
  </si>
  <si>
    <t>19/05/2023 19:15</t>
  </si>
  <si>
    <t>19/05/2023 19:30</t>
  </si>
  <si>
    <t>19/05/2023 19:45</t>
  </si>
  <si>
    <t>19/05/2023 20:00</t>
  </si>
  <si>
    <t>19/05/2023 20:15</t>
  </si>
  <si>
    <t>19/05/2023 20:30</t>
  </si>
  <si>
    <t>19/05/2023 20:45</t>
  </si>
  <si>
    <t>19/05/2023 21:00</t>
  </si>
  <si>
    <t>19/05/2023 21:15</t>
  </si>
  <si>
    <t>19/05/2023 21:30</t>
  </si>
  <si>
    <t>19/05/2023 21:45</t>
  </si>
  <si>
    <t>19/05/2023 22:00</t>
  </si>
  <si>
    <t>19/05/2023 22:15</t>
  </si>
  <si>
    <t>19/05/2023 22:30</t>
  </si>
  <si>
    <t>19/05/2023 22:45</t>
  </si>
  <si>
    <t>19/05/2023 23:00</t>
  </si>
  <si>
    <t>19/05/2023 23:15</t>
  </si>
  <si>
    <t>19/05/2023 23:30</t>
  </si>
  <si>
    <t>19/05/2023 23:45</t>
  </si>
  <si>
    <t>19/05/2023 24:00</t>
  </si>
  <si>
    <t>20/05/2023 00:15</t>
  </si>
  <si>
    <t>20/05/2023 00:30</t>
  </si>
  <si>
    <t>20/05/2023 00:45</t>
  </si>
  <si>
    <t>20/05/2023 01:00</t>
  </si>
  <si>
    <t>20/05/2023 01:15</t>
  </si>
  <si>
    <t>20/05/2023 01:30</t>
  </si>
  <si>
    <t>20/05/2023 01:45</t>
  </si>
  <si>
    <t>20/05/2023 02:00</t>
  </si>
  <si>
    <t>20/05/2023 02:15</t>
  </si>
  <si>
    <t>20/05/2023 02:30</t>
  </si>
  <si>
    <t>20/05/2023 02:45</t>
  </si>
  <si>
    <t>20/05/2023 03:00</t>
  </si>
  <si>
    <t>20/05/2023 03:15</t>
  </si>
  <si>
    <t>20/05/2023 03:30</t>
  </si>
  <si>
    <t>20/05/2023 03:45</t>
  </si>
  <si>
    <t>20/05/2023 04:00</t>
  </si>
  <si>
    <t>20/05/2023 04:15</t>
  </si>
  <si>
    <t>20/05/2023 04:30</t>
  </si>
  <si>
    <t>20/05/2023 04:45</t>
  </si>
  <si>
    <t>20/05/2023 05:00</t>
  </si>
  <si>
    <t>20/05/2023 05:15</t>
  </si>
  <si>
    <t>20/05/2023 05:30</t>
  </si>
  <si>
    <t>20/05/2023 05:45</t>
  </si>
  <si>
    <t>20/05/2023 06:00</t>
  </si>
  <si>
    <t>20/05/2023 06:15</t>
  </si>
  <si>
    <t>20/05/2023 06:30</t>
  </si>
  <si>
    <t>20/05/2023 06:45</t>
  </si>
  <si>
    <t>20/05/2023 07:00</t>
  </si>
  <si>
    <t>20/05/2023 07:15</t>
  </si>
  <si>
    <t>20/05/2023 07:30</t>
  </si>
  <si>
    <t>20/05/2023 07:45</t>
  </si>
  <si>
    <t>20/05/2023 08:00</t>
  </si>
  <si>
    <t>20/05/2023 08:15</t>
  </si>
  <si>
    <t>20/05/2023 08:30</t>
  </si>
  <si>
    <t>20/05/2023 08:45</t>
  </si>
  <si>
    <t>20/05/2023 09:00</t>
  </si>
  <si>
    <t>20/05/2023 09:15</t>
  </si>
  <si>
    <t>20/05/2023 09:30</t>
  </si>
  <si>
    <t>20/05/2023 09:45</t>
  </si>
  <si>
    <t>20/05/2023 10:00</t>
  </si>
  <si>
    <t>20/05/2023 10:15</t>
  </si>
  <si>
    <t>20/05/2023 10:30</t>
  </si>
  <si>
    <t>20/05/2023 10:45</t>
  </si>
  <si>
    <t>20/05/2023 11:00</t>
  </si>
  <si>
    <t>20/05/2023 11:15</t>
  </si>
  <si>
    <t>20/05/2023 11:30</t>
  </si>
  <si>
    <t>20/05/2023 11:45</t>
  </si>
  <si>
    <t>20/05/2023 12:00</t>
  </si>
  <si>
    <t>20/05/2023 12:15</t>
  </si>
  <si>
    <t>20/05/2023 12:30</t>
  </si>
  <si>
    <t>20/05/2023 12:45</t>
  </si>
  <si>
    <t>20/05/2023 13:00</t>
  </si>
  <si>
    <t>20/05/2023 13:15</t>
  </si>
  <si>
    <t>20/05/2023 13:30</t>
  </si>
  <si>
    <t>20/05/2023 13:45</t>
  </si>
  <si>
    <t>20/05/2023 14:00</t>
  </si>
  <si>
    <t>20/05/2023 14:15</t>
  </si>
  <si>
    <t>20/05/2023 14:30</t>
  </si>
  <si>
    <t>20/05/2023 14:45</t>
  </si>
  <si>
    <t>20/05/2023 15:00</t>
  </si>
  <si>
    <t>20/05/2023 15:15</t>
  </si>
  <si>
    <t>20/05/2023 15:30</t>
  </si>
  <si>
    <t>20/05/2023 15:45</t>
  </si>
  <si>
    <t>20/05/2023 16:00</t>
  </si>
  <si>
    <t>20/05/2023 16:15</t>
  </si>
  <si>
    <t>20/05/2023 16:30</t>
  </si>
  <si>
    <t>20/05/2023 16:45</t>
  </si>
  <si>
    <t>20/05/2023 17:00</t>
  </si>
  <si>
    <t>20/05/2023 17:15</t>
  </si>
  <si>
    <t>20/05/2023 17:30</t>
  </si>
  <si>
    <t>20/05/2023 17:45</t>
  </si>
  <si>
    <t>20/05/2023 18:00</t>
  </si>
  <si>
    <t>20/05/2023 18:15</t>
  </si>
  <si>
    <t>20/05/2023 18:30</t>
  </si>
  <si>
    <t>20/05/2023 18:45</t>
  </si>
  <si>
    <t>20/05/2023 19:00</t>
  </si>
  <si>
    <t>20/05/2023 19:15</t>
  </si>
  <si>
    <t>20/05/2023 19:30</t>
  </si>
  <si>
    <t>20/05/2023 19:45</t>
  </si>
  <si>
    <t>20/05/2023 20:00</t>
  </si>
  <si>
    <t>20/05/2023 20:15</t>
  </si>
  <si>
    <t>20/05/2023 20:30</t>
  </si>
  <si>
    <t>20/05/2023 20:45</t>
  </si>
  <si>
    <t>20/05/2023 21:00</t>
  </si>
  <si>
    <t>20/05/2023 21:15</t>
  </si>
  <si>
    <t>20/05/2023 21:30</t>
  </si>
  <si>
    <t>20/05/2023 21:45</t>
  </si>
  <si>
    <t>20/05/2023 22:00</t>
  </si>
  <si>
    <t>20/05/2023 22:15</t>
  </si>
  <si>
    <t>20/05/2023 22:30</t>
  </si>
  <si>
    <t>20/05/2023 22:45</t>
  </si>
  <si>
    <t>20/05/2023 23:00</t>
  </si>
  <si>
    <t>20/05/2023 23:15</t>
  </si>
  <si>
    <t>20/05/2023 23:30</t>
  </si>
  <si>
    <t>20/05/2023 23:45</t>
  </si>
  <si>
    <t>20/05/2023 24:00</t>
  </si>
  <si>
    <t>21/05/2023 00:15</t>
  </si>
  <si>
    <t>21/05/2023 00:30</t>
  </si>
  <si>
    <t>21/05/2023 00:45</t>
  </si>
  <si>
    <t>21/05/2023 01:00</t>
  </si>
  <si>
    <t>21/05/2023 01:15</t>
  </si>
  <si>
    <t>21/05/2023 01:30</t>
  </si>
  <si>
    <t>21/05/2023 01:45</t>
  </si>
  <si>
    <t>21/05/2023 02:00</t>
  </si>
  <si>
    <t>21/05/2023 02:15</t>
  </si>
  <si>
    <t>21/05/2023 02:30</t>
  </si>
  <si>
    <t>21/05/2023 02:45</t>
  </si>
  <si>
    <t>21/05/2023 03:00</t>
  </si>
  <si>
    <t>21/05/2023 03:15</t>
  </si>
  <si>
    <t>21/05/2023 03:30</t>
  </si>
  <si>
    <t>21/05/2023 03:45</t>
  </si>
  <si>
    <t>21/05/2023 04:00</t>
  </si>
  <si>
    <t>21/05/2023 04:15</t>
  </si>
  <si>
    <t>21/05/2023 04:30</t>
  </si>
  <si>
    <t>21/05/2023 04:45</t>
  </si>
  <si>
    <t>21/05/2023 05:00</t>
  </si>
  <si>
    <t>21/05/2023 05:15</t>
  </si>
  <si>
    <t>21/05/2023 05:30</t>
  </si>
  <si>
    <t>21/05/2023 05:45</t>
  </si>
  <si>
    <t>21/05/2023 06:00</t>
  </si>
  <si>
    <t>21/05/2023 06:15</t>
  </si>
  <si>
    <t>21/05/2023 06:30</t>
  </si>
  <si>
    <t>21/05/2023 06:45</t>
  </si>
  <si>
    <t>21/05/2023 07:00</t>
  </si>
  <si>
    <t>21/05/2023 07:15</t>
  </si>
  <si>
    <t>21/05/2023 07:30</t>
  </si>
  <si>
    <t>21/05/2023 07:45</t>
  </si>
  <si>
    <t>21/05/2023 08:00</t>
  </si>
  <si>
    <t>21/05/2023 08:15</t>
  </si>
  <si>
    <t>21/05/2023 08:30</t>
  </si>
  <si>
    <t>21/05/2023 08:45</t>
  </si>
  <si>
    <t>21/05/2023 09:00</t>
  </si>
  <si>
    <t>21/05/2023 09:15</t>
  </si>
  <si>
    <t>21/05/2023 09:30</t>
  </si>
  <si>
    <t>21/05/2023 09:45</t>
  </si>
  <si>
    <t>21/05/2023 10:00</t>
  </si>
  <si>
    <t>21/05/2023 10:15</t>
  </si>
  <si>
    <t>21/05/2023 10:30</t>
  </si>
  <si>
    <t>21/05/2023 10:45</t>
  </si>
  <si>
    <t>21/05/2023 11:00</t>
  </si>
  <si>
    <t>21/05/2023 11:15</t>
  </si>
  <si>
    <t>21/05/2023 11:30</t>
  </si>
  <si>
    <t>21/05/2023 11:45</t>
  </si>
  <si>
    <t>21/05/2023 12:00</t>
  </si>
  <si>
    <t>21/05/2023 12:15</t>
  </si>
  <si>
    <t>21/05/2023 12:30</t>
  </si>
  <si>
    <t>21/05/2023 12:45</t>
  </si>
  <si>
    <t>21/05/2023 13:00</t>
  </si>
  <si>
    <t>21/05/2023 13:15</t>
  </si>
  <si>
    <t>21/05/2023 13:30</t>
  </si>
  <si>
    <t>21/05/2023 13:45</t>
  </si>
  <si>
    <t>21/05/2023 14:00</t>
  </si>
  <si>
    <t>21/05/2023 14:15</t>
  </si>
  <si>
    <t>21/05/2023 14:30</t>
  </si>
  <si>
    <t>21/05/2023 14:45</t>
  </si>
  <si>
    <t>21/05/2023 15:00</t>
  </si>
  <si>
    <t>21/05/2023 15:15</t>
  </si>
  <si>
    <t>21/05/2023 15:30</t>
  </si>
  <si>
    <t>21/05/2023 15:45</t>
  </si>
  <si>
    <t>21/05/2023 16:00</t>
  </si>
  <si>
    <t>21/05/2023 16:15</t>
  </si>
  <si>
    <t>21/05/2023 16:30</t>
  </si>
  <si>
    <t>21/05/2023 16:45</t>
  </si>
  <si>
    <t>21/05/2023 17:00</t>
  </si>
  <si>
    <t>21/05/2023 17:15</t>
  </si>
  <si>
    <t>21/05/2023 17:30</t>
  </si>
  <si>
    <t>21/05/2023 17:45</t>
  </si>
  <si>
    <t>21/05/2023 18:00</t>
  </si>
  <si>
    <t>21/05/2023 18:15</t>
  </si>
  <si>
    <t>21/05/2023 18:30</t>
  </si>
  <si>
    <t>21/05/2023 18:45</t>
  </si>
  <si>
    <t>21/05/2023 19:00</t>
  </si>
  <si>
    <t>21/05/2023 19:15</t>
  </si>
  <si>
    <t>21/05/2023 19:30</t>
  </si>
  <si>
    <t>21/05/2023 19:45</t>
  </si>
  <si>
    <t>21/05/2023 20:00</t>
  </si>
  <si>
    <t>21/05/2023 20:15</t>
  </si>
  <si>
    <t>21/05/2023 20:30</t>
  </si>
  <si>
    <t>21/05/2023 20:45</t>
  </si>
  <si>
    <t>21/05/2023 21:00</t>
  </si>
  <si>
    <t>21/05/2023 21:15</t>
  </si>
  <si>
    <t>21/05/2023 21:30</t>
  </si>
  <si>
    <t>21/05/2023 21:45</t>
  </si>
  <si>
    <t>21/05/2023 22:00</t>
  </si>
  <si>
    <t>21/05/2023 22:15</t>
  </si>
  <si>
    <t>21/05/2023 22:30</t>
  </si>
  <si>
    <t>21/05/2023 22:45</t>
  </si>
  <si>
    <t>21/05/2023 23:00</t>
  </si>
  <si>
    <t>21/05/2023 23:15</t>
  </si>
  <si>
    <t>21/05/2023 23:30</t>
  </si>
  <si>
    <t>21/05/2023 23:45</t>
  </si>
  <si>
    <t>21/05/2023 24:00</t>
  </si>
  <si>
    <t>22/05/2023 00:15</t>
  </si>
  <si>
    <t>22/05/2023 00:30</t>
  </si>
  <si>
    <t>22/05/2023 00:45</t>
  </si>
  <si>
    <t>22/05/2023 01:00</t>
  </si>
  <si>
    <t>22/05/2023 01:15</t>
  </si>
  <si>
    <t>22/05/2023 01:30</t>
  </si>
  <si>
    <t>22/05/2023 01:45</t>
  </si>
  <si>
    <t>22/05/2023 02:00</t>
  </si>
  <si>
    <t>22/05/2023 02:15</t>
  </si>
  <si>
    <t>22/05/2023 02:30</t>
  </si>
  <si>
    <t>22/05/2023 02:45</t>
  </si>
  <si>
    <t>22/05/2023 03:00</t>
  </si>
  <si>
    <t>22/05/2023 03:15</t>
  </si>
  <si>
    <t>22/05/2023 03:30</t>
  </si>
  <si>
    <t>22/05/2023 03:45</t>
  </si>
  <si>
    <t>22/05/2023 04:00</t>
  </si>
  <si>
    <t>22/05/2023 04:15</t>
  </si>
  <si>
    <t>22/05/2023 04:30</t>
  </si>
  <si>
    <t>22/05/2023 04:45</t>
  </si>
  <si>
    <t>22/05/2023 05:00</t>
  </si>
  <si>
    <t>22/05/2023 05:15</t>
  </si>
  <si>
    <t>22/05/2023 05:30</t>
  </si>
  <si>
    <t>22/05/2023 05:45</t>
  </si>
  <si>
    <t>22/05/2023 06:00</t>
  </si>
  <si>
    <t>22/05/2023 06:15</t>
  </si>
  <si>
    <t>22/05/2023 06:30</t>
  </si>
  <si>
    <t>22/05/2023 06:45</t>
  </si>
  <si>
    <t>22/05/2023 07:00</t>
  </si>
  <si>
    <t>22/05/2023 07:15</t>
  </si>
  <si>
    <t>22/05/2023 07:30</t>
  </si>
  <si>
    <t>22/05/2023 07:45</t>
  </si>
  <si>
    <t>22/05/2023 08:00</t>
  </si>
  <si>
    <t>22/05/2023 08:15</t>
  </si>
  <si>
    <t>22/05/2023 08:30</t>
  </si>
  <si>
    <t>22/05/2023 08:45</t>
  </si>
  <si>
    <t>22/05/2023 09:00</t>
  </si>
  <si>
    <t>22/05/2023 09:15</t>
  </si>
  <si>
    <t>22/05/2023 09:30</t>
  </si>
  <si>
    <t>22/05/2023 09:45</t>
  </si>
  <si>
    <t>22/05/2023 10:00</t>
  </si>
  <si>
    <t>22/05/2023 10:15</t>
  </si>
  <si>
    <t>22/05/2023 10:30</t>
  </si>
  <si>
    <t>22/05/2023 10:45</t>
  </si>
  <si>
    <t>22/05/2023 11:00</t>
  </si>
  <si>
    <t>22/05/2023 11:15</t>
  </si>
  <si>
    <t>22/05/2023 11:30</t>
  </si>
  <si>
    <t>22/05/2023 11:45</t>
  </si>
  <si>
    <t>22/05/2023 12:00</t>
  </si>
  <si>
    <t>22/05/2023 12:15</t>
  </si>
  <si>
    <t>22/05/2023 12:30</t>
  </si>
  <si>
    <t>22/05/2023 12:45</t>
  </si>
  <si>
    <t>22/05/2023 13:00</t>
  </si>
  <si>
    <t>22/05/2023 13:15</t>
  </si>
  <si>
    <t>22/05/2023 13:30</t>
  </si>
  <si>
    <t>22/05/2023 13:45</t>
  </si>
  <si>
    <t>22/05/2023 14:00</t>
  </si>
  <si>
    <t>22/05/2023 14:15</t>
  </si>
  <si>
    <t>22/05/2023 14:30</t>
  </si>
  <si>
    <t>22/05/2023 14:45</t>
  </si>
  <si>
    <t>22/05/2023 15:00</t>
  </si>
  <si>
    <t>22/05/2023 15:15</t>
  </si>
  <si>
    <t>22/05/2023 15:30</t>
  </si>
  <si>
    <t>22/05/2023 15:45</t>
  </si>
  <si>
    <t>22/05/2023 16:00</t>
  </si>
  <si>
    <t>22/05/2023 16:15</t>
  </si>
  <si>
    <t>22/05/2023 16:30</t>
  </si>
  <si>
    <t>22/05/2023 16:45</t>
  </si>
  <si>
    <t>22/05/2023 17:00</t>
  </si>
  <si>
    <t>22/05/2023 17:15</t>
  </si>
  <si>
    <t>22/05/2023 17:30</t>
  </si>
  <si>
    <t>22/05/2023 17:45</t>
  </si>
  <si>
    <t>22/05/2023 18:00</t>
  </si>
  <si>
    <t>22/05/2023 18:15</t>
  </si>
  <si>
    <t>22/05/2023 18:30</t>
  </si>
  <si>
    <t>22/05/2023 18:45</t>
  </si>
  <si>
    <t>22/05/2023 19:00</t>
  </si>
  <si>
    <t>22/05/2023 19:15</t>
  </si>
  <si>
    <t>22/05/2023 19:30</t>
  </si>
  <si>
    <t>22/05/2023 19:45</t>
  </si>
  <si>
    <t>22/05/2023 20:00</t>
  </si>
  <si>
    <t>22/05/2023 20:15</t>
  </si>
  <si>
    <t>22/05/2023 20:30</t>
  </si>
  <si>
    <t>22/05/2023 20:45</t>
  </si>
  <si>
    <t>22/05/2023 21:00</t>
  </si>
  <si>
    <t>22/05/2023 21:15</t>
  </si>
  <si>
    <t>22/05/2023 21:30</t>
  </si>
  <si>
    <t>22/05/2023 21:45</t>
  </si>
  <si>
    <t>22/05/2023 22:00</t>
  </si>
  <si>
    <t>22/05/2023 22:15</t>
  </si>
  <si>
    <t>22/05/2023 22:30</t>
  </si>
  <si>
    <t>22/05/2023 22:45</t>
  </si>
  <si>
    <t>22/05/2023 23:00</t>
  </si>
  <si>
    <t>22/05/2023 23:15</t>
  </si>
  <si>
    <t>22/05/2023 23:30</t>
  </si>
  <si>
    <t>22/05/2023 23:45</t>
  </si>
  <si>
    <t>22/05/2023 24:00</t>
  </si>
  <si>
    <t>23/05/2023 00:15</t>
  </si>
  <si>
    <t>23/05/2023 00:30</t>
  </si>
  <si>
    <t>23/05/2023 00:45</t>
  </si>
  <si>
    <t>23/05/2023 01:00</t>
  </si>
  <si>
    <t>23/05/2023 01:30</t>
  </si>
  <si>
    <t>23/05/2023 01:45</t>
  </si>
  <si>
    <t>23/05/2023 02:00</t>
  </si>
  <si>
    <t>23/05/2023 02:15</t>
  </si>
  <si>
    <t>23/05/2023 02:30</t>
  </si>
  <si>
    <t>23/05/2023 02:45</t>
  </si>
  <si>
    <t>23/05/2023 03:00</t>
  </si>
  <si>
    <t>23/05/2023 03:15</t>
  </si>
  <si>
    <t>23/05/2023 03:30</t>
  </si>
  <si>
    <t>23/05/2023 03:45</t>
  </si>
  <si>
    <t>23/05/2023 04:00</t>
  </si>
  <si>
    <t>23/05/2023 04:15</t>
  </si>
  <si>
    <t>23/05/2023 04:30</t>
  </si>
  <si>
    <t>23/05/2023 04:45</t>
  </si>
  <si>
    <t>23/05/2023 05:00</t>
  </si>
  <si>
    <t>23/05/2023 05:15</t>
  </si>
  <si>
    <t>23/05/2023 05:30</t>
  </si>
  <si>
    <t>23/05/2023 05:45</t>
  </si>
  <si>
    <t>23/05/2023 06:00</t>
  </si>
  <si>
    <t>23/05/2023 06:15</t>
  </si>
  <si>
    <t>23/05/2023 06:30</t>
  </si>
  <si>
    <t>23/05/2023 06:45</t>
  </si>
  <si>
    <t>23/05/2023 07:00</t>
  </si>
  <si>
    <t>23/05/2023 07:15</t>
  </si>
  <si>
    <t>23/05/2023 07:30</t>
  </si>
  <si>
    <t>23/05/2023 07:45</t>
  </si>
  <si>
    <t>23/05/2023 08:00</t>
  </si>
  <si>
    <t>23/05/2023 08:15</t>
  </si>
  <si>
    <t>23/05/2023 08:30</t>
  </si>
  <si>
    <t>23/05/2023 08:45</t>
  </si>
  <si>
    <t>23/05/2023 09:00</t>
  </si>
  <si>
    <t>23/05/2023 09:15</t>
  </si>
  <si>
    <t>23/05/2023 09:30</t>
  </si>
  <si>
    <t>23/05/2023 09:45</t>
  </si>
  <si>
    <t>23/05/2023 10:00</t>
  </si>
  <si>
    <t>23/05/2023 10:15</t>
  </si>
  <si>
    <t>23/05/2023 10:30</t>
  </si>
  <si>
    <t>23/05/2023 10:45</t>
  </si>
  <si>
    <t>23/05/2023 11:00</t>
  </si>
  <si>
    <t>23/05/2023 11:15</t>
  </si>
  <si>
    <t>23/05/2023 11:30</t>
  </si>
  <si>
    <t>23/05/2023 11:45</t>
  </si>
  <si>
    <t>23/05/2023 12:00</t>
  </si>
  <si>
    <t>23/05/2023 12:15</t>
  </si>
  <si>
    <t>23/05/2023 12:30</t>
  </si>
  <si>
    <t>23/05/2023 12:45</t>
  </si>
  <si>
    <t>23/05/2023 13:00</t>
  </si>
  <si>
    <t>23/05/2023 13:15</t>
  </si>
  <si>
    <t>23/05/2023 13:30</t>
  </si>
  <si>
    <t>23/05/2023 13:45</t>
  </si>
  <si>
    <t>23/05/2023 14:00</t>
  </si>
  <si>
    <t>23/05/2023 14:15</t>
  </si>
  <si>
    <t>23/05/2023 14:30</t>
  </si>
  <si>
    <t>23/05/2023 14:45</t>
  </si>
  <si>
    <t>23/05/2023 15:00</t>
  </si>
  <si>
    <t>23/05/2023 15:15</t>
  </si>
  <si>
    <t>23/05/2023 15:30</t>
  </si>
  <si>
    <t>23/05/2023 15:45</t>
  </si>
  <si>
    <t>23/05/2023 16:00</t>
  </si>
  <si>
    <t>23/05/2023 16:15</t>
  </si>
  <si>
    <t>23/05/2023 16:30</t>
  </si>
  <si>
    <t>23/05/2023 16:45</t>
  </si>
  <si>
    <t>23/05/2023 17:00</t>
  </si>
  <si>
    <t>23/05/2023 17:15</t>
  </si>
  <si>
    <t>23/05/2023 17:30</t>
  </si>
  <si>
    <t>23/05/2023 17:45</t>
  </si>
  <si>
    <t>23/05/2023 18:00</t>
  </si>
  <si>
    <t>23/05/2023 18:15</t>
  </si>
  <si>
    <t>23/05/2023 18:30</t>
  </si>
  <si>
    <t>23/05/2023 18:45</t>
  </si>
  <si>
    <t>23/05/2023 19:00</t>
  </si>
  <si>
    <t>23/05/2023 19:15</t>
  </si>
  <si>
    <t>23/05/2023 19:30</t>
  </si>
  <si>
    <t>23/05/2023 19:45</t>
  </si>
  <si>
    <t>23/05/2023 20:00</t>
  </si>
  <si>
    <t>23/05/2023 20:15</t>
  </si>
  <si>
    <t>23/05/2023 20:30</t>
  </si>
  <si>
    <t>23/05/2023 20:45</t>
  </si>
  <si>
    <t>23/05/2023 21:00</t>
  </si>
  <si>
    <t>23/05/2023 21:15</t>
  </si>
  <si>
    <t>23/05/2023 21:30</t>
  </si>
  <si>
    <t>23/05/2023 21:45</t>
  </si>
  <si>
    <t>23/05/2023 22:00</t>
  </si>
  <si>
    <t>23/05/2023 22:15</t>
  </si>
  <si>
    <t>23/05/2023 22:30</t>
  </si>
  <si>
    <t>23/05/2023 22:45</t>
  </si>
  <si>
    <t>23/05/2023 23:00</t>
  </si>
  <si>
    <t>23/05/2023 23:15</t>
  </si>
  <si>
    <t>23/05/2023 23:30</t>
  </si>
  <si>
    <t>23/05/2023 23:45</t>
  </si>
  <si>
    <t>23/05/2023 24:00</t>
  </si>
  <si>
    <t>24/05/2023 00:15</t>
  </si>
  <si>
    <t>24/05/2023 00:30</t>
  </si>
  <si>
    <t>24/05/2023 00:45</t>
  </si>
  <si>
    <t>24/05/2023 01:00</t>
  </si>
  <si>
    <t>24/05/2023 01:15</t>
  </si>
  <si>
    <t>24/05/2023 01:30</t>
  </si>
  <si>
    <t>24/05/2023 01:45</t>
  </si>
  <si>
    <t>24/05/2023 02:00</t>
  </si>
  <si>
    <t>24/05/2023 02:15</t>
  </si>
  <si>
    <t>24/05/2023 02:30</t>
  </si>
  <si>
    <t>24/05/2023 02:45</t>
  </si>
  <si>
    <t>24/05/2023 03:00</t>
  </si>
  <si>
    <t>24/05/2023 03:15</t>
  </si>
  <si>
    <t>24/05/2023 03:30</t>
  </si>
  <si>
    <t>24/05/2023 03:45</t>
  </si>
  <si>
    <t>24/05/2023 04:00</t>
  </si>
  <si>
    <t>24/05/2023 04:15</t>
  </si>
  <si>
    <t>24/05/2023 04:30</t>
  </si>
  <si>
    <t>24/05/2023 04:45</t>
  </si>
  <si>
    <t>24/05/2023 05:00</t>
  </si>
  <si>
    <t>24/05/2023 05:15</t>
  </si>
  <si>
    <t>24/05/2023 05:30</t>
  </si>
  <si>
    <t>24/05/2023 05:45</t>
  </si>
  <si>
    <t>24/05/2023 06:00</t>
  </si>
  <si>
    <t>24/05/2023 06:15</t>
  </si>
  <si>
    <t>24/05/2023 06:30</t>
  </si>
  <si>
    <t>24/05/2023 06:45</t>
  </si>
  <si>
    <t>24/05/2023 07:00</t>
  </si>
  <si>
    <t>24/05/2023 07:15</t>
  </si>
  <si>
    <t>24/05/2023 07:30</t>
  </si>
  <si>
    <t>24/05/2023 07:45</t>
  </si>
  <si>
    <t>24/05/2023 08:00</t>
  </si>
  <si>
    <t>24/05/2023 08:15</t>
  </si>
  <si>
    <t>24/05/2023 08:30</t>
  </si>
  <si>
    <t>24/05/2023 08:45</t>
  </si>
  <si>
    <t>24/05/2023 09:00</t>
  </si>
  <si>
    <t>24/05/2023 09:15</t>
  </si>
  <si>
    <t>24/05/2023 09:30</t>
  </si>
  <si>
    <t>24/05/2023 09:45</t>
  </si>
  <si>
    <t>24/05/2023 10:00</t>
  </si>
  <si>
    <t>24/05/2023 10:15</t>
  </si>
  <si>
    <t>24/05/2023 10:30</t>
  </si>
  <si>
    <t>24/05/2023 10:45</t>
  </si>
  <si>
    <t>24/05/2023 11:00</t>
  </si>
  <si>
    <t>24/05/2023 11:15</t>
  </si>
  <si>
    <t>24/05/2023 11:30</t>
  </si>
  <si>
    <t>24/05/2023 11:45</t>
  </si>
  <si>
    <t>24/05/2023 12:00</t>
  </si>
  <si>
    <t>24/05/2023 12:15</t>
  </si>
  <si>
    <t>24/05/2023 12:30</t>
  </si>
  <si>
    <t>24/05/2023 12:45</t>
  </si>
  <si>
    <t>24/05/2023 13:00</t>
  </si>
  <si>
    <t>24/05/2023 13:15</t>
  </si>
  <si>
    <t>24/05/2023 13:30</t>
  </si>
  <si>
    <t>24/05/2023 13:45</t>
  </si>
  <si>
    <t>24/05/2023 14:00</t>
  </si>
  <si>
    <t>24/05/2023 14:15</t>
  </si>
  <si>
    <t>24/05/2023 14:30</t>
  </si>
  <si>
    <t>24/05/2023 14:45</t>
  </si>
  <si>
    <t>24/05/2023 15:00</t>
  </si>
  <si>
    <t>24/05/2023 15:15</t>
  </si>
  <si>
    <t>24/05/2023 15:30</t>
  </si>
  <si>
    <t>24/05/2023 15:45</t>
  </si>
  <si>
    <t>24/05/2023 16:00</t>
  </si>
  <si>
    <t>24/05/2023 16:15</t>
  </si>
  <si>
    <t>24/05/2023 16:30</t>
  </si>
  <si>
    <t>24/05/2023 16:45</t>
  </si>
  <si>
    <t>24/05/2023 17:00</t>
  </si>
  <si>
    <t>24/05/2023 17:15</t>
  </si>
  <si>
    <t>24/05/2023 17:30</t>
  </si>
  <si>
    <t>24/05/2023 17:45</t>
  </si>
  <si>
    <t>24/05/2023 18:00</t>
  </si>
  <si>
    <t>24/05/2023 18:15</t>
  </si>
  <si>
    <t>24/05/2023 18:30</t>
  </si>
  <si>
    <t>24/05/2023 18:45</t>
  </si>
  <si>
    <t>24/05/2023 19:00</t>
  </si>
  <si>
    <t>24/05/2023 19:15</t>
  </si>
  <si>
    <t>24/05/2023 19:30</t>
  </si>
  <si>
    <t>24/05/2023 19:45</t>
  </si>
  <si>
    <t>24/05/2023 20:00</t>
  </si>
  <si>
    <t>24/05/2023 20:15</t>
  </si>
  <si>
    <t>24/05/2023 20:30</t>
  </si>
  <si>
    <t>24/05/2023 20:45</t>
  </si>
  <si>
    <t>24/05/2023 21:00</t>
  </si>
  <si>
    <t>24/05/2023 21:15</t>
  </si>
  <si>
    <t>24/05/2023 21:30</t>
  </si>
  <si>
    <t>24/05/2023 21:45</t>
  </si>
  <si>
    <t>24/05/2023 22:00</t>
  </si>
  <si>
    <t>24/05/2023 22:15</t>
  </si>
  <si>
    <t>24/05/2023 22:30</t>
  </si>
  <si>
    <t>24/05/2023 22:45</t>
  </si>
  <si>
    <t>24/05/2023 23:00</t>
  </si>
  <si>
    <t>24/05/2023 23:15</t>
  </si>
  <si>
    <t>24/05/2023 23:30</t>
  </si>
  <si>
    <t>24/05/2023 23:45</t>
  </si>
  <si>
    <t>24/05/2023 24:00</t>
  </si>
  <si>
    <t>25/05/2023 00:15</t>
  </si>
  <si>
    <t>25/05/2023 00:30</t>
  </si>
  <si>
    <t>25/05/2023 00:45</t>
  </si>
  <si>
    <t>25/05/2023 01:00</t>
  </si>
  <si>
    <t>25/05/2023 01:15</t>
  </si>
  <si>
    <t>25/05/2023 01:30</t>
  </si>
  <si>
    <t>25/05/2023 01:45</t>
  </si>
  <si>
    <t>25/05/2023 02:00</t>
  </si>
  <si>
    <t>25/05/2023 02:15</t>
  </si>
  <si>
    <t>25/05/2023 02:30</t>
  </si>
  <si>
    <t>25/05/2023 02:45</t>
  </si>
  <si>
    <t>25/05/2023 03:00</t>
  </si>
  <si>
    <t>25/05/2023 03:15</t>
  </si>
  <si>
    <t>25/05/2023 03:30</t>
  </si>
  <si>
    <t>25/05/2023 03:45</t>
  </si>
  <si>
    <t>25/05/2023 04:00</t>
  </si>
  <si>
    <t>25/05/2023 04:15</t>
  </si>
  <si>
    <t>25/05/2023 04:30</t>
  </si>
  <si>
    <t>25/05/2023 04:45</t>
  </si>
  <si>
    <t>25/05/2023 05:00</t>
  </si>
  <si>
    <t>25/05/2023 05:15</t>
  </si>
  <si>
    <t>25/05/2023 05:30</t>
  </si>
  <si>
    <t>25/05/2023 05:45</t>
  </si>
  <si>
    <t>25/05/2023 06:00</t>
  </si>
  <si>
    <t>25/05/2023 06:15</t>
  </si>
  <si>
    <t>25/05/2023 06:30</t>
  </si>
  <si>
    <t>25/05/2023 06:45</t>
  </si>
  <si>
    <t>25/05/2023 07:00</t>
  </si>
  <si>
    <t>25/05/2023 07:15</t>
  </si>
  <si>
    <t>25/05/2023 07:30</t>
  </si>
  <si>
    <t>25/05/2023 07:45</t>
  </si>
  <si>
    <t>25/05/2023 08:00</t>
  </si>
  <si>
    <t>25/05/2023 08:15</t>
  </si>
  <si>
    <t>25/05/2023 08:30</t>
  </si>
  <si>
    <t>25/05/2023 08:45</t>
  </si>
  <si>
    <t>25/05/2023 09:00</t>
  </si>
  <si>
    <t>25/05/2023 09:15</t>
  </si>
  <si>
    <t>25/05/2023 09:30</t>
  </si>
  <si>
    <t>25/05/2023 09:45</t>
  </si>
  <si>
    <t>25/05/2023 10:00</t>
  </si>
  <si>
    <t>25/05/2023 10:15</t>
  </si>
  <si>
    <t>25/05/2023 10:30</t>
  </si>
  <si>
    <t>25/05/2023 10:45</t>
  </si>
  <si>
    <t>25/05/2023 11:00</t>
  </si>
  <si>
    <t>25/05/2023 11:15</t>
  </si>
  <si>
    <t>25/05/2023 11:30</t>
  </si>
  <si>
    <t>25/05/2023 11:45</t>
  </si>
  <si>
    <t>25/05/2023 12:00</t>
  </si>
  <si>
    <t>25/05/2023 12:15</t>
  </si>
  <si>
    <t>25/05/2023 12:30</t>
  </si>
  <si>
    <t>25/05/2023 12:45</t>
  </si>
  <si>
    <t>25/05/2023 13:00</t>
  </si>
  <si>
    <t>25/05/2023 13:15</t>
  </si>
  <si>
    <t>25/05/2023 13:30</t>
  </si>
  <si>
    <t>25/05/2023 13:45</t>
  </si>
  <si>
    <t>25/05/2023 14:00</t>
  </si>
  <si>
    <t>25/05/2023 14:15</t>
  </si>
  <si>
    <t>25/05/2023 14:30</t>
  </si>
  <si>
    <t>25/05/2023 14:45</t>
  </si>
  <si>
    <t>25/05/2023 15:00</t>
  </si>
  <si>
    <t>25/05/2023 15:15</t>
  </si>
  <si>
    <t>25/05/2023 15:30</t>
  </si>
  <si>
    <t>25/05/2023 15:45</t>
  </si>
  <si>
    <t>25/05/2023 16:00</t>
  </si>
  <si>
    <t>25/05/2023 16:15</t>
  </si>
  <si>
    <t>25/05/2023 16:30</t>
  </si>
  <si>
    <t>25/05/2023 16:45</t>
  </si>
  <si>
    <t>25/05/2023 17:00</t>
  </si>
  <si>
    <t>25/05/2023 17:15</t>
  </si>
  <si>
    <t>25/05/2023 17:30</t>
  </si>
  <si>
    <t>25/05/2023 17:45</t>
  </si>
  <si>
    <t>25/05/2023 18:00</t>
  </si>
  <si>
    <t>25/05/2023 18:15</t>
  </si>
  <si>
    <t>25/05/2023 18:30</t>
  </si>
  <si>
    <t>25/05/2023 18:45</t>
  </si>
  <si>
    <t>25/05/2023 19:00</t>
  </si>
  <si>
    <t>25/05/2023 19:15</t>
  </si>
  <si>
    <t>25/05/2023 19:30</t>
  </si>
  <si>
    <t>25/05/2023 19:45</t>
  </si>
  <si>
    <t>25/05/2023 20:00</t>
  </si>
  <si>
    <t>25/05/2023 20:15</t>
  </si>
  <si>
    <t>25/05/2023 20:30</t>
  </si>
  <si>
    <t>25/05/2023 20:45</t>
  </si>
  <si>
    <t>25/05/2023 21:00</t>
  </si>
  <si>
    <t>25/05/2023 21:15</t>
  </si>
  <si>
    <t>25/05/2023 21:30</t>
  </si>
  <si>
    <t>25/05/2023 21:45</t>
  </si>
  <si>
    <t>25/05/2023 22:00</t>
  </si>
  <si>
    <t>25/05/2023 22:15</t>
  </si>
  <si>
    <t>25/05/2023 22:30</t>
  </si>
  <si>
    <t>25/05/2023 22:45</t>
  </si>
  <si>
    <t>25/05/2023 23:00</t>
  </si>
  <si>
    <t>25/05/2023 23:15</t>
  </si>
  <si>
    <t>25/05/2023 23:30</t>
  </si>
  <si>
    <t>25/05/2023 23:45</t>
  </si>
  <si>
    <t>25/05/2023 24:00</t>
  </si>
  <si>
    <t>26/05/2023 00:15</t>
  </si>
  <si>
    <t>26/05/2023 00:30</t>
  </si>
  <si>
    <t>26/05/2023 00:45</t>
  </si>
  <si>
    <t>26/05/2023 01:00</t>
  </si>
  <si>
    <t>26/05/2023 01:15</t>
  </si>
  <si>
    <t>26/05/2023 01:30</t>
  </si>
  <si>
    <t>26/05/2023 01:45</t>
  </si>
  <si>
    <t>26/05/2023 02:00</t>
  </si>
  <si>
    <t>26/05/2023 02:15</t>
  </si>
  <si>
    <t>26/05/2023 02:30</t>
  </si>
  <si>
    <t>26/05/2023 02:45</t>
  </si>
  <si>
    <t>26/05/2023 03:00</t>
  </si>
  <si>
    <t>26/05/2023 03:15</t>
  </si>
  <si>
    <t>26/05/2023 03:30</t>
  </si>
  <si>
    <t>26/05/2023 03:45</t>
  </si>
  <si>
    <t>26/05/2023 04:00</t>
  </si>
  <si>
    <t>26/05/2023 04:15</t>
  </si>
  <si>
    <t>26/05/2023 04:30</t>
  </si>
  <si>
    <t>26/05/2023 04:45</t>
  </si>
  <si>
    <t>26/05/2023 05:00</t>
  </si>
  <si>
    <t>26/05/2023 05:15</t>
  </si>
  <si>
    <t>26/05/2023 05:30</t>
  </si>
  <si>
    <t>26/05/2023 05:45</t>
  </si>
  <si>
    <t>26/05/2023 06:00</t>
  </si>
  <si>
    <t>26/05/2023 06:15</t>
  </si>
  <si>
    <t>26/05/2023 06:30</t>
  </si>
  <si>
    <t>26/05/2023 06:45</t>
  </si>
  <si>
    <t>26/05/2023 07:00</t>
  </si>
  <si>
    <t>26/05/2023 07:15</t>
  </si>
  <si>
    <t>26/05/2023 07:30</t>
  </si>
  <si>
    <t>26/05/2023 07:45</t>
  </si>
  <si>
    <t>26/05/2023 08:00</t>
  </si>
  <si>
    <t>26/05/2023 08:15</t>
  </si>
  <si>
    <t>26/05/2023 08:30</t>
  </si>
  <si>
    <t>26/05/2023 08:45</t>
  </si>
  <si>
    <t>26/05/2023 09:00</t>
  </si>
  <si>
    <t>26/05/2023 09:15</t>
  </si>
  <si>
    <t>26/05/2023 09:30</t>
  </si>
  <si>
    <t>26/05/2023 09:45</t>
  </si>
  <si>
    <t>26/05/2023 10:00</t>
  </si>
  <si>
    <t>26/05/2023 10:15</t>
  </si>
  <si>
    <t>26/05/2023 10:30</t>
  </si>
  <si>
    <t>26/05/2023 10:45</t>
  </si>
  <si>
    <t>26/05/2023 11:00</t>
  </si>
  <si>
    <t>26/05/2023 11:15</t>
  </si>
  <si>
    <t>26/05/2023 11:30</t>
  </si>
  <si>
    <t>26/05/2023 11:45</t>
  </si>
  <si>
    <t>26/05/2023 12:00</t>
  </si>
  <si>
    <t>26/05/2023 12:15</t>
  </si>
  <si>
    <t>26/05/2023 12:30</t>
  </si>
  <si>
    <t>26/05/2023 12:45</t>
  </si>
  <si>
    <t>26/05/2023 13:00</t>
  </si>
  <si>
    <t>26/05/2023 13:15</t>
  </si>
  <si>
    <t>26/05/2023 13:30</t>
  </si>
  <si>
    <t>26/05/2023 13:45</t>
  </si>
  <si>
    <t>26/05/2023 14:00</t>
  </si>
  <si>
    <t>26/05/2023 14:15</t>
  </si>
  <si>
    <t>26/05/2023 14:30</t>
  </si>
  <si>
    <t>26/05/2023 14:45</t>
  </si>
  <si>
    <t>26/05/2023 15:00</t>
  </si>
  <si>
    <t>26/05/2023 15:15</t>
  </si>
  <si>
    <t>26/05/2023 15:30</t>
  </si>
  <si>
    <t>26/05/2023 15:45</t>
  </si>
  <si>
    <t>26/05/2023 16:00</t>
  </si>
  <si>
    <t>26/05/2023 16:15</t>
  </si>
  <si>
    <t>26/05/2023 16:30</t>
  </si>
  <si>
    <t>26/05/2023 16:45</t>
  </si>
  <si>
    <t>26/05/2023 17:00</t>
  </si>
  <si>
    <t>26/05/2023 17:15</t>
  </si>
  <si>
    <t>26/05/2023 17:30</t>
  </si>
  <si>
    <t>26/05/2023 17:45</t>
  </si>
  <si>
    <t>26/05/2023 18:00</t>
  </si>
  <si>
    <t>26/05/2023 18:15</t>
  </si>
  <si>
    <t>26/05/2023 18:30</t>
  </si>
  <si>
    <t>26/05/2023 18:45</t>
  </si>
  <si>
    <t>26/05/2023 19:00</t>
  </si>
  <si>
    <t>26/05/2023 19:15</t>
  </si>
  <si>
    <t>26/05/2023 19:30</t>
  </si>
  <si>
    <t>26/05/2023 19:45</t>
  </si>
  <si>
    <t>26/05/2023 20:00</t>
  </si>
  <si>
    <t>26/05/2023 20:15</t>
  </si>
  <si>
    <t>26/05/2023 20:30</t>
  </si>
  <si>
    <t>26/05/2023 20:45</t>
  </si>
  <si>
    <t>26/05/2023 21:00</t>
  </si>
  <si>
    <t>26/05/2023 21:15</t>
  </si>
  <si>
    <t>26/05/2023 21:30</t>
  </si>
  <si>
    <t>26/05/2023 21:45</t>
  </si>
  <si>
    <t>26/05/2023 22:00</t>
  </si>
  <si>
    <t>26/05/2023 22:15</t>
  </si>
  <si>
    <t>26/05/2023 22:30</t>
  </si>
  <si>
    <t>26/05/2023 22:45</t>
  </si>
  <si>
    <t>26/05/2023 23:00</t>
  </si>
  <si>
    <t>26/05/2023 23:15</t>
  </si>
  <si>
    <t>26/05/2023 23:30</t>
  </si>
  <si>
    <t>26/05/2023 23:45</t>
  </si>
  <si>
    <t>26/05/2023 24:00</t>
  </si>
  <si>
    <t>27/05/2023 00:15</t>
  </si>
  <si>
    <t>27/05/2023 00:30</t>
  </si>
  <si>
    <t>27/05/2023 00:45</t>
  </si>
  <si>
    <t>27/05/2023 01:00</t>
  </si>
  <si>
    <t>27/05/2023 01:15</t>
  </si>
  <si>
    <t>27/05/2023 01:30</t>
  </si>
  <si>
    <t>27/05/2023 01:45</t>
  </si>
  <si>
    <t>27/05/2023 02:00</t>
  </si>
  <si>
    <t>27/05/2023 02:15</t>
  </si>
  <si>
    <t>27/05/2023 02:30</t>
  </si>
  <si>
    <t>27/05/2023 02:45</t>
  </si>
  <si>
    <t>27/05/2023 03:00</t>
  </si>
  <si>
    <t>27/05/2023 03:15</t>
  </si>
  <si>
    <t>27/05/2023 03:30</t>
  </si>
  <si>
    <t>27/05/2023 03:45</t>
  </si>
  <si>
    <t>27/05/2023 04:00</t>
  </si>
  <si>
    <t>27/05/2023 04:15</t>
  </si>
  <si>
    <t>27/05/2023 04:30</t>
  </si>
  <si>
    <t>27/05/2023 04:45</t>
  </si>
  <si>
    <t>27/05/2023 05:00</t>
  </si>
  <si>
    <t>27/05/2023 05:15</t>
  </si>
  <si>
    <t>27/05/2023 05:30</t>
  </si>
  <si>
    <t>27/05/2023 05:45</t>
  </si>
  <si>
    <t>27/05/2023 06:00</t>
  </si>
  <si>
    <t>27/05/2023 06:15</t>
  </si>
  <si>
    <t>27/05/2023 06:30</t>
  </si>
  <si>
    <t>27/05/2023 06:45</t>
  </si>
  <si>
    <t>27/05/2023 07:00</t>
  </si>
  <si>
    <t>27/05/2023 07:15</t>
  </si>
  <si>
    <t>27/05/2023 07:30</t>
  </si>
  <si>
    <t>27/05/2023 07:45</t>
  </si>
  <si>
    <t>27/05/2023 08:00</t>
  </si>
  <si>
    <t>27/05/2023 08:15</t>
  </si>
  <si>
    <t>27/05/2023 08:30</t>
  </si>
  <si>
    <t>27/05/2023 08:45</t>
  </si>
  <si>
    <t>27/05/2023 09:00</t>
  </si>
  <si>
    <t>27/05/2023 09:15</t>
  </si>
  <si>
    <t>27/05/2023 09:30</t>
  </si>
  <si>
    <t>27/05/2023 09:45</t>
  </si>
  <si>
    <t>27/05/2023 10:00</t>
  </si>
  <si>
    <t>27/05/2023 10:15</t>
  </si>
  <si>
    <t>27/05/2023 10:30</t>
  </si>
  <si>
    <t>27/05/2023 10:45</t>
  </si>
  <si>
    <t>27/05/2023 11:00</t>
  </si>
  <si>
    <t>27/05/2023 11:15</t>
  </si>
  <si>
    <t>27/05/2023 11:30</t>
  </si>
  <si>
    <t>27/05/2023 11:45</t>
  </si>
  <si>
    <t>27/05/2023 12:00</t>
  </si>
  <si>
    <t>27/05/2023 12:15</t>
  </si>
  <si>
    <t>27/05/2023 12:30</t>
  </si>
  <si>
    <t>27/05/2023 12:45</t>
  </si>
  <si>
    <t>27/05/2023 13:00</t>
  </si>
  <si>
    <t>27/05/2023 13:15</t>
  </si>
  <si>
    <t>27/05/2023 13:30</t>
  </si>
  <si>
    <t>27/05/2023 13:45</t>
  </si>
  <si>
    <t>27/05/2023 14:00</t>
  </si>
  <si>
    <t>27/05/2023 14:15</t>
  </si>
  <si>
    <t>27/05/2023 14:30</t>
  </si>
  <si>
    <t>27/05/2023 14:45</t>
  </si>
  <si>
    <t>27/05/2023 15:00</t>
  </si>
  <si>
    <t>27/05/2023 15:15</t>
  </si>
  <si>
    <t>27/05/2023 15:30</t>
  </si>
  <si>
    <t>27/05/2023 15:45</t>
  </si>
  <si>
    <t>27/05/2023 16:00</t>
  </si>
  <si>
    <t>27/05/2023 16:15</t>
  </si>
  <si>
    <t>27/05/2023 16:30</t>
  </si>
  <si>
    <t>27/05/2023 16:45</t>
  </si>
  <si>
    <t>27/05/2023 17:00</t>
  </si>
  <si>
    <t>27/05/2023 17:15</t>
  </si>
  <si>
    <t>27/05/2023 17:30</t>
  </si>
  <si>
    <t>27/05/2023 17:45</t>
  </si>
  <si>
    <t>27/05/2023 18:00</t>
  </si>
  <si>
    <t>27/05/2023 18:15</t>
  </si>
  <si>
    <t>27/05/2023 18:30</t>
  </si>
  <si>
    <t>27/05/2023 18:45</t>
  </si>
  <si>
    <t>27/05/2023 19:00</t>
  </si>
  <si>
    <t>27/05/2023 19:15</t>
  </si>
  <si>
    <t>27/05/2023 19:30</t>
  </si>
  <si>
    <t>27/05/2023 19:45</t>
  </si>
  <si>
    <t>27/05/2023 20:00</t>
  </si>
  <si>
    <t>27/05/2023 20:15</t>
  </si>
  <si>
    <t>27/05/2023 20:30</t>
  </si>
  <si>
    <t>27/05/2023 20:45</t>
  </si>
  <si>
    <t>27/05/2023 21:00</t>
  </si>
  <si>
    <t>27/05/2023 21:15</t>
  </si>
  <si>
    <t>27/05/2023 21:30</t>
  </si>
  <si>
    <t>27/05/2023 21:45</t>
  </si>
  <si>
    <t>27/05/2023 22:00</t>
  </si>
  <si>
    <t>27/05/2023 22:15</t>
  </si>
  <si>
    <t>27/05/2023 22:30</t>
  </si>
  <si>
    <t>27/05/2023 22:45</t>
  </si>
  <si>
    <t>27/05/2023 23:00</t>
  </si>
  <si>
    <t>27/05/2023 23:15</t>
  </si>
  <si>
    <t>27/05/2023 23:30</t>
  </si>
  <si>
    <t>27/05/2023 23:45</t>
  </si>
  <si>
    <t>27/05/2023 24:00</t>
  </si>
  <si>
    <t>28/05/2023 00:15</t>
  </si>
  <si>
    <t>28/05/2023 00:30</t>
  </si>
  <si>
    <t>28/05/2023 00:45</t>
  </si>
  <si>
    <t>28/05/2023 01:00</t>
  </si>
  <si>
    <t>28/05/2023 01:15</t>
  </si>
  <si>
    <t>28/05/2023 01:30</t>
  </si>
  <si>
    <t>28/05/2023 01:45</t>
  </si>
  <si>
    <t>28/05/2023 02:00</t>
  </si>
  <si>
    <t>28/05/2023 02:15</t>
  </si>
  <si>
    <t>28/05/2023 02:30</t>
  </si>
  <si>
    <t>28/05/2023 02:45</t>
  </si>
  <si>
    <t>28/05/2023 03:00</t>
  </si>
  <si>
    <t>28/05/2023 03:15</t>
  </si>
  <si>
    <t>28/05/2023 03:30</t>
  </si>
  <si>
    <t>28/05/2023 03:45</t>
  </si>
  <si>
    <t>28/05/2023 04:00</t>
  </si>
  <si>
    <t>28/05/2023 04:15</t>
  </si>
  <si>
    <t>28/05/2023 04:30</t>
  </si>
  <si>
    <t>28/05/2023 04:45</t>
  </si>
  <si>
    <t>28/05/2023 05:00</t>
  </si>
  <si>
    <t>28/05/2023 05:15</t>
  </si>
  <si>
    <t>28/05/2023 05:30</t>
  </si>
  <si>
    <t>28/05/2023 05:45</t>
  </si>
  <si>
    <t>28/05/2023 06:00</t>
  </si>
  <si>
    <t>28/05/2023 06:15</t>
  </si>
  <si>
    <t>28/05/2023 06:30</t>
  </si>
  <si>
    <t>28/05/2023 06:45</t>
  </si>
  <si>
    <t>28/05/2023 07:00</t>
  </si>
  <si>
    <t>28/05/2023 07:15</t>
  </si>
  <si>
    <t>28/05/2023 07:30</t>
  </si>
  <si>
    <t>28/05/2023 07:45</t>
  </si>
  <si>
    <t>28/05/2023 08:00</t>
  </si>
  <si>
    <t>28/05/2023 08:15</t>
  </si>
  <si>
    <t>28/05/2023 08:30</t>
  </si>
  <si>
    <t>28/05/2023 08:45</t>
  </si>
  <si>
    <t>28/05/2023 09:00</t>
  </si>
  <si>
    <t>28/05/2023 09:15</t>
  </si>
  <si>
    <t>28/05/2023 09:30</t>
  </si>
  <si>
    <t>28/05/2023 09:45</t>
  </si>
  <si>
    <t>28/05/2023 10:00</t>
  </si>
  <si>
    <t>28/05/2023 10:15</t>
  </si>
  <si>
    <t>28/05/2023 10:30</t>
  </si>
  <si>
    <t>28/05/2023 10:45</t>
  </si>
  <si>
    <t>28/05/2023 11:00</t>
  </si>
  <si>
    <t>28/05/2023 11:15</t>
  </si>
  <si>
    <t>28/05/2023 11:30</t>
  </si>
  <si>
    <t>28/05/2023 11:45</t>
  </si>
  <si>
    <t>28/05/2023 12:00</t>
  </si>
  <si>
    <t>28/05/2023 12:15</t>
  </si>
  <si>
    <t>28/05/2023 12:30</t>
  </si>
  <si>
    <t>28/05/2023 12:45</t>
  </si>
  <si>
    <t>28/05/2023 13:00</t>
  </si>
  <si>
    <t>28/05/2023 13:15</t>
  </si>
  <si>
    <t>28/05/2023 13:30</t>
  </si>
  <si>
    <t>28/05/2023 13:45</t>
  </si>
  <si>
    <t>28/05/2023 14:00</t>
  </si>
  <si>
    <t>28/05/2023 14:15</t>
  </si>
  <si>
    <t>28/05/2023 14:30</t>
  </si>
  <si>
    <t>28/05/2023 14:45</t>
  </si>
  <si>
    <t>28/05/2023 15:00</t>
  </si>
  <si>
    <t>28/05/2023 15:15</t>
  </si>
  <si>
    <t>28/05/2023 15:30</t>
  </si>
  <si>
    <t>28/05/2023 15:45</t>
  </si>
  <si>
    <t>28/05/2023 16:00</t>
  </si>
  <si>
    <t>28/05/2023 16:15</t>
  </si>
  <si>
    <t>28/05/2023 16:30</t>
  </si>
  <si>
    <t>28/05/2023 16:45</t>
  </si>
  <si>
    <t>28/05/2023 17:00</t>
  </si>
  <si>
    <t>28/05/2023 17:15</t>
  </si>
  <si>
    <t>28/05/2023 17:30</t>
  </si>
  <si>
    <t>28/05/2023 17:45</t>
  </si>
  <si>
    <t>28/05/2023 18:00</t>
  </si>
  <si>
    <t>28/05/2023 18:15</t>
  </si>
  <si>
    <t>28/05/2023 18:30</t>
  </si>
  <si>
    <t>28/05/2023 18:45</t>
  </si>
  <si>
    <t>28/05/2023 19:00</t>
  </si>
  <si>
    <t>28/05/2023 19:15</t>
  </si>
  <si>
    <t>28/05/2023 19:30</t>
  </si>
  <si>
    <t>28/05/2023 19:45</t>
  </si>
  <si>
    <t>28/05/2023 20:00</t>
  </si>
  <si>
    <t>28/05/2023 20:15</t>
  </si>
  <si>
    <t>28/05/2023 20:30</t>
  </si>
  <si>
    <t>28/05/2023 20:45</t>
  </si>
  <si>
    <t>28/05/2023 21:00</t>
  </si>
  <si>
    <t>28/05/2023 21:15</t>
  </si>
  <si>
    <t>28/05/2023 21:30</t>
  </si>
  <si>
    <t>28/05/2023 21:45</t>
  </si>
  <si>
    <t>28/05/2023 22:00</t>
  </si>
  <si>
    <t>28/05/2023 22:15</t>
  </si>
  <si>
    <t>28/05/2023 22:30</t>
  </si>
  <si>
    <t>28/05/2023 22:45</t>
  </si>
  <si>
    <t>28/05/2023 23:00</t>
  </si>
  <si>
    <t>28/05/2023 23:15</t>
  </si>
  <si>
    <t>28/05/2023 23:30</t>
  </si>
  <si>
    <t>28/05/2023 23:45</t>
  </si>
  <si>
    <t>28/05/2023 24:00</t>
  </si>
  <si>
    <t>29/05/2023 00:15</t>
  </si>
  <si>
    <t>29/05/2023 00:30</t>
  </si>
  <si>
    <t>29/05/2023 00:45</t>
  </si>
  <si>
    <t>29/05/2023 01:00</t>
  </si>
  <si>
    <t>29/05/2023 01:15</t>
  </si>
  <si>
    <t>29/05/2023 01:30</t>
  </si>
  <si>
    <t>29/05/2023 01:45</t>
  </si>
  <si>
    <t>29/05/2023 02:00</t>
  </si>
  <si>
    <t>29/05/2023 02:15</t>
  </si>
  <si>
    <t>29/05/2023 02:30</t>
  </si>
  <si>
    <t>29/05/2023 02:45</t>
  </si>
  <si>
    <t>29/05/2023 03:00</t>
  </si>
  <si>
    <t>29/05/2023 03:15</t>
  </si>
  <si>
    <t>29/05/2023 03:30</t>
  </si>
  <si>
    <t>29/05/2023 03:45</t>
  </si>
  <si>
    <t>29/05/2023 04:00</t>
  </si>
  <si>
    <t>29/05/2023 04:15</t>
  </si>
  <si>
    <t>29/05/2023 04:30</t>
  </si>
  <si>
    <t>29/05/2023 04:45</t>
  </si>
  <si>
    <t>29/05/2023 05:00</t>
  </si>
  <si>
    <t>29/05/2023 05:15</t>
  </si>
  <si>
    <t>29/05/2023 05:30</t>
  </si>
  <si>
    <t>29/05/2023 05:45</t>
  </si>
  <si>
    <t>29/05/2023 06:00</t>
  </si>
  <si>
    <t>29/05/2023 06:15</t>
  </si>
  <si>
    <t>29/05/2023 06:30</t>
  </si>
  <si>
    <t>29/05/2023 06:45</t>
  </si>
  <si>
    <t>29/05/2023 07:00</t>
  </si>
  <si>
    <t>29/05/2023 07:15</t>
  </si>
  <si>
    <t>29/05/2023 07:30</t>
  </si>
  <si>
    <t>29/05/2023 07:45</t>
  </si>
  <si>
    <t>29/05/2023 08:00</t>
  </si>
  <si>
    <t>29/05/2023 08:15</t>
  </si>
  <si>
    <t>29/05/2023 08:30</t>
  </si>
  <si>
    <t>29/05/2023 08:45</t>
  </si>
  <si>
    <t>29/05/2023 09:00</t>
  </si>
  <si>
    <t>29/05/2023 09:15</t>
  </si>
  <si>
    <t>29/05/2023 09:30</t>
  </si>
  <si>
    <t>29/05/2023 09:45</t>
  </si>
  <si>
    <t>29/05/2023 10:00</t>
  </si>
  <si>
    <t>29/05/2023 10:15</t>
  </si>
  <si>
    <t>29/05/2023 10:30</t>
  </si>
  <si>
    <t>29/05/2023 10:45</t>
  </si>
  <si>
    <t>29/05/2023 11:00</t>
  </si>
  <si>
    <t>29/05/2023 11:15</t>
  </si>
  <si>
    <t>29/05/2023 11:30</t>
  </si>
  <si>
    <t>29/05/2023 11:45</t>
  </si>
  <si>
    <t>29/05/2023 12:00</t>
  </si>
  <si>
    <t>29/05/2023 12:15</t>
  </si>
  <si>
    <t>29/05/2023 12:30</t>
  </si>
  <si>
    <t>29/05/2023 12:45</t>
  </si>
  <si>
    <t>29/05/2023 13:00</t>
  </si>
  <si>
    <t>29/05/2023 13:15</t>
  </si>
  <si>
    <t>29/05/2023 13:30</t>
  </si>
  <si>
    <t>29/05/2023 13:45</t>
  </si>
  <si>
    <t>29/05/2023 14:00</t>
  </si>
  <si>
    <t>29/05/2023 14:15</t>
  </si>
  <si>
    <t>29/05/2023 14:30</t>
  </si>
  <si>
    <t>29/05/2023 14:45</t>
  </si>
  <si>
    <t>29/05/2023 15:00</t>
  </si>
  <si>
    <t>29/05/2023 15:15</t>
  </si>
  <si>
    <t>29/05/2023 15:30</t>
  </si>
  <si>
    <t>29/05/2023 15:45</t>
  </si>
  <si>
    <t>29/05/2023 16:00</t>
  </si>
  <si>
    <t>29/05/2023 16:15</t>
  </si>
  <si>
    <t>29/05/2023 16:30</t>
  </si>
  <si>
    <t>29/05/2023 16:45</t>
  </si>
  <si>
    <t>29/05/2023 17:00</t>
  </si>
  <si>
    <t>29/05/2023 17:15</t>
  </si>
  <si>
    <t>29/05/2023 17:30</t>
  </si>
  <si>
    <t>29/05/2023 17:45</t>
  </si>
  <si>
    <t>29/05/2023 18:00</t>
  </si>
  <si>
    <t>29/05/2023 18:15</t>
  </si>
  <si>
    <t>29/05/2023 18:30</t>
  </si>
  <si>
    <t>29/05/2023 18:45</t>
  </si>
  <si>
    <t>29/05/2023 19:00</t>
  </si>
  <si>
    <t>29/05/2023 19:15</t>
  </si>
  <si>
    <t>29/05/2023 19:30</t>
  </si>
  <si>
    <t>29/05/2023 19:45</t>
  </si>
  <si>
    <t>29/05/2023 20:00</t>
  </si>
  <si>
    <t>29/05/2023 20:15</t>
  </si>
  <si>
    <t>29/05/2023 20:30</t>
  </si>
  <si>
    <t>29/05/2023 20:45</t>
  </si>
  <si>
    <t>29/05/2023 21:00</t>
  </si>
  <si>
    <t>29/05/2023 21:15</t>
  </si>
  <si>
    <t>29/05/2023 21:30</t>
  </si>
  <si>
    <t>29/05/2023 21:45</t>
  </si>
  <si>
    <t>29/05/2023 22:00</t>
  </si>
  <si>
    <t>29/05/2023 22:15</t>
  </si>
  <si>
    <t>29/05/2023 22:30</t>
  </si>
  <si>
    <t>29/05/2023 22:45</t>
  </si>
  <si>
    <t>29/05/2023 23:00</t>
  </si>
  <si>
    <t>29/05/2023 23:15</t>
  </si>
  <si>
    <t>29/05/2023 23:30</t>
  </si>
  <si>
    <t>29/05/2023 23:45</t>
  </si>
  <si>
    <t>29/05/2023 24:00</t>
  </si>
  <si>
    <t>30/05/2023 00:15</t>
  </si>
  <si>
    <t>30/05/2023 00:30</t>
  </si>
  <si>
    <t>30/05/2023 00:45</t>
  </si>
  <si>
    <t>30/05/2023 01:00</t>
  </si>
  <si>
    <t>30/05/2023 01:15</t>
  </si>
  <si>
    <t>30/05/2023 01:30</t>
  </si>
  <si>
    <t>30/05/2023 01:45</t>
  </si>
  <si>
    <t>30/05/2023 02:00</t>
  </si>
  <si>
    <t>30/05/2023 02:15</t>
  </si>
  <si>
    <t>30/05/2023 02:30</t>
  </si>
  <si>
    <t>30/05/2023 02:45</t>
  </si>
  <si>
    <t>30/05/2023 03:00</t>
  </si>
  <si>
    <t>30/05/2023 03:15</t>
  </si>
  <si>
    <t>30/05/2023 03:30</t>
  </si>
  <si>
    <t>30/05/2023 03:45</t>
  </si>
  <si>
    <t>30/05/2023 04:00</t>
  </si>
  <si>
    <t>30/05/2023 04:15</t>
  </si>
  <si>
    <t>30/05/2023 04:30</t>
  </si>
  <si>
    <t>30/05/2023 04:45</t>
  </si>
  <si>
    <t>30/05/2023 05:00</t>
  </si>
  <si>
    <t>30/05/2023 05:15</t>
  </si>
  <si>
    <t>30/05/2023 05:30</t>
  </si>
  <si>
    <t>30/05/2023 05:45</t>
  </si>
  <si>
    <t>30/05/2023 06:00</t>
  </si>
  <si>
    <t>30/05/2023 06:15</t>
  </si>
  <si>
    <t>30/05/2023 06:30</t>
  </si>
  <si>
    <t>30/05/2023 06:45</t>
  </si>
  <si>
    <t>30/05/2023 07:00</t>
  </si>
  <si>
    <t>30/05/2023 07:15</t>
  </si>
  <si>
    <t>30/05/2023 07:30</t>
  </si>
  <si>
    <t>30/05/2023 07:45</t>
  </si>
  <si>
    <t>30/05/2023 08:00</t>
  </si>
  <si>
    <t>30/05/2023 08:15</t>
  </si>
  <si>
    <t>30/05/2023 08:30</t>
  </si>
  <si>
    <t>30/05/2023 08:45</t>
  </si>
  <si>
    <t>30/05/2023 09:00</t>
  </si>
  <si>
    <t>30/05/2023 09:15</t>
  </si>
  <si>
    <t>30/05/2023 09:30</t>
  </si>
  <si>
    <t>30/05/2023 09:45</t>
  </si>
  <si>
    <t>30/05/2023 10:00</t>
  </si>
  <si>
    <t>30/05/2023 10:15</t>
  </si>
  <si>
    <t>30/05/2023 10:30</t>
  </si>
  <si>
    <t>30/05/2023 10:45</t>
  </si>
  <si>
    <t>30/05/2023 11:00</t>
  </si>
  <si>
    <t>30/05/2023 11:15</t>
  </si>
  <si>
    <t>30/05/2023 11:30</t>
  </si>
  <si>
    <t>30/05/2023 11:45</t>
  </si>
  <si>
    <t>30/05/2023 12:00</t>
  </si>
  <si>
    <t>30/05/2023 12:15</t>
  </si>
  <si>
    <t>30/05/2023 12:30</t>
  </si>
  <si>
    <t>30/05/2023 12:45</t>
  </si>
  <si>
    <t>30/05/2023 13:00</t>
  </si>
  <si>
    <t>30/05/2023 13:15</t>
  </si>
  <si>
    <t>30/05/2023 13:30</t>
  </si>
  <si>
    <t>30/05/2023 13:45</t>
  </si>
  <si>
    <t>30/05/2023 14:00</t>
  </si>
  <si>
    <t>30/05/2023 14:15</t>
  </si>
  <si>
    <t>30/05/2023 14:30</t>
  </si>
  <si>
    <t>30/05/2023 14:45</t>
  </si>
  <si>
    <t>30/05/2023 15:00</t>
  </si>
  <si>
    <t>30/05/2023 15:15</t>
  </si>
  <si>
    <t>30/05/2023 15:30</t>
  </si>
  <si>
    <t>30/05/2023 15:45</t>
  </si>
  <si>
    <t>30/05/2023 16:00</t>
  </si>
  <si>
    <t>30/05/2023 16:15</t>
  </si>
  <si>
    <t>30/05/2023 16:30</t>
  </si>
  <si>
    <t>30/05/2023 16:45</t>
  </si>
  <si>
    <t>30/05/2023 17:00</t>
  </si>
  <si>
    <t>30/05/2023 17:15</t>
  </si>
  <si>
    <t>30/05/2023 17:30</t>
  </si>
  <si>
    <t>30/05/2023 17:45</t>
  </si>
  <si>
    <t>30/05/2023 18:00</t>
  </si>
  <si>
    <t>30/05/2023 18:15</t>
  </si>
  <si>
    <t>30/05/2023 18:30</t>
  </si>
  <si>
    <t>30/05/2023 18:45</t>
  </si>
  <si>
    <t>30/05/2023 19:00</t>
  </si>
  <si>
    <t>30/05/2023 19:15</t>
  </si>
  <si>
    <t>30/05/2023 19:30</t>
  </si>
  <si>
    <t>30/05/2023 19:45</t>
  </si>
  <si>
    <t>30/05/2023 20:00</t>
  </si>
  <si>
    <t>30/05/2023 20:15</t>
  </si>
  <si>
    <t>30/05/2023 20:30</t>
  </si>
  <si>
    <t>30/05/2023 20:45</t>
  </si>
  <si>
    <t>30/05/2023 21:00</t>
  </si>
  <si>
    <t>30/05/2023 21:15</t>
  </si>
  <si>
    <t>30/05/2023 21:30</t>
  </si>
  <si>
    <t>30/05/2023 21:45</t>
  </si>
  <si>
    <t>30/05/2023 22:00</t>
  </si>
  <si>
    <t>30/05/2023 22:15</t>
  </si>
  <si>
    <t>30/05/2023 22:30</t>
  </si>
  <si>
    <t>30/05/2023 22:45</t>
  </si>
  <si>
    <t>30/05/2023 23:00</t>
  </si>
  <si>
    <t>30/05/2023 23:15</t>
  </si>
  <si>
    <t>30/05/2023 23:30</t>
  </si>
  <si>
    <t>30/05/2023 23:45</t>
  </si>
  <si>
    <t>30/05/2023 24:00</t>
  </si>
  <si>
    <t>31/05/2023 00:15</t>
  </si>
  <si>
    <t>31/05/2023 00:30</t>
  </si>
  <si>
    <t>31/05/2023 00:45</t>
  </si>
  <si>
    <t>31/05/2023 01:00</t>
  </si>
  <si>
    <t>31/05/2023 01:15</t>
  </si>
  <si>
    <t>31/05/2023 01:30</t>
  </si>
  <si>
    <t>31/05/2023 01:45</t>
  </si>
  <si>
    <t>31/05/2023 02:00</t>
  </si>
  <si>
    <t>31/05/2023 02:15</t>
  </si>
  <si>
    <t>31/05/2023 02:30</t>
  </si>
  <si>
    <t>31/05/2023 02:45</t>
  </si>
  <si>
    <t>31/05/2023 03:00</t>
  </si>
  <si>
    <t>31/05/2023 03:15</t>
  </si>
  <si>
    <t>31/05/2023 03:30</t>
  </si>
  <si>
    <t>31/05/2023 03:45</t>
  </si>
  <si>
    <t>31/05/2023 04:00</t>
  </si>
  <si>
    <t>31/05/2023 04:15</t>
  </si>
  <si>
    <t>31/05/2023 04:30</t>
  </si>
  <si>
    <t>31/05/2023 04:45</t>
  </si>
  <si>
    <t>31/05/2023 05:00</t>
  </si>
  <si>
    <t>31/05/2023 05:15</t>
  </si>
  <si>
    <t>31/05/2023 05:30</t>
  </si>
  <si>
    <t>31/05/2023 05:45</t>
  </si>
  <si>
    <t>31/05/2023 06:00</t>
  </si>
  <si>
    <t>31/05/2023 06:15</t>
  </si>
  <si>
    <t>31/05/2023 06:30</t>
  </si>
  <si>
    <t>31/05/2023 06:45</t>
  </si>
  <si>
    <t>31/05/2023 07:00</t>
  </si>
  <si>
    <t>31/05/2023 07:15</t>
  </si>
  <si>
    <t>31/05/2023 07:30</t>
  </si>
  <si>
    <t>31/05/2023 07:45</t>
  </si>
  <si>
    <t>31/05/2023 08:00</t>
  </si>
  <si>
    <t>31/05/2023 08:15</t>
  </si>
  <si>
    <t>31/05/2023 08:30</t>
  </si>
  <si>
    <t>31/05/2023 08:45</t>
  </si>
  <si>
    <t>31/05/2023 09:00</t>
  </si>
  <si>
    <t>31/05/2023 09:15</t>
  </si>
  <si>
    <t>31/05/2023 09:30</t>
  </si>
  <si>
    <t>31/05/2023 09:45</t>
  </si>
  <si>
    <t>31/05/2023 10:00</t>
  </si>
  <si>
    <t>31/05/2023 10:15</t>
  </si>
  <si>
    <t>31/05/2023 10:30</t>
  </si>
  <si>
    <t>31/05/2023 10:45</t>
  </si>
  <si>
    <t>31/05/2023 11:00</t>
  </si>
  <si>
    <t>31/05/2023 11:15</t>
  </si>
  <si>
    <t>31/05/2023 11:30</t>
  </si>
  <si>
    <t>31/05/2023 11:45</t>
  </si>
  <si>
    <t>31/05/2023 12:00</t>
  </si>
  <si>
    <t>31/05/2023 12:15</t>
  </si>
  <si>
    <t>31/05/2023 12:30</t>
  </si>
  <si>
    <t>31/05/2023 12:45</t>
  </si>
  <si>
    <t>31/05/2023 13:00</t>
  </si>
  <si>
    <t>31/05/2023 13:15</t>
  </si>
  <si>
    <t>31/05/2023 13:30</t>
  </si>
  <si>
    <t>31/05/2023 13:45</t>
  </si>
  <si>
    <t>31/05/2023 14:00</t>
  </si>
  <si>
    <t>31/05/2023 14:15</t>
  </si>
  <si>
    <t>31/05/2023 14:30</t>
  </si>
  <si>
    <t>31/05/2023 14:45</t>
  </si>
  <si>
    <t>31/05/2023 15:00</t>
  </si>
  <si>
    <t>31/05/2023 15:15</t>
  </si>
  <si>
    <t>31/05/2023 15:30</t>
  </si>
  <si>
    <t>31/05/2023 15:45</t>
  </si>
  <si>
    <t>31/05/2023 16:00</t>
  </si>
  <si>
    <t>31/05/2023 16:15</t>
  </si>
  <si>
    <t>31/05/2023 16:30</t>
  </si>
  <si>
    <t>31/05/2023 16:45</t>
  </si>
  <si>
    <t>31/05/2023 17:00</t>
  </si>
  <si>
    <t>31/05/2023 17:15</t>
  </si>
  <si>
    <t>31/05/2023 17:30</t>
  </si>
  <si>
    <t>31/05/2023 17:45</t>
  </si>
  <si>
    <t>31/05/2023 18:00</t>
  </si>
  <si>
    <t>31/05/2023 18:15</t>
  </si>
  <si>
    <t>31/05/2023 18:30</t>
  </si>
  <si>
    <t>31/05/2023 18:45</t>
  </si>
  <si>
    <t>31/05/2023 19:00</t>
  </si>
  <si>
    <t>31/05/2023 19:15</t>
  </si>
  <si>
    <t>31/05/2023 19:30</t>
  </si>
  <si>
    <t>31/05/2023 19:45</t>
  </si>
  <si>
    <t>31/05/2023 20:00</t>
  </si>
  <si>
    <t>31/05/2023 20:15</t>
  </si>
  <si>
    <t>31/05/2023 20:30</t>
  </si>
  <si>
    <t>31/05/2023 20:45</t>
  </si>
  <si>
    <t>31/05/2023 21:00</t>
  </si>
  <si>
    <t>31/05/2023 21:15</t>
  </si>
  <si>
    <t>31/05/2023 21:30</t>
  </si>
  <si>
    <t>31/05/2023 21:45</t>
  </si>
  <si>
    <t>31/05/2023 22:00</t>
  </si>
  <si>
    <t>31/05/2023 22:15</t>
  </si>
  <si>
    <t>31/05/2023 22:30</t>
  </si>
  <si>
    <t>31/05/2023 22:45</t>
  </si>
  <si>
    <t>31/05/2023 23:00</t>
  </si>
  <si>
    <t>31/05/2023 23:15</t>
  </si>
  <si>
    <t>31/05/2023 23:30</t>
  </si>
  <si>
    <t>31/05/2023 23:45</t>
  </si>
  <si>
    <t>31/05/2023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</si>
</sst>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2" fillId="0" borderId="7" xfId="0" applyNumberFormat="1" applyFont="1" applyBorder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0" fillId="0" borderId="0" xfId="0" applyNumberFormat="1"/>
    <xf numFmtId="1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2" fontId="28" fillId="0" borderId="0" xfId="0" applyNumberFormat="1" applyFont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2" fontId="36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2" fontId="0" fillId="0" borderId="0" xfId="0" applyNumberFormat="1"/>
    <xf numFmtId="0" fontId="28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0" fontId="33" fillId="3" borderId="3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7"/>
  <sheetViews>
    <sheetView zoomScale="80" zoomScaleNormal="80" workbookViewId="0">
      <pane xSplit="1" ySplit="8" topLeftCell="B9" activePane="bottomRight" state="frozen"/>
      <selection pane="topRight"/>
      <selection pane="bottomLeft"/>
      <selection pane="bottomRight" activeCell="A9" sqref="A9:Q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01/05/2023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00" t="s">
        <v>238</v>
      </c>
      <c r="B9" s="100">
        <v>38.42</v>
      </c>
      <c r="C9" s="100">
        <v>59.71</v>
      </c>
      <c r="D9" s="100">
        <v>63.36</v>
      </c>
      <c r="E9" s="100">
        <v>7.16</v>
      </c>
      <c r="F9" s="100">
        <v>3.83</v>
      </c>
      <c r="G9" s="100">
        <v>20.45</v>
      </c>
      <c r="H9" s="100">
        <v>10.84</v>
      </c>
      <c r="I9" s="100">
        <v>4.93</v>
      </c>
      <c r="J9" s="100">
        <v>0.94</v>
      </c>
      <c r="K9" s="100">
        <v>68.099999999999994</v>
      </c>
      <c r="L9" s="100">
        <v>20.58</v>
      </c>
      <c r="M9" s="100">
        <v>94.53</v>
      </c>
      <c r="N9" s="100">
        <v>0</v>
      </c>
      <c r="O9" s="100">
        <v>0</v>
      </c>
      <c r="P9" s="100">
        <v>0.72</v>
      </c>
      <c r="Q9" s="100">
        <v>7.03</v>
      </c>
      <c r="R9" s="6"/>
      <c r="S9" s="6"/>
      <c r="T9" s="156"/>
      <c r="U9" s="6"/>
    </row>
    <row r="10" spans="1:21" customFormat="1">
      <c r="A10" s="100" t="s">
        <v>239</v>
      </c>
      <c r="B10" s="100">
        <v>37.85</v>
      </c>
      <c r="C10" s="100">
        <v>61.7</v>
      </c>
      <c r="D10" s="100">
        <v>63.94</v>
      </c>
      <c r="E10" s="100">
        <v>6.91</v>
      </c>
      <c r="F10" s="100">
        <v>3.76</v>
      </c>
      <c r="G10" s="100">
        <v>21.57</v>
      </c>
      <c r="H10" s="100">
        <v>11.15</v>
      </c>
      <c r="I10" s="100">
        <v>5.0999999999999996</v>
      </c>
      <c r="J10" s="100">
        <v>1.17</v>
      </c>
      <c r="K10" s="100">
        <v>56.18</v>
      </c>
      <c r="L10" s="100">
        <v>20.45</v>
      </c>
      <c r="M10" s="100">
        <v>94.51</v>
      </c>
      <c r="N10" s="100">
        <v>0</v>
      </c>
      <c r="O10" s="100">
        <v>0</v>
      </c>
      <c r="P10" s="100">
        <v>0.73</v>
      </c>
      <c r="Q10" s="100">
        <v>7.06</v>
      </c>
      <c r="R10" s="6"/>
      <c r="S10" s="6"/>
      <c r="T10" s="156"/>
      <c r="U10" s="6"/>
    </row>
    <row r="11" spans="1:21" customFormat="1">
      <c r="A11" s="70">
        <v>45047.03125</v>
      </c>
      <c r="B11" s="100">
        <v>37.56</v>
      </c>
      <c r="C11" s="100">
        <v>62.66</v>
      </c>
      <c r="D11" s="100">
        <v>64.209999999999994</v>
      </c>
      <c r="E11" s="100">
        <v>6.79</v>
      </c>
      <c r="F11" s="100">
        <v>3.74</v>
      </c>
      <c r="G11" s="100">
        <v>23.52</v>
      </c>
      <c r="H11" s="100">
        <v>12.2</v>
      </c>
      <c r="I11" s="100">
        <v>5.24</v>
      </c>
      <c r="J11" s="100">
        <v>0.63</v>
      </c>
      <c r="K11" s="100">
        <v>27.34</v>
      </c>
      <c r="L11" s="100">
        <v>20.39</v>
      </c>
      <c r="M11" s="100">
        <v>94.23</v>
      </c>
      <c r="N11" s="100">
        <v>0</v>
      </c>
      <c r="O11" s="100">
        <v>0</v>
      </c>
      <c r="P11" s="100">
        <v>0.73</v>
      </c>
      <c r="Q11" s="100">
        <v>7.1</v>
      </c>
      <c r="R11" s="6"/>
      <c r="S11" s="6"/>
      <c r="T11" s="156"/>
      <c r="U11" s="6"/>
    </row>
    <row r="12" spans="1:21" customFormat="1">
      <c r="A12" s="100" t="s">
        <v>240</v>
      </c>
      <c r="B12" s="100">
        <v>37.36</v>
      </c>
      <c r="C12" s="100">
        <v>62.76</v>
      </c>
      <c r="D12" s="100">
        <v>64.099999999999994</v>
      </c>
      <c r="E12" s="100">
        <v>6.46</v>
      </c>
      <c r="F12" s="100">
        <v>3.82</v>
      </c>
      <c r="G12" s="100">
        <v>23.52</v>
      </c>
      <c r="H12" s="100">
        <v>12.2</v>
      </c>
      <c r="I12" s="100">
        <v>5.36</v>
      </c>
      <c r="J12" s="100">
        <v>0.35</v>
      </c>
      <c r="K12" s="100">
        <v>268.42</v>
      </c>
      <c r="L12" s="100">
        <v>20.41</v>
      </c>
      <c r="M12" s="100">
        <v>94.19</v>
      </c>
      <c r="N12" s="100">
        <v>0</v>
      </c>
      <c r="O12" s="100">
        <v>0</v>
      </c>
      <c r="P12" s="100">
        <v>0.72</v>
      </c>
      <c r="Q12" s="100">
        <v>7.1</v>
      </c>
      <c r="R12" s="6"/>
      <c r="S12" s="6"/>
      <c r="T12" s="156"/>
      <c r="U12" s="6"/>
    </row>
    <row r="13" spans="1:21" customFormat="1">
      <c r="A13" s="100" t="s">
        <v>241</v>
      </c>
      <c r="B13" s="100">
        <v>36.9</v>
      </c>
      <c r="C13" s="100">
        <v>62.43</v>
      </c>
      <c r="D13" s="100">
        <v>63.56</v>
      </c>
      <c r="E13" s="100">
        <v>6.77</v>
      </c>
      <c r="F13" s="100">
        <v>3.77</v>
      </c>
      <c r="G13" s="100">
        <v>23.52</v>
      </c>
      <c r="H13" s="100">
        <v>12.2</v>
      </c>
      <c r="I13" s="100">
        <v>5.4</v>
      </c>
      <c r="J13" s="100">
        <v>0.44</v>
      </c>
      <c r="K13" s="100">
        <v>255.45</v>
      </c>
      <c r="L13" s="100">
        <v>20.55</v>
      </c>
      <c r="M13" s="100">
        <v>93.94</v>
      </c>
      <c r="N13" s="100">
        <v>0</v>
      </c>
      <c r="O13" s="100">
        <v>0</v>
      </c>
      <c r="P13" s="100">
        <v>0.73</v>
      </c>
      <c r="Q13" s="100">
        <v>7.05</v>
      </c>
      <c r="R13" s="6"/>
      <c r="S13" s="6"/>
      <c r="T13" s="156"/>
      <c r="U13" s="6"/>
    </row>
    <row r="14" spans="1:21" customFormat="1">
      <c r="A14" s="100" t="s">
        <v>242</v>
      </c>
      <c r="B14" s="100">
        <v>36.07</v>
      </c>
      <c r="C14" s="100">
        <v>62.44</v>
      </c>
      <c r="D14" s="100">
        <v>62.9</v>
      </c>
      <c r="E14" s="100">
        <v>6.89</v>
      </c>
      <c r="F14" s="100">
        <v>3.81</v>
      </c>
      <c r="G14" s="100">
        <v>21.87</v>
      </c>
      <c r="H14" s="100">
        <v>11.8</v>
      </c>
      <c r="I14" s="100">
        <v>5.48</v>
      </c>
      <c r="J14" s="100">
        <v>0.6</v>
      </c>
      <c r="K14" s="100">
        <v>268.73</v>
      </c>
      <c r="L14" s="100">
        <v>20.59</v>
      </c>
      <c r="M14" s="100">
        <v>92.8</v>
      </c>
      <c r="N14" s="100">
        <v>0</v>
      </c>
      <c r="O14" s="100">
        <v>0</v>
      </c>
      <c r="P14" s="100">
        <v>0.72</v>
      </c>
      <c r="Q14" s="100">
        <v>6.98</v>
      </c>
      <c r="R14" s="6"/>
      <c r="S14" s="6"/>
      <c r="T14" s="156"/>
      <c r="U14" s="6"/>
    </row>
    <row r="15" spans="1:21" customFormat="1">
      <c r="A15" s="100" t="s">
        <v>243</v>
      </c>
      <c r="B15" s="100">
        <v>35.36</v>
      </c>
      <c r="C15" s="100">
        <v>62.67</v>
      </c>
      <c r="D15" s="100">
        <v>62.45</v>
      </c>
      <c r="E15" s="100">
        <v>6.56</v>
      </c>
      <c r="F15" s="100">
        <v>3.67</v>
      </c>
      <c r="G15" s="100">
        <v>19.03</v>
      </c>
      <c r="H15" s="100">
        <v>11.37</v>
      </c>
      <c r="I15" s="100">
        <v>5.49</v>
      </c>
      <c r="J15" s="100">
        <v>1.1499999999999999</v>
      </c>
      <c r="K15" s="100">
        <v>313.27</v>
      </c>
      <c r="L15" s="100">
        <v>20.47</v>
      </c>
      <c r="M15" s="100">
        <v>93.08</v>
      </c>
      <c r="N15" s="100">
        <v>0</v>
      </c>
      <c r="O15" s="100">
        <v>0</v>
      </c>
      <c r="P15" s="100">
        <v>0.72</v>
      </c>
      <c r="Q15" s="100">
        <v>6.96</v>
      </c>
      <c r="R15" s="6"/>
      <c r="S15" s="6"/>
      <c r="T15" s="156"/>
      <c r="U15" s="6"/>
    </row>
    <row r="16" spans="1:21" customFormat="1">
      <c r="A16" s="100" t="s">
        <v>244</v>
      </c>
      <c r="B16" s="100">
        <v>35.28</v>
      </c>
      <c r="C16" s="100">
        <v>63.17</v>
      </c>
      <c r="D16" s="100">
        <v>62.65</v>
      </c>
      <c r="E16" s="100">
        <v>6.66</v>
      </c>
      <c r="F16" s="100">
        <v>3.67</v>
      </c>
      <c r="G16" s="100">
        <v>19.03</v>
      </c>
      <c r="H16" s="100">
        <v>11.37</v>
      </c>
      <c r="I16" s="100">
        <v>5.51</v>
      </c>
      <c r="J16" s="100">
        <v>0.97</v>
      </c>
      <c r="K16" s="100">
        <v>301.27</v>
      </c>
      <c r="L16" s="100">
        <v>20.399999999999999</v>
      </c>
      <c r="M16" s="100">
        <v>95.38</v>
      </c>
      <c r="N16" s="100">
        <v>0</v>
      </c>
      <c r="O16" s="100">
        <v>0</v>
      </c>
      <c r="P16" s="100">
        <v>0.73</v>
      </c>
      <c r="Q16" s="100">
        <v>6.97</v>
      </c>
      <c r="R16" s="6"/>
      <c r="S16" s="6"/>
      <c r="T16" s="156"/>
      <c r="U16" s="6"/>
    </row>
    <row r="17" spans="1:21" customFormat="1">
      <c r="A17" s="100" t="s">
        <v>245</v>
      </c>
      <c r="B17" s="100">
        <v>35.44</v>
      </c>
      <c r="C17" s="100">
        <v>63.88</v>
      </c>
      <c r="D17" s="100">
        <v>63.14</v>
      </c>
      <c r="E17" s="100">
        <v>6.74</v>
      </c>
      <c r="F17" s="100">
        <v>3.71</v>
      </c>
      <c r="G17" s="100">
        <v>19.03</v>
      </c>
      <c r="H17" s="100">
        <v>11.37</v>
      </c>
      <c r="I17" s="100">
        <v>5.55</v>
      </c>
      <c r="J17" s="100">
        <v>0.36</v>
      </c>
      <c r="K17" s="100">
        <v>262.58</v>
      </c>
      <c r="L17" s="100">
        <v>20.440000000000001</v>
      </c>
      <c r="M17" s="100">
        <v>96.31</v>
      </c>
      <c r="N17" s="100">
        <v>0</v>
      </c>
      <c r="O17" s="100">
        <v>0</v>
      </c>
      <c r="P17" s="100">
        <v>0.75</v>
      </c>
      <c r="Q17" s="100">
        <v>6.97</v>
      </c>
      <c r="R17" s="6"/>
      <c r="S17" s="6"/>
      <c r="T17" s="156"/>
      <c r="U17" s="6"/>
    </row>
    <row r="18" spans="1:21" customFormat="1">
      <c r="A18" s="100" t="s">
        <v>246</v>
      </c>
      <c r="B18" s="100">
        <v>35.49</v>
      </c>
      <c r="C18" s="100">
        <v>63.95</v>
      </c>
      <c r="D18" s="100">
        <v>63.22</v>
      </c>
      <c r="E18" s="100">
        <v>7.47</v>
      </c>
      <c r="F18" s="100">
        <v>3.68</v>
      </c>
      <c r="G18" s="100">
        <v>20.87</v>
      </c>
      <c r="H18" s="100">
        <v>12.06</v>
      </c>
      <c r="I18" s="100">
        <v>5.64</v>
      </c>
      <c r="J18" s="100">
        <v>0.2</v>
      </c>
      <c r="K18" s="100">
        <v>148.87</v>
      </c>
      <c r="L18" s="100">
        <v>20.55</v>
      </c>
      <c r="M18" s="100">
        <v>96.64</v>
      </c>
      <c r="N18" s="100">
        <v>0</v>
      </c>
      <c r="O18" s="100">
        <v>0</v>
      </c>
      <c r="P18" s="100">
        <v>0.77</v>
      </c>
      <c r="Q18" s="100">
        <v>7</v>
      </c>
      <c r="R18" s="6"/>
      <c r="S18" s="6"/>
      <c r="T18" s="156"/>
      <c r="U18" s="6"/>
    </row>
    <row r="19" spans="1:21" customFormat="1">
      <c r="A19" s="100" t="s">
        <v>247</v>
      </c>
      <c r="B19" s="100">
        <v>35.520000000000003</v>
      </c>
      <c r="C19" s="100">
        <v>64.23</v>
      </c>
      <c r="D19" s="100">
        <v>63.39</v>
      </c>
      <c r="E19" s="100">
        <v>7.84</v>
      </c>
      <c r="F19" s="100">
        <v>3.58</v>
      </c>
      <c r="G19" s="100">
        <v>24.06</v>
      </c>
      <c r="H19" s="100">
        <v>12.78</v>
      </c>
      <c r="I19" s="100">
        <v>5.75</v>
      </c>
      <c r="J19" s="100">
        <v>0.19</v>
      </c>
      <c r="K19" s="100">
        <v>127.31</v>
      </c>
      <c r="L19" s="100">
        <v>20.43</v>
      </c>
      <c r="M19" s="100">
        <v>97.1</v>
      </c>
      <c r="N19" s="100">
        <v>0</v>
      </c>
      <c r="O19" s="100">
        <v>0</v>
      </c>
      <c r="P19" s="100">
        <v>0.77</v>
      </c>
      <c r="Q19" s="100">
        <v>7.04</v>
      </c>
      <c r="R19" s="6"/>
      <c r="S19" s="6"/>
      <c r="T19" s="156"/>
      <c r="U19" s="6"/>
    </row>
    <row r="20" spans="1:21" customFormat="1">
      <c r="A20" s="100" t="s">
        <v>248</v>
      </c>
      <c r="B20" s="100">
        <v>35.33</v>
      </c>
      <c r="C20" s="100">
        <v>63.77</v>
      </c>
      <c r="D20" s="100">
        <v>63</v>
      </c>
      <c r="E20" s="100">
        <v>7.76</v>
      </c>
      <c r="F20" s="100">
        <v>3.65</v>
      </c>
      <c r="G20" s="100">
        <v>24.06</v>
      </c>
      <c r="H20" s="100">
        <v>12.78</v>
      </c>
      <c r="I20" s="100">
        <v>5.86</v>
      </c>
      <c r="J20" s="100">
        <v>0.16</v>
      </c>
      <c r="K20" s="100">
        <v>144.35</v>
      </c>
      <c r="L20" s="100">
        <v>20.52</v>
      </c>
      <c r="M20" s="100">
        <v>97.54</v>
      </c>
      <c r="N20" s="100">
        <v>0</v>
      </c>
      <c r="O20" s="100">
        <v>0</v>
      </c>
      <c r="P20" s="100">
        <v>0.78</v>
      </c>
      <c r="Q20" s="100">
        <v>6.99</v>
      </c>
      <c r="R20" s="6"/>
      <c r="S20" s="6"/>
      <c r="T20" s="156"/>
      <c r="U20" s="6"/>
    </row>
    <row r="21" spans="1:21" customFormat="1">
      <c r="A21" s="100" t="s">
        <v>249</v>
      </c>
      <c r="B21" s="100">
        <v>35.200000000000003</v>
      </c>
      <c r="C21" s="100">
        <v>63.33</v>
      </c>
      <c r="D21" s="100">
        <v>62.66</v>
      </c>
      <c r="E21" s="100">
        <v>7.79</v>
      </c>
      <c r="F21" s="100">
        <v>3.67</v>
      </c>
      <c r="G21" s="100">
        <v>24.06</v>
      </c>
      <c r="H21" s="100">
        <v>12.78</v>
      </c>
      <c r="I21" s="100">
        <v>5.91</v>
      </c>
      <c r="J21" s="100">
        <v>0.11</v>
      </c>
      <c r="K21" s="100">
        <v>166.9</v>
      </c>
      <c r="L21" s="100">
        <v>20.34</v>
      </c>
      <c r="M21" s="100">
        <v>97.49</v>
      </c>
      <c r="N21" s="100">
        <v>0</v>
      </c>
      <c r="O21" s="100">
        <v>0</v>
      </c>
      <c r="P21" s="100">
        <v>0.78</v>
      </c>
      <c r="Q21" s="100">
        <v>6.94</v>
      </c>
      <c r="R21" s="6"/>
      <c r="S21" s="6"/>
      <c r="T21" s="156"/>
      <c r="U21" s="6"/>
    </row>
    <row r="22" spans="1:21" customFormat="1">
      <c r="A22" s="100" t="s">
        <v>250</v>
      </c>
      <c r="B22" s="100">
        <v>35</v>
      </c>
      <c r="C22" s="100">
        <v>63.3</v>
      </c>
      <c r="D22" s="100">
        <v>62.49</v>
      </c>
      <c r="E22" s="100">
        <v>7.7</v>
      </c>
      <c r="F22" s="100">
        <v>3.67</v>
      </c>
      <c r="G22" s="100">
        <v>27.36</v>
      </c>
      <c r="H22" s="100">
        <v>13.9</v>
      </c>
      <c r="I22" s="100">
        <v>6.02</v>
      </c>
      <c r="J22" s="100">
        <v>0.13</v>
      </c>
      <c r="K22" s="100">
        <v>117.59</v>
      </c>
      <c r="L22" s="100">
        <v>20.28</v>
      </c>
      <c r="M22" s="100">
        <v>97.51</v>
      </c>
      <c r="N22" s="100">
        <v>0</v>
      </c>
      <c r="O22" s="100">
        <v>0</v>
      </c>
      <c r="P22" s="100">
        <v>0.77</v>
      </c>
      <c r="Q22" s="100">
        <v>6.92</v>
      </c>
      <c r="R22" s="6"/>
      <c r="S22" s="6"/>
      <c r="T22" s="156"/>
      <c r="U22" s="6"/>
    </row>
    <row r="23" spans="1:21" customFormat="1">
      <c r="A23" s="100" t="s">
        <v>251</v>
      </c>
      <c r="B23" s="100">
        <v>34.75</v>
      </c>
      <c r="C23" s="100">
        <v>62.69</v>
      </c>
      <c r="D23" s="100">
        <v>61.97</v>
      </c>
      <c r="E23" s="100">
        <v>7.7</v>
      </c>
      <c r="F23" s="100">
        <v>3.6</v>
      </c>
      <c r="G23" s="100">
        <v>33.07</v>
      </c>
      <c r="H23" s="100">
        <v>15.05</v>
      </c>
      <c r="I23" s="100">
        <v>5.98</v>
      </c>
      <c r="J23" s="100">
        <v>0.31</v>
      </c>
      <c r="K23" s="100">
        <v>86.35</v>
      </c>
      <c r="L23" s="100">
        <v>20.170000000000002</v>
      </c>
      <c r="M23" s="100">
        <v>97.59</v>
      </c>
      <c r="N23" s="100">
        <v>0</v>
      </c>
      <c r="O23" s="100">
        <v>0</v>
      </c>
      <c r="P23" s="100">
        <v>0.76</v>
      </c>
      <c r="Q23" s="100">
        <v>6.92</v>
      </c>
      <c r="R23" s="6"/>
      <c r="S23" s="6"/>
      <c r="T23" s="156"/>
      <c r="U23" s="6"/>
    </row>
    <row r="24" spans="1:21" customFormat="1">
      <c r="A24" s="100" t="s">
        <v>252</v>
      </c>
      <c r="B24" s="100">
        <v>34.340000000000003</v>
      </c>
      <c r="C24" s="100">
        <v>63.05</v>
      </c>
      <c r="D24" s="100">
        <v>61.82</v>
      </c>
      <c r="E24" s="100">
        <v>8.4499999999999993</v>
      </c>
      <c r="F24" s="100">
        <v>3.6</v>
      </c>
      <c r="G24" s="100">
        <v>33.07</v>
      </c>
      <c r="H24" s="100">
        <v>15.05</v>
      </c>
      <c r="I24" s="100">
        <v>5.96</v>
      </c>
      <c r="J24" s="100">
        <v>0.32</v>
      </c>
      <c r="K24" s="100">
        <v>147.69999999999999</v>
      </c>
      <c r="L24" s="100">
        <v>20.18</v>
      </c>
      <c r="M24" s="100">
        <v>97.55</v>
      </c>
      <c r="N24" s="100">
        <v>0</v>
      </c>
      <c r="O24" s="100">
        <v>0</v>
      </c>
      <c r="P24" s="100">
        <v>0.76</v>
      </c>
      <c r="Q24" s="100">
        <v>6.9</v>
      </c>
      <c r="R24" s="6"/>
      <c r="S24" s="6"/>
      <c r="T24" s="156"/>
      <c r="U24" s="6"/>
    </row>
    <row r="25" spans="1:21" customFormat="1">
      <c r="A25" s="100" t="s">
        <v>253</v>
      </c>
      <c r="B25" s="100">
        <v>33.9</v>
      </c>
      <c r="C25" s="100">
        <v>63.43</v>
      </c>
      <c r="D25" s="100">
        <v>61.68</v>
      </c>
      <c r="E25" s="100">
        <v>8.24</v>
      </c>
      <c r="F25" s="100">
        <v>3.56</v>
      </c>
      <c r="G25" s="100">
        <v>33.07</v>
      </c>
      <c r="H25" s="100">
        <v>15.05</v>
      </c>
      <c r="I25" s="100">
        <v>5.96</v>
      </c>
      <c r="J25" s="100">
        <v>0.17</v>
      </c>
      <c r="K25" s="100">
        <v>182.51</v>
      </c>
      <c r="L25" s="100">
        <v>20.16</v>
      </c>
      <c r="M25" s="100">
        <v>97.95</v>
      </c>
      <c r="N25" s="100">
        <v>0</v>
      </c>
      <c r="O25" s="100">
        <v>0</v>
      </c>
      <c r="P25" s="100">
        <v>0.76</v>
      </c>
      <c r="Q25" s="100">
        <v>6.89</v>
      </c>
      <c r="R25" s="6"/>
      <c r="S25" s="6"/>
      <c r="T25" s="156"/>
      <c r="U25" s="6"/>
    </row>
    <row r="26" spans="1:21" customFormat="1">
      <c r="A26" s="100" t="s">
        <v>254</v>
      </c>
      <c r="B26" s="100">
        <v>33.72</v>
      </c>
      <c r="C26" s="100">
        <v>63.12</v>
      </c>
      <c r="D26" s="100">
        <v>61.37</v>
      </c>
      <c r="E26" s="100">
        <v>8.34</v>
      </c>
      <c r="F26" s="100">
        <v>3.73</v>
      </c>
      <c r="G26" s="100">
        <v>31.43</v>
      </c>
      <c r="H26" s="100">
        <v>14.36</v>
      </c>
      <c r="I26" s="100">
        <v>5.96</v>
      </c>
      <c r="J26" s="100">
        <v>0.3</v>
      </c>
      <c r="K26" s="100">
        <v>140.54</v>
      </c>
      <c r="L26" s="100">
        <v>20.2</v>
      </c>
      <c r="M26" s="100">
        <v>97.79</v>
      </c>
      <c r="N26" s="100">
        <v>0</v>
      </c>
      <c r="O26" s="100">
        <v>0</v>
      </c>
      <c r="P26" s="100">
        <v>0.75</v>
      </c>
      <c r="Q26" s="100">
        <v>6.84</v>
      </c>
      <c r="R26" s="6"/>
      <c r="S26" s="6"/>
      <c r="T26" s="156"/>
      <c r="U26" s="6"/>
    </row>
    <row r="27" spans="1:21" customFormat="1">
      <c r="A27" s="100" t="s">
        <v>255</v>
      </c>
      <c r="B27" s="100">
        <v>33.549999999999997</v>
      </c>
      <c r="C27" s="100">
        <v>63.25</v>
      </c>
      <c r="D27" s="100">
        <v>61.3</v>
      </c>
      <c r="E27" s="100">
        <v>7.81</v>
      </c>
      <c r="F27" s="100">
        <v>3.58</v>
      </c>
      <c r="G27" s="100">
        <v>28.6</v>
      </c>
      <c r="H27" s="100">
        <v>13.66</v>
      </c>
      <c r="I27" s="100">
        <v>5.86</v>
      </c>
      <c r="J27" s="100">
        <v>0.28999999999999998</v>
      </c>
      <c r="K27" s="100">
        <v>161.87</v>
      </c>
      <c r="L27" s="100">
        <v>20.14</v>
      </c>
      <c r="M27" s="100">
        <v>97.63</v>
      </c>
      <c r="N27" s="100">
        <v>0</v>
      </c>
      <c r="O27" s="100">
        <v>0</v>
      </c>
      <c r="P27" s="100">
        <v>0.73</v>
      </c>
      <c r="Q27" s="100">
        <v>6.82</v>
      </c>
      <c r="R27" s="6"/>
      <c r="S27" s="6"/>
      <c r="T27" s="156"/>
      <c r="U27" s="6"/>
    </row>
    <row r="28" spans="1:21" customFormat="1">
      <c r="A28" s="100" t="s">
        <v>256</v>
      </c>
      <c r="B28" s="100">
        <v>33.630000000000003</v>
      </c>
      <c r="C28" s="100">
        <v>52.79</v>
      </c>
      <c r="D28" s="100">
        <v>55.9</v>
      </c>
      <c r="E28" s="100">
        <v>7.16</v>
      </c>
      <c r="F28" s="100">
        <v>4.24</v>
      </c>
      <c r="G28" s="100">
        <v>28.6</v>
      </c>
      <c r="H28" s="100">
        <v>13.66</v>
      </c>
      <c r="I28" s="100">
        <v>5.79</v>
      </c>
      <c r="J28" s="100">
        <v>0.23</v>
      </c>
      <c r="K28" s="100">
        <v>144.15</v>
      </c>
      <c r="L28" s="100">
        <v>20.05</v>
      </c>
      <c r="M28" s="100">
        <v>97.48</v>
      </c>
      <c r="N28" s="100">
        <v>0</v>
      </c>
      <c r="O28" s="100">
        <v>0</v>
      </c>
      <c r="P28" s="100">
        <v>0.69</v>
      </c>
      <c r="Q28" s="100">
        <v>6.51</v>
      </c>
      <c r="R28" s="6"/>
      <c r="S28" s="6"/>
      <c r="T28" s="156"/>
      <c r="U28" s="6"/>
    </row>
    <row r="29" spans="1:21" customFormat="1">
      <c r="A29" s="100" t="s">
        <v>257</v>
      </c>
      <c r="B29" s="100">
        <v>33.1</v>
      </c>
      <c r="C29" s="100">
        <v>56.76</v>
      </c>
      <c r="D29" s="100">
        <v>57.54</v>
      </c>
      <c r="E29" s="100">
        <v>7.19</v>
      </c>
      <c r="F29" s="100">
        <v>3.91</v>
      </c>
      <c r="G29" s="100">
        <v>28.6</v>
      </c>
      <c r="H29" s="100">
        <v>13.66</v>
      </c>
      <c r="I29" s="100">
        <v>5.67</v>
      </c>
      <c r="J29" s="100">
        <v>0.28000000000000003</v>
      </c>
      <c r="K29" s="100">
        <v>167.6</v>
      </c>
      <c r="L29" s="100">
        <v>19.97</v>
      </c>
      <c r="M29" s="100">
        <v>97.29</v>
      </c>
      <c r="N29" s="100">
        <v>0</v>
      </c>
      <c r="O29" s="100">
        <v>0</v>
      </c>
      <c r="P29" s="100">
        <v>0.68</v>
      </c>
      <c r="Q29" s="100">
        <v>6.46</v>
      </c>
      <c r="R29" s="6"/>
      <c r="S29" s="6"/>
      <c r="T29" s="156"/>
      <c r="U29" s="6"/>
    </row>
    <row r="30" spans="1:21" customFormat="1">
      <c r="A30" s="100" t="s">
        <v>258</v>
      </c>
      <c r="B30" s="100">
        <v>32.159999999999997</v>
      </c>
      <c r="C30" s="100">
        <v>54.22</v>
      </c>
      <c r="D30" s="100">
        <v>55.46</v>
      </c>
      <c r="E30" s="100">
        <v>7.37</v>
      </c>
      <c r="F30" s="100">
        <v>4.53</v>
      </c>
      <c r="G30" s="100">
        <v>24.98</v>
      </c>
      <c r="H30" s="100">
        <v>12.84</v>
      </c>
      <c r="I30" s="100">
        <v>5.52</v>
      </c>
      <c r="J30" s="100">
        <v>0.36</v>
      </c>
      <c r="K30" s="100">
        <v>157</v>
      </c>
      <c r="L30" s="100">
        <v>19.98</v>
      </c>
      <c r="M30" s="100">
        <v>96.92</v>
      </c>
      <c r="N30" s="100">
        <v>0</v>
      </c>
      <c r="O30" s="100">
        <v>0</v>
      </c>
      <c r="P30" s="100">
        <v>0.66</v>
      </c>
      <c r="Q30" s="100">
        <v>6.33</v>
      </c>
      <c r="R30" s="6"/>
      <c r="S30" s="6"/>
      <c r="T30" s="156"/>
      <c r="U30" s="6"/>
    </row>
    <row r="31" spans="1:21" customFormat="1">
      <c r="A31" s="100" t="s">
        <v>259</v>
      </c>
      <c r="B31" s="100">
        <v>31.8</v>
      </c>
      <c r="C31" s="100">
        <v>58.7</v>
      </c>
      <c r="D31" s="100">
        <v>57.52</v>
      </c>
      <c r="E31" s="100">
        <v>7.8</v>
      </c>
      <c r="F31" s="100">
        <v>3.73</v>
      </c>
      <c r="G31" s="100">
        <v>18.739999999999998</v>
      </c>
      <c r="H31" s="100">
        <v>11.99</v>
      </c>
      <c r="I31" s="100">
        <v>5.45</v>
      </c>
      <c r="J31" s="100">
        <v>0.12</v>
      </c>
      <c r="K31" s="100">
        <v>277.29000000000002</v>
      </c>
      <c r="L31" s="100">
        <v>19.98</v>
      </c>
      <c r="M31" s="100">
        <v>96.85</v>
      </c>
      <c r="N31" s="100">
        <v>0</v>
      </c>
      <c r="O31" s="100">
        <v>0</v>
      </c>
      <c r="P31" s="100">
        <v>0.66</v>
      </c>
      <c r="Q31" s="100">
        <v>6.45</v>
      </c>
      <c r="R31" s="6"/>
      <c r="S31" s="6"/>
      <c r="T31" s="156"/>
      <c r="U31" s="6"/>
    </row>
    <row r="32" spans="1:21" customFormat="1">
      <c r="A32" s="100" t="s">
        <v>260</v>
      </c>
      <c r="B32" s="100">
        <v>31.47</v>
      </c>
      <c r="C32" s="100">
        <v>59.06</v>
      </c>
      <c r="D32" s="100">
        <v>57.45</v>
      </c>
      <c r="E32" s="100">
        <v>7.55</v>
      </c>
      <c r="F32" s="100">
        <v>3.51</v>
      </c>
      <c r="G32" s="100">
        <v>18.739999999999998</v>
      </c>
      <c r="H32" s="100">
        <v>11.99</v>
      </c>
      <c r="I32" s="100">
        <v>5.35</v>
      </c>
      <c r="J32" s="100">
        <v>0.27</v>
      </c>
      <c r="K32" s="100">
        <v>272.42</v>
      </c>
      <c r="L32" s="100">
        <v>19.940000000000001</v>
      </c>
      <c r="M32" s="100">
        <v>96.44</v>
      </c>
      <c r="N32" s="100">
        <v>0</v>
      </c>
      <c r="O32" s="100">
        <v>0</v>
      </c>
      <c r="P32" s="100">
        <v>0.66</v>
      </c>
      <c r="Q32" s="100">
        <v>6.44</v>
      </c>
      <c r="R32" s="6"/>
      <c r="S32" s="6"/>
      <c r="T32" s="156"/>
      <c r="U32" s="6"/>
    </row>
    <row r="33" spans="1:21" customFormat="1">
      <c r="A33" s="100" t="s">
        <v>261</v>
      </c>
      <c r="B33" s="100">
        <v>31.31</v>
      </c>
      <c r="C33" s="100">
        <v>58.75</v>
      </c>
      <c r="D33" s="100">
        <v>57.15</v>
      </c>
      <c r="E33" s="100">
        <v>7.48</v>
      </c>
      <c r="F33" s="100">
        <v>3.68</v>
      </c>
      <c r="G33" s="100">
        <v>18.739999999999998</v>
      </c>
      <c r="H33" s="100">
        <v>11.99</v>
      </c>
      <c r="I33" s="100">
        <v>5.24</v>
      </c>
      <c r="J33" s="100">
        <v>0.12</v>
      </c>
      <c r="K33" s="100">
        <v>252.64</v>
      </c>
      <c r="L33" s="100">
        <v>19.940000000000001</v>
      </c>
      <c r="M33" s="100">
        <v>95.63</v>
      </c>
      <c r="N33" s="100">
        <v>1</v>
      </c>
      <c r="O33" s="100">
        <v>0</v>
      </c>
      <c r="P33" s="100">
        <v>0.66</v>
      </c>
      <c r="Q33" s="100">
        <v>6.39</v>
      </c>
      <c r="R33" s="6"/>
      <c r="S33" s="6"/>
      <c r="T33" s="156"/>
      <c r="U33" s="6"/>
    </row>
    <row r="34" spans="1:21" customFormat="1">
      <c r="A34" s="100" t="s">
        <v>262</v>
      </c>
      <c r="B34" s="100">
        <v>31.24</v>
      </c>
      <c r="C34" s="100">
        <v>56.41</v>
      </c>
      <c r="D34" s="100">
        <v>55.88</v>
      </c>
      <c r="E34" s="100">
        <v>7.96</v>
      </c>
      <c r="F34" s="100">
        <v>3.89</v>
      </c>
      <c r="G34" s="100">
        <v>17.38</v>
      </c>
      <c r="H34" s="100">
        <v>11.17</v>
      </c>
      <c r="I34" s="100">
        <v>5.23</v>
      </c>
      <c r="J34" s="100">
        <v>0.13</v>
      </c>
      <c r="K34" s="100">
        <v>229.61</v>
      </c>
      <c r="L34" s="100">
        <v>20.079999999999998</v>
      </c>
      <c r="M34" s="100">
        <v>95.28</v>
      </c>
      <c r="N34" s="100">
        <v>11.6</v>
      </c>
      <c r="O34" s="100">
        <v>0</v>
      </c>
      <c r="P34" s="100">
        <v>0.64</v>
      </c>
      <c r="Q34" s="100">
        <v>6.32</v>
      </c>
      <c r="R34" s="6"/>
      <c r="S34" s="6"/>
      <c r="T34" s="156"/>
      <c r="U34" s="6"/>
    </row>
    <row r="35" spans="1:21" customFormat="1">
      <c r="A35" s="100" t="s">
        <v>263</v>
      </c>
      <c r="B35" s="100">
        <v>31.14</v>
      </c>
      <c r="C35" s="100">
        <v>60.22</v>
      </c>
      <c r="D35" s="100">
        <v>57.79</v>
      </c>
      <c r="E35" s="100">
        <v>8.3000000000000007</v>
      </c>
      <c r="F35" s="100">
        <v>3.52</v>
      </c>
      <c r="G35" s="100">
        <v>15.03</v>
      </c>
      <c r="H35" s="100">
        <v>8.39</v>
      </c>
      <c r="I35" s="100">
        <v>5.22</v>
      </c>
      <c r="J35" s="100">
        <v>7.0000000000000007E-2</v>
      </c>
      <c r="K35" s="100">
        <v>179.81</v>
      </c>
      <c r="L35" s="100">
        <v>20.190000000000001</v>
      </c>
      <c r="M35" s="100">
        <v>95.55</v>
      </c>
      <c r="N35" s="100">
        <v>22.7</v>
      </c>
      <c r="O35" s="100">
        <v>0</v>
      </c>
      <c r="P35" s="100">
        <v>0.65</v>
      </c>
      <c r="Q35" s="100">
        <v>6.47</v>
      </c>
      <c r="R35" s="6"/>
      <c r="S35" s="6"/>
      <c r="T35" s="156"/>
      <c r="U35" s="6"/>
    </row>
    <row r="36" spans="1:21" customFormat="1">
      <c r="A36" s="100" t="s">
        <v>264</v>
      </c>
      <c r="B36" s="100">
        <v>31.22</v>
      </c>
      <c r="C36" s="100">
        <v>56.22</v>
      </c>
      <c r="D36" s="100">
        <v>55.76</v>
      </c>
      <c r="E36" s="100">
        <v>7.83</v>
      </c>
      <c r="F36" s="100">
        <v>3.78</v>
      </c>
      <c r="G36" s="100">
        <v>15.03</v>
      </c>
      <c r="H36" s="100">
        <v>8.39</v>
      </c>
      <c r="I36" s="100">
        <v>5.15</v>
      </c>
      <c r="J36" s="100">
        <v>0.28999999999999998</v>
      </c>
      <c r="K36" s="100">
        <v>264.33999999999997</v>
      </c>
      <c r="L36" s="100">
        <v>20.2</v>
      </c>
      <c r="M36" s="100">
        <v>96.12</v>
      </c>
      <c r="N36" s="100">
        <v>25.6</v>
      </c>
      <c r="O36" s="100">
        <v>0</v>
      </c>
      <c r="P36" s="100">
        <v>0.63</v>
      </c>
      <c r="Q36" s="100">
        <v>6.34</v>
      </c>
      <c r="R36" s="6"/>
      <c r="S36" s="6"/>
      <c r="T36" s="156"/>
      <c r="U36" s="6"/>
    </row>
    <row r="37" spans="1:21" customFormat="1">
      <c r="A37" s="100" t="s">
        <v>265</v>
      </c>
      <c r="B37" s="100">
        <v>30.93</v>
      </c>
      <c r="C37" s="100">
        <v>59.49</v>
      </c>
      <c r="D37" s="100">
        <v>57.23</v>
      </c>
      <c r="E37" s="100">
        <v>7.54</v>
      </c>
      <c r="F37" s="100">
        <v>3.26</v>
      </c>
      <c r="G37" s="100">
        <v>15.03</v>
      </c>
      <c r="H37" s="100">
        <v>8.39</v>
      </c>
      <c r="I37" s="100">
        <v>5.14</v>
      </c>
      <c r="J37" s="100">
        <v>0.23</v>
      </c>
      <c r="K37" s="100">
        <v>89.41</v>
      </c>
      <c r="L37" s="100">
        <v>20.29</v>
      </c>
      <c r="M37" s="100">
        <v>95.79</v>
      </c>
      <c r="N37" s="100">
        <v>31.4</v>
      </c>
      <c r="O37" s="100">
        <v>0</v>
      </c>
      <c r="P37" s="100">
        <v>0.64</v>
      </c>
      <c r="Q37" s="100">
        <v>6.44</v>
      </c>
      <c r="R37" s="6"/>
      <c r="S37" s="6"/>
      <c r="T37" s="156"/>
      <c r="U37" s="6"/>
    </row>
    <row r="38" spans="1:21" customFormat="1">
      <c r="A38" s="100" t="s">
        <v>266</v>
      </c>
      <c r="B38" s="100">
        <v>30.96</v>
      </c>
      <c r="C38" s="100">
        <v>56.47</v>
      </c>
      <c r="D38" s="100">
        <v>55.68</v>
      </c>
      <c r="E38" s="100">
        <v>8.1300000000000008</v>
      </c>
      <c r="F38" s="100">
        <v>3.92</v>
      </c>
      <c r="G38" s="100">
        <v>14.56</v>
      </c>
      <c r="H38" s="100">
        <v>7.37</v>
      </c>
      <c r="I38" s="100">
        <v>5.0999999999999996</v>
      </c>
      <c r="J38" s="100">
        <v>0.32</v>
      </c>
      <c r="K38" s="100">
        <v>55.79</v>
      </c>
      <c r="L38" s="100">
        <v>20.420000000000002</v>
      </c>
      <c r="M38" s="100">
        <v>95.36</v>
      </c>
      <c r="N38" s="100">
        <v>41</v>
      </c>
      <c r="O38" s="100">
        <v>0</v>
      </c>
      <c r="P38" s="100">
        <v>0.62</v>
      </c>
      <c r="Q38" s="100">
        <v>6.31</v>
      </c>
      <c r="R38" s="6"/>
      <c r="S38" s="6"/>
      <c r="T38" s="156"/>
      <c r="U38" s="6"/>
    </row>
    <row r="39" spans="1:21" customFormat="1">
      <c r="A39" s="100" t="s">
        <v>267</v>
      </c>
      <c r="B39" s="100">
        <v>31.49</v>
      </c>
      <c r="C39" s="100">
        <v>59.64</v>
      </c>
      <c r="D39" s="100">
        <v>57.76</v>
      </c>
      <c r="E39" s="100">
        <v>7.91</v>
      </c>
      <c r="F39" s="100">
        <v>3.56</v>
      </c>
      <c r="G39" s="100">
        <v>13.75</v>
      </c>
      <c r="H39" s="100">
        <v>6.31</v>
      </c>
      <c r="I39" s="100">
        <v>5.08</v>
      </c>
      <c r="J39" s="100">
        <v>0.35</v>
      </c>
      <c r="K39" s="100">
        <v>72.11</v>
      </c>
      <c r="L39" s="100">
        <v>20.71</v>
      </c>
      <c r="M39" s="100">
        <v>95.07</v>
      </c>
      <c r="N39" s="100">
        <v>54.2</v>
      </c>
      <c r="O39" s="100">
        <v>0</v>
      </c>
      <c r="P39" s="100">
        <v>0.64</v>
      </c>
      <c r="Q39" s="100">
        <v>6.46</v>
      </c>
      <c r="R39" s="6"/>
      <c r="S39" s="6"/>
      <c r="T39" s="156"/>
      <c r="U39" s="6"/>
    </row>
    <row r="40" spans="1:21" customFormat="1">
      <c r="A40" s="100" t="s">
        <v>268</v>
      </c>
      <c r="B40" s="100">
        <v>32.21</v>
      </c>
      <c r="C40" s="100">
        <v>57.92</v>
      </c>
      <c r="D40" s="100">
        <v>57.44</v>
      </c>
      <c r="E40" s="100">
        <v>8.01</v>
      </c>
      <c r="F40" s="100">
        <v>3.82</v>
      </c>
      <c r="G40" s="100">
        <v>13.75</v>
      </c>
      <c r="H40" s="100">
        <v>6.31</v>
      </c>
      <c r="I40" s="100">
        <v>5.0599999999999996</v>
      </c>
      <c r="J40" s="100">
        <v>0.28999999999999998</v>
      </c>
      <c r="K40" s="100">
        <v>66.03</v>
      </c>
      <c r="L40" s="100">
        <v>21.03</v>
      </c>
      <c r="M40" s="100">
        <v>95.11</v>
      </c>
      <c r="N40" s="100">
        <v>107.9</v>
      </c>
      <c r="O40" s="100">
        <v>0</v>
      </c>
      <c r="P40" s="100">
        <v>0.64</v>
      </c>
      <c r="Q40" s="100">
        <v>6.4</v>
      </c>
      <c r="R40" s="6"/>
      <c r="S40" s="6"/>
      <c r="T40" s="156"/>
      <c r="U40" s="6"/>
    </row>
    <row r="41" spans="1:21" customFormat="1">
      <c r="A41" s="100" t="s">
        <v>269</v>
      </c>
      <c r="B41" s="100">
        <v>32.33</v>
      </c>
      <c r="C41" s="100">
        <v>58.34</v>
      </c>
      <c r="D41" s="100">
        <v>57.76</v>
      </c>
      <c r="E41" s="100">
        <v>7.92</v>
      </c>
      <c r="F41" s="100">
        <v>3.7</v>
      </c>
      <c r="G41" s="100">
        <v>13.75</v>
      </c>
      <c r="H41" s="100">
        <v>6.31</v>
      </c>
      <c r="I41" s="100">
        <v>5.0199999999999996</v>
      </c>
      <c r="J41" s="100">
        <v>0.37</v>
      </c>
      <c r="K41" s="100">
        <v>84.81</v>
      </c>
      <c r="L41" s="100">
        <v>21.39</v>
      </c>
      <c r="M41" s="100">
        <v>93.35</v>
      </c>
      <c r="N41" s="100">
        <v>136.4</v>
      </c>
      <c r="O41" s="100">
        <v>0</v>
      </c>
      <c r="P41" s="100">
        <v>0.63</v>
      </c>
      <c r="Q41" s="100">
        <v>6.46</v>
      </c>
      <c r="R41" s="6"/>
      <c r="S41" s="6"/>
      <c r="T41" s="156"/>
      <c r="U41" s="6"/>
    </row>
    <row r="42" spans="1:21" customFormat="1">
      <c r="A42" s="100" t="s">
        <v>270</v>
      </c>
      <c r="B42" s="100">
        <v>32.1</v>
      </c>
      <c r="C42" s="100">
        <v>58.91</v>
      </c>
      <c r="D42" s="100">
        <v>57.87</v>
      </c>
      <c r="E42" s="100">
        <v>7.83</v>
      </c>
      <c r="F42" s="100">
        <v>3.65</v>
      </c>
      <c r="G42" s="100">
        <v>12.32</v>
      </c>
      <c r="H42" s="100">
        <v>5.53</v>
      </c>
      <c r="I42" s="100">
        <v>5.0599999999999996</v>
      </c>
      <c r="J42" s="100">
        <v>0.21</v>
      </c>
      <c r="K42" s="100">
        <v>101.24</v>
      </c>
      <c r="L42" s="100">
        <v>21.61</v>
      </c>
      <c r="M42" s="100">
        <v>92.87</v>
      </c>
      <c r="N42" s="100">
        <v>123</v>
      </c>
      <c r="O42" s="100">
        <v>0</v>
      </c>
      <c r="P42" s="100">
        <v>0.63</v>
      </c>
      <c r="Q42" s="100">
        <v>6.47</v>
      </c>
      <c r="R42" s="6"/>
      <c r="S42" s="6"/>
      <c r="T42" s="156"/>
      <c r="U42" s="6"/>
    </row>
    <row r="43" spans="1:21" customFormat="1">
      <c r="A43" s="100" t="s">
        <v>271</v>
      </c>
      <c r="B43" s="100">
        <v>31.91</v>
      </c>
      <c r="C43" s="100">
        <v>59.28</v>
      </c>
      <c r="D43" s="100">
        <v>57.92</v>
      </c>
      <c r="E43" s="100">
        <v>8.0500000000000007</v>
      </c>
      <c r="F43" s="100">
        <v>3.53</v>
      </c>
      <c r="G43" s="100">
        <v>9.84</v>
      </c>
      <c r="H43" s="100">
        <v>4.72</v>
      </c>
      <c r="I43" s="100">
        <v>4.95</v>
      </c>
      <c r="J43" s="100">
        <v>0.19</v>
      </c>
      <c r="K43" s="100">
        <v>122.58</v>
      </c>
      <c r="L43" s="100">
        <v>21.92</v>
      </c>
      <c r="M43" s="100">
        <v>92.14</v>
      </c>
      <c r="N43" s="100">
        <v>146.5</v>
      </c>
      <c r="O43" s="100">
        <v>0</v>
      </c>
      <c r="P43" s="100">
        <v>0.63</v>
      </c>
      <c r="Q43" s="100">
        <v>6.46</v>
      </c>
      <c r="R43" s="6"/>
      <c r="S43" s="6"/>
      <c r="T43" s="156"/>
      <c r="U43" s="6"/>
    </row>
    <row r="44" spans="1:21" customFormat="1">
      <c r="A44" s="100" t="s">
        <v>272</v>
      </c>
      <c r="B44" s="100">
        <v>32.049999999999997</v>
      </c>
      <c r="C44" s="100">
        <v>56.25</v>
      </c>
      <c r="D44" s="100">
        <v>56.44</v>
      </c>
      <c r="E44" s="100">
        <v>8.2100000000000009</v>
      </c>
      <c r="F44" s="100">
        <v>3.91</v>
      </c>
      <c r="G44" s="100">
        <v>9.84</v>
      </c>
      <c r="H44" s="100">
        <v>4.72</v>
      </c>
      <c r="I44" s="100">
        <v>4.92</v>
      </c>
      <c r="J44" s="100">
        <v>0.4</v>
      </c>
      <c r="K44" s="100">
        <v>75.67</v>
      </c>
      <c r="L44" s="100">
        <v>22.35</v>
      </c>
      <c r="M44" s="100">
        <v>90.69</v>
      </c>
      <c r="N44" s="100">
        <v>207.1</v>
      </c>
      <c r="O44" s="100">
        <v>0</v>
      </c>
      <c r="P44" s="100">
        <v>0.6</v>
      </c>
      <c r="Q44" s="100">
        <v>6.39</v>
      </c>
      <c r="R44" s="6"/>
      <c r="S44" s="6"/>
      <c r="T44" s="156"/>
      <c r="U44" s="6"/>
    </row>
    <row r="45" spans="1:21" customFormat="1">
      <c r="A45" s="100" t="s">
        <v>273</v>
      </c>
      <c r="B45" s="100">
        <v>31.71</v>
      </c>
      <c r="C45" s="100">
        <v>58.2</v>
      </c>
      <c r="D45" s="100">
        <v>57.19</v>
      </c>
      <c r="E45" s="100">
        <v>8.0500000000000007</v>
      </c>
      <c r="F45" s="100">
        <v>3.77</v>
      </c>
      <c r="G45" s="100">
        <v>9.84</v>
      </c>
      <c r="H45" s="100">
        <v>4.72</v>
      </c>
      <c r="I45" s="100">
        <v>4.93</v>
      </c>
      <c r="J45" s="100">
        <v>0.37</v>
      </c>
      <c r="K45" s="100">
        <v>116.62</v>
      </c>
      <c r="L45" s="100">
        <v>22.82</v>
      </c>
      <c r="M45" s="100">
        <v>87.96</v>
      </c>
      <c r="N45" s="100">
        <v>232.1</v>
      </c>
      <c r="O45" s="100">
        <v>0</v>
      </c>
      <c r="P45" s="100">
        <v>0.62</v>
      </c>
      <c r="Q45" s="100">
        <v>6.42</v>
      </c>
      <c r="R45" s="6"/>
      <c r="S45" s="6"/>
      <c r="T45" s="156"/>
      <c r="U45" s="6"/>
    </row>
    <row r="46" spans="1:21" customFormat="1">
      <c r="A46" s="100" t="s">
        <v>274</v>
      </c>
      <c r="B46" s="100">
        <v>31.75</v>
      </c>
      <c r="C46" s="100">
        <v>53.59</v>
      </c>
      <c r="D46" s="100">
        <v>54.81</v>
      </c>
      <c r="E46" s="100">
        <v>8.09</v>
      </c>
      <c r="F46" s="100">
        <v>4.09</v>
      </c>
      <c r="G46" s="100">
        <v>10.45</v>
      </c>
      <c r="H46" s="100">
        <v>6</v>
      </c>
      <c r="I46" s="100">
        <v>4.88</v>
      </c>
      <c r="J46" s="100">
        <v>0.28000000000000003</v>
      </c>
      <c r="K46" s="100">
        <v>254.98</v>
      </c>
      <c r="L46" s="100">
        <v>23.24</v>
      </c>
      <c r="M46" s="100">
        <v>85.9</v>
      </c>
      <c r="N46" s="100">
        <v>265.89999999999998</v>
      </c>
      <c r="O46" s="100">
        <v>0</v>
      </c>
      <c r="P46" s="100">
        <v>0.57999999999999996</v>
      </c>
      <c r="Q46" s="100">
        <v>6.22</v>
      </c>
      <c r="R46" s="6"/>
      <c r="S46" s="6"/>
      <c r="T46" s="156"/>
      <c r="U46" s="6"/>
    </row>
    <row r="47" spans="1:21" customFormat="1">
      <c r="A47" s="100" t="s">
        <v>275</v>
      </c>
      <c r="B47" s="100">
        <v>31.14</v>
      </c>
      <c r="C47" s="100">
        <v>60.3</v>
      </c>
      <c r="D47" s="100">
        <v>57.83</v>
      </c>
      <c r="E47" s="100">
        <v>7.75</v>
      </c>
      <c r="F47" s="100">
        <v>3.63</v>
      </c>
      <c r="G47" s="100">
        <v>11.51</v>
      </c>
      <c r="H47" s="100">
        <v>7.36</v>
      </c>
      <c r="I47" s="100">
        <v>4.87</v>
      </c>
      <c r="J47" s="100">
        <v>7.0000000000000007E-2</v>
      </c>
      <c r="K47" s="100">
        <v>156.61000000000001</v>
      </c>
      <c r="L47" s="100">
        <v>23.83</v>
      </c>
      <c r="M47" s="100">
        <v>83.07</v>
      </c>
      <c r="N47" s="100">
        <v>321.10000000000002</v>
      </c>
      <c r="O47" s="100">
        <v>0</v>
      </c>
      <c r="P47" s="100">
        <v>0.61</v>
      </c>
      <c r="Q47" s="100">
        <v>6.47</v>
      </c>
      <c r="R47" s="6"/>
      <c r="S47" s="6"/>
      <c r="T47" s="156"/>
      <c r="U47" s="6"/>
    </row>
    <row r="48" spans="1:21" customFormat="1">
      <c r="A48" s="100" t="s">
        <v>276</v>
      </c>
      <c r="B48" s="100">
        <v>30.55</v>
      </c>
      <c r="C48" s="100">
        <v>61.99</v>
      </c>
      <c r="D48" s="100">
        <v>58.24</v>
      </c>
      <c r="E48" s="100">
        <v>8.1300000000000008</v>
      </c>
      <c r="F48" s="100">
        <v>3.78</v>
      </c>
      <c r="G48" s="100">
        <v>11.51</v>
      </c>
      <c r="H48" s="100">
        <v>7.36</v>
      </c>
      <c r="I48" s="100">
        <v>4.79</v>
      </c>
      <c r="J48" s="100">
        <v>0.39</v>
      </c>
      <c r="K48" s="100">
        <v>297.10000000000002</v>
      </c>
      <c r="L48" s="100">
        <v>24.26</v>
      </c>
      <c r="M48" s="100">
        <v>79.28</v>
      </c>
      <c r="N48" s="100">
        <v>276.8</v>
      </c>
      <c r="O48" s="100">
        <v>0</v>
      </c>
      <c r="P48" s="100">
        <v>0.62</v>
      </c>
      <c r="Q48" s="100">
        <v>6.63</v>
      </c>
      <c r="R48" s="6"/>
      <c r="S48" s="6"/>
      <c r="T48" s="156"/>
      <c r="U48" s="6"/>
    </row>
    <row r="49" spans="1:21" customFormat="1">
      <c r="A49" s="100" t="s">
        <v>277</v>
      </c>
      <c r="B49" s="100">
        <v>30.11</v>
      </c>
      <c r="C49" s="100">
        <v>61.87</v>
      </c>
      <c r="D49" s="100">
        <v>57.82</v>
      </c>
      <c r="E49" s="100">
        <v>6.76</v>
      </c>
      <c r="F49" s="100">
        <v>3.96</v>
      </c>
      <c r="G49" s="100">
        <v>11.51</v>
      </c>
      <c r="H49" s="100">
        <v>7.36</v>
      </c>
      <c r="I49" s="100">
        <v>4.79</v>
      </c>
      <c r="J49" s="100">
        <v>0.34</v>
      </c>
      <c r="K49" s="100">
        <v>299.25</v>
      </c>
      <c r="L49" s="100">
        <v>24.38</v>
      </c>
      <c r="M49" s="100">
        <v>78.489999999999995</v>
      </c>
      <c r="N49" s="100">
        <v>454.8</v>
      </c>
      <c r="O49" s="100">
        <v>0</v>
      </c>
      <c r="P49" s="100">
        <v>0.63</v>
      </c>
      <c r="Q49" s="100">
        <v>6.57</v>
      </c>
      <c r="R49" s="6"/>
      <c r="S49" s="6"/>
      <c r="T49" s="156"/>
      <c r="U49" s="6"/>
    </row>
    <row r="50" spans="1:21" customFormat="1">
      <c r="A50" s="100" t="s">
        <v>278</v>
      </c>
      <c r="B50" s="100">
        <v>29.26</v>
      </c>
      <c r="C50" s="100">
        <v>61.15</v>
      </c>
      <c r="D50" s="100">
        <v>56.76</v>
      </c>
      <c r="E50" s="100">
        <v>8.02</v>
      </c>
      <c r="F50" s="100">
        <v>4.05</v>
      </c>
      <c r="G50" s="100">
        <v>11.73</v>
      </c>
      <c r="H50" s="100">
        <v>6.39</v>
      </c>
      <c r="I50" s="100">
        <v>4.78</v>
      </c>
      <c r="J50" s="100">
        <v>0.57999999999999996</v>
      </c>
      <c r="K50" s="100">
        <v>71.56</v>
      </c>
      <c r="L50" s="100">
        <v>25.1</v>
      </c>
      <c r="M50" s="100">
        <v>75.83</v>
      </c>
      <c r="N50" s="100">
        <v>324.60000000000002</v>
      </c>
      <c r="O50" s="100">
        <v>0</v>
      </c>
      <c r="P50" s="100">
        <v>0.62</v>
      </c>
      <c r="Q50" s="100">
        <v>6.46</v>
      </c>
      <c r="R50" s="6"/>
      <c r="S50" s="6"/>
      <c r="T50" s="156"/>
      <c r="U50" s="6"/>
    </row>
    <row r="51" spans="1:21" customFormat="1">
      <c r="A51" s="100" t="s">
        <v>279</v>
      </c>
      <c r="B51" s="100">
        <v>28.41</v>
      </c>
      <c r="C51" s="100">
        <v>62.05</v>
      </c>
      <c r="D51" s="100">
        <v>56.55</v>
      </c>
      <c r="E51" s="100">
        <v>7.69</v>
      </c>
      <c r="F51" s="100">
        <v>3.99</v>
      </c>
      <c r="G51" s="100">
        <v>12.12</v>
      </c>
      <c r="H51" s="100">
        <v>5.38</v>
      </c>
      <c r="I51" s="100">
        <v>4.7300000000000004</v>
      </c>
      <c r="J51" s="100">
        <v>0.49</v>
      </c>
      <c r="K51" s="100">
        <v>25</v>
      </c>
      <c r="L51" s="100">
        <v>25.92</v>
      </c>
      <c r="M51" s="100">
        <v>73.62</v>
      </c>
      <c r="N51" s="100">
        <v>652.20000000000005</v>
      </c>
      <c r="O51" s="100">
        <v>0</v>
      </c>
      <c r="P51" s="100">
        <v>0.63</v>
      </c>
      <c r="Q51" s="100">
        <v>6.47</v>
      </c>
      <c r="R51" s="6"/>
      <c r="S51" s="6"/>
      <c r="T51" s="156"/>
      <c r="U51" s="6"/>
    </row>
    <row r="52" spans="1:21" customFormat="1">
      <c r="A52" s="100" t="s">
        <v>280</v>
      </c>
      <c r="B52" s="100">
        <v>27.68</v>
      </c>
      <c r="C52" s="100">
        <v>62.09</v>
      </c>
      <c r="D52" s="100">
        <v>55.99</v>
      </c>
      <c r="E52" s="100">
        <v>7.74</v>
      </c>
      <c r="F52" s="100">
        <v>3.97</v>
      </c>
      <c r="G52" s="100">
        <v>12.12</v>
      </c>
      <c r="H52" s="100">
        <v>5.38</v>
      </c>
      <c r="I52" s="100">
        <v>4.72</v>
      </c>
      <c r="J52" s="100">
        <v>0.06</v>
      </c>
      <c r="K52" s="100">
        <v>43.15</v>
      </c>
      <c r="L52" s="100">
        <v>26.71</v>
      </c>
      <c r="M52" s="100">
        <v>70.790000000000006</v>
      </c>
      <c r="N52" s="100">
        <v>484.6</v>
      </c>
      <c r="O52" s="100">
        <v>0</v>
      </c>
      <c r="P52" s="100">
        <v>0.62</v>
      </c>
      <c r="Q52" s="100">
        <v>6.41</v>
      </c>
      <c r="R52" s="6"/>
      <c r="S52" s="6"/>
      <c r="T52" s="156"/>
      <c r="U52" s="6"/>
    </row>
    <row r="53" spans="1:21" customFormat="1">
      <c r="A53" s="100" t="s">
        <v>281</v>
      </c>
      <c r="B53" s="100">
        <v>26.61</v>
      </c>
      <c r="C53" s="100">
        <v>62.37</v>
      </c>
      <c r="D53" s="100">
        <v>55.28</v>
      </c>
      <c r="E53" s="100">
        <v>7.99</v>
      </c>
      <c r="F53" s="100">
        <v>3.99</v>
      </c>
      <c r="G53" s="100">
        <v>12.12</v>
      </c>
      <c r="H53" s="100">
        <v>5.38</v>
      </c>
      <c r="I53" s="100">
        <v>4.66</v>
      </c>
      <c r="J53" s="100">
        <v>0.1</v>
      </c>
      <c r="K53" s="100">
        <v>153.74</v>
      </c>
      <c r="L53" s="100">
        <v>27.33</v>
      </c>
      <c r="M53" s="100">
        <v>68.64</v>
      </c>
      <c r="N53" s="100">
        <v>483.5</v>
      </c>
      <c r="O53" s="100">
        <v>0</v>
      </c>
      <c r="P53" s="100">
        <v>0.62</v>
      </c>
      <c r="Q53" s="100">
        <v>6.37</v>
      </c>
      <c r="R53" s="6"/>
      <c r="S53" s="6"/>
      <c r="T53" s="156"/>
      <c r="U53" s="6"/>
    </row>
    <row r="54" spans="1:21" customFormat="1">
      <c r="A54" s="100" t="s">
        <v>282</v>
      </c>
      <c r="B54" s="100">
        <v>25.71</v>
      </c>
      <c r="C54" s="100">
        <v>61.27</v>
      </c>
      <c r="D54" s="100">
        <v>53.98</v>
      </c>
      <c r="E54" s="100">
        <v>7.6</v>
      </c>
      <c r="F54" s="100">
        <v>4.04</v>
      </c>
      <c r="G54" s="100">
        <v>12.47</v>
      </c>
      <c r="H54" s="100">
        <v>5.04</v>
      </c>
      <c r="I54" s="100">
        <v>4.59</v>
      </c>
      <c r="J54" s="100">
        <v>0.34</v>
      </c>
      <c r="K54" s="100">
        <v>86.19</v>
      </c>
      <c r="L54" s="100">
        <v>27.69</v>
      </c>
      <c r="M54" s="100">
        <v>66.64</v>
      </c>
      <c r="N54" s="100">
        <v>598.6</v>
      </c>
      <c r="O54" s="100">
        <v>0</v>
      </c>
      <c r="P54" s="100">
        <v>0.62</v>
      </c>
      <c r="Q54" s="100">
        <v>6.25</v>
      </c>
      <c r="R54" s="6"/>
      <c r="S54" s="6"/>
      <c r="T54" s="156"/>
      <c r="U54" s="6"/>
    </row>
    <row r="55" spans="1:21" customFormat="1">
      <c r="A55" s="100" t="s">
        <v>283</v>
      </c>
      <c r="B55" s="100">
        <v>24.75</v>
      </c>
      <c r="C55" s="100">
        <v>60.84</v>
      </c>
      <c r="D55" s="100">
        <v>52.98</v>
      </c>
      <c r="E55" s="100">
        <v>7.23</v>
      </c>
      <c r="F55" s="100">
        <v>3.99</v>
      </c>
      <c r="G55" s="100">
        <v>13.08</v>
      </c>
      <c r="H55" s="100">
        <v>4.68</v>
      </c>
      <c r="I55" s="100">
        <v>4.58</v>
      </c>
      <c r="J55" s="100">
        <v>0.34</v>
      </c>
      <c r="K55" s="100">
        <v>149.27000000000001</v>
      </c>
      <c r="L55" s="100">
        <v>28.33</v>
      </c>
      <c r="M55" s="100">
        <v>63.25</v>
      </c>
      <c r="N55" s="100">
        <v>658</v>
      </c>
      <c r="O55" s="100">
        <v>0</v>
      </c>
      <c r="P55" s="100">
        <v>0.59</v>
      </c>
      <c r="Q55" s="100">
        <v>6.25</v>
      </c>
      <c r="R55" s="6"/>
      <c r="S55" s="6"/>
      <c r="T55" s="156"/>
      <c r="U55" s="6"/>
    </row>
    <row r="56" spans="1:21" customFormat="1">
      <c r="A56" s="100" t="s">
        <v>284</v>
      </c>
      <c r="B56" s="100">
        <v>23.75</v>
      </c>
      <c r="C56" s="100">
        <v>61.03</v>
      </c>
      <c r="D56" s="100">
        <v>52.28</v>
      </c>
      <c r="E56" s="100">
        <v>7.11</v>
      </c>
      <c r="F56" s="100">
        <v>3.94</v>
      </c>
      <c r="G56" s="100">
        <v>13.08</v>
      </c>
      <c r="H56" s="100">
        <v>4.68</v>
      </c>
      <c r="I56" s="100">
        <v>4.5199999999999996</v>
      </c>
      <c r="J56" s="100">
        <v>0.31</v>
      </c>
      <c r="K56" s="100">
        <v>144.49</v>
      </c>
      <c r="L56" s="100">
        <v>28.69</v>
      </c>
      <c r="M56" s="100">
        <v>62.62</v>
      </c>
      <c r="N56" s="100">
        <v>709.8</v>
      </c>
      <c r="O56" s="100">
        <v>0</v>
      </c>
      <c r="P56" s="100">
        <v>0.59</v>
      </c>
      <c r="Q56" s="100">
        <v>6.18</v>
      </c>
      <c r="R56" s="6"/>
      <c r="S56" s="6"/>
      <c r="T56" s="156"/>
      <c r="U56" s="6"/>
    </row>
    <row r="57" spans="1:21" customFormat="1">
      <c r="A57" s="100" t="s">
        <v>285</v>
      </c>
      <c r="B57" s="100">
        <v>22.71</v>
      </c>
      <c r="C57" s="100">
        <v>59.14</v>
      </c>
      <c r="D57" s="100">
        <v>50.46</v>
      </c>
      <c r="E57" s="100">
        <v>7.48</v>
      </c>
      <c r="F57" s="100">
        <v>4.3</v>
      </c>
      <c r="G57" s="100">
        <v>13.08</v>
      </c>
      <c r="H57" s="100">
        <v>4.68</v>
      </c>
      <c r="I57" s="100">
        <v>4.46</v>
      </c>
      <c r="J57" s="100">
        <v>0.11</v>
      </c>
      <c r="K57" s="100">
        <v>230.73</v>
      </c>
      <c r="L57" s="100">
        <v>28.82</v>
      </c>
      <c r="M57" s="100">
        <v>62.22</v>
      </c>
      <c r="N57" s="100">
        <v>852.4</v>
      </c>
      <c r="O57" s="100">
        <v>0</v>
      </c>
      <c r="P57" s="100">
        <v>0.57999999999999996</v>
      </c>
      <c r="Q57" s="100">
        <v>5.99</v>
      </c>
      <c r="R57" s="6"/>
      <c r="S57" s="6"/>
      <c r="T57" s="156"/>
      <c r="U57" s="6"/>
    </row>
    <row r="58" spans="1:21" customFormat="1">
      <c r="A58" s="100" t="s">
        <v>286</v>
      </c>
      <c r="B58" s="100">
        <v>21.69</v>
      </c>
      <c r="C58" s="100">
        <v>59.25</v>
      </c>
      <c r="D58" s="100">
        <v>49.7</v>
      </c>
      <c r="E58" s="100">
        <v>7.43</v>
      </c>
      <c r="F58" s="100">
        <v>4.09</v>
      </c>
      <c r="G58" s="100">
        <v>13.27</v>
      </c>
      <c r="H58" s="100">
        <v>4.4000000000000004</v>
      </c>
      <c r="I58" s="100">
        <v>4.3499999999999996</v>
      </c>
      <c r="J58" s="100">
        <v>0.28999999999999998</v>
      </c>
      <c r="K58" s="100">
        <v>102.93</v>
      </c>
      <c r="L58" s="100">
        <v>29.1</v>
      </c>
      <c r="M58" s="100">
        <v>63.34</v>
      </c>
      <c r="N58" s="100">
        <v>651.70000000000005</v>
      </c>
      <c r="O58" s="100">
        <v>0</v>
      </c>
      <c r="P58" s="100">
        <v>0.56999999999999995</v>
      </c>
      <c r="Q58" s="100">
        <v>5.97</v>
      </c>
      <c r="R58" s="6"/>
      <c r="S58" s="6"/>
      <c r="T58" s="156"/>
      <c r="U58" s="6"/>
    </row>
    <row r="59" spans="1:21" customFormat="1">
      <c r="A59" s="100" t="s">
        <v>287</v>
      </c>
      <c r="B59" s="100">
        <v>20.95</v>
      </c>
      <c r="C59" s="100">
        <v>60.67</v>
      </c>
      <c r="D59" s="100">
        <v>49.85</v>
      </c>
      <c r="E59" s="100">
        <v>7.22</v>
      </c>
      <c r="F59" s="100">
        <v>4.0599999999999996</v>
      </c>
      <c r="G59" s="100">
        <v>13.6</v>
      </c>
      <c r="H59" s="100">
        <v>3.53</v>
      </c>
      <c r="I59" s="100">
        <v>4.28</v>
      </c>
      <c r="J59" s="100">
        <v>0.22</v>
      </c>
      <c r="K59" s="100">
        <v>109.74</v>
      </c>
      <c r="L59" s="100">
        <v>29.19</v>
      </c>
      <c r="M59" s="100">
        <v>62.94</v>
      </c>
      <c r="N59" s="100">
        <v>556.5</v>
      </c>
      <c r="O59" s="100">
        <v>0</v>
      </c>
      <c r="P59" s="100">
        <v>0.56999999999999995</v>
      </c>
      <c r="Q59" s="100">
        <v>5.96</v>
      </c>
      <c r="R59" s="6"/>
      <c r="S59" s="6"/>
      <c r="T59" s="156"/>
      <c r="U59" s="6"/>
    </row>
    <row r="60" spans="1:21" customFormat="1">
      <c r="A60" s="100" t="s">
        <v>288</v>
      </c>
      <c r="B60" s="100">
        <v>20.3</v>
      </c>
      <c r="C60" s="100">
        <v>57.67</v>
      </c>
      <c r="D60" s="100">
        <v>47.76</v>
      </c>
      <c r="E60" s="100">
        <v>7.1</v>
      </c>
      <c r="F60" s="100">
        <v>4.43</v>
      </c>
      <c r="G60" s="100">
        <v>13.6</v>
      </c>
      <c r="H60" s="100">
        <v>3.53</v>
      </c>
      <c r="I60" s="100">
        <v>4.2300000000000004</v>
      </c>
      <c r="J60" s="100">
        <v>0.28000000000000003</v>
      </c>
      <c r="K60" s="100">
        <v>192.34</v>
      </c>
      <c r="L60" s="100">
        <v>29.05</v>
      </c>
      <c r="M60" s="100">
        <v>61.53</v>
      </c>
      <c r="N60" s="100">
        <v>585.4</v>
      </c>
      <c r="O60" s="100">
        <v>0</v>
      </c>
      <c r="P60" s="100">
        <v>0.55000000000000004</v>
      </c>
      <c r="Q60" s="100">
        <v>5.79</v>
      </c>
      <c r="R60" s="6"/>
      <c r="S60" s="6"/>
      <c r="T60" s="156"/>
      <c r="U60" s="6"/>
    </row>
    <row r="61" spans="1:21" customFormat="1">
      <c r="A61" s="100" t="s">
        <v>289</v>
      </c>
      <c r="B61" s="100">
        <v>19.399999999999999</v>
      </c>
      <c r="C61" s="100">
        <v>59.88</v>
      </c>
      <c r="D61" s="100">
        <v>48.2</v>
      </c>
      <c r="E61" s="100">
        <v>6.56</v>
      </c>
      <c r="F61" s="100">
        <v>4.38</v>
      </c>
      <c r="G61" s="100">
        <v>13.6</v>
      </c>
      <c r="H61" s="100">
        <v>3.53</v>
      </c>
      <c r="I61" s="100">
        <v>4.1900000000000004</v>
      </c>
      <c r="J61" s="100">
        <v>0.28999999999999998</v>
      </c>
      <c r="K61" s="100">
        <v>229.73</v>
      </c>
      <c r="L61" s="100">
        <v>29.18</v>
      </c>
      <c r="M61" s="100">
        <v>60.99</v>
      </c>
      <c r="N61" s="100">
        <v>890.4</v>
      </c>
      <c r="O61" s="100">
        <v>0</v>
      </c>
      <c r="P61" s="100">
        <v>0.56000000000000005</v>
      </c>
      <c r="Q61" s="100">
        <v>5.84</v>
      </c>
      <c r="R61" s="6"/>
      <c r="S61" s="6"/>
      <c r="T61" s="156"/>
      <c r="U61" s="6"/>
    </row>
    <row r="62" spans="1:21" customFormat="1">
      <c r="A62" s="100" t="s">
        <v>290</v>
      </c>
      <c r="B62" s="100">
        <v>18.75</v>
      </c>
      <c r="C62" s="100">
        <v>56.77</v>
      </c>
      <c r="D62" s="100">
        <v>46.05</v>
      </c>
      <c r="E62" s="100">
        <v>7.16</v>
      </c>
      <c r="F62" s="100">
        <v>4.5199999999999996</v>
      </c>
      <c r="G62" s="100">
        <v>13.21</v>
      </c>
      <c r="H62" s="100">
        <v>4.26</v>
      </c>
      <c r="I62" s="100">
        <v>4.1399999999999997</v>
      </c>
      <c r="J62" s="100">
        <v>0.32</v>
      </c>
      <c r="K62" s="100">
        <v>122.38</v>
      </c>
      <c r="L62" s="100">
        <v>30.4</v>
      </c>
      <c r="M62" s="100">
        <v>58.81</v>
      </c>
      <c r="N62" s="100">
        <v>867.6</v>
      </c>
      <c r="O62" s="100">
        <v>0</v>
      </c>
      <c r="P62" s="100">
        <v>0.54</v>
      </c>
      <c r="Q62" s="100">
        <v>5.69</v>
      </c>
      <c r="R62" s="6"/>
      <c r="S62" s="6"/>
      <c r="T62" s="156"/>
      <c r="U62" s="6"/>
    </row>
    <row r="63" spans="1:21" customFormat="1">
      <c r="A63" s="100" t="s">
        <v>291</v>
      </c>
      <c r="B63" s="100">
        <v>18.28</v>
      </c>
      <c r="C63" s="100">
        <v>59.02</v>
      </c>
      <c r="D63" s="100">
        <v>46.85</v>
      </c>
      <c r="E63" s="100">
        <v>7.19</v>
      </c>
      <c r="F63" s="100">
        <v>3.9</v>
      </c>
      <c r="G63" s="100">
        <v>12.54</v>
      </c>
      <c r="H63" s="100">
        <v>5.01</v>
      </c>
      <c r="I63" s="100">
        <v>4.01</v>
      </c>
      <c r="J63" s="100">
        <v>0.38</v>
      </c>
      <c r="K63" s="100">
        <v>95.31</v>
      </c>
      <c r="L63" s="100">
        <v>30.54</v>
      </c>
      <c r="M63" s="100">
        <v>58.5</v>
      </c>
      <c r="N63" s="100">
        <v>766.2</v>
      </c>
      <c r="O63" s="100">
        <v>0</v>
      </c>
      <c r="P63" s="100">
        <v>0.54</v>
      </c>
      <c r="Q63" s="100">
        <v>5.77</v>
      </c>
      <c r="R63" s="6"/>
      <c r="S63" s="6"/>
      <c r="T63" s="156"/>
      <c r="U63" s="6"/>
    </row>
    <row r="64" spans="1:21" customFormat="1">
      <c r="A64" s="100" t="s">
        <v>292</v>
      </c>
      <c r="B64" s="100">
        <v>17.71</v>
      </c>
      <c r="C64" s="100">
        <v>55.76</v>
      </c>
      <c r="D64" s="100">
        <v>44.69</v>
      </c>
      <c r="E64" s="100">
        <v>6.85</v>
      </c>
      <c r="F64" s="100">
        <v>4.49</v>
      </c>
      <c r="G64" s="100">
        <v>12.54</v>
      </c>
      <c r="H64" s="100">
        <v>5.01</v>
      </c>
      <c r="I64" s="100">
        <v>4.0199999999999996</v>
      </c>
      <c r="J64" s="100">
        <v>0.31</v>
      </c>
      <c r="K64" s="100">
        <v>190.71</v>
      </c>
      <c r="L64" s="100">
        <v>30.33</v>
      </c>
      <c r="M64" s="100">
        <v>57.14</v>
      </c>
      <c r="N64" s="100">
        <v>678.5</v>
      </c>
      <c r="O64" s="100">
        <v>0</v>
      </c>
      <c r="P64" s="100">
        <v>0.52</v>
      </c>
      <c r="Q64" s="100">
        <v>5.51</v>
      </c>
      <c r="R64" s="6"/>
      <c r="S64" s="6"/>
      <c r="T64" s="156"/>
      <c r="U64" s="6"/>
    </row>
    <row r="65" spans="1:21" customFormat="1">
      <c r="A65" s="100" t="s">
        <v>293</v>
      </c>
      <c r="B65" s="100">
        <v>17.07</v>
      </c>
      <c r="C65" s="100">
        <v>58.17</v>
      </c>
      <c r="D65" s="100">
        <v>45.43</v>
      </c>
      <c r="E65" s="100">
        <v>6.56</v>
      </c>
      <c r="F65" s="100">
        <v>4.1100000000000003</v>
      </c>
      <c r="G65" s="100">
        <v>12.54</v>
      </c>
      <c r="H65" s="100">
        <v>5.01</v>
      </c>
      <c r="I65" s="100">
        <v>3.94</v>
      </c>
      <c r="J65" s="100">
        <v>0.25</v>
      </c>
      <c r="K65" s="100">
        <v>149.01</v>
      </c>
      <c r="L65" s="100">
        <v>30.08</v>
      </c>
      <c r="M65" s="100">
        <v>58.53</v>
      </c>
      <c r="N65" s="100">
        <v>584</v>
      </c>
      <c r="O65" s="100">
        <v>0</v>
      </c>
      <c r="P65" s="100">
        <v>0.42</v>
      </c>
      <c r="Q65" s="100">
        <v>5.51</v>
      </c>
      <c r="R65" s="6"/>
      <c r="S65" s="6"/>
      <c r="T65" s="156"/>
      <c r="U65" s="6"/>
    </row>
    <row r="66" spans="1:21" customFormat="1">
      <c r="A66" s="100" t="s">
        <v>294</v>
      </c>
      <c r="B66" s="100">
        <v>16.39</v>
      </c>
      <c r="C66" s="100">
        <v>53.11</v>
      </c>
      <c r="D66" s="100">
        <v>42.24</v>
      </c>
      <c r="E66" s="100">
        <v>6.49</v>
      </c>
      <c r="F66" s="100">
        <v>4.7699999999999996</v>
      </c>
      <c r="G66" s="100">
        <v>11.8</v>
      </c>
      <c r="H66" s="100">
        <v>4.4000000000000004</v>
      </c>
      <c r="I66" s="100">
        <v>3.94</v>
      </c>
      <c r="J66" s="100">
        <v>0.3</v>
      </c>
      <c r="K66" s="100">
        <v>111.17</v>
      </c>
      <c r="L66" s="100">
        <v>30.33</v>
      </c>
      <c r="M66" s="100">
        <v>57.42</v>
      </c>
      <c r="N66" s="100">
        <v>604.6</v>
      </c>
      <c r="O66" s="100">
        <v>0</v>
      </c>
      <c r="P66" s="100">
        <v>0.44</v>
      </c>
      <c r="Q66" s="100">
        <v>5.38</v>
      </c>
      <c r="R66" s="6"/>
      <c r="S66" s="6"/>
      <c r="T66" s="156"/>
      <c r="U66" s="6"/>
    </row>
    <row r="67" spans="1:21" customFormat="1">
      <c r="A67" s="100" t="s">
        <v>295</v>
      </c>
      <c r="B67" s="100">
        <v>15.69</v>
      </c>
      <c r="C67" s="100">
        <v>51.63</v>
      </c>
      <c r="D67" s="100">
        <v>40.909999999999997</v>
      </c>
      <c r="E67" s="100">
        <v>6.67</v>
      </c>
      <c r="F67" s="100">
        <v>6.31</v>
      </c>
      <c r="G67" s="100">
        <v>10.5</v>
      </c>
      <c r="H67" s="100">
        <v>3.77</v>
      </c>
      <c r="I67" s="100">
        <v>3.87</v>
      </c>
      <c r="J67" s="100">
        <v>0.44</v>
      </c>
      <c r="K67" s="100">
        <v>78.540000000000006</v>
      </c>
      <c r="L67" s="100">
        <v>30.57</v>
      </c>
      <c r="M67" s="100">
        <v>56.55</v>
      </c>
      <c r="N67" s="100">
        <v>598.70000000000005</v>
      </c>
      <c r="O67" s="100">
        <v>0</v>
      </c>
      <c r="P67" s="100">
        <v>0.42</v>
      </c>
      <c r="Q67" s="100">
        <v>5.3</v>
      </c>
      <c r="R67" s="6"/>
      <c r="S67" s="6"/>
      <c r="T67" s="156"/>
      <c r="U67" s="6"/>
    </row>
    <row r="68" spans="1:21" customFormat="1">
      <c r="A68" s="100" t="s">
        <v>296</v>
      </c>
      <c r="B68" s="100">
        <v>15.67</v>
      </c>
      <c r="C68" s="100">
        <v>47.6</v>
      </c>
      <c r="D68" s="100">
        <v>38.78</v>
      </c>
      <c r="E68" s="100">
        <v>6.72</v>
      </c>
      <c r="F68" s="100">
        <v>6.53</v>
      </c>
      <c r="G68" s="100">
        <v>10.5</v>
      </c>
      <c r="H68" s="100">
        <v>3.77</v>
      </c>
      <c r="I68" s="100">
        <v>3.77</v>
      </c>
      <c r="J68" s="100">
        <v>0.25</v>
      </c>
      <c r="K68" s="100">
        <v>112.5</v>
      </c>
      <c r="L68" s="100">
        <v>31.13</v>
      </c>
      <c r="M68" s="100">
        <v>54.77</v>
      </c>
      <c r="N68" s="100">
        <v>748.4</v>
      </c>
      <c r="O68" s="100">
        <v>0</v>
      </c>
      <c r="P68" s="100">
        <v>0.4</v>
      </c>
      <c r="Q68" s="100">
        <v>5.1100000000000003</v>
      </c>
      <c r="R68" s="6"/>
      <c r="S68" s="6"/>
      <c r="T68" s="156"/>
      <c r="U68" s="6"/>
    </row>
    <row r="69" spans="1:21" customFormat="1">
      <c r="A69" s="100" t="s">
        <v>297</v>
      </c>
      <c r="B69" s="100">
        <v>15.5</v>
      </c>
      <c r="C69" s="100">
        <v>45.21</v>
      </c>
      <c r="D69" s="100">
        <v>37.409999999999997</v>
      </c>
      <c r="E69" s="100">
        <v>6.15</v>
      </c>
      <c r="F69" s="100">
        <v>6.34</v>
      </c>
      <c r="G69" s="100">
        <v>10.5</v>
      </c>
      <c r="H69" s="100">
        <v>3.77</v>
      </c>
      <c r="I69" s="100">
        <v>3.76</v>
      </c>
      <c r="J69" s="100">
        <v>0.36</v>
      </c>
      <c r="K69" s="100">
        <v>83.68</v>
      </c>
      <c r="L69" s="100">
        <v>31.52</v>
      </c>
      <c r="M69" s="100">
        <v>54.44</v>
      </c>
      <c r="N69" s="100">
        <v>538.70000000000005</v>
      </c>
      <c r="O69" s="100">
        <v>0</v>
      </c>
      <c r="P69" s="100">
        <v>0.38</v>
      </c>
      <c r="Q69" s="100">
        <v>4.9400000000000004</v>
      </c>
      <c r="R69" s="6"/>
      <c r="S69" s="6"/>
      <c r="T69" s="156"/>
      <c r="U69" s="6"/>
    </row>
    <row r="70" spans="1:21" customFormat="1">
      <c r="A70" s="100" t="s">
        <v>298</v>
      </c>
      <c r="B70" s="100">
        <v>15.43</v>
      </c>
      <c r="C70" s="100">
        <v>50.42</v>
      </c>
      <c r="D70" s="100">
        <v>40.07</v>
      </c>
      <c r="E70" s="100">
        <v>6.83</v>
      </c>
      <c r="F70" s="100">
        <v>4.71</v>
      </c>
      <c r="G70" s="100">
        <v>9.41</v>
      </c>
      <c r="H70" s="100">
        <v>3.84</v>
      </c>
      <c r="I70" s="100">
        <v>3.7</v>
      </c>
      <c r="J70" s="100">
        <v>0.25</v>
      </c>
      <c r="K70" s="100">
        <v>152.11000000000001</v>
      </c>
      <c r="L70" s="100">
        <v>31.02</v>
      </c>
      <c r="M70" s="100">
        <v>53.43</v>
      </c>
      <c r="N70" s="100">
        <v>622.9</v>
      </c>
      <c r="O70" s="100">
        <v>0</v>
      </c>
      <c r="P70" s="100">
        <v>0.4</v>
      </c>
      <c r="Q70" s="100">
        <v>5</v>
      </c>
      <c r="R70" s="6"/>
      <c r="S70" s="6"/>
      <c r="T70" s="156"/>
      <c r="U70" s="6"/>
    </row>
    <row r="71" spans="1:21" customFormat="1">
      <c r="A71" s="100" t="s">
        <v>299</v>
      </c>
      <c r="B71" s="100">
        <v>15.15</v>
      </c>
      <c r="C71" s="100">
        <v>52.58</v>
      </c>
      <c r="D71" s="100">
        <v>40.97</v>
      </c>
      <c r="E71" s="100">
        <v>6.37</v>
      </c>
      <c r="F71" s="100">
        <v>5.67</v>
      </c>
      <c r="G71" s="100">
        <v>7.51</v>
      </c>
      <c r="H71" s="100">
        <v>3.91</v>
      </c>
      <c r="I71" s="100">
        <v>3.66</v>
      </c>
      <c r="J71" s="100">
        <v>0.22</v>
      </c>
      <c r="K71" s="100">
        <v>150.1</v>
      </c>
      <c r="L71" s="100">
        <v>30.42</v>
      </c>
      <c r="M71" s="100">
        <v>55.6</v>
      </c>
      <c r="N71" s="100">
        <v>388.4</v>
      </c>
      <c r="O71" s="100">
        <v>0</v>
      </c>
      <c r="P71" s="100">
        <v>0.39</v>
      </c>
      <c r="Q71" s="100">
        <v>5.21</v>
      </c>
      <c r="R71" s="6"/>
      <c r="S71" s="6"/>
      <c r="T71" s="156"/>
      <c r="U71" s="6"/>
    </row>
    <row r="72" spans="1:21" customFormat="1">
      <c r="A72" s="100" t="s">
        <v>300</v>
      </c>
      <c r="B72" s="100">
        <v>14.77</v>
      </c>
      <c r="C72" s="100">
        <v>46.93</v>
      </c>
      <c r="D72" s="100">
        <v>37.72</v>
      </c>
      <c r="E72" s="100">
        <v>6.75</v>
      </c>
      <c r="F72" s="100">
        <v>7.47</v>
      </c>
      <c r="G72" s="100">
        <v>7.51</v>
      </c>
      <c r="H72" s="100">
        <v>3.91</v>
      </c>
      <c r="I72" s="100">
        <v>3.74</v>
      </c>
      <c r="J72" s="100">
        <v>0.14000000000000001</v>
      </c>
      <c r="K72" s="100">
        <v>124.11</v>
      </c>
      <c r="L72" s="100">
        <v>31.26</v>
      </c>
      <c r="M72" s="100">
        <v>52.08</v>
      </c>
      <c r="N72" s="100">
        <v>563.29999999999995</v>
      </c>
      <c r="O72" s="100">
        <v>0</v>
      </c>
      <c r="P72" s="100">
        <v>0.36</v>
      </c>
      <c r="Q72" s="100">
        <v>5.05</v>
      </c>
      <c r="R72" s="6"/>
      <c r="S72" s="6"/>
      <c r="T72" s="156"/>
      <c r="U72" s="6"/>
    </row>
    <row r="73" spans="1:21" customFormat="1">
      <c r="A73" s="100" t="s">
        <v>301</v>
      </c>
      <c r="B73" s="100">
        <v>14.9</v>
      </c>
      <c r="C73" s="100">
        <v>51.89</v>
      </c>
      <c r="D73" s="100">
        <v>40.409999999999997</v>
      </c>
      <c r="E73" s="100">
        <v>6.89</v>
      </c>
      <c r="F73" s="100">
        <v>5.21</v>
      </c>
      <c r="G73" s="100">
        <v>7.51</v>
      </c>
      <c r="H73" s="100">
        <v>3.91</v>
      </c>
      <c r="I73" s="100">
        <v>3.62</v>
      </c>
      <c r="J73" s="100">
        <v>0.12</v>
      </c>
      <c r="K73" s="100">
        <v>110.61</v>
      </c>
      <c r="L73" s="100">
        <v>31.83</v>
      </c>
      <c r="M73" s="100">
        <v>51.46</v>
      </c>
      <c r="N73" s="100">
        <v>426.6</v>
      </c>
      <c r="O73" s="100">
        <v>0</v>
      </c>
      <c r="P73" s="100">
        <v>0.4</v>
      </c>
      <c r="Q73" s="100">
        <v>5.09</v>
      </c>
      <c r="R73" s="6"/>
      <c r="S73" s="6"/>
      <c r="T73" s="156"/>
      <c r="U73" s="6"/>
    </row>
    <row r="74" spans="1:21" customFormat="1">
      <c r="A74" s="100" t="s">
        <v>302</v>
      </c>
      <c r="B74" s="100">
        <v>14.63</v>
      </c>
      <c r="C74" s="100">
        <v>51.03</v>
      </c>
      <c r="D74" s="100">
        <v>39.74</v>
      </c>
      <c r="E74" s="100">
        <v>6.39</v>
      </c>
      <c r="F74" s="100">
        <v>8.56</v>
      </c>
      <c r="G74" s="100">
        <v>7.55</v>
      </c>
      <c r="H74" s="100">
        <v>3.4</v>
      </c>
      <c r="I74" s="100">
        <v>3.51</v>
      </c>
      <c r="J74" s="100">
        <v>0.12</v>
      </c>
      <c r="K74" s="100">
        <v>88.67</v>
      </c>
      <c r="L74" s="100">
        <v>31.69</v>
      </c>
      <c r="M74" s="100">
        <v>50.18</v>
      </c>
      <c r="N74" s="100">
        <v>441</v>
      </c>
      <c r="O74" s="100">
        <v>0</v>
      </c>
      <c r="P74" s="100">
        <v>0.39</v>
      </c>
      <c r="Q74" s="100">
        <v>5.16</v>
      </c>
      <c r="R74" s="6"/>
      <c r="S74" s="6"/>
      <c r="T74" s="156"/>
      <c r="U74" s="6"/>
    </row>
    <row r="75" spans="1:21" customFormat="1">
      <c r="A75" s="100" t="s">
        <v>303</v>
      </c>
      <c r="B75" s="100">
        <v>14.16</v>
      </c>
      <c r="C75" s="100">
        <v>44.29</v>
      </c>
      <c r="D75" s="100">
        <v>35.85</v>
      </c>
      <c r="E75" s="100">
        <v>6.73</v>
      </c>
      <c r="F75" s="100">
        <v>8.8000000000000007</v>
      </c>
      <c r="G75" s="100">
        <v>7.61</v>
      </c>
      <c r="H75" s="100">
        <v>2.88</v>
      </c>
      <c r="I75" s="100">
        <v>3.6</v>
      </c>
      <c r="J75" s="100">
        <v>0.2</v>
      </c>
      <c r="K75" s="100">
        <v>207.26</v>
      </c>
      <c r="L75" s="100">
        <v>31.1</v>
      </c>
      <c r="M75" s="100">
        <v>52.69</v>
      </c>
      <c r="N75" s="100">
        <v>236.1</v>
      </c>
      <c r="O75" s="100">
        <v>0</v>
      </c>
      <c r="P75" s="100">
        <v>0.36</v>
      </c>
      <c r="Q75" s="100">
        <v>4.9800000000000004</v>
      </c>
      <c r="R75" s="6"/>
      <c r="S75" s="6"/>
      <c r="T75" s="156"/>
      <c r="U75" s="6"/>
    </row>
    <row r="76" spans="1:21" customFormat="1">
      <c r="A76" s="100" t="s">
        <v>304</v>
      </c>
      <c r="B76" s="100">
        <v>14.82</v>
      </c>
      <c r="C76" s="100">
        <v>51.88</v>
      </c>
      <c r="D76" s="100">
        <v>40.340000000000003</v>
      </c>
      <c r="E76" s="100">
        <v>6.92</v>
      </c>
      <c r="F76" s="100">
        <v>4.78</v>
      </c>
      <c r="G76" s="100">
        <v>7.61</v>
      </c>
      <c r="H76" s="100">
        <v>2.88</v>
      </c>
      <c r="I76" s="100">
        <v>3.41</v>
      </c>
      <c r="J76" s="100">
        <v>0.21</v>
      </c>
      <c r="K76" s="100">
        <v>108.39</v>
      </c>
      <c r="L76" s="100">
        <v>31.26</v>
      </c>
      <c r="M76" s="100">
        <v>52.18</v>
      </c>
      <c r="N76" s="100">
        <v>263.7</v>
      </c>
      <c r="O76" s="100">
        <v>0</v>
      </c>
      <c r="P76" s="100">
        <v>0.4</v>
      </c>
      <c r="Q76" s="100">
        <v>5.07</v>
      </c>
      <c r="R76" s="6"/>
      <c r="S76" s="6"/>
      <c r="T76" s="156"/>
      <c r="U76" s="6"/>
    </row>
    <row r="77" spans="1:21" customFormat="1">
      <c r="A77" s="100" t="s">
        <v>305</v>
      </c>
      <c r="B77" s="100">
        <v>15.21</v>
      </c>
      <c r="C77" s="100">
        <v>50.44</v>
      </c>
      <c r="D77" s="100">
        <v>39.9</v>
      </c>
      <c r="E77" s="100">
        <v>7.46</v>
      </c>
      <c r="F77" s="100">
        <v>6.57</v>
      </c>
      <c r="G77" s="100">
        <v>7.61</v>
      </c>
      <c r="H77" s="100">
        <v>2.88</v>
      </c>
      <c r="I77" s="100">
        <v>3.36</v>
      </c>
      <c r="J77" s="100">
        <v>0.2</v>
      </c>
      <c r="K77" s="100">
        <v>144.36000000000001</v>
      </c>
      <c r="L77" s="100">
        <v>30.65</v>
      </c>
      <c r="M77" s="100">
        <v>53.15</v>
      </c>
      <c r="N77" s="100">
        <v>143.80000000000001</v>
      </c>
      <c r="O77" s="100">
        <v>0</v>
      </c>
      <c r="P77" s="100">
        <v>0.38</v>
      </c>
      <c r="Q77" s="100">
        <v>5.12</v>
      </c>
      <c r="R77" s="6"/>
      <c r="S77" s="6"/>
      <c r="T77" s="156"/>
      <c r="U77" s="6"/>
    </row>
    <row r="78" spans="1:21" customFormat="1">
      <c r="A78" s="100" t="s">
        <v>306</v>
      </c>
      <c r="B78" s="100">
        <v>14.65</v>
      </c>
      <c r="C78" s="100">
        <v>44.2</v>
      </c>
      <c r="D78" s="100">
        <v>36.200000000000003</v>
      </c>
      <c r="E78" s="100">
        <v>6.45</v>
      </c>
      <c r="F78" s="100">
        <v>9.2799999999999994</v>
      </c>
      <c r="G78" s="100">
        <v>6.97</v>
      </c>
      <c r="H78" s="100">
        <v>3.5</v>
      </c>
      <c r="I78" s="100">
        <v>3.52</v>
      </c>
      <c r="J78" s="100">
        <v>0.09</v>
      </c>
      <c r="K78" s="100">
        <v>117.75</v>
      </c>
      <c r="L78" s="100">
        <v>30.48</v>
      </c>
      <c r="M78" s="100">
        <v>54.03</v>
      </c>
      <c r="N78" s="100">
        <v>88.6</v>
      </c>
      <c r="O78" s="100">
        <v>0</v>
      </c>
      <c r="P78" s="100">
        <v>0.35</v>
      </c>
      <c r="Q78" s="100">
        <v>4.97</v>
      </c>
      <c r="R78" s="6"/>
      <c r="S78" s="6"/>
      <c r="T78" s="156"/>
      <c r="U78" s="6"/>
    </row>
    <row r="79" spans="1:21" customFormat="1">
      <c r="A79" s="100" t="s">
        <v>307</v>
      </c>
      <c r="B79" s="100">
        <v>15.51</v>
      </c>
      <c r="C79" s="100">
        <v>52.95</v>
      </c>
      <c r="D79" s="100">
        <v>41.45</v>
      </c>
      <c r="E79" s="100">
        <v>6.72</v>
      </c>
      <c r="F79" s="100">
        <v>4.58</v>
      </c>
      <c r="G79" s="100">
        <v>5.87</v>
      </c>
      <c r="H79" s="100">
        <v>4.13</v>
      </c>
      <c r="I79" s="100">
        <v>3.4</v>
      </c>
      <c r="J79" s="100">
        <v>0.06</v>
      </c>
      <c r="K79" s="100">
        <v>122.81</v>
      </c>
      <c r="L79" s="100">
        <v>29.47</v>
      </c>
      <c r="M79" s="100">
        <v>56.91</v>
      </c>
      <c r="N79" s="100">
        <v>56.6</v>
      </c>
      <c r="O79" s="100">
        <v>0</v>
      </c>
      <c r="P79" s="100">
        <v>0.39</v>
      </c>
      <c r="Q79" s="100">
        <v>5.09</v>
      </c>
      <c r="R79" s="6"/>
      <c r="S79" s="6"/>
      <c r="T79" s="156"/>
      <c r="U79" s="6"/>
    </row>
    <row r="80" spans="1:21" customFormat="1">
      <c r="A80" s="100" t="s">
        <v>308</v>
      </c>
      <c r="B80" s="100">
        <v>15.41</v>
      </c>
      <c r="C80" s="100">
        <v>49.87</v>
      </c>
      <c r="D80" s="100">
        <v>39.76</v>
      </c>
      <c r="E80" s="100">
        <v>6.85</v>
      </c>
      <c r="F80" s="100">
        <v>8.66</v>
      </c>
      <c r="G80" s="100">
        <v>5.87</v>
      </c>
      <c r="H80" s="100">
        <v>4.13</v>
      </c>
      <c r="I80" s="100">
        <v>3.23</v>
      </c>
      <c r="J80" s="100">
        <v>0.1</v>
      </c>
      <c r="K80" s="100">
        <v>186.89</v>
      </c>
      <c r="L80" s="100">
        <v>28.73</v>
      </c>
      <c r="M80" s="100">
        <v>59.04</v>
      </c>
      <c r="N80" s="100">
        <v>11.8</v>
      </c>
      <c r="O80" s="100">
        <v>0</v>
      </c>
      <c r="P80" s="100">
        <v>0.36</v>
      </c>
      <c r="Q80" s="100">
        <v>5.13</v>
      </c>
      <c r="R80" s="6"/>
      <c r="S80" s="6"/>
      <c r="T80" s="156"/>
      <c r="U80" s="6"/>
    </row>
    <row r="81" spans="1:21" customFormat="1">
      <c r="A81" s="100" t="s">
        <v>309</v>
      </c>
      <c r="B81" s="100">
        <v>15.4</v>
      </c>
      <c r="C81" s="100">
        <v>46.65</v>
      </c>
      <c r="D81" s="100">
        <v>38.08</v>
      </c>
      <c r="E81" s="100">
        <v>6.71</v>
      </c>
      <c r="F81" s="100">
        <v>8.35</v>
      </c>
      <c r="G81" s="100">
        <v>5.87</v>
      </c>
      <c r="H81" s="100">
        <v>4.13</v>
      </c>
      <c r="I81" s="100">
        <v>3.38</v>
      </c>
      <c r="J81" s="100">
        <v>7.0000000000000007E-2</v>
      </c>
      <c r="K81" s="100">
        <v>165.21</v>
      </c>
      <c r="L81" s="100">
        <v>27.7</v>
      </c>
      <c r="M81" s="100">
        <v>62.55</v>
      </c>
      <c r="N81" s="100">
        <v>0.5</v>
      </c>
      <c r="O81" s="100">
        <v>0</v>
      </c>
      <c r="P81" s="100">
        <v>0.35</v>
      </c>
      <c r="Q81" s="100">
        <v>4.9800000000000004</v>
      </c>
      <c r="R81" s="6"/>
      <c r="S81" s="6"/>
      <c r="T81" s="156"/>
      <c r="U81" s="6"/>
    </row>
    <row r="82" spans="1:21" customFormat="1">
      <c r="A82" s="100" t="s">
        <v>310</v>
      </c>
      <c r="B82" s="100">
        <v>15.87</v>
      </c>
      <c r="C82" s="100">
        <v>52.02</v>
      </c>
      <c r="D82" s="100">
        <v>41.26</v>
      </c>
      <c r="E82" s="100">
        <v>8.08</v>
      </c>
      <c r="F82" s="100">
        <v>8.5</v>
      </c>
      <c r="G82" s="100">
        <v>5.39</v>
      </c>
      <c r="H82" s="100">
        <v>3.87</v>
      </c>
      <c r="I82" s="100">
        <v>3.13</v>
      </c>
      <c r="J82" s="100">
        <v>0.13</v>
      </c>
      <c r="K82" s="100">
        <v>99.65</v>
      </c>
      <c r="L82" s="100">
        <v>27.12</v>
      </c>
      <c r="M82" s="100">
        <v>63.59</v>
      </c>
      <c r="N82" s="100">
        <v>0</v>
      </c>
      <c r="O82" s="100">
        <v>0</v>
      </c>
      <c r="P82" s="100">
        <v>0.38</v>
      </c>
      <c r="Q82" s="100">
        <v>5.17</v>
      </c>
      <c r="R82" s="6"/>
      <c r="S82" s="6"/>
      <c r="T82" s="156"/>
      <c r="U82" s="6"/>
    </row>
    <row r="83" spans="1:21" customFormat="1">
      <c r="A83" s="100" t="s">
        <v>311</v>
      </c>
      <c r="B83" s="100">
        <v>16.22</v>
      </c>
      <c r="C83" s="100">
        <v>47.77</v>
      </c>
      <c r="D83" s="100">
        <v>39.32</v>
      </c>
      <c r="E83" s="100">
        <v>8.25</v>
      </c>
      <c r="F83" s="100">
        <v>8.58</v>
      </c>
      <c r="G83" s="100">
        <v>4.5599999999999996</v>
      </c>
      <c r="H83" s="100">
        <v>3.08</v>
      </c>
      <c r="I83" s="100">
        <v>3.29</v>
      </c>
      <c r="J83" s="100">
        <v>0.13</v>
      </c>
      <c r="K83" s="100">
        <v>174.87</v>
      </c>
      <c r="L83" s="100">
        <v>26.67</v>
      </c>
      <c r="M83" s="100">
        <v>67.17</v>
      </c>
      <c r="N83" s="100">
        <v>0</v>
      </c>
      <c r="O83" s="100">
        <v>0</v>
      </c>
      <c r="P83" s="100">
        <v>0.37</v>
      </c>
      <c r="Q83" s="100">
        <v>5.16</v>
      </c>
      <c r="R83" s="6"/>
      <c r="S83" s="6"/>
      <c r="T83" s="156"/>
      <c r="U83" s="6"/>
    </row>
    <row r="84" spans="1:21" customFormat="1">
      <c r="A84" s="100" t="s">
        <v>312</v>
      </c>
      <c r="B84" s="100">
        <v>17.84</v>
      </c>
      <c r="C84" s="100">
        <v>54.47</v>
      </c>
      <c r="D84" s="100">
        <v>44.12</v>
      </c>
      <c r="E84" s="100">
        <v>8.6</v>
      </c>
      <c r="F84" s="100">
        <v>4.62</v>
      </c>
      <c r="G84" s="100">
        <v>4.5599999999999996</v>
      </c>
      <c r="H84" s="100">
        <v>3.08</v>
      </c>
      <c r="I84" s="100">
        <v>3.09</v>
      </c>
      <c r="J84" s="100">
        <v>0.09</v>
      </c>
      <c r="K84" s="100">
        <v>149.4</v>
      </c>
      <c r="L84" s="100">
        <v>26.09</v>
      </c>
      <c r="M84" s="100">
        <v>70.62</v>
      </c>
      <c r="N84" s="100">
        <v>0</v>
      </c>
      <c r="O84" s="100">
        <v>0</v>
      </c>
      <c r="P84" s="100">
        <v>0.4</v>
      </c>
      <c r="Q84" s="100">
        <v>5.28</v>
      </c>
      <c r="R84" s="6"/>
      <c r="S84" s="6"/>
      <c r="T84" s="156"/>
      <c r="U84" s="6"/>
    </row>
    <row r="85" spans="1:21" customFormat="1">
      <c r="A85" s="100" t="s">
        <v>313</v>
      </c>
      <c r="B85" s="100">
        <v>18.39</v>
      </c>
      <c r="C85" s="100">
        <v>49.79</v>
      </c>
      <c r="D85" s="100">
        <v>42.11</v>
      </c>
      <c r="E85" s="100">
        <v>8.66</v>
      </c>
      <c r="F85" s="100">
        <v>5.69</v>
      </c>
      <c r="G85" s="100">
        <v>4.5599999999999996</v>
      </c>
      <c r="H85" s="100">
        <v>3.08</v>
      </c>
      <c r="I85" s="100">
        <v>3.36</v>
      </c>
      <c r="J85" s="100">
        <v>0.18</v>
      </c>
      <c r="K85" s="100">
        <v>140.61000000000001</v>
      </c>
      <c r="L85" s="100">
        <v>26.08</v>
      </c>
      <c r="M85" s="100">
        <v>72.58</v>
      </c>
      <c r="N85" s="100">
        <v>0</v>
      </c>
      <c r="O85" s="100">
        <v>0</v>
      </c>
      <c r="P85" s="100">
        <v>0.37</v>
      </c>
      <c r="Q85" s="100">
        <v>5.19</v>
      </c>
      <c r="R85" s="6"/>
      <c r="S85" s="6"/>
      <c r="T85" s="156"/>
      <c r="U85" s="6"/>
    </row>
    <row r="86" spans="1:21" customFormat="1">
      <c r="A86" s="100" t="s">
        <v>314</v>
      </c>
      <c r="B86" s="100">
        <v>19.25</v>
      </c>
      <c r="C86" s="100">
        <v>55.67</v>
      </c>
      <c r="D86" s="100">
        <v>45.87</v>
      </c>
      <c r="E86" s="100">
        <v>8.6999999999999993</v>
      </c>
      <c r="F86" s="100">
        <v>4.25</v>
      </c>
      <c r="G86" s="100">
        <v>6.98</v>
      </c>
      <c r="H86" s="100">
        <v>3.15</v>
      </c>
      <c r="I86" s="100">
        <v>3.35</v>
      </c>
      <c r="J86" s="100">
        <v>0.24</v>
      </c>
      <c r="K86" s="100">
        <v>117.45</v>
      </c>
      <c r="L86" s="100">
        <v>26.15</v>
      </c>
      <c r="M86" s="100">
        <v>71.97</v>
      </c>
      <c r="N86" s="100">
        <v>0</v>
      </c>
      <c r="O86" s="100">
        <v>0</v>
      </c>
      <c r="P86" s="100">
        <v>0.41</v>
      </c>
      <c r="Q86" s="100">
        <v>5.41</v>
      </c>
      <c r="R86" s="6"/>
      <c r="S86" s="6"/>
      <c r="T86" s="156"/>
      <c r="U86" s="6"/>
    </row>
    <row r="87" spans="1:21" customFormat="1">
      <c r="A87" s="100" t="s">
        <v>315</v>
      </c>
      <c r="B87" s="100">
        <v>19.72</v>
      </c>
      <c r="C87" s="100">
        <v>59.82</v>
      </c>
      <c r="D87" s="100">
        <v>48.42</v>
      </c>
      <c r="E87" s="100">
        <v>9.17</v>
      </c>
      <c r="F87" s="100">
        <v>3.61</v>
      </c>
      <c r="G87" s="100">
        <v>11.14</v>
      </c>
      <c r="H87" s="100">
        <v>3.22</v>
      </c>
      <c r="I87" s="100">
        <v>3.4</v>
      </c>
      <c r="J87" s="100">
        <v>0.27</v>
      </c>
      <c r="K87" s="100">
        <v>136.63999999999999</v>
      </c>
      <c r="L87" s="100">
        <v>26.47</v>
      </c>
      <c r="M87" s="100">
        <v>70.760000000000005</v>
      </c>
      <c r="N87" s="100">
        <v>0</v>
      </c>
      <c r="O87" s="100">
        <v>0</v>
      </c>
      <c r="P87" s="100">
        <v>0.41</v>
      </c>
      <c r="Q87" s="100">
        <v>5.77</v>
      </c>
      <c r="R87" s="6"/>
      <c r="S87" s="6"/>
      <c r="T87" s="156"/>
      <c r="U87" s="6"/>
    </row>
    <row r="88" spans="1:21" customFormat="1">
      <c r="A88" s="100" t="s">
        <v>316</v>
      </c>
      <c r="B88" s="100">
        <v>19.96</v>
      </c>
      <c r="C88" s="100">
        <v>60.92</v>
      </c>
      <c r="D88" s="100">
        <v>49.19</v>
      </c>
      <c r="E88" s="100">
        <v>9.23</v>
      </c>
      <c r="F88" s="100">
        <v>3.71</v>
      </c>
      <c r="G88" s="100">
        <v>11.14</v>
      </c>
      <c r="H88" s="100">
        <v>3.22</v>
      </c>
      <c r="I88" s="100">
        <v>3.57</v>
      </c>
      <c r="J88" s="100">
        <v>0.46</v>
      </c>
      <c r="K88" s="100">
        <v>79.88</v>
      </c>
      <c r="L88" s="100">
        <v>26.31</v>
      </c>
      <c r="M88" s="100">
        <v>70.75</v>
      </c>
      <c r="N88" s="100">
        <v>0</v>
      </c>
      <c r="O88" s="100">
        <v>0</v>
      </c>
      <c r="P88" s="100">
        <v>0.42</v>
      </c>
      <c r="Q88" s="100">
        <v>5.88</v>
      </c>
      <c r="R88" s="6"/>
      <c r="S88" s="6"/>
      <c r="T88" s="156"/>
      <c r="U88" s="6"/>
    </row>
    <row r="89" spans="1:21" customFormat="1">
      <c r="A89" s="100" t="s">
        <v>317</v>
      </c>
      <c r="B89" s="100">
        <v>20.46</v>
      </c>
      <c r="C89" s="100">
        <v>60.26</v>
      </c>
      <c r="D89" s="100">
        <v>49.24</v>
      </c>
      <c r="E89" s="100">
        <v>8.83</v>
      </c>
      <c r="F89" s="100">
        <v>3.8</v>
      </c>
      <c r="G89" s="100">
        <v>11.14</v>
      </c>
      <c r="H89" s="100">
        <v>3.22</v>
      </c>
      <c r="I89" s="100">
        <v>3.62</v>
      </c>
      <c r="J89" s="100">
        <v>0.47</v>
      </c>
      <c r="K89" s="100">
        <v>78.760000000000005</v>
      </c>
      <c r="L89" s="100">
        <v>26.18</v>
      </c>
      <c r="M89" s="100">
        <v>72.180000000000007</v>
      </c>
      <c r="N89" s="100">
        <v>0</v>
      </c>
      <c r="O89" s="100">
        <v>0</v>
      </c>
      <c r="P89" s="100">
        <v>0.43</v>
      </c>
      <c r="Q89" s="100">
        <v>5.87</v>
      </c>
      <c r="R89" s="6"/>
      <c r="S89" s="6"/>
      <c r="T89" s="156"/>
      <c r="U89" s="6"/>
    </row>
    <row r="90" spans="1:21" customFormat="1">
      <c r="A90" s="100" t="s">
        <v>318</v>
      </c>
      <c r="B90" s="100">
        <v>21.21</v>
      </c>
      <c r="C90" s="100">
        <v>58.81</v>
      </c>
      <c r="D90" s="100">
        <v>49.09</v>
      </c>
      <c r="E90" s="100">
        <v>8.8000000000000007</v>
      </c>
      <c r="F90" s="100">
        <v>4.07</v>
      </c>
      <c r="G90" s="100">
        <v>11.82</v>
      </c>
      <c r="H90" s="100">
        <v>2.86</v>
      </c>
      <c r="I90" s="100">
        <v>3.62</v>
      </c>
      <c r="J90" s="100">
        <v>0.21</v>
      </c>
      <c r="K90" s="100">
        <v>147.93</v>
      </c>
      <c r="L90" s="100">
        <v>26.02</v>
      </c>
      <c r="M90" s="100">
        <v>74.150000000000006</v>
      </c>
      <c r="N90" s="100">
        <v>0</v>
      </c>
      <c r="O90" s="100">
        <v>0</v>
      </c>
      <c r="P90" s="100">
        <v>0.42</v>
      </c>
      <c r="Q90" s="100">
        <v>5.84</v>
      </c>
      <c r="R90" s="6"/>
      <c r="S90" s="6"/>
      <c r="T90" s="156"/>
      <c r="U90" s="6"/>
    </row>
    <row r="91" spans="1:21" customFormat="1">
      <c r="A91" s="100" t="s">
        <v>319</v>
      </c>
      <c r="B91" s="100">
        <v>21.67</v>
      </c>
      <c r="C91" s="100">
        <v>60.39</v>
      </c>
      <c r="D91" s="100">
        <v>50.29</v>
      </c>
      <c r="E91" s="100">
        <v>8.9700000000000006</v>
      </c>
      <c r="F91" s="100">
        <v>3.7</v>
      </c>
      <c r="G91" s="100">
        <v>13</v>
      </c>
      <c r="H91" s="100">
        <v>2.48</v>
      </c>
      <c r="I91" s="100">
        <v>3.76</v>
      </c>
      <c r="J91" s="100">
        <v>0.28000000000000003</v>
      </c>
      <c r="K91" s="100">
        <v>72.099999999999994</v>
      </c>
      <c r="L91" s="100">
        <v>25.79</v>
      </c>
      <c r="M91" s="100">
        <v>74.680000000000007</v>
      </c>
      <c r="N91" s="100">
        <v>0</v>
      </c>
      <c r="O91" s="100">
        <v>0</v>
      </c>
      <c r="P91" s="100">
        <v>0.43</v>
      </c>
      <c r="Q91" s="100">
        <v>5.96</v>
      </c>
      <c r="R91" s="6"/>
      <c r="S91" s="6"/>
      <c r="T91" s="156"/>
      <c r="U91" s="6"/>
    </row>
    <row r="92" spans="1:21" customFormat="1">
      <c r="A92" s="100" t="s">
        <v>320</v>
      </c>
      <c r="B92" s="100">
        <v>22.53</v>
      </c>
      <c r="C92" s="100">
        <v>60.18</v>
      </c>
      <c r="D92" s="100">
        <v>50.86</v>
      </c>
      <c r="E92" s="100">
        <v>8.61</v>
      </c>
      <c r="F92" s="100">
        <v>3.62</v>
      </c>
      <c r="G92" s="100">
        <v>13</v>
      </c>
      <c r="H92" s="100">
        <v>2.48</v>
      </c>
      <c r="I92" s="100">
        <v>3.74</v>
      </c>
      <c r="J92" s="100">
        <v>0.27</v>
      </c>
      <c r="K92" s="100">
        <v>52.23</v>
      </c>
      <c r="L92" s="100">
        <v>25.92</v>
      </c>
      <c r="M92" s="100">
        <v>73.39</v>
      </c>
      <c r="N92" s="100">
        <v>0</v>
      </c>
      <c r="O92" s="100">
        <v>0</v>
      </c>
      <c r="P92" s="100">
        <v>0.45</v>
      </c>
      <c r="Q92" s="100">
        <v>5.98</v>
      </c>
      <c r="R92" s="6"/>
      <c r="S92" s="6"/>
      <c r="T92" s="156"/>
      <c r="U92" s="6"/>
    </row>
    <row r="93" spans="1:21" customFormat="1">
      <c r="A93" s="100" t="s">
        <v>321</v>
      </c>
      <c r="B93" s="100">
        <v>23.79</v>
      </c>
      <c r="C93" s="100">
        <v>58.99</v>
      </c>
      <c r="D93" s="100">
        <v>51.25</v>
      </c>
      <c r="E93" s="100">
        <v>8.36</v>
      </c>
      <c r="F93" s="100">
        <v>3.89</v>
      </c>
      <c r="G93" s="100">
        <v>13</v>
      </c>
      <c r="H93" s="100">
        <v>2.48</v>
      </c>
      <c r="I93" s="100">
        <v>3.78</v>
      </c>
      <c r="J93" s="100">
        <v>0.11</v>
      </c>
      <c r="K93" s="100">
        <v>163.4</v>
      </c>
      <c r="L93" s="100">
        <v>26</v>
      </c>
      <c r="M93" s="100">
        <v>74.39</v>
      </c>
      <c r="N93" s="100">
        <v>0</v>
      </c>
      <c r="O93" s="100">
        <v>0</v>
      </c>
      <c r="P93" s="100">
        <v>0.43</v>
      </c>
      <c r="Q93" s="100">
        <v>6.02</v>
      </c>
      <c r="R93" s="6"/>
      <c r="S93" s="6"/>
      <c r="T93" s="156"/>
      <c r="U93" s="6"/>
    </row>
    <row r="94" spans="1:21" customFormat="1">
      <c r="A94" s="100" t="s">
        <v>322</v>
      </c>
      <c r="B94" s="100">
        <v>24.8</v>
      </c>
      <c r="C94" s="100">
        <v>60.41</v>
      </c>
      <c r="D94" s="100">
        <v>52.8</v>
      </c>
      <c r="E94" s="100">
        <v>8.3800000000000008</v>
      </c>
      <c r="F94" s="100">
        <v>3.67</v>
      </c>
      <c r="G94" s="100">
        <v>16.32</v>
      </c>
      <c r="H94" s="100">
        <v>4.59</v>
      </c>
      <c r="I94" s="100">
        <v>3.79</v>
      </c>
      <c r="J94" s="100">
        <v>0.45</v>
      </c>
      <c r="K94" s="100">
        <v>351.1</v>
      </c>
      <c r="L94" s="100">
        <v>25.56</v>
      </c>
      <c r="M94" s="100">
        <v>75.89</v>
      </c>
      <c r="N94" s="100">
        <v>0</v>
      </c>
      <c r="O94" s="100">
        <v>0</v>
      </c>
      <c r="P94" s="100">
        <v>0.45</v>
      </c>
      <c r="Q94" s="100">
        <v>6.16</v>
      </c>
      <c r="R94" s="6"/>
      <c r="S94" s="6"/>
      <c r="T94" s="156"/>
      <c r="U94" s="6"/>
    </row>
    <row r="95" spans="1:21" customFormat="1">
      <c r="A95" s="100" t="s">
        <v>323</v>
      </c>
      <c r="B95" s="100">
        <v>25.84</v>
      </c>
      <c r="C95" s="100">
        <v>60.63</v>
      </c>
      <c r="D95" s="100">
        <v>53.75</v>
      </c>
      <c r="E95" s="100">
        <v>8.52</v>
      </c>
      <c r="F95" s="100">
        <v>3.63</v>
      </c>
      <c r="G95" s="100">
        <v>22.05</v>
      </c>
      <c r="H95" s="100">
        <v>6.76</v>
      </c>
      <c r="I95" s="100">
        <v>3.88</v>
      </c>
      <c r="J95" s="100">
        <v>0.36</v>
      </c>
      <c r="K95" s="100">
        <v>239.32</v>
      </c>
      <c r="L95" s="100">
        <v>24.7</v>
      </c>
      <c r="M95" s="100">
        <v>85.12</v>
      </c>
      <c r="N95" s="100">
        <v>0</v>
      </c>
      <c r="O95" s="100">
        <v>0</v>
      </c>
      <c r="P95" s="100">
        <v>0.46</v>
      </c>
      <c r="Q95" s="100">
        <v>6.22</v>
      </c>
      <c r="R95" s="6"/>
      <c r="S95" s="6"/>
      <c r="T95" s="156"/>
      <c r="U95" s="6"/>
    </row>
    <row r="96" spans="1:21" customFormat="1">
      <c r="A96" s="100" t="s">
        <v>324</v>
      </c>
      <c r="B96" s="100">
        <v>26.38</v>
      </c>
      <c r="C96" s="100">
        <v>60.45</v>
      </c>
      <c r="D96" s="100">
        <v>54.09</v>
      </c>
      <c r="E96" s="100">
        <v>8.67</v>
      </c>
      <c r="F96" s="100">
        <v>3.77</v>
      </c>
      <c r="G96" s="100">
        <v>22.05</v>
      </c>
      <c r="H96" s="100">
        <v>6.76</v>
      </c>
      <c r="I96" s="100">
        <v>3.87</v>
      </c>
      <c r="J96" s="100">
        <v>0.27</v>
      </c>
      <c r="K96" s="100">
        <v>188.44</v>
      </c>
      <c r="L96" s="100">
        <v>24.19</v>
      </c>
      <c r="M96" s="100">
        <v>86.84</v>
      </c>
      <c r="N96" s="100">
        <v>0</v>
      </c>
      <c r="O96" s="100">
        <v>0</v>
      </c>
      <c r="P96" s="100">
        <v>0.46</v>
      </c>
      <c r="Q96" s="100">
        <v>6.22</v>
      </c>
      <c r="R96" s="6"/>
      <c r="S96" s="6"/>
      <c r="T96" s="156"/>
      <c r="U96" s="6"/>
    </row>
    <row r="97" spans="1:28" customFormat="1">
      <c r="A97" s="100" t="s">
        <v>325</v>
      </c>
      <c r="B97" s="100">
        <v>26.74</v>
      </c>
      <c r="C97" s="100">
        <v>58.3</v>
      </c>
      <c r="D97" s="100">
        <v>53.26</v>
      </c>
      <c r="E97" s="100">
        <v>8.48</v>
      </c>
      <c r="F97" s="100">
        <v>3.88</v>
      </c>
      <c r="G97" s="100">
        <v>22.05</v>
      </c>
      <c r="H97" s="100">
        <v>6.76</v>
      </c>
      <c r="I97" s="100">
        <v>3.88</v>
      </c>
      <c r="J97" s="100">
        <v>0.23</v>
      </c>
      <c r="K97" s="100">
        <v>105.19</v>
      </c>
      <c r="L97" s="100">
        <v>23.94</v>
      </c>
      <c r="M97" s="100">
        <v>84.47</v>
      </c>
      <c r="N97" s="100">
        <v>0</v>
      </c>
      <c r="O97" s="100">
        <v>0</v>
      </c>
      <c r="P97" s="100">
        <v>0.45</v>
      </c>
      <c r="Q97" s="100">
        <v>6.21</v>
      </c>
      <c r="R97" s="6"/>
      <c r="S97" s="6"/>
      <c r="T97" s="156"/>
      <c r="U97" s="6"/>
    </row>
    <row r="98" spans="1:28" customFormat="1">
      <c r="A98" s="100" t="s">
        <v>326</v>
      </c>
      <c r="B98" s="100">
        <v>26.34</v>
      </c>
      <c r="C98" s="100">
        <v>59.02</v>
      </c>
      <c r="D98" s="100">
        <v>53.31</v>
      </c>
      <c r="E98" s="100">
        <v>8.3000000000000007</v>
      </c>
      <c r="F98" s="100">
        <v>3.95</v>
      </c>
      <c r="G98" s="100">
        <v>19.82</v>
      </c>
      <c r="H98" s="100">
        <v>5.84</v>
      </c>
      <c r="I98" s="100">
        <v>3.94</v>
      </c>
      <c r="J98" s="100">
        <v>0.22</v>
      </c>
      <c r="K98" s="100">
        <v>160.41999999999999</v>
      </c>
      <c r="L98" s="100">
        <v>23.72</v>
      </c>
      <c r="M98" s="100">
        <v>76.45</v>
      </c>
      <c r="N98" s="100">
        <v>0</v>
      </c>
      <c r="O98" s="100">
        <v>0</v>
      </c>
      <c r="P98" s="100">
        <v>0.45</v>
      </c>
      <c r="Q98" s="100">
        <v>6.27</v>
      </c>
      <c r="R98" s="6"/>
      <c r="S98" s="6"/>
      <c r="T98" s="156"/>
      <c r="U98" s="6"/>
    </row>
    <row r="99" spans="1:28" customFormat="1">
      <c r="A99" s="100" t="s">
        <v>327</v>
      </c>
      <c r="B99" s="100">
        <v>26.03</v>
      </c>
      <c r="C99" s="100">
        <v>59.57</v>
      </c>
      <c r="D99" s="100">
        <v>53.34</v>
      </c>
      <c r="E99" s="100">
        <v>8.25</v>
      </c>
      <c r="F99" s="100">
        <v>3.83</v>
      </c>
      <c r="G99" s="100">
        <v>15.96</v>
      </c>
      <c r="H99" s="100">
        <v>4.8499999999999996</v>
      </c>
      <c r="I99" s="100">
        <v>3.82</v>
      </c>
      <c r="J99" s="100">
        <v>0.46</v>
      </c>
      <c r="K99" s="100">
        <v>253.72</v>
      </c>
      <c r="L99" s="100">
        <v>23.23</v>
      </c>
      <c r="M99" s="100">
        <v>75.53</v>
      </c>
      <c r="N99" s="100">
        <v>0</v>
      </c>
      <c r="O99" s="100">
        <v>0</v>
      </c>
      <c r="P99" s="100">
        <v>0.44</v>
      </c>
      <c r="Q99" s="100">
        <v>6.25</v>
      </c>
      <c r="R99" s="6"/>
      <c r="S99" s="6"/>
      <c r="T99" s="156"/>
      <c r="U99" s="6"/>
    </row>
    <row r="100" spans="1:28" customFormat="1">
      <c r="A100" s="100" t="s">
        <v>328</v>
      </c>
      <c r="B100" s="100">
        <v>25.7</v>
      </c>
      <c r="C100" s="100">
        <v>59.54</v>
      </c>
      <c r="D100" s="100">
        <v>53.07</v>
      </c>
      <c r="E100" s="100">
        <v>8.6300000000000008</v>
      </c>
      <c r="F100" s="100">
        <v>3.75</v>
      </c>
      <c r="G100" s="100">
        <v>15.96</v>
      </c>
      <c r="H100" s="100">
        <v>4.8499999999999996</v>
      </c>
      <c r="I100" s="100">
        <v>3.79</v>
      </c>
      <c r="J100" s="100">
        <v>0.2</v>
      </c>
      <c r="K100" s="100">
        <v>247.7</v>
      </c>
      <c r="L100" s="100">
        <v>23.06</v>
      </c>
      <c r="M100" s="100">
        <v>73.17</v>
      </c>
      <c r="N100" s="100">
        <v>0</v>
      </c>
      <c r="O100" s="100">
        <v>0</v>
      </c>
      <c r="P100" s="100">
        <v>0.44</v>
      </c>
      <c r="Q100" s="100">
        <v>6.21</v>
      </c>
      <c r="R100" s="6"/>
      <c r="S100" s="6"/>
      <c r="T100" s="156"/>
      <c r="U100" s="6"/>
      <c r="AB100" s="161"/>
    </row>
    <row r="101" spans="1:28" customFormat="1">
      <c r="A101" s="100" t="s">
        <v>329</v>
      </c>
      <c r="B101" s="100">
        <v>25.46</v>
      </c>
      <c r="C101" s="100">
        <v>58.67</v>
      </c>
      <c r="D101" s="100">
        <v>52.42</v>
      </c>
      <c r="E101" s="100">
        <v>8.27</v>
      </c>
      <c r="F101" s="100">
        <v>3.9</v>
      </c>
      <c r="G101" s="100">
        <v>15.96</v>
      </c>
      <c r="H101" s="100">
        <v>4.8499999999999996</v>
      </c>
      <c r="I101" s="100">
        <v>3.68</v>
      </c>
      <c r="J101" s="100">
        <v>0.25</v>
      </c>
      <c r="K101" s="100">
        <v>244.89</v>
      </c>
      <c r="L101" s="100">
        <v>23.4</v>
      </c>
      <c r="M101" s="100">
        <v>74.98</v>
      </c>
      <c r="N101" s="100">
        <v>0</v>
      </c>
      <c r="O101" s="100">
        <v>0</v>
      </c>
      <c r="P101" s="100">
        <v>0.42</v>
      </c>
      <c r="Q101" s="100">
        <v>6.14</v>
      </c>
      <c r="R101" s="6"/>
      <c r="S101" s="6"/>
      <c r="T101" s="156"/>
      <c r="U101" s="6"/>
    </row>
    <row r="102" spans="1:28" customFormat="1">
      <c r="A102" s="100" t="s">
        <v>330</v>
      </c>
      <c r="B102" s="100">
        <v>25.01</v>
      </c>
      <c r="C102" s="100">
        <v>59.18</v>
      </c>
      <c r="D102" s="100">
        <v>52.32</v>
      </c>
      <c r="E102" s="100">
        <v>8.48</v>
      </c>
      <c r="F102" s="100">
        <v>3.82</v>
      </c>
      <c r="G102" s="100">
        <v>15.7</v>
      </c>
      <c r="H102" s="100">
        <v>5.12</v>
      </c>
      <c r="I102" s="100">
        <v>3.67</v>
      </c>
      <c r="J102" s="100">
        <v>0.38</v>
      </c>
      <c r="K102" s="100">
        <v>253.51</v>
      </c>
      <c r="L102" s="100">
        <v>23.83</v>
      </c>
      <c r="M102" s="100">
        <v>78.430000000000007</v>
      </c>
      <c r="N102" s="100">
        <v>0</v>
      </c>
      <c r="O102" s="100">
        <v>0</v>
      </c>
      <c r="P102" s="100">
        <v>0.42</v>
      </c>
      <c r="Q102" s="100">
        <v>6.16</v>
      </c>
      <c r="R102" s="6"/>
      <c r="S102" s="6"/>
      <c r="T102" s="156"/>
      <c r="U102" s="6"/>
    </row>
    <row r="103" spans="1:28" customFormat="1">
      <c r="A103" s="100" t="s">
        <v>331</v>
      </c>
      <c r="B103" s="100">
        <v>24.81</v>
      </c>
      <c r="C103" s="100">
        <v>60.08</v>
      </c>
      <c r="D103" s="100">
        <v>52.63</v>
      </c>
      <c r="E103" s="100">
        <v>8.82</v>
      </c>
      <c r="F103" s="100">
        <v>3.65</v>
      </c>
      <c r="G103" s="100">
        <v>15.23</v>
      </c>
      <c r="H103" s="100">
        <v>5.4</v>
      </c>
      <c r="I103" s="100">
        <v>3.61</v>
      </c>
      <c r="J103" s="100">
        <v>0.44</v>
      </c>
      <c r="K103" s="100">
        <v>252.56</v>
      </c>
      <c r="L103" s="100">
        <v>23.92</v>
      </c>
      <c r="M103" s="100">
        <v>81.010000000000005</v>
      </c>
      <c r="N103" s="100">
        <v>0</v>
      </c>
      <c r="O103" s="100">
        <v>0</v>
      </c>
      <c r="P103" s="100">
        <v>0.42</v>
      </c>
      <c r="Q103" s="100">
        <v>6.18</v>
      </c>
      <c r="R103" s="6"/>
      <c r="S103" s="6"/>
      <c r="T103" s="156"/>
      <c r="U103" s="6"/>
    </row>
    <row r="104" spans="1:28" customFormat="1">
      <c r="A104" s="100" t="s">
        <v>332</v>
      </c>
      <c r="B104" s="100">
        <v>24.86</v>
      </c>
      <c r="C104" s="100">
        <v>59.53</v>
      </c>
      <c r="D104" s="100">
        <v>52.39</v>
      </c>
      <c r="E104" s="100">
        <v>8.2100000000000009</v>
      </c>
      <c r="F104" s="100">
        <v>3.6</v>
      </c>
      <c r="G104" s="100">
        <v>15.23</v>
      </c>
      <c r="H104" s="100">
        <v>5.4</v>
      </c>
      <c r="I104" s="100">
        <v>3.51</v>
      </c>
      <c r="J104" s="100">
        <v>0.42</v>
      </c>
      <c r="K104" s="100">
        <v>342.32</v>
      </c>
      <c r="L104" s="100">
        <v>23.39</v>
      </c>
      <c r="M104" s="100">
        <v>83.72</v>
      </c>
      <c r="N104" s="100">
        <v>0</v>
      </c>
      <c r="O104" s="100">
        <v>0</v>
      </c>
      <c r="P104" s="100">
        <v>0.41</v>
      </c>
      <c r="Q104" s="100">
        <v>6.13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14.16</v>
      </c>
      <c r="C106" s="158">
        <f>MIN(C9:C104)</f>
        <v>44.2</v>
      </c>
      <c r="D106" s="158">
        <f t="shared" ref="D106:Q106" si="0">MIN(D9:D104)</f>
        <v>35.85</v>
      </c>
      <c r="E106" s="158">
        <f t="shared" si="0"/>
        <v>6.15</v>
      </c>
      <c r="F106" s="158">
        <f t="shared" si="0"/>
        <v>3.26</v>
      </c>
      <c r="G106" s="158">
        <f t="shared" si="0"/>
        <v>4.5599999999999996</v>
      </c>
      <c r="H106" s="158">
        <f t="shared" si="0"/>
        <v>2.48</v>
      </c>
      <c r="I106" s="158">
        <f t="shared" si="0"/>
        <v>3.09</v>
      </c>
      <c r="J106" s="158">
        <f t="shared" si="0"/>
        <v>0.06</v>
      </c>
      <c r="K106" s="158">
        <f t="shared" si="0"/>
        <v>25</v>
      </c>
      <c r="L106" s="158">
        <f t="shared" si="0"/>
        <v>19.940000000000001</v>
      </c>
      <c r="M106" s="158">
        <f t="shared" si="0"/>
        <v>50.18</v>
      </c>
      <c r="N106" s="158">
        <f t="shared" si="0"/>
        <v>0</v>
      </c>
      <c r="O106" s="158">
        <f t="shared" si="0"/>
        <v>0</v>
      </c>
      <c r="P106" s="158">
        <f t="shared" si="0"/>
        <v>0.35</v>
      </c>
      <c r="Q106" s="158">
        <f t="shared" si="0"/>
        <v>4.9400000000000004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38.42</v>
      </c>
      <c r="C107" s="157">
        <f t="shared" ref="C107:Q107" si="1">MAX(C9:C104)</f>
        <v>64.23</v>
      </c>
      <c r="D107" s="157">
        <f t="shared" si="1"/>
        <v>64.209999999999994</v>
      </c>
      <c r="E107" s="157">
        <f t="shared" si="1"/>
        <v>9.23</v>
      </c>
      <c r="F107" s="157">
        <f t="shared" si="1"/>
        <v>9.2799999999999994</v>
      </c>
      <c r="G107" s="157">
        <f t="shared" si="1"/>
        <v>33.07</v>
      </c>
      <c r="H107" s="157">
        <f t="shared" si="1"/>
        <v>15.05</v>
      </c>
      <c r="I107" s="157">
        <f t="shared" si="1"/>
        <v>6.02</v>
      </c>
      <c r="J107" s="157">
        <f t="shared" si="1"/>
        <v>1.17</v>
      </c>
      <c r="K107" s="157">
        <f t="shared" si="1"/>
        <v>351.1</v>
      </c>
      <c r="L107" s="157">
        <f t="shared" si="1"/>
        <v>31.83</v>
      </c>
      <c r="M107" s="157">
        <f t="shared" si="1"/>
        <v>97.95</v>
      </c>
      <c r="N107" s="157">
        <f t="shared" si="1"/>
        <v>890.4</v>
      </c>
      <c r="O107" s="157">
        <f t="shared" si="1"/>
        <v>0</v>
      </c>
      <c r="P107" s="157">
        <f t="shared" si="1"/>
        <v>0.78</v>
      </c>
      <c r="Q107" s="157">
        <f t="shared" si="1"/>
        <v>7.1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26.026562500000015</v>
      </c>
      <c r="C108" s="158">
        <f t="shared" ref="C108:Q108" si="2">AVERAGE(C9:C104)</f>
        <v>57.84583333333336</v>
      </c>
      <c r="D108" s="158">
        <f t="shared" si="2"/>
        <v>52.444687500000008</v>
      </c>
      <c r="E108" s="158">
        <f t="shared" si="2"/>
        <v>7.6287500000000037</v>
      </c>
      <c r="F108" s="158">
        <f t="shared" si="2"/>
        <v>4.4354166666666668</v>
      </c>
      <c r="G108" s="158">
        <f t="shared" si="2"/>
        <v>15.168854166666664</v>
      </c>
      <c r="H108" s="158">
        <f t="shared" si="2"/>
        <v>6.8855208333333353</v>
      </c>
      <c r="I108" s="158">
        <f t="shared" si="2"/>
        <v>4.4894791666666665</v>
      </c>
      <c r="J108" s="158">
        <f t="shared" si="2"/>
        <v>0.29989583333333319</v>
      </c>
      <c r="K108" s="158">
        <f t="shared" si="2"/>
        <v>158.28041666666664</v>
      </c>
      <c r="L108" s="158">
        <f t="shared" si="2"/>
        <v>24.783229166666668</v>
      </c>
      <c r="M108" s="158">
        <f t="shared" si="2"/>
        <v>78.021979166666696</v>
      </c>
      <c r="N108" s="158">
        <f t="shared" si="2"/>
        <v>193.09166666666661</v>
      </c>
      <c r="O108" s="158">
        <f t="shared" si="2"/>
        <v>0</v>
      </c>
      <c r="P108" s="158">
        <f t="shared" si="2"/>
        <v>0.5546875</v>
      </c>
      <c r="Q108" s="158">
        <f t="shared" si="2"/>
        <v>6.120520833333333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7.4979793527989411</v>
      </c>
      <c r="C109" s="158">
        <f t="shared" ref="C109:Q109" si="3">STDEV(C9:C104)</f>
        <v>4.9465674790263803</v>
      </c>
      <c r="D109" s="158">
        <f t="shared" si="3"/>
        <v>8.079271717194711</v>
      </c>
      <c r="E109" s="158">
        <f t="shared" si="3"/>
        <v>0.76008482906082342</v>
      </c>
      <c r="F109" s="158">
        <f t="shared" si="3"/>
        <v>1.4050509761620886</v>
      </c>
      <c r="G109" s="158">
        <f t="shared" si="3"/>
        <v>6.9082068462909048</v>
      </c>
      <c r="H109" s="158">
        <f t="shared" si="3"/>
        <v>3.8249111086448897</v>
      </c>
      <c r="I109" s="158">
        <f t="shared" si="3"/>
        <v>0.86667953136537756</v>
      </c>
      <c r="J109" s="158">
        <f t="shared" si="3"/>
        <v>0.20280400074776228</v>
      </c>
      <c r="K109" s="158">
        <f t="shared" si="3"/>
        <v>75.92268435602486</v>
      </c>
      <c r="L109" s="158">
        <f t="shared" si="3"/>
        <v>4.0300668650040263</v>
      </c>
      <c r="M109" s="158">
        <f t="shared" si="3"/>
        <v>16.125626066657404</v>
      </c>
      <c r="N109" s="158">
        <f t="shared" si="3"/>
        <v>272.31359425125135</v>
      </c>
      <c r="O109" s="158">
        <f t="shared" si="3"/>
        <v>0</v>
      </c>
      <c r="P109" s="158">
        <f t="shared" si="3"/>
        <v>0.13741181382598561</v>
      </c>
      <c r="Q109" s="158">
        <f t="shared" si="3"/>
        <v>0.64211717211057784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Q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02/05/2023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00" t="s">
        <v>333</v>
      </c>
      <c r="B9" s="100">
        <v>24.85</v>
      </c>
      <c r="C9" s="100">
        <v>58.07</v>
      </c>
      <c r="D9" s="100">
        <v>51.62</v>
      </c>
      <c r="E9" s="100">
        <v>8.36</v>
      </c>
      <c r="F9" s="100">
        <v>3.76</v>
      </c>
      <c r="G9" s="100">
        <v>15.23</v>
      </c>
      <c r="H9" s="100">
        <v>5.4</v>
      </c>
      <c r="I9" s="100">
        <v>3.42</v>
      </c>
      <c r="J9" s="100">
        <v>0.28999999999999998</v>
      </c>
      <c r="K9" s="100">
        <v>294.23</v>
      </c>
      <c r="L9" s="100">
        <v>23.13</v>
      </c>
      <c r="M9" s="100">
        <v>84.6</v>
      </c>
      <c r="N9" s="100">
        <v>0</v>
      </c>
      <c r="O9" s="100">
        <v>0</v>
      </c>
      <c r="P9" s="100">
        <v>0.41</v>
      </c>
      <c r="Q9" s="100">
        <v>6.11</v>
      </c>
      <c r="R9" s="6"/>
      <c r="S9" s="6"/>
      <c r="T9" s="156"/>
      <c r="U9" s="6"/>
    </row>
    <row r="10" spans="1:21" customFormat="1">
      <c r="A10" s="100" t="s">
        <v>334</v>
      </c>
      <c r="B10" s="100">
        <v>25.64</v>
      </c>
      <c r="C10" s="100">
        <v>60.03</v>
      </c>
      <c r="D10" s="100">
        <v>53.27</v>
      </c>
      <c r="E10" s="100">
        <v>8.41</v>
      </c>
      <c r="F10" s="100">
        <v>3.72</v>
      </c>
      <c r="G10" s="100">
        <v>15.86</v>
      </c>
      <c r="H10" s="100">
        <v>5.62</v>
      </c>
      <c r="I10" s="100">
        <v>3.5</v>
      </c>
      <c r="J10" s="100">
        <v>0.37</v>
      </c>
      <c r="K10" s="100">
        <v>313.39999999999998</v>
      </c>
      <c r="L10" s="100">
        <v>23.12</v>
      </c>
      <c r="M10" s="100">
        <v>84.34</v>
      </c>
      <c r="N10" s="100">
        <v>0</v>
      </c>
      <c r="O10" s="100">
        <v>0</v>
      </c>
      <c r="P10" s="100">
        <v>0.41</v>
      </c>
      <c r="Q10" s="100">
        <v>6.2</v>
      </c>
      <c r="R10" s="6"/>
      <c r="S10" s="6"/>
      <c r="T10" s="156"/>
      <c r="U10" s="6"/>
    </row>
    <row r="11" spans="1:21" customFormat="1">
      <c r="A11" s="100" t="s">
        <v>335</v>
      </c>
      <c r="B11" s="100">
        <v>27.21</v>
      </c>
      <c r="C11" s="100">
        <v>53.27</v>
      </c>
      <c r="D11" s="100">
        <v>51</v>
      </c>
      <c r="E11" s="100">
        <v>8.26</v>
      </c>
      <c r="F11" s="100">
        <v>4.22</v>
      </c>
      <c r="G11" s="100">
        <v>16.940000000000001</v>
      </c>
      <c r="H11" s="100">
        <v>6.4</v>
      </c>
      <c r="I11" s="100">
        <v>3.45</v>
      </c>
      <c r="J11" s="100">
        <v>0.28999999999999998</v>
      </c>
      <c r="K11" s="100">
        <v>232.1</v>
      </c>
      <c r="L11" s="100">
        <v>22.96</v>
      </c>
      <c r="M11" s="100">
        <v>85.01</v>
      </c>
      <c r="N11" s="100">
        <v>0</v>
      </c>
      <c r="O11" s="100">
        <v>0</v>
      </c>
      <c r="P11" s="100">
        <v>0.37</v>
      </c>
      <c r="Q11" s="100">
        <v>5.97</v>
      </c>
      <c r="R11" s="6"/>
      <c r="S11" s="6"/>
      <c r="T11" s="156"/>
      <c r="U11" s="6"/>
    </row>
    <row r="12" spans="1:21" customFormat="1">
      <c r="A12" s="100" t="s">
        <v>336</v>
      </c>
      <c r="B12" s="100">
        <v>27.62</v>
      </c>
      <c r="C12" s="100">
        <v>56.08</v>
      </c>
      <c r="D12" s="100">
        <v>52.8</v>
      </c>
      <c r="E12" s="100">
        <v>7.93</v>
      </c>
      <c r="F12" s="100">
        <v>3.5</v>
      </c>
      <c r="G12" s="100">
        <v>16.940000000000001</v>
      </c>
      <c r="H12" s="100">
        <v>6.4</v>
      </c>
      <c r="I12" s="100">
        <v>3.4</v>
      </c>
      <c r="J12" s="100">
        <v>0.15</v>
      </c>
      <c r="K12" s="100">
        <v>220.77</v>
      </c>
      <c r="L12" s="100">
        <v>22.61</v>
      </c>
      <c r="M12" s="100">
        <v>86.66</v>
      </c>
      <c r="N12" s="100">
        <v>0</v>
      </c>
      <c r="O12" s="100">
        <v>0</v>
      </c>
      <c r="P12" s="100">
        <v>0.38</v>
      </c>
      <c r="Q12" s="100">
        <v>6.05</v>
      </c>
      <c r="R12" s="6"/>
      <c r="S12" s="6"/>
      <c r="T12" s="156"/>
      <c r="U12" s="6"/>
    </row>
    <row r="13" spans="1:21" customFormat="1">
      <c r="A13" s="100" t="s">
        <v>337</v>
      </c>
      <c r="B13" s="100">
        <v>28.26</v>
      </c>
      <c r="C13" s="100">
        <v>53.66</v>
      </c>
      <c r="D13" s="100">
        <v>52.05</v>
      </c>
      <c r="E13" s="100">
        <v>8.18</v>
      </c>
      <c r="F13" s="100">
        <v>3.93</v>
      </c>
      <c r="G13" s="100">
        <v>16.940000000000001</v>
      </c>
      <c r="H13" s="100">
        <v>6.4</v>
      </c>
      <c r="I13" s="100">
        <v>3.39</v>
      </c>
      <c r="J13" s="100">
        <v>0.12</v>
      </c>
      <c r="K13" s="100">
        <v>155.66</v>
      </c>
      <c r="L13" s="100">
        <v>22.47</v>
      </c>
      <c r="M13" s="100">
        <v>87.69</v>
      </c>
      <c r="N13" s="100">
        <v>0</v>
      </c>
      <c r="O13" s="100">
        <v>0</v>
      </c>
      <c r="P13" s="100">
        <v>0.37</v>
      </c>
      <c r="Q13" s="100">
        <v>5.96</v>
      </c>
      <c r="R13" s="6"/>
      <c r="S13" s="6"/>
      <c r="T13" s="156"/>
      <c r="U13" s="6"/>
    </row>
    <row r="14" spans="1:21" customFormat="1">
      <c r="A14" s="100" t="s">
        <v>338</v>
      </c>
      <c r="B14" s="100">
        <v>28.83</v>
      </c>
      <c r="C14" s="100">
        <v>56.92</v>
      </c>
      <c r="D14" s="100">
        <v>54.21</v>
      </c>
      <c r="E14" s="100">
        <v>8.49</v>
      </c>
      <c r="F14" s="100">
        <v>3.31</v>
      </c>
      <c r="G14" s="100">
        <v>15.11</v>
      </c>
      <c r="H14" s="100">
        <v>6.04</v>
      </c>
      <c r="I14" s="100">
        <v>3.43</v>
      </c>
      <c r="J14" s="100">
        <v>0.39</v>
      </c>
      <c r="K14" s="100">
        <v>30.76</v>
      </c>
      <c r="L14" s="100">
        <v>22.3</v>
      </c>
      <c r="M14" s="100">
        <v>87.79</v>
      </c>
      <c r="N14" s="100">
        <v>0</v>
      </c>
      <c r="O14" s="100">
        <v>0</v>
      </c>
      <c r="P14" s="100">
        <v>0.39</v>
      </c>
      <c r="Q14" s="100">
        <v>6.15</v>
      </c>
      <c r="R14" s="6"/>
      <c r="S14" s="6"/>
      <c r="T14" s="156"/>
      <c r="U14" s="6"/>
    </row>
    <row r="15" spans="1:21" customFormat="1">
      <c r="A15" s="100" t="s">
        <v>339</v>
      </c>
      <c r="B15" s="100">
        <v>30.24</v>
      </c>
      <c r="C15" s="100">
        <v>57.48</v>
      </c>
      <c r="D15" s="100">
        <v>55.64</v>
      </c>
      <c r="E15" s="100">
        <v>8.3800000000000008</v>
      </c>
      <c r="F15" s="100">
        <v>3.44</v>
      </c>
      <c r="G15" s="100">
        <v>11.96</v>
      </c>
      <c r="H15" s="100">
        <v>5.66</v>
      </c>
      <c r="I15" s="100">
        <v>3.41</v>
      </c>
      <c r="J15" s="100">
        <v>0.56999999999999995</v>
      </c>
      <c r="K15" s="100">
        <v>50.95</v>
      </c>
      <c r="L15" s="100">
        <v>22.37</v>
      </c>
      <c r="M15" s="100">
        <v>87.06</v>
      </c>
      <c r="N15" s="100">
        <v>0</v>
      </c>
      <c r="O15" s="100">
        <v>0</v>
      </c>
      <c r="P15" s="100">
        <v>0.4</v>
      </c>
      <c r="Q15" s="100">
        <v>6.23</v>
      </c>
      <c r="R15" s="6"/>
      <c r="S15" s="6"/>
      <c r="T15" s="156"/>
      <c r="U15" s="6"/>
    </row>
    <row r="16" spans="1:21" customFormat="1">
      <c r="A16" s="100" t="s">
        <v>340</v>
      </c>
      <c r="B16" s="100">
        <v>31.78</v>
      </c>
      <c r="C16" s="100">
        <v>55.11</v>
      </c>
      <c r="D16" s="100">
        <v>55.62</v>
      </c>
      <c r="E16" s="100">
        <v>8.64</v>
      </c>
      <c r="F16" s="100">
        <v>3.76</v>
      </c>
      <c r="G16" s="100">
        <v>11.96</v>
      </c>
      <c r="H16" s="100">
        <v>5.66</v>
      </c>
      <c r="I16" s="100">
        <v>3.44</v>
      </c>
      <c r="J16" s="100">
        <v>0.61</v>
      </c>
      <c r="K16" s="100">
        <v>65.459999999999994</v>
      </c>
      <c r="L16" s="100">
        <v>22.32</v>
      </c>
      <c r="M16" s="100">
        <v>85.56</v>
      </c>
      <c r="N16" s="100">
        <v>0</v>
      </c>
      <c r="O16" s="100">
        <v>0</v>
      </c>
      <c r="P16" s="100">
        <v>0.38</v>
      </c>
      <c r="Q16" s="100">
        <v>6.23</v>
      </c>
      <c r="R16" s="6"/>
      <c r="S16" s="6"/>
      <c r="T16" s="156"/>
      <c r="U16" s="6"/>
    </row>
    <row r="17" spans="1:21" customFormat="1">
      <c r="A17" s="100" t="s">
        <v>341</v>
      </c>
      <c r="B17" s="100">
        <v>32.86</v>
      </c>
      <c r="C17" s="100">
        <v>57.02</v>
      </c>
      <c r="D17" s="100">
        <v>57.5</v>
      </c>
      <c r="E17" s="100">
        <v>6.93</v>
      </c>
      <c r="F17" s="100">
        <v>3.58</v>
      </c>
      <c r="G17" s="100">
        <v>11.96</v>
      </c>
      <c r="H17" s="100">
        <v>5.66</v>
      </c>
      <c r="I17" s="100">
        <v>3.45</v>
      </c>
      <c r="J17" s="100">
        <v>0.54</v>
      </c>
      <c r="K17" s="100">
        <v>44.35</v>
      </c>
      <c r="L17" s="100">
        <v>22.22</v>
      </c>
      <c r="M17" s="100">
        <v>84.08</v>
      </c>
      <c r="N17" s="100">
        <v>0</v>
      </c>
      <c r="O17" s="100">
        <v>0</v>
      </c>
      <c r="P17" s="100">
        <v>0.4</v>
      </c>
      <c r="Q17" s="100">
        <v>6.32</v>
      </c>
      <c r="R17" s="6"/>
      <c r="S17" s="6"/>
      <c r="T17" s="156"/>
      <c r="U17" s="6"/>
    </row>
    <row r="18" spans="1:21" customFormat="1">
      <c r="A18" s="100" t="s">
        <v>342</v>
      </c>
      <c r="B18" s="100">
        <v>34.39</v>
      </c>
      <c r="C18" s="100">
        <v>53.42</v>
      </c>
      <c r="D18" s="100">
        <v>56.84</v>
      </c>
      <c r="E18" s="100">
        <v>7.52</v>
      </c>
      <c r="F18" s="100">
        <v>3.94</v>
      </c>
      <c r="G18" s="100">
        <v>15.83</v>
      </c>
      <c r="H18" s="100">
        <v>6.94</v>
      </c>
      <c r="I18" s="100">
        <v>3.46</v>
      </c>
      <c r="J18" s="100">
        <v>0.17</v>
      </c>
      <c r="K18" s="100">
        <v>60.51</v>
      </c>
      <c r="L18" s="100">
        <v>22.14</v>
      </c>
      <c r="M18" s="100">
        <v>84.77</v>
      </c>
      <c r="N18" s="100">
        <v>0</v>
      </c>
      <c r="O18" s="100">
        <v>0</v>
      </c>
      <c r="P18" s="100">
        <v>0.38</v>
      </c>
      <c r="Q18" s="100">
        <v>6.28</v>
      </c>
      <c r="R18" s="6"/>
      <c r="S18" s="6"/>
      <c r="T18" s="156"/>
      <c r="U18" s="6"/>
    </row>
    <row r="19" spans="1:21" customFormat="1">
      <c r="A19" s="100" t="s">
        <v>343</v>
      </c>
      <c r="B19" s="100">
        <v>34.97</v>
      </c>
      <c r="C19" s="100">
        <v>57.51</v>
      </c>
      <c r="D19" s="100">
        <v>59.45</v>
      </c>
      <c r="E19" s="100">
        <v>8.07</v>
      </c>
      <c r="F19" s="100">
        <v>3.41</v>
      </c>
      <c r="G19" s="100">
        <v>22.51</v>
      </c>
      <c r="H19" s="100">
        <v>8.3000000000000007</v>
      </c>
      <c r="I19" s="100">
        <v>3.73</v>
      </c>
      <c r="J19" s="100">
        <v>0.33</v>
      </c>
      <c r="K19" s="100">
        <v>55.86</v>
      </c>
      <c r="L19" s="100">
        <v>22.13</v>
      </c>
      <c r="M19" s="100">
        <v>85.08</v>
      </c>
      <c r="N19" s="100">
        <v>0</v>
      </c>
      <c r="O19" s="100">
        <v>0</v>
      </c>
      <c r="P19" s="100">
        <v>0.41</v>
      </c>
      <c r="Q19" s="100">
        <v>6.53</v>
      </c>
      <c r="R19" s="6"/>
      <c r="S19" s="6"/>
      <c r="T19" s="156"/>
      <c r="U19" s="6"/>
    </row>
    <row r="20" spans="1:21" customFormat="1">
      <c r="A20" s="100" t="s">
        <v>344</v>
      </c>
      <c r="B20" s="100">
        <v>36.369999999999997</v>
      </c>
      <c r="C20" s="100">
        <v>54.03</v>
      </c>
      <c r="D20" s="100">
        <v>58.74</v>
      </c>
      <c r="E20" s="100">
        <v>8.3800000000000008</v>
      </c>
      <c r="F20" s="100">
        <v>3.86</v>
      </c>
      <c r="G20" s="100">
        <v>22.51</v>
      </c>
      <c r="H20" s="100">
        <v>8.3000000000000007</v>
      </c>
      <c r="I20" s="100">
        <v>3.75</v>
      </c>
      <c r="J20" s="100">
        <v>0.35</v>
      </c>
      <c r="K20" s="100">
        <v>51.33</v>
      </c>
      <c r="L20" s="100">
        <v>22.21</v>
      </c>
      <c r="M20" s="100">
        <v>85.27</v>
      </c>
      <c r="N20" s="100">
        <v>0</v>
      </c>
      <c r="O20" s="100">
        <v>0</v>
      </c>
      <c r="P20" s="100">
        <v>0.4</v>
      </c>
      <c r="Q20" s="100">
        <v>6.45</v>
      </c>
      <c r="R20" s="6"/>
      <c r="S20" s="6"/>
      <c r="T20" s="156"/>
      <c r="U20" s="6"/>
    </row>
    <row r="21" spans="1:21" customFormat="1">
      <c r="A21" s="100" t="s">
        <v>345</v>
      </c>
      <c r="B21" s="100">
        <v>37.270000000000003</v>
      </c>
      <c r="C21" s="100">
        <v>57.11</v>
      </c>
      <c r="D21" s="100">
        <v>61.08</v>
      </c>
      <c r="E21" s="100">
        <v>8.5399999999999991</v>
      </c>
      <c r="F21" s="100">
        <v>3.34</v>
      </c>
      <c r="G21" s="100">
        <v>22.51</v>
      </c>
      <c r="H21" s="100">
        <v>8.3000000000000007</v>
      </c>
      <c r="I21" s="100">
        <v>3.84</v>
      </c>
      <c r="J21" s="100">
        <v>0.56000000000000005</v>
      </c>
      <c r="K21" s="100">
        <v>47.74</v>
      </c>
      <c r="L21" s="100">
        <v>22.32</v>
      </c>
      <c r="M21" s="100">
        <v>84.85</v>
      </c>
      <c r="N21" s="100">
        <v>0</v>
      </c>
      <c r="O21" s="100">
        <v>0</v>
      </c>
      <c r="P21" s="100">
        <v>0.43</v>
      </c>
      <c r="Q21" s="100">
        <v>6.62</v>
      </c>
      <c r="R21" s="6"/>
      <c r="S21" s="6"/>
      <c r="T21" s="156"/>
      <c r="U21" s="6"/>
    </row>
    <row r="22" spans="1:21" customFormat="1">
      <c r="A22" s="100" t="s">
        <v>346</v>
      </c>
      <c r="B22" s="100">
        <v>38.83</v>
      </c>
      <c r="C22" s="100">
        <v>53.99</v>
      </c>
      <c r="D22" s="100">
        <v>60.7</v>
      </c>
      <c r="E22" s="100">
        <v>8.3699999999999992</v>
      </c>
      <c r="F22" s="100">
        <v>3.85</v>
      </c>
      <c r="G22" s="100">
        <v>29.67</v>
      </c>
      <c r="H22" s="100">
        <v>8.84</v>
      </c>
      <c r="I22" s="100">
        <v>3.84</v>
      </c>
      <c r="J22" s="100">
        <v>0.41</v>
      </c>
      <c r="K22" s="100">
        <v>19.989999999999998</v>
      </c>
      <c r="L22" s="100">
        <v>22.2</v>
      </c>
      <c r="M22" s="100">
        <v>86</v>
      </c>
      <c r="N22" s="100">
        <v>0</v>
      </c>
      <c r="O22" s="100">
        <v>0</v>
      </c>
      <c r="P22" s="100">
        <v>0.41</v>
      </c>
      <c r="Q22" s="100">
        <v>6.59</v>
      </c>
      <c r="R22" s="6"/>
      <c r="S22" s="6"/>
      <c r="T22" s="156"/>
      <c r="U22" s="6"/>
    </row>
    <row r="23" spans="1:21" customFormat="1">
      <c r="A23" s="100" t="s">
        <v>347</v>
      </c>
      <c r="B23" s="100">
        <v>39.28</v>
      </c>
      <c r="C23" s="100">
        <v>57.52</v>
      </c>
      <c r="D23" s="100">
        <v>62.91</v>
      </c>
      <c r="E23" s="100">
        <v>8.7200000000000006</v>
      </c>
      <c r="F23" s="100">
        <v>3.33</v>
      </c>
      <c r="G23" s="100">
        <v>42.04</v>
      </c>
      <c r="H23" s="100">
        <v>9.42</v>
      </c>
      <c r="I23" s="100">
        <v>3.93</v>
      </c>
      <c r="J23" s="100">
        <v>0.25</v>
      </c>
      <c r="K23" s="100">
        <v>43.34</v>
      </c>
      <c r="L23" s="100">
        <v>22.2</v>
      </c>
      <c r="M23" s="100">
        <v>86.8</v>
      </c>
      <c r="N23" s="100">
        <v>0</v>
      </c>
      <c r="O23" s="100">
        <v>0</v>
      </c>
      <c r="P23" s="100">
        <v>0.44</v>
      </c>
      <c r="Q23" s="100">
        <v>6.78</v>
      </c>
      <c r="R23" s="6"/>
      <c r="S23" s="6"/>
      <c r="T23" s="156"/>
      <c r="U23" s="6"/>
    </row>
    <row r="24" spans="1:21" customFormat="1">
      <c r="A24" s="100" t="s">
        <v>348</v>
      </c>
      <c r="B24" s="100">
        <v>40.28</v>
      </c>
      <c r="C24" s="100">
        <v>55.69</v>
      </c>
      <c r="D24" s="100">
        <v>62.75</v>
      </c>
      <c r="E24" s="100">
        <v>8.93</v>
      </c>
      <c r="F24" s="100">
        <v>3.73</v>
      </c>
      <c r="G24" s="100">
        <v>42.04</v>
      </c>
      <c r="H24" s="100">
        <v>9.42</v>
      </c>
      <c r="I24" s="100">
        <v>3.93</v>
      </c>
      <c r="J24" s="100">
        <v>0.59</v>
      </c>
      <c r="K24" s="100">
        <v>43.48</v>
      </c>
      <c r="L24" s="100">
        <v>22.36</v>
      </c>
      <c r="M24" s="100">
        <v>87.43</v>
      </c>
      <c r="N24" s="100">
        <v>0</v>
      </c>
      <c r="O24" s="100">
        <v>0</v>
      </c>
      <c r="P24" s="100">
        <v>0.44</v>
      </c>
      <c r="Q24" s="100">
        <v>6.77</v>
      </c>
      <c r="R24" s="6"/>
      <c r="S24" s="6"/>
      <c r="T24" s="156"/>
      <c r="U24" s="6"/>
    </row>
    <row r="25" spans="1:21" customFormat="1">
      <c r="A25" s="100" t="s">
        <v>349</v>
      </c>
      <c r="B25" s="100">
        <v>40.840000000000003</v>
      </c>
      <c r="C25" s="100">
        <v>55.66</v>
      </c>
      <c r="D25" s="100">
        <v>63.19</v>
      </c>
      <c r="E25" s="100">
        <v>8.59</v>
      </c>
      <c r="F25" s="100">
        <v>3.67</v>
      </c>
      <c r="G25" s="100">
        <v>42.04</v>
      </c>
      <c r="H25" s="100">
        <v>9.42</v>
      </c>
      <c r="I25" s="100">
        <v>4.0199999999999996</v>
      </c>
      <c r="J25" s="100">
        <v>0.86</v>
      </c>
      <c r="K25" s="100">
        <v>35.01</v>
      </c>
      <c r="L25" s="100">
        <v>22.47</v>
      </c>
      <c r="M25" s="100">
        <v>86.96</v>
      </c>
      <c r="N25" s="100">
        <v>0</v>
      </c>
      <c r="O25" s="100">
        <v>0</v>
      </c>
      <c r="P25" s="100">
        <v>0.43</v>
      </c>
      <c r="Q25" s="100">
        <v>6.82</v>
      </c>
      <c r="R25" s="6"/>
      <c r="S25" s="6"/>
      <c r="T25" s="156"/>
      <c r="U25" s="6"/>
    </row>
    <row r="26" spans="1:21" customFormat="1">
      <c r="A26" s="100" t="s">
        <v>350</v>
      </c>
      <c r="B26" s="100">
        <v>40.98</v>
      </c>
      <c r="C26" s="100">
        <v>56.19</v>
      </c>
      <c r="D26" s="100">
        <v>63.57</v>
      </c>
      <c r="E26" s="100">
        <v>8.48</v>
      </c>
      <c r="F26" s="100">
        <v>3.71</v>
      </c>
      <c r="G26" s="100">
        <v>42.84</v>
      </c>
      <c r="H26" s="100">
        <v>11.87</v>
      </c>
      <c r="I26" s="100">
        <v>4.03</v>
      </c>
      <c r="J26" s="100">
        <v>1.51</v>
      </c>
      <c r="K26" s="100">
        <v>54.85</v>
      </c>
      <c r="L26" s="100">
        <v>22.58</v>
      </c>
      <c r="M26" s="100">
        <v>87.45</v>
      </c>
      <c r="N26" s="100">
        <v>0</v>
      </c>
      <c r="O26" s="100">
        <v>0</v>
      </c>
      <c r="P26" s="100">
        <v>0.45</v>
      </c>
      <c r="Q26" s="100">
        <v>6.85</v>
      </c>
      <c r="R26" s="6"/>
      <c r="S26" s="6"/>
      <c r="T26" s="156"/>
      <c r="U26" s="6"/>
    </row>
    <row r="27" spans="1:21" customFormat="1">
      <c r="A27" s="100" t="s">
        <v>351</v>
      </c>
      <c r="B27" s="100">
        <v>40.46</v>
      </c>
      <c r="C27" s="100">
        <v>55.39</v>
      </c>
      <c r="D27" s="100">
        <v>62.74</v>
      </c>
      <c r="E27" s="100">
        <v>8.6199999999999992</v>
      </c>
      <c r="F27" s="100">
        <v>3.88</v>
      </c>
      <c r="G27" s="100">
        <v>44.22</v>
      </c>
      <c r="H27" s="100">
        <v>14.4</v>
      </c>
      <c r="I27" s="100">
        <v>3.98</v>
      </c>
      <c r="J27" s="100">
        <v>1.67</v>
      </c>
      <c r="K27" s="100">
        <v>53.82</v>
      </c>
      <c r="L27" s="100">
        <v>22.55</v>
      </c>
      <c r="M27" s="100">
        <v>88.93</v>
      </c>
      <c r="N27" s="100">
        <v>0</v>
      </c>
      <c r="O27" s="100">
        <v>0</v>
      </c>
      <c r="P27" s="100">
        <v>0.44</v>
      </c>
      <c r="Q27" s="100">
        <v>6.81</v>
      </c>
      <c r="R27" s="6"/>
      <c r="S27" s="6"/>
      <c r="T27" s="156"/>
      <c r="U27" s="6"/>
    </row>
    <row r="28" spans="1:21" customFormat="1">
      <c r="A28" s="100" t="s">
        <v>352</v>
      </c>
      <c r="B28" s="100">
        <v>40.44</v>
      </c>
      <c r="C28" s="100">
        <v>55.91</v>
      </c>
      <c r="D28" s="100">
        <v>62.99</v>
      </c>
      <c r="E28" s="100">
        <v>8.75</v>
      </c>
      <c r="F28" s="100">
        <v>3.82</v>
      </c>
      <c r="G28" s="100">
        <v>44.22</v>
      </c>
      <c r="H28" s="100">
        <v>14.4</v>
      </c>
      <c r="I28" s="100">
        <v>4.0999999999999996</v>
      </c>
      <c r="J28" s="100">
        <v>2.2000000000000002</v>
      </c>
      <c r="K28" s="100">
        <v>55.77</v>
      </c>
      <c r="L28" s="100">
        <v>22.46</v>
      </c>
      <c r="M28" s="100">
        <v>89.68</v>
      </c>
      <c r="N28" s="100">
        <v>0</v>
      </c>
      <c r="O28" s="100">
        <v>0</v>
      </c>
      <c r="P28" s="100">
        <v>0.45</v>
      </c>
      <c r="Q28" s="100">
        <v>6.9</v>
      </c>
      <c r="R28" s="6"/>
      <c r="S28" s="6"/>
      <c r="T28" s="156"/>
      <c r="U28" s="6"/>
    </row>
    <row r="29" spans="1:21" customFormat="1">
      <c r="A29" s="100" t="s">
        <v>353</v>
      </c>
      <c r="B29" s="100">
        <v>40.479999999999997</v>
      </c>
      <c r="C29" s="100">
        <v>53.4</v>
      </c>
      <c r="D29" s="100">
        <v>61.71</v>
      </c>
      <c r="E29" s="100">
        <v>8.39</v>
      </c>
      <c r="F29" s="100">
        <v>4.0999999999999996</v>
      </c>
      <c r="G29" s="100">
        <v>44.22</v>
      </c>
      <c r="H29" s="100">
        <v>14.4</v>
      </c>
      <c r="I29" s="100">
        <v>4.08</v>
      </c>
      <c r="J29" s="100">
        <v>1.85</v>
      </c>
      <c r="K29" s="100">
        <v>54.28</v>
      </c>
      <c r="L29" s="100">
        <v>22.21</v>
      </c>
      <c r="M29" s="100">
        <v>84</v>
      </c>
      <c r="N29" s="100">
        <v>0</v>
      </c>
      <c r="O29" s="100">
        <v>0</v>
      </c>
      <c r="P29" s="100">
        <v>0.42</v>
      </c>
      <c r="Q29" s="100">
        <v>6.78</v>
      </c>
      <c r="R29" s="6"/>
      <c r="S29" s="6"/>
      <c r="T29" s="156"/>
      <c r="U29" s="6"/>
    </row>
    <row r="30" spans="1:21" customFormat="1">
      <c r="A30" s="100" t="s">
        <v>354</v>
      </c>
      <c r="B30" s="100">
        <v>39.270000000000003</v>
      </c>
      <c r="C30" s="100">
        <v>61.98</v>
      </c>
      <c r="D30" s="100">
        <v>65.22</v>
      </c>
      <c r="E30" s="100">
        <v>8.44</v>
      </c>
      <c r="F30" s="100">
        <v>3.72</v>
      </c>
      <c r="G30" s="100">
        <v>40.78</v>
      </c>
      <c r="H30" s="100">
        <v>12.27</v>
      </c>
      <c r="I30" s="100">
        <v>4.07</v>
      </c>
      <c r="J30" s="100">
        <v>2.4900000000000002</v>
      </c>
      <c r="K30" s="100">
        <v>56.29</v>
      </c>
      <c r="L30" s="100">
        <v>21.71</v>
      </c>
      <c r="M30" s="100">
        <v>81.430000000000007</v>
      </c>
      <c r="N30" s="100">
        <v>0</v>
      </c>
      <c r="O30" s="100">
        <v>0</v>
      </c>
      <c r="P30" s="100">
        <v>0.44</v>
      </c>
      <c r="Q30" s="100">
        <v>6.97</v>
      </c>
      <c r="R30" s="6"/>
      <c r="S30" s="6"/>
      <c r="T30" s="156"/>
      <c r="U30" s="6"/>
    </row>
    <row r="31" spans="1:21" customFormat="1">
      <c r="A31" s="100" t="s">
        <v>355</v>
      </c>
      <c r="B31" s="100">
        <v>37.6</v>
      </c>
      <c r="C31" s="100">
        <v>66.38</v>
      </c>
      <c r="D31" s="100">
        <v>66.180000000000007</v>
      </c>
      <c r="E31" s="100">
        <v>8.7200000000000006</v>
      </c>
      <c r="F31" s="100">
        <v>3.83</v>
      </c>
      <c r="G31" s="100">
        <v>34.840000000000003</v>
      </c>
      <c r="H31" s="100">
        <v>10.08</v>
      </c>
      <c r="I31" s="100">
        <v>3.99</v>
      </c>
      <c r="J31" s="100">
        <v>1.7</v>
      </c>
      <c r="K31" s="100">
        <v>62.68</v>
      </c>
      <c r="L31" s="100">
        <v>21.22</v>
      </c>
      <c r="M31" s="100">
        <v>83.89</v>
      </c>
      <c r="N31" s="100">
        <v>0</v>
      </c>
      <c r="O31" s="100">
        <v>0</v>
      </c>
      <c r="P31" s="100">
        <v>0.44</v>
      </c>
      <c r="Q31" s="100">
        <v>7.12</v>
      </c>
      <c r="R31" s="6"/>
      <c r="S31" s="6"/>
      <c r="T31" s="156"/>
      <c r="U31" s="6"/>
    </row>
    <row r="32" spans="1:21" customFormat="1">
      <c r="A32" s="100" t="s">
        <v>356</v>
      </c>
      <c r="B32" s="100">
        <v>36.159999999999997</v>
      </c>
      <c r="C32" s="100">
        <v>66.37</v>
      </c>
      <c r="D32" s="100">
        <v>65.02</v>
      </c>
      <c r="E32" s="100">
        <v>7.97</v>
      </c>
      <c r="F32" s="100">
        <v>3.79</v>
      </c>
      <c r="G32" s="100">
        <v>34.840000000000003</v>
      </c>
      <c r="H32" s="100">
        <v>10.08</v>
      </c>
      <c r="I32" s="100">
        <v>3.94</v>
      </c>
      <c r="J32" s="100">
        <v>1.35</v>
      </c>
      <c r="K32" s="100">
        <v>61.39</v>
      </c>
      <c r="L32" s="100">
        <v>21.14</v>
      </c>
      <c r="M32" s="100">
        <v>85.01</v>
      </c>
      <c r="N32" s="100">
        <v>0.2</v>
      </c>
      <c r="O32" s="100">
        <v>0</v>
      </c>
      <c r="P32" s="100">
        <v>0.43</v>
      </c>
      <c r="Q32" s="100">
        <v>7.11</v>
      </c>
      <c r="R32" s="6"/>
      <c r="S32" s="6"/>
      <c r="T32" s="156"/>
      <c r="U32" s="6"/>
    </row>
    <row r="33" spans="1:21" customFormat="1">
      <c r="A33" s="100" t="s">
        <v>357</v>
      </c>
      <c r="B33" s="100">
        <v>35.1</v>
      </c>
      <c r="C33" s="100">
        <v>66.14</v>
      </c>
      <c r="D33" s="100">
        <v>64.06</v>
      </c>
      <c r="E33" s="100">
        <v>7.93</v>
      </c>
      <c r="F33" s="100">
        <v>3.82</v>
      </c>
      <c r="G33" s="100">
        <v>34.840000000000003</v>
      </c>
      <c r="H33" s="100">
        <v>10.08</v>
      </c>
      <c r="I33" s="100">
        <v>3.88</v>
      </c>
      <c r="J33" s="100">
        <v>1.39</v>
      </c>
      <c r="K33" s="100">
        <v>66.709999999999994</v>
      </c>
      <c r="L33" s="100">
        <v>21.17</v>
      </c>
      <c r="M33" s="100">
        <v>84.91</v>
      </c>
      <c r="N33" s="100">
        <v>6</v>
      </c>
      <c r="O33" s="100">
        <v>0</v>
      </c>
      <c r="P33" s="100">
        <v>0.43</v>
      </c>
      <c r="Q33" s="100">
        <v>7.06</v>
      </c>
      <c r="R33" s="6"/>
      <c r="S33" s="6"/>
      <c r="T33" s="156"/>
      <c r="U33" s="6"/>
    </row>
    <row r="34" spans="1:21" customFormat="1">
      <c r="A34" s="100" t="s">
        <v>358</v>
      </c>
      <c r="B34" s="100">
        <v>34.049999999999997</v>
      </c>
      <c r="C34" s="100">
        <v>65.709999999999994</v>
      </c>
      <c r="D34" s="100">
        <v>62.99</v>
      </c>
      <c r="E34" s="100">
        <v>7.92</v>
      </c>
      <c r="F34" s="100">
        <v>3.94</v>
      </c>
      <c r="G34" s="100">
        <v>30.86</v>
      </c>
      <c r="H34" s="100">
        <v>9.73</v>
      </c>
      <c r="I34" s="100">
        <v>3.82</v>
      </c>
      <c r="J34" s="100">
        <v>1.44</v>
      </c>
      <c r="K34" s="100">
        <v>59.71</v>
      </c>
      <c r="L34" s="100">
        <v>21.39</v>
      </c>
      <c r="M34" s="100">
        <v>83.23</v>
      </c>
      <c r="N34" s="100">
        <v>41.5</v>
      </c>
      <c r="O34" s="100">
        <v>0</v>
      </c>
      <c r="P34" s="100">
        <v>0.42</v>
      </c>
      <c r="Q34" s="100">
        <v>6.97</v>
      </c>
      <c r="R34" s="6"/>
      <c r="S34" s="6"/>
      <c r="T34" s="156"/>
      <c r="U34" s="6"/>
    </row>
    <row r="35" spans="1:21" customFormat="1">
      <c r="A35" s="100" t="s">
        <v>359</v>
      </c>
      <c r="B35" s="100">
        <v>33.119999999999997</v>
      </c>
      <c r="C35" s="100">
        <v>66.05</v>
      </c>
      <c r="D35" s="100">
        <v>62.42</v>
      </c>
      <c r="E35" s="100">
        <v>8.4600000000000009</v>
      </c>
      <c r="F35" s="100">
        <v>3.9</v>
      </c>
      <c r="G35" s="100">
        <v>23.97</v>
      </c>
      <c r="H35" s="100">
        <v>8.5299999999999994</v>
      </c>
      <c r="I35" s="100">
        <v>3.8</v>
      </c>
      <c r="J35" s="100">
        <v>1.9</v>
      </c>
      <c r="K35" s="100">
        <v>59.44</v>
      </c>
      <c r="L35" s="100">
        <v>21.55</v>
      </c>
      <c r="M35" s="100">
        <v>81.739999999999995</v>
      </c>
      <c r="N35" s="100">
        <v>64.2</v>
      </c>
      <c r="O35" s="100">
        <v>0</v>
      </c>
      <c r="P35" s="100">
        <v>0.42</v>
      </c>
      <c r="Q35" s="100">
        <v>6.98</v>
      </c>
      <c r="R35" s="6"/>
      <c r="S35" s="6"/>
      <c r="T35" s="156"/>
      <c r="U35" s="6"/>
    </row>
    <row r="36" spans="1:21" customFormat="1">
      <c r="A36" s="100" t="s">
        <v>360</v>
      </c>
      <c r="B36" s="100">
        <v>32.200000000000003</v>
      </c>
      <c r="C36" s="100">
        <v>65.709999999999994</v>
      </c>
      <c r="D36" s="100">
        <v>61.5</v>
      </c>
      <c r="E36" s="100">
        <v>7.77</v>
      </c>
      <c r="F36" s="100">
        <v>3.99</v>
      </c>
      <c r="G36" s="100">
        <v>23.97</v>
      </c>
      <c r="H36" s="100">
        <v>8.5299999999999994</v>
      </c>
      <c r="I36" s="100">
        <v>3.76</v>
      </c>
      <c r="J36" s="100">
        <v>2.04</v>
      </c>
      <c r="K36" s="100">
        <v>59.72</v>
      </c>
      <c r="L36" s="100">
        <v>21.68</v>
      </c>
      <c r="M36" s="100">
        <v>81.14</v>
      </c>
      <c r="N36" s="100">
        <v>103.5</v>
      </c>
      <c r="O36" s="100">
        <v>0</v>
      </c>
      <c r="P36" s="100">
        <v>0.41</v>
      </c>
      <c r="Q36" s="100">
        <v>6.94</v>
      </c>
      <c r="R36" s="6"/>
      <c r="S36" s="6"/>
      <c r="T36" s="156"/>
      <c r="U36" s="6"/>
    </row>
    <row r="37" spans="1:21" customFormat="1">
      <c r="A37" s="100" t="s">
        <v>361</v>
      </c>
      <c r="B37" s="100">
        <v>31.25</v>
      </c>
      <c r="C37" s="100">
        <v>65.39</v>
      </c>
      <c r="D37" s="100">
        <v>60.57</v>
      </c>
      <c r="E37" s="100">
        <v>7.8</v>
      </c>
      <c r="F37" s="100">
        <v>3.9</v>
      </c>
      <c r="G37" s="100">
        <v>23.97</v>
      </c>
      <c r="H37" s="100">
        <v>8.5299999999999994</v>
      </c>
      <c r="I37" s="100">
        <v>3.66</v>
      </c>
      <c r="J37" s="100">
        <v>1.99</v>
      </c>
      <c r="K37" s="100">
        <v>57.48</v>
      </c>
      <c r="L37" s="100">
        <v>21.95</v>
      </c>
      <c r="M37" s="100">
        <v>79.89</v>
      </c>
      <c r="N37" s="100">
        <v>106.3</v>
      </c>
      <c r="O37" s="100">
        <v>0</v>
      </c>
      <c r="P37" s="100">
        <v>0.4</v>
      </c>
      <c r="Q37" s="100">
        <v>6.84</v>
      </c>
      <c r="R37" s="6"/>
      <c r="S37" s="6"/>
      <c r="T37" s="156"/>
      <c r="U37" s="6"/>
    </row>
    <row r="38" spans="1:21" customFormat="1">
      <c r="A38" s="100" t="s">
        <v>362</v>
      </c>
      <c r="B38" s="100">
        <v>30.29</v>
      </c>
      <c r="C38" s="100">
        <v>65.989999999999995</v>
      </c>
      <c r="D38" s="100">
        <v>60.11</v>
      </c>
      <c r="E38" s="100">
        <v>7.88</v>
      </c>
      <c r="F38" s="100">
        <v>3.94</v>
      </c>
      <c r="G38" s="100">
        <v>21.66</v>
      </c>
      <c r="H38" s="100">
        <v>8.06</v>
      </c>
      <c r="I38" s="100">
        <v>3.6</v>
      </c>
      <c r="J38" s="100">
        <v>1.63</v>
      </c>
      <c r="K38" s="100">
        <v>58.33</v>
      </c>
      <c r="L38" s="100">
        <v>22.11</v>
      </c>
      <c r="M38" s="100">
        <v>79.36</v>
      </c>
      <c r="N38" s="100">
        <v>136</v>
      </c>
      <c r="O38" s="100">
        <v>0</v>
      </c>
      <c r="P38" s="100">
        <v>0.41</v>
      </c>
      <c r="Q38" s="100">
        <v>6.8</v>
      </c>
      <c r="R38" s="6"/>
      <c r="S38" s="6"/>
      <c r="T38" s="156"/>
      <c r="U38" s="6"/>
    </row>
    <row r="39" spans="1:21" customFormat="1">
      <c r="A39" s="100" t="s">
        <v>363</v>
      </c>
      <c r="B39" s="100">
        <v>29.69</v>
      </c>
      <c r="C39" s="100">
        <v>65.680000000000007</v>
      </c>
      <c r="D39" s="100">
        <v>59.47</v>
      </c>
      <c r="E39" s="100">
        <v>7.62</v>
      </c>
      <c r="F39" s="100">
        <v>3.79</v>
      </c>
      <c r="G39" s="100">
        <v>17.690000000000001</v>
      </c>
      <c r="H39" s="100">
        <v>7.58</v>
      </c>
      <c r="I39" s="100">
        <v>3.45</v>
      </c>
      <c r="J39" s="100">
        <v>1.2</v>
      </c>
      <c r="K39" s="100">
        <v>64.11</v>
      </c>
      <c r="L39" s="100">
        <v>22.26</v>
      </c>
      <c r="M39" s="100">
        <v>79.62</v>
      </c>
      <c r="N39" s="100">
        <v>98.7</v>
      </c>
      <c r="O39" s="100">
        <v>0</v>
      </c>
      <c r="P39" s="100">
        <v>0.39</v>
      </c>
      <c r="Q39" s="100">
        <v>6.78</v>
      </c>
      <c r="R39" s="6"/>
      <c r="S39" s="6"/>
      <c r="T39" s="156"/>
      <c r="U39" s="6"/>
    </row>
    <row r="40" spans="1:21" customFormat="1">
      <c r="A40" s="100" t="s">
        <v>364</v>
      </c>
      <c r="B40" s="100">
        <v>29.57</v>
      </c>
      <c r="C40" s="100">
        <v>65.489999999999995</v>
      </c>
      <c r="D40" s="100">
        <v>59.28</v>
      </c>
      <c r="E40" s="100">
        <v>7.8</v>
      </c>
      <c r="F40" s="100">
        <v>3.81</v>
      </c>
      <c r="G40" s="100">
        <v>17.690000000000001</v>
      </c>
      <c r="H40" s="100">
        <v>7.58</v>
      </c>
      <c r="I40" s="100">
        <v>3.4</v>
      </c>
      <c r="J40" s="100">
        <v>1.62</v>
      </c>
      <c r="K40" s="100">
        <v>42.59</v>
      </c>
      <c r="L40" s="100">
        <v>22.23</v>
      </c>
      <c r="M40" s="100">
        <v>80.28</v>
      </c>
      <c r="N40" s="100">
        <v>62.8</v>
      </c>
      <c r="O40" s="100">
        <v>0</v>
      </c>
      <c r="P40" s="100">
        <v>0.39</v>
      </c>
      <c r="Q40" s="100">
        <v>6.75</v>
      </c>
      <c r="R40" s="6"/>
      <c r="S40" s="6"/>
      <c r="T40" s="156"/>
      <c r="U40" s="6"/>
    </row>
    <row r="41" spans="1:21" customFormat="1">
      <c r="A41" s="100" t="s">
        <v>365</v>
      </c>
      <c r="B41" s="100">
        <v>29.4</v>
      </c>
      <c r="C41" s="100">
        <v>65.33</v>
      </c>
      <c r="D41" s="100">
        <v>59.06</v>
      </c>
      <c r="E41" s="100">
        <v>7.84</v>
      </c>
      <c r="F41" s="100">
        <v>3.84</v>
      </c>
      <c r="G41" s="100">
        <v>17.690000000000001</v>
      </c>
      <c r="H41" s="100">
        <v>7.58</v>
      </c>
      <c r="I41" s="100">
        <v>3.38</v>
      </c>
      <c r="J41" s="100">
        <v>0.47</v>
      </c>
      <c r="K41" s="100">
        <v>322.7</v>
      </c>
      <c r="L41" s="100">
        <v>21.26</v>
      </c>
      <c r="M41" s="100">
        <v>87.32</v>
      </c>
      <c r="N41" s="100">
        <v>21.4</v>
      </c>
      <c r="O41" s="100">
        <v>0</v>
      </c>
      <c r="P41" s="100">
        <v>0.39</v>
      </c>
      <c r="Q41" s="100">
        <v>6.73</v>
      </c>
      <c r="R41" s="6"/>
      <c r="S41" s="6"/>
      <c r="T41" s="156"/>
      <c r="U41" s="6"/>
    </row>
    <row r="42" spans="1:21" customFormat="1">
      <c r="A42" s="100" t="s">
        <v>366</v>
      </c>
      <c r="B42" s="100">
        <v>29.2</v>
      </c>
      <c r="C42" s="100">
        <v>65.28</v>
      </c>
      <c r="D42" s="100">
        <v>58.87</v>
      </c>
      <c r="E42" s="100">
        <v>7.81</v>
      </c>
      <c r="F42" s="100">
        <v>3.75</v>
      </c>
      <c r="G42" s="100">
        <v>19.12</v>
      </c>
      <c r="H42" s="100">
        <v>7.03</v>
      </c>
      <c r="I42" s="100">
        <v>3.35</v>
      </c>
      <c r="J42" s="100">
        <v>0.82</v>
      </c>
      <c r="K42" s="100">
        <v>75.16</v>
      </c>
      <c r="L42" s="100">
        <v>20.51</v>
      </c>
      <c r="M42" s="100">
        <v>96.17</v>
      </c>
      <c r="N42" s="100">
        <v>128.4</v>
      </c>
      <c r="O42" s="100">
        <v>0</v>
      </c>
      <c r="P42" s="100">
        <v>0.4</v>
      </c>
      <c r="Q42" s="100">
        <v>6.7</v>
      </c>
      <c r="R42" s="6"/>
      <c r="S42" s="6"/>
      <c r="T42" s="156"/>
      <c r="U42" s="6"/>
    </row>
    <row r="43" spans="1:21" customFormat="1">
      <c r="A43" s="100" t="s">
        <v>367</v>
      </c>
      <c r="B43" s="100">
        <v>28.92</v>
      </c>
      <c r="C43" s="100">
        <v>65.400000000000006</v>
      </c>
      <c r="D43" s="100">
        <v>58.71</v>
      </c>
      <c r="E43" s="100">
        <v>7.41</v>
      </c>
      <c r="F43" s="100">
        <v>3.84</v>
      </c>
      <c r="G43" s="100">
        <v>21.59</v>
      </c>
      <c r="H43" s="100">
        <v>6.46</v>
      </c>
      <c r="I43" s="100">
        <v>3.3</v>
      </c>
      <c r="J43" s="100">
        <v>0.78</v>
      </c>
      <c r="K43" s="100">
        <v>82.18</v>
      </c>
      <c r="L43" s="100">
        <v>21.77</v>
      </c>
      <c r="M43" s="100">
        <v>97.08</v>
      </c>
      <c r="N43" s="100">
        <v>220.7</v>
      </c>
      <c r="O43" s="100">
        <v>0</v>
      </c>
      <c r="P43" s="100">
        <v>0.39</v>
      </c>
      <c r="Q43" s="100">
        <v>6.69</v>
      </c>
      <c r="R43" s="6"/>
      <c r="S43" s="6"/>
      <c r="T43" s="156"/>
      <c r="U43" s="6"/>
    </row>
    <row r="44" spans="1:21" customFormat="1">
      <c r="A44" s="100" t="s">
        <v>368</v>
      </c>
      <c r="B44" s="100">
        <v>28.06</v>
      </c>
      <c r="C44" s="100">
        <v>64.510000000000005</v>
      </c>
      <c r="D44" s="100">
        <v>57.55</v>
      </c>
      <c r="E44" s="100">
        <v>7.66</v>
      </c>
      <c r="F44" s="100">
        <v>3.87</v>
      </c>
      <c r="G44" s="100">
        <v>21.59</v>
      </c>
      <c r="H44" s="100">
        <v>6.46</v>
      </c>
      <c r="I44" s="100">
        <v>3.31</v>
      </c>
      <c r="J44" s="100">
        <v>0.55000000000000004</v>
      </c>
      <c r="K44" s="100">
        <v>96.64</v>
      </c>
      <c r="L44" s="100">
        <v>23.17</v>
      </c>
      <c r="M44" s="100">
        <v>91.95</v>
      </c>
      <c r="N44" s="100">
        <v>329</v>
      </c>
      <c r="O44" s="100">
        <v>0</v>
      </c>
      <c r="P44" s="100">
        <v>0.39</v>
      </c>
      <c r="Q44" s="100">
        <v>6.65</v>
      </c>
      <c r="R44" s="6"/>
      <c r="S44" s="6"/>
      <c r="T44" s="156"/>
      <c r="U44" s="6"/>
    </row>
    <row r="45" spans="1:21" customFormat="1">
      <c r="A45" s="100" t="s">
        <v>369</v>
      </c>
      <c r="B45" s="100">
        <v>27.32</v>
      </c>
      <c r="C45" s="100">
        <v>63.46</v>
      </c>
      <c r="D45" s="100">
        <v>56.42</v>
      </c>
      <c r="E45" s="100">
        <v>7.33</v>
      </c>
      <c r="F45" s="100">
        <v>3.84</v>
      </c>
      <c r="G45" s="100">
        <v>21.59</v>
      </c>
      <c r="H45" s="100">
        <v>6.46</v>
      </c>
      <c r="I45" s="100">
        <v>3.25</v>
      </c>
      <c r="J45" s="100">
        <v>0.74</v>
      </c>
      <c r="K45" s="100">
        <v>88.84</v>
      </c>
      <c r="L45" s="100">
        <v>23.77</v>
      </c>
      <c r="M45" s="100">
        <v>86.47</v>
      </c>
      <c r="N45" s="100">
        <v>303.2</v>
      </c>
      <c r="O45" s="100">
        <v>0</v>
      </c>
      <c r="P45" s="100">
        <v>0.39</v>
      </c>
      <c r="Q45" s="100">
        <v>6.51</v>
      </c>
      <c r="R45" s="6"/>
      <c r="S45" s="6"/>
      <c r="T45" s="156"/>
      <c r="U45" s="6"/>
    </row>
    <row r="46" spans="1:21" customFormat="1">
      <c r="A46" s="100" t="s">
        <v>370</v>
      </c>
      <c r="B46" s="100">
        <v>27.13</v>
      </c>
      <c r="C46" s="100">
        <v>63.17</v>
      </c>
      <c r="D46" s="100">
        <v>56.11</v>
      </c>
      <c r="E46" s="100">
        <v>7.45</v>
      </c>
      <c r="F46" s="100">
        <v>3.66</v>
      </c>
      <c r="G46" s="100">
        <v>22.45</v>
      </c>
      <c r="H46" s="100">
        <v>6.82</v>
      </c>
      <c r="I46" s="100">
        <v>3.26</v>
      </c>
      <c r="J46" s="100">
        <v>0.6</v>
      </c>
      <c r="K46" s="100">
        <v>76.77</v>
      </c>
      <c r="L46" s="100">
        <v>23.87</v>
      </c>
      <c r="M46" s="100">
        <v>84.22</v>
      </c>
      <c r="N46" s="100">
        <v>269.8</v>
      </c>
      <c r="O46" s="100">
        <v>0</v>
      </c>
      <c r="P46" s="100">
        <v>0.39</v>
      </c>
      <c r="Q46" s="100">
        <v>6.51</v>
      </c>
      <c r="R46" s="6"/>
      <c r="S46" s="6"/>
      <c r="T46" s="156"/>
      <c r="U46" s="6"/>
    </row>
    <row r="47" spans="1:21" customFormat="1">
      <c r="A47" s="100" t="s">
        <v>371</v>
      </c>
      <c r="B47" s="100">
        <v>27.1</v>
      </c>
      <c r="C47" s="100">
        <v>62.37</v>
      </c>
      <c r="D47" s="100">
        <v>55.67</v>
      </c>
      <c r="E47" s="100">
        <v>7.46</v>
      </c>
      <c r="F47" s="100">
        <v>3.88</v>
      </c>
      <c r="G47" s="100">
        <v>23.94</v>
      </c>
      <c r="H47" s="100">
        <v>7.2</v>
      </c>
      <c r="I47" s="100">
        <v>3.27</v>
      </c>
      <c r="J47" s="100">
        <v>0.73</v>
      </c>
      <c r="K47" s="100">
        <v>74.459999999999994</v>
      </c>
      <c r="L47" s="100">
        <v>24.75</v>
      </c>
      <c r="M47" s="100">
        <v>79.78</v>
      </c>
      <c r="N47" s="100">
        <v>180.9</v>
      </c>
      <c r="O47" s="100">
        <v>0</v>
      </c>
      <c r="P47" s="100">
        <v>0.39</v>
      </c>
      <c r="Q47" s="100">
        <v>6.47</v>
      </c>
      <c r="R47" s="6"/>
      <c r="S47" s="6"/>
      <c r="T47" s="156"/>
      <c r="U47" s="6"/>
    </row>
    <row r="48" spans="1:21" customFormat="1">
      <c r="A48" s="100" t="s">
        <v>372</v>
      </c>
      <c r="B48" s="100">
        <v>27.04</v>
      </c>
      <c r="C48" s="100">
        <v>62.1</v>
      </c>
      <c r="D48" s="100">
        <v>55.48</v>
      </c>
      <c r="E48" s="100">
        <v>7.18</v>
      </c>
      <c r="F48" s="100">
        <v>3.81</v>
      </c>
      <c r="G48" s="100">
        <v>23.94</v>
      </c>
      <c r="H48" s="100">
        <v>7.2</v>
      </c>
      <c r="I48" s="100">
        <v>3.26</v>
      </c>
      <c r="J48" s="100">
        <v>0.88</v>
      </c>
      <c r="K48" s="100">
        <v>67.81</v>
      </c>
      <c r="L48" s="100">
        <v>26.04</v>
      </c>
      <c r="M48" s="100">
        <v>71.900000000000006</v>
      </c>
      <c r="N48" s="100">
        <v>271.8</v>
      </c>
      <c r="O48" s="100">
        <v>0</v>
      </c>
      <c r="P48" s="100">
        <v>0.39</v>
      </c>
      <c r="Q48" s="100">
        <v>6.44</v>
      </c>
      <c r="R48" s="6"/>
      <c r="S48" s="6"/>
      <c r="T48" s="156"/>
      <c r="U48" s="6"/>
    </row>
    <row r="49" spans="1:21" customFormat="1">
      <c r="A49" s="100" t="s">
        <v>373</v>
      </c>
      <c r="B49" s="100">
        <v>26.81</v>
      </c>
      <c r="C49" s="100">
        <v>62.94</v>
      </c>
      <c r="D49" s="100">
        <v>55.73</v>
      </c>
      <c r="E49" s="100">
        <v>6.58</v>
      </c>
      <c r="F49" s="100">
        <v>3.71</v>
      </c>
      <c r="G49" s="100">
        <v>23.94</v>
      </c>
      <c r="H49" s="100">
        <v>7.2</v>
      </c>
      <c r="I49" s="100">
        <v>3.24</v>
      </c>
      <c r="J49" s="100">
        <v>1.21</v>
      </c>
      <c r="K49" s="100">
        <v>65.55</v>
      </c>
      <c r="L49" s="100">
        <v>26.57</v>
      </c>
      <c r="M49" s="100">
        <v>69.319999999999993</v>
      </c>
      <c r="N49" s="100">
        <v>509.8</v>
      </c>
      <c r="O49" s="100">
        <v>0</v>
      </c>
      <c r="P49" s="100">
        <v>0.4</v>
      </c>
      <c r="Q49" s="100">
        <v>6.38</v>
      </c>
      <c r="R49" s="6"/>
      <c r="S49" s="6"/>
      <c r="T49" s="156"/>
      <c r="U49" s="6"/>
    </row>
    <row r="50" spans="1:21" customFormat="1">
      <c r="A50" s="100" t="s">
        <v>374</v>
      </c>
      <c r="B50" s="100">
        <v>27.07</v>
      </c>
      <c r="C50" s="100">
        <v>58.5</v>
      </c>
      <c r="D50" s="100">
        <v>53.62</v>
      </c>
      <c r="E50" s="100">
        <v>7.19</v>
      </c>
      <c r="F50" s="100">
        <v>4.21</v>
      </c>
      <c r="G50" s="100">
        <v>22.4</v>
      </c>
      <c r="H50" s="100">
        <v>6.42</v>
      </c>
      <c r="I50" s="100">
        <v>3.22</v>
      </c>
      <c r="J50" s="100">
        <v>0.79</v>
      </c>
      <c r="K50" s="100">
        <v>82.86</v>
      </c>
      <c r="L50" s="100">
        <v>27.66</v>
      </c>
      <c r="M50" s="100">
        <v>64.75</v>
      </c>
      <c r="N50" s="100">
        <v>463.5</v>
      </c>
      <c r="O50" s="100">
        <v>0</v>
      </c>
      <c r="P50" s="100">
        <v>0.37</v>
      </c>
      <c r="Q50" s="100">
        <v>6.24</v>
      </c>
      <c r="R50" s="6"/>
      <c r="S50" s="6"/>
      <c r="T50" s="156"/>
      <c r="U50" s="6"/>
    </row>
    <row r="51" spans="1:21" customFormat="1">
      <c r="A51" s="100" t="s">
        <v>375</v>
      </c>
      <c r="B51" s="100">
        <v>26.34</v>
      </c>
      <c r="C51" s="100">
        <v>51.72</v>
      </c>
      <c r="D51" s="100">
        <v>49.5</v>
      </c>
      <c r="E51" s="100">
        <v>7.02</v>
      </c>
      <c r="F51" s="100">
        <v>5.21</v>
      </c>
      <c r="G51" s="100">
        <v>19.739999999999998</v>
      </c>
      <c r="H51" s="100">
        <v>5.61</v>
      </c>
      <c r="I51" s="100">
        <v>3.27</v>
      </c>
      <c r="J51" s="100">
        <v>0.98</v>
      </c>
      <c r="K51" s="100">
        <v>63.41</v>
      </c>
      <c r="L51" s="100">
        <v>28.1</v>
      </c>
      <c r="M51" s="100">
        <v>62.45</v>
      </c>
      <c r="N51" s="100">
        <v>751.2</v>
      </c>
      <c r="O51" s="100">
        <v>0</v>
      </c>
      <c r="P51" s="100">
        <v>0.34</v>
      </c>
      <c r="Q51" s="100">
        <v>5.99</v>
      </c>
      <c r="R51" s="6"/>
      <c r="S51" s="6"/>
      <c r="T51" s="156"/>
      <c r="U51" s="6"/>
    </row>
    <row r="52" spans="1:21" customFormat="1">
      <c r="A52" s="100" t="s">
        <v>376</v>
      </c>
      <c r="B52" s="100">
        <v>26.11</v>
      </c>
      <c r="C52" s="100">
        <v>50.36</v>
      </c>
      <c r="D52" s="100">
        <v>48.6</v>
      </c>
      <c r="E52" s="100">
        <v>6.74</v>
      </c>
      <c r="F52" s="100">
        <v>5.1100000000000003</v>
      </c>
      <c r="G52" s="100">
        <v>19.739999999999998</v>
      </c>
      <c r="H52" s="100">
        <v>5.61</v>
      </c>
      <c r="I52" s="100">
        <v>3.25</v>
      </c>
      <c r="J52" s="100">
        <v>0.53</v>
      </c>
      <c r="K52" s="100">
        <v>86.26</v>
      </c>
      <c r="L52" s="100">
        <v>28.58</v>
      </c>
      <c r="M52" s="100">
        <v>60.35</v>
      </c>
      <c r="N52" s="100">
        <v>873.9</v>
      </c>
      <c r="O52" s="100">
        <v>0</v>
      </c>
      <c r="P52" s="100">
        <v>0.33</v>
      </c>
      <c r="Q52" s="100">
        <v>5.79</v>
      </c>
      <c r="R52" s="6"/>
      <c r="S52" s="6"/>
      <c r="T52" s="156"/>
      <c r="U52" s="6"/>
    </row>
    <row r="53" spans="1:21" customFormat="1">
      <c r="A53" s="100" t="s">
        <v>377</v>
      </c>
      <c r="B53" s="100">
        <v>25.73</v>
      </c>
      <c r="C53" s="100">
        <v>55.74</v>
      </c>
      <c r="D53" s="100">
        <v>51.11</v>
      </c>
      <c r="E53" s="100">
        <v>7.25</v>
      </c>
      <c r="F53" s="100">
        <v>3.99</v>
      </c>
      <c r="G53" s="100">
        <v>19.739999999999998</v>
      </c>
      <c r="H53" s="100">
        <v>5.61</v>
      </c>
      <c r="I53" s="100">
        <v>3.27</v>
      </c>
      <c r="J53" s="100">
        <v>0.17</v>
      </c>
      <c r="K53" s="100">
        <v>63.96</v>
      </c>
      <c r="L53" s="100">
        <v>29.18</v>
      </c>
      <c r="M53" s="100">
        <v>60.21</v>
      </c>
      <c r="N53" s="100">
        <v>777.7</v>
      </c>
      <c r="O53" s="100">
        <v>0</v>
      </c>
      <c r="P53" s="100">
        <v>0.36</v>
      </c>
      <c r="Q53" s="100">
        <v>5.85</v>
      </c>
      <c r="R53" s="6"/>
      <c r="S53" s="6"/>
      <c r="T53" s="156"/>
      <c r="U53" s="6"/>
    </row>
    <row r="54" spans="1:21" customFormat="1">
      <c r="A54" s="100" t="s">
        <v>378</v>
      </c>
      <c r="B54" s="100">
        <v>25.23</v>
      </c>
      <c r="C54" s="100">
        <v>55.49</v>
      </c>
      <c r="D54" s="100">
        <v>50.57</v>
      </c>
      <c r="E54" s="100">
        <v>7.78</v>
      </c>
      <c r="F54" s="100">
        <v>4.17</v>
      </c>
      <c r="G54" s="100">
        <v>19.82</v>
      </c>
      <c r="H54" s="100">
        <v>5.87</v>
      </c>
      <c r="I54" s="100">
        <v>3.26</v>
      </c>
      <c r="J54" s="100">
        <v>0.53</v>
      </c>
      <c r="K54" s="100">
        <v>302.82</v>
      </c>
      <c r="L54" s="100">
        <v>28.38</v>
      </c>
      <c r="M54" s="100">
        <v>59.8</v>
      </c>
      <c r="N54" s="100">
        <v>528.20000000000005</v>
      </c>
      <c r="O54" s="100">
        <v>0</v>
      </c>
      <c r="P54" s="100">
        <v>0.36</v>
      </c>
      <c r="Q54" s="100">
        <v>5.86</v>
      </c>
      <c r="R54" s="6"/>
      <c r="S54" s="6"/>
      <c r="T54" s="156"/>
      <c r="U54" s="6"/>
    </row>
    <row r="55" spans="1:21" customFormat="1">
      <c r="A55" s="100" t="s">
        <v>379</v>
      </c>
      <c r="B55" s="100">
        <v>23.63</v>
      </c>
      <c r="C55" s="100">
        <v>50.12</v>
      </c>
      <c r="D55" s="100">
        <v>46.49</v>
      </c>
      <c r="E55" s="100">
        <v>7.64</v>
      </c>
      <c r="F55" s="100">
        <v>6.07</v>
      </c>
      <c r="G55" s="100">
        <v>19.96</v>
      </c>
      <c r="H55" s="100">
        <v>6.15</v>
      </c>
      <c r="I55" s="100">
        <v>3.36</v>
      </c>
      <c r="J55" s="100">
        <v>0.52</v>
      </c>
      <c r="K55" s="100">
        <v>264.29000000000002</v>
      </c>
      <c r="L55" s="100">
        <v>29.09</v>
      </c>
      <c r="M55" s="100">
        <v>58.26</v>
      </c>
      <c r="N55" s="100">
        <v>1060.8</v>
      </c>
      <c r="O55" s="100">
        <v>0</v>
      </c>
      <c r="P55" s="100">
        <v>0.33</v>
      </c>
      <c r="Q55" s="100">
        <v>5.7</v>
      </c>
      <c r="R55" s="6"/>
      <c r="S55" s="6"/>
      <c r="T55" s="156"/>
      <c r="U55" s="6"/>
    </row>
    <row r="56" spans="1:21" customFormat="1">
      <c r="A56" s="100" t="s">
        <v>380</v>
      </c>
      <c r="B56" s="100">
        <v>22.83</v>
      </c>
      <c r="C56" s="100">
        <v>53.65</v>
      </c>
      <c r="D56" s="100">
        <v>47.69</v>
      </c>
      <c r="E56" s="100">
        <v>7.76</v>
      </c>
      <c r="F56" s="100">
        <v>5.03</v>
      </c>
      <c r="G56" s="100">
        <v>19.96</v>
      </c>
      <c r="H56" s="100">
        <v>6.15</v>
      </c>
      <c r="I56" s="100">
        <v>3.34</v>
      </c>
      <c r="J56" s="100">
        <v>0.22</v>
      </c>
      <c r="K56" s="100">
        <v>298.66000000000003</v>
      </c>
      <c r="L56" s="100">
        <v>29.62</v>
      </c>
      <c r="M56" s="100">
        <v>55.35</v>
      </c>
      <c r="N56" s="100">
        <v>931.5</v>
      </c>
      <c r="O56" s="100">
        <v>0</v>
      </c>
      <c r="P56" s="100">
        <v>0.36</v>
      </c>
      <c r="Q56" s="100">
        <v>5.7</v>
      </c>
      <c r="R56" s="6"/>
      <c r="S56" s="6"/>
      <c r="T56" s="156"/>
      <c r="U56" s="6"/>
    </row>
    <row r="57" spans="1:21" customFormat="1">
      <c r="A57" s="100" t="s">
        <v>381</v>
      </c>
      <c r="B57" s="100">
        <v>21.03</v>
      </c>
      <c r="C57" s="100">
        <v>51.73</v>
      </c>
      <c r="D57" s="100">
        <v>45.24</v>
      </c>
      <c r="E57" s="100">
        <v>7.77</v>
      </c>
      <c r="F57" s="100">
        <v>8.1300000000000008</v>
      </c>
      <c r="G57" s="100">
        <v>19.96</v>
      </c>
      <c r="H57" s="100">
        <v>6.15</v>
      </c>
      <c r="I57" s="100">
        <v>3.26</v>
      </c>
      <c r="J57" s="100">
        <v>0.11</v>
      </c>
      <c r="K57" s="100">
        <v>4.1900000000000004</v>
      </c>
      <c r="L57" s="100">
        <v>30.13</v>
      </c>
      <c r="M57" s="100">
        <v>54.63</v>
      </c>
      <c r="N57" s="100">
        <v>790.9</v>
      </c>
      <c r="O57" s="100">
        <v>0</v>
      </c>
      <c r="P57" s="100">
        <v>0.36</v>
      </c>
      <c r="Q57" s="100">
        <v>5.72</v>
      </c>
      <c r="R57" s="6"/>
      <c r="S57" s="6"/>
      <c r="T57" s="156"/>
      <c r="U57" s="6"/>
    </row>
    <row r="58" spans="1:21" customFormat="1">
      <c r="A58" s="100" t="s">
        <v>382</v>
      </c>
      <c r="B58" s="100">
        <v>12.79</v>
      </c>
      <c r="C58" s="100">
        <v>40.020000000000003</v>
      </c>
      <c r="D58" s="100">
        <v>32.520000000000003</v>
      </c>
      <c r="E58" s="100">
        <v>7.42</v>
      </c>
      <c r="F58" s="100">
        <v>20.6</v>
      </c>
      <c r="G58" s="100">
        <v>18.05</v>
      </c>
      <c r="H58" s="100">
        <v>5.75</v>
      </c>
      <c r="I58" s="100">
        <v>3.38</v>
      </c>
      <c r="J58" s="100">
        <v>0.27</v>
      </c>
      <c r="K58" s="100">
        <v>265.3</v>
      </c>
      <c r="L58" s="100">
        <v>30.2</v>
      </c>
      <c r="M58" s="100">
        <v>54.61</v>
      </c>
      <c r="N58" s="100">
        <v>802.3</v>
      </c>
      <c r="O58" s="100">
        <v>0</v>
      </c>
      <c r="P58" s="100">
        <v>0.32</v>
      </c>
      <c r="Q58" s="100">
        <v>5.39</v>
      </c>
      <c r="R58" s="6"/>
      <c r="S58" s="6"/>
      <c r="T58" s="156"/>
      <c r="U58" s="6"/>
    </row>
    <row r="59" spans="1:21" customFormat="1">
      <c r="A59" s="100" t="s">
        <v>383</v>
      </c>
      <c r="B59" s="100">
        <v>9.7100000000000009</v>
      </c>
      <c r="C59" s="100">
        <v>43.2</v>
      </c>
      <c r="D59" s="100">
        <v>31.71</v>
      </c>
      <c r="E59" s="100">
        <v>6.4</v>
      </c>
      <c r="F59" s="100">
        <v>12.39</v>
      </c>
      <c r="G59" s="100">
        <v>14.76</v>
      </c>
      <c r="H59" s="100">
        <v>4.51</v>
      </c>
      <c r="I59" s="100">
        <v>3.14</v>
      </c>
      <c r="J59" s="100">
        <v>0.38</v>
      </c>
      <c r="K59" s="100">
        <v>254.31</v>
      </c>
      <c r="L59" s="100">
        <v>30.26</v>
      </c>
      <c r="M59" s="100">
        <v>55.28</v>
      </c>
      <c r="N59" s="100">
        <v>818</v>
      </c>
      <c r="O59" s="100">
        <v>0</v>
      </c>
      <c r="P59" s="100">
        <v>0.32</v>
      </c>
      <c r="Q59" s="100">
        <v>4.8899999999999997</v>
      </c>
      <c r="R59" s="6"/>
      <c r="S59" s="6"/>
      <c r="T59" s="156"/>
      <c r="U59" s="6"/>
    </row>
    <row r="60" spans="1:21" customFormat="1">
      <c r="A60" s="100" t="s">
        <v>384</v>
      </c>
      <c r="B60" s="100">
        <v>8.32</v>
      </c>
      <c r="C60" s="100">
        <v>44.67</v>
      </c>
      <c r="D60" s="100">
        <v>31.36</v>
      </c>
      <c r="E60" s="100">
        <v>6.71</v>
      </c>
      <c r="F60" s="100">
        <v>8.89</v>
      </c>
      <c r="G60" s="100">
        <v>14.76</v>
      </c>
      <c r="H60" s="100">
        <v>4.51</v>
      </c>
      <c r="I60" s="100">
        <v>2.7</v>
      </c>
      <c r="J60" s="100">
        <v>0.42</v>
      </c>
      <c r="K60" s="100">
        <v>89.62</v>
      </c>
      <c r="L60" s="100">
        <v>30.9</v>
      </c>
      <c r="M60" s="100">
        <v>54.05</v>
      </c>
      <c r="N60" s="100">
        <v>835.4</v>
      </c>
      <c r="O60" s="100">
        <v>0</v>
      </c>
      <c r="P60" s="100">
        <v>0.32</v>
      </c>
      <c r="Q60" s="100">
        <v>4.8600000000000003</v>
      </c>
      <c r="R60" s="6"/>
      <c r="S60" s="6"/>
      <c r="T60" s="156"/>
      <c r="U60" s="6"/>
    </row>
    <row r="61" spans="1:21" customFormat="1">
      <c r="A61" s="100" t="s">
        <v>385</v>
      </c>
      <c r="B61" s="100">
        <v>8.1199999999999992</v>
      </c>
      <c r="C61" s="100">
        <v>43.55</v>
      </c>
      <c r="D61" s="100">
        <v>30.61</v>
      </c>
      <c r="E61" s="100">
        <v>6.34</v>
      </c>
      <c r="F61" s="100">
        <v>8.84</v>
      </c>
      <c r="G61" s="100">
        <v>14.76</v>
      </c>
      <c r="H61" s="100">
        <v>4.51</v>
      </c>
      <c r="I61" s="100">
        <v>2.78</v>
      </c>
      <c r="J61" s="100">
        <v>0.15</v>
      </c>
      <c r="K61" s="100">
        <v>118.37</v>
      </c>
      <c r="L61" s="100">
        <v>31.25</v>
      </c>
      <c r="M61" s="100">
        <v>52.95</v>
      </c>
      <c r="N61" s="100">
        <v>736.6</v>
      </c>
      <c r="O61" s="100">
        <v>0</v>
      </c>
      <c r="P61" s="100">
        <v>0.31</v>
      </c>
      <c r="Q61" s="100">
        <v>4.99</v>
      </c>
      <c r="R61" s="6"/>
      <c r="S61" s="6"/>
      <c r="T61" s="156"/>
      <c r="U61" s="6"/>
    </row>
    <row r="62" spans="1:21" customFormat="1">
      <c r="A62" s="100" t="s">
        <v>386</v>
      </c>
      <c r="B62" s="100">
        <v>8.35</v>
      </c>
      <c r="C62" s="100">
        <v>42.64</v>
      </c>
      <c r="D62" s="100">
        <v>30.33</v>
      </c>
      <c r="E62" s="100">
        <v>5.3</v>
      </c>
      <c r="F62" s="100">
        <v>9.26</v>
      </c>
      <c r="G62" s="100">
        <v>14.29</v>
      </c>
      <c r="H62" s="100">
        <v>4.54</v>
      </c>
      <c r="I62" s="100">
        <v>2.77</v>
      </c>
      <c r="J62" s="100">
        <v>0.04</v>
      </c>
      <c r="K62" s="100">
        <v>264.47000000000003</v>
      </c>
      <c r="L62" s="100">
        <v>31.38</v>
      </c>
      <c r="M62" s="100">
        <v>50.7</v>
      </c>
      <c r="N62" s="100">
        <v>783.1</v>
      </c>
      <c r="O62" s="100">
        <v>0</v>
      </c>
      <c r="P62" s="100">
        <v>0.31</v>
      </c>
      <c r="Q62" s="100">
        <v>5</v>
      </c>
      <c r="R62" s="6"/>
      <c r="S62" s="6"/>
      <c r="T62" s="156"/>
      <c r="U62" s="6"/>
    </row>
    <row r="63" spans="1:21" customFormat="1">
      <c r="A63" s="100" t="s">
        <v>387</v>
      </c>
      <c r="B63" s="100">
        <v>4.87</v>
      </c>
      <c r="C63" s="100">
        <v>37</v>
      </c>
      <c r="D63" s="100">
        <v>24.58</v>
      </c>
      <c r="E63" s="100">
        <v>6.24</v>
      </c>
      <c r="F63" s="100">
        <v>18.329999999999998</v>
      </c>
      <c r="G63" s="100">
        <v>13.49</v>
      </c>
      <c r="H63" s="100">
        <v>4.57</v>
      </c>
      <c r="I63" s="100">
        <v>2.75</v>
      </c>
      <c r="J63" s="100">
        <v>0.23</v>
      </c>
      <c r="K63" s="100">
        <v>132.29</v>
      </c>
      <c r="L63" s="100">
        <v>32.46</v>
      </c>
      <c r="M63" s="100">
        <v>48.66</v>
      </c>
      <c r="N63" s="100">
        <v>783.7</v>
      </c>
      <c r="O63" s="100">
        <v>0</v>
      </c>
      <c r="P63" s="100">
        <v>0.3</v>
      </c>
      <c r="Q63" s="100">
        <v>4.99</v>
      </c>
      <c r="R63" s="6"/>
      <c r="S63" s="6"/>
      <c r="T63" s="156"/>
      <c r="U63" s="6"/>
    </row>
    <row r="64" spans="1:21" customFormat="1">
      <c r="A64" s="100" t="s">
        <v>388</v>
      </c>
      <c r="B64" s="100">
        <v>2.67</v>
      </c>
      <c r="C64" s="100">
        <v>33.630000000000003</v>
      </c>
      <c r="D64" s="100">
        <v>21.06</v>
      </c>
      <c r="E64" s="100">
        <v>6.03</v>
      </c>
      <c r="F64" s="100">
        <v>19.68</v>
      </c>
      <c r="G64" s="100">
        <v>13.49</v>
      </c>
      <c r="H64" s="100">
        <v>4.57</v>
      </c>
      <c r="I64" s="100">
        <v>2.75</v>
      </c>
      <c r="J64" s="100">
        <v>0.36</v>
      </c>
      <c r="K64" s="100">
        <v>115.11</v>
      </c>
      <c r="L64" s="100">
        <v>32.5</v>
      </c>
      <c r="M64" s="100">
        <v>48.2</v>
      </c>
      <c r="N64" s="100">
        <v>693.2</v>
      </c>
      <c r="O64" s="100">
        <v>0</v>
      </c>
      <c r="P64" s="100">
        <v>0.28000000000000003</v>
      </c>
      <c r="Q64" s="100">
        <v>5</v>
      </c>
      <c r="R64" s="6"/>
      <c r="S64" s="6"/>
      <c r="T64" s="156"/>
      <c r="U64" s="6"/>
    </row>
    <row r="65" spans="1:21" customFormat="1">
      <c r="A65" s="100" t="s">
        <v>389</v>
      </c>
      <c r="B65" s="100">
        <v>2.46</v>
      </c>
      <c r="C65" s="100">
        <v>33.64</v>
      </c>
      <c r="D65" s="100">
        <v>20.9</v>
      </c>
      <c r="E65" s="100">
        <v>5.51</v>
      </c>
      <c r="F65" s="100">
        <v>11.7</v>
      </c>
      <c r="G65" s="100">
        <v>13.49</v>
      </c>
      <c r="H65" s="100">
        <v>4.57</v>
      </c>
      <c r="I65" s="100">
        <v>2.2200000000000002</v>
      </c>
      <c r="J65" s="100">
        <v>0.36</v>
      </c>
      <c r="K65" s="100">
        <v>166.04</v>
      </c>
      <c r="L65" s="100">
        <v>32.31</v>
      </c>
      <c r="M65" s="100">
        <v>47.8</v>
      </c>
      <c r="N65" s="100">
        <v>810.3</v>
      </c>
      <c r="O65" s="100">
        <v>0</v>
      </c>
      <c r="P65" s="100">
        <v>0.3</v>
      </c>
      <c r="Q65" s="100">
        <v>5</v>
      </c>
      <c r="R65" s="6"/>
      <c r="S65" s="6"/>
      <c r="T65" s="156"/>
      <c r="U65" s="6"/>
    </row>
    <row r="66" spans="1:21" customFormat="1">
      <c r="A66" s="100" t="s">
        <v>390</v>
      </c>
      <c r="B66" s="100">
        <v>2.99</v>
      </c>
      <c r="C66" s="100">
        <v>34.909999999999997</v>
      </c>
      <c r="D66" s="100">
        <v>21.99</v>
      </c>
      <c r="E66" s="100">
        <v>4.92</v>
      </c>
      <c r="F66" s="100">
        <v>8.7100000000000009</v>
      </c>
      <c r="G66" s="100">
        <v>13.58</v>
      </c>
      <c r="H66" s="100">
        <v>5.14</v>
      </c>
      <c r="I66" s="100">
        <v>1.95</v>
      </c>
      <c r="J66" s="100">
        <v>0.87</v>
      </c>
      <c r="K66" s="100">
        <v>257.83</v>
      </c>
      <c r="L66" s="100">
        <v>31.8</v>
      </c>
      <c r="M66" s="100">
        <v>48.11</v>
      </c>
      <c r="N66" s="100">
        <v>714.8</v>
      </c>
      <c r="O66" s="100">
        <v>0</v>
      </c>
      <c r="P66" s="100">
        <v>0.32</v>
      </c>
      <c r="Q66" s="100">
        <v>5</v>
      </c>
      <c r="R66" s="6"/>
      <c r="S66" s="6"/>
      <c r="T66" s="156"/>
      <c r="U66" s="6"/>
    </row>
    <row r="67" spans="1:21" customFormat="1">
      <c r="A67" s="100" t="s">
        <v>391</v>
      </c>
      <c r="B67" s="100">
        <v>2.84</v>
      </c>
      <c r="C67" s="100">
        <v>25.5</v>
      </c>
      <c r="D67" s="100">
        <v>16.95</v>
      </c>
      <c r="E67" s="100">
        <v>5.33</v>
      </c>
      <c r="F67" s="100">
        <v>42.46</v>
      </c>
      <c r="G67" s="100">
        <v>13.74</v>
      </c>
      <c r="H67" s="100">
        <v>5.73</v>
      </c>
      <c r="I67" s="100">
        <v>1.93</v>
      </c>
      <c r="J67" s="100">
        <v>0.23</v>
      </c>
      <c r="K67" s="100">
        <v>153.1</v>
      </c>
      <c r="L67" s="100">
        <v>32.92</v>
      </c>
      <c r="M67" s="100">
        <v>46.65</v>
      </c>
      <c r="N67" s="100">
        <v>765.7</v>
      </c>
      <c r="O67" s="100">
        <v>0</v>
      </c>
      <c r="P67" s="100">
        <v>0.28999999999999998</v>
      </c>
      <c r="Q67" s="100">
        <v>5</v>
      </c>
      <c r="R67" s="6"/>
      <c r="S67" s="6"/>
      <c r="T67" s="156"/>
      <c r="U67" s="6"/>
    </row>
    <row r="68" spans="1:21" customFormat="1">
      <c r="A68" s="100" t="s">
        <v>392</v>
      </c>
      <c r="B68" s="100">
        <v>2.3199999999999998</v>
      </c>
      <c r="C68" s="100">
        <v>12.83</v>
      </c>
      <c r="D68" s="100">
        <v>9.91</v>
      </c>
      <c r="E68" s="100">
        <v>6.01</v>
      </c>
      <c r="F68" s="100">
        <v>63.61</v>
      </c>
      <c r="G68" s="100">
        <v>13.74</v>
      </c>
      <c r="H68" s="100">
        <v>5.73</v>
      </c>
      <c r="I68" s="100">
        <v>1.99</v>
      </c>
      <c r="J68" s="100">
        <v>0.22</v>
      </c>
      <c r="K68" s="100">
        <v>213.94</v>
      </c>
      <c r="L68" s="100">
        <v>32.99</v>
      </c>
      <c r="M68" s="100">
        <v>45.9</v>
      </c>
      <c r="N68" s="100">
        <v>700.4</v>
      </c>
      <c r="O68" s="100">
        <v>0</v>
      </c>
      <c r="P68" s="100">
        <v>0.28000000000000003</v>
      </c>
      <c r="Q68" s="100">
        <v>5</v>
      </c>
      <c r="R68" s="6"/>
      <c r="S68" s="6"/>
      <c r="T68" s="156"/>
      <c r="U68" s="6"/>
    </row>
    <row r="69" spans="1:21" customFormat="1">
      <c r="A69" s="100" t="s">
        <v>393</v>
      </c>
      <c r="B69" s="100">
        <v>2.44</v>
      </c>
      <c r="C69" s="100">
        <v>11.9</v>
      </c>
      <c r="D69" s="100">
        <v>9.52</v>
      </c>
      <c r="E69" s="100">
        <v>5.72</v>
      </c>
      <c r="F69" s="100">
        <v>41.34</v>
      </c>
      <c r="G69" s="100">
        <v>13.74</v>
      </c>
      <c r="H69" s="100">
        <v>5.73</v>
      </c>
      <c r="I69" s="100">
        <v>1.2</v>
      </c>
      <c r="J69" s="100">
        <v>0.23</v>
      </c>
      <c r="K69" s="100">
        <v>137.91</v>
      </c>
      <c r="L69" s="100">
        <v>33.44</v>
      </c>
      <c r="M69" s="100">
        <v>44.14</v>
      </c>
      <c r="N69" s="100">
        <v>546.6</v>
      </c>
      <c r="O69" s="100">
        <v>0</v>
      </c>
      <c r="P69" s="100">
        <v>0.28999999999999998</v>
      </c>
      <c r="Q69" s="100">
        <v>5</v>
      </c>
      <c r="R69" s="6"/>
      <c r="S69" s="6"/>
      <c r="T69" s="156"/>
      <c r="U69" s="6"/>
    </row>
    <row r="70" spans="1:21" customFormat="1">
      <c r="A70" s="100" t="s">
        <v>394</v>
      </c>
      <c r="B70" s="100">
        <v>2.52</v>
      </c>
      <c r="C70" s="100">
        <v>17.010000000000002</v>
      </c>
      <c r="D70" s="100">
        <v>12.26</v>
      </c>
      <c r="E70" s="100">
        <v>4.67</v>
      </c>
      <c r="F70" s="100">
        <v>16.690000000000001</v>
      </c>
      <c r="G70" s="100">
        <v>12.42</v>
      </c>
      <c r="H70" s="100">
        <v>5.45</v>
      </c>
      <c r="I70" s="100">
        <v>0.69</v>
      </c>
      <c r="J70" s="100">
        <v>0.01</v>
      </c>
      <c r="K70" s="100">
        <v>58.9</v>
      </c>
      <c r="L70" s="100">
        <v>33.1</v>
      </c>
      <c r="M70" s="100">
        <v>43.49</v>
      </c>
      <c r="N70" s="100">
        <v>501.8</v>
      </c>
      <c r="O70" s="100">
        <v>0</v>
      </c>
      <c r="P70" s="100">
        <v>0.28000000000000003</v>
      </c>
      <c r="Q70" s="100">
        <v>5</v>
      </c>
      <c r="R70" s="6"/>
      <c r="S70" s="6"/>
      <c r="T70" s="156"/>
      <c r="U70" s="6"/>
    </row>
    <row r="71" spans="1:21" customFormat="1">
      <c r="A71" s="100" t="s">
        <v>395</v>
      </c>
      <c r="B71" s="100">
        <v>2.9</v>
      </c>
      <c r="C71" s="100">
        <v>22.09</v>
      </c>
      <c r="D71" s="100">
        <v>15.22</v>
      </c>
      <c r="E71" s="100">
        <v>4.76</v>
      </c>
      <c r="F71" s="100">
        <v>10.34</v>
      </c>
      <c r="G71" s="100">
        <v>10.130000000000001</v>
      </c>
      <c r="H71" s="100">
        <v>5.15</v>
      </c>
      <c r="I71" s="100">
        <v>0.61</v>
      </c>
      <c r="J71" s="100">
        <v>0.1</v>
      </c>
      <c r="K71" s="100">
        <v>107.49</v>
      </c>
      <c r="L71" s="100">
        <v>33.43</v>
      </c>
      <c r="M71" s="100">
        <v>45.22</v>
      </c>
      <c r="N71" s="100">
        <v>592.9</v>
      </c>
      <c r="O71" s="100">
        <v>0</v>
      </c>
      <c r="P71" s="100">
        <v>0.27</v>
      </c>
      <c r="Q71" s="100">
        <v>5</v>
      </c>
      <c r="R71" s="6"/>
      <c r="S71" s="6"/>
      <c r="T71" s="156"/>
      <c r="U71" s="6"/>
    </row>
    <row r="72" spans="1:21" customFormat="1">
      <c r="A72" s="100" t="s">
        <v>396</v>
      </c>
      <c r="B72" s="100">
        <v>3.61</v>
      </c>
      <c r="C72" s="100">
        <v>30.6</v>
      </c>
      <c r="D72" s="100">
        <v>20.239999999999998</v>
      </c>
      <c r="E72" s="100">
        <v>5.0999999999999996</v>
      </c>
      <c r="F72" s="100">
        <v>6.29</v>
      </c>
      <c r="G72" s="100">
        <v>10.130000000000001</v>
      </c>
      <c r="H72" s="100">
        <v>5.15</v>
      </c>
      <c r="I72" s="100">
        <v>0.72</v>
      </c>
      <c r="J72" s="100">
        <v>0.28000000000000003</v>
      </c>
      <c r="K72" s="100">
        <v>190.05</v>
      </c>
      <c r="L72" s="100">
        <v>33.64</v>
      </c>
      <c r="M72" s="100">
        <v>44.81</v>
      </c>
      <c r="N72" s="100">
        <v>565.29999999999995</v>
      </c>
      <c r="O72" s="100">
        <v>0</v>
      </c>
      <c r="P72" s="100">
        <v>0.3</v>
      </c>
      <c r="Q72" s="100">
        <v>5</v>
      </c>
      <c r="R72" s="6"/>
      <c r="S72" s="6"/>
      <c r="T72" s="156"/>
      <c r="U72" s="6"/>
    </row>
    <row r="73" spans="1:21" customFormat="1">
      <c r="A73" s="100" t="s">
        <v>397</v>
      </c>
      <c r="B73" s="100">
        <v>4.46</v>
      </c>
      <c r="C73" s="100">
        <v>34.57</v>
      </c>
      <c r="D73" s="100">
        <v>22.99</v>
      </c>
      <c r="E73" s="100">
        <v>5.41</v>
      </c>
      <c r="F73" s="100">
        <v>5.89</v>
      </c>
      <c r="G73" s="100">
        <v>10.130000000000001</v>
      </c>
      <c r="H73" s="100">
        <v>5.15</v>
      </c>
      <c r="I73" s="100">
        <v>0.86</v>
      </c>
      <c r="J73" s="100">
        <v>0.35</v>
      </c>
      <c r="K73" s="100">
        <v>266.76</v>
      </c>
      <c r="L73" s="100">
        <v>32.770000000000003</v>
      </c>
      <c r="M73" s="100">
        <v>46.24</v>
      </c>
      <c r="N73" s="100">
        <v>458.9</v>
      </c>
      <c r="O73" s="100">
        <v>0</v>
      </c>
      <c r="P73" s="100">
        <v>0.28999999999999998</v>
      </c>
      <c r="Q73" s="100">
        <v>5</v>
      </c>
      <c r="R73" s="6"/>
      <c r="S73" s="6"/>
      <c r="T73" s="156"/>
      <c r="U73" s="6"/>
    </row>
    <row r="74" spans="1:21" customFormat="1">
      <c r="A74" s="100" t="s">
        <v>398</v>
      </c>
      <c r="B74" s="100">
        <v>4.97</v>
      </c>
      <c r="C74" s="100">
        <v>35.340000000000003</v>
      </c>
      <c r="D74" s="100">
        <v>23.8</v>
      </c>
      <c r="E74" s="100">
        <v>5.53</v>
      </c>
      <c r="F74" s="100">
        <v>7.48</v>
      </c>
      <c r="G74" s="100">
        <v>11.17</v>
      </c>
      <c r="H74" s="100">
        <v>5.19</v>
      </c>
      <c r="I74" s="100">
        <v>1.1499999999999999</v>
      </c>
      <c r="J74" s="100">
        <v>0.56000000000000005</v>
      </c>
      <c r="K74" s="100">
        <v>250.57</v>
      </c>
      <c r="L74" s="100">
        <v>32.44</v>
      </c>
      <c r="M74" s="100">
        <v>46.9</v>
      </c>
      <c r="N74" s="100">
        <v>403.1</v>
      </c>
      <c r="O74" s="100">
        <v>0</v>
      </c>
      <c r="P74" s="100">
        <v>0.28999999999999998</v>
      </c>
      <c r="Q74" s="100">
        <v>5</v>
      </c>
      <c r="R74" s="6"/>
      <c r="S74" s="6"/>
      <c r="T74" s="156"/>
      <c r="U74" s="6"/>
    </row>
    <row r="75" spans="1:21" customFormat="1">
      <c r="A75" s="100" t="s">
        <v>399</v>
      </c>
      <c r="B75" s="100">
        <v>5.46</v>
      </c>
      <c r="C75" s="100">
        <v>41.44</v>
      </c>
      <c r="D75" s="100">
        <v>27.38</v>
      </c>
      <c r="E75" s="100">
        <v>5.63</v>
      </c>
      <c r="F75" s="100">
        <v>5.38</v>
      </c>
      <c r="G75" s="100">
        <v>12.97</v>
      </c>
      <c r="H75" s="100">
        <v>5.23</v>
      </c>
      <c r="I75" s="100">
        <v>1.24</v>
      </c>
      <c r="J75" s="100">
        <v>0.43</v>
      </c>
      <c r="K75" s="100">
        <v>250.2</v>
      </c>
      <c r="L75" s="100">
        <v>32.61</v>
      </c>
      <c r="M75" s="100">
        <v>45.3</v>
      </c>
      <c r="N75" s="100">
        <v>290.10000000000002</v>
      </c>
      <c r="O75" s="100">
        <v>0</v>
      </c>
      <c r="P75" s="100">
        <v>0.31</v>
      </c>
      <c r="Q75" s="100">
        <v>4.9800000000000004</v>
      </c>
      <c r="R75" s="6"/>
      <c r="S75" s="6"/>
      <c r="T75" s="156"/>
      <c r="U75" s="6"/>
    </row>
    <row r="76" spans="1:21" customFormat="1">
      <c r="A76" s="100" t="s">
        <v>400</v>
      </c>
      <c r="B76" s="100">
        <v>5.83</v>
      </c>
      <c r="C76" s="100">
        <v>41.06</v>
      </c>
      <c r="D76" s="100">
        <v>27.47</v>
      </c>
      <c r="E76" s="100">
        <v>6.26</v>
      </c>
      <c r="F76" s="100">
        <v>6.99</v>
      </c>
      <c r="G76" s="100">
        <v>12.97</v>
      </c>
      <c r="H76" s="100">
        <v>5.23</v>
      </c>
      <c r="I76" s="100">
        <v>1.37</v>
      </c>
      <c r="J76" s="100">
        <v>0.25</v>
      </c>
      <c r="K76" s="100">
        <v>226.16</v>
      </c>
      <c r="L76" s="100">
        <v>32.630000000000003</v>
      </c>
      <c r="M76" s="100">
        <v>45.64</v>
      </c>
      <c r="N76" s="100">
        <v>219.2</v>
      </c>
      <c r="O76" s="100">
        <v>0</v>
      </c>
      <c r="P76" s="100">
        <v>0.3</v>
      </c>
      <c r="Q76" s="100">
        <v>5</v>
      </c>
      <c r="R76" s="6"/>
      <c r="S76" s="6"/>
      <c r="T76" s="156"/>
      <c r="U76" s="6"/>
    </row>
    <row r="77" spans="1:21" customFormat="1">
      <c r="A77" s="100" t="s">
        <v>401</v>
      </c>
      <c r="B77" s="100">
        <v>6.28</v>
      </c>
      <c r="C77" s="100">
        <v>44.7</v>
      </c>
      <c r="D77" s="100">
        <v>29.74</v>
      </c>
      <c r="E77" s="100">
        <v>5.72</v>
      </c>
      <c r="F77" s="100">
        <v>5.64</v>
      </c>
      <c r="G77" s="100">
        <v>12.97</v>
      </c>
      <c r="H77" s="100">
        <v>5.23</v>
      </c>
      <c r="I77" s="100">
        <v>1.47</v>
      </c>
      <c r="J77" s="100">
        <v>0.47</v>
      </c>
      <c r="K77" s="100">
        <v>282.11</v>
      </c>
      <c r="L77" s="100">
        <v>32.130000000000003</v>
      </c>
      <c r="M77" s="100">
        <v>46.17</v>
      </c>
      <c r="N77" s="100">
        <v>145.19999999999999</v>
      </c>
      <c r="O77" s="100">
        <v>0</v>
      </c>
      <c r="P77" s="100">
        <v>0.32</v>
      </c>
      <c r="Q77" s="100">
        <v>4.8</v>
      </c>
      <c r="R77" s="6"/>
      <c r="S77" s="6"/>
      <c r="T77" s="156"/>
      <c r="U77" s="6"/>
    </row>
    <row r="78" spans="1:21" customFormat="1">
      <c r="A78" s="100" t="s">
        <v>402</v>
      </c>
      <c r="B78" s="100">
        <v>6.6</v>
      </c>
      <c r="C78" s="100">
        <v>43.78</v>
      </c>
      <c r="D78" s="100">
        <v>29.51</v>
      </c>
      <c r="E78" s="100">
        <v>5.8</v>
      </c>
      <c r="F78" s="100">
        <v>5.84</v>
      </c>
      <c r="G78" s="100">
        <v>11.74</v>
      </c>
      <c r="H78" s="100">
        <v>6.01</v>
      </c>
      <c r="I78" s="100">
        <v>1.59</v>
      </c>
      <c r="J78" s="100">
        <v>0.32</v>
      </c>
      <c r="K78" s="100">
        <v>254.24</v>
      </c>
      <c r="L78" s="100">
        <v>31.85</v>
      </c>
      <c r="M78" s="100">
        <v>47.3</v>
      </c>
      <c r="N78" s="100">
        <v>72.8</v>
      </c>
      <c r="O78" s="100">
        <v>0</v>
      </c>
      <c r="P78" s="100">
        <v>0.32</v>
      </c>
      <c r="Q78" s="100">
        <v>4.8600000000000003</v>
      </c>
      <c r="R78" s="6"/>
      <c r="S78" s="6"/>
      <c r="T78" s="156"/>
      <c r="U78" s="6"/>
    </row>
    <row r="79" spans="1:21" customFormat="1">
      <c r="A79" s="100" t="s">
        <v>403</v>
      </c>
      <c r="B79" s="100">
        <v>6.98</v>
      </c>
      <c r="C79" s="100">
        <v>47.52</v>
      </c>
      <c r="D79" s="100">
        <v>31.77</v>
      </c>
      <c r="E79" s="100">
        <v>5.87</v>
      </c>
      <c r="F79" s="100">
        <v>4.97</v>
      </c>
      <c r="G79" s="100">
        <v>9.6300000000000008</v>
      </c>
      <c r="H79" s="100">
        <v>6.82</v>
      </c>
      <c r="I79" s="100">
        <v>1.59</v>
      </c>
      <c r="J79" s="100">
        <v>0.44</v>
      </c>
      <c r="K79" s="100">
        <v>253.23</v>
      </c>
      <c r="L79" s="100">
        <v>30.67</v>
      </c>
      <c r="M79" s="100">
        <v>49.31</v>
      </c>
      <c r="N79" s="100">
        <v>32.799999999999997</v>
      </c>
      <c r="O79" s="100">
        <v>0</v>
      </c>
      <c r="P79" s="100">
        <v>0.34</v>
      </c>
      <c r="Q79" s="100">
        <v>4.62</v>
      </c>
      <c r="R79" s="6"/>
      <c r="S79" s="6"/>
      <c r="T79" s="156"/>
      <c r="U79" s="6"/>
    </row>
    <row r="80" spans="1:21" customFormat="1">
      <c r="A80" s="100" t="s">
        <v>404</v>
      </c>
      <c r="B80" s="100">
        <v>7.32</v>
      </c>
      <c r="C80" s="100">
        <v>46.66</v>
      </c>
      <c r="D80" s="100">
        <v>31.6</v>
      </c>
      <c r="E80" s="100">
        <v>6.13</v>
      </c>
      <c r="F80" s="100">
        <v>5.77</v>
      </c>
      <c r="G80" s="100">
        <v>9.6300000000000008</v>
      </c>
      <c r="H80" s="100">
        <v>6.82</v>
      </c>
      <c r="I80" s="100">
        <v>1.64</v>
      </c>
      <c r="J80" s="100">
        <v>0.14000000000000001</v>
      </c>
      <c r="K80" s="100">
        <v>328.08</v>
      </c>
      <c r="L80" s="100">
        <v>30.19</v>
      </c>
      <c r="M80" s="100">
        <v>50.27</v>
      </c>
      <c r="N80" s="100">
        <v>17.5</v>
      </c>
      <c r="O80" s="100">
        <v>0</v>
      </c>
      <c r="P80" s="100">
        <v>0.34</v>
      </c>
      <c r="Q80" s="100">
        <v>4.6500000000000004</v>
      </c>
      <c r="R80" s="6"/>
      <c r="S80" s="6"/>
      <c r="T80" s="156"/>
      <c r="U80" s="6"/>
    </row>
    <row r="81" spans="1:21" customFormat="1">
      <c r="A81" s="100" t="s">
        <v>405</v>
      </c>
      <c r="B81" s="100">
        <v>8.27</v>
      </c>
      <c r="C81" s="100">
        <v>49.64</v>
      </c>
      <c r="D81" s="100">
        <v>33.92</v>
      </c>
      <c r="E81" s="100">
        <v>5.45</v>
      </c>
      <c r="F81" s="100">
        <v>4.4400000000000004</v>
      </c>
      <c r="G81" s="100">
        <v>9.6300000000000008</v>
      </c>
      <c r="H81" s="100">
        <v>6.82</v>
      </c>
      <c r="I81" s="100">
        <v>1.75</v>
      </c>
      <c r="J81" s="100">
        <v>0.16</v>
      </c>
      <c r="K81" s="100">
        <v>28.52</v>
      </c>
      <c r="L81" s="100">
        <v>29.83</v>
      </c>
      <c r="M81" s="100">
        <v>53.88</v>
      </c>
      <c r="N81" s="100">
        <v>1.6</v>
      </c>
      <c r="O81" s="100">
        <v>0</v>
      </c>
      <c r="P81" s="100">
        <v>0.37</v>
      </c>
      <c r="Q81" s="100">
        <v>4.6399999999999997</v>
      </c>
      <c r="R81" s="6"/>
      <c r="S81" s="6"/>
      <c r="T81" s="156"/>
      <c r="U81" s="6"/>
    </row>
    <row r="82" spans="1:21" customFormat="1">
      <c r="A82" s="100" t="s">
        <v>406</v>
      </c>
      <c r="B82" s="100">
        <v>9.82</v>
      </c>
      <c r="C82" s="100">
        <v>50.65</v>
      </c>
      <c r="D82" s="100">
        <v>35.69</v>
      </c>
      <c r="E82" s="100">
        <v>5.6</v>
      </c>
      <c r="F82" s="100">
        <v>4.13</v>
      </c>
      <c r="G82" s="100">
        <v>13.44</v>
      </c>
      <c r="H82" s="100">
        <v>6.67</v>
      </c>
      <c r="I82" s="100">
        <v>1.83</v>
      </c>
      <c r="J82" s="100">
        <v>0.26</v>
      </c>
      <c r="K82" s="100">
        <v>31.04</v>
      </c>
      <c r="L82" s="100">
        <v>29.47</v>
      </c>
      <c r="M82" s="100">
        <v>52.69</v>
      </c>
      <c r="N82" s="100">
        <v>0</v>
      </c>
      <c r="O82" s="100">
        <v>0</v>
      </c>
      <c r="P82" s="100">
        <v>0.39</v>
      </c>
      <c r="Q82" s="100">
        <v>4.75</v>
      </c>
      <c r="R82" s="6"/>
      <c r="S82" s="6"/>
      <c r="T82" s="156"/>
      <c r="U82" s="6"/>
    </row>
    <row r="83" spans="1:21" customFormat="1">
      <c r="A83" s="100" t="s">
        <v>407</v>
      </c>
      <c r="B83" s="100">
        <v>11.86</v>
      </c>
      <c r="C83" s="100">
        <v>52.48</v>
      </c>
      <c r="D83" s="100">
        <v>38.28</v>
      </c>
      <c r="E83" s="100">
        <v>5.98</v>
      </c>
      <c r="F83" s="100">
        <v>4.17</v>
      </c>
      <c r="G83" s="100">
        <v>20.010000000000002</v>
      </c>
      <c r="H83" s="100">
        <v>6.22</v>
      </c>
      <c r="I83" s="100">
        <v>1.98</v>
      </c>
      <c r="J83" s="100">
        <v>0.47</v>
      </c>
      <c r="K83" s="100">
        <v>54.7</v>
      </c>
      <c r="L83" s="100">
        <v>29.34</v>
      </c>
      <c r="M83" s="100">
        <v>53.1</v>
      </c>
      <c r="N83" s="100">
        <v>0</v>
      </c>
      <c r="O83" s="100">
        <v>0</v>
      </c>
      <c r="P83" s="100">
        <v>0.42</v>
      </c>
      <c r="Q83" s="100">
        <v>4.97</v>
      </c>
      <c r="R83" s="6"/>
      <c r="S83" s="6"/>
      <c r="T83" s="156"/>
      <c r="U83" s="6"/>
    </row>
    <row r="84" spans="1:21" customFormat="1">
      <c r="A84" s="100" t="s">
        <v>408</v>
      </c>
      <c r="B84" s="100">
        <v>13.74</v>
      </c>
      <c r="C84" s="100">
        <v>54.36</v>
      </c>
      <c r="D84" s="100">
        <v>40.770000000000003</v>
      </c>
      <c r="E84" s="100">
        <v>5.49</v>
      </c>
      <c r="F84" s="100">
        <v>4.6399999999999997</v>
      </c>
      <c r="G84" s="100">
        <v>20.010000000000002</v>
      </c>
      <c r="H84" s="100">
        <v>6.22</v>
      </c>
      <c r="I84" s="100">
        <v>2.16</v>
      </c>
      <c r="J84" s="100">
        <v>0.81</v>
      </c>
      <c r="K84" s="100">
        <v>43.04</v>
      </c>
      <c r="L84" s="100">
        <v>29.03</v>
      </c>
      <c r="M84" s="100">
        <v>56.61</v>
      </c>
      <c r="N84" s="100">
        <v>0</v>
      </c>
      <c r="O84" s="100">
        <v>0</v>
      </c>
      <c r="P84" s="100">
        <v>0.46</v>
      </c>
      <c r="Q84" s="100">
        <v>5.17</v>
      </c>
      <c r="R84" s="6"/>
      <c r="S84" s="6"/>
      <c r="T84" s="156"/>
      <c r="U84" s="6"/>
    </row>
    <row r="85" spans="1:21" customFormat="1">
      <c r="A85" s="100" t="s">
        <v>409</v>
      </c>
      <c r="B85" s="100">
        <v>15.04</v>
      </c>
      <c r="C85" s="100">
        <v>53.35</v>
      </c>
      <c r="D85" s="100">
        <v>41.29</v>
      </c>
      <c r="E85" s="100">
        <v>6.12</v>
      </c>
      <c r="F85" s="100">
        <v>6.09</v>
      </c>
      <c r="G85" s="100">
        <v>20.010000000000002</v>
      </c>
      <c r="H85" s="100">
        <v>6.22</v>
      </c>
      <c r="I85" s="100">
        <v>2.35</v>
      </c>
      <c r="J85" s="100">
        <v>1.1299999999999999</v>
      </c>
      <c r="K85" s="100">
        <v>31.82</v>
      </c>
      <c r="L85" s="100">
        <v>27.67</v>
      </c>
      <c r="M85" s="100">
        <v>68.81</v>
      </c>
      <c r="N85" s="100">
        <v>0</v>
      </c>
      <c r="O85" s="100">
        <v>0</v>
      </c>
      <c r="P85" s="100">
        <v>0.46</v>
      </c>
      <c r="Q85" s="100">
        <v>5.24</v>
      </c>
      <c r="R85" s="6"/>
      <c r="S85" s="6"/>
      <c r="T85" s="156"/>
      <c r="U85" s="6"/>
    </row>
    <row r="86" spans="1:21" customFormat="1">
      <c r="A86" s="100" t="s">
        <v>410</v>
      </c>
      <c r="B86" s="100">
        <v>15.22</v>
      </c>
      <c r="C86" s="100">
        <v>54.72</v>
      </c>
      <c r="D86" s="100">
        <v>42.14</v>
      </c>
      <c r="E86" s="100">
        <v>6.78</v>
      </c>
      <c r="F86" s="100">
        <v>5.72</v>
      </c>
      <c r="G86" s="100">
        <v>25.52</v>
      </c>
      <c r="H86" s="100">
        <v>8.9499999999999993</v>
      </c>
      <c r="I86" s="100">
        <v>2.67</v>
      </c>
      <c r="J86" s="100">
        <v>1.36</v>
      </c>
      <c r="K86" s="100">
        <v>44.59</v>
      </c>
      <c r="L86" s="100">
        <v>27.17</v>
      </c>
      <c r="M86" s="100">
        <v>71.489999999999995</v>
      </c>
      <c r="N86" s="100">
        <v>0</v>
      </c>
      <c r="O86" s="100">
        <v>0</v>
      </c>
      <c r="P86" s="100">
        <v>0.48</v>
      </c>
      <c r="Q86" s="100">
        <v>5.35</v>
      </c>
      <c r="R86" s="6"/>
      <c r="S86" s="6"/>
      <c r="T86" s="156"/>
      <c r="U86" s="6"/>
    </row>
    <row r="87" spans="1:21" customFormat="1">
      <c r="A87" s="100" t="s">
        <v>411</v>
      </c>
      <c r="B87" s="100">
        <v>15.25</v>
      </c>
      <c r="C87" s="100">
        <v>56.05</v>
      </c>
      <c r="D87" s="100">
        <v>42.87</v>
      </c>
      <c r="E87" s="100">
        <v>6.63</v>
      </c>
      <c r="F87" s="100">
        <v>4.91</v>
      </c>
      <c r="G87" s="100">
        <v>35.03</v>
      </c>
      <c r="H87" s="100">
        <v>11.77</v>
      </c>
      <c r="I87" s="100">
        <v>2.73</v>
      </c>
      <c r="J87" s="100">
        <v>1.08</v>
      </c>
      <c r="K87" s="100">
        <v>40.03</v>
      </c>
      <c r="L87" s="100">
        <v>26.97</v>
      </c>
      <c r="M87" s="100">
        <v>72.56</v>
      </c>
      <c r="N87" s="100">
        <v>0</v>
      </c>
      <c r="O87" s="100">
        <v>0</v>
      </c>
      <c r="P87" s="100">
        <v>0.49</v>
      </c>
      <c r="Q87" s="100">
        <v>5.42</v>
      </c>
      <c r="R87" s="6"/>
      <c r="S87" s="6"/>
      <c r="T87" s="156"/>
      <c r="U87" s="6"/>
    </row>
    <row r="88" spans="1:21" customFormat="1">
      <c r="A88" s="100" t="s">
        <v>412</v>
      </c>
      <c r="B88" s="100">
        <v>15.39</v>
      </c>
      <c r="C88" s="100">
        <v>54.01</v>
      </c>
      <c r="D88" s="100">
        <v>41.91</v>
      </c>
      <c r="E88" s="100">
        <v>6.4</v>
      </c>
      <c r="F88" s="100">
        <v>4.82</v>
      </c>
      <c r="G88" s="100">
        <v>35.03</v>
      </c>
      <c r="H88" s="100">
        <v>11.77</v>
      </c>
      <c r="I88" s="100">
        <v>2.79</v>
      </c>
      <c r="J88" s="100">
        <v>1.1100000000000001</v>
      </c>
      <c r="K88" s="100">
        <v>50.65</v>
      </c>
      <c r="L88" s="100">
        <v>26.82</v>
      </c>
      <c r="M88" s="100">
        <v>73.14</v>
      </c>
      <c r="N88" s="100">
        <v>0</v>
      </c>
      <c r="O88" s="100">
        <v>0</v>
      </c>
      <c r="P88" s="100">
        <v>0.5</v>
      </c>
      <c r="Q88" s="100">
        <v>5.34</v>
      </c>
      <c r="R88" s="6"/>
      <c r="S88" s="6"/>
      <c r="T88" s="156"/>
      <c r="U88" s="6"/>
    </row>
    <row r="89" spans="1:21" customFormat="1">
      <c r="A89" s="100" t="s">
        <v>413</v>
      </c>
      <c r="B89" s="100">
        <v>15.88</v>
      </c>
      <c r="C89" s="100">
        <v>49.58</v>
      </c>
      <c r="D89" s="100">
        <v>39.99</v>
      </c>
      <c r="E89" s="100">
        <v>6.51</v>
      </c>
      <c r="F89" s="100">
        <v>5.79</v>
      </c>
      <c r="G89" s="100">
        <v>35.03</v>
      </c>
      <c r="H89" s="100">
        <v>11.77</v>
      </c>
      <c r="I89" s="100">
        <v>2.92</v>
      </c>
      <c r="J89" s="100">
        <v>1.31</v>
      </c>
      <c r="K89" s="100">
        <v>58.45</v>
      </c>
      <c r="L89" s="100">
        <v>26.7</v>
      </c>
      <c r="M89" s="100">
        <v>73.709999999999994</v>
      </c>
      <c r="N89" s="100">
        <v>0</v>
      </c>
      <c r="O89" s="100">
        <v>0</v>
      </c>
      <c r="P89" s="100">
        <v>0.49</v>
      </c>
      <c r="Q89" s="100">
        <v>5.26</v>
      </c>
      <c r="R89" s="6"/>
      <c r="S89" s="6"/>
      <c r="T89" s="156"/>
      <c r="U89" s="6"/>
    </row>
    <row r="90" spans="1:21" customFormat="1">
      <c r="A90" s="100" t="s">
        <v>414</v>
      </c>
      <c r="B90" s="100">
        <v>16.09</v>
      </c>
      <c r="C90" s="100">
        <v>45.23</v>
      </c>
      <c r="D90" s="100">
        <v>37.880000000000003</v>
      </c>
      <c r="E90" s="100">
        <v>6.52</v>
      </c>
      <c r="F90" s="100">
        <v>7.68</v>
      </c>
      <c r="G90" s="100">
        <v>37.72</v>
      </c>
      <c r="H90" s="100">
        <v>12.2</v>
      </c>
      <c r="I90" s="100">
        <v>2.99</v>
      </c>
      <c r="J90" s="100">
        <v>0.68</v>
      </c>
      <c r="K90" s="100">
        <v>73.5</v>
      </c>
      <c r="L90" s="100">
        <v>26.7</v>
      </c>
      <c r="M90" s="100">
        <v>73.900000000000006</v>
      </c>
      <c r="N90" s="100">
        <v>0</v>
      </c>
      <c r="O90" s="100">
        <v>0</v>
      </c>
      <c r="P90" s="100">
        <v>0.47</v>
      </c>
      <c r="Q90" s="100">
        <v>5.07</v>
      </c>
      <c r="R90" s="6"/>
      <c r="S90" s="6"/>
      <c r="T90" s="156"/>
      <c r="U90" s="6"/>
    </row>
    <row r="91" spans="1:21" customFormat="1">
      <c r="A91" s="100" t="s">
        <v>415</v>
      </c>
      <c r="B91" s="100">
        <v>16.829999999999998</v>
      </c>
      <c r="C91" s="100">
        <v>48.74</v>
      </c>
      <c r="D91" s="100">
        <v>40.31</v>
      </c>
      <c r="E91" s="100">
        <v>6.56</v>
      </c>
      <c r="F91" s="100">
        <v>5.0999999999999996</v>
      </c>
      <c r="G91" s="100">
        <v>42.38</v>
      </c>
      <c r="H91" s="100">
        <v>12.65</v>
      </c>
      <c r="I91" s="100">
        <v>3.01</v>
      </c>
      <c r="J91" s="100">
        <v>0.91</v>
      </c>
      <c r="K91" s="100">
        <v>43.48</v>
      </c>
      <c r="L91" s="100">
        <v>26.33</v>
      </c>
      <c r="M91" s="100">
        <v>78.39</v>
      </c>
      <c r="N91" s="100">
        <v>0</v>
      </c>
      <c r="O91" s="100">
        <v>0</v>
      </c>
      <c r="P91" s="100">
        <v>0.5</v>
      </c>
      <c r="Q91" s="100">
        <v>5.12</v>
      </c>
      <c r="R91" s="6"/>
      <c r="S91" s="6"/>
      <c r="T91" s="156"/>
      <c r="U91" s="6"/>
    </row>
    <row r="92" spans="1:21" customFormat="1">
      <c r="A92" s="100" t="s">
        <v>416</v>
      </c>
      <c r="B92" s="100">
        <v>17.579999999999998</v>
      </c>
      <c r="C92" s="100">
        <v>46.15</v>
      </c>
      <c r="D92" s="100">
        <v>39.56</v>
      </c>
      <c r="E92" s="100">
        <v>6.63</v>
      </c>
      <c r="F92" s="100">
        <v>6.81</v>
      </c>
      <c r="G92" s="100">
        <v>42.38</v>
      </c>
      <c r="H92" s="100">
        <v>12.65</v>
      </c>
      <c r="I92" s="100">
        <v>2.99</v>
      </c>
      <c r="J92" s="100">
        <v>1.41</v>
      </c>
      <c r="K92" s="100">
        <v>27.08</v>
      </c>
      <c r="L92" s="100">
        <v>24.03</v>
      </c>
      <c r="M92" s="100">
        <v>88.72</v>
      </c>
      <c r="N92" s="100">
        <v>0</v>
      </c>
      <c r="O92" s="100">
        <v>0</v>
      </c>
      <c r="P92" s="100">
        <v>0.48</v>
      </c>
      <c r="Q92" s="100">
        <v>5.18</v>
      </c>
      <c r="R92" s="6"/>
      <c r="S92" s="6"/>
      <c r="T92" s="156"/>
      <c r="U92" s="6"/>
    </row>
    <row r="93" spans="1:21" customFormat="1">
      <c r="A93" s="100" t="s">
        <v>417</v>
      </c>
      <c r="B93" s="100">
        <v>17.95</v>
      </c>
      <c r="C93" s="100">
        <v>49.17</v>
      </c>
      <c r="D93" s="100">
        <v>41.43</v>
      </c>
      <c r="E93" s="100">
        <v>6.42</v>
      </c>
      <c r="F93" s="100">
        <v>4.53</v>
      </c>
      <c r="G93" s="100">
        <v>42.38</v>
      </c>
      <c r="H93" s="100">
        <v>12.65</v>
      </c>
      <c r="I93" s="100">
        <v>3.18</v>
      </c>
      <c r="J93" s="100">
        <v>1.1299999999999999</v>
      </c>
      <c r="K93" s="100">
        <v>45.95</v>
      </c>
      <c r="L93" s="100">
        <v>23.38</v>
      </c>
      <c r="M93" s="100">
        <v>91.66</v>
      </c>
      <c r="N93" s="100">
        <v>0</v>
      </c>
      <c r="O93" s="100">
        <v>0</v>
      </c>
      <c r="P93" s="100">
        <v>0.49</v>
      </c>
      <c r="Q93" s="100">
        <v>5.17</v>
      </c>
      <c r="R93" s="6"/>
      <c r="S93" s="6"/>
      <c r="T93" s="156"/>
      <c r="U93" s="6"/>
    </row>
    <row r="94" spans="1:21" customFormat="1">
      <c r="A94" s="100" t="s">
        <v>418</v>
      </c>
      <c r="B94" s="100">
        <v>18.48</v>
      </c>
      <c r="C94" s="100">
        <v>46.75</v>
      </c>
      <c r="D94" s="100">
        <v>40.6</v>
      </c>
      <c r="E94" s="100">
        <v>6.9</v>
      </c>
      <c r="F94" s="100">
        <v>5.39</v>
      </c>
      <c r="G94" s="100">
        <v>39.47</v>
      </c>
      <c r="H94" s="100">
        <v>12.35</v>
      </c>
      <c r="I94" s="100">
        <v>3.09</v>
      </c>
      <c r="J94" s="100">
        <v>0.72</v>
      </c>
      <c r="K94" s="100">
        <v>18.02</v>
      </c>
      <c r="L94" s="100">
        <v>23.33</v>
      </c>
      <c r="M94" s="100">
        <v>90.08</v>
      </c>
      <c r="N94" s="100">
        <v>0</v>
      </c>
      <c r="O94" s="100">
        <v>0</v>
      </c>
      <c r="P94" s="100">
        <v>0.48</v>
      </c>
      <c r="Q94" s="100">
        <v>5.21</v>
      </c>
      <c r="R94" s="6"/>
      <c r="S94" s="6"/>
      <c r="T94" s="156"/>
      <c r="U94" s="6"/>
    </row>
    <row r="95" spans="1:21" customFormat="1">
      <c r="A95" s="100" t="s">
        <v>419</v>
      </c>
      <c r="B95" s="100">
        <v>19.010000000000002</v>
      </c>
      <c r="C95" s="100">
        <v>48.69</v>
      </c>
      <c r="D95" s="100">
        <v>42.04</v>
      </c>
      <c r="E95" s="100">
        <v>6.55</v>
      </c>
      <c r="F95" s="100">
        <v>4.4800000000000004</v>
      </c>
      <c r="G95" s="100">
        <v>34.44</v>
      </c>
      <c r="H95" s="100">
        <v>12.05</v>
      </c>
      <c r="I95" s="100">
        <v>3.17</v>
      </c>
      <c r="J95" s="100">
        <v>0.9</v>
      </c>
      <c r="K95" s="100">
        <v>315.08999999999997</v>
      </c>
      <c r="L95" s="100">
        <v>23.34</v>
      </c>
      <c r="M95" s="100">
        <v>89.46</v>
      </c>
      <c r="N95" s="100">
        <v>0</v>
      </c>
      <c r="O95" s="100">
        <v>0</v>
      </c>
      <c r="P95" s="100">
        <v>0.49</v>
      </c>
      <c r="Q95" s="100">
        <v>5.25</v>
      </c>
      <c r="R95" s="6"/>
      <c r="S95" s="6"/>
      <c r="T95" s="156"/>
      <c r="U95" s="6"/>
    </row>
    <row r="96" spans="1:21" customFormat="1">
      <c r="A96" s="100" t="s">
        <v>420</v>
      </c>
      <c r="B96" s="100">
        <v>19.75</v>
      </c>
      <c r="C96" s="100">
        <v>48.73</v>
      </c>
      <c r="D96" s="100">
        <v>42.65</v>
      </c>
      <c r="E96" s="100">
        <v>6.62</v>
      </c>
      <c r="F96" s="100">
        <v>4.3899999999999997</v>
      </c>
      <c r="G96" s="100">
        <v>34.44</v>
      </c>
      <c r="H96" s="100">
        <v>12.05</v>
      </c>
      <c r="I96" s="100">
        <v>3.07</v>
      </c>
      <c r="J96" s="100">
        <v>0.6</v>
      </c>
      <c r="K96" s="100">
        <v>320.23</v>
      </c>
      <c r="L96" s="100">
        <v>22.96</v>
      </c>
      <c r="M96" s="100">
        <v>89.85</v>
      </c>
      <c r="N96" s="100">
        <v>0</v>
      </c>
      <c r="O96" s="100">
        <v>0</v>
      </c>
      <c r="P96" s="100">
        <v>0.47</v>
      </c>
      <c r="Q96" s="100">
        <v>5.28</v>
      </c>
      <c r="R96" s="6"/>
      <c r="S96" s="6"/>
      <c r="T96" s="156"/>
      <c r="U96" s="6"/>
    </row>
    <row r="97" spans="1:28" customFormat="1">
      <c r="A97" s="100" t="s">
        <v>421</v>
      </c>
      <c r="B97" s="100">
        <v>20.170000000000002</v>
      </c>
      <c r="C97" s="100">
        <v>49.64</v>
      </c>
      <c r="D97" s="100">
        <v>43.46</v>
      </c>
      <c r="E97" s="100">
        <v>6.47</v>
      </c>
      <c r="F97" s="100">
        <v>3.92</v>
      </c>
      <c r="G97" s="100">
        <v>34.44</v>
      </c>
      <c r="H97" s="100">
        <v>12.05</v>
      </c>
      <c r="I97" s="100">
        <v>3.25</v>
      </c>
      <c r="J97" s="100">
        <v>0.62</v>
      </c>
      <c r="K97" s="100">
        <v>246.67</v>
      </c>
      <c r="L97" s="100">
        <v>22.74</v>
      </c>
      <c r="M97" s="100">
        <v>91.67</v>
      </c>
      <c r="N97" s="100">
        <v>0</v>
      </c>
      <c r="O97" s="100">
        <v>0</v>
      </c>
      <c r="P97" s="100">
        <v>0.5</v>
      </c>
      <c r="Q97" s="100">
        <v>5.26</v>
      </c>
      <c r="R97" s="6"/>
      <c r="S97" s="6"/>
      <c r="T97" s="156"/>
      <c r="U97" s="6"/>
    </row>
    <row r="98" spans="1:28" customFormat="1">
      <c r="A98" s="100" t="s">
        <v>422</v>
      </c>
      <c r="B98" s="100">
        <v>20.57</v>
      </c>
      <c r="C98" s="100">
        <v>49.46</v>
      </c>
      <c r="D98" s="100">
        <v>43.69</v>
      </c>
      <c r="E98" s="100">
        <v>6.77</v>
      </c>
      <c r="F98" s="100">
        <v>3.9</v>
      </c>
      <c r="G98" s="100">
        <v>31.64</v>
      </c>
      <c r="H98" s="100">
        <v>10.89</v>
      </c>
      <c r="I98" s="100">
        <v>3.18</v>
      </c>
      <c r="J98" s="100">
        <v>1.39</v>
      </c>
      <c r="K98" s="100">
        <v>292.70999999999998</v>
      </c>
      <c r="L98" s="100">
        <v>20.84</v>
      </c>
      <c r="M98" s="100">
        <v>96.97</v>
      </c>
      <c r="N98" s="100">
        <v>0</v>
      </c>
      <c r="O98" s="100">
        <v>0</v>
      </c>
      <c r="P98" s="100">
        <v>0.49</v>
      </c>
      <c r="Q98" s="100">
        <v>5.32</v>
      </c>
      <c r="R98" s="6"/>
      <c r="S98" s="6"/>
      <c r="T98" s="156"/>
      <c r="U98" s="6"/>
    </row>
    <row r="99" spans="1:28" customFormat="1">
      <c r="A99" s="100" t="s">
        <v>423</v>
      </c>
      <c r="B99" s="100">
        <v>20.66</v>
      </c>
      <c r="C99" s="100">
        <v>50.18</v>
      </c>
      <c r="D99" s="100">
        <v>44.14</v>
      </c>
      <c r="E99" s="100">
        <v>7.05</v>
      </c>
      <c r="F99" s="100">
        <v>3.72</v>
      </c>
      <c r="G99" s="100">
        <v>26.82</v>
      </c>
      <c r="H99" s="100">
        <v>9.69</v>
      </c>
      <c r="I99" s="100">
        <v>3.27</v>
      </c>
      <c r="J99" s="100">
        <v>0.45</v>
      </c>
      <c r="K99" s="100">
        <v>236.04</v>
      </c>
      <c r="L99" s="100">
        <v>20.83</v>
      </c>
      <c r="M99" s="100">
        <v>98.52</v>
      </c>
      <c r="N99" s="100">
        <v>0</v>
      </c>
      <c r="O99" s="100">
        <v>0</v>
      </c>
      <c r="P99" s="100">
        <v>0.51</v>
      </c>
      <c r="Q99" s="100">
        <v>5.35</v>
      </c>
      <c r="R99" s="6"/>
      <c r="S99" s="6"/>
      <c r="T99" s="156"/>
      <c r="U99" s="6"/>
    </row>
    <row r="100" spans="1:28" customFormat="1">
      <c r="A100" s="100" t="s">
        <v>424</v>
      </c>
      <c r="B100" s="100">
        <v>20.78</v>
      </c>
      <c r="C100" s="100">
        <v>49.07</v>
      </c>
      <c r="D100" s="100">
        <v>43.65</v>
      </c>
      <c r="E100" s="100">
        <v>7.5</v>
      </c>
      <c r="F100" s="100">
        <v>4.17</v>
      </c>
      <c r="G100" s="100">
        <v>26.82</v>
      </c>
      <c r="H100" s="100">
        <v>9.69</v>
      </c>
      <c r="I100" s="100">
        <v>3.21</v>
      </c>
      <c r="J100" s="100">
        <v>0.18</v>
      </c>
      <c r="K100" s="100">
        <v>114.13</v>
      </c>
      <c r="L100" s="100">
        <v>21.14</v>
      </c>
      <c r="M100" s="100">
        <v>99.6</v>
      </c>
      <c r="N100" s="100">
        <v>0</v>
      </c>
      <c r="O100" s="100">
        <v>0</v>
      </c>
      <c r="P100" s="100">
        <v>0.49</v>
      </c>
      <c r="Q100" s="100">
        <v>5.31</v>
      </c>
      <c r="R100" s="6"/>
      <c r="S100" s="6"/>
      <c r="T100" s="156"/>
      <c r="U100" s="6"/>
      <c r="AB100" s="161"/>
    </row>
    <row r="101" spans="1:28" customFormat="1">
      <c r="A101" s="100" t="s">
        <v>425</v>
      </c>
      <c r="B101" s="100">
        <v>20.61</v>
      </c>
      <c r="C101" s="100">
        <v>49.46</v>
      </c>
      <c r="D101" s="100">
        <v>43.72</v>
      </c>
      <c r="E101" s="100">
        <v>6.9</v>
      </c>
      <c r="F101" s="100">
        <v>3.84</v>
      </c>
      <c r="G101" s="100">
        <v>26.82</v>
      </c>
      <c r="H101" s="100">
        <v>9.69</v>
      </c>
      <c r="I101" s="100">
        <v>3.27</v>
      </c>
      <c r="J101" s="100">
        <v>0.21</v>
      </c>
      <c r="K101" s="100">
        <v>204.4</v>
      </c>
      <c r="L101" s="100">
        <v>21.13</v>
      </c>
      <c r="M101" s="100">
        <v>100.27</v>
      </c>
      <c r="N101" s="100">
        <v>0</v>
      </c>
      <c r="O101" s="100">
        <v>0</v>
      </c>
      <c r="P101" s="100">
        <v>0.49</v>
      </c>
      <c r="Q101" s="100">
        <v>5.3</v>
      </c>
      <c r="R101" s="6"/>
      <c r="S101" s="6"/>
      <c r="T101" s="156"/>
      <c r="U101" s="6"/>
    </row>
    <row r="102" spans="1:28" customFormat="1">
      <c r="A102" s="100" t="s">
        <v>426</v>
      </c>
      <c r="B102" s="100">
        <v>20.68</v>
      </c>
      <c r="C102" s="100">
        <v>49.68</v>
      </c>
      <c r="D102" s="100">
        <v>43.89</v>
      </c>
      <c r="E102" s="100">
        <v>7.47</v>
      </c>
      <c r="F102" s="100">
        <v>3.63</v>
      </c>
      <c r="G102" s="100">
        <v>24.05</v>
      </c>
      <c r="H102" s="100">
        <v>8.76</v>
      </c>
      <c r="I102" s="100">
        <v>3.17</v>
      </c>
      <c r="J102" s="100">
        <v>0.43</v>
      </c>
      <c r="K102" s="100">
        <v>92.34</v>
      </c>
      <c r="L102" s="100">
        <v>21.15</v>
      </c>
      <c r="M102" s="100">
        <v>98.03</v>
      </c>
      <c r="N102" s="100">
        <v>0</v>
      </c>
      <c r="O102" s="100">
        <v>0</v>
      </c>
      <c r="P102" s="100">
        <v>0.48</v>
      </c>
      <c r="Q102" s="100">
        <v>5.38</v>
      </c>
      <c r="R102" s="6"/>
      <c r="S102" s="6"/>
      <c r="T102" s="156"/>
      <c r="U102" s="6"/>
    </row>
    <row r="103" spans="1:28" customFormat="1">
      <c r="A103" s="100" t="s">
        <v>427</v>
      </c>
      <c r="B103" s="100">
        <v>20.29</v>
      </c>
      <c r="C103" s="100">
        <v>49.75</v>
      </c>
      <c r="D103" s="100">
        <v>43.62</v>
      </c>
      <c r="E103" s="100">
        <v>7.23</v>
      </c>
      <c r="F103" s="100">
        <v>3.72</v>
      </c>
      <c r="G103" s="100">
        <v>19.27</v>
      </c>
      <c r="H103" s="100">
        <v>7.8</v>
      </c>
      <c r="I103" s="100">
        <v>3.2</v>
      </c>
      <c r="J103" s="100">
        <v>0.77</v>
      </c>
      <c r="K103" s="100">
        <v>90.52</v>
      </c>
      <c r="L103" s="100">
        <v>20.93</v>
      </c>
      <c r="M103" s="100">
        <v>98.15</v>
      </c>
      <c r="N103" s="100">
        <v>0</v>
      </c>
      <c r="O103" s="100">
        <v>0</v>
      </c>
      <c r="P103" s="100">
        <v>0.49</v>
      </c>
      <c r="Q103" s="100">
        <v>5.36</v>
      </c>
      <c r="R103" s="6"/>
      <c r="S103" s="6"/>
      <c r="T103" s="156"/>
      <c r="U103" s="6"/>
    </row>
    <row r="104" spans="1:28" customFormat="1">
      <c r="A104" s="100" t="s">
        <v>428</v>
      </c>
      <c r="B104" s="100">
        <v>19.78</v>
      </c>
      <c r="C104" s="100">
        <v>48.09</v>
      </c>
      <c r="D104" s="100">
        <v>42.34</v>
      </c>
      <c r="E104" s="100">
        <v>7.37</v>
      </c>
      <c r="F104" s="100">
        <v>4.0999999999999996</v>
      </c>
      <c r="G104" s="100">
        <v>19.27</v>
      </c>
      <c r="H104" s="100">
        <v>7.8</v>
      </c>
      <c r="I104" s="100">
        <v>3.12</v>
      </c>
      <c r="J104" s="100">
        <v>0.45</v>
      </c>
      <c r="K104" s="100">
        <v>87.63</v>
      </c>
      <c r="L104" s="100">
        <v>20.37</v>
      </c>
      <c r="M104" s="100">
        <v>98.29</v>
      </c>
      <c r="N104" s="100">
        <v>0</v>
      </c>
      <c r="O104" s="100">
        <v>0</v>
      </c>
      <c r="P104" s="100">
        <v>0.45</v>
      </c>
      <c r="Q104" s="100">
        <v>5.26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2.3199999999999998</v>
      </c>
      <c r="C106" s="158">
        <f>MIN(C9:C104)</f>
        <v>11.9</v>
      </c>
      <c r="D106" s="158">
        <f t="shared" ref="D106:Q106" si="0">MIN(D9:D104)</f>
        <v>9.52</v>
      </c>
      <c r="E106" s="158">
        <f t="shared" si="0"/>
        <v>4.67</v>
      </c>
      <c r="F106" s="158">
        <f t="shared" si="0"/>
        <v>3.31</v>
      </c>
      <c r="G106" s="158">
        <f t="shared" si="0"/>
        <v>9.6300000000000008</v>
      </c>
      <c r="H106" s="158">
        <f t="shared" si="0"/>
        <v>4.51</v>
      </c>
      <c r="I106" s="158">
        <f t="shared" si="0"/>
        <v>0.61</v>
      </c>
      <c r="J106" s="158">
        <f t="shared" si="0"/>
        <v>0.01</v>
      </c>
      <c r="K106" s="158">
        <f t="shared" si="0"/>
        <v>4.1900000000000004</v>
      </c>
      <c r="L106" s="158">
        <f t="shared" si="0"/>
        <v>20.37</v>
      </c>
      <c r="M106" s="158">
        <f t="shared" si="0"/>
        <v>43.49</v>
      </c>
      <c r="N106" s="158">
        <f t="shared" si="0"/>
        <v>0</v>
      </c>
      <c r="O106" s="158">
        <f t="shared" si="0"/>
        <v>0</v>
      </c>
      <c r="P106" s="158">
        <f t="shared" si="0"/>
        <v>0.27</v>
      </c>
      <c r="Q106" s="158">
        <f t="shared" si="0"/>
        <v>4.62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40.98</v>
      </c>
      <c r="C107" s="157">
        <f t="shared" ref="C107:Q107" si="1">MAX(C9:C104)</f>
        <v>66.38</v>
      </c>
      <c r="D107" s="157">
        <f t="shared" si="1"/>
        <v>66.180000000000007</v>
      </c>
      <c r="E107" s="157">
        <f t="shared" si="1"/>
        <v>8.93</v>
      </c>
      <c r="F107" s="157">
        <f t="shared" si="1"/>
        <v>63.61</v>
      </c>
      <c r="G107" s="157">
        <f t="shared" si="1"/>
        <v>44.22</v>
      </c>
      <c r="H107" s="157">
        <f t="shared" si="1"/>
        <v>14.4</v>
      </c>
      <c r="I107" s="157">
        <f t="shared" si="1"/>
        <v>4.0999999999999996</v>
      </c>
      <c r="J107" s="157">
        <f t="shared" si="1"/>
        <v>2.4900000000000002</v>
      </c>
      <c r="K107" s="157">
        <f t="shared" si="1"/>
        <v>328.08</v>
      </c>
      <c r="L107" s="157">
        <f t="shared" si="1"/>
        <v>33.64</v>
      </c>
      <c r="M107" s="157">
        <f t="shared" si="1"/>
        <v>100.27</v>
      </c>
      <c r="N107" s="157">
        <f t="shared" si="1"/>
        <v>1060.8</v>
      </c>
      <c r="O107" s="157">
        <f t="shared" si="1"/>
        <v>0</v>
      </c>
      <c r="P107" s="157">
        <f t="shared" si="1"/>
        <v>0.51</v>
      </c>
      <c r="Q107" s="157">
        <f t="shared" si="1"/>
        <v>7.12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21.600416666666661</v>
      </c>
      <c r="C108" s="158">
        <f t="shared" ref="C108:Q108" si="2">AVERAGE(C9:C104)</f>
        <v>51.126145833333318</v>
      </c>
      <c r="D108" s="158">
        <f t="shared" si="2"/>
        <v>45.384166666666658</v>
      </c>
      <c r="E108" s="158">
        <f t="shared" si="2"/>
        <v>7.08177083333333</v>
      </c>
      <c r="F108" s="158">
        <f t="shared" si="2"/>
        <v>6.8498958333333322</v>
      </c>
      <c r="G108" s="158">
        <f t="shared" si="2"/>
        <v>22.933958333333361</v>
      </c>
      <c r="H108" s="158">
        <f t="shared" si="2"/>
        <v>7.8015624999999984</v>
      </c>
      <c r="I108" s="158">
        <f t="shared" si="2"/>
        <v>2.9754166666666659</v>
      </c>
      <c r="J108" s="158">
        <f t="shared" si="2"/>
        <v>0.71989583333333329</v>
      </c>
      <c r="K108" s="158">
        <f t="shared" si="2"/>
        <v>124.74354166666667</v>
      </c>
      <c r="L108" s="158">
        <f t="shared" si="2"/>
        <v>25.856874999999999</v>
      </c>
      <c r="M108" s="158">
        <f t="shared" si="2"/>
        <v>73.101770833333362</v>
      </c>
      <c r="N108" s="158">
        <f t="shared" si="2"/>
        <v>222.11666666666665</v>
      </c>
      <c r="O108" s="158">
        <f t="shared" si="2"/>
        <v>0</v>
      </c>
      <c r="P108" s="158">
        <f t="shared" si="2"/>
        <v>0.39447916666666671</v>
      </c>
      <c r="Q108" s="158">
        <f t="shared" si="2"/>
        <v>5.7983333333333347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11.777703459160882</v>
      </c>
      <c r="C109" s="158">
        <f t="shared" ref="C109:Q109" si="3">STDEV(C9:C104)</f>
        <v>11.685882023760367</v>
      </c>
      <c r="D109" s="158">
        <f t="shared" si="3"/>
        <v>14.751188260195187</v>
      </c>
      <c r="E109" s="158">
        <f t="shared" si="3"/>
        <v>1.0932963144273544</v>
      </c>
      <c r="F109" s="158">
        <f t="shared" si="3"/>
        <v>8.5292828716618736</v>
      </c>
      <c r="G109" s="158">
        <f t="shared" si="3"/>
        <v>10.212381492365679</v>
      </c>
      <c r="H109" s="158">
        <f t="shared" si="3"/>
        <v>2.6545767144489907</v>
      </c>
      <c r="I109" s="158">
        <f t="shared" si="3"/>
        <v>0.86638136329602133</v>
      </c>
      <c r="J109" s="158">
        <f t="shared" si="3"/>
        <v>0.5553140311982171</v>
      </c>
      <c r="K109" s="158">
        <f t="shared" si="3"/>
        <v>96.701272587056167</v>
      </c>
      <c r="L109" s="158">
        <f t="shared" si="3"/>
        <v>4.3389085002664469</v>
      </c>
      <c r="M109" s="158">
        <f t="shared" si="3"/>
        <v>17.920226384542087</v>
      </c>
      <c r="N109" s="158">
        <f t="shared" si="3"/>
        <v>313.46032122496166</v>
      </c>
      <c r="O109" s="158">
        <f t="shared" si="3"/>
        <v>0</v>
      </c>
      <c r="P109" s="158">
        <f t="shared" si="3"/>
        <v>6.5852623201024224E-2</v>
      </c>
      <c r="Q109" s="158">
        <f t="shared" si="3"/>
        <v>0.77447526095063723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17"/>
  <sheetViews>
    <sheetView zoomScale="85" zoomScaleNormal="85" workbookViewId="0">
      <pane xSplit="1" ySplit="8" topLeftCell="B66" activePane="bottomRight" state="frozen"/>
      <selection pane="topRight"/>
      <selection pane="bottomLeft"/>
      <selection pane="bottomRight" activeCell="A9" sqref="A9:Q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03/05/2023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429</v>
      </c>
      <c r="B9" s="100">
        <v>19.55</v>
      </c>
      <c r="C9" s="100">
        <v>51.4</v>
      </c>
      <c r="D9" s="100">
        <v>43.89</v>
      </c>
      <c r="E9" s="100">
        <v>6.45</v>
      </c>
      <c r="F9" s="100">
        <v>3.68</v>
      </c>
      <c r="G9" s="100">
        <v>19.27</v>
      </c>
      <c r="H9" s="100">
        <v>7.8</v>
      </c>
      <c r="I9" s="100">
        <v>3.12</v>
      </c>
      <c r="J9" s="100">
        <v>0.41</v>
      </c>
      <c r="K9" s="100">
        <v>96.45</v>
      </c>
      <c r="L9" s="100">
        <v>20.27</v>
      </c>
      <c r="M9" s="100">
        <v>98.49</v>
      </c>
      <c r="N9" s="100">
        <v>0</v>
      </c>
      <c r="O9" s="100">
        <v>0</v>
      </c>
      <c r="P9" s="100">
        <v>0.47</v>
      </c>
      <c r="Q9" s="100">
        <v>5.25</v>
      </c>
      <c r="R9" s="6"/>
      <c r="S9" s="6"/>
      <c r="T9" s="156"/>
      <c r="U9" s="6"/>
    </row>
    <row r="10" spans="1:21" customFormat="1">
      <c r="A10" s="100" t="s">
        <v>430</v>
      </c>
      <c r="B10" s="100">
        <v>19.73</v>
      </c>
      <c r="C10" s="100">
        <v>46.87</v>
      </c>
      <c r="D10" s="100">
        <v>41.66</v>
      </c>
      <c r="E10" s="100">
        <v>6.9</v>
      </c>
      <c r="F10" s="100">
        <v>4.0999999999999996</v>
      </c>
      <c r="G10" s="100">
        <v>17.38</v>
      </c>
      <c r="H10" s="100">
        <v>7.78</v>
      </c>
      <c r="I10" s="100">
        <v>3.05</v>
      </c>
      <c r="J10" s="100">
        <v>0.39</v>
      </c>
      <c r="K10" s="100">
        <v>100.42</v>
      </c>
      <c r="L10" s="100">
        <v>20.32</v>
      </c>
      <c r="M10" s="100">
        <v>98.72</v>
      </c>
      <c r="N10" s="100">
        <v>0</v>
      </c>
      <c r="O10" s="100">
        <v>0</v>
      </c>
      <c r="P10" s="100">
        <v>0.43</v>
      </c>
      <c r="Q10" s="100">
        <v>5.12</v>
      </c>
      <c r="R10" s="6"/>
      <c r="S10" s="6"/>
      <c r="T10" s="156"/>
      <c r="U10" s="6"/>
    </row>
    <row r="11" spans="1:21" customFormat="1">
      <c r="A11" s="100" t="s">
        <v>431</v>
      </c>
      <c r="B11" s="100">
        <v>19.52</v>
      </c>
      <c r="C11" s="100">
        <v>48.93</v>
      </c>
      <c r="D11" s="100">
        <v>42.57</v>
      </c>
      <c r="E11" s="100">
        <v>7.07</v>
      </c>
      <c r="F11" s="100">
        <v>3.67</v>
      </c>
      <c r="G11" s="100">
        <v>14.13</v>
      </c>
      <c r="H11" s="100">
        <v>7.71</v>
      </c>
      <c r="I11" s="100">
        <v>3.04</v>
      </c>
      <c r="J11" s="100">
        <v>0.24</v>
      </c>
      <c r="K11" s="100">
        <v>107.37</v>
      </c>
      <c r="L11" s="100">
        <v>20.47</v>
      </c>
      <c r="M11" s="100">
        <v>98.95</v>
      </c>
      <c r="N11" s="100">
        <v>0</v>
      </c>
      <c r="O11" s="100">
        <v>0</v>
      </c>
      <c r="P11" s="100">
        <v>0.45</v>
      </c>
      <c r="Q11" s="100">
        <v>5.19</v>
      </c>
      <c r="R11" s="6"/>
      <c r="S11" s="6"/>
      <c r="T11" s="156"/>
      <c r="U11" s="6"/>
    </row>
    <row r="12" spans="1:21" customFormat="1">
      <c r="A12" s="100" t="s">
        <v>432</v>
      </c>
      <c r="B12" s="100">
        <v>19.62</v>
      </c>
      <c r="C12" s="100">
        <v>52.39</v>
      </c>
      <c r="D12" s="100">
        <v>44.46</v>
      </c>
      <c r="E12" s="100">
        <v>7.32</v>
      </c>
      <c r="F12" s="100">
        <v>3.62</v>
      </c>
      <c r="G12" s="100">
        <v>14.13</v>
      </c>
      <c r="H12" s="100">
        <v>7.71</v>
      </c>
      <c r="I12" s="100">
        <v>2.92</v>
      </c>
      <c r="J12" s="100">
        <v>0.24</v>
      </c>
      <c r="K12" s="100">
        <v>123.71</v>
      </c>
      <c r="L12" s="100">
        <v>20.440000000000001</v>
      </c>
      <c r="M12" s="100">
        <v>99</v>
      </c>
      <c r="N12" s="100">
        <v>0</v>
      </c>
      <c r="O12" s="100">
        <v>0</v>
      </c>
      <c r="P12" s="100">
        <v>0.45</v>
      </c>
      <c r="Q12" s="100">
        <v>5.39</v>
      </c>
      <c r="R12" s="6"/>
      <c r="S12" s="6"/>
      <c r="T12" s="156"/>
      <c r="U12" s="6"/>
    </row>
    <row r="13" spans="1:21" customFormat="1">
      <c r="A13" s="100" t="s">
        <v>433</v>
      </c>
      <c r="B13" s="100">
        <v>19.399999999999999</v>
      </c>
      <c r="C13" s="100">
        <v>54.05</v>
      </c>
      <c r="D13" s="100">
        <v>45.15</v>
      </c>
      <c r="E13" s="100">
        <v>6.77</v>
      </c>
      <c r="F13" s="100">
        <v>3.88</v>
      </c>
      <c r="G13" s="100">
        <v>14.13</v>
      </c>
      <c r="H13" s="100">
        <v>7.71</v>
      </c>
      <c r="I13" s="100">
        <v>3.06</v>
      </c>
      <c r="J13" s="100">
        <v>0.17</v>
      </c>
      <c r="K13" s="100">
        <v>145.52000000000001</v>
      </c>
      <c r="L13" s="100">
        <v>20.45</v>
      </c>
      <c r="M13" s="100">
        <v>99</v>
      </c>
      <c r="N13" s="100">
        <v>0</v>
      </c>
      <c r="O13" s="100">
        <v>0</v>
      </c>
      <c r="P13" s="100">
        <v>0.46</v>
      </c>
      <c r="Q13" s="100">
        <v>5.47</v>
      </c>
      <c r="R13" s="6"/>
      <c r="S13" s="6"/>
      <c r="T13" s="156"/>
      <c r="U13" s="6"/>
    </row>
    <row r="14" spans="1:21" customFormat="1">
      <c r="A14" s="100" t="s">
        <v>434</v>
      </c>
      <c r="B14" s="100">
        <v>19.190000000000001</v>
      </c>
      <c r="C14" s="100">
        <v>54.29</v>
      </c>
      <c r="D14" s="100">
        <v>45.1</v>
      </c>
      <c r="E14" s="100">
        <v>6.92</v>
      </c>
      <c r="F14" s="100">
        <v>3.86</v>
      </c>
      <c r="G14" s="100">
        <v>12.75</v>
      </c>
      <c r="H14" s="100">
        <v>6.69</v>
      </c>
      <c r="I14" s="100">
        <v>2.98</v>
      </c>
      <c r="J14" s="100">
        <v>0.32</v>
      </c>
      <c r="K14" s="100">
        <v>144.22999999999999</v>
      </c>
      <c r="L14" s="100">
        <v>20.52</v>
      </c>
      <c r="M14" s="100">
        <v>99.03</v>
      </c>
      <c r="N14" s="100">
        <v>0</v>
      </c>
      <c r="O14" s="100">
        <v>0</v>
      </c>
      <c r="P14" s="100">
        <v>0.45</v>
      </c>
      <c r="Q14" s="100">
        <v>5.52</v>
      </c>
      <c r="R14" s="6"/>
      <c r="S14" s="6"/>
      <c r="T14" s="156"/>
      <c r="U14" s="6"/>
    </row>
    <row r="15" spans="1:21" customFormat="1">
      <c r="A15" s="100" t="s">
        <v>435</v>
      </c>
      <c r="B15" s="100">
        <v>19.03</v>
      </c>
      <c r="C15" s="100">
        <v>54.6</v>
      </c>
      <c r="D15" s="100">
        <v>45.14</v>
      </c>
      <c r="E15" s="100">
        <v>6.76</v>
      </c>
      <c r="F15" s="100">
        <v>3.7</v>
      </c>
      <c r="G15" s="100">
        <v>10.38</v>
      </c>
      <c r="H15" s="100">
        <v>5.61</v>
      </c>
      <c r="I15" s="100">
        <v>2.93</v>
      </c>
      <c r="J15" s="100">
        <v>0.24</v>
      </c>
      <c r="K15" s="100">
        <v>151.34</v>
      </c>
      <c r="L15" s="100">
        <v>20.73</v>
      </c>
      <c r="M15" s="100">
        <v>99.05</v>
      </c>
      <c r="N15" s="100">
        <v>0</v>
      </c>
      <c r="O15" s="100">
        <v>0</v>
      </c>
      <c r="P15" s="100">
        <v>0.44</v>
      </c>
      <c r="Q15" s="100">
        <v>5.56</v>
      </c>
      <c r="R15" s="6"/>
      <c r="S15" s="6"/>
      <c r="T15" s="156"/>
      <c r="U15" s="6"/>
    </row>
    <row r="16" spans="1:21" customFormat="1">
      <c r="A16" s="100" t="s">
        <v>436</v>
      </c>
      <c r="B16" s="100">
        <v>18.88</v>
      </c>
      <c r="C16" s="100">
        <v>54.59</v>
      </c>
      <c r="D16" s="100">
        <v>45.01</v>
      </c>
      <c r="E16" s="100">
        <v>6.67</v>
      </c>
      <c r="F16" s="100">
        <v>3.83</v>
      </c>
      <c r="G16" s="100">
        <v>10.38</v>
      </c>
      <c r="H16" s="100">
        <v>5.61</v>
      </c>
      <c r="I16" s="100">
        <v>2.9</v>
      </c>
      <c r="J16" s="100">
        <v>0.38</v>
      </c>
      <c r="K16" s="100">
        <v>251.76</v>
      </c>
      <c r="L16" s="100">
        <v>20.9</v>
      </c>
      <c r="M16" s="100">
        <v>98.97</v>
      </c>
      <c r="N16" s="100">
        <v>0</v>
      </c>
      <c r="O16" s="100">
        <v>0</v>
      </c>
      <c r="P16" s="100">
        <v>0.43</v>
      </c>
      <c r="Q16" s="100">
        <v>5.53</v>
      </c>
      <c r="R16" s="6"/>
      <c r="S16" s="6"/>
      <c r="T16" s="156"/>
      <c r="U16" s="6"/>
    </row>
    <row r="17" spans="1:21" customFormat="1">
      <c r="A17" s="100" t="s">
        <v>437</v>
      </c>
      <c r="B17" s="100">
        <v>18.600000000000001</v>
      </c>
      <c r="C17" s="100">
        <v>54.24</v>
      </c>
      <c r="D17" s="100">
        <v>44.61</v>
      </c>
      <c r="E17" s="100">
        <v>5.3</v>
      </c>
      <c r="F17" s="100">
        <v>4</v>
      </c>
      <c r="G17" s="100">
        <v>10.38</v>
      </c>
      <c r="H17" s="100">
        <v>5.61</v>
      </c>
      <c r="I17" s="100">
        <v>2.81</v>
      </c>
      <c r="J17" s="100">
        <v>1.37</v>
      </c>
      <c r="K17" s="100">
        <v>256.77</v>
      </c>
      <c r="L17" s="100">
        <v>20.54</v>
      </c>
      <c r="M17" s="100">
        <v>98.45</v>
      </c>
      <c r="N17" s="100">
        <v>0</v>
      </c>
      <c r="O17" s="100">
        <v>0</v>
      </c>
      <c r="P17" s="100">
        <v>0.42</v>
      </c>
      <c r="Q17" s="100">
        <v>5.49</v>
      </c>
      <c r="R17" s="6"/>
      <c r="S17" s="6"/>
      <c r="T17" s="156"/>
      <c r="U17" s="6"/>
    </row>
    <row r="18" spans="1:21" customFormat="1">
      <c r="A18" s="100" t="s">
        <v>438</v>
      </c>
      <c r="B18" s="100">
        <v>18.03</v>
      </c>
      <c r="C18" s="100">
        <v>54.35</v>
      </c>
      <c r="D18" s="100">
        <v>44.21</v>
      </c>
      <c r="E18" s="100">
        <v>6.57</v>
      </c>
      <c r="F18" s="100">
        <v>3.94</v>
      </c>
      <c r="G18" s="100">
        <v>9.25</v>
      </c>
      <c r="H18" s="100">
        <v>4.95</v>
      </c>
      <c r="I18" s="100">
        <v>2.83</v>
      </c>
      <c r="J18" s="100">
        <v>1.32</v>
      </c>
      <c r="K18" s="100">
        <v>254.41</v>
      </c>
      <c r="L18" s="100">
        <v>20.11</v>
      </c>
      <c r="M18" s="100">
        <v>98.74</v>
      </c>
      <c r="N18" s="100">
        <v>0</v>
      </c>
      <c r="O18" s="100">
        <v>0</v>
      </c>
      <c r="P18" s="100">
        <v>0.42</v>
      </c>
      <c r="Q18" s="100">
        <v>5.48</v>
      </c>
      <c r="R18" s="6"/>
      <c r="S18" s="6"/>
      <c r="T18" s="156"/>
      <c r="U18" s="6"/>
    </row>
    <row r="19" spans="1:21" customFormat="1">
      <c r="A19" s="100" t="s">
        <v>439</v>
      </c>
      <c r="B19" s="100">
        <v>17.600000000000001</v>
      </c>
      <c r="C19" s="100">
        <v>54.65</v>
      </c>
      <c r="D19" s="100">
        <v>44.02</v>
      </c>
      <c r="E19" s="100">
        <v>6.59</v>
      </c>
      <c r="F19" s="100">
        <v>3.82</v>
      </c>
      <c r="G19" s="100">
        <v>7.29</v>
      </c>
      <c r="H19" s="100">
        <v>4.26</v>
      </c>
      <c r="I19" s="100">
        <v>2.74</v>
      </c>
      <c r="J19" s="100">
        <v>0.15</v>
      </c>
      <c r="K19" s="100">
        <v>200.52</v>
      </c>
      <c r="L19" s="100">
        <v>20.52</v>
      </c>
      <c r="M19" s="100">
        <v>99</v>
      </c>
      <c r="N19" s="100">
        <v>0</v>
      </c>
      <c r="O19" s="100">
        <v>0</v>
      </c>
      <c r="P19" s="100">
        <v>0.42</v>
      </c>
      <c r="Q19" s="100">
        <v>5.52</v>
      </c>
      <c r="R19" s="6"/>
      <c r="S19" s="6"/>
      <c r="T19" s="156"/>
      <c r="U19" s="6"/>
    </row>
    <row r="20" spans="1:21" customFormat="1">
      <c r="A20" s="100" t="s">
        <v>440</v>
      </c>
      <c r="B20" s="100">
        <v>17.489999999999998</v>
      </c>
      <c r="C20" s="100">
        <v>54.24</v>
      </c>
      <c r="D20" s="100">
        <v>43.72</v>
      </c>
      <c r="E20" s="100">
        <v>6.83</v>
      </c>
      <c r="F20" s="100">
        <v>3.86</v>
      </c>
      <c r="G20" s="100">
        <v>7.29</v>
      </c>
      <c r="H20" s="100">
        <v>4.26</v>
      </c>
      <c r="I20" s="100">
        <v>2.66</v>
      </c>
      <c r="J20" s="100">
        <v>0.19</v>
      </c>
      <c r="K20" s="100">
        <v>94.79</v>
      </c>
      <c r="L20" s="100">
        <v>20.65</v>
      </c>
      <c r="M20" s="100">
        <v>99.04</v>
      </c>
      <c r="N20" s="100">
        <v>0</v>
      </c>
      <c r="O20" s="100">
        <v>0</v>
      </c>
      <c r="P20" s="100">
        <v>0.41</v>
      </c>
      <c r="Q20" s="100">
        <v>5.46</v>
      </c>
      <c r="R20" s="6"/>
      <c r="S20" s="6"/>
      <c r="T20" s="156"/>
      <c r="U20" s="6"/>
    </row>
    <row r="21" spans="1:21" customFormat="1">
      <c r="A21" s="100" t="s">
        <v>441</v>
      </c>
      <c r="B21" s="100">
        <v>17.47</v>
      </c>
      <c r="C21" s="100">
        <v>53.84</v>
      </c>
      <c r="D21" s="100">
        <v>43.49</v>
      </c>
      <c r="E21" s="100">
        <v>6.7</v>
      </c>
      <c r="F21" s="100">
        <v>3.68</v>
      </c>
      <c r="G21" s="100">
        <v>7.29</v>
      </c>
      <c r="H21" s="100">
        <v>4.26</v>
      </c>
      <c r="I21" s="100">
        <v>2.68</v>
      </c>
      <c r="J21" s="100">
        <v>0.2</v>
      </c>
      <c r="K21" s="100">
        <v>208.38</v>
      </c>
      <c r="L21" s="100">
        <v>20.56</v>
      </c>
      <c r="M21" s="100">
        <v>99.05</v>
      </c>
      <c r="N21" s="100">
        <v>0</v>
      </c>
      <c r="O21" s="100">
        <v>0</v>
      </c>
      <c r="P21" s="100">
        <v>0.41</v>
      </c>
      <c r="Q21" s="100">
        <v>5.5</v>
      </c>
      <c r="R21" s="6"/>
      <c r="S21" s="6"/>
      <c r="T21" s="156"/>
      <c r="U21" s="6"/>
    </row>
    <row r="22" spans="1:21" customFormat="1">
      <c r="A22" s="100" t="s">
        <v>442</v>
      </c>
      <c r="B22" s="100">
        <v>17.61</v>
      </c>
      <c r="C22" s="100">
        <v>53.37</v>
      </c>
      <c r="D22" s="100">
        <v>43.36</v>
      </c>
      <c r="E22" s="100">
        <v>6.78</v>
      </c>
      <c r="F22" s="100">
        <v>3.78</v>
      </c>
      <c r="G22" s="100">
        <v>6.59</v>
      </c>
      <c r="H22" s="100">
        <v>3.82</v>
      </c>
      <c r="I22" s="100">
        <v>2.64</v>
      </c>
      <c r="J22" s="100">
        <v>0.28999999999999998</v>
      </c>
      <c r="K22" s="100">
        <v>73.930000000000007</v>
      </c>
      <c r="L22" s="100">
        <v>20.54</v>
      </c>
      <c r="M22" s="100">
        <v>99.05</v>
      </c>
      <c r="N22" s="100">
        <v>0</v>
      </c>
      <c r="O22" s="100">
        <v>0</v>
      </c>
      <c r="P22" s="100">
        <v>0.4</v>
      </c>
      <c r="Q22" s="100">
        <v>5.48</v>
      </c>
      <c r="R22" s="6"/>
      <c r="S22" s="6"/>
      <c r="T22" s="156"/>
      <c r="U22" s="6"/>
    </row>
    <row r="23" spans="1:21" customFormat="1">
      <c r="A23" s="100" t="s">
        <v>443</v>
      </c>
      <c r="B23" s="100">
        <v>17.96</v>
      </c>
      <c r="C23" s="100">
        <v>52.94</v>
      </c>
      <c r="D23" s="100">
        <v>43.41</v>
      </c>
      <c r="E23" s="100">
        <v>6.93</v>
      </c>
      <c r="F23" s="100">
        <v>3.89</v>
      </c>
      <c r="G23" s="100">
        <v>5.38</v>
      </c>
      <c r="H23" s="100">
        <v>3.37</v>
      </c>
      <c r="I23" s="100">
        <v>2.69</v>
      </c>
      <c r="J23" s="100">
        <v>0.31</v>
      </c>
      <c r="K23" s="100">
        <v>223.55</v>
      </c>
      <c r="L23" s="100">
        <v>20.63</v>
      </c>
      <c r="M23" s="100">
        <v>99.05</v>
      </c>
      <c r="N23" s="100">
        <v>0</v>
      </c>
      <c r="O23" s="100">
        <v>0</v>
      </c>
      <c r="P23" s="100">
        <v>0.4</v>
      </c>
      <c r="Q23" s="100">
        <v>5.47</v>
      </c>
      <c r="R23" s="6"/>
      <c r="S23" s="6"/>
      <c r="T23" s="156"/>
      <c r="U23" s="6"/>
    </row>
    <row r="24" spans="1:21" customFormat="1">
      <c r="A24" s="100" t="s">
        <v>444</v>
      </c>
      <c r="B24" s="100">
        <v>18.23</v>
      </c>
      <c r="C24" s="100">
        <v>52.11</v>
      </c>
      <c r="D24" s="100">
        <v>43.2</v>
      </c>
      <c r="E24" s="100">
        <v>6.35</v>
      </c>
      <c r="F24" s="100">
        <v>4</v>
      </c>
      <c r="G24" s="100">
        <v>5.38</v>
      </c>
      <c r="H24" s="100">
        <v>3.37</v>
      </c>
      <c r="I24" s="100">
        <v>2.63</v>
      </c>
      <c r="J24" s="100">
        <v>0.43</v>
      </c>
      <c r="K24" s="100">
        <v>232.91</v>
      </c>
      <c r="L24" s="100">
        <v>20.52</v>
      </c>
      <c r="M24" s="100">
        <v>99.06</v>
      </c>
      <c r="N24" s="100">
        <v>0</v>
      </c>
      <c r="O24" s="100">
        <v>0</v>
      </c>
      <c r="P24" s="100">
        <v>0.39</v>
      </c>
      <c r="Q24" s="100">
        <v>5.48</v>
      </c>
      <c r="R24" s="6"/>
      <c r="S24" s="6"/>
      <c r="T24" s="156"/>
      <c r="U24" s="6"/>
    </row>
    <row r="25" spans="1:21" customFormat="1">
      <c r="A25" s="100" t="s">
        <v>445</v>
      </c>
      <c r="B25" s="100">
        <v>18.329999999999998</v>
      </c>
      <c r="C25" s="100">
        <v>52.46</v>
      </c>
      <c r="D25" s="100">
        <v>43.46</v>
      </c>
      <c r="E25" s="100">
        <v>6.49</v>
      </c>
      <c r="F25" s="100">
        <v>3.73</v>
      </c>
      <c r="G25" s="100">
        <v>5.38</v>
      </c>
      <c r="H25" s="100">
        <v>3.37</v>
      </c>
      <c r="I25" s="100">
        <v>2.64</v>
      </c>
      <c r="J25" s="100">
        <v>0.08</v>
      </c>
      <c r="K25" s="100">
        <v>236.46</v>
      </c>
      <c r="L25" s="100">
        <v>20.27</v>
      </c>
      <c r="M25" s="100">
        <v>99.08</v>
      </c>
      <c r="N25" s="100">
        <v>0</v>
      </c>
      <c r="O25" s="100">
        <v>0</v>
      </c>
      <c r="P25" s="100">
        <v>0.38</v>
      </c>
      <c r="Q25" s="100">
        <v>5.48</v>
      </c>
      <c r="R25" s="6"/>
      <c r="S25" s="6"/>
      <c r="T25" s="156"/>
      <c r="U25" s="6"/>
    </row>
    <row r="26" spans="1:21" customFormat="1">
      <c r="A26" s="100" t="s">
        <v>446</v>
      </c>
      <c r="B26" s="100">
        <v>18.52</v>
      </c>
      <c r="C26" s="100">
        <v>52.69</v>
      </c>
      <c r="D26" s="100">
        <v>43.73</v>
      </c>
      <c r="E26" s="100">
        <v>7.11</v>
      </c>
      <c r="F26" s="100">
        <v>3.68</v>
      </c>
      <c r="G26" s="100">
        <v>4.8</v>
      </c>
      <c r="H26" s="100">
        <v>3.25</v>
      </c>
      <c r="I26" s="100">
        <v>2.6</v>
      </c>
      <c r="J26" s="100">
        <v>0.38</v>
      </c>
      <c r="K26" s="100">
        <v>41.57</v>
      </c>
      <c r="L26" s="100">
        <v>20.190000000000001</v>
      </c>
      <c r="M26" s="100">
        <v>99.08</v>
      </c>
      <c r="N26" s="100">
        <v>0</v>
      </c>
      <c r="O26" s="100">
        <v>0</v>
      </c>
      <c r="P26" s="100">
        <v>0.38</v>
      </c>
      <c r="Q26" s="100">
        <v>5.5</v>
      </c>
      <c r="R26" s="6"/>
      <c r="S26" s="6"/>
      <c r="T26" s="156"/>
      <c r="U26" s="6"/>
    </row>
    <row r="27" spans="1:21" customFormat="1">
      <c r="A27" s="100" t="s">
        <v>447</v>
      </c>
      <c r="B27" s="100">
        <v>19.16</v>
      </c>
      <c r="C27" s="100">
        <v>52.73</v>
      </c>
      <c r="D27" s="100">
        <v>44.27</v>
      </c>
      <c r="E27" s="100">
        <v>6.87</v>
      </c>
      <c r="F27" s="100">
        <v>3.6</v>
      </c>
      <c r="G27" s="100">
        <v>3.81</v>
      </c>
      <c r="H27" s="100">
        <v>3.13</v>
      </c>
      <c r="I27" s="100">
        <v>2.5299999999999998</v>
      </c>
      <c r="J27" s="100">
        <v>0.15</v>
      </c>
      <c r="K27" s="100">
        <v>167.86</v>
      </c>
      <c r="L27" s="100">
        <v>20.51</v>
      </c>
      <c r="M27" s="100">
        <v>99.08</v>
      </c>
      <c r="N27" s="100">
        <v>0</v>
      </c>
      <c r="O27" s="100">
        <v>0</v>
      </c>
      <c r="P27" s="100">
        <v>0.38</v>
      </c>
      <c r="Q27" s="100">
        <v>5.52</v>
      </c>
      <c r="R27" s="6"/>
      <c r="S27" s="6"/>
      <c r="T27" s="156"/>
      <c r="U27" s="6"/>
    </row>
    <row r="28" spans="1:21" customFormat="1">
      <c r="A28" s="100" t="s">
        <v>448</v>
      </c>
      <c r="B28" s="100">
        <v>19.420000000000002</v>
      </c>
      <c r="C28" s="100">
        <v>52.5</v>
      </c>
      <c r="D28" s="100">
        <v>44.36</v>
      </c>
      <c r="E28" s="100">
        <v>7.13</v>
      </c>
      <c r="F28" s="100">
        <v>3.74</v>
      </c>
      <c r="G28" s="100">
        <v>3.81</v>
      </c>
      <c r="H28" s="100">
        <v>3.13</v>
      </c>
      <c r="I28" s="100">
        <v>2.5</v>
      </c>
      <c r="J28" s="100">
        <v>0.33</v>
      </c>
      <c r="K28" s="100">
        <v>89.18</v>
      </c>
      <c r="L28" s="100">
        <v>20.43</v>
      </c>
      <c r="M28" s="100">
        <v>99.08</v>
      </c>
      <c r="N28" s="100">
        <v>0</v>
      </c>
      <c r="O28" s="100">
        <v>0</v>
      </c>
      <c r="P28" s="100">
        <v>0.38</v>
      </c>
      <c r="Q28" s="100">
        <v>5.51</v>
      </c>
      <c r="R28" s="6"/>
      <c r="S28" s="6"/>
      <c r="T28" s="156"/>
      <c r="U28" s="6"/>
    </row>
    <row r="29" spans="1:21" customFormat="1">
      <c r="A29" s="100" t="s">
        <v>449</v>
      </c>
      <c r="B29" s="100">
        <v>19.62</v>
      </c>
      <c r="C29" s="100">
        <v>51.6</v>
      </c>
      <c r="D29" s="100">
        <v>44.04</v>
      </c>
      <c r="E29" s="100">
        <v>6.84</v>
      </c>
      <c r="F29" s="100">
        <v>3.75</v>
      </c>
      <c r="G29" s="100">
        <v>3.81</v>
      </c>
      <c r="H29" s="100">
        <v>3.13</v>
      </c>
      <c r="I29" s="100">
        <v>2.4900000000000002</v>
      </c>
      <c r="J29" s="100">
        <v>0.57999999999999996</v>
      </c>
      <c r="K29" s="100">
        <v>84.54</v>
      </c>
      <c r="L29" s="100">
        <v>20.34</v>
      </c>
      <c r="M29" s="100">
        <v>99.08</v>
      </c>
      <c r="N29" s="100">
        <v>0</v>
      </c>
      <c r="O29" s="100">
        <v>0</v>
      </c>
      <c r="P29" s="100">
        <v>0.37</v>
      </c>
      <c r="Q29" s="100">
        <v>5.49</v>
      </c>
      <c r="R29" s="6"/>
      <c r="S29" s="6"/>
      <c r="T29" s="156"/>
      <c r="U29" s="6"/>
    </row>
    <row r="30" spans="1:21" customFormat="1">
      <c r="A30" s="100" t="s">
        <v>450</v>
      </c>
      <c r="B30" s="100">
        <v>19.68</v>
      </c>
      <c r="C30" s="100">
        <v>51.77</v>
      </c>
      <c r="D30" s="100">
        <v>44.18</v>
      </c>
      <c r="E30" s="100">
        <v>7.15</v>
      </c>
      <c r="F30" s="100">
        <v>3.74</v>
      </c>
      <c r="G30" s="100">
        <v>3.54</v>
      </c>
      <c r="H30" s="100">
        <v>2.99</v>
      </c>
      <c r="I30" s="100">
        <v>2.5</v>
      </c>
      <c r="J30" s="100">
        <v>0.39</v>
      </c>
      <c r="K30" s="100">
        <v>92.01</v>
      </c>
      <c r="L30" s="100">
        <v>20.32</v>
      </c>
      <c r="M30" s="100">
        <v>99.09</v>
      </c>
      <c r="N30" s="100">
        <v>0</v>
      </c>
      <c r="O30" s="100">
        <v>0</v>
      </c>
      <c r="P30" s="100">
        <v>0.36</v>
      </c>
      <c r="Q30" s="100">
        <v>5.52</v>
      </c>
      <c r="R30" s="6"/>
      <c r="S30" s="6"/>
      <c r="T30" s="156"/>
      <c r="U30" s="6"/>
    </row>
    <row r="31" spans="1:21" customFormat="1">
      <c r="A31" s="100" t="s">
        <v>451</v>
      </c>
      <c r="B31" s="100">
        <v>19.690000000000001</v>
      </c>
      <c r="C31" s="100">
        <v>52.03</v>
      </c>
      <c r="D31" s="100">
        <v>44.33</v>
      </c>
      <c r="E31" s="100">
        <v>6.82</v>
      </c>
      <c r="F31" s="100">
        <v>3.56</v>
      </c>
      <c r="G31" s="100">
        <v>3.08</v>
      </c>
      <c r="H31" s="100">
        <v>2.86</v>
      </c>
      <c r="I31" s="100">
        <v>2.4300000000000002</v>
      </c>
      <c r="J31" s="100">
        <v>0.28000000000000003</v>
      </c>
      <c r="K31" s="100">
        <v>80.430000000000007</v>
      </c>
      <c r="L31" s="100">
        <v>20.399999999999999</v>
      </c>
      <c r="M31" s="100">
        <v>99.1</v>
      </c>
      <c r="N31" s="100">
        <v>0</v>
      </c>
      <c r="O31" s="100">
        <v>0</v>
      </c>
      <c r="P31" s="100">
        <v>0.36</v>
      </c>
      <c r="Q31" s="100">
        <v>5.56</v>
      </c>
      <c r="R31" s="6"/>
      <c r="S31" s="6"/>
      <c r="T31" s="156"/>
      <c r="U31" s="6"/>
    </row>
    <row r="32" spans="1:21" customFormat="1">
      <c r="A32" s="100" t="s">
        <v>452</v>
      </c>
      <c r="B32" s="100">
        <v>20.100000000000001</v>
      </c>
      <c r="C32" s="100">
        <v>49.45</v>
      </c>
      <c r="D32" s="100">
        <v>43.31</v>
      </c>
      <c r="E32" s="100">
        <v>6.6</v>
      </c>
      <c r="F32" s="100">
        <v>4.17</v>
      </c>
      <c r="G32" s="100">
        <v>3.08</v>
      </c>
      <c r="H32" s="100">
        <v>2.86</v>
      </c>
      <c r="I32" s="100">
        <v>2.4</v>
      </c>
      <c r="J32" s="100">
        <v>0.23</v>
      </c>
      <c r="K32" s="100">
        <v>237.5</v>
      </c>
      <c r="L32" s="100">
        <v>20.48</v>
      </c>
      <c r="M32" s="100">
        <v>99.1</v>
      </c>
      <c r="N32" s="100">
        <v>5.9</v>
      </c>
      <c r="O32" s="100">
        <v>0</v>
      </c>
      <c r="P32" s="100">
        <v>0.33</v>
      </c>
      <c r="Q32" s="100">
        <v>5.36</v>
      </c>
      <c r="R32" s="6"/>
      <c r="S32" s="6"/>
      <c r="T32" s="156"/>
      <c r="U32" s="6"/>
    </row>
    <row r="33" spans="1:21" customFormat="1">
      <c r="A33" s="100" t="s">
        <v>453</v>
      </c>
      <c r="B33" s="100">
        <v>20.76</v>
      </c>
      <c r="C33" s="100">
        <v>45.74</v>
      </c>
      <c r="D33" s="100">
        <v>41.9</v>
      </c>
      <c r="E33" s="100">
        <v>6.34</v>
      </c>
      <c r="F33" s="100">
        <v>4.2699999999999996</v>
      </c>
      <c r="G33" s="100">
        <v>3.08</v>
      </c>
      <c r="H33" s="100">
        <v>2.86</v>
      </c>
      <c r="I33" s="100">
        <v>2.39</v>
      </c>
      <c r="J33" s="100">
        <v>1.04</v>
      </c>
      <c r="K33" s="100">
        <v>307.13</v>
      </c>
      <c r="L33" s="100">
        <v>20.58</v>
      </c>
      <c r="M33" s="100">
        <v>99.11</v>
      </c>
      <c r="N33" s="100">
        <v>23.3</v>
      </c>
      <c r="O33" s="100">
        <v>0</v>
      </c>
      <c r="P33" s="100">
        <v>0.3</v>
      </c>
      <c r="Q33" s="100">
        <v>5.14</v>
      </c>
      <c r="R33" s="6"/>
      <c r="S33" s="6"/>
      <c r="T33" s="156"/>
      <c r="U33" s="6"/>
    </row>
    <row r="34" spans="1:21" customFormat="1">
      <c r="A34" s="100" t="s">
        <v>454</v>
      </c>
      <c r="B34" s="100">
        <v>21.35</v>
      </c>
      <c r="C34" s="100">
        <v>49.73</v>
      </c>
      <c r="D34" s="100">
        <v>44.45</v>
      </c>
      <c r="E34" s="100">
        <v>6.88</v>
      </c>
      <c r="F34" s="100">
        <v>3.53</v>
      </c>
      <c r="G34" s="100">
        <v>4.4400000000000004</v>
      </c>
      <c r="H34" s="100">
        <v>3.02</v>
      </c>
      <c r="I34" s="100">
        <v>2.34</v>
      </c>
      <c r="J34" s="100">
        <v>0.96</v>
      </c>
      <c r="K34" s="100">
        <v>303.16000000000003</v>
      </c>
      <c r="L34" s="100">
        <v>20.66</v>
      </c>
      <c r="M34" s="100">
        <v>99.13</v>
      </c>
      <c r="N34" s="100">
        <v>49.9</v>
      </c>
      <c r="O34" s="100">
        <v>0</v>
      </c>
      <c r="P34" s="100">
        <v>0.34</v>
      </c>
      <c r="Q34" s="100">
        <v>5.32</v>
      </c>
      <c r="R34" s="6"/>
      <c r="S34" s="6"/>
      <c r="T34" s="156"/>
      <c r="U34" s="6"/>
    </row>
    <row r="35" spans="1:21" customFormat="1">
      <c r="A35" s="100" t="s">
        <v>455</v>
      </c>
      <c r="B35" s="100">
        <v>22.51</v>
      </c>
      <c r="C35" s="100">
        <v>47.85</v>
      </c>
      <c r="D35" s="100">
        <v>44.41</v>
      </c>
      <c r="E35" s="100">
        <v>6.73</v>
      </c>
      <c r="F35" s="100">
        <v>3.95</v>
      </c>
      <c r="G35" s="100">
        <v>6.78</v>
      </c>
      <c r="H35" s="100">
        <v>3.55</v>
      </c>
      <c r="I35" s="100">
        <v>2.38</v>
      </c>
      <c r="J35" s="100">
        <v>0.78</v>
      </c>
      <c r="K35" s="100">
        <v>294.8</v>
      </c>
      <c r="L35" s="100">
        <v>20.96</v>
      </c>
      <c r="M35" s="100">
        <v>99.12</v>
      </c>
      <c r="N35" s="100">
        <v>88.7</v>
      </c>
      <c r="O35" s="100">
        <v>0</v>
      </c>
      <c r="P35" s="100">
        <v>0.33</v>
      </c>
      <c r="Q35" s="100">
        <v>5.32</v>
      </c>
      <c r="R35" s="6"/>
      <c r="S35" s="6"/>
      <c r="T35" s="156"/>
      <c r="U35" s="6"/>
    </row>
    <row r="36" spans="1:21" customFormat="1">
      <c r="A36" s="100" t="s">
        <v>456</v>
      </c>
      <c r="B36" s="100">
        <v>23.31</v>
      </c>
      <c r="C36" s="100">
        <v>50.45</v>
      </c>
      <c r="D36" s="100">
        <v>46.41</v>
      </c>
      <c r="E36" s="100">
        <v>7.07</v>
      </c>
      <c r="F36" s="100">
        <v>3.43</v>
      </c>
      <c r="G36" s="100">
        <v>6.78</v>
      </c>
      <c r="H36" s="100">
        <v>3.55</v>
      </c>
      <c r="I36" s="100">
        <v>2.4700000000000002</v>
      </c>
      <c r="J36" s="100">
        <v>0.72</v>
      </c>
      <c r="K36" s="100">
        <v>264.77</v>
      </c>
      <c r="L36" s="100">
        <v>21.32</v>
      </c>
      <c r="M36" s="100">
        <v>99.13</v>
      </c>
      <c r="N36" s="100">
        <v>99</v>
      </c>
      <c r="O36" s="100">
        <v>0</v>
      </c>
      <c r="P36" s="100">
        <v>0.36</v>
      </c>
      <c r="Q36" s="100">
        <v>5.49</v>
      </c>
      <c r="R36" s="6"/>
      <c r="S36" s="6"/>
      <c r="T36" s="156"/>
      <c r="U36" s="6"/>
    </row>
    <row r="37" spans="1:21" customFormat="1">
      <c r="A37" s="100" t="s">
        <v>457</v>
      </c>
      <c r="B37" s="100">
        <v>24.26</v>
      </c>
      <c r="C37" s="100">
        <v>47.8</v>
      </c>
      <c r="D37" s="100">
        <v>45.79</v>
      </c>
      <c r="E37" s="100">
        <v>6.86</v>
      </c>
      <c r="F37" s="100">
        <v>3.89</v>
      </c>
      <c r="G37" s="100">
        <v>6.78</v>
      </c>
      <c r="H37" s="100">
        <v>3.55</v>
      </c>
      <c r="I37" s="100">
        <v>2.52</v>
      </c>
      <c r="J37" s="100">
        <v>0.69</v>
      </c>
      <c r="K37" s="100">
        <v>282.23</v>
      </c>
      <c r="L37" s="100">
        <v>21.77</v>
      </c>
      <c r="M37" s="100">
        <v>98.89</v>
      </c>
      <c r="N37" s="100">
        <v>130.30000000000001</v>
      </c>
      <c r="O37" s="100">
        <v>0</v>
      </c>
      <c r="P37" s="100">
        <v>0.35</v>
      </c>
      <c r="Q37" s="100">
        <v>5.42</v>
      </c>
      <c r="R37" s="6"/>
      <c r="S37" s="6"/>
      <c r="T37" s="156"/>
      <c r="U37" s="6"/>
    </row>
    <row r="38" spans="1:21" customFormat="1">
      <c r="A38" s="100" t="s">
        <v>458</v>
      </c>
      <c r="B38" s="100">
        <v>25.08</v>
      </c>
      <c r="C38" s="100">
        <v>49.99</v>
      </c>
      <c r="D38" s="100">
        <v>47.58</v>
      </c>
      <c r="E38" s="100">
        <v>7.02</v>
      </c>
      <c r="F38" s="100">
        <v>3.59</v>
      </c>
      <c r="G38" s="100">
        <v>10.9</v>
      </c>
      <c r="H38" s="100">
        <v>6.56</v>
      </c>
      <c r="I38" s="100">
        <v>2.59</v>
      </c>
      <c r="J38" s="100">
        <v>0.79</v>
      </c>
      <c r="K38" s="100">
        <v>277.02999999999997</v>
      </c>
      <c r="L38" s="100">
        <v>22.15</v>
      </c>
      <c r="M38" s="100">
        <v>93.92</v>
      </c>
      <c r="N38" s="100">
        <v>131.30000000000001</v>
      </c>
      <c r="O38" s="100">
        <v>0</v>
      </c>
      <c r="P38" s="100">
        <v>0.38</v>
      </c>
      <c r="Q38" s="100">
        <v>5.57</v>
      </c>
      <c r="R38" s="6"/>
      <c r="S38" s="6"/>
      <c r="T38" s="156"/>
      <c r="U38" s="6"/>
    </row>
    <row r="39" spans="1:21" customFormat="1">
      <c r="A39" s="100" t="s">
        <v>459</v>
      </c>
      <c r="B39" s="100">
        <v>26.13</v>
      </c>
      <c r="C39" s="100">
        <v>47.31</v>
      </c>
      <c r="D39" s="100">
        <v>47.02</v>
      </c>
      <c r="E39" s="100">
        <v>6.91</v>
      </c>
      <c r="F39" s="100">
        <v>4.12</v>
      </c>
      <c r="G39" s="100">
        <v>18.02</v>
      </c>
      <c r="H39" s="100">
        <v>9.76</v>
      </c>
      <c r="I39" s="100">
        <v>2.66</v>
      </c>
      <c r="J39" s="100">
        <v>0.46</v>
      </c>
      <c r="K39" s="100">
        <v>284.45</v>
      </c>
      <c r="L39" s="100">
        <v>22.21</v>
      </c>
      <c r="M39" s="100">
        <v>91.87</v>
      </c>
      <c r="N39" s="100">
        <v>145.80000000000001</v>
      </c>
      <c r="O39" s="100">
        <v>0</v>
      </c>
      <c r="P39" s="100">
        <v>0.36</v>
      </c>
      <c r="Q39" s="100">
        <v>5.48</v>
      </c>
      <c r="R39" s="6"/>
      <c r="S39" s="6"/>
      <c r="T39" s="156"/>
      <c r="U39" s="6"/>
    </row>
    <row r="40" spans="1:21" customFormat="1">
      <c r="A40" s="100" t="s">
        <v>460</v>
      </c>
      <c r="B40" s="100">
        <v>26.57</v>
      </c>
      <c r="C40" s="100">
        <v>50.49</v>
      </c>
      <c r="D40" s="100">
        <v>49.04</v>
      </c>
      <c r="E40" s="100">
        <v>7.51</v>
      </c>
      <c r="F40" s="100">
        <v>3.48</v>
      </c>
      <c r="G40" s="100">
        <v>18.02</v>
      </c>
      <c r="H40" s="100">
        <v>9.76</v>
      </c>
      <c r="I40" s="100">
        <v>2.74</v>
      </c>
      <c r="J40" s="100">
        <v>0.1</v>
      </c>
      <c r="K40" s="100">
        <v>180.32</v>
      </c>
      <c r="L40" s="100">
        <v>23.35</v>
      </c>
      <c r="M40" s="100">
        <v>88.43</v>
      </c>
      <c r="N40" s="100">
        <v>189.8</v>
      </c>
      <c r="O40" s="100">
        <v>0</v>
      </c>
      <c r="P40" s="100">
        <v>0.39</v>
      </c>
      <c r="Q40" s="100">
        <v>5.66</v>
      </c>
      <c r="R40" s="6"/>
      <c r="S40" s="6"/>
      <c r="T40" s="156"/>
      <c r="U40" s="6"/>
    </row>
    <row r="41" spans="1:21" customFormat="1">
      <c r="A41" s="100" t="s">
        <v>461</v>
      </c>
      <c r="B41" s="100">
        <v>27.2</v>
      </c>
      <c r="C41" s="100">
        <v>47.42</v>
      </c>
      <c r="D41" s="100">
        <v>47.94</v>
      </c>
      <c r="E41" s="100">
        <v>7.38</v>
      </c>
      <c r="F41" s="100">
        <v>3.95</v>
      </c>
      <c r="G41" s="100">
        <v>18.02</v>
      </c>
      <c r="H41" s="100">
        <v>9.76</v>
      </c>
      <c r="I41" s="100">
        <v>2.83</v>
      </c>
      <c r="J41" s="100">
        <v>0.13</v>
      </c>
      <c r="K41" s="100">
        <v>211.9</v>
      </c>
      <c r="L41" s="100">
        <v>23.57</v>
      </c>
      <c r="M41" s="100">
        <v>86.67</v>
      </c>
      <c r="N41" s="100">
        <v>201.3</v>
      </c>
      <c r="O41" s="100">
        <v>0</v>
      </c>
      <c r="P41" s="100">
        <v>0.38</v>
      </c>
      <c r="Q41" s="100">
        <v>5.54</v>
      </c>
      <c r="R41" s="6"/>
      <c r="S41" s="6"/>
      <c r="T41" s="156"/>
      <c r="U41" s="6"/>
    </row>
    <row r="42" spans="1:21" customFormat="1">
      <c r="A42" s="100" t="s">
        <v>462</v>
      </c>
      <c r="B42" s="100">
        <v>27.15</v>
      </c>
      <c r="C42" s="100">
        <v>50.32</v>
      </c>
      <c r="D42" s="100">
        <v>49.41</v>
      </c>
      <c r="E42" s="100">
        <v>7.3</v>
      </c>
      <c r="F42" s="100">
        <v>3.51</v>
      </c>
      <c r="G42" s="100">
        <v>22.38</v>
      </c>
      <c r="H42" s="100">
        <v>10.73</v>
      </c>
      <c r="I42" s="100">
        <v>2.92</v>
      </c>
      <c r="J42" s="100">
        <v>0.13</v>
      </c>
      <c r="K42" s="100">
        <v>158.78</v>
      </c>
      <c r="L42" s="100">
        <v>23.85</v>
      </c>
      <c r="M42" s="100">
        <v>85.52</v>
      </c>
      <c r="N42" s="100">
        <v>203.4</v>
      </c>
      <c r="O42" s="100">
        <v>0</v>
      </c>
      <c r="P42" s="100">
        <v>0.41</v>
      </c>
      <c r="Q42" s="100">
        <v>5.69</v>
      </c>
      <c r="R42" s="6"/>
      <c r="S42" s="6"/>
      <c r="T42" s="156"/>
      <c r="U42" s="6"/>
    </row>
    <row r="43" spans="1:21" customFormat="1">
      <c r="A43" s="100" t="s">
        <v>463</v>
      </c>
      <c r="B43" s="100">
        <v>27.71</v>
      </c>
      <c r="C43" s="100">
        <v>47.52</v>
      </c>
      <c r="D43" s="100">
        <v>48.4</v>
      </c>
      <c r="E43" s="100">
        <v>7.13</v>
      </c>
      <c r="F43" s="100">
        <v>4.07</v>
      </c>
      <c r="G43" s="100">
        <v>29.9</v>
      </c>
      <c r="H43" s="100">
        <v>11.73</v>
      </c>
      <c r="I43" s="100">
        <v>2.93</v>
      </c>
      <c r="J43" s="100">
        <v>0.23</v>
      </c>
      <c r="K43" s="100">
        <v>121.65</v>
      </c>
      <c r="L43" s="100">
        <v>24.22</v>
      </c>
      <c r="M43" s="100">
        <v>84.82</v>
      </c>
      <c r="N43" s="100">
        <v>216.4</v>
      </c>
      <c r="O43" s="100">
        <v>0</v>
      </c>
      <c r="P43" s="100">
        <v>0.38</v>
      </c>
      <c r="Q43" s="100">
        <v>5.6</v>
      </c>
      <c r="R43" s="6"/>
      <c r="S43" s="6"/>
      <c r="T43" s="156"/>
      <c r="U43" s="6"/>
    </row>
    <row r="44" spans="1:21" customFormat="1">
      <c r="A44" s="100" t="s">
        <v>464</v>
      </c>
      <c r="B44" s="100">
        <v>27.68</v>
      </c>
      <c r="C44" s="100">
        <v>49.74</v>
      </c>
      <c r="D44" s="100">
        <v>49.53</v>
      </c>
      <c r="E44" s="100">
        <v>7.64</v>
      </c>
      <c r="F44" s="100">
        <v>3.74</v>
      </c>
      <c r="G44" s="100">
        <v>29.9</v>
      </c>
      <c r="H44" s="100">
        <v>11.73</v>
      </c>
      <c r="I44" s="100">
        <v>3.06</v>
      </c>
      <c r="J44" s="100">
        <v>0.41</v>
      </c>
      <c r="K44" s="100">
        <v>248.44</v>
      </c>
      <c r="L44" s="100">
        <v>24.32</v>
      </c>
      <c r="M44" s="100">
        <v>84.75</v>
      </c>
      <c r="N44" s="100">
        <v>192.3</v>
      </c>
      <c r="O44" s="100">
        <v>0</v>
      </c>
      <c r="P44" s="100">
        <v>0.41</v>
      </c>
      <c r="Q44" s="100">
        <v>5.71</v>
      </c>
      <c r="R44" s="6"/>
      <c r="S44" s="6"/>
      <c r="T44" s="156"/>
      <c r="U44" s="6"/>
    </row>
    <row r="45" spans="1:21" customFormat="1">
      <c r="A45" s="100" t="s">
        <v>465</v>
      </c>
      <c r="B45" s="100">
        <v>27.99</v>
      </c>
      <c r="C45" s="100">
        <v>47.15</v>
      </c>
      <c r="D45" s="100">
        <v>48.43</v>
      </c>
      <c r="E45" s="100">
        <v>7.14</v>
      </c>
      <c r="F45" s="100">
        <v>4.18</v>
      </c>
      <c r="G45" s="100">
        <v>29.9</v>
      </c>
      <c r="H45" s="100">
        <v>11.73</v>
      </c>
      <c r="I45" s="100">
        <v>2.98</v>
      </c>
      <c r="J45" s="100">
        <v>0.63</v>
      </c>
      <c r="K45" s="100">
        <v>247.19</v>
      </c>
      <c r="L45" s="100">
        <v>24.09</v>
      </c>
      <c r="M45" s="100">
        <v>85.08</v>
      </c>
      <c r="N45" s="100">
        <v>214.9</v>
      </c>
      <c r="O45" s="100">
        <v>0</v>
      </c>
      <c r="P45" s="100">
        <v>0.39</v>
      </c>
      <c r="Q45" s="100">
        <v>5.6</v>
      </c>
      <c r="R45" s="6"/>
      <c r="S45" s="6"/>
      <c r="T45" s="156"/>
      <c r="U45" s="6"/>
    </row>
    <row r="46" spans="1:21" customFormat="1">
      <c r="A46" s="100" t="s">
        <v>466</v>
      </c>
      <c r="B46" s="100">
        <v>27.54</v>
      </c>
      <c r="C46" s="100">
        <v>49.5</v>
      </c>
      <c r="D46" s="100">
        <v>49.3</v>
      </c>
      <c r="E46" s="100">
        <v>7.11</v>
      </c>
      <c r="F46" s="100">
        <v>3.79</v>
      </c>
      <c r="G46" s="100">
        <v>28.51</v>
      </c>
      <c r="H46" s="100">
        <v>11.36</v>
      </c>
      <c r="I46" s="100">
        <v>3.06</v>
      </c>
      <c r="J46" s="100">
        <v>0.81</v>
      </c>
      <c r="K46" s="100">
        <v>263.32</v>
      </c>
      <c r="L46" s="100">
        <v>24.1</v>
      </c>
      <c r="M46" s="100">
        <v>84.69</v>
      </c>
      <c r="N46" s="100">
        <v>220.7</v>
      </c>
      <c r="O46" s="100">
        <v>0</v>
      </c>
      <c r="P46" s="100">
        <v>0.43</v>
      </c>
      <c r="Q46" s="100">
        <v>5.67</v>
      </c>
      <c r="R46" s="6"/>
      <c r="S46" s="6"/>
      <c r="T46" s="156"/>
      <c r="U46" s="6"/>
    </row>
    <row r="47" spans="1:21" customFormat="1">
      <c r="A47" s="100" t="s">
        <v>467</v>
      </c>
      <c r="B47" s="100">
        <v>27.45</v>
      </c>
      <c r="C47" s="100">
        <v>47.26</v>
      </c>
      <c r="D47" s="100">
        <v>48.06</v>
      </c>
      <c r="E47" s="100">
        <v>6.81</v>
      </c>
      <c r="F47" s="100">
        <v>4.18</v>
      </c>
      <c r="G47" s="100">
        <v>26.09</v>
      </c>
      <c r="H47" s="100">
        <v>10.89</v>
      </c>
      <c r="I47" s="100">
        <v>3.05</v>
      </c>
      <c r="J47" s="100">
        <v>1.37</v>
      </c>
      <c r="K47" s="100">
        <v>266.48</v>
      </c>
      <c r="L47" s="100">
        <v>24.3</v>
      </c>
      <c r="M47" s="100">
        <v>82.3</v>
      </c>
      <c r="N47" s="100">
        <v>280.8</v>
      </c>
      <c r="O47" s="100">
        <v>0</v>
      </c>
      <c r="P47" s="100">
        <v>0.42</v>
      </c>
      <c r="Q47" s="100">
        <v>5.62</v>
      </c>
      <c r="R47" s="6"/>
      <c r="S47" s="6"/>
      <c r="T47" s="156"/>
      <c r="U47" s="6"/>
    </row>
    <row r="48" spans="1:21" customFormat="1">
      <c r="A48" s="100" t="s">
        <v>468</v>
      </c>
      <c r="B48" s="100">
        <v>26.81</v>
      </c>
      <c r="C48" s="100">
        <v>49.64</v>
      </c>
      <c r="D48" s="100">
        <v>48.78</v>
      </c>
      <c r="E48" s="100">
        <v>7.16</v>
      </c>
      <c r="F48" s="100">
        <v>3.84</v>
      </c>
      <c r="G48" s="100">
        <v>26.09</v>
      </c>
      <c r="H48" s="100">
        <v>10.89</v>
      </c>
      <c r="I48" s="100">
        <v>3.23</v>
      </c>
      <c r="J48" s="100">
        <v>0.94</v>
      </c>
      <c r="K48" s="100">
        <v>272.33999999999997</v>
      </c>
      <c r="L48" s="100">
        <v>24.42</v>
      </c>
      <c r="M48" s="100">
        <v>81.61</v>
      </c>
      <c r="N48" s="100">
        <v>337.6</v>
      </c>
      <c r="O48" s="100">
        <v>0</v>
      </c>
      <c r="P48" s="100">
        <v>0.46</v>
      </c>
      <c r="Q48" s="100">
        <v>5.65</v>
      </c>
      <c r="R48" s="6"/>
      <c r="S48" s="6"/>
      <c r="T48" s="156"/>
      <c r="U48" s="6"/>
    </row>
    <row r="49" spans="1:21" customFormat="1">
      <c r="A49" s="100" t="s">
        <v>469</v>
      </c>
      <c r="B49" s="100">
        <v>26.64</v>
      </c>
      <c r="C49" s="100">
        <v>46.8</v>
      </c>
      <c r="D49" s="100">
        <v>47.16</v>
      </c>
      <c r="E49" s="100">
        <v>7.23</v>
      </c>
      <c r="F49" s="100">
        <v>4.3499999999999996</v>
      </c>
      <c r="G49" s="100">
        <v>26.09</v>
      </c>
      <c r="H49" s="100">
        <v>10.89</v>
      </c>
      <c r="I49" s="100">
        <v>3.44</v>
      </c>
      <c r="J49" s="100">
        <v>0.36</v>
      </c>
      <c r="K49" s="100">
        <v>207.29</v>
      </c>
      <c r="L49" s="100">
        <v>25.22</v>
      </c>
      <c r="M49" s="100">
        <v>78.98</v>
      </c>
      <c r="N49" s="100">
        <v>400.5</v>
      </c>
      <c r="O49" s="100">
        <v>0</v>
      </c>
      <c r="P49" s="100">
        <v>0.45</v>
      </c>
      <c r="Q49" s="100">
        <v>5.52</v>
      </c>
      <c r="R49" s="6"/>
      <c r="S49" s="6"/>
      <c r="T49" s="156"/>
      <c r="U49" s="6"/>
    </row>
    <row r="50" spans="1:21" customFormat="1">
      <c r="A50" s="100" t="s">
        <v>470</v>
      </c>
      <c r="B50" s="100">
        <v>26.14</v>
      </c>
      <c r="C50" s="100">
        <v>49.54</v>
      </c>
      <c r="D50" s="100">
        <v>48.19</v>
      </c>
      <c r="E50" s="100">
        <v>8.0299999999999994</v>
      </c>
      <c r="F50" s="100">
        <v>3.77</v>
      </c>
      <c r="G50" s="100">
        <v>27.52</v>
      </c>
      <c r="H50" s="100">
        <v>11.16</v>
      </c>
      <c r="I50" s="100">
        <v>3.53</v>
      </c>
      <c r="J50" s="100">
        <v>0.24</v>
      </c>
      <c r="K50" s="100">
        <v>238.04</v>
      </c>
      <c r="L50" s="100">
        <v>26.17</v>
      </c>
      <c r="M50" s="100">
        <v>74.790000000000006</v>
      </c>
      <c r="N50" s="100">
        <v>467.8</v>
      </c>
      <c r="O50" s="100">
        <v>0</v>
      </c>
      <c r="P50" s="100">
        <v>0.51</v>
      </c>
      <c r="Q50" s="100">
        <v>5.59</v>
      </c>
      <c r="R50" s="6"/>
      <c r="S50" s="6"/>
      <c r="T50" s="156"/>
      <c r="U50" s="6"/>
    </row>
    <row r="51" spans="1:21" customFormat="1">
      <c r="A51" s="100" t="s">
        <v>471</v>
      </c>
      <c r="B51" s="100">
        <v>26.32</v>
      </c>
      <c r="C51" s="100">
        <v>51.89</v>
      </c>
      <c r="D51" s="100">
        <v>49.57</v>
      </c>
      <c r="E51" s="100">
        <v>8.09</v>
      </c>
      <c r="F51" s="100">
        <v>3.98</v>
      </c>
      <c r="G51" s="100">
        <v>29.98</v>
      </c>
      <c r="H51" s="100">
        <v>11.44</v>
      </c>
      <c r="I51" s="100">
        <v>3.61</v>
      </c>
      <c r="J51" s="100">
        <v>0.31</v>
      </c>
      <c r="K51" s="100">
        <v>223.68</v>
      </c>
      <c r="L51" s="100">
        <v>27</v>
      </c>
      <c r="M51" s="100">
        <v>72.2</v>
      </c>
      <c r="N51" s="100">
        <v>361.1</v>
      </c>
      <c r="O51" s="100">
        <v>0</v>
      </c>
      <c r="P51" s="100">
        <v>0.59</v>
      </c>
      <c r="Q51" s="100">
        <v>5.63</v>
      </c>
      <c r="R51" s="6"/>
      <c r="S51" s="6"/>
      <c r="T51" s="156"/>
      <c r="U51" s="6"/>
    </row>
    <row r="52" spans="1:21" customFormat="1">
      <c r="A52" s="100" t="s">
        <v>472</v>
      </c>
      <c r="B52" s="100">
        <v>26.2</v>
      </c>
      <c r="C52" s="100">
        <v>56.67</v>
      </c>
      <c r="D52" s="100">
        <v>51.96</v>
      </c>
      <c r="E52" s="100">
        <v>8.19</v>
      </c>
      <c r="F52" s="100">
        <v>4.08</v>
      </c>
      <c r="G52" s="100">
        <v>29.98</v>
      </c>
      <c r="H52" s="100">
        <v>11.44</v>
      </c>
      <c r="I52" s="100">
        <v>4.1500000000000004</v>
      </c>
      <c r="J52" s="100">
        <v>0.63</v>
      </c>
      <c r="K52" s="100">
        <v>243.43</v>
      </c>
      <c r="L52" s="100">
        <v>26.83</v>
      </c>
      <c r="M52" s="100">
        <v>72.58</v>
      </c>
      <c r="N52" s="100">
        <v>387.1</v>
      </c>
      <c r="O52" s="100">
        <v>0</v>
      </c>
      <c r="P52" s="100">
        <v>0.68</v>
      </c>
      <c r="Q52" s="100">
        <v>5.84</v>
      </c>
      <c r="R52" s="6"/>
      <c r="S52" s="6"/>
      <c r="T52" s="156"/>
      <c r="U52" s="6"/>
    </row>
    <row r="53" spans="1:21" customFormat="1">
      <c r="A53" s="100" t="s">
        <v>473</v>
      </c>
      <c r="B53" s="100">
        <v>25.83</v>
      </c>
      <c r="C53" s="100">
        <v>57.69</v>
      </c>
      <c r="D53" s="100">
        <v>52.21</v>
      </c>
      <c r="E53" s="100">
        <v>8.19</v>
      </c>
      <c r="F53" s="100">
        <v>4.0999999999999996</v>
      </c>
      <c r="G53" s="100">
        <v>29.98</v>
      </c>
      <c r="H53" s="100">
        <v>11.44</v>
      </c>
      <c r="I53" s="100">
        <v>5.83</v>
      </c>
      <c r="J53" s="100">
        <v>0.84</v>
      </c>
      <c r="K53" s="100">
        <v>240.48</v>
      </c>
      <c r="L53" s="100">
        <v>26.73</v>
      </c>
      <c r="M53" s="100">
        <v>71.11</v>
      </c>
      <c r="N53" s="100">
        <v>375.3</v>
      </c>
      <c r="O53" s="100">
        <v>0</v>
      </c>
      <c r="P53" s="100">
        <v>0.72</v>
      </c>
      <c r="Q53" s="100">
        <v>5.92</v>
      </c>
      <c r="R53" s="6"/>
      <c r="S53" s="6"/>
      <c r="T53" s="156"/>
      <c r="U53" s="6"/>
    </row>
    <row r="54" spans="1:21" customFormat="1">
      <c r="A54" s="100" t="s">
        <v>474</v>
      </c>
      <c r="B54" s="100">
        <v>24.81</v>
      </c>
      <c r="C54" s="100">
        <v>57.68</v>
      </c>
      <c r="D54" s="100">
        <v>51.38</v>
      </c>
      <c r="E54" s="100">
        <v>8.19</v>
      </c>
      <c r="F54" s="100">
        <v>4.2</v>
      </c>
      <c r="G54" s="100">
        <v>30.97</v>
      </c>
      <c r="H54" s="100">
        <v>12.76</v>
      </c>
      <c r="I54" s="100">
        <v>7.26</v>
      </c>
      <c r="J54" s="100">
        <v>0.86</v>
      </c>
      <c r="K54" s="100">
        <v>260.10000000000002</v>
      </c>
      <c r="L54" s="100">
        <v>25.67</v>
      </c>
      <c r="M54" s="100">
        <v>75.77</v>
      </c>
      <c r="N54" s="100">
        <v>200.7</v>
      </c>
      <c r="O54" s="100">
        <v>0</v>
      </c>
      <c r="P54" s="100">
        <v>0.72</v>
      </c>
      <c r="Q54" s="100">
        <v>5.87</v>
      </c>
      <c r="R54" s="6"/>
      <c r="S54" s="6"/>
      <c r="T54" s="156"/>
      <c r="U54" s="6"/>
    </row>
    <row r="55" spans="1:21" customFormat="1">
      <c r="A55" s="100" t="s">
        <v>475</v>
      </c>
      <c r="B55" s="100">
        <v>23.79</v>
      </c>
      <c r="C55" s="100">
        <v>57.71</v>
      </c>
      <c r="D55" s="100">
        <v>50.59</v>
      </c>
      <c r="E55" s="100">
        <v>7.94</v>
      </c>
      <c r="F55" s="100">
        <v>4.0599999999999996</v>
      </c>
      <c r="G55" s="100">
        <v>32.68</v>
      </c>
      <c r="H55" s="100">
        <v>14.12</v>
      </c>
      <c r="I55" s="100">
        <v>7.48</v>
      </c>
      <c r="J55" s="100">
        <v>0.33</v>
      </c>
      <c r="K55" s="100">
        <v>225.32</v>
      </c>
      <c r="L55" s="100">
        <v>25.78</v>
      </c>
      <c r="M55" s="100">
        <v>73.64</v>
      </c>
      <c r="N55" s="100">
        <v>162.4</v>
      </c>
      <c r="O55" s="100">
        <v>0</v>
      </c>
      <c r="P55" s="100">
        <v>0.7</v>
      </c>
      <c r="Q55" s="100">
        <v>5.89</v>
      </c>
      <c r="R55" s="6"/>
      <c r="S55" s="6"/>
      <c r="T55" s="156"/>
      <c r="U55" s="6"/>
    </row>
    <row r="56" spans="1:21" customFormat="1">
      <c r="A56" s="100" t="s">
        <v>476</v>
      </c>
      <c r="B56" s="100">
        <v>23.05</v>
      </c>
      <c r="C56" s="100">
        <v>56.87</v>
      </c>
      <c r="D56" s="100">
        <v>49.55</v>
      </c>
      <c r="E56" s="100">
        <v>8.18</v>
      </c>
      <c r="F56" s="100">
        <v>4.0199999999999996</v>
      </c>
      <c r="G56" s="100">
        <v>32.68</v>
      </c>
      <c r="H56" s="100">
        <v>14.12</v>
      </c>
      <c r="I56" s="100">
        <v>7.31</v>
      </c>
      <c r="J56" s="100">
        <v>0.63</v>
      </c>
      <c r="K56" s="100">
        <v>282.95999999999998</v>
      </c>
      <c r="L56" s="100">
        <v>26.14</v>
      </c>
      <c r="M56" s="100">
        <v>71.98</v>
      </c>
      <c r="N56" s="100">
        <v>289.89999999999998</v>
      </c>
      <c r="O56" s="100">
        <v>0</v>
      </c>
      <c r="P56" s="100">
        <v>0.68</v>
      </c>
      <c r="Q56" s="100">
        <v>5.78</v>
      </c>
      <c r="R56" s="6"/>
      <c r="S56" s="6"/>
      <c r="T56" s="156"/>
      <c r="U56" s="6"/>
    </row>
    <row r="57" spans="1:21" customFormat="1">
      <c r="A57" s="100" t="s">
        <v>477</v>
      </c>
      <c r="B57" s="100">
        <v>22.61</v>
      </c>
      <c r="C57" s="100">
        <v>55.88</v>
      </c>
      <c r="D57" s="100">
        <v>48.68</v>
      </c>
      <c r="E57" s="100">
        <v>7.66</v>
      </c>
      <c r="F57" s="100">
        <v>4.09</v>
      </c>
      <c r="G57" s="100">
        <v>32.68</v>
      </c>
      <c r="H57" s="100">
        <v>14.12</v>
      </c>
      <c r="I57" s="100">
        <v>7.02</v>
      </c>
      <c r="J57" s="100">
        <v>1.01</v>
      </c>
      <c r="K57" s="100">
        <v>281.33</v>
      </c>
      <c r="L57" s="100">
        <v>26.25</v>
      </c>
      <c r="M57" s="100">
        <v>72.599999999999994</v>
      </c>
      <c r="N57" s="100">
        <v>433.8</v>
      </c>
      <c r="O57" s="100">
        <v>0</v>
      </c>
      <c r="P57" s="100">
        <v>0.67</v>
      </c>
      <c r="Q57" s="100">
        <v>5.73</v>
      </c>
      <c r="R57" s="6"/>
      <c r="S57" s="6"/>
      <c r="T57" s="156"/>
      <c r="U57" s="6"/>
    </row>
    <row r="58" spans="1:21" customFormat="1">
      <c r="A58" s="100" t="s">
        <v>478</v>
      </c>
      <c r="B58" s="100">
        <v>22.18</v>
      </c>
      <c r="C58" s="100">
        <v>56.5</v>
      </c>
      <c r="D58" s="100">
        <v>48.66</v>
      </c>
      <c r="E58" s="100">
        <v>7.55</v>
      </c>
      <c r="F58" s="100">
        <v>4.08</v>
      </c>
      <c r="G58" s="100">
        <v>29.77</v>
      </c>
      <c r="H58" s="100">
        <v>13.63</v>
      </c>
      <c r="I58" s="100">
        <v>6.79</v>
      </c>
      <c r="J58" s="100">
        <v>0.65</v>
      </c>
      <c r="K58" s="100">
        <v>278.29000000000002</v>
      </c>
      <c r="L58" s="100">
        <v>26.73</v>
      </c>
      <c r="M58" s="100">
        <v>70.33</v>
      </c>
      <c r="N58" s="100">
        <v>808.9</v>
      </c>
      <c r="O58" s="100">
        <v>0</v>
      </c>
      <c r="P58" s="100">
        <v>0.67</v>
      </c>
      <c r="Q58" s="100">
        <v>5.78</v>
      </c>
      <c r="R58" s="6"/>
      <c r="S58" s="6"/>
      <c r="T58" s="156"/>
      <c r="U58" s="6"/>
    </row>
    <row r="59" spans="1:21" customFormat="1">
      <c r="A59" s="100" t="s">
        <v>479</v>
      </c>
      <c r="B59" s="100">
        <v>21.58</v>
      </c>
      <c r="C59" s="100">
        <v>57.22</v>
      </c>
      <c r="D59" s="100">
        <v>48.55</v>
      </c>
      <c r="E59" s="100">
        <v>7.96</v>
      </c>
      <c r="F59" s="100">
        <v>3.97</v>
      </c>
      <c r="G59" s="100">
        <v>24.74</v>
      </c>
      <c r="H59" s="100">
        <v>12.09</v>
      </c>
      <c r="I59" s="100">
        <v>6.56</v>
      </c>
      <c r="J59" s="100">
        <v>0.98</v>
      </c>
      <c r="K59" s="100">
        <v>282.57</v>
      </c>
      <c r="L59" s="100">
        <v>27.36</v>
      </c>
      <c r="M59" s="100">
        <v>66.819999999999993</v>
      </c>
      <c r="N59" s="100">
        <v>948.2</v>
      </c>
      <c r="O59" s="100">
        <v>0</v>
      </c>
      <c r="P59" s="100">
        <v>0.65</v>
      </c>
      <c r="Q59" s="100">
        <v>5.78</v>
      </c>
      <c r="R59" s="6"/>
      <c r="S59" s="6"/>
      <c r="T59" s="156"/>
      <c r="U59" s="6"/>
    </row>
    <row r="60" spans="1:21" customFormat="1">
      <c r="A60" s="100" t="s">
        <v>480</v>
      </c>
      <c r="B60" s="100">
        <v>20.73</v>
      </c>
      <c r="C60" s="100">
        <v>55.67</v>
      </c>
      <c r="D60" s="100">
        <v>47.06</v>
      </c>
      <c r="E60" s="100">
        <v>8.0500000000000007</v>
      </c>
      <c r="F60" s="100">
        <v>4.16</v>
      </c>
      <c r="G60" s="100">
        <v>24.74</v>
      </c>
      <c r="H60" s="100">
        <v>12.09</v>
      </c>
      <c r="I60" s="100">
        <v>6.31</v>
      </c>
      <c r="J60" s="100">
        <v>0.9</v>
      </c>
      <c r="K60" s="100">
        <v>270.89999999999998</v>
      </c>
      <c r="L60" s="100">
        <v>28.05</v>
      </c>
      <c r="M60" s="100">
        <v>62.92</v>
      </c>
      <c r="N60" s="100">
        <v>956.3</v>
      </c>
      <c r="O60" s="100">
        <v>0</v>
      </c>
      <c r="P60" s="100">
        <v>0.64</v>
      </c>
      <c r="Q60" s="100">
        <v>5.68</v>
      </c>
      <c r="R60" s="6"/>
      <c r="S60" s="6"/>
      <c r="T60" s="156"/>
      <c r="U60" s="6"/>
    </row>
    <row r="61" spans="1:21" customFormat="1">
      <c r="A61" s="100" t="s">
        <v>481</v>
      </c>
      <c r="B61" s="100">
        <v>19.78</v>
      </c>
      <c r="C61" s="100">
        <v>55.6</v>
      </c>
      <c r="D61" s="100">
        <v>46.26</v>
      </c>
      <c r="E61" s="100">
        <v>7.63</v>
      </c>
      <c r="F61" s="100">
        <v>4.28</v>
      </c>
      <c r="G61" s="100">
        <v>24.74</v>
      </c>
      <c r="H61" s="100">
        <v>12.09</v>
      </c>
      <c r="I61" s="100">
        <v>6.24</v>
      </c>
      <c r="J61" s="100">
        <v>1.02</v>
      </c>
      <c r="K61" s="100">
        <v>267.89</v>
      </c>
      <c r="L61" s="100">
        <v>28.34</v>
      </c>
      <c r="M61" s="100">
        <v>59.37</v>
      </c>
      <c r="N61" s="100">
        <v>948.2</v>
      </c>
      <c r="O61" s="100">
        <v>0</v>
      </c>
      <c r="P61" s="100">
        <v>0.62</v>
      </c>
      <c r="Q61" s="100">
        <v>5.64</v>
      </c>
      <c r="R61" s="6"/>
      <c r="S61" s="6"/>
      <c r="T61" s="156"/>
      <c r="U61" s="6"/>
    </row>
    <row r="62" spans="1:21" customFormat="1">
      <c r="A62" s="100" t="s">
        <v>482</v>
      </c>
      <c r="B62" s="100">
        <v>18.600000000000001</v>
      </c>
      <c r="C62" s="100">
        <v>55.78</v>
      </c>
      <c r="D62" s="100">
        <v>45.41</v>
      </c>
      <c r="E62" s="100">
        <v>7.72</v>
      </c>
      <c r="F62" s="100">
        <v>4.1900000000000004</v>
      </c>
      <c r="G62" s="100">
        <v>22.91</v>
      </c>
      <c r="H62" s="100">
        <v>10.43</v>
      </c>
      <c r="I62" s="100">
        <v>6.12</v>
      </c>
      <c r="J62" s="100">
        <v>0.97</v>
      </c>
      <c r="K62" s="100">
        <v>271.56</v>
      </c>
      <c r="L62" s="100">
        <v>29.03</v>
      </c>
      <c r="M62" s="100">
        <v>57.09</v>
      </c>
      <c r="N62" s="100">
        <v>900.1</v>
      </c>
      <c r="O62" s="100">
        <v>0</v>
      </c>
      <c r="P62" s="100">
        <v>0.62</v>
      </c>
      <c r="Q62" s="100">
        <v>5.56</v>
      </c>
      <c r="R62" s="6"/>
      <c r="S62" s="6"/>
      <c r="T62" s="156"/>
      <c r="U62" s="6"/>
    </row>
    <row r="63" spans="1:21" customFormat="1">
      <c r="A63" s="100" t="s">
        <v>483</v>
      </c>
      <c r="B63" s="100">
        <v>17.899999999999999</v>
      </c>
      <c r="C63" s="100">
        <v>55.1</v>
      </c>
      <c r="D63" s="100">
        <v>44.49</v>
      </c>
      <c r="E63" s="100">
        <v>7.53</v>
      </c>
      <c r="F63" s="100">
        <v>4.78</v>
      </c>
      <c r="G63" s="100">
        <v>19.739999999999998</v>
      </c>
      <c r="H63" s="100">
        <v>8.7100000000000009</v>
      </c>
      <c r="I63" s="100">
        <v>5.81</v>
      </c>
      <c r="J63" s="100">
        <v>1.25</v>
      </c>
      <c r="K63" s="100">
        <v>273.05</v>
      </c>
      <c r="L63" s="100">
        <v>29.05</v>
      </c>
      <c r="M63" s="100">
        <v>56.1</v>
      </c>
      <c r="N63" s="100">
        <v>786.4</v>
      </c>
      <c r="O63" s="100">
        <v>0</v>
      </c>
      <c r="P63" s="100">
        <v>0.59</v>
      </c>
      <c r="Q63" s="100">
        <v>5.51</v>
      </c>
      <c r="R63" s="6"/>
      <c r="S63" s="6"/>
      <c r="T63" s="156"/>
      <c r="U63" s="6"/>
    </row>
    <row r="64" spans="1:21" customFormat="1">
      <c r="A64" s="100" t="s">
        <v>484</v>
      </c>
      <c r="B64" s="100">
        <v>16.760000000000002</v>
      </c>
      <c r="C64" s="100">
        <v>54.61</v>
      </c>
      <c r="D64" s="100">
        <v>43.32</v>
      </c>
      <c r="E64" s="100">
        <v>7.6</v>
      </c>
      <c r="F64" s="100">
        <v>4.79</v>
      </c>
      <c r="G64" s="100">
        <v>19.739999999999998</v>
      </c>
      <c r="H64" s="100">
        <v>8.7100000000000009</v>
      </c>
      <c r="I64" s="100">
        <v>5.7</v>
      </c>
      <c r="J64" s="100">
        <v>1.25</v>
      </c>
      <c r="K64" s="100">
        <v>271.64999999999998</v>
      </c>
      <c r="L64" s="100">
        <v>28.97</v>
      </c>
      <c r="M64" s="100">
        <v>57.77</v>
      </c>
      <c r="N64" s="100">
        <v>811.6</v>
      </c>
      <c r="O64" s="100">
        <v>0</v>
      </c>
      <c r="P64" s="100">
        <v>0.59</v>
      </c>
      <c r="Q64" s="100">
        <v>5.35</v>
      </c>
      <c r="R64" s="6"/>
      <c r="S64" s="6"/>
      <c r="T64" s="156"/>
      <c r="U64" s="6"/>
    </row>
    <row r="65" spans="1:21" customFormat="1">
      <c r="A65" s="100" t="s">
        <v>485</v>
      </c>
      <c r="B65" s="100">
        <v>15.71</v>
      </c>
      <c r="C65" s="100">
        <v>54.58</v>
      </c>
      <c r="D65" s="100">
        <v>42.47</v>
      </c>
      <c r="E65" s="100">
        <v>7.44</v>
      </c>
      <c r="F65" s="100">
        <v>4.76</v>
      </c>
      <c r="G65" s="100">
        <v>19.739999999999998</v>
      </c>
      <c r="H65" s="100">
        <v>8.7100000000000009</v>
      </c>
      <c r="I65" s="100">
        <v>5.5</v>
      </c>
      <c r="J65" s="100">
        <v>1.2</v>
      </c>
      <c r="K65" s="100">
        <v>281.07</v>
      </c>
      <c r="L65" s="100">
        <v>29.23</v>
      </c>
      <c r="M65" s="100">
        <v>56.04</v>
      </c>
      <c r="N65" s="100">
        <v>839.1</v>
      </c>
      <c r="O65" s="100">
        <v>0</v>
      </c>
      <c r="P65" s="100">
        <v>0.56000000000000005</v>
      </c>
      <c r="Q65" s="100">
        <v>5.3</v>
      </c>
      <c r="R65" s="6"/>
      <c r="S65" s="6"/>
      <c r="T65" s="156"/>
      <c r="U65" s="6"/>
    </row>
    <row r="66" spans="1:21" customFormat="1">
      <c r="A66" s="100" t="s">
        <v>486</v>
      </c>
      <c r="B66" s="100">
        <v>14.72</v>
      </c>
      <c r="C66" s="100">
        <v>54.9</v>
      </c>
      <c r="D66" s="100">
        <v>41.84</v>
      </c>
      <c r="E66" s="100">
        <v>7.14</v>
      </c>
      <c r="F66" s="100">
        <v>4.57</v>
      </c>
      <c r="G66" s="100">
        <v>18.12</v>
      </c>
      <c r="H66" s="100">
        <v>8.19</v>
      </c>
      <c r="I66" s="100">
        <v>5.44</v>
      </c>
      <c r="J66" s="100">
        <v>1.25</v>
      </c>
      <c r="K66" s="100">
        <v>304.20999999999998</v>
      </c>
      <c r="L66" s="100">
        <v>29.31</v>
      </c>
      <c r="M66" s="100">
        <v>55.21</v>
      </c>
      <c r="N66" s="100">
        <v>598</v>
      </c>
      <c r="O66" s="100">
        <v>0</v>
      </c>
      <c r="P66" s="100">
        <v>0.6</v>
      </c>
      <c r="Q66" s="100">
        <v>5.23</v>
      </c>
      <c r="R66" s="6"/>
      <c r="S66" s="6"/>
      <c r="T66" s="156"/>
      <c r="U66" s="6"/>
    </row>
    <row r="67" spans="1:21" customFormat="1">
      <c r="A67" s="100" t="s">
        <v>487</v>
      </c>
      <c r="B67" s="100">
        <v>14.34</v>
      </c>
      <c r="C67" s="100">
        <v>55.05</v>
      </c>
      <c r="D67" s="100">
        <v>41.62</v>
      </c>
      <c r="E67" s="100">
        <v>7.19</v>
      </c>
      <c r="F67" s="100">
        <v>4.88</v>
      </c>
      <c r="G67" s="100">
        <v>15.31</v>
      </c>
      <c r="H67" s="100">
        <v>7.64</v>
      </c>
      <c r="I67" s="100">
        <v>5.43</v>
      </c>
      <c r="J67" s="100">
        <v>1.83</v>
      </c>
      <c r="K67" s="100">
        <v>303.39999999999998</v>
      </c>
      <c r="L67" s="100">
        <v>28.99</v>
      </c>
      <c r="M67" s="100">
        <v>55.43</v>
      </c>
      <c r="N67" s="100">
        <v>549.20000000000005</v>
      </c>
      <c r="O67" s="100">
        <v>0</v>
      </c>
      <c r="P67" s="100">
        <v>0.62</v>
      </c>
      <c r="Q67" s="100">
        <v>5.26</v>
      </c>
      <c r="R67" s="6"/>
      <c r="S67" s="6"/>
      <c r="T67" s="156"/>
      <c r="U67" s="6"/>
    </row>
    <row r="68" spans="1:21" customFormat="1">
      <c r="A68" s="100" t="s">
        <v>488</v>
      </c>
      <c r="B68" s="100">
        <v>13.67</v>
      </c>
      <c r="C68" s="100">
        <v>55.07</v>
      </c>
      <c r="D68" s="100">
        <v>41.09</v>
      </c>
      <c r="E68" s="100">
        <v>6.71</v>
      </c>
      <c r="F68" s="100">
        <v>5.32</v>
      </c>
      <c r="G68" s="100">
        <v>15.31</v>
      </c>
      <c r="H68" s="100">
        <v>7.64</v>
      </c>
      <c r="I68" s="100">
        <v>5.68</v>
      </c>
      <c r="J68" s="100">
        <v>1.64</v>
      </c>
      <c r="K68" s="100">
        <v>306.94</v>
      </c>
      <c r="L68" s="100">
        <v>28.85</v>
      </c>
      <c r="M68" s="100">
        <v>53.86</v>
      </c>
      <c r="N68" s="100">
        <v>429.6</v>
      </c>
      <c r="O68" s="100">
        <v>0</v>
      </c>
      <c r="P68" s="100">
        <v>0.63</v>
      </c>
      <c r="Q68" s="100">
        <v>5.17</v>
      </c>
      <c r="R68" s="6"/>
      <c r="S68" s="6"/>
      <c r="T68" s="156"/>
      <c r="U68" s="6"/>
    </row>
    <row r="69" spans="1:21" customFormat="1">
      <c r="A69" s="100" t="s">
        <v>489</v>
      </c>
      <c r="B69" s="100">
        <v>13.2</v>
      </c>
      <c r="C69" s="100">
        <v>53.85</v>
      </c>
      <c r="D69" s="100">
        <v>40.07</v>
      </c>
      <c r="E69" s="100">
        <v>6.45</v>
      </c>
      <c r="F69" s="100">
        <v>5.62</v>
      </c>
      <c r="G69" s="100">
        <v>15.31</v>
      </c>
      <c r="H69" s="100">
        <v>7.64</v>
      </c>
      <c r="I69" s="100">
        <v>6.31</v>
      </c>
      <c r="J69" s="100">
        <v>1.49</v>
      </c>
      <c r="K69" s="100">
        <v>306.35000000000002</v>
      </c>
      <c r="L69" s="100">
        <v>28.75</v>
      </c>
      <c r="M69" s="100">
        <v>56.39</v>
      </c>
      <c r="N69" s="100">
        <v>347.5</v>
      </c>
      <c r="O69" s="100">
        <v>0</v>
      </c>
      <c r="P69" s="100">
        <v>0.6</v>
      </c>
      <c r="Q69" s="100">
        <v>5.0999999999999996</v>
      </c>
      <c r="R69" s="6"/>
      <c r="S69" s="6"/>
      <c r="T69" s="156"/>
      <c r="U69" s="6"/>
    </row>
    <row r="70" spans="1:21" customFormat="1">
      <c r="A70" s="100" t="s">
        <v>490</v>
      </c>
      <c r="B70" s="100">
        <v>12.76</v>
      </c>
      <c r="C70" s="100">
        <v>55.09</v>
      </c>
      <c r="D70" s="100">
        <v>40.369999999999997</v>
      </c>
      <c r="E70" s="100">
        <v>7.01</v>
      </c>
      <c r="F70" s="100">
        <v>5.31</v>
      </c>
      <c r="G70" s="100">
        <v>16.71</v>
      </c>
      <c r="H70" s="100">
        <v>7</v>
      </c>
      <c r="I70" s="100">
        <v>6.42</v>
      </c>
      <c r="J70" s="100">
        <v>2.0499999999999998</v>
      </c>
      <c r="K70" s="100">
        <v>311.47000000000003</v>
      </c>
      <c r="L70" s="100">
        <v>28.98</v>
      </c>
      <c r="M70" s="100">
        <v>55.06</v>
      </c>
      <c r="N70" s="100">
        <v>596.9</v>
      </c>
      <c r="O70" s="100">
        <v>0</v>
      </c>
      <c r="P70" s="100">
        <v>0.61</v>
      </c>
      <c r="Q70" s="100">
        <v>5.07</v>
      </c>
      <c r="R70" s="6"/>
      <c r="S70" s="6"/>
      <c r="T70" s="156"/>
      <c r="U70" s="6"/>
    </row>
    <row r="71" spans="1:21" customFormat="1">
      <c r="A71" s="100" t="s">
        <v>491</v>
      </c>
      <c r="B71" s="100">
        <v>12.74</v>
      </c>
      <c r="C71" s="100">
        <v>53.27</v>
      </c>
      <c r="D71" s="100">
        <v>39.4</v>
      </c>
      <c r="E71" s="100">
        <v>6.51</v>
      </c>
      <c r="F71" s="100">
        <v>6.35</v>
      </c>
      <c r="G71" s="100">
        <v>19.12</v>
      </c>
      <c r="H71" s="100">
        <v>6.33</v>
      </c>
      <c r="I71" s="100">
        <v>6.15</v>
      </c>
      <c r="J71" s="100">
        <v>1.42</v>
      </c>
      <c r="K71" s="100">
        <v>305.52999999999997</v>
      </c>
      <c r="L71" s="100">
        <v>29.23</v>
      </c>
      <c r="M71" s="100">
        <v>54.86</v>
      </c>
      <c r="N71" s="100">
        <v>538</v>
      </c>
      <c r="O71" s="100">
        <v>0</v>
      </c>
      <c r="P71" s="100">
        <v>0.59</v>
      </c>
      <c r="Q71" s="100">
        <v>5.05</v>
      </c>
      <c r="R71" s="6"/>
      <c r="S71" s="6"/>
      <c r="T71" s="156"/>
      <c r="U71" s="6"/>
    </row>
    <row r="72" spans="1:21" customFormat="1">
      <c r="A72" s="100" t="s">
        <v>492</v>
      </c>
      <c r="B72" s="100">
        <v>13.21</v>
      </c>
      <c r="C72" s="100">
        <v>49.05</v>
      </c>
      <c r="D72" s="100">
        <v>37.57</v>
      </c>
      <c r="E72" s="100">
        <v>6.58</v>
      </c>
      <c r="F72" s="100">
        <v>7.98</v>
      </c>
      <c r="G72" s="100">
        <v>19.12</v>
      </c>
      <c r="H72" s="100">
        <v>6.33</v>
      </c>
      <c r="I72" s="100">
        <v>5.99</v>
      </c>
      <c r="J72" s="100">
        <v>0.71</v>
      </c>
      <c r="K72" s="100">
        <v>333.74</v>
      </c>
      <c r="L72" s="100">
        <v>29.45</v>
      </c>
      <c r="M72" s="100">
        <v>55</v>
      </c>
      <c r="N72" s="100">
        <v>515.1</v>
      </c>
      <c r="O72" s="100">
        <v>0</v>
      </c>
      <c r="P72" s="100">
        <v>0.55000000000000004</v>
      </c>
      <c r="Q72" s="100">
        <v>4.91</v>
      </c>
      <c r="R72" s="6"/>
      <c r="S72" s="6"/>
      <c r="T72" s="156"/>
      <c r="U72" s="6"/>
    </row>
    <row r="73" spans="1:21" customFormat="1">
      <c r="A73" s="100" t="s">
        <v>493</v>
      </c>
      <c r="B73" s="100">
        <v>13.34</v>
      </c>
      <c r="C73" s="100">
        <v>45.62</v>
      </c>
      <c r="D73" s="100">
        <v>35.880000000000003</v>
      </c>
      <c r="E73" s="100">
        <v>6.8</v>
      </c>
      <c r="F73" s="100">
        <v>8.2200000000000006</v>
      </c>
      <c r="G73" s="100">
        <v>19.12</v>
      </c>
      <c r="H73" s="100">
        <v>6.33</v>
      </c>
      <c r="I73" s="100">
        <v>5.79</v>
      </c>
      <c r="J73" s="100">
        <v>0.7</v>
      </c>
      <c r="K73" s="100">
        <v>326.33</v>
      </c>
      <c r="L73" s="100">
        <v>29.26</v>
      </c>
      <c r="M73" s="100">
        <v>54.67</v>
      </c>
      <c r="N73" s="100">
        <v>316.8</v>
      </c>
      <c r="O73" s="100">
        <v>0</v>
      </c>
      <c r="P73" s="100">
        <v>0.52</v>
      </c>
      <c r="Q73" s="100">
        <v>4.76</v>
      </c>
      <c r="R73" s="6"/>
      <c r="S73" s="6"/>
      <c r="T73" s="156"/>
      <c r="U73" s="6"/>
    </row>
    <row r="74" spans="1:21" customFormat="1">
      <c r="A74" s="100" t="s">
        <v>494</v>
      </c>
      <c r="B74" s="100">
        <v>13.38</v>
      </c>
      <c r="C74" s="100">
        <v>44.86</v>
      </c>
      <c r="D74" s="100">
        <v>35.520000000000003</v>
      </c>
      <c r="E74" s="100">
        <v>6.26</v>
      </c>
      <c r="F74" s="100">
        <v>8.3800000000000008</v>
      </c>
      <c r="G74" s="100">
        <v>19.760000000000002</v>
      </c>
      <c r="H74" s="100">
        <v>7.16</v>
      </c>
      <c r="I74" s="100">
        <v>5.52</v>
      </c>
      <c r="J74" s="100">
        <v>0.64</v>
      </c>
      <c r="K74" s="100">
        <v>325</v>
      </c>
      <c r="L74" s="100">
        <v>28.77</v>
      </c>
      <c r="M74" s="100">
        <v>55.85</v>
      </c>
      <c r="N74" s="100">
        <v>180.4</v>
      </c>
      <c r="O74" s="100">
        <v>0</v>
      </c>
      <c r="P74" s="100">
        <v>0.51</v>
      </c>
      <c r="Q74" s="100">
        <v>4.7</v>
      </c>
      <c r="R74" s="6"/>
      <c r="S74" s="6"/>
      <c r="T74" s="156"/>
      <c r="U74" s="6"/>
    </row>
    <row r="75" spans="1:21" customFormat="1">
      <c r="A75" s="100" t="s">
        <v>495</v>
      </c>
      <c r="B75" s="100">
        <v>13.8</v>
      </c>
      <c r="C75" s="100">
        <v>51.57</v>
      </c>
      <c r="D75" s="100">
        <v>39.36</v>
      </c>
      <c r="E75" s="100">
        <v>7.03</v>
      </c>
      <c r="F75" s="100">
        <v>5</v>
      </c>
      <c r="G75" s="100">
        <v>20.88</v>
      </c>
      <c r="H75" s="100">
        <v>8.02</v>
      </c>
      <c r="I75" s="100">
        <v>5.31</v>
      </c>
      <c r="J75" s="100">
        <v>0.96</v>
      </c>
      <c r="K75" s="100">
        <v>295.47000000000003</v>
      </c>
      <c r="L75" s="100">
        <v>28.44</v>
      </c>
      <c r="M75" s="100">
        <v>56.44</v>
      </c>
      <c r="N75" s="100">
        <v>126.8</v>
      </c>
      <c r="O75" s="100">
        <v>0</v>
      </c>
      <c r="P75" s="100">
        <v>0.55000000000000004</v>
      </c>
      <c r="Q75" s="100">
        <v>4.88</v>
      </c>
      <c r="R75" s="6"/>
      <c r="S75" s="6"/>
      <c r="T75" s="156"/>
      <c r="U75" s="6"/>
    </row>
    <row r="76" spans="1:21" customFormat="1">
      <c r="A76" s="100" t="s">
        <v>496</v>
      </c>
      <c r="B76" s="100">
        <v>14.54</v>
      </c>
      <c r="C76" s="100">
        <v>48.93</v>
      </c>
      <c r="D76" s="100">
        <v>38.58</v>
      </c>
      <c r="E76" s="100">
        <v>6.74</v>
      </c>
      <c r="F76" s="100">
        <v>6.38</v>
      </c>
      <c r="G76" s="100">
        <v>20.88</v>
      </c>
      <c r="H76" s="100">
        <v>8.02</v>
      </c>
      <c r="I76" s="100">
        <v>5.28</v>
      </c>
      <c r="J76" s="100">
        <v>1.46</v>
      </c>
      <c r="K76" s="100">
        <v>300.48</v>
      </c>
      <c r="L76" s="100">
        <v>28.2</v>
      </c>
      <c r="M76" s="100">
        <v>57.21</v>
      </c>
      <c r="N76" s="100">
        <v>107.1</v>
      </c>
      <c r="O76" s="100">
        <v>0</v>
      </c>
      <c r="P76" s="100">
        <v>0.53</v>
      </c>
      <c r="Q76" s="100">
        <v>4.8600000000000003</v>
      </c>
      <c r="R76" s="6"/>
      <c r="S76" s="6"/>
      <c r="T76" s="156"/>
      <c r="U76" s="6"/>
    </row>
    <row r="77" spans="1:21" customFormat="1">
      <c r="A77" s="100" t="s">
        <v>497</v>
      </c>
      <c r="B77" s="100">
        <v>14.73</v>
      </c>
      <c r="C77" s="100">
        <v>50.82</v>
      </c>
      <c r="D77" s="100">
        <v>39.72</v>
      </c>
      <c r="E77" s="100">
        <v>6.91</v>
      </c>
      <c r="F77" s="100">
        <v>4.8499999999999996</v>
      </c>
      <c r="G77" s="100">
        <v>20.88</v>
      </c>
      <c r="H77" s="100">
        <v>8.02</v>
      </c>
      <c r="I77" s="100">
        <v>5.24</v>
      </c>
      <c r="J77" s="100">
        <v>0.95</v>
      </c>
      <c r="K77" s="100">
        <v>303.27999999999997</v>
      </c>
      <c r="L77" s="100">
        <v>27.99</v>
      </c>
      <c r="M77" s="100">
        <v>58.15</v>
      </c>
      <c r="N77" s="100">
        <v>68.3</v>
      </c>
      <c r="O77" s="100">
        <v>0</v>
      </c>
      <c r="P77" s="100">
        <v>0.55000000000000004</v>
      </c>
      <c r="Q77" s="100">
        <v>4.93</v>
      </c>
      <c r="R77" s="6"/>
      <c r="S77" s="6"/>
      <c r="T77" s="156"/>
      <c r="U77" s="6"/>
    </row>
    <row r="78" spans="1:21" customFormat="1">
      <c r="A78" s="100" t="s">
        <v>498</v>
      </c>
      <c r="B78" s="100">
        <v>15.14</v>
      </c>
      <c r="C78" s="100">
        <v>50.32</v>
      </c>
      <c r="D78" s="100">
        <v>39.78</v>
      </c>
      <c r="E78" s="100">
        <v>7.42</v>
      </c>
      <c r="F78" s="100">
        <v>8.19</v>
      </c>
      <c r="G78" s="100">
        <v>22.26</v>
      </c>
      <c r="H78" s="100">
        <v>7.45</v>
      </c>
      <c r="I78" s="100">
        <v>5.15</v>
      </c>
      <c r="J78" s="100">
        <v>0.61</v>
      </c>
      <c r="K78" s="100">
        <v>313.45</v>
      </c>
      <c r="L78" s="100">
        <v>28.01</v>
      </c>
      <c r="M78" s="100">
        <v>59.53</v>
      </c>
      <c r="N78" s="100">
        <v>54.1</v>
      </c>
      <c r="O78" s="100">
        <v>0</v>
      </c>
      <c r="P78" s="100">
        <v>0.54</v>
      </c>
      <c r="Q78" s="100">
        <v>5.01</v>
      </c>
      <c r="R78" s="6"/>
      <c r="S78" s="6"/>
      <c r="T78" s="156"/>
      <c r="U78" s="6"/>
    </row>
    <row r="79" spans="1:21" customFormat="1">
      <c r="A79" s="100" t="s">
        <v>499</v>
      </c>
      <c r="B79" s="100">
        <v>15.69</v>
      </c>
      <c r="C79" s="100">
        <v>47.16</v>
      </c>
      <c r="D79" s="100">
        <v>38.57</v>
      </c>
      <c r="E79" s="100">
        <v>7.03</v>
      </c>
      <c r="F79" s="100">
        <v>8.7200000000000006</v>
      </c>
      <c r="G79" s="100">
        <v>24.64</v>
      </c>
      <c r="H79" s="100">
        <v>6.85</v>
      </c>
      <c r="I79" s="100">
        <v>5.17</v>
      </c>
      <c r="J79" s="100">
        <v>0.34</v>
      </c>
      <c r="K79" s="100">
        <v>0.73</v>
      </c>
      <c r="L79" s="100">
        <v>27.78</v>
      </c>
      <c r="M79" s="100">
        <v>62.5</v>
      </c>
      <c r="N79" s="100">
        <v>25.6</v>
      </c>
      <c r="O79" s="100">
        <v>0</v>
      </c>
      <c r="P79" s="100">
        <v>0.53</v>
      </c>
      <c r="Q79" s="100">
        <v>4.88</v>
      </c>
      <c r="R79" s="6"/>
      <c r="S79" s="6"/>
      <c r="T79" s="156"/>
      <c r="U79" s="6"/>
    </row>
    <row r="80" spans="1:21" customFormat="1">
      <c r="A80" s="100" t="s">
        <v>500</v>
      </c>
      <c r="B80" s="100">
        <v>16.850000000000001</v>
      </c>
      <c r="C80" s="100">
        <v>52.31</v>
      </c>
      <c r="D80" s="100">
        <v>42.19</v>
      </c>
      <c r="E80" s="100">
        <v>7.14</v>
      </c>
      <c r="F80" s="100">
        <v>5.38</v>
      </c>
      <c r="G80" s="100">
        <v>24.64</v>
      </c>
      <c r="H80" s="100">
        <v>6.85</v>
      </c>
      <c r="I80" s="100">
        <v>4.88</v>
      </c>
      <c r="J80" s="100">
        <v>0.52</v>
      </c>
      <c r="K80" s="100">
        <v>41.58</v>
      </c>
      <c r="L80" s="100">
        <v>27.53</v>
      </c>
      <c r="M80" s="100">
        <v>63.95</v>
      </c>
      <c r="N80" s="100">
        <v>16.8</v>
      </c>
      <c r="O80" s="100">
        <v>0</v>
      </c>
      <c r="P80" s="100">
        <v>0.56000000000000005</v>
      </c>
      <c r="Q80" s="100">
        <v>5.0199999999999996</v>
      </c>
      <c r="R80" s="6"/>
      <c r="S80" s="6"/>
      <c r="T80" s="156"/>
      <c r="U80" s="6"/>
    </row>
    <row r="81" spans="1:21" customFormat="1">
      <c r="A81" s="100" t="s">
        <v>501</v>
      </c>
      <c r="B81" s="100">
        <v>18.739999999999998</v>
      </c>
      <c r="C81" s="100">
        <v>48.51</v>
      </c>
      <c r="D81" s="100">
        <v>41.72</v>
      </c>
      <c r="E81" s="100">
        <v>6.47</v>
      </c>
      <c r="F81" s="100">
        <v>7.77</v>
      </c>
      <c r="G81" s="100">
        <v>24.64</v>
      </c>
      <c r="H81" s="100">
        <v>6.85</v>
      </c>
      <c r="I81" s="100">
        <v>4.95</v>
      </c>
      <c r="J81" s="100">
        <v>0.35</v>
      </c>
      <c r="K81" s="100">
        <v>29.02</v>
      </c>
      <c r="L81" s="100">
        <v>27.34</v>
      </c>
      <c r="M81" s="100">
        <v>65.58</v>
      </c>
      <c r="N81" s="100">
        <v>3.9</v>
      </c>
      <c r="O81" s="100">
        <v>0</v>
      </c>
      <c r="P81" s="100">
        <v>0.56999999999999995</v>
      </c>
      <c r="Q81" s="100">
        <v>5.03</v>
      </c>
      <c r="R81" s="6"/>
      <c r="S81" s="6"/>
      <c r="T81" s="156"/>
      <c r="U81" s="6"/>
    </row>
    <row r="82" spans="1:21" customFormat="1">
      <c r="A82" s="100" t="s">
        <v>502</v>
      </c>
      <c r="B82" s="100">
        <v>20.21</v>
      </c>
      <c r="C82" s="100">
        <v>50.58</v>
      </c>
      <c r="D82" s="100">
        <v>43.98</v>
      </c>
      <c r="E82" s="100">
        <v>7.04</v>
      </c>
      <c r="F82" s="100">
        <v>5.77</v>
      </c>
      <c r="G82" s="100">
        <v>28.92</v>
      </c>
      <c r="H82" s="100">
        <v>8.11</v>
      </c>
      <c r="I82" s="100">
        <v>4.88</v>
      </c>
      <c r="J82" s="100">
        <v>0.25</v>
      </c>
      <c r="K82" s="100">
        <v>46.36</v>
      </c>
      <c r="L82" s="100">
        <v>27.06</v>
      </c>
      <c r="M82" s="100">
        <v>66.930000000000007</v>
      </c>
      <c r="N82" s="100">
        <v>0</v>
      </c>
      <c r="O82" s="100">
        <v>0</v>
      </c>
      <c r="P82" s="100">
        <v>0.56999999999999995</v>
      </c>
      <c r="Q82" s="100">
        <v>5.14</v>
      </c>
      <c r="R82" s="6"/>
      <c r="S82" s="6"/>
      <c r="T82" s="156"/>
      <c r="U82" s="6"/>
    </row>
    <row r="83" spans="1:21" customFormat="1">
      <c r="A83" s="100" t="s">
        <v>503</v>
      </c>
      <c r="B83" s="100">
        <v>19.920000000000002</v>
      </c>
      <c r="C83" s="100">
        <v>51.19</v>
      </c>
      <c r="D83" s="100">
        <v>44.07</v>
      </c>
      <c r="E83" s="100">
        <v>7.17</v>
      </c>
      <c r="F83" s="100">
        <v>5.79</v>
      </c>
      <c r="G83" s="100">
        <v>36.31</v>
      </c>
      <c r="H83" s="100">
        <v>10.17</v>
      </c>
      <c r="I83" s="100">
        <v>4.78</v>
      </c>
      <c r="J83" s="100">
        <v>0.17</v>
      </c>
      <c r="K83" s="100">
        <v>132.91999999999999</v>
      </c>
      <c r="L83" s="100">
        <v>26.68</v>
      </c>
      <c r="M83" s="100">
        <v>71.069999999999993</v>
      </c>
      <c r="N83" s="100">
        <v>0</v>
      </c>
      <c r="O83" s="100">
        <v>0</v>
      </c>
      <c r="P83" s="100">
        <v>0.57999999999999996</v>
      </c>
      <c r="Q83" s="100">
        <v>5.38</v>
      </c>
      <c r="R83" s="6"/>
      <c r="S83" s="6"/>
      <c r="T83" s="156"/>
      <c r="U83" s="6"/>
    </row>
    <row r="84" spans="1:21" customFormat="1">
      <c r="A84" s="100" t="s">
        <v>504</v>
      </c>
      <c r="B84" s="100">
        <v>20.61</v>
      </c>
      <c r="C84" s="100">
        <v>47.83</v>
      </c>
      <c r="D84" s="100">
        <v>42.87</v>
      </c>
      <c r="E84" s="100">
        <v>7.07</v>
      </c>
      <c r="F84" s="100">
        <v>6.44</v>
      </c>
      <c r="G84" s="100">
        <v>36.31</v>
      </c>
      <c r="H84" s="100">
        <v>10.17</v>
      </c>
      <c r="I84" s="100">
        <v>4.96</v>
      </c>
      <c r="J84" s="100">
        <v>0.26</v>
      </c>
      <c r="K84" s="100">
        <v>166.39</v>
      </c>
      <c r="L84" s="100">
        <v>26.12</v>
      </c>
      <c r="M84" s="100">
        <v>75.3</v>
      </c>
      <c r="N84" s="100">
        <v>0</v>
      </c>
      <c r="O84" s="100">
        <v>0</v>
      </c>
      <c r="P84" s="100">
        <v>0.54</v>
      </c>
      <c r="Q84" s="100">
        <v>5.27</v>
      </c>
      <c r="R84" s="6"/>
      <c r="S84" s="6"/>
      <c r="T84" s="156"/>
      <c r="U84" s="6"/>
    </row>
    <row r="85" spans="1:21" customFormat="1">
      <c r="A85" s="100" t="s">
        <v>505</v>
      </c>
      <c r="B85" s="100">
        <v>21.89</v>
      </c>
      <c r="C85" s="100">
        <v>52.77</v>
      </c>
      <c r="D85" s="100">
        <v>46.47</v>
      </c>
      <c r="E85" s="100">
        <v>7.34</v>
      </c>
      <c r="F85" s="100">
        <v>4.01</v>
      </c>
      <c r="G85" s="100">
        <v>36.31</v>
      </c>
      <c r="H85" s="100">
        <v>10.17</v>
      </c>
      <c r="I85" s="100">
        <v>4.8499999999999996</v>
      </c>
      <c r="J85" s="100">
        <v>0.17</v>
      </c>
      <c r="K85" s="100">
        <v>161.56</v>
      </c>
      <c r="L85" s="100">
        <v>25.94</v>
      </c>
      <c r="M85" s="100">
        <v>77.78</v>
      </c>
      <c r="N85" s="100">
        <v>0</v>
      </c>
      <c r="O85" s="100">
        <v>0</v>
      </c>
      <c r="P85" s="100">
        <v>0.57999999999999996</v>
      </c>
      <c r="Q85" s="100">
        <v>5.41</v>
      </c>
      <c r="R85" s="6"/>
      <c r="S85" s="6"/>
      <c r="T85" s="156"/>
      <c r="U85" s="6"/>
    </row>
    <row r="86" spans="1:21" customFormat="1">
      <c r="A86" s="100" t="s">
        <v>506</v>
      </c>
      <c r="B86" s="100">
        <v>21.78</v>
      </c>
      <c r="C86" s="100">
        <v>48.09</v>
      </c>
      <c r="D86" s="100">
        <v>43.94</v>
      </c>
      <c r="E86" s="100">
        <v>7.46</v>
      </c>
      <c r="F86" s="100">
        <v>6.44</v>
      </c>
      <c r="G86" s="100">
        <v>35.28</v>
      </c>
      <c r="H86" s="100">
        <v>8.84</v>
      </c>
      <c r="I86" s="100">
        <v>4.92</v>
      </c>
      <c r="J86" s="100">
        <v>0.22</v>
      </c>
      <c r="K86" s="100">
        <v>174.38</v>
      </c>
      <c r="L86" s="100">
        <v>25.74</v>
      </c>
      <c r="M86" s="100">
        <v>79.02</v>
      </c>
      <c r="N86" s="100">
        <v>0</v>
      </c>
      <c r="O86" s="100">
        <v>0</v>
      </c>
      <c r="P86" s="100">
        <v>0.55000000000000004</v>
      </c>
      <c r="Q86" s="100">
        <v>5.41</v>
      </c>
      <c r="R86" s="6"/>
      <c r="S86" s="6"/>
      <c r="T86" s="156"/>
      <c r="U86" s="6"/>
    </row>
    <row r="87" spans="1:21" customFormat="1">
      <c r="A87" s="100" t="s">
        <v>507</v>
      </c>
      <c r="B87" s="100">
        <v>22.81</v>
      </c>
      <c r="C87" s="100">
        <v>50.91</v>
      </c>
      <c r="D87" s="100">
        <v>46.24</v>
      </c>
      <c r="E87" s="100">
        <v>7.51</v>
      </c>
      <c r="F87" s="100">
        <v>4.66</v>
      </c>
      <c r="G87" s="100">
        <v>33.5</v>
      </c>
      <c r="H87" s="100">
        <v>7.18</v>
      </c>
      <c r="I87" s="100">
        <v>4.96</v>
      </c>
      <c r="J87" s="100">
        <v>0.15</v>
      </c>
      <c r="K87" s="100">
        <v>193.29</v>
      </c>
      <c r="L87" s="100">
        <v>25.46</v>
      </c>
      <c r="M87" s="100">
        <v>79.64</v>
      </c>
      <c r="N87" s="100">
        <v>0</v>
      </c>
      <c r="O87" s="100">
        <v>0</v>
      </c>
      <c r="P87" s="100">
        <v>0.57999999999999996</v>
      </c>
      <c r="Q87" s="100">
        <v>5.46</v>
      </c>
      <c r="R87" s="6"/>
      <c r="S87" s="6"/>
      <c r="T87" s="156"/>
      <c r="U87" s="6"/>
    </row>
    <row r="88" spans="1:21" customFormat="1">
      <c r="A88" s="100" t="s">
        <v>508</v>
      </c>
      <c r="B88" s="100">
        <v>23.72</v>
      </c>
      <c r="C88" s="100">
        <v>49.87</v>
      </c>
      <c r="D88" s="100">
        <v>46.43</v>
      </c>
      <c r="E88" s="100">
        <v>7.59</v>
      </c>
      <c r="F88" s="100">
        <v>4.41</v>
      </c>
      <c r="G88" s="100">
        <v>33.5</v>
      </c>
      <c r="H88" s="100">
        <v>7.18</v>
      </c>
      <c r="I88" s="100">
        <v>4.79</v>
      </c>
      <c r="J88" s="100">
        <v>0.14000000000000001</v>
      </c>
      <c r="K88" s="100">
        <v>182.23</v>
      </c>
      <c r="L88" s="100">
        <v>25.27</v>
      </c>
      <c r="M88" s="100">
        <v>81.78</v>
      </c>
      <c r="N88" s="100">
        <v>0</v>
      </c>
      <c r="O88" s="100">
        <v>0</v>
      </c>
      <c r="P88" s="100">
        <v>0.56000000000000005</v>
      </c>
      <c r="Q88" s="100">
        <v>5.45</v>
      </c>
      <c r="R88" s="6"/>
      <c r="S88" s="6"/>
      <c r="T88" s="156"/>
      <c r="U88" s="6"/>
    </row>
    <row r="89" spans="1:21" customFormat="1">
      <c r="A89" s="100" t="s">
        <v>509</v>
      </c>
      <c r="B89" s="100">
        <v>24.47</v>
      </c>
      <c r="C89" s="100">
        <v>50.98</v>
      </c>
      <c r="D89" s="100">
        <v>47.61</v>
      </c>
      <c r="E89" s="100">
        <v>7.53</v>
      </c>
      <c r="F89" s="100">
        <v>3.85</v>
      </c>
      <c r="G89" s="100">
        <v>33.5</v>
      </c>
      <c r="H89" s="100">
        <v>7.18</v>
      </c>
      <c r="I89" s="100">
        <v>4.9400000000000004</v>
      </c>
      <c r="J89" s="100">
        <v>0.12</v>
      </c>
      <c r="K89" s="100">
        <v>166.62</v>
      </c>
      <c r="L89" s="100">
        <v>25.11</v>
      </c>
      <c r="M89" s="100">
        <v>82.78</v>
      </c>
      <c r="N89" s="100">
        <v>0</v>
      </c>
      <c r="O89" s="100">
        <v>0</v>
      </c>
      <c r="P89" s="100">
        <v>0.57999999999999996</v>
      </c>
      <c r="Q89" s="100">
        <v>5.52</v>
      </c>
      <c r="R89" s="6"/>
      <c r="S89" s="6"/>
      <c r="T89" s="156"/>
      <c r="U89" s="6"/>
    </row>
    <row r="90" spans="1:21" customFormat="1">
      <c r="A90" s="100" t="s">
        <v>510</v>
      </c>
      <c r="B90" s="100">
        <v>25.06</v>
      </c>
      <c r="C90" s="100">
        <v>51.76</v>
      </c>
      <c r="D90" s="100">
        <v>48.49</v>
      </c>
      <c r="E90" s="100">
        <v>7.64</v>
      </c>
      <c r="F90" s="100">
        <v>4.16</v>
      </c>
      <c r="G90" s="100">
        <v>31.83</v>
      </c>
      <c r="H90" s="100">
        <v>7.44</v>
      </c>
      <c r="I90" s="100">
        <v>4.8600000000000003</v>
      </c>
      <c r="J90" s="100">
        <v>0.11</v>
      </c>
      <c r="K90" s="100">
        <v>168.24</v>
      </c>
      <c r="L90" s="100">
        <v>25.09</v>
      </c>
      <c r="M90" s="100">
        <v>82.89</v>
      </c>
      <c r="N90" s="100">
        <v>0</v>
      </c>
      <c r="O90" s="100">
        <v>0</v>
      </c>
      <c r="P90" s="100">
        <v>0.56999999999999995</v>
      </c>
      <c r="Q90" s="100">
        <v>5.58</v>
      </c>
      <c r="R90" s="6"/>
      <c r="S90" s="6"/>
      <c r="T90" s="156"/>
      <c r="U90" s="6"/>
    </row>
    <row r="91" spans="1:21" customFormat="1">
      <c r="A91" s="100" t="s">
        <v>511</v>
      </c>
      <c r="B91" s="100">
        <v>25.41</v>
      </c>
      <c r="C91" s="100">
        <v>57.97</v>
      </c>
      <c r="D91" s="100">
        <v>52.02</v>
      </c>
      <c r="E91" s="100">
        <v>7.65</v>
      </c>
      <c r="F91" s="100">
        <v>3.86</v>
      </c>
      <c r="G91" s="100">
        <v>28.94</v>
      </c>
      <c r="H91" s="100">
        <v>7.72</v>
      </c>
      <c r="I91" s="100">
        <v>4.96</v>
      </c>
      <c r="J91" s="100">
        <v>0.11</v>
      </c>
      <c r="K91" s="100">
        <v>192.08</v>
      </c>
      <c r="L91" s="100">
        <v>25.02</v>
      </c>
      <c r="M91" s="100">
        <v>81.900000000000006</v>
      </c>
      <c r="N91" s="100">
        <v>0</v>
      </c>
      <c r="O91" s="100">
        <v>0</v>
      </c>
      <c r="P91" s="100">
        <v>0.59</v>
      </c>
      <c r="Q91" s="100">
        <v>5.82</v>
      </c>
      <c r="R91" s="6"/>
      <c r="S91" s="6"/>
      <c r="T91" s="156"/>
      <c r="U91" s="6"/>
    </row>
    <row r="92" spans="1:21" customFormat="1">
      <c r="A92" s="100" t="s">
        <v>512</v>
      </c>
      <c r="B92" s="100">
        <v>25.48</v>
      </c>
      <c r="C92" s="100">
        <v>58.89</v>
      </c>
      <c r="D92" s="100">
        <v>52.55</v>
      </c>
      <c r="E92" s="100">
        <v>7.61</v>
      </c>
      <c r="F92" s="100">
        <v>3.74</v>
      </c>
      <c r="G92" s="100">
        <v>28.94</v>
      </c>
      <c r="H92" s="100">
        <v>7.72</v>
      </c>
      <c r="I92" s="100">
        <v>4.96</v>
      </c>
      <c r="J92" s="100">
        <v>0.16</v>
      </c>
      <c r="K92" s="100">
        <v>152.63</v>
      </c>
      <c r="L92" s="100">
        <v>25.11</v>
      </c>
      <c r="M92" s="100">
        <v>82.88</v>
      </c>
      <c r="N92" s="100">
        <v>0</v>
      </c>
      <c r="O92" s="100">
        <v>0</v>
      </c>
      <c r="P92" s="100">
        <v>0.59</v>
      </c>
      <c r="Q92" s="100">
        <v>5.93</v>
      </c>
      <c r="R92" s="6"/>
      <c r="S92" s="6"/>
      <c r="T92" s="156"/>
      <c r="U92" s="6"/>
    </row>
    <row r="93" spans="1:21" customFormat="1">
      <c r="A93" s="100" t="s">
        <v>513</v>
      </c>
      <c r="B93" s="100">
        <v>25.4</v>
      </c>
      <c r="C93" s="100">
        <v>58.68</v>
      </c>
      <c r="D93" s="100">
        <v>52.38</v>
      </c>
      <c r="E93" s="100">
        <v>7.27</v>
      </c>
      <c r="F93" s="100">
        <v>3.78</v>
      </c>
      <c r="G93" s="100">
        <v>28.94</v>
      </c>
      <c r="H93" s="100">
        <v>7.72</v>
      </c>
      <c r="I93" s="100">
        <v>4.91</v>
      </c>
      <c r="J93" s="100">
        <v>0.1</v>
      </c>
      <c r="K93" s="100">
        <v>136.34</v>
      </c>
      <c r="L93" s="100">
        <v>24.97</v>
      </c>
      <c r="M93" s="100">
        <v>83.26</v>
      </c>
      <c r="N93" s="100">
        <v>0</v>
      </c>
      <c r="O93" s="100">
        <v>0</v>
      </c>
      <c r="P93" s="100">
        <v>0.57999999999999996</v>
      </c>
      <c r="Q93" s="100">
        <v>5.97</v>
      </c>
      <c r="R93" s="6"/>
      <c r="S93" s="6"/>
      <c r="T93" s="156"/>
      <c r="U93" s="6"/>
    </row>
    <row r="94" spans="1:21" customFormat="1">
      <c r="A94" s="100" t="s">
        <v>514</v>
      </c>
      <c r="B94" s="100">
        <v>25.46</v>
      </c>
      <c r="C94" s="100">
        <v>58.41</v>
      </c>
      <c r="D94" s="100">
        <v>52.28</v>
      </c>
      <c r="E94" s="100">
        <v>7</v>
      </c>
      <c r="F94" s="100">
        <v>3.87</v>
      </c>
      <c r="G94" s="100">
        <v>28.93</v>
      </c>
      <c r="H94" s="100">
        <v>7.88</v>
      </c>
      <c r="I94" s="100">
        <v>4.83</v>
      </c>
      <c r="J94" s="100">
        <v>0.13</v>
      </c>
      <c r="K94" s="100">
        <v>169.46</v>
      </c>
      <c r="L94" s="100">
        <v>24.83</v>
      </c>
      <c r="M94" s="100">
        <v>83.17</v>
      </c>
      <c r="N94" s="100">
        <v>0</v>
      </c>
      <c r="O94" s="100">
        <v>0</v>
      </c>
      <c r="P94" s="100">
        <v>0.57999999999999996</v>
      </c>
      <c r="Q94" s="100">
        <v>5.98</v>
      </c>
      <c r="R94" s="6"/>
      <c r="S94" s="6"/>
      <c r="T94" s="156"/>
      <c r="U94" s="6"/>
    </row>
    <row r="95" spans="1:21" customFormat="1">
      <c r="A95" s="100" t="s">
        <v>515</v>
      </c>
      <c r="B95" s="100">
        <v>25.71</v>
      </c>
      <c r="C95" s="100">
        <v>58.5</v>
      </c>
      <c r="D95" s="100">
        <v>52.53</v>
      </c>
      <c r="E95" s="100">
        <v>7.62</v>
      </c>
      <c r="F95" s="100">
        <v>3.59</v>
      </c>
      <c r="G95" s="100">
        <v>28.9</v>
      </c>
      <c r="H95" s="100">
        <v>8.06</v>
      </c>
      <c r="I95" s="100">
        <v>4.82</v>
      </c>
      <c r="J95" s="100">
        <v>0.15</v>
      </c>
      <c r="K95" s="100">
        <v>295.57</v>
      </c>
      <c r="L95" s="100">
        <v>24.7</v>
      </c>
      <c r="M95" s="100">
        <v>83.43</v>
      </c>
      <c r="N95" s="100">
        <v>0</v>
      </c>
      <c r="O95" s="100">
        <v>0</v>
      </c>
      <c r="P95" s="100">
        <v>0.59</v>
      </c>
      <c r="Q95" s="100">
        <v>6</v>
      </c>
      <c r="R95" s="6"/>
      <c r="S95" s="6"/>
      <c r="T95" s="156"/>
      <c r="U95" s="6"/>
    </row>
    <row r="96" spans="1:21" customFormat="1">
      <c r="A96" s="100" t="s">
        <v>516</v>
      </c>
      <c r="B96" s="100">
        <v>27.3</v>
      </c>
      <c r="C96" s="100">
        <v>58.27</v>
      </c>
      <c r="D96" s="100">
        <v>53.69</v>
      </c>
      <c r="E96" s="100">
        <v>7.6</v>
      </c>
      <c r="F96" s="100">
        <v>3.6</v>
      </c>
      <c r="G96" s="100">
        <v>28.9</v>
      </c>
      <c r="H96" s="100">
        <v>8.06</v>
      </c>
      <c r="I96" s="100">
        <v>4.8499999999999996</v>
      </c>
      <c r="J96" s="100">
        <v>0.39</v>
      </c>
      <c r="K96" s="100">
        <v>44.89</v>
      </c>
      <c r="L96" s="100">
        <v>24.78</v>
      </c>
      <c r="M96" s="100">
        <v>81.91</v>
      </c>
      <c r="N96" s="100">
        <v>0</v>
      </c>
      <c r="O96" s="100">
        <v>0</v>
      </c>
      <c r="P96" s="100">
        <v>0.61</v>
      </c>
      <c r="Q96" s="100">
        <v>6.07</v>
      </c>
      <c r="R96" s="6"/>
      <c r="S96" s="6"/>
      <c r="T96" s="156"/>
      <c r="U96" s="6"/>
    </row>
    <row r="97" spans="1:28" customFormat="1">
      <c r="A97" s="100" t="s">
        <v>517</v>
      </c>
      <c r="B97" s="100">
        <v>29.92</v>
      </c>
      <c r="C97" s="100">
        <v>57.72</v>
      </c>
      <c r="D97" s="100">
        <v>55.5</v>
      </c>
      <c r="E97" s="100">
        <v>7.31</v>
      </c>
      <c r="F97" s="100">
        <v>3.7</v>
      </c>
      <c r="G97" s="100">
        <v>28.9</v>
      </c>
      <c r="H97" s="100">
        <v>8.06</v>
      </c>
      <c r="I97" s="100">
        <v>4.87</v>
      </c>
      <c r="J97" s="100">
        <v>0.1</v>
      </c>
      <c r="K97" s="100">
        <v>127.5</v>
      </c>
      <c r="L97" s="100">
        <v>24.62</v>
      </c>
      <c r="M97" s="100">
        <v>84.77</v>
      </c>
      <c r="N97" s="100">
        <v>0</v>
      </c>
      <c r="O97" s="100">
        <v>0</v>
      </c>
      <c r="P97" s="100">
        <v>0.62</v>
      </c>
      <c r="Q97" s="100">
        <v>6.19</v>
      </c>
      <c r="R97" s="6"/>
      <c r="S97" s="6"/>
      <c r="T97" s="156"/>
      <c r="U97" s="6"/>
    </row>
    <row r="98" spans="1:28" customFormat="1">
      <c r="A98" s="100" t="s">
        <v>518</v>
      </c>
      <c r="B98" s="100">
        <v>31.92</v>
      </c>
      <c r="C98" s="100">
        <v>58.36</v>
      </c>
      <c r="D98" s="100">
        <v>57.44</v>
      </c>
      <c r="E98" s="100">
        <v>7.63</v>
      </c>
      <c r="F98" s="100">
        <v>3.64</v>
      </c>
      <c r="G98" s="100">
        <v>30.78</v>
      </c>
      <c r="H98" s="100">
        <v>10.81</v>
      </c>
      <c r="I98" s="100">
        <v>5</v>
      </c>
      <c r="J98" s="100">
        <v>0.23</v>
      </c>
      <c r="K98" s="100">
        <v>166.68</v>
      </c>
      <c r="L98" s="100">
        <v>24.29</v>
      </c>
      <c r="M98" s="100">
        <v>87.23</v>
      </c>
      <c r="N98" s="100">
        <v>0</v>
      </c>
      <c r="O98" s="100">
        <v>0</v>
      </c>
      <c r="P98" s="100">
        <v>0.62</v>
      </c>
      <c r="Q98" s="100">
        <v>6.38</v>
      </c>
      <c r="R98" s="6"/>
      <c r="S98" s="6"/>
      <c r="T98" s="156"/>
      <c r="U98" s="6"/>
    </row>
    <row r="99" spans="1:28" customFormat="1">
      <c r="A99" s="100" t="s">
        <v>519</v>
      </c>
      <c r="B99" s="100">
        <v>33.28</v>
      </c>
      <c r="C99" s="100">
        <v>58.71</v>
      </c>
      <c r="D99" s="100">
        <v>58.71</v>
      </c>
      <c r="E99" s="100">
        <v>7.5</v>
      </c>
      <c r="F99" s="100">
        <v>3.49</v>
      </c>
      <c r="G99" s="100">
        <v>34.01</v>
      </c>
      <c r="H99" s="100">
        <v>13.73</v>
      </c>
      <c r="I99" s="100">
        <v>5.01</v>
      </c>
      <c r="J99" s="100">
        <v>0.16</v>
      </c>
      <c r="K99" s="100">
        <v>184.43</v>
      </c>
      <c r="L99" s="100">
        <v>23.84</v>
      </c>
      <c r="M99" s="100">
        <v>90.94</v>
      </c>
      <c r="N99" s="100">
        <v>0</v>
      </c>
      <c r="O99" s="100">
        <v>0</v>
      </c>
      <c r="P99" s="100">
        <v>0.64</v>
      </c>
      <c r="Q99" s="100">
        <v>6.48</v>
      </c>
      <c r="R99" s="6"/>
      <c r="S99" s="6"/>
      <c r="T99" s="156"/>
      <c r="U99" s="6"/>
    </row>
    <row r="100" spans="1:28" customFormat="1">
      <c r="A100" s="100" t="s">
        <v>520</v>
      </c>
      <c r="B100" s="100">
        <v>33.909999999999997</v>
      </c>
      <c r="C100" s="100">
        <v>58.71</v>
      </c>
      <c r="D100" s="100">
        <v>59.22</v>
      </c>
      <c r="E100" s="100">
        <v>7.44</v>
      </c>
      <c r="F100" s="100">
        <v>3.58</v>
      </c>
      <c r="G100" s="100">
        <v>34.01</v>
      </c>
      <c r="H100" s="100">
        <v>13.73</v>
      </c>
      <c r="I100" s="100">
        <v>5.01</v>
      </c>
      <c r="J100" s="100">
        <v>0.19</v>
      </c>
      <c r="K100" s="100">
        <v>176.26</v>
      </c>
      <c r="L100" s="100">
        <v>23.76</v>
      </c>
      <c r="M100" s="100">
        <v>90.85</v>
      </c>
      <c r="N100" s="100">
        <v>0</v>
      </c>
      <c r="O100" s="100">
        <v>0</v>
      </c>
      <c r="P100" s="100">
        <v>0.65</v>
      </c>
      <c r="Q100" s="100">
        <v>6.51</v>
      </c>
      <c r="R100" s="6"/>
      <c r="S100" s="6"/>
      <c r="T100" s="156"/>
      <c r="U100" s="6"/>
      <c r="AB100" s="161"/>
    </row>
    <row r="101" spans="1:28" customFormat="1">
      <c r="A101" s="100" t="s">
        <v>521</v>
      </c>
      <c r="B101" s="100">
        <v>34.770000000000003</v>
      </c>
      <c r="C101" s="100">
        <v>57.52</v>
      </c>
      <c r="D101" s="100">
        <v>59.28</v>
      </c>
      <c r="E101" s="100">
        <v>7.72</v>
      </c>
      <c r="F101" s="100">
        <v>3.68</v>
      </c>
      <c r="G101" s="100">
        <v>34.01</v>
      </c>
      <c r="H101" s="100">
        <v>13.73</v>
      </c>
      <c r="I101" s="100">
        <v>5.09</v>
      </c>
      <c r="J101" s="100">
        <v>0.18</v>
      </c>
      <c r="K101" s="100">
        <v>201.16</v>
      </c>
      <c r="L101" s="100">
        <v>23.79</v>
      </c>
      <c r="M101" s="100">
        <v>90.81</v>
      </c>
      <c r="N101" s="100">
        <v>0</v>
      </c>
      <c r="O101" s="100">
        <v>0</v>
      </c>
      <c r="P101" s="100">
        <v>0.64</v>
      </c>
      <c r="Q101" s="100">
        <v>6.54</v>
      </c>
      <c r="R101" s="6"/>
      <c r="S101" s="6"/>
      <c r="T101" s="156"/>
      <c r="U101" s="6"/>
    </row>
    <row r="102" spans="1:28" customFormat="1">
      <c r="A102" s="100" t="s">
        <v>522</v>
      </c>
      <c r="B102" s="100">
        <v>35.4</v>
      </c>
      <c r="C102" s="100">
        <v>58.09</v>
      </c>
      <c r="D102" s="100">
        <v>60.09</v>
      </c>
      <c r="E102" s="100">
        <v>8.2100000000000009</v>
      </c>
      <c r="F102" s="100">
        <v>3.43</v>
      </c>
      <c r="G102" s="100">
        <v>34.85</v>
      </c>
      <c r="H102" s="100">
        <v>12.6</v>
      </c>
      <c r="I102" s="100">
        <v>5.15</v>
      </c>
      <c r="J102" s="100">
        <v>0.17</v>
      </c>
      <c r="K102" s="100">
        <v>303.3</v>
      </c>
      <c r="L102" s="100">
        <v>23.48</v>
      </c>
      <c r="M102" s="100">
        <v>91.39</v>
      </c>
      <c r="N102" s="100">
        <v>0</v>
      </c>
      <c r="O102" s="100">
        <v>0</v>
      </c>
      <c r="P102" s="100">
        <v>0.65</v>
      </c>
      <c r="Q102" s="100">
        <v>6.66</v>
      </c>
      <c r="R102" s="6"/>
      <c r="S102" s="6"/>
      <c r="T102" s="156"/>
      <c r="U102" s="6"/>
    </row>
    <row r="103" spans="1:28" customFormat="1">
      <c r="A103" s="100" t="s">
        <v>523</v>
      </c>
      <c r="B103" s="100">
        <v>37.630000000000003</v>
      </c>
      <c r="C103" s="100">
        <v>58.29</v>
      </c>
      <c r="D103" s="100">
        <v>61.98</v>
      </c>
      <c r="E103" s="100">
        <v>8.1300000000000008</v>
      </c>
      <c r="F103" s="100">
        <v>3.38</v>
      </c>
      <c r="G103" s="100">
        <v>36.31</v>
      </c>
      <c r="H103" s="100">
        <v>11.44</v>
      </c>
      <c r="I103" s="100">
        <v>5.21</v>
      </c>
      <c r="J103" s="100">
        <v>0.16</v>
      </c>
      <c r="K103" s="100">
        <v>36.729999999999997</v>
      </c>
      <c r="L103" s="100">
        <v>23.65</v>
      </c>
      <c r="M103" s="100">
        <v>90.22</v>
      </c>
      <c r="N103" s="100">
        <v>0</v>
      </c>
      <c r="O103" s="100">
        <v>0</v>
      </c>
      <c r="P103" s="100">
        <v>0.67</v>
      </c>
      <c r="Q103" s="100">
        <v>6.74</v>
      </c>
      <c r="R103" s="6"/>
      <c r="S103" s="6"/>
      <c r="T103" s="156"/>
      <c r="U103" s="6"/>
    </row>
    <row r="104" spans="1:28" customFormat="1">
      <c r="A104" s="100" t="s">
        <v>524</v>
      </c>
      <c r="B104" s="100">
        <v>41.12</v>
      </c>
      <c r="C104" s="100">
        <v>58.42</v>
      </c>
      <c r="D104" s="100">
        <v>64.849999999999994</v>
      </c>
      <c r="E104" s="100">
        <v>7.41</v>
      </c>
      <c r="F104" s="100">
        <v>3.55</v>
      </c>
      <c r="G104" s="100">
        <v>36.31</v>
      </c>
      <c r="H104" s="100">
        <v>11.44</v>
      </c>
      <c r="I104" s="100">
        <v>5.21</v>
      </c>
      <c r="J104" s="100">
        <v>0.24</v>
      </c>
      <c r="K104" s="100">
        <v>161.22</v>
      </c>
      <c r="L104" s="100">
        <v>23.66</v>
      </c>
      <c r="M104" s="100">
        <v>91.12</v>
      </c>
      <c r="N104" s="100">
        <v>0</v>
      </c>
      <c r="O104" s="100">
        <v>0</v>
      </c>
      <c r="P104" s="100">
        <v>0.69</v>
      </c>
      <c r="Q104" s="100">
        <v>6.91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12.74</v>
      </c>
      <c r="C106" s="158">
        <f>MIN(C9:C104)</f>
        <v>44.86</v>
      </c>
      <c r="D106" s="158">
        <f t="shared" ref="D106:Q106" si="0">MIN(D9:D104)</f>
        <v>35.520000000000003</v>
      </c>
      <c r="E106" s="158">
        <f t="shared" si="0"/>
        <v>5.3</v>
      </c>
      <c r="F106" s="158">
        <f t="shared" si="0"/>
        <v>3.38</v>
      </c>
      <c r="G106" s="158">
        <f t="shared" si="0"/>
        <v>3.08</v>
      </c>
      <c r="H106" s="158">
        <f t="shared" si="0"/>
        <v>2.86</v>
      </c>
      <c r="I106" s="158">
        <f t="shared" si="0"/>
        <v>2.34</v>
      </c>
      <c r="J106" s="158">
        <f t="shared" si="0"/>
        <v>0.08</v>
      </c>
      <c r="K106" s="158">
        <f t="shared" si="0"/>
        <v>0.73</v>
      </c>
      <c r="L106" s="158">
        <f t="shared" si="0"/>
        <v>20.11</v>
      </c>
      <c r="M106" s="158">
        <f t="shared" si="0"/>
        <v>53.86</v>
      </c>
      <c r="N106" s="158">
        <f t="shared" si="0"/>
        <v>0</v>
      </c>
      <c r="O106" s="158">
        <f t="shared" si="0"/>
        <v>0</v>
      </c>
      <c r="P106" s="158">
        <f t="shared" si="0"/>
        <v>0.3</v>
      </c>
      <c r="Q106" s="158">
        <f t="shared" si="0"/>
        <v>4.7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41.12</v>
      </c>
      <c r="C107" s="157">
        <f t="shared" ref="C107:Q107" si="1">MAX(C9:C104)</f>
        <v>58.89</v>
      </c>
      <c r="D107" s="157">
        <f t="shared" si="1"/>
        <v>64.849999999999994</v>
      </c>
      <c r="E107" s="157">
        <f t="shared" si="1"/>
        <v>8.2100000000000009</v>
      </c>
      <c r="F107" s="157">
        <f t="shared" si="1"/>
        <v>8.7200000000000006</v>
      </c>
      <c r="G107" s="157">
        <f t="shared" si="1"/>
        <v>36.31</v>
      </c>
      <c r="H107" s="157">
        <f t="shared" si="1"/>
        <v>14.12</v>
      </c>
      <c r="I107" s="157">
        <f t="shared" si="1"/>
        <v>7.48</v>
      </c>
      <c r="J107" s="157">
        <f t="shared" si="1"/>
        <v>2.0499999999999998</v>
      </c>
      <c r="K107" s="157">
        <f t="shared" si="1"/>
        <v>333.74</v>
      </c>
      <c r="L107" s="157">
        <f t="shared" si="1"/>
        <v>29.45</v>
      </c>
      <c r="M107" s="157">
        <f t="shared" si="1"/>
        <v>99.13</v>
      </c>
      <c r="N107" s="157">
        <f t="shared" si="1"/>
        <v>956.3</v>
      </c>
      <c r="O107" s="157">
        <f t="shared" si="1"/>
        <v>0</v>
      </c>
      <c r="P107" s="157">
        <f t="shared" si="1"/>
        <v>0.72</v>
      </c>
      <c r="Q107" s="157">
        <f t="shared" si="1"/>
        <v>6.91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21.922812500000006</v>
      </c>
      <c r="C108" s="158">
        <f t="shared" ref="C108:Q108" si="2">AVERAGE(C9:C104)</f>
        <v>52.736354166666693</v>
      </c>
      <c r="D108" s="158">
        <f t="shared" si="2"/>
        <v>46.484791666666673</v>
      </c>
      <c r="E108" s="158">
        <f t="shared" si="2"/>
        <v>7.1867708333333331</v>
      </c>
      <c r="F108" s="158">
        <f t="shared" si="2"/>
        <v>4.4145833333333346</v>
      </c>
      <c r="G108" s="158">
        <f t="shared" si="2"/>
        <v>20.956979166666667</v>
      </c>
      <c r="H108" s="158">
        <f t="shared" si="2"/>
        <v>8.1258333333333308</v>
      </c>
      <c r="I108" s="158">
        <f t="shared" si="2"/>
        <v>4.2823958333333314</v>
      </c>
      <c r="J108" s="158">
        <f t="shared" si="2"/>
        <v>0.55906250000000002</v>
      </c>
      <c r="K108" s="158">
        <f t="shared" si="2"/>
        <v>207.56697916666667</v>
      </c>
      <c r="L108" s="158">
        <f t="shared" si="2"/>
        <v>24.47270833333333</v>
      </c>
      <c r="M108" s="158">
        <f t="shared" si="2"/>
        <v>81.262812500000024</v>
      </c>
      <c r="N108" s="158">
        <f t="shared" si="2"/>
        <v>180.03020833333332</v>
      </c>
      <c r="O108" s="158">
        <f t="shared" si="2"/>
        <v>0</v>
      </c>
      <c r="P108" s="158">
        <f t="shared" si="2"/>
        <v>0.51489583333333333</v>
      </c>
      <c r="Q108" s="158">
        <f t="shared" si="2"/>
        <v>5.5454166666666644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5.8113619570676054</v>
      </c>
      <c r="C109" s="158">
        <f t="shared" ref="C109:Q109" si="3">STDEV(C9:C104)</f>
        <v>3.7826624207078132</v>
      </c>
      <c r="D109" s="158">
        <f t="shared" si="3"/>
        <v>5.5690740001635453</v>
      </c>
      <c r="E109" s="158">
        <f t="shared" si="3"/>
        <v>0.52543414588953652</v>
      </c>
      <c r="F109" s="158">
        <f t="shared" si="3"/>
        <v>1.2081015264643962</v>
      </c>
      <c r="G109" s="158">
        <f t="shared" si="3"/>
        <v>10.444189834775342</v>
      </c>
      <c r="H109" s="158">
        <f t="shared" si="3"/>
        <v>3.2169566090579154</v>
      </c>
      <c r="I109" s="158">
        <f t="shared" si="3"/>
        <v>1.4667297995283863</v>
      </c>
      <c r="J109" s="158">
        <f t="shared" si="3"/>
        <v>0.45598494463835315</v>
      </c>
      <c r="K109" s="158">
        <f t="shared" si="3"/>
        <v>84.618960487212192</v>
      </c>
      <c r="L109" s="158">
        <f t="shared" si="3"/>
        <v>3.1006961796096077</v>
      </c>
      <c r="M109" s="158">
        <f t="shared" si="3"/>
        <v>15.853360640114182</v>
      </c>
      <c r="N109" s="158">
        <f t="shared" si="3"/>
        <v>267.47146670047545</v>
      </c>
      <c r="O109" s="158">
        <f t="shared" si="3"/>
        <v>0</v>
      </c>
      <c r="P109" s="158">
        <f t="shared" si="3"/>
        <v>0.11179864222569365</v>
      </c>
      <c r="Q109" s="158">
        <f t="shared" si="3"/>
        <v>0.42055581434864997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Q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04/05/2023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526</v>
      </c>
      <c r="B9" s="100">
        <v>44.72</v>
      </c>
      <c r="C9" s="100">
        <v>55.54</v>
      </c>
      <c r="D9" s="100">
        <v>66.23</v>
      </c>
      <c r="E9" s="100">
        <v>7.22</v>
      </c>
      <c r="F9" s="100">
        <v>3.61</v>
      </c>
      <c r="G9" s="100">
        <v>36.31</v>
      </c>
      <c r="H9" s="100">
        <v>11.44</v>
      </c>
      <c r="I9" s="100">
        <v>5.38</v>
      </c>
      <c r="J9" s="100">
        <v>0.16</v>
      </c>
      <c r="K9" s="100">
        <v>152.76</v>
      </c>
      <c r="L9" s="100">
        <v>23.4</v>
      </c>
      <c r="M9" s="100">
        <v>92.93</v>
      </c>
      <c r="N9" s="100">
        <v>0</v>
      </c>
      <c r="O9" s="100">
        <v>0</v>
      </c>
      <c r="P9" s="100">
        <v>0.7</v>
      </c>
      <c r="Q9" s="100">
        <v>7.03</v>
      </c>
      <c r="R9" s="6"/>
      <c r="S9" s="6"/>
      <c r="T9" s="156"/>
      <c r="U9" s="6"/>
    </row>
    <row r="10" spans="1:21" customFormat="1">
      <c r="A10" s="100" t="s">
        <v>527</v>
      </c>
      <c r="B10" s="100">
        <v>46.14</v>
      </c>
      <c r="C10" s="100">
        <v>57.61</v>
      </c>
      <c r="D10" s="100">
        <v>68.45</v>
      </c>
      <c r="E10" s="100">
        <v>8.08</v>
      </c>
      <c r="F10" s="100">
        <v>3.48</v>
      </c>
      <c r="G10" s="100">
        <v>42.08</v>
      </c>
      <c r="H10" s="100">
        <v>12.6</v>
      </c>
      <c r="I10" s="100">
        <v>5.46</v>
      </c>
      <c r="J10" s="100">
        <v>0.18</v>
      </c>
      <c r="K10" s="100">
        <v>160.9</v>
      </c>
      <c r="L10" s="100">
        <v>23.41</v>
      </c>
      <c r="M10" s="100">
        <v>92.77</v>
      </c>
      <c r="N10" s="100">
        <v>0</v>
      </c>
      <c r="O10" s="100">
        <v>0</v>
      </c>
      <c r="P10" s="100">
        <v>0.72</v>
      </c>
      <c r="Q10" s="100">
        <v>7.24</v>
      </c>
      <c r="R10" s="6"/>
      <c r="S10" s="6"/>
      <c r="T10" s="156"/>
      <c r="U10" s="6"/>
    </row>
    <row r="11" spans="1:21" customFormat="1">
      <c r="A11" s="100" t="s">
        <v>528</v>
      </c>
      <c r="B11" s="100">
        <v>47.84</v>
      </c>
      <c r="C11" s="100">
        <v>58.29</v>
      </c>
      <c r="D11" s="100">
        <v>70.17</v>
      </c>
      <c r="E11" s="100">
        <v>7.77</v>
      </c>
      <c r="F11" s="100">
        <v>3.43</v>
      </c>
      <c r="G11" s="100">
        <v>52.06</v>
      </c>
      <c r="H11" s="100">
        <v>16.54</v>
      </c>
      <c r="I11" s="100">
        <v>5.5</v>
      </c>
      <c r="J11" s="100">
        <v>0.12</v>
      </c>
      <c r="K11" s="100">
        <v>71.5</v>
      </c>
      <c r="L11" s="100">
        <v>23.43</v>
      </c>
      <c r="M11" s="100">
        <v>91.03</v>
      </c>
      <c r="N11" s="100">
        <v>0</v>
      </c>
      <c r="O11" s="100">
        <v>0</v>
      </c>
      <c r="P11" s="100">
        <v>0.73</v>
      </c>
      <c r="Q11" s="100">
        <v>7.4</v>
      </c>
      <c r="R11" s="6"/>
      <c r="S11" s="6"/>
      <c r="T11" s="156"/>
      <c r="U11" s="6"/>
    </row>
    <row r="12" spans="1:21" customFormat="1">
      <c r="A12" s="100" t="s">
        <v>529</v>
      </c>
      <c r="B12" s="100">
        <v>49.77</v>
      </c>
      <c r="C12" s="100">
        <v>57.54</v>
      </c>
      <c r="D12" s="100">
        <v>71.319999999999993</v>
      </c>
      <c r="E12" s="100">
        <v>7.81</v>
      </c>
      <c r="F12" s="100">
        <v>3.64</v>
      </c>
      <c r="G12" s="100">
        <v>52.06</v>
      </c>
      <c r="H12" s="100">
        <v>16.54</v>
      </c>
      <c r="I12" s="100">
        <v>5.51</v>
      </c>
      <c r="J12" s="100">
        <v>0.02</v>
      </c>
      <c r="K12" s="100">
        <v>60.24</v>
      </c>
      <c r="L12" s="100">
        <v>23.32</v>
      </c>
      <c r="M12" s="100">
        <v>91.02</v>
      </c>
      <c r="N12" s="100">
        <v>0</v>
      </c>
      <c r="O12" s="100">
        <v>0</v>
      </c>
      <c r="P12" s="100">
        <v>0.73</v>
      </c>
      <c r="Q12" s="100">
        <v>7.48</v>
      </c>
      <c r="R12" s="6"/>
      <c r="S12" s="6"/>
      <c r="T12" s="156"/>
      <c r="U12" s="6"/>
    </row>
    <row r="13" spans="1:21" customFormat="1">
      <c r="A13" s="100" t="s">
        <v>530</v>
      </c>
      <c r="B13" s="100">
        <v>51.69</v>
      </c>
      <c r="C13" s="100">
        <v>57.03</v>
      </c>
      <c r="D13" s="100">
        <v>72.599999999999994</v>
      </c>
      <c r="E13" s="100">
        <v>8.15</v>
      </c>
      <c r="F13" s="100">
        <v>3.73</v>
      </c>
      <c r="G13" s="100">
        <v>52.06</v>
      </c>
      <c r="H13" s="100">
        <v>16.54</v>
      </c>
      <c r="I13" s="100">
        <v>5.62</v>
      </c>
      <c r="J13" s="100">
        <v>0.27</v>
      </c>
      <c r="K13" s="100">
        <v>326.42</v>
      </c>
      <c r="L13" s="100">
        <v>23.36</v>
      </c>
      <c r="M13" s="100">
        <v>89.95</v>
      </c>
      <c r="N13" s="100">
        <v>0</v>
      </c>
      <c r="O13" s="100">
        <v>0</v>
      </c>
      <c r="P13" s="100">
        <v>0.74</v>
      </c>
      <c r="Q13" s="100">
        <v>7.59</v>
      </c>
      <c r="R13" s="6"/>
      <c r="S13" s="6"/>
      <c r="T13" s="156"/>
      <c r="U13" s="6"/>
    </row>
    <row r="14" spans="1:21" customFormat="1">
      <c r="A14" s="100" t="s">
        <v>531</v>
      </c>
      <c r="B14" s="100">
        <v>52.85</v>
      </c>
      <c r="C14" s="100">
        <v>57.62</v>
      </c>
      <c r="D14" s="100">
        <v>73.84</v>
      </c>
      <c r="E14" s="100">
        <v>7.8</v>
      </c>
      <c r="F14" s="100">
        <v>3.55</v>
      </c>
      <c r="G14" s="100">
        <v>53.8</v>
      </c>
      <c r="H14" s="100">
        <v>16.66</v>
      </c>
      <c r="I14" s="100">
        <v>5.75</v>
      </c>
      <c r="J14" s="100">
        <v>0.25</v>
      </c>
      <c r="K14" s="100">
        <v>356.31</v>
      </c>
      <c r="L14" s="100">
        <v>23.37</v>
      </c>
      <c r="M14" s="100">
        <v>87.99</v>
      </c>
      <c r="N14" s="100">
        <v>0</v>
      </c>
      <c r="O14" s="100">
        <v>0</v>
      </c>
      <c r="P14" s="100">
        <v>0.76</v>
      </c>
      <c r="Q14" s="100">
        <v>7.66</v>
      </c>
      <c r="R14" s="6"/>
      <c r="S14" s="6"/>
      <c r="T14" s="156"/>
      <c r="U14" s="6"/>
    </row>
    <row r="15" spans="1:21" customFormat="1">
      <c r="A15" s="100" t="s">
        <v>532</v>
      </c>
      <c r="B15" s="100">
        <v>55.15</v>
      </c>
      <c r="C15" s="100">
        <v>52.01</v>
      </c>
      <c r="D15" s="100">
        <v>72.75</v>
      </c>
      <c r="E15" s="100">
        <v>7.45</v>
      </c>
      <c r="F15" s="100">
        <v>4.18</v>
      </c>
      <c r="G15" s="100">
        <v>56.81</v>
      </c>
      <c r="H15" s="100">
        <v>16.79</v>
      </c>
      <c r="I15" s="100">
        <v>5.71</v>
      </c>
      <c r="J15" s="100">
        <v>0.11</v>
      </c>
      <c r="K15" s="100">
        <v>31.48</v>
      </c>
      <c r="L15" s="100">
        <v>23.26</v>
      </c>
      <c r="M15" s="100">
        <v>86.98</v>
      </c>
      <c r="N15" s="100">
        <v>0</v>
      </c>
      <c r="O15" s="100">
        <v>0</v>
      </c>
      <c r="P15" s="100">
        <v>0.72</v>
      </c>
      <c r="Q15" s="100">
        <v>7.45</v>
      </c>
      <c r="R15" s="6"/>
      <c r="S15" s="6"/>
      <c r="T15" s="156"/>
      <c r="U15" s="6"/>
    </row>
    <row r="16" spans="1:21" customFormat="1">
      <c r="A16" s="100" t="s">
        <v>533</v>
      </c>
      <c r="B16" s="100">
        <v>55.81</v>
      </c>
      <c r="C16" s="100">
        <v>50.2</v>
      </c>
      <c r="D16" s="100">
        <v>72.33</v>
      </c>
      <c r="E16" s="100">
        <v>7.57</v>
      </c>
      <c r="F16" s="100">
        <v>3.99</v>
      </c>
      <c r="G16" s="100">
        <v>56.81</v>
      </c>
      <c r="H16" s="100">
        <v>16.79</v>
      </c>
      <c r="I16" s="100">
        <v>5.78</v>
      </c>
      <c r="J16" s="100">
        <v>0.18</v>
      </c>
      <c r="K16" s="100">
        <v>119.42</v>
      </c>
      <c r="L16" s="100">
        <v>23.27</v>
      </c>
      <c r="M16" s="100">
        <v>87.49</v>
      </c>
      <c r="N16" s="100">
        <v>0</v>
      </c>
      <c r="O16" s="100">
        <v>0</v>
      </c>
      <c r="P16" s="100">
        <v>0.7</v>
      </c>
      <c r="Q16" s="100">
        <v>7.34</v>
      </c>
      <c r="R16" s="6"/>
      <c r="S16" s="6"/>
      <c r="T16" s="156"/>
      <c r="U16" s="6"/>
    </row>
    <row r="17" spans="1:21" customFormat="1">
      <c r="A17" s="100" t="s">
        <v>534</v>
      </c>
      <c r="B17" s="100">
        <v>55.17</v>
      </c>
      <c r="C17" s="100">
        <v>54.87</v>
      </c>
      <c r="D17" s="100">
        <v>74.260000000000005</v>
      </c>
      <c r="E17" s="100">
        <v>6.73</v>
      </c>
      <c r="F17" s="100">
        <v>3.29</v>
      </c>
      <c r="G17" s="100">
        <v>56.81</v>
      </c>
      <c r="H17" s="100">
        <v>16.79</v>
      </c>
      <c r="I17" s="100">
        <v>5.89</v>
      </c>
      <c r="J17" s="100">
        <v>0.28000000000000003</v>
      </c>
      <c r="K17" s="100">
        <v>47.96</v>
      </c>
      <c r="L17" s="100">
        <v>23.07</v>
      </c>
      <c r="M17" s="100">
        <v>88.73</v>
      </c>
      <c r="N17" s="100">
        <v>0</v>
      </c>
      <c r="O17" s="100">
        <v>0</v>
      </c>
      <c r="P17" s="100">
        <v>0.74</v>
      </c>
      <c r="Q17" s="100">
        <v>7.52</v>
      </c>
      <c r="R17" s="6"/>
      <c r="S17" s="6"/>
      <c r="T17" s="156"/>
      <c r="U17" s="6"/>
    </row>
    <row r="18" spans="1:21" customFormat="1">
      <c r="A18" s="100" t="s">
        <v>535</v>
      </c>
      <c r="B18" s="100">
        <v>56.19</v>
      </c>
      <c r="C18" s="100">
        <v>51.34</v>
      </c>
      <c r="D18" s="100">
        <v>73.239999999999995</v>
      </c>
      <c r="E18" s="100">
        <v>8.0500000000000007</v>
      </c>
      <c r="F18" s="100">
        <v>4</v>
      </c>
      <c r="G18" s="100">
        <v>58.94</v>
      </c>
      <c r="H18" s="100">
        <v>17.77</v>
      </c>
      <c r="I18" s="100">
        <v>5.99</v>
      </c>
      <c r="J18" s="100">
        <v>0.57999999999999996</v>
      </c>
      <c r="K18" s="100">
        <v>55.03</v>
      </c>
      <c r="L18" s="100">
        <v>23.27</v>
      </c>
      <c r="M18" s="100">
        <v>85.43</v>
      </c>
      <c r="N18" s="100">
        <v>0</v>
      </c>
      <c r="O18" s="100">
        <v>0</v>
      </c>
      <c r="P18" s="100">
        <v>0.73</v>
      </c>
      <c r="Q18" s="100">
        <v>7.46</v>
      </c>
      <c r="R18" s="6"/>
      <c r="S18" s="6"/>
      <c r="T18" s="156"/>
      <c r="U18" s="6"/>
    </row>
    <row r="19" spans="1:21" customFormat="1">
      <c r="A19" s="100" t="s">
        <v>536</v>
      </c>
      <c r="B19" s="100">
        <v>55.93</v>
      </c>
      <c r="C19" s="100">
        <v>54.7</v>
      </c>
      <c r="D19" s="100">
        <v>74.78</v>
      </c>
      <c r="E19" s="100">
        <v>8.42</v>
      </c>
      <c r="F19" s="100">
        <v>3.37</v>
      </c>
      <c r="G19" s="100">
        <v>62.62</v>
      </c>
      <c r="H19" s="100">
        <v>18.809999999999999</v>
      </c>
      <c r="I19" s="100">
        <v>6.14</v>
      </c>
      <c r="J19" s="100">
        <v>0.61</v>
      </c>
      <c r="K19" s="100">
        <v>63.69</v>
      </c>
      <c r="L19" s="100">
        <v>23.32</v>
      </c>
      <c r="M19" s="100">
        <v>84.72</v>
      </c>
      <c r="N19" s="100">
        <v>0</v>
      </c>
      <c r="O19" s="100">
        <v>0</v>
      </c>
      <c r="P19" s="100">
        <v>0.75</v>
      </c>
      <c r="Q19" s="100">
        <v>7.62</v>
      </c>
      <c r="R19" s="6"/>
      <c r="S19" s="6"/>
      <c r="T19" s="156"/>
      <c r="U19" s="6"/>
    </row>
    <row r="20" spans="1:21" customFormat="1">
      <c r="A20" s="100" t="s">
        <v>537</v>
      </c>
      <c r="B20" s="100">
        <v>56.94</v>
      </c>
      <c r="C20" s="100">
        <v>51.84</v>
      </c>
      <c r="D20" s="100">
        <v>74.099999999999994</v>
      </c>
      <c r="E20" s="100">
        <v>8.77</v>
      </c>
      <c r="F20" s="100">
        <v>4</v>
      </c>
      <c r="G20" s="100">
        <v>62.62</v>
      </c>
      <c r="H20" s="100">
        <v>18.809999999999999</v>
      </c>
      <c r="I20" s="100">
        <v>6.29</v>
      </c>
      <c r="J20" s="100">
        <v>0.39</v>
      </c>
      <c r="K20" s="100">
        <v>75.69</v>
      </c>
      <c r="L20" s="100">
        <v>23.29</v>
      </c>
      <c r="M20" s="100">
        <v>84.99</v>
      </c>
      <c r="N20" s="100">
        <v>0</v>
      </c>
      <c r="O20" s="100">
        <v>0</v>
      </c>
      <c r="P20" s="100">
        <v>0.73</v>
      </c>
      <c r="Q20" s="100">
        <v>7.52</v>
      </c>
      <c r="R20" s="6"/>
      <c r="S20" s="6"/>
      <c r="T20" s="156"/>
      <c r="U20" s="6"/>
    </row>
    <row r="21" spans="1:21" customFormat="1">
      <c r="A21" s="100" t="s">
        <v>538</v>
      </c>
      <c r="B21" s="100">
        <v>56.26</v>
      </c>
      <c r="C21" s="100">
        <v>53.8</v>
      </c>
      <c r="D21" s="100">
        <v>74.58</v>
      </c>
      <c r="E21" s="100">
        <v>8.64</v>
      </c>
      <c r="F21" s="100">
        <v>3.59</v>
      </c>
      <c r="G21" s="100">
        <v>62.62</v>
      </c>
      <c r="H21" s="100">
        <v>18.809999999999999</v>
      </c>
      <c r="I21" s="100">
        <v>6.45</v>
      </c>
      <c r="J21" s="100">
        <v>0.27</v>
      </c>
      <c r="K21" s="100">
        <v>80.819999999999993</v>
      </c>
      <c r="L21" s="100">
        <v>23.27</v>
      </c>
      <c r="M21" s="100">
        <v>85.11</v>
      </c>
      <c r="N21" s="100">
        <v>0</v>
      </c>
      <c r="O21" s="100">
        <v>0</v>
      </c>
      <c r="P21" s="100">
        <v>0.75</v>
      </c>
      <c r="Q21" s="100">
        <v>7.56</v>
      </c>
      <c r="R21" s="6"/>
      <c r="S21" s="6"/>
      <c r="T21" s="156"/>
      <c r="U21" s="6"/>
    </row>
    <row r="22" spans="1:21" customFormat="1">
      <c r="A22" s="100" t="s">
        <v>539</v>
      </c>
      <c r="B22" s="100">
        <v>56.88</v>
      </c>
      <c r="C22" s="100">
        <v>52.1</v>
      </c>
      <c r="D22" s="100">
        <v>74.19</v>
      </c>
      <c r="E22" s="100">
        <v>8.7100000000000009</v>
      </c>
      <c r="F22" s="100">
        <v>3.8</v>
      </c>
      <c r="G22" s="100">
        <v>62.83</v>
      </c>
      <c r="H22" s="100">
        <v>20.41</v>
      </c>
      <c r="I22" s="100">
        <v>6.41</v>
      </c>
      <c r="J22" s="100">
        <v>0.37</v>
      </c>
      <c r="K22" s="100">
        <v>65.52</v>
      </c>
      <c r="L22" s="100">
        <v>23.1</v>
      </c>
      <c r="M22" s="100">
        <v>86.24</v>
      </c>
      <c r="N22" s="100">
        <v>0</v>
      </c>
      <c r="O22" s="100">
        <v>0</v>
      </c>
      <c r="P22" s="100">
        <v>0.73</v>
      </c>
      <c r="Q22" s="100">
        <v>7.5</v>
      </c>
      <c r="R22" s="6"/>
      <c r="S22" s="6"/>
      <c r="T22" s="156"/>
      <c r="U22" s="6"/>
    </row>
    <row r="23" spans="1:21" customFormat="1">
      <c r="A23" s="100" t="s">
        <v>540</v>
      </c>
      <c r="B23" s="100">
        <v>56.6</v>
      </c>
      <c r="C23" s="100">
        <v>53.64</v>
      </c>
      <c r="D23" s="100">
        <v>74.77</v>
      </c>
      <c r="E23" s="100">
        <v>8.66</v>
      </c>
      <c r="F23" s="100">
        <v>3.48</v>
      </c>
      <c r="G23" s="100">
        <v>63.2</v>
      </c>
      <c r="H23" s="100">
        <v>22.12</v>
      </c>
      <c r="I23" s="100">
        <v>6.5</v>
      </c>
      <c r="J23" s="100">
        <v>0.33</v>
      </c>
      <c r="K23" s="100">
        <v>48.5</v>
      </c>
      <c r="L23" s="100">
        <v>22.88</v>
      </c>
      <c r="M23" s="100">
        <v>87.59</v>
      </c>
      <c r="N23" s="100">
        <v>0</v>
      </c>
      <c r="O23" s="100">
        <v>0</v>
      </c>
      <c r="P23" s="100">
        <v>0.75</v>
      </c>
      <c r="Q23" s="100">
        <v>7.52</v>
      </c>
      <c r="R23" s="6"/>
      <c r="S23" s="6"/>
      <c r="T23" s="156"/>
      <c r="U23" s="6"/>
    </row>
    <row r="24" spans="1:21" customFormat="1">
      <c r="A24" s="100" t="s">
        <v>541</v>
      </c>
      <c r="B24" s="100">
        <v>57.99</v>
      </c>
      <c r="C24" s="100">
        <v>52.56</v>
      </c>
      <c r="D24" s="100">
        <v>75.31</v>
      </c>
      <c r="E24" s="100">
        <v>9.11</v>
      </c>
      <c r="F24" s="100">
        <v>3.68</v>
      </c>
      <c r="G24" s="100">
        <v>63.2</v>
      </c>
      <c r="H24" s="100">
        <v>22.12</v>
      </c>
      <c r="I24" s="100">
        <v>6.39</v>
      </c>
      <c r="J24" s="100">
        <v>0.45</v>
      </c>
      <c r="K24" s="100">
        <v>46.72</v>
      </c>
      <c r="L24" s="100">
        <v>22.77</v>
      </c>
      <c r="M24" s="100">
        <v>88.04</v>
      </c>
      <c r="N24" s="100">
        <v>0</v>
      </c>
      <c r="O24" s="100">
        <v>0</v>
      </c>
      <c r="P24" s="100">
        <v>0.73</v>
      </c>
      <c r="Q24" s="100">
        <v>7.59</v>
      </c>
      <c r="R24" s="6"/>
      <c r="S24" s="6"/>
      <c r="T24" s="156"/>
      <c r="U24" s="6"/>
    </row>
    <row r="25" spans="1:21" customFormat="1">
      <c r="A25" s="100" t="s">
        <v>542</v>
      </c>
      <c r="B25" s="100">
        <v>58.42</v>
      </c>
      <c r="C25" s="100">
        <v>52.17</v>
      </c>
      <c r="D25" s="100">
        <v>75.45</v>
      </c>
      <c r="E25" s="100">
        <v>8.32</v>
      </c>
      <c r="F25" s="100">
        <v>3.87</v>
      </c>
      <c r="G25" s="100">
        <v>63.2</v>
      </c>
      <c r="H25" s="100">
        <v>22.12</v>
      </c>
      <c r="I25" s="100">
        <v>6.46</v>
      </c>
      <c r="J25" s="100">
        <v>0.38</v>
      </c>
      <c r="K25" s="100">
        <v>50.7</v>
      </c>
      <c r="L25" s="100">
        <v>22.72</v>
      </c>
      <c r="M25" s="100">
        <v>88.07</v>
      </c>
      <c r="N25" s="100">
        <v>0</v>
      </c>
      <c r="O25" s="100">
        <v>0</v>
      </c>
      <c r="P25" s="100">
        <v>0.74</v>
      </c>
      <c r="Q25" s="100">
        <v>7.59</v>
      </c>
      <c r="R25" s="6"/>
      <c r="S25" s="6"/>
      <c r="T25" s="156"/>
      <c r="U25" s="6"/>
    </row>
    <row r="26" spans="1:21" customFormat="1">
      <c r="A26" s="100" t="s">
        <v>543</v>
      </c>
      <c r="B26" s="100">
        <v>58.47</v>
      </c>
      <c r="C26" s="100">
        <v>53.91</v>
      </c>
      <c r="D26" s="100">
        <v>76.41</v>
      </c>
      <c r="E26" s="100">
        <v>8.77</v>
      </c>
      <c r="F26" s="100">
        <v>3.45</v>
      </c>
      <c r="G26" s="100">
        <v>64.95</v>
      </c>
      <c r="H26" s="100">
        <v>21.52</v>
      </c>
      <c r="I26" s="100">
        <v>6.39</v>
      </c>
      <c r="J26" s="100">
        <v>0.28000000000000003</v>
      </c>
      <c r="K26" s="100">
        <v>64.66</v>
      </c>
      <c r="L26" s="100">
        <v>22.74</v>
      </c>
      <c r="M26" s="100">
        <v>87.26</v>
      </c>
      <c r="N26" s="100">
        <v>0</v>
      </c>
      <c r="O26" s="100">
        <v>0</v>
      </c>
      <c r="P26" s="100">
        <v>0.73</v>
      </c>
      <c r="Q26" s="100">
        <v>7.67</v>
      </c>
      <c r="R26" s="6"/>
      <c r="S26" s="6"/>
      <c r="T26" s="156"/>
      <c r="U26" s="6"/>
    </row>
    <row r="27" spans="1:21" customFormat="1">
      <c r="A27" s="100" t="s">
        <v>544</v>
      </c>
      <c r="B27" s="100">
        <v>58.46</v>
      </c>
      <c r="C27" s="100">
        <v>53.42</v>
      </c>
      <c r="D27" s="100">
        <v>76.14</v>
      </c>
      <c r="E27" s="100">
        <v>8.48</v>
      </c>
      <c r="F27" s="100">
        <v>3.62</v>
      </c>
      <c r="G27" s="100">
        <v>67.97</v>
      </c>
      <c r="H27" s="100">
        <v>20.89</v>
      </c>
      <c r="I27" s="100">
        <v>6.45</v>
      </c>
      <c r="J27" s="100">
        <v>0.22</v>
      </c>
      <c r="K27" s="100">
        <v>53.9</v>
      </c>
      <c r="L27" s="100">
        <v>22.5</v>
      </c>
      <c r="M27" s="100">
        <v>89.21</v>
      </c>
      <c r="N27" s="100">
        <v>0</v>
      </c>
      <c r="O27" s="100">
        <v>0</v>
      </c>
      <c r="P27" s="100">
        <v>0.73</v>
      </c>
      <c r="Q27" s="100">
        <v>7.65</v>
      </c>
      <c r="R27" s="6"/>
      <c r="S27" s="6"/>
      <c r="T27" s="156"/>
      <c r="U27" s="6"/>
    </row>
    <row r="28" spans="1:21" customFormat="1">
      <c r="A28" s="100" t="s">
        <v>545</v>
      </c>
      <c r="B28" s="100">
        <v>58.96</v>
      </c>
      <c r="C28" s="100">
        <v>52.72</v>
      </c>
      <c r="D28" s="100">
        <v>76.17</v>
      </c>
      <c r="E28" s="100">
        <v>8.8800000000000008</v>
      </c>
      <c r="F28" s="100">
        <v>3.82</v>
      </c>
      <c r="G28" s="100">
        <v>67.97</v>
      </c>
      <c r="H28" s="100">
        <v>20.89</v>
      </c>
      <c r="I28" s="100">
        <v>6.39</v>
      </c>
      <c r="J28" s="100">
        <v>0.43</v>
      </c>
      <c r="K28" s="100">
        <v>60.7</v>
      </c>
      <c r="L28" s="100">
        <v>22.44</v>
      </c>
      <c r="M28" s="100">
        <v>88.48</v>
      </c>
      <c r="N28" s="100">
        <v>0</v>
      </c>
      <c r="O28" s="100">
        <v>0</v>
      </c>
      <c r="P28" s="100">
        <v>0.72</v>
      </c>
      <c r="Q28" s="100">
        <v>7.68</v>
      </c>
      <c r="R28" s="6"/>
      <c r="S28" s="6"/>
      <c r="T28" s="156"/>
      <c r="U28" s="6"/>
    </row>
    <row r="29" spans="1:21" customFormat="1">
      <c r="A29" s="100" t="s">
        <v>546</v>
      </c>
      <c r="B29" s="100">
        <v>58.92</v>
      </c>
      <c r="C29" s="100">
        <v>52.21</v>
      </c>
      <c r="D29" s="100">
        <v>75.88</v>
      </c>
      <c r="E29" s="100">
        <v>8.1999999999999993</v>
      </c>
      <c r="F29" s="100">
        <v>3.78</v>
      </c>
      <c r="G29" s="100">
        <v>67.97</v>
      </c>
      <c r="H29" s="100">
        <v>20.89</v>
      </c>
      <c r="I29" s="100">
        <v>6.4</v>
      </c>
      <c r="J29" s="100">
        <v>0.43</v>
      </c>
      <c r="K29" s="100">
        <v>26.76</v>
      </c>
      <c r="L29" s="100">
        <v>22.4</v>
      </c>
      <c r="M29" s="100">
        <v>88.43</v>
      </c>
      <c r="N29" s="100">
        <v>0</v>
      </c>
      <c r="O29" s="100">
        <v>0</v>
      </c>
      <c r="P29" s="100">
        <v>0.72</v>
      </c>
      <c r="Q29" s="100">
        <v>7.62</v>
      </c>
      <c r="R29" s="6"/>
      <c r="S29" s="6"/>
      <c r="T29" s="156"/>
      <c r="U29" s="6"/>
    </row>
    <row r="30" spans="1:21" customFormat="1">
      <c r="A30" s="100" t="s">
        <v>547</v>
      </c>
      <c r="B30" s="100">
        <v>59.05</v>
      </c>
      <c r="C30" s="100">
        <v>53.74</v>
      </c>
      <c r="D30" s="100">
        <v>76.78</v>
      </c>
      <c r="E30" s="100">
        <v>9.0500000000000007</v>
      </c>
      <c r="F30" s="100">
        <v>3.55</v>
      </c>
      <c r="G30" s="100">
        <v>64.28</v>
      </c>
      <c r="H30" s="100">
        <v>20.92</v>
      </c>
      <c r="I30" s="100">
        <v>6.26</v>
      </c>
      <c r="J30" s="100">
        <v>0.47</v>
      </c>
      <c r="K30" s="100">
        <v>32.549999999999997</v>
      </c>
      <c r="L30" s="100">
        <v>22.3</v>
      </c>
      <c r="M30" s="100">
        <v>88.79</v>
      </c>
      <c r="N30" s="100">
        <v>0</v>
      </c>
      <c r="O30" s="100">
        <v>0</v>
      </c>
      <c r="P30" s="100">
        <v>0.7</v>
      </c>
      <c r="Q30" s="100">
        <v>7.71</v>
      </c>
      <c r="R30" s="6"/>
      <c r="S30" s="6"/>
      <c r="T30" s="156"/>
      <c r="U30" s="6"/>
    </row>
    <row r="31" spans="1:21" customFormat="1">
      <c r="A31" s="100" t="s">
        <v>548</v>
      </c>
      <c r="B31" s="100">
        <v>59.28</v>
      </c>
      <c r="C31" s="100">
        <v>53.77</v>
      </c>
      <c r="D31" s="100">
        <v>76.98</v>
      </c>
      <c r="E31" s="100">
        <v>8.69</v>
      </c>
      <c r="F31" s="100">
        <v>3.63</v>
      </c>
      <c r="G31" s="100">
        <v>57.89</v>
      </c>
      <c r="H31" s="100">
        <v>20.94</v>
      </c>
      <c r="I31" s="100">
        <v>6.28</v>
      </c>
      <c r="J31" s="100">
        <v>0.47</v>
      </c>
      <c r="K31" s="100">
        <v>44.1</v>
      </c>
      <c r="L31" s="100">
        <v>22.48</v>
      </c>
      <c r="M31" s="100">
        <v>87.49</v>
      </c>
      <c r="N31" s="100">
        <v>3</v>
      </c>
      <c r="O31" s="100">
        <v>0</v>
      </c>
      <c r="P31" s="100">
        <v>0.71</v>
      </c>
      <c r="Q31" s="100">
        <v>7.74</v>
      </c>
      <c r="R31" s="6"/>
      <c r="S31" s="6"/>
      <c r="T31" s="156"/>
      <c r="U31" s="6"/>
    </row>
    <row r="32" spans="1:21" customFormat="1">
      <c r="A32" s="100" t="s">
        <v>549</v>
      </c>
      <c r="B32" s="100">
        <v>60.11</v>
      </c>
      <c r="C32" s="100">
        <v>52.72</v>
      </c>
      <c r="D32" s="100">
        <v>77.099999999999994</v>
      </c>
      <c r="E32" s="100">
        <v>8.9499999999999993</v>
      </c>
      <c r="F32" s="100">
        <v>3.75</v>
      </c>
      <c r="G32" s="100">
        <v>57.89</v>
      </c>
      <c r="H32" s="100">
        <v>20.94</v>
      </c>
      <c r="I32" s="100">
        <v>6.2</v>
      </c>
      <c r="J32" s="100">
        <v>0.26</v>
      </c>
      <c r="K32" s="100">
        <v>47.33</v>
      </c>
      <c r="L32" s="100">
        <v>22.61</v>
      </c>
      <c r="M32" s="100">
        <v>87.34</v>
      </c>
      <c r="N32" s="100">
        <v>17.100000000000001</v>
      </c>
      <c r="O32" s="100">
        <v>0</v>
      </c>
      <c r="P32" s="100">
        <v>0.68</v>
      </c>
      <c r="Q32" s="100">
        <v>7.75</v>
      </c>
      <c r="R32" s="6"/>
      <c r="S32" s="6"/>
      <c r="T32" s="156"/>
      <c r="U32" s="6"/>
    </row>
    <row r="33" spans="1:21" customFormat="1">
      <c r="A33" s="100" t="s">
        <v>550</v>
      </c>
      <c r="B33" s="100">
        <v>59.92</v>
      </c>
      <c r="C33" s="100">
        <v>53.53</v>
      </c>
      <c r="D33" s="100">
        <v>77.37</v>
      </c>
      <c r="E33" s="100">
        <v>8.82</v>
      </c>
      <c r="F33" s="100">
        <v>3.75</v>
      </c>
      <c r="G33" s="100">
        <v>57.89</v>
      </c>
      <c r="H33" s="100">
        <v>20.94</v>
      </c>
      <c r="I33" s="100">
        <v>6.15</v>
      </c>
      <c r="J33" s="100">
        <v>0.45</v>
      </c>
      <c r="K33" s="100">
        <v>53.92</v>
      </c>
      <c r="L33" s="100">
        <v>23</v>
      </c>
      <c r="M33" s="100">
        <v>85.08</v>
      </c>
      <c r="N33" s="100">
        <v>32.6</v>
      </c>
      <c r="O33" s="100">
        <v>0</v>
      </c>
      <c r="P33" s="100">
        <v>0.69</v>
      </c>
      <c r="Q33" s="100">
        <v>7.73</v>
      </c>
      <c r="R33" s="6"/>
      <c r="S33" s="6"/>
      <c r="T33" s="156"/>
      <c r="U33" s="6"/>
    </row>
    <row r="34" spans="1:21" customFormat="1">
      <c r="A34" s="100" t="s">
        <v>551</v>
      </c>
      <c r="B34" s="100">
        <v>59.2</v>
      </c>
      <c r="C34" s="100">
        <v>57.41</v>
      </c>
      <c r="D34" s="100">
        <v>78.819999999999993</v>
      </c>
      <c r="E34" s="100">
        <v>8.86</v>
      </c>
      <c r="F34" s="100">
        <v>3.58</v>
      </c>
      <c r="G34" s="100">
        <v>56.47</v>
      </c>
      <c r="H34" s="100">
        <v>20.3</v>
      </c>
      <c r="I34" s="100">
        <v>6.09</v>
      </c>
      <c r="J34" s="100">
        <v>0.53</v>
      </c>
      <c r="K34" s="100">
        <v>52.72</v>
      </c>
      <c r="L34" s="100">
        <v>23.23</v>
      </c>
      <c r="M34" s="100">
        <v>83.73</v>
      </c>
      <c r="N34" s="100">
        <v>30.7</v>
      </c>
      <c r="O34" s="100">
        <v>0</v>
      </c>
      <c r="P34" s="100">
        <v>0.71</v>
      </c>
      <c r="Q34" s="100">
        <v>7.93</v>
      </c>
      <c r="R34" s="6"/>
      <c r="S34" s="6"/>
      <c r="T34" s="156"/>
      <c r="U34" s="6"/>
    </row>
    <row r="35" spans="1:21" customFormat="1">
      <c r="A35" s="100" t="s">
        <v>552</v>
      </c>
      <c r="B35" s="100">
        <v>58.46</v>
      </c>
      <c r="C35" s="100">
        <v>59.47</v>
      </c>
      <c r="D35" s="100">
        <v>79.3</v>
      </c>
      <c r="E35" s="100">
        <v>8.68</v>
      </c>
      <c r="F35" s="100">
        <v>3.49</v>
      </c>
      <c r="G35" s="100">
        <v>54.02</v>
      </c>
      <c r="H35" s="100">
        <v>19.22</v>
      </c>
      <c r="I35" s="100">
        <v>6.11</v>
      </c>
      <c r="J35" s="100">
        <v>0.56999999999999995</v>
      </c>
      <c r="K35" s="100">
        <v>63.99</v>
      </c>
      <c r="L35" s="100">
        <v>23.67</v>
      </c>
      <c r="M35" s="100">
        <v>81.010000000000005</v>
      </c>
      <c r="N35" s="100">
        <v>66.400000000000006</v>
      </c>
      <c r="O35" s="100">
        <v>0</v>
      </c>
      <c r="P35" s="100">
        <v>0.71</v>
      </c>
      <c r="Q35" s="100">
        <v>8.06</v>
      </c>
      <c r="R35" s="6"/>
      <c r="S35" s="6"/>
      <c r="T35" s="156"/>
      <c r="U35" s="6"/>
    </row>
    <row r="36" spans="1:21" customFormat="1">
      <c r="A36" s="100" t="s">
        <v>553</v>
      </c>
      <c r="B36" s="100">
        <v>57.7</v>
      </c>
      <c r="C36" s="100">
        <v>59.17</v>
      </c>
      <c r="D36" s="100">
        <v>78.540000000000006</v>
      </c>
      <c r="E36" s="100">
        <v>9.02</v>
      </c>
      <c r="F36" s="100">
        <v>3.62</v>
      </c>
      <c r="G36" s="100">
        <v>54.02</v>
      </c>
      <c r="H36" s="100">
        <v>19.22</v>
      </c>
      <c r="I36" s="100">
        <v>6.07</v>
      </c>
      <c r="J36" s="100">
        <v>0.56999999999999995</v>
      </c>
      <c r="K36" s="100">
        <v>40.229999999999997</v>
      </c>
      <c r="L36" s="100">
        <v>24.4</v>
      </c>
      <c r="M36" s="100">
        <v>77.94</v>
      </c>
      <c r="N36" s="100">
        <v>81.2</v>
      </c>
      <c r="O36" s="100">
        <v>0</v>
      </c>
      <c r="P36" s="100">
        <v>0.71</v>
      </c>
      <c r="Q36" s="100">
        <v>8.0299999999999994</v>
      </c>
      <c r="R36" s="6"/>
      <c r="S36" s="6"/>
      <c r="T36" s="156"/>
      <c r="U36" s="6"/>
    </row>
    <row r="37" spans="1:21" customFormat="1">
      <c r="A37" s="100" t="s">
        <v>554</v>
      </c>
      <c r="B37" s="100">
        <v>56.47</v>
      </c>
      <c r="C37" s="100">
        <v>59.2</v>
      </c>
      <c r="D37" s="100">
        <v>77.569999999999993</v>
      </c>
      <c r="E37" s="100">
        <v>9.0299999999999994</v>
      </c>
      <c r="F37" s="100">
        <v>3.76</v>
      </c>
      <c r="G37" s="100">
        <v>54.02</v>
      </c>
      <c r="H37" s="100">
        <v>19.22</v>
      </c>
      <c r="I37" s="100">
        <v>6.06</v>
      </c>
      <c r="J37" s="100">
        <v>0.48</v>
      </c>
      <c r="K37" s="100">
        <v>49.09</v>
      </c>
      <c r="L37" s="100">
        <v>25.08</v>
      </c>
      <c r="M37" s="100">
        <v>75.430000000000007</v>
      </c>
      <c r="N37" s="100">
        <v>67.900000000000006</v>
      </c>
      <c r="O37" s="100">
        <v>0</v>
      </c>
      <c r="P37" s="100">
        <v>0.7</v>
      </c>
      <c r="Q37" s="100">
        <v>7.96</v>
      </c>
      <c r="R37" s="6"/>
      <c r="S37" s="6"/>
      <c r="T37" s="156"/>
      <c r="U37" s="6"/>
    </row>
    <row r="38" spans="1:21" customFormat="1">
      <c r="A38" s="100" t="s">
        <v>555</v>
      </c>
      <c r="B38" s="100">
        <v>55.02</v>
      </c>
      <c r="C38" s="100">
        <v>59.57</v>
      </c>
      <c r="D38" s="100">
        <v>76.59</v>
      </c>
      <c r="E38" s="100">
        <v>8.7100000000000009</v>
      </c>
      <c r="F38" s="100">
        <v>3.7</v>
      </c>
      <c r="G38" s="100">
        <v>53.21</v>
      </c>
      <c r="H38" s="100">
        <v>18.37</v>
      </c>
      <c r="I38" s="100">
        <v>6.02</v>
      </c>
      <c r="J38" s="100">
        <v>0.23</v>
      </c>
      <c r="K38" s="100">
        <v>9.99</v>
      </c>
      <c r="L38" s="100">
        <v>25.67</v>
      </c>
      <c r="M38" s="100">
        <v>73.08</v>
      </c>
      <c r="N38" s="100">
        <v>67.400000000000006</v>
      </c>
      <c r="O38" s="100">
        <v>0</v>
      </c>
      <c r="P38" s="100">
        <v>0.7</v>
      </c>
      <c r="Q38" s="100">
        <v>7.89</v>
      </c>
      <c r="R38" s="6"/>
      <c r="S38" s="6"/>
      <c r="T38" s="156"/>
      <c r="U38" s="6"/>
    </row>
    <row r="39" spans="1:21" customFormat="1">
      <c r="A39" s="100" t="s">
        <v>556</v>
      </c>
      <c r="B39" s="100">
        <v>53.84</v>
      </c>
      <c r="C39" s="100">
        <v>59.08</v>
      </c>
      <c r="D39" s="100">
        <v>75.39</v>
      </c>
      <c r="E39" s="100">
        <v>8.57</v>
      </c>
      <c r="F39" s="100">
        <v>3.85</v>
      </c>
      <c r="G39" s="100">
        <v>51.83</v>
      </c>
      <c r="H39" s="100">
        <v>17.46</v>
      </c>
      <c r="I39" s="100">
        <v>6.02</v>
      </c>
      <c r="J39" s="100">
        <v>0.7</v>
      </c>
      <c r="K39" s="100">
        <v>60.96</v>
      </c>
      <c r="L39" s="100">
        <v>26.63</v>
      </c>
      <c r="M39" s="100">
        <v>69.44</v>
      </c>
      <c r="N39" s="100">
        <v>71.7</v>
      </c>
      <c r="O39" s="100">
        <v>0</v>
      </c>
      <c r="P39" s="100">
        <v>0.7</v>
      </c>
      <c r="Q39" s="100">
        <v>7.77</v>
      </c>
      <c r="R39" s="6"/>
      <c r="S39" s="6"/>
      <c r="T39" s="156"/>
      <c r="U39" s="6"/>
    </row>
    <row r="40" spans="1:21" customFormat="1">
      <c r="A40" s="100" t="s">
        <v>557</v>
      </c>
      <c r="B40" s="100">
        <v>52.53</v>
      </c>
      <c r="C40" s="100">
        <v>59.15</v>
      </c>
      <c r="D40" s="100">
        <v>74.38</v>
      </c>
      <c r="E40" s="100">
        <v>8.8800000000000008</v>
      </c>
      <c r="F40" s="100">
        <v>4.01</v>
      </c>
      <c r="G40" s="100">
        <v>51.83</v>
      </c>
      <c r="H40" s="100">
        <v>17.46</v>
      </c>
      <c r="I40" s="100">
        <v>6.03</v>
      </c>
      <c r="J40" s="100">
        <v>0.63</v>
      </c>
      <c r="K40" s="100">
        <v>49.18</v>
      </c>
      <c r="L40" s="100">
        <v>27.54</v>
      </c>
      <c r="M40" s="100">
        <v>66.55</v>
      </c>
      <c r="N40" s="100">
        <v>73.400000000000006</v>
      </c>
      <c r="O40" s="100">
        <v>0</v>
      </c>
      <c r="P40" s="100">
        <v>0.69</v>
      </c>
      <c r="Q40" s="100">
        <v>7.74</v>
      </c>
      <c r="R40" s="6"/>
      <c r="S40" s="6"/>
      <c r="T40" s="156"/>
      <c r="U40" s="6"/>
    </row>
    <row r="41" spans="1:21" customFormat="1">
      <c r="A41" s="100" t="s">
        <v>558</v>
      </c>
      <c r="B41" s="100">
        <v>50.78</v>
      </c>
      <c r="C41" s="100">
        <v>59.78</v>
      </c>
      <c r="D41" s="100">
        <v>73.31</v>
      </c>
      <c r="E41" s="100">
        <v>8.25</v>
      </c>
      <c r="F41" s="100">
        <v>3.8</v>
      </c>
      <c r="G41" s="100">
        <v>51.83</v>
      </c>
      <c r="H41" s="100">
        <v>17.46</v>
      </c>
      <c r="I41" s="100">
        <v>5.99</v>
      </c>
      <c r="J41" s="100">
        <v>0.73</v>
      </c>
      <c r="K41" s="100">
        <v>61.28</v>
      </c>
      <c r="L41" s="100">
        <v>27.64</v>
      </c>
      <c r="M41" s="100">
        <v>64.94</v>
      </c>
      <c r="N41" s="100">
        <v>78.8</v>
      </c>
      <c r="O41" s="100">
        <v>0</v>
      </c>
      <c r="P41" s="100">
        <v>0.69</v>
      </c>
      <c r="Q41" s="100">
        <v>7.66</v>
      </c>
      <c r="R41" s="6"/>
      <c r="S41" s="6"/>
      <c r="T41" s="156"/>
      <c r="U41" s="6"/>
    </row>
    <row r="42" spans="1:21" customFormat="1">
      <c r="A42" s="100" t="s">
        <v>559</v>
      </c>
      <c r="B42" s="100">
        <v>49.01</v>
      </c>
      <c r="C42" s="100">
        <v>59.2</v>
      </c>
      <c r="D42" s="100">
        <v>71.58</v>
      </c>
      <c r="E42" s="100">
        <v>8.6</v>
      </c>
      <c r="F42" s="100">
        <v>3.76</v>
      </c>
      <c r="G42" s="100">
        <v>50.06</v>
      </c>
      <c r="H42" s="100">
        <v>16.13</v>
      </c>
      <c r="I42" s="100">
        <v>5.89</v>
      </c>
      <c r="J42" s="100">
        <v>0.75</v>
      </c>
      <c r="K42" s="100">
        <v>69.33</v>
      </c>
      <c r="L42" s="100">
        <v>28.51</v>
      </c>
      <c r="M42" s="100">
        <v>63.09</v>
      </c>
      <c r="N42" s="100">
        <v>84.7</v>
      </c>
      <c r="O42" s="100">
        <v>0</v>
      </c>
      <c r="P42" s="100">
        <v>0.68</v>
      </c>
      <c r="Q42" s="100">
        <v>7.53</v>
      </c>
      <c r="R42" s="6"/>
      <c r="S42" s="6"/>
      <c r="T42" s="156"/>
      <c r="U42" s="6"/>
    </row>
    <row r="43" spans="1:21" customFormat="1">
      <c r="A43" s="100" t="s">
        <v>560</v>
      </c>
      <c r="B43" s="100">
        <v>47.4</v>
      </c>
      <c r="C43" s="100">
        <v>58.49</v>
      </c>
      <c r="D43" s="100">
        <v>69.92</v>
      </c>
      <c r="E43" s="100">
        <v>8.26</v>
      </c>
      <c r="F43" s="100">
        <v>4.04</v>
      </c>
      <c r="G43" s="100">
        <v>47.01</v>
      </c>
      <c r="H43" s="100">
        <v>14.76</v>
      </c>
      <c r="I43" s="100">
        <v>5.85</v>
      </c>
      <c r="J43" s="100">
        <v>0.41</v>
      </c>
      <c r="K43" s="100">
        <v>290.39999999999998</v>
      </c>
      <c r="L43" s="100">
        <v>28.84</v>
      </c>
      <c r="M43" s="100">
        <v>60.52</v>
      </c>
      <c r="N43" s="100">
        <v>128.19999999999999</v>
      </c>
      <c r="O43" s="100">
        <v>0</v>
      </c>
      <c r="P43" s="100">
        <v>0.65</v>
      </c>
      <c r="Q43" s="100">
        <v>7.41</v>
      </c>
      <c r="R43" s="6"/>
      <c r="S43" s="6"/>
      <c r="T43" s="156"/>
      <c r="U43" s="6"/>
    </row>
    <row r="44" spans="1:21" customFormat="1">
      <c r="A44" s="100" t="s">
        <v>561</v>
      </c>
      <c r="B44" s="100">
        <v>44.82</v>
      </c>
      <c r="C44" s="100">
        <v>59.47</v>
      </c>
      <c r="D44" s="100">
        <v>68.37</v>
      </c>
      <c r="E44" s="100">
        <v>8.48</v>
      </c>
      <c r="F44" s="100">
        <v>3.88</v>
      </c>
      <c r="G44" s="100">
        <v>47.01</v>
      </c>
      <c r="H44" s="100">
        <v>14.76</v>
      </c>
      <c r="I44" s="100">
        <v>5.85</v>
      </c>
      <c r="J44" s="100">
        <v>0.34</v>
      </c>
      <c r="K44" s="100">
        <v>290.55</v>
      </c>
      <c r="L44" s="100">
        <v>29.11</v>
      </c>
      <c r="M44" s="100">
        <v>58.13</v>
      </c>
      <c r="N44" s="100">
        <v>243.8</v>
      </c>
      <c r="O44" s="100">
        <v>0</v>
      </c>
      <c r="P44" s="100">
        <v>0.65</v>
      </c>
      <c r="Q44" s="100">
        <v>7.27</v>
      </c>
      <c r="R44" s="6"/>
      <c r="S44" s="6"/>
      <c r="T44" s="156"/>
      <c r="U44" s="6"/>
    </row>
    <row r="45" spans="1:21" customFormat="1">
      <c r="A45" s="100" t="s">
        <v>562</v>
      </c>
      <c r="B45" s="100">
        <v>42.68</v>
      </c>
      <c r="C45" s="100">
        <v>56.95</v>
      </c>
      <c r="D45" s="100">
        <v>65.34</v>
      </c>
      <c r="E45" s="100">
        <v>8.5299999999999994</v>
      </c>
      <c r="F45" s="100">
        <v>4.41</v>
      </c>
      <c r="G45" s="100">
        <v>47.01</v>
      </c>
      <c r="H45" s="100">
        <v>14.76</v>
      </c>
      <c r="I45" s="100">
        <v>5.64</v>
      </c>
      <c r="J45" s="100">
        <v>0.21</v>
      </c>
      <c r="K45" s="100">
        <v>312.70999999999998</v>
      </c>
      <c r="L45" s="100">
        <v>29.86</v>
      </c>
      <c r="M45" s="100">
        <v>56.11</v>
      </c>
      <c r="N45" s="100">
        <v>316.5</v>
      </c>
      <c r="O45" s="100">
        <v>0</v>
      </c>
      <c r="P45" s="100">
        <v>0.62</v>
      </c>
      <c r="Q45" s="100">
        <v>7.02</v>
      </c>
      <c r="R45" s="6"/>
      <c r="S45" s="6"/>
      <c r="T45" s="156"/>
      <c r="U45" s="6"/>
    </row>
    <row r="46" spans="1:21" customFormat="1">
      <c r="A46" s="100" t="s">
        <v>563</v>
      </c>
      <c r="B46" s="100">
        <v>39.82</v>
      </c>
      <c r="C46" s="100">
        <v>58.6</v>
      </c>
      <c r="D46" s="100">
        <v>63.9</v>
      </c>
      <c r="E46" s="100">
        <v>7.59</v>
      </c>
      <c r="F46" s="100">
        <v>4.47</v>
      </c>
      <c r="G46" s="100">
        <v>43.69</v>
      </c>
      <c r="H46" s="100">
        <v>14.48</v>
      </c>
      <c r="I46" s="100">
        <v>5.57</v>
      </c>
      <c r="J46" s="100">
        <v>0.56999999999999995</v>
      </c>
      <c r="K46" s="100">
        <v>351.48</v>
      </c>
      <c r="L46" s="100">
        <v>30.17</v>
      </c>
      <c r="M46" s="100">
        <v>53.75</v>
      </c>
      <c r="N46" s="100">
        <v>215.4</v>
      </c>
      <c r="O46" s="100">
        <v>0</v>
      </c>
      <c r="P46" s="100">
        <v>0.64</v>
      </c>
      <c r="Q46" s="100">
        <v>6.92</v>
      </c>
      <c r="R46" s="6"/>
      <c r="S46" s="6"/>
      <c r="T46" s="156"/>
      <c r="U46" s="6"/>
    </row>
    <row r="47" spans="1:21" customFormat="1">
      <c r="A47" s="100" t="s">
        <v>564</v>
      </c>
      <c r="B47" s="100">
        <v>38.07</v>
      </c>
      <c r="C47" s="100">
        <v>56.56</v>
      </c>
      <c r="D47" s="100">
        <v>61.43</v>
      </c>
      <c r="E47" s="100">
        <v>7.74</v>
      </c>
      <c r="F47" s="100">
        <v>4.7699999999999996</v>
      </c>
      <c r="G47" s="100">
        <v>37.96</v>
      </c>
      <c r="H47" s="100">
        <v>14.2</v>
      </c>
      <c r="I47" s="100">
        <v>5.4</v>
      </c>
      <c r="J47" s="100">
        <v>0.73</v>
      </c>
      <c r="K47" s="100">
        <v>57.17</v>
      </c>
      <c r="L47" s="100">
        <v>30.68</v>
      </c>
      <c r="M47" s="100">
        <v>52.64</v>
      </c>
      <c r="N47" s="100">
        <v>243.5</v>
      </c>
      <c r="O47" s="100">
        <v>0</v>
      </c>
      <c r="P47" s="100">
        <v>0.62</v>
      </c>
      <c r="Q47" s="100">
        <v>6.74</v>
      </c>
      <c r="R47" s="6"/>
      <c r="S47" s="6"/>
      <c r="T47" s="156"/>
      <c r="U47" s="6"/>
    </row>
    <row r="48" spans="1:21" customFormat="1">
      <c r="A48" s="100" t="s">
        <v>565</v>
      </c>
      <c r="B48" s="100">
        <v>35.99</v>
      </c>
      <c r="C48" s="100">
        <v>58.98</v>
      </c>
      <c r="D48" s="100">
        <v>61.03</v>
      </c>
      <c r="E48" s="100">
        <v>7.71</v>
      </c>
      <c r="F48" s="100">
        <v>4.21</v>
      </c>
      <c r="G48" s="100">
        <v>37.96</v>
      </c>
      <c r="H48" s="100">
        <v>14.2</v>
      </c>
      <c r="I48" s="100">
        <v>5.39</v>
      </c>
      <c r="J48" s="100">
        <v>0.51</v>
      </c>
      <c r="K48" s="100">
        <v>75.849999999999994</v>
      </c>
      <c r="L48" s="100">
        <v>31.13</v>
      </c>
      <c r="M48" s="100">
        <v>53.03</v>
      </c>
      <c r="N48" s="100">
        <v>170.7</v>
      </c>
      <c r="O48" s="100">
        <v>0</v>
      </c>
      <c r="P48" s="100">
        <v>0.64</v>
      </c>
      <c r="Q48" s="100">
        <v>6.67</v>
      </c>
      <c r="R48" s="6"/>
      <c r="S48" s="6"/>
      <c r="T48" s="156"/>
      <c r="U48" s="6"/>
    </row>
    <row r="49" spans="1:21" customFormat="1">
      <c r="A49" s="100" t="s">
        <v>566</v>
      </c>
      <c r="B49" s="100">
        <v>33.700000000000003</v>
      </c>
      <c r="C49" s="100">
        <v>56.78</v>
      </c>
      <c r="D49" s="100">
        <v>58.04</v>
      </c>
      <c r="E49" s="100">
        <v>7.53</v>
      </c>
      <c r="F49" s="100">
        <v>4.84</v>
      </c>
      <c r="G49" s="100">
        <v>37.96</v>
      </c>
      <c r="H49" s="100">
        <v>14.2</v>
      </c>
      <c r="I49" s="100">
        <v>5.32</v>
      </c>
      <c r="J49" s="100">
        <v>0.08</v>
      </c>
      <c r="K49" s="100">
        <v>59.97</v>
      </c>
      <c r="L49" s="100">
        <v>31.45</v>
      </c>
      <c r="M49" s="100">
        <v>53.06</v>
      </c>
      <c r="N49" s="100">
        <v>318.60000000000002</v>
      </c>
      <c r="O49" s="100">
        <v>0</v>
      </c>
      <c r="P49" s="100">
        <v>0.63</v>
      </c>
      <c r="Q49" s="100">
        <v>6.43</v>
      </c>
      <c r="R49" s="6"/>
      <c r="S49" s="6"/>
      <c r="T49" s="156"/>
      <c r="U49" s="6"/>
    </row>
    <row r="50" spans="1:21" customFormat="1">
      <c r="A50" s="100" t="s">
        <v>567</v>
      </c>
      <c r="B50" s="100">
        <v>30.43</v>
      </c>
      <c r="C50" s="100">
        <v>58.88</v>
      </c>
      <c r="D50" s="100">
        <v>56.52</v>
      </c>
      <c r="E50" s="100">
        <v>8.64</v>
      </c>
      <c r="F50" s="100">
        <v>5.49</v>
      </c>
      <c r="G50" s="100">
        <v>38.24</v>
      </c>
      <c r="H50" s="100">
        <v>14.39</v>
      </c>
      <c r="I50" s="100">
        <v>5.27</v>
      </c>
      <c r="J50" s="100">
        <v>0.65</v>
      </c>
      <c r="K50" s="100">
        <v>262.77999999999997</v>
      </c>
      <c r="L50" s="100">
        <v>31.11</v>
      </c>
      <c r="M50" s="100">
        <v>53.3</v>
      </c>
      <c r="N50" s="100">
        <v>330.6</v>
      </c>
      <c r="O50" s="100">
        <v>0</v>
      </c>
      <c r="P50" s="100">
        <v>0.64</v>
      </c>
      <c r="Q50" s="100">
        <v>6.37</v>
      </c>
      <c r="R50" s="6"/>
      <c r="S50" s="6"/>
      <c r="T50" s="156"/>
      <c r="U50" s="6"/>
    </row>
    <row r="51" spans="1:21" customFormat="1">
      <c r="A51" s="100" t="s">
        <v>568</v>
      </c>
      <c r="B51" s="100">
        <v>28.07</v>
      </c>
      <c r="C51" s="100">
        <v>57.4</v>
      </c>
      <c r="D51" s="100">
        <v>53.85</v>
      </c>
      <c r="E51" s="100">
        <v>8.5</v>
      </c>
      <c r="F51" s="100">
        <v>5.52</v>
      </c>
      <c r="G51" s="100">
        <v>38.72</v>
      </c>
      <c r="H51" s="100">
        <v>14.59</v>
      </c>
      <c r="I51" s="100">
        <v>5.2</v>
      </c>
      <c r="J51" s="100">
        <v>0.41</v>
      </c>
      <c r="K51" s="100">
        <v>234.58</v>
      </c>
      <c r="L51" s="100">
        <v>31.74</v>
      </c>
      <c r="M51" s="100">
        <v>52.45</v>
      </c>
      <c r="N51" s="100">
        <v>729.6</v>
      </c>
      <c r="O51" s="100">
        <v>0</v>
      </c>
      <c r="P51" s="100">
        <v>0.63</v>
      </c>
      <c r="Q51" s="100">
        <v>6.17</v>
      </c>
      <c r="R51" s="6"/>
      <c r="S51" s="6"/>
      <c r="T51" s="156"/>
      <c r="U51" s="6"/>
    </row>
    <row r="52" spans="1:21" customFormat="1">
      <c r="A52" s="100" t="s">
        <v>569</v>
      </c>
      <c r="B52" s="100">
        <v>24.47</v>
      </c>
      <c r="C52" s="100">
        <v>56.33</v>
      </c>
      <c r="D52" s="100">
        <v>50.4</v>
      </c>
      <c r="E52" s="100">
        <v>8.25</v>
      </c>
      <c r="F52" s="100">
        <v>6.18</v>
      </c>
      <c r="G52" s="100">
        <v>38.72</v>
      </c>
      <c r="H52" s="100">
        <v>14.59</v>
      </c>
      <c r="I52" s="100">
        <v>5.13</v>
      </c>
      <c r="J52" s="100">
        <v>0.39</v>
      </c>
      <c r="K52" s="100">
        <v>199.31</v>
      </c>
      <c r="L52" s="100">
        <v>32.26</v>
      </c>
      <c r="M52" s="100">
        <v>51.11</v>
      </c>
      <c r="N52" s="100">
        <v>843.5</v>
      </c>
      <c r="O52" s="100">
        <v>0</v>
      </c>
      <c r="P52" s="100">
        <v>0.62</v>
      </c>
      <c r="Q52" s="100">
        <v>5.89</v>
      </c>
      <c r="R52" s="6"/>
      <c r="S52" s="6"/>
      <c r="T52" s="156"/>
      <c r="U52" s="6"/>
    </row>
    <row r="53" spans="1:21" customFormat="1">
      <c r="A53" s="100" t="s">
        <v>570</v>
      </c>
      <c r="B53" s="100">
        <v>21.78</v>
      </c>
      <c r="C53" s="100">
        <v>58.72</v>
      </c>
      <c r="D53" s="100">
        <v>49.5</v>
      </c>
      <c r="E53" s="100">
        <v>8.59</v>
      </c>
      <c r="F53" s="100">
        <v>7.61</v>
      </c>
      <c r="G53" s="100">
        <v>38.72</v>
      </c>
      <c r="H53" s="100">
        <v>14.59</v>
      </c>
      <c r="I53" s="100">
        <v>5.1100000000000003</v>
      </c>
      <c r="J53" s="100">
        <v>0.56000000000000005</v>
      </c>
      <c r="K53" s="100">
        <v>263.45</v>
      </c>
      <c r="L53" s="100">
        <v>32.06</v>
      </c>
      <c r="M53" s="100">
        <v>52.64</v>
      </c>
      <c r="N53" s="100">
        <v>771.9</v>
      </c>
      <c r="O53" s="100">
        <v>0</v>
      </c>
      <c r="P53" s="100">
        <v>0.64</v>
      </c>
      <c r="Q53" s="100">
        <v>5.94</v>
      </c>
      <c r="R53" s="6"/>
      <c r="S53" s="6"/>
      <c r="T53" s="156"/>
      <c r="U53" s="6"/>
    </row>
    <row r="54" spans="1:21" customFormat="1">
      <c r="A54" s="100" t="s">
        <v>571</v>
      </c>
      <c r="B54" s="100">
        <v>20.83</v>
      </c>
      <c r="C54" s="100">
        <v>54.97</v>
      </c>
      <c r="D54" s="100">
        <v>46.77</v>
      </c>
      <c r="E54" s="100">
        <v>8.6199999999999992</v>
      </c>
      <c r="F54" s="100">
        <v>7.81</v>
      </c>
      <c r="G54" s="100">
        <v>39.700000000000003</v>
      </c>
      <c r="H54" s="100">
        <v>14.34</v>
      </c>
      <c r="I54" s="100">
        <v>5.14</v>
      </c>
      <c r="J54" s="100">
        <v>0.93</v>
      </c>
      <c r="K54" s="100">
        <v>258.18</v>
      </c>
      <c r="L54" s="100">
        <v>32.200000000000003</v>
      </c>
      <c r="M54" s="100">
        <v>49.92</v>
      </c>
      <c r="N54" s="100">
        <v>919.1</v>
      </c>
      <c r="O54" s="100">
        <v>0</v>
      </c>
      <c r="P54" s="100">
        <v>0.61</v>
      </c>
      <c r="Q54" s="100">
        <v>5.75</v>
      </c>
      <c r="R54" s="6"/>
      <c r="S54" s="6"/>
      <c r="T54" s="156"/>
      <c r="U54" s="6"/>
    </row>
    <row r="55" spans="1:21" customFormat="1">
      <c r="A55" s="100" t="s">
        <v>572</v>
      </c>
      <c r="B55" s="100">
        <v>17.28</v>
      </c>
      <c r="C55" s="100">
        <v>46.28</v>
      </c>
      <c r="D55" s="100">
        <v>39.39</v>
      </c>
      <c r="E55" s="100">
        <v>8.6</v>
      </c>
      <c r="F55" s="100">
        <v>13.29</v>
      </c>
      <c r="G55" s="100">
        <v>41.39</v>
      </c>
      <c r="H55" s="100">
        <v>14.09</v>
      </c>
      <c r="I55" s="100">
        <v>5.05</v>
      </c>
      <c r="J55" s="100">
        <v>0.85</v>
      </c>
      <c r="K55" s="100">
        <v>255.99</v>
      </c>
      <c r="L55" s="100">
        <v>32.24</v>
      </c>
      <c r="M55" s="100">
        <v>48.91</v>
      </c>
      <c r="N55" s="100">
        <v>938.2</v>
      </c>
      <c r="O55" s="100">
        <v>0</v>
      </c>
      <c r="P55" s="100">
        <v>0.56000000000000005</v>
      </c>
      <c r="Q55" s="100">
        <v>5.47</v>
      </c>
      <c r="R55" s="6"/>
      <c r="S55" s="6"/>
      <c r="T55" s="156"/>
      <c r="U55" s="6"/>
    </row>
    <row r="56" spans="1:21" customFormat="1">
      <c r="A56" s="100" t="s">
        <v>573</v>
      </c>
      <c r="B56" s="100">
        <v>10.130000000000001</v>
      </c>
      <c r="C56" s="100">
        <v>37.409999999999997</v>
      </c>
      <c r="D56" s="100">
        <v>29.02</v>
      </c>
      <c r="E56" s="100">
        <v>8.4700000000000006</v>
      </c>
      <c r="F56" s="100">
        <v>26.04</v>
      </c>
      <c r="G56" s="100">
        <v>41.39</v>
      </c>
      <c r="H56" s="100">
        <v>14.09</v>
      </c>
      <c r="I56" s="100">
        <v>4.9800000000000004</v>
      </c>
      <c r="J56" s="100">
        <v>1.03</v>
      </c>
      <c r="K56" s="100">
        <v>264.33999999999997</v>
      </c>
      <c r="L56" s="100">
        <v>32.47</v>
      </c>
      <c r="M56" s="100">
        <v>48.15</v>
      </c>
      <c r="N56" s="100">
        <v>952.4</v>
      </c>
      <c r="O56" s="100">
        <v>0</v>
      </c>
      <c r="P56" s="100">
        <v>0.49</v>
      </c>
      <c r="Q56" s="100">
        <v>5.08</v>
      </c>
      <c r="R56" s="6"/>
      <c r="S56" s="6"/>
      <c r="T56" s="156"/>
      <c r="U56" s="6"/>
    </row>
    <row r="57" spans="1:21" customFormat="1">
      <c r="A57" s="100" t="s">
        <v>574</v>
      </c>
      <c r="B57" s="100">
        <v>6.18</v>
      </c>
      <c r="C57" s="100">
        <v>32.4</v>
      </c>
      <c r="D57" s="100">
        <v>23.24</v>
      </c>
      <c r="E57" s="100">
        <v>8.9600000000000009</v>
      </c>
      <c r="F57" s="100">
        <v>32.049999999999997</v>
      </c>
      <c r="G57" s="100">
        <v>41.39</v>
      </c>
      <c r="H57" s="100">
        <v>14.09</v>
      </c>
      <c r="I57" s="100">
        <v>4.51</v>
      </c>
      <c r="J57" s="100">
        <v>0.67</v>
      </c>
      <c r="K57" s="100">
        <v>262.99</v>
      </c>
      <c r="L57" s="100">
        <v>33.07</v>
      </c>
      <c r="M57" s="100">
        <v>48.15</v>
      </c>
      <c r="N57" s="100">
        <v>927.1</v>
      </c>
      <c r="O57" s="100">
        <v>0</v>
      </c>
      <c r="P57" s="100">
        <v>0.46</v>
      </c>
      <c r="Q57" s="100">
        <v>4.8899999999999997</v>
      </c>
      <c r="R57" s="6"/>
      <c r="S57" s="6"/>
      <c r="T57" s="156"/>
      <c r="U57" s="6"/>
    </row>
    <row r="58" spans="1:21" customFormat="1">
      <c r="A58" s="100" t="s">
        <v>575</v>
      </c>
      <c r="B58" s="100">
        <v>4.4800000000000004</v>
      </c>
      <c r="C58" s="100">
        <v>32.99</v>
      </c>
      <c r="D58" s="100">
        <v>22.18</v>
      </c>
      <c r="E58" s="100">
        <v>9.94</v>
      </c>
      <c r="F58" s="100">
        <v>25.31</v>
      </c>
      <c r="G58" s="100">
        <v>37.57</v>
      </c>
      <c r="H58" s="100">
        <v>13.75</v>
      </c>
      <c r="I58" s="100">
        <v>3.72</v>
      </c>
      <c r="J58" s="100">
        <v>0.67</v>
      </c>
      <c r="K58" s="100">
        <v>230.82</v>
      </c>
      <c r="L58" s="100">
        <v>33.03</v>
      </c>
      <c r="M58" s="100">
        <v>47.73</v>
      </c>
      <c r="N58" s="100">
        <v>791.7</v>
      </c>
      <c r="O58" s="100">
        <v>0</v>
      </c>
      <c r="P58" s="100">
        <v>0.45</v>
      </c>
      <c r="Q58" s="100">
        <v>5</v>
      </c>
      <c r="R58" s="6"/>
      <c r="S58" s="6"/>
      <c r="T58" s="156"/>
      <c r="U58" s="6"/>
    </row>
    <row r="59" spans="1:21" customFormat="1">
      <c r="A59" s="100" t="s">
        <v>576</v>
      </c>
      <c r="B59" s="100">
        <v>3.66</v>
      </c>
      <c r="C59" s="100">
        <v>31.43</v>
      </c>
      <c r="D59" s="100">
        <v>20.71</v>
      </c>
      <c r="E59" s="100">
        <v>9.7200000000000006</v>
      </c>
      <c r="F59" s="100">
        <v>26.76</v>
      </c>
      <c r="G59" s="100">
        <v>30.97</v>
      </c>
      <c r="H59" s="100">
        <v>12.68</v>
      </c>
      <c r="I59" s="100">
        <v>3.22</v>
      </c>
      <c r="J59" s="100">
        <v>0.7</v>
      </c>
      <c r="K59" s="100">
        <v>240.61</v>
      </c>
      <c r="L59" s="100">
        <v>32.69</v>
      </c>
      <c r="M59" s="100">
        <v>49.53</v>
      </c>
      <c r="N59" s="100">
        <v>845.9</v>
      </c>
      <c r="O59" s="100">
        <v>0</v>
      </c>
      <c r="P59" s="100">
        <v>0.42</v>
      </c>
      <c r="Q59" s="100">
        <v>5</v>
      </c>
      <c r="R59" s="6"/>
      <c r="S59" s="6"/>
      <c r="T59" s="156"/>
      <c r="U59" s="6"/>
    </row>
    <row r="60" spans="1:21" customFormat="1">
      <c r="A60" s="100" t="s">
        <v>577</v>
      </c>
      <c r="B60" s="100">
        <v>3.33</v>
      </c>
      <c r="C60" s="100">
        <v>28.74</v>
      </c>
      <c r="D60" s="100">
        <v>19.04</v>
      </c>
      <c r="E60" s="100">
        <v>9.2100000000000009</v>
      </c>
      <c r="F60" s="100">
        <v>28.41</v>
      </c>
      <c r="G60" s="100">
        <v>30.97</v>
      </c>
      <c r="H60" s="100">
        <v>12.68</v>
      </c>
      <c r="I60" s="100">
        <v>3.22</v>
      </c>
      <c r="J60" s="100">
        <v>0.56999999999999995</v>
      </c>
      <c r="K60" s="100">
        <v>247.04</v>
      </c>
      <c r="L60" s="100">
        <v>32.549999999999997</v>
      </c>
      <c r="M60" s="100">
        <v>47.98</v>
      </c>
      <c r="N60" s="100">
        <v>563.9</v>
      </c>
      <c r="O60" s="100">
        <v>0</v>
      </c>
      <c r="P60" s="100">
        <v>0.41</v>
      </c>
      <c r="Q60" s="100">
        <v>5</v>
      </c>
      <c r="R60" s="6"/>
      <c r="S60" s="6"/>
      <c r="T60" s="156"/>
      <c r="U60" s="6"/>
    </row>
    <row r="61" spans="1:21" customFormat="1">
      <c r="A61" s="100" t="s">
        <v>578</v>
      </c>
      <c r="B61" s="100">
        <v>3.27</v>
      </c>
      <c r="C61" s="100">
        <v>30.66</v>
      </c>
      <c r="D61" s="100">
        <v>19.989999999999998</v>
      </c>
      <c r="E61" s="100">
        <v>9.26</v>
      </c>
      <c r="F61" s="100">
        <v>16.88</v>
      </c>
      <c r="G61" s="100">
        <v>30.97</v>
      </c>
      <c r="H61" s="100">
        <v>12.68</v>
      </c>
      <c r="I61" s="100">
        <v>3.08</v>
      </c>
      <c r="J61" s="100">
        <v>0.72</v>
      </c>
      <c r="K61" s="100">
        <v>243.13</v>
      </c>
      <c r="L61" s="100">
        <v>33.46</v>
      </c>
      <c r="M61" s="100">
        <v>45.63</v>
      </c>
      <c r="N61" s="100">
        <v>840.8</v>
      </c>
      <c r="O61" s="100">
        <v>0</v>
      </c>
      <c r="P61" s="100">
        <v>0.42</v>
      </c>
      <c r="Q61" s="100">
        <v>5</v>
      </c>
      <c r="R61" s="6"/>
      <c r="S61" s="6"/>
      <c r="T61" s="156"/>
      <c r="U61" s="6"/>
    </row>
    <row r="62" spans="1:21" customFormat="1">
      <c r="A62" s="100" t="s">
        <v>579</v>
      </c>
      <c r="B62" s="100">
        <v>3.74</v>
      </c>
      <c r="C62" s="100">
        <v>32.89</v>
      </c>
      <c r="D62" s="100">
        <v>21.54</v>
      </c>
      <c r="E62" s="100">
        <v>8.32</v>
      </c>
      <c r="F62" s="100">
        <v>14.06</v>
      </c>
      <c r="G62" s="100">
        <v>31.15</v>
      </c>
      <c r="H62" s="100">
        <v>12.27</v>
      </c>
      <c r="I62" s="100">
        <v>3.03</v>
      </c>
      <c r="J62" s="100">
        <v>0.39</v>
      </c>
      <c r="K62" s="100">
        <v>246</v>
      </c>
      <c r="L62" s="100">
        <v>33.479999999999997</v>
      </c>
      <c r="M62" s="100">
        <v>44.88</v>
      </c>
      <c r="N62" s="100">
        <v>445.9</v>
      </c>
      <c r="O62" s="100">
        <v>0</v>
      </c>
      <c r="P62" s="100">
        <v>0.46</v>
      </c>
      <c r="Q62" s="100">
        <v>5</v>
      </c>
      <c r="R62" s="6"/>
      <c r="S62" s="6"/>
      <c r="T62" s="156"/>
      <c r="U62" s="6"/>
    </row>
    <row r="63" spans="1:21" customFormat="1">
      <c r="A63" s="100" t="s">
        <v>580</v>
      </c>
      <c r="B63" s="100">
        <v>4.3600000000000003</v>
      </c>
      <c r="C63" s="100">
        <v>34.049999999999997</v>
      </c>
      <c r="D63" s="100">
        <v>22.64</v>
      </c>
      <c r="E63" s="100">
        <v>8.67</v>
      </c>
      <c r="F63" s="100">
        <v>15.82</v>
      </c>
      <c r="G63" s="100">
        <v>31.46</v>
      </c>
      <c r="H63" s="100">
        <v>11.85</v>
      </c>
      <c r="I63" s="100">
        <v>3.32</v>
      </c>
      <c r="J63" s="100">
        <v>0.65</v>
      </c>
      <c r="K63" s="100">
        <v>287.66000000000003</v>
      </c>
      <c r="L63" s="100">
        <v>33.6</v>
      </c>
      <c r="M63" s="100">
        <v>43.44</v>
      </c>
      <c r="N63" s="100">
        <v>709.7</v>
      </c>
      <c r="O63" s="100">
        <v>0</v>
      </c>
      <c r="P63" s="100">
        <v>0.46</v>
      </c>
      <c r="Q63" s="100">
        <v>5</v>
      </c>
      <c r="R63" s="6"/>
      <c r="S63" s="6"/>
      <c r="T63" s="156"/>
      <c r="U63" s="6"/>
    </row>
    <row r="64" spans="1:21" customFormat="1">
      <c r="A64" s="100" t="s">
        <v>581</v>
      </c>
      <c r="B64" s="100">
        <v>4.78</v>
      </c>
      <c r="C64" s="100">
        <v>34.229999999999997</v>
      </c>
      <c r="D64" s="100">
        <v>23.06</v>
      </c>
      <c r="E64" s="100">
        <v>9.56</v>
      </c>
      <c r="F64" s="100">
        <v>25.9</v>
      </c>
      <c r="G64" s="100">
        <v>31.46</v>
      </c>
      <c r="H64" s="100">
        <v>11.85</v>
      </c>
      <c r="I64" s="100">
        <v>3.55</v>
      </c>
      <c r="J64" s="100">
        <v>0.79</v>
      </c>
      <c r="K64" s="100">
        <v>277.55</v>
      </c>
      <c r="L64" s="100">
        <v>33.909999999999997</v>
      </c>
      <c r="M64" s="100">
        <v>41.37</v>
      </c>
      <c r="N64" s="100">
        <v>735.8</v>
      </c>
      <c r="O64" s="100">
        <v>0</v>
      </c>
      <c r="P64" s="100">
        <v>0.48</v>
      </c>
      <c r="Q64" s="100">
        <v>5</v>
      </c>
      <c r="R64" s="6"/>
      <c r="S64" s="6"/>
      <c r="T64" s="156"/>
      <c r="U64" s="6"/>
    </row>
    <row r="65" spans="1:21" customFormat="1">
      <c r="A65" s="100" t="s">
        <v>582</v>
      </c>
      <c r="B65" s="100">
        <v>3.84</v>
      </c>
      <c r="C65" s="100">
        <v>28.59</v>
      </c>
      <c r="D65" s="100">
        <v>19.37</v>
      </c>
      <c r="E65" s="100">
        <v>13.15</v>
      </c>
      <c r="F65" s="100">
        <v>50.65</v>
      </c>
      <c r="G65" s="100">
        <v>31.46</v>
      </c>
      <c r="H65" s="100">
        <v>11.85</v>
      </c>
      <c r="I65" s="100">
        <v>3.74</v>
      </c>
      <c r="J65" s="100">
        <v>0.53</v>
      </c>
      <c r="K65" s="100">
        <v>32.799999999999997</v>
      </c>
      <c r="L65" s="100">
        <v>34.020000000000003</v>
      </c>
      <c r="M65" s="100">
        <v>40.090000000000003</v>
      </c>
      <c r="N65" s="100">
        <v>773.4</v>
      </c>
      <c r="O65" s="100">
        <v>0</v>
      </c>
      <c r="P65" s="100">
        <v>0.51</v>
      </c>
      <c r="Q65" s="100">
        <v>5</v>
      </c>
      <c r="R65" s="6"/>
      <c r="S65" s="6"/>
      <c r="T65" s="156"/>
      <c r="U65" s="6"/>
    </row>
    <row r="66" spans="1:21" customFormat="1">
      <c r="A66" s="100" t="s">
        <v>583</v>
      </c>
      <c r="B66" s="100">
        <v>3.16</v>
      </c>
      <c r="C66" s="100">
        <v>28.7</v>
      </c>
      <c r="D66" s="100">
        <v>18.88</v>
      </c>
      <c r="E66" s="100">
        <v>12.1</v>
      </c>
      <c r="F66" s="100">
        <v>44.46</v>
      </c>
      <c r="G66" s="100">
        <v>31.66</v>
      </c>
      <c r="H66" s="100">
        <v>12.19</v>
      </c>
      <c r="I66" s="100">
        <v>3.89</v>
      </c>
      <c r="J66" s="100">
        <v>0.68</v>
      </c>
      <c r="K66" s="100">
        <v>252.75</v>
      </c>
      <c r="L66" s="100">
        <v>34.380000000000003</v>
      </c>
      <c r="M66" s="100">
        <v>37.44</v>
      </c>
      <c r="N66" s="100">
        <v>658.8</v>
      </c>
      <c r="O66" s="100">
        <v>0</v>
      </c>
      <c r="P66" s="100">
        <v>0.51</v>
      </c>
      <c r="Q66" s="100">
        <v>5</v>
      </c>
      <c r="R66" s="6"/>
      <c r="S66" s="6"/>
      <c r="T66" s="156"/>
      <c r="U66" s="6"/>
    </row>
    <row r="67" spans="1:21" customFormat="1">
      <c r="A67" s="100" t="s">
        <v>584</v>
      </c>
      <c r="B67" s="100">
        <v>3.16</v>
      </c>
      <c r="C67" s="100">
        <v>28.34</v>
      </c>
      <c r="D67" s="100">
        <v>18.690000000000001</v>
      </c>
      <c r="E67" s="100">
        <v>11.08</v>
      </c>
      <c r="F67" s="100">
        <v>47.99</v>
      </c>
      <c r="G67" s="100">
        <v>31.99</v>
      </c>
      <c r="H67" s="100">
        <v>12.54</v>
      </c>
      <c r="I67" s="100">
        <v>4.03</v>
      </c>
      <c r="J67" s="100">
        <v>0.66</v>
      </c>
      <c r="K67" s="100">
        <v>312.3</v>
      </c>
      <c r="L67" s="100">
        <v>34.51</v>
      </c>
      <c r="M67" s="100">
        <v>36.659999999999997</v>
      </c>
      <c r="N67" s="100">
        <v>703.9</v>
      </c>
      <c r="O67" s="100">
        <v>0</v>
      </c>
      <c r="P67" s="100">
        <v>0.49</v>
      </c>
      <c r="Q67" s="100">
        <v>5</v>
      </c>
      <c r="R67" s="6"/>
      <c r="S67" s="6"/>
      <c r="T67" s="156"/>
      <c r="U67" s="6"/>
    </row>
    <row r="68" spans="1:21" customFormat="1">
      <c r="A68" s="100" t="s">
        <v>585</v>
      </c>
      <c r="B68" s="100">
        <v>3.55</v>
      </c>
      <c r="C68" s="100">
        <v>27.48</v>
      </c>
      <c r="D68" s="100">
        <v>18.55</v>
      </c>
      <c r="E68" s="100">
        <v>12.61</v>
      </c>
      <c r="F68" s="100">
        <v>66.510000000000005</v>
      </c>
      <c r="G68" s="100">
        <v>31.99</v>
      </c>
      <c r="H68" s="100">
        <v>12.54</v>
      </c>
      <c r="I68" s="100">
        <v>3.79</v>
      </c>
      <c r="J68" s="100">
        <v>0.37</v>
      </c>
      <c r="K68" s="100">
        <v>301.37</v>
      </c>
      <c r="L68" s="100">
        <v>34.9</v>
      </c>
      <c r="M68" s="100">
        <v>35.83</v>
      </c>
      <c r="N68" s="100">
        <v>693.7</v>
      </c>
      <c r="O68" s="100">
        <v>0</v>
      </c>
      <c r="P68" s="100">
        <v>0.49</v>
      </c>
      <c r="Q68" s="100">
        <v>5</v>
      </c>
      <c r="R68" s="6"/>
      <c r="S68" s="6"/>
      <c r="T68" s="156"/>
      <c r="U68" s="6"/>
    </row>
    <row r="69" spans="1:21" customFormat="1">
      <c r="A69" s="100" t="s">
        <v>586</v>
      </c>
      <c r="B69" s="100">
        <v>3.36</v>
      </c>
      <c r="C69" s="100">
        <v>23.45</v>
      </c>
      <c r="D69" s="100">
        <v>16.3</v>
      </c>
      <c r="E69" s="100">
        <v>10.63</v>
      </c>
      <c r="F69" s="100">
        <v>47.49</v>
      </c>
      <c r="G69" s="100">
        <v>31.99</v>
      </c>
      <c r="H69" s="100">
        <v>12.54</v>
      </c>
      <c r="I69" s="100">
        <v>3.58</v>
      </c>
      <c r="J69" s="100">
        <v>0.73</v>
      </c>
      <c r="K69" s="100">
        <v>267.56</v>
      </c>
      <c r="L69" s="100">
        <v>34.71</v>
      </c>
      <c r="M69" s="100">
        <v>35.369999999999997</v>
      </c>
      <c r="N69" s="100">
        <v>646.70000000000005</v>
      </c>
      <c r="O69" s="100">
        <v>0</v>
      </c>
      <c r="P69" s="100">
        <v>0.45</v>
      </c>
      <c r="Q69" s="100">
        <v>5</v>
      </c>
      <c r="R69" s="6"/>
      <c r="S69" s="6"/>
      <c r="T69" s="156"/>
      <c r="U69" s="6"/>
    </row>
    <row r="70" spans="1:21" customFormat="1">
      <c r="A70" s="100" t="s">
        <v>587</v>
      </c>
      <c r="B70" s="100">
        <v>3.98</v>
      </c>
      <c r="C70" s="100">
        <v>26.8</v>
      </c>
      <c r="D70" s="100">
        <v>18.54</v>
      </c>
      <c r="E70" s="100">
        <v>9.19</v>
      </c>
      <c r="F70" s="100">
        <v>26.96</v>
      </c>
      <c r="G70" s="100">
        <v>30.87</v>
      </c>
      <c r="H70" s="100">
        <v>12.07</v>
      </c>
      <c r="I70" s="100">
        <v>2.92</v>
      </c>
      <c r="J70" s="100">
        <v>0.85</v>
      </c>
      <c r="K70" s="100">
        <v>299.31</v>
      </c>
      <c r="L70" s="100">
        <v>34.72</v>
      </c>
      <c r="M70" s="100">
        <v>34.51</v>
      </c>
      <c r="N70" s="100">
        <v>562.4</v>
      </c>
      <c r="O70" s="100">
        <v>0</v>
      </c>
      <c r="P70" s="100">
        <v>0.46</v>
      </c>
      <c r="Q70" s="100">
        <v>5</v>
      </c>
      <c r="R70" s="6"/>
      <c r="S70" s="6"/>
      <c r="T70" s="156"/>
      <c r="U70" s="6"/>
    </row>
    <row r="71" spans="1:21" customFormat="1">
      <c r="A71" s="100" t="s">
        <v>588</v>
      </c>
      <c r="B71" s="100">
        <v>3.96</v>
      </c>
      <c r="C71" s="100">
        <v>27.7</v>
      </c>
      <c r="D71" s="100">
        <v>19</v>
      </c>
      <c r="E71" s="100">
        <v>9.42</v>
      </c>
      <c r="F71" s="100">
        <v>21.02</v>
      </c>
      <c r="G71" s="100">
        <v>28.94</v>
      </c>
      <c r="H71" s="100">
        <v>11.59</v>
      </c>
      <c r="I71" s="100">
        <v>2.67</v>
      </c>
      <c r="J71" s="100">
        <v>0.48</v>
      </c>
      <c r="K71" s="100">
        <v>354.46</v>
      </c>
      <c r="L71" s="100">
        <v>34.409999999999997</v>
      </c>
      <c r="M71" s="100">
        <v>34.659999999999997</v>
      </c>
      <c r="N71" s="100">
        <v>496.3</v>
      </c>
      <c r="O71" s="100">
        <v>0</v>
      </c>
      <c r="P71" s="100">
        <v>0.45</v>
      </c>
      <c r="Q71" s="100">
        <v>5</v>
      </c>
      <c r="R71" s="6"/>
      <c r="S71" s="6"/>
      <c r="T71" s="156"/>
      <c r="U71" s="6"/>
    </row>
    <row r="72" spans="1:21" customFormat="1">
      <c r="A72" s="100" t="s">
        <v>589</v>
      </c>
      <c r="B72" s="100">
        <v>4.47</v>
      </c>
      <c r="C72" s="100">
        <v>30.69</v>
      </c>
      <c r="D72" s="100">
        <v>20.97</v>
      </c>
      <c r="E72" s="100">
        <v>10.06</v>
      </c>
      <c r="F72" s="100">
        <v>17.32</v>
      </c>
      <c r="G72" s="100">
        <v>28.94</v>
      </c>
      <c r="H72" s="100">
        <v>11.59</v>
      </c>
      <c r="I72" s="100">
        <v>2.85</v>
      </c>
      <c r="J72" s="100">
        <v>0.73</v>
      </c>
      <c r="K72" s="100">
        <v>18.489999999999998</v>
      </c>
      <c r="L72" s="100">
        <v>34.450000000000003</v>
      </c>
      <c r="M72" s="100">
        <v>35.479999999999997</v>
      </c>
      <c r="N72" s="100">
        <v>460.3</v>
      </c>
      <c r="O72" s="100">
        <v>0</v>
      </c>
      <c r="P72" s="100">
        <v>0.46</v>
      </c>
      <c r="Q72" s="100">
        <v>5</v>
      </c>
      <c r="R72" s="6"/>
      <c r="S72" s="6"/>
      <c r="T72" s="156"/>
      <c r="U72" s="6"/>
    </row>
    <row r="73" spans="1:21" customFormat="1">
      <c r="A73" s="100" t="s">
        <v>590</v>
      </c>
      <c r="B73" s="100">
        <v>4.78</v>
      </c>
      <c r="C73" s="100">
        <v>39.299999999999997</v>
      </c>
      <c r="D73" s="100">
        <v>25.72</v>
      </c>
      <c r="E73" s="100">
        <v>9.4600000000000009</v>
      </c>
      <c r="F73" s="100">
        <v>11.44</v>
      </c>
      <c r="G73" s="100">
        <v>28.94</v>
      </c>
      <c r="H73" s="100">
        <v>11.59</v>
      </c>
      <c r="I73" s="100">
        <v>2.76</v>
      </c>
      <c r="J73" s="100">
        <v>0.27</v>
      </c>
      <c r="K73" s="100">
        <v>291.8</v>
      </c>
      <c r="L73" s="100">
        <v>34.61</v>
      </c>
      <c r="M73" s="100">
        <v>35.520000000000003</v>
      </c>
      <c r="N73" s="100">
        <v>414.4</v>
      </c>
      <c r="O73" s="100">
        <v>0</v>
      </c>
      <c r="P73" s="100">
        <v>0.48</v>
      </c>
      <c r="Q73" s="100">
        <v>5</v>
      </c>
      <c r="R73" s="6"/>
      <c r="S73" s="6"/>
      <c r="T73" s="156"/>
      <c r="U73" s="6"/>
    </row>
    <row r="74" spans="1:21" customFormat="1">
      <c r="A74" s="100" t="s">
        <v>591</v>
      </c>
      <c r="B74" s="100">
        <v>5.14</v>
      </c>
      <c r="C74" s="100">
        <v>42.73</v>
      </c>
      <c r="D74" s="100">
        <v>27.8</v>
      </c>
      <c r="E74" s="100">
        <v>9.66</v>
      </c>
      <c r="F74" s="100">
        <v>15.25</v>
      </c>
      <c r="G74" s="100">
        <v>30.32</v>
      </c>
      <c r="H74" s="100">
        <v>12.97</v>
      </c>
      <c r="I74" s="100">
        <v>3.16</v>
      </c>
      <c r="J74" s="100">
        <v>0.41</v>
      </c>
      <c r="K74" s="100">
        <v>330.5</v>
      </c>
      <c r="L74" s="100">
        <v>34.72</v>
      </c>
      <c r="M74" s="100">
        <v>36.26</v>
      </c>
      <c r="N74" s="100">
        <v>362.2</v>
      </c>
      <c r="O74" s="100">
        <v>0</v>
      </c>
      <c r="P74" s="100">
        <v>0.49</v>
      </c>
      <c r="Q74" s="100">
        <v>5</v>
      </c>
      <c r="R74" s="6"/>
      <c r="S74" s="6"/>
      <c r="T74" s="156"/>
      <c r="U74" s="6"/>
    </row>
    <row r="75" spans="1:21" customFormat="1">
      <c r="A75" s="100" t="s">
        <v>592</v>
      </c>
      <c r="B75" s="100">
        <v>5.78</v>
      </c>
      <c r="C75" s="100">
        <v>45.64</v>
      </c>
      <c r="D75" s="100">
        <v>29.83</v>
      </c>
      <c r="E75" s="100">
        <v>10.53</v>
      </c>
      <c r="F75" s="100">
        <v>20.7</v>
      </c>
      <c r="G75" s="100">
        <v>32.72</v>
      </c>
      <c r="H75" s="100">
        <v>14.39</v>
      </c>
      <c r="I75" s="100">
        <v>3.36</v>
      </c>
      <c r="J75" s="100">
        <v>0.61</v>
      </c>
      <c r="K75" s="100">
        <v>44.55</v>
      </c>
      <c r="L75" s="100">
        <v>34.450000000000003</v>
      </c>
      <c r="M75" s="100">
        <v>36.200000000000003</v>
      </c>
      <c r="N75" s="100">
        <v>255.8</v>
      </c>
      <c r="O75" s="100">
        <v>0</v>
      </c>
      <c r="P75" s="100">
        <v>0.5</v>
      </c>
      <c r="Q75" s="100">
        <v>4.92</v>
      </c>
      <c r="R75" s="6"/>
      <c r="S75" s="6"/>
      <c r="T75" s="156"/>
      <c r="U75" s="6"/>
    </row>
    <row r="76" spans="1:21" customFormat="1">
      <c r="A76" s="100" t="s">
        <v>593</v>
      </c>
      <c r="B76" s="100">
        <v>6.49</v>
      </c>
      <c r="C76" s="100">
        <v>46.86</v>
      </c>
      <c r="D76" s="100">
        <v>31.03</v>
      </c>
      <c r="E76" s="100">
        <v>10.83</v>
      </c>
      <c r="F76" s="100">
        <v>14.84</v>
      </c>
      <c r="G76" s="100">
        <v>32.72</v>
      </c>
      <c r="H76" s="100">
        <v>14.39</v>
      </c>
      <c r="I76" s="100">
        <v>3.36</v>
      </c>
      <c r="J76" s="100">
        <v>0.66</v>
      </c>
      <c r="K76" s="100">
        <v>52.32</v>
      </c>
      <c r="L76" s="100">
        <v>34.42</v>
      </c>
      <c r="M76" s="100">
        <v>35.97</v>
      </c>
      <c r="N76" s="100">
        <v>225.3</v>
      </c>
      <c r="O76" s="100">
        <v>0</v>
      </c>
      <c r="P76" s="100">
        <v>0.51</v>
      </c>
      <c r="Q76" s="100">
        <v>4.8899999999999997</v>
      </c>
      <c r="R76" s="6"/>
      <c r="S76" s="6"/>
      <c r="T76" s="156"/>
      <c r="U76" s="6"/>
    </row>
    <row r="77" spans="1:21" customFormat="1">
      <c r="A77" s="100" t="s">
        <v>594</v>
      </c>
      <c r="B77" s="100">
        <v>6.77</v>
      </c>
      <c r="C77" s="100">
        <v>49.3</v>
      </c>
      <c r="D77" s="100">
        <v>32.53</v>
      </c>
      <c r="E77" s="100">
        <v>10.48</v>
      </c>
      <c r="F77" s="100">
        <v>15.2</v>
      </c>
      <c r="G77" s="100">
        <v>32.72</v>
      </c>
      <c r="H77" s="100">
        <v>14.39</v>
      </c>
      <c r="I77" s="100">
        <v>3.51</v>
      </c>
      <c r="J77" s="100">
        <v>0.19</v>
      </c>
      <c r="K77" s="100">
        <v>35.49</v>
      </c>
      <c r="L77" s="100">
        <v>34.340000000000003</v>
      </c>
      <c r="M77" s="100">
        <v>36.83</v>
      </c>
      <c r="N77" s="100">
        <v>156</v>
      </c>
      <c r="O77" s="100">
        <v>0</v>
      </c>
      <c r="P77" s="100">
        <v>0.52</v>
      </c>
      <c r="Q77" s="100">
        <v>4.72</v>
      </c>
      <c r="R77" s="6"/>
      <c r="S77" s="6"/>
      <c r="T77" s="156"/>
      <c r="U77" s="6"/>
    </row>
    <row r="78" spans="1:21" customFormat="1">
      <c r="A78" s="100" t="s">
        <v>595</v>
      </c>
      <c r="B78" s="100">
        <v>6.81</v>
      </c>
      <c r="C78" s="100">
        <v>48.99</v>
      </c>
      <c r="D78" s="100">
        <v>32.409999999999997</v>
      </c>
      <c r="E78" s="100">
        <v>10.17</v>
      </c>
      <c r="F78" s="100">
        <v>11.2</v>
      </c>
      <c r="G78" s="100">
        <v>36.93</v>
      </c>
      <c r="H78" s="100">
        <v>15.02</v>
      </c>
      <c r="I78" s="100">
        <v>3.66</v>
      </c>
      <c r="J78" s="100">
        <v>0.06</v>
      </c>
      <c r="K78" s="100">
        <v>62.71</v>
      </c>
      <c r="L78" s="100">
        <v>34.270000000000003</v>
      </c>
      <c r="M78" s="100">
        <v>36.75</v>
      </c>
      <c r="N78" s="100">
        <v>88.3</v>
      </c>
      <c r="O78" s="100">
        <v>0</v>
      </c>
      <c r="P78" s="100">
        <v>0.51</v>
      </c>
      <c r="Q78" s="100">
        <v>4.74</v>
      </c>
      <c r="R78" s="6"/>
      <c r="S78" s="6"/>
      <c r="T78" s="156"/>
      <c r="U78" s="6"/>
    </row>
    <row r="79" spans="1:21" customFormat="1">
      <c r="A79" s="100" t="s">
        <v>596</v>
      </c>
      <c r="B79" s="100">
        <v>6.82</v>
      </c>
      <c r="C79" s="100">
        <v>50.08</v>
      </c>
      <c r="D79" s="100">
        <v>32.979999999999997</v>
      </c>
      <c r="E79" s="100">
        <v>9.84</v>
      </c>
      <c r="F79" s="100">
        <v>15.17</v>
      </c>
      <c r="G79" s="100">
        <v>44.2</v>
      </c>
      <c r="H79" s="100">
        <v>15.68</v>
      </c>
      <c r="I79" s="100">
        <v>3.76</v>
      </c>
      <c r="J79" s="100">
        <v>0.23</v>
      </c>
      <c r="K79" s="100">
        <v>154.74</v>
      </c>
      <c r="L79" s="100">
        <v>33.11</v>
      </c>
      <c r="M79" s="100">
        <v>41.8</v>
      </c>
      <c r="N79" s="100">
        <v>44.1</v>
      </c>
      <c r="O79" s="100">
        <v>0</v>
      </c>
      <c r="P79" s="100">
        <v>0.51</v>
      </c>
      <c r="Q79" s="100">
        <v>4.5599999999999996</v>
      </c>
      <c r="R79" s="6"/>
      <c r="S79" s="6"/>
      <c r="T79" s="156"/>
      <c r="U79" s="6"/>
    </row>
    <row r="80" spans="1:21" customFormat="1">
      <c r="A80" s="100" t="s">
        <v>597</v>
      </c>
      <c r="B80" s="100">
        <v>6.98</v>
      </c>
      <c r="C80" s="100">
        <v>51.74</v>
      </c>
      <c r="D80" s="100">
        <v>33.979999999999997</v>
      </c>
      <c r="E80" s="100">
        <v>9.0500000000000007</v>
      </c>
      <c r="F80" s="100">
        <v>13.22</v>
      </c>
      <c r="G80" s="100">
        <v>44.2</v>
      </c>
      <c r="H80" s="100">
        <v>15.68</v>
      </c>
      <c r="I80" s="100">
        <v>3.73</v>
      </c>
      <c r="J80" s="100">
        <v>0.25</v>
      </c>
      <c r="K80" s="100">
        <v>175.89</v>
      </c>
      <c r="L80" s="100">
        <v>32.31</v>
      </c>
      <c r="M80" s="100">
        <v>43.7</v>
      </c>
      <c r="N80" s="100">
        <v>23.2</v>
      </c>
      <c r="O80" s="100">
        <v>0</v>
      </c>
      <c r="P80" s="100">
        <v>0.51</v>
      </c>
      <c r="Q80" s="100">
        <v>4.5999999999999996</v>
      </c>
      <c r="R80" s="6"/>
      <c r="S80" s="6"/>
      <c r="T80" s="156"/>
      <c r="U80" s="6"/>
    </row>
    <row r="81" spans="1:21" customFormat="1">
      <c r="A81" s="100" t="s">
        <v>598</v>
      </c>
      <c r="B81" s="100">
        <v>7.09</v>
      </c>
      <c r="C81" s="100">
        <v>50.27</v>
      </c>
      <c r="D81" s="100">
        <v>33.299999999999997</v>
      </c>
      <c r="E81" s="100">
        <v>6.76</v>
      </c>
      <c r="F81" s="100">
        <v>11.49</v>
      </c>
      <c r="G81" s="100">
        <v>44.2</v>
      </c>
      <c r="H81" s="100">
        <v>15.68</v>
      </c>
      <c r="I81" s="100">
        <v>3.7</v>
      </c>
      <c r="J81" s="100">
        <v>0.22</v>
      </c>
      <c r="K81" s="100">
        <v>186.91</v>
      </c>
      <c r="L81" s="100">
        <v>31.46</v>
      </c>
      <c r="M81" s="100">
        <v>47.62</v>
      </c>
      <c r="N81" s="100">
        <v>5</v>
      </c>
      <c r="O81" s="100">
        <v>0</v>
      </c>
      <c r="P81" s="100">
        <v>0.51</v>
      </c>
      <c r="Q81" s="100">
        <v>4.58</v>
      </c>
      <c r="R81" s="6"/>
      <c r="S81" s="6"/>
      <c r="T81" s="156"/>
      <c r="U81" s="6"/>
    </row>
    <row r="82" spans="1:21" customFormat="1">
      <c r="A82" s="100" t="s">
        <v>599</v>
      </c>
      <c r="B82" s="100">
        <v>7.44</v>
      </c>
      <c r="C82" s="100">
        <v>51.14</v>
      </c>
      <c r="D82" s="100">
        <v>34.03</v>
      </c>
      <c r="E82" s="100">
        <v>7.35</v>
      </c>
      <c r="F82" s="100">
        <v>8.39</v>
      </c>
      <c r="G82" s="100">
        <v>42.38</v>
      </c>
      <c r="H82" s="100">
        <v>16.3</v>
      </c>
      <c r="I82" s="100">
        <v>3.67</v>
      </c>
      <c r="J82" s="100">
        <v>0.23</v>
      </c>
      <c r="K82" s="100">
        <v>184.87</v>
      </c>
      <c r="L82" s="100">
        <v>30.49</v>
      </c>
      <c r="M82" s="100">
        <v>56.49</v>
      </c>
      <c r="N82" s="100">
        <v>0</v>
      </c>
      <c r="O82" s="100">
        <v>0</v>
      </c>
      <c r="P82" s="100">
        <v>0.52</v>
      </c>
      <c r="Q82" s="100">
        <v>4.5999999999999996</v>
      </c>
      <c r="R82" s="6"/>
      <c r="S82" s="6"/>
      <c r="T82" s="156"/>
      <c r="U82" s="6"/>
    </row>
    <row r="83" spans="1:21" customFormat="1">
      <c r="A83" s="100" t="s">
        <v>600</v>
      </c>
      <c r="B83" s="100">
        <v>7.91</v>
      </c>
      <c r="C83" s="100">
        <v>52.2</v>
      </c>
      <c r="D83" s="100">
        <v>34.96</v>
      </c>
      <c r="E83" s="100">
        <v>7.32</v>
      </c>
      <c r="F83" s="100">
        <v>9.24</v>
      </c>
      <c r="G83" s="100">
        <v>39.25</v>
      </c>
      <c r="H83" s="100">
        <v>18.23</v>
      </c>
      <c r="I83" s="100">
        <v>3.76</v>
      </c>
      <c r="J83" s="100">
        <v>0.24</v>
      </c>
      <c r="K83" s="100">
        <v>175.15</v>
      </c>
      <c r="L83" s="100">
        <v>29.86</v>
      </c>
      <c r="M83" s="100">
        <v>58.19</v>
      </c>
      <c r="N83" s="100">
        <v>0</v>
      </c>
      <c r="O83" s="100">
        <v>0</v>
      </c>
      <c r="P83" s="100">
        <v>0.52</v>
      </c>
      <c r="Q83" s="100">
        <v>4.71</v>
      </c>
      <c r="R83" s="6"/>
      <c r="S83" s="6"/>
      <c r="T83" s="156"/>
      <c r="U83" s="6"/>
    </row>
    <row r="84" spans="1:21" customFormat="1">
      <c r="A84" s="100" t="s">
        <v>601</v>
      </c>
      <c r="B84" s="100">
        <v>8.39</v>
      </c>
      <c r="C84" s="100">
        <v>53.25</v>
      </c>
      <c r="D84" s="100">
        <v>35.909999999999997</v>
      </c>
      <c r="E84" s="100">
        <v>6.99</v>
      </c>
      <c r="F84" s="100">
        <v>6.18</v>
      </c>
      <c r="G84" s="100">
        <v>39.25</v>
      </c>
      <c r="H84" s="100">
        <v>18.23</v>
      </c>
      <c r="I84" s="100">
        <v>3.81</v>
      </c>
      <c r="J84" s="100">
        <v>0.25</v>
      </c>
      <c r="K84" s="100">
        <v>164.82</v>
      </c>
      <c r="L84" s="100">
        <v>29.52</v>
      </c>
      <c r="M84" s="100">
        <v>60.6</v>
      </c>
      <c r="N84" s="100">
        <v>0</v>
      </c>
      <c r="O84" s="100">
        <v>0</v>
      </c>
      <c r="P84" s="100">
        <v>0.53</v>
      </c>
      <c r="Q84" s="100">
        <v>4.74</v>
      </c>
      <c r="R84" s="6"/>
      <c r="S84" s="6"/>
      <c r="T84" s="156"/>
      <c r="U84" s="6"/>
    </row>
    <row r="85" spans="1:21" customFormat="1">
      <c r="A85" s="100" t="s">
        <v>602</v>
      </c>
      <c r="B85" s="100">
        <v>8.84</v>
      </c>
      <c r="C85" s="100">
        <v>53.05</v>
      </c>
      <c r="D85" s="100">
        <v>36.159999999999997</v>
      </c>
      <c r="E85" s="100">
        <v>7.15</v>
      </c>
      <c r="F85" s="100">
        <v>6.35</v>
      </c>
      <c r="G85" s="100">
        <v>39.25</v>
      </c>
      <c r="H85" s="100">
        <v>18.23</v>
      </c>
      <c r="I85" s="100">
        <v>3.96</v>
      </c>
      <c r="J85" s="100">
        <v>0.19</v>
      </c>
      <c r="K85" s="100">
        <v>166.92</v>
      </c>
      <c r="L85" s="100">
        <v>29.09</v>
      </c>
      <c r="M85" s="100">
        <v>60.45</v>
      </c>
      <c r="N85" s="100">
        <v>0</v>
      </c>
      <c r="O85" s="100">
        <v>0</v>
      </c>
      <c r="P85" s="100">
        <v>0.54</v>
      </c>
      <c r="Q85" s="100">
        <v>4.7300000000000004</v>
      </c>
      <c r="R85" s="6"/>
      <c r="S85" s="6"/>
      <c r="T85" s="156"/>
      <c r="U85" s="6"/>
    </row>
    <row r="86" spans="1:21" customFormat="1">
      <c r="A86" s="100" t="s">
        <v>603</v>
      </c>
      <c r="B86" s="100">
        <v>9.17</v>
      </c>
      <c r="C86" s="100">
        <v>52.71</v>
      </c>
      <c r="D86" s="100">
        <v>36.25</v>
      </c>
      <c r="E86" s="100">
        <v>6.5</v>
      </c>
      <c r="F86" s="100">
        <v>6.94</v>
      </c>
      <c r="G86" s="100">
        <v>39.01</v>
      </c>
      <c r="H86" s="100">
        <v>15.66</v>
      </c>
      <c r="I86" s="100">
        <v>4.0199999999999996</v>
      </c>
      <c r="J86" s="100">
        <v>0.22</v>
      </c>
      <c r="K86" s="100">
        <v>167.29</v>
      </c>
      <c r="L86" s="100">
        <v>28.82</v>
      </c>
      <c r="M86" s="100">
        <v>62.44</v>
      </c>
      <c r="N86" s="100">
        <v>0</v>
      </c>
      <c r="O86" s="100">
        <v>0</v>
      </c>
      <c r="P86" s="100">
        <v>0.54</v>
      </c>
      <c r="Q86" s="100">
        <v>4.74</v>
      </c>
      <c r="R86" s="6"/>
      <c r="S86" s="6"/>
      <c r="T86" s="156"/>
      <c r="U86" s="6"/>
    </row>
    <row r="87" spans="1:21" customFormat="1">
      <c r="A87" s="100" t="s">
        <v>604</v>
      </c>
      <c r="B87" s="100">
        <v>9.59</v>
      </c>
      <c r="C87" s="100">
        <v>53.22</v>
      </c>
      <c r="D87" s="100">
        <v>36.85</v>
      </c>
      <c r="E87" s="100">
        <v>7.11</v>
      </c>
      <c r="F87" s="100">
        <v>6.07</v>
      </c>
      <c r="G87" s="100">
        <v>38.590000000000003</v>
      </c>
      <c r="H87" s="100">
        <v>13.02</v>
      </c>
      <c r="I87" s="100">
        <v>4.1100000000000003</v>
      </c>
      <c r="J87" s="100">
        <v>0.17</v>
      </c>
      <c r="K87" s="100">
        <v>167.71</v>
      </c>
      <c r="L87" s="100">
        <v>28.45</v>
      </c>
      <c r="M87" s="100">
        <v>68.2</v>
      </c>
      <c r="N87" s="100">
        <v>0</v>
      </c>
      <c r="O87" s="100">
        <v>0</v>
      </c>
      <c r="P87" s="100">
        <v>0.56000000000000005</v>
      </c>
      <c r="Q87" s="100">
        <v>4.82</v>
      </c>
      <c r="R87" s="6"/>
      <c r="S87" s="6"/>
      <c r="T87" s="156"/>
      <c r="U87" s="6"/>
    </row>
    <row r="88" spans="1:21" customFormat="1">
      <c r="A88" s="100" t="s">
        <v>605</v>
      </c>
      <c r="B88" s="100">
        <v>10.14</v>
      </c>
      <c r="C88" s="100">
        <v>53.17</v>
      </c>
      <c r="D88" s="100">
        <v>37.26</v>
      </c>
      <c r="E88" s="100">
        <v>7.13</v>
      </c>
      <c r="F88" s="100">
        <v>5.97</v>
      </c>
      <c r="G88" s="100">
        <v>38.590000000000003</v>
      </c>
      <c r="H88" s="100">
        <v>13.02</v>
      </c>
      <c r="I88" s="100">
        <v>4.1399999999999997</v>
      </c>
      <c r="J88" s="100">
        <v>0.17</v>
      </c>
      <c r="K88" s="100">
        <v>151.12</v>
      </c>
      <c r="L88" s="100">
        <v>28.28</v>
      </c>
      <c r="M88" s="100">
        <v>68.069999999999993</v>
      </c>
      <c r="N88" s="100">
        <v>0</v>
      </c>
      <c r="O88" s="100">
        <v>0</v>
      </c>
      <c r="P88" s="100">
        <v>0.57999999999999996</v>
      </c>
      <c r="Q88" s="100">
        <v>4.88</v>
      </c>
      <c r="R88" s="6"/>
      <c r="S88" s="6"/>
      <c r="T88" s="156"/>
      <c r="U88" s="6"/>
    </row>
    <row r="89" spans="1:21" customFormat="1">
      <c r="A89" s="100" t="s">
        <v>606</v>
      </c>
      <c r="B89" s="100">
        <v>10.96</v>
      </c>
      <c r="C89" s="100">
        <v>53.87</v>
      </c>
      <c r="D89" s="100">
        <v>38.29</v>
      </c>
      <c r="E89" s="100">
        <v>6.49</v>
      </c>
      <c r="F89" s="100">
        <v>4.8600000000000003</v>
      </c>
      <c r="G89" s="100">
        <v>38.590000000000003</v>
      </c>
      <c r="H89" s="100">
        <v>13.02</v>
      </c>
      <c r="I89" s="100">
        <v>4.3499999999999996</v>
      </c>
      <c r="J89" s="100">
        <v>0.25</v>
      </c>
      <c r="K89" s="100">
        <v>162.30000000000001</v>
      </c>
      <c r="L89" s="100">
        <v>28.29</v>
      </c>
      <c r="M89" s="100">
        <v>64.97</v>
      </c>
      <c r="N89" s="100">
        <v>0</v>
      </c>
      <c r="O89" s="100">
        <v>0</v>
      </c>
      <c r="P89" s="100">
        <v>0.57999999999999996</v>
      </c>
      <c r="Q89" s="100">
        <v>4.92</v>
      </c>
      <c r="R89" s="6"/>
      <c r="S89" s="6"/>
      <c r="T89" s="156"/>
      <c r="U89" s="6"/>
    </row>
    <row r="90" spans="1:21" customFormat="1">
      <c r="A90" s="100" t="s">
        <v>607</v>
      </c>
      <c r="B90" s="100">
        <v>11.69</v>
      </c>
      <c r="C90" s="100">
        <v>53.87</v>
      </c>
      <c r="D90" s="100">
        <v>38.869999999999997</v>
      </c>
      <c r="E90" s="100">
        <v>6.97</v>
      </c>
      <c r="F90" s="100">
        <v>4.17</v>
      </c>
      <c r="G90" s="100">
        <v>39.51</v>
      </c>
      <c r="H90" s="100">
        <v>13.67</v>
      </c>
      <c r="I90" s="100">
        <v>4.55</v>
      </c>
      <c r="J90" s="100">
        <v>0.18</v>
      </c>
      <c r="K90" s="100">
        <v>157.41999999999999</v>
      </c>
      <c r="L90" s="100">
        <v>27.77</v>
      </c>
      <c r="M90" s="100">
        <v>72.84</v>
      </c>
      <c r="N90" s="100">
        <v>0</v>
      </c>
      <c r="O90" s="100">
        <v>0</v>
      </c>
      <c r="P90" s="100">
        <v>0.59</v>
      </c>
      <c r="Q90" s="100">
        <v>4.9400000000000004</v>
      </c>
      <c r="R90" s="6"/>
      <c r="S90" s="6"/>
      <c r="T90" s="156"/>
      <c r="U90" s="6"/>
    </row>
    <row r="91" spans="1:21" customFormat="1">
      <c r="A91" s="100" t="s">
        <v>608</v>
      </c>
      <c r="B91" s="100">
        <v>12.35</v>
      </c>
      <c r="C91" s="100">
        <v>54.33</v>
      </c>
      <c r="D91" s="100">
        <v>39.64</v>
      </c>
      <c r="E91" s="100">
        <v>6.98</v>
      </c>
      <c r="F91" s="100">
        <v>4.2300000000000004</v>
      </c>
      <c r="G91" s="100">
        <v>41.08</v>
      </c>
      <c r="H91" s="100">
        <v>14.35</v>
      </c>
      <c r="I91" s="100">
        <v>4.58</v>
      </c>
      <c r="J91" s="100">
        <v>0.17</v>
      </c>
      <c r="K91" s="100">
        <v>173.03</v>
      </c>
      <c r="L91" s="100">
        <v>27.45</v>
      </c>
      <c r="M91" s="100">
        <v>72.87</v>
      </c>
      <c r="N91" s="100">
        <v>0</v>
      </c>
      <c r="O91" s="100">
        <v>0</v>
      </c>
      <c r="P91" s="100">
        <v>0.6</v>
      </c>
      <c r="Q91" s="100">
        <v>5.0199999999999996</v>
      </c>
      <c r="R91" s="6"/>
      <c r="S91" s="6"/>
      <c r="T91" s="156"/>
      <c r="U91" s="6"/>
    </row>
    <row r="92" spans="1:21" customFormat="1">
      <c r="A92" s="100" t="s">
        <v>609</v>
      </c>
      <c r="B92" s="100">
        <v>12.74</v>
      </c>
      <c r="C92" s="100">
        <v>54.19</v>
      </c>
      <c r="D92" s="100">
        <v>39.880000000000003</v>
      </c>
      <c r="E92" s="100">
        <v>7.03</v>
      </c>
      <c r="F92" s="100">
        <v>6.07</v>
      </c>
      <c r="G92" s="100">
        <v>41.08</v>
      </c>
      <c r="H92" s="100">
        <v>14.35</v>
      </c>
      <c r="I92" s="100">
        <v>4.7300000000000004</v>
      </c>
      <c r="J92" s="100">
        <v>0.11</v>
      </c>
      <c r="K92" s="100">
        <v>180.12</v>
      </c>
      <c r="L92" s="100">
        <v>27.47</v>
      </c>
      <c r="M92" s="100">
        <v>70.09</v>
      </c>
      <c r="N92" s="100">
        <v>0</v>
      </c>
      <c r="O92" s="100">
        <v>0</v>
      </c>
      <c r="P92" s="100">
        <v>0.62</v>
      </c>
      <c r="Q92" s="100">
        <v>5.07</v>
      </c>
      <c r="R92" s="6"/>
      <c r="S92" s="6"/>
      <c r="T92" s="156"/>
      <c r="U92" s="6"/>
    </row>
    <row r="93" spans="1:21" customFormat="1">
      <c r="A93" s="100" t="s">
        <v>610</v>
      </c>
      <c r="B93" s="100">
        <v>12.33</v>
      </c>
      <c r="C93" s="100">
        <v>45.23</v>
      </c>
      <c r="D93" s="100">
        <v>34.869999999999997</v>
      </c>
      <c r="E93" s="100">
        <v>7.51</v>
      </c>
      <c r="F93" s="100">
        <v>11.07</v>
      </c>
      <c r="G93" s="100">
        <v>41.08</v>
      </c>
      <c r="H93" s="100">
        <v>14.35</v>
      </c>
      <c r="I93" s="100">
        <v>4.8600000000000003</v>
      </c>
      <c r="J93" s="100">
        <v>0.14000000000000001</v>
      </c>
      <c r="K93" s="100">
        <v>164.41</v>
      </c>
      <c r="L93" s="100">
        <v>27.54</v>
      </c>
      <c r="M93" s="100">
        <v>72.989999999999995</v>
      </c>
      <c r="N93" s="100">
        <v>0</v>
      </c>
      <c r="O93" s="100">
        <v>0</v>
      </c>
      <c r="P93" s="100">
        <v>0.61</v>
      </c>
      <c r="Q93" s="100">
        <v>4.96</v>
      </c>
      <c r="R93" s="6"/>
      <c r="S93" s="6"/>
      <c r="T93" s="156"/>
      <c r="U93" s="6"/>
    </row>
    <row r="94" spans="1:21" customFormat="1">
      <c r="A94" s="100" t="s">
        <v>611</v>
      </c>
      <c r="B94" s="100">
        <v>12.13</v>
      </c>
      <c r="C94" s="100">
        <v>39.57</v>
      </c>
      <c r="D94" s="100">
        <v>31.76</v>
      </c>
      <c r="E94" s="100">
        <v>7.2</v>
      </c>
      <c r="F94" s="100">
        <v>12.2</v>
      </c>
      <c r="G94" s="100">
        <v>40.75</v>
      </c>
      <c r="H94" s="100">
        <v>15.4</v>
      </c>
      <c r="I94" s="100">
        <v>4.97</v>
      </c>
      <c r="J94" s="100">
        <v>0.16</v>
      </c>
      <c r="K94" s="100">
        <v>171.7</v>
      </c>
      <c r="L94" s="100">
        <v>27.45</v>
      </c>
      <c r="M94" s="100">
        <v>75.28</v>
      </c>
      <c r="N94" s="100">
        <v>0</v>
      </c>
      <c r="O94" s="100">
        <v>0</v>
      </c>
      <c r="P94" s="100">
        <v>0.61</v>
      </c>
      <c r="Q94" s="100">
        <v>4.7300000000000004</v>
      </c>
      <c r="R94" s="6"/>
      <c r="S94" s="6"/>
      <c r="T94" s="156"/>
      <c r="U94" s="6"/>
    </row>
    <row r="95" spans="1:21" customFormat="1">
      <c r="A95" s="100" t="s">
        <v>612</v>
      </c>
      <c r="B95" s="100">
        <v>13.91</v>
      </c>
      <c r="C95" s="100">
        <v>45.17</v>
      </c>
      <c r="D95" s="100">
        <v>36.11</v>
      </c>
      <c r="E95" s="100">
        <v>6.48</v>
      </c>
      <c r="F95" s="100">
        <v>5.92</v>
      </c>
      <c r="G95" s="100">
        <v>40.17</v>
      </c>
      <c r="H95" s="100">
        <v>16.48</v>
      </c>
      <c r="I95" s="100">
        <v>5</v>
      </c>
      <c r="J95" s="100">
        <v>0.1</v>
      </c>
      <c r="K95" s="100">
        <v>183.95</v>
      </c>
      <c r="L95" s="100">
        <v>27.42</v>
      </c>
      <c r="M95" s="100">
        <v>72.88</v>
      </c>
      <c r="N95" s="100">
        <v>0</v>
      </c>
      <c r="O95" s="100">
        <v>0</v>
      </c>
      <c r="P95" s="100">
        <v>0.61</v>
      </c>
      <c r="Q95" s="100">
        <v>4.7699999999999996</v>
      </c>
      <c r="R95" s="6"/>
      <c r="S95" s="6"/>
      <c r="T95" s="156"/>
      <c r="U95" s="6"/>
    </row>
    <row r="96" spans="1:21" customFormat="1">
      <c r="A96" s="100" t="s">
        <v>613</v>
      </c>
      <c r="B96" s="100">
        <v>13.6</v>
      </c>
      <c r="C96" s="100">
        <v>43.84</v>
      </c>
      <c r="D96" s="100">
        <v>35.159999999999997</v>
      </c>
      <c r="E96" s="100">
        <v>7.84</v>
      </c>
      <c r="F96" s="100">
        <v>11.63</v>
      </c>
      <c r="G96" s="100">
        <v>40.17</v>
      </c>
      <c r="H96" s="100">
        <v>16.48</v>
      </c>
      <c r="I96" s="100">
        <v>5.15</v>
      </c>
      <c r="J96" s="100">
        <v>0.17</v>
      </c>
      <c r="K96" s="100">
        <v>236.61</v>
      </c>
      <c r="L96" s="100">
        <v>27.47</v>
      </c>
      <c r="M96" s="100">
        <v>70.36</v>
      </c>
      <c r="N96" s="100">
        <v>0</v>
      </c>
      <c r="O96" s="100">
        <v>0</v>
      </c>
      <c r="P96" s="100">
        <v>0.63</v>
      </c>
      <c r="Q96" s="100">
        <v>4.92</v>
      </c>
      <c r="R96" s="6"/>
      <c r="S96" s="6"/>
      <c r="T96" s="156"/>
      <c r="U96" s="6"/>
    </row>
    <row r="97" spans="1:28" customFormat="1">
      <c r="A97" s="100" t="s">
        <v>614</v>
      </c>
      <c r="B97" s="100">
        <v>13.37</v>
      </c>
      <c r="C97" s="100">
        <v>40.78</v>
      </c>
      <c r="D97" s="100">
        <v>33.380000000000003</v>
      </c>
      <c r="E97" s="100">
        <v>7.46</v>
      </c>
      <c r="F97" s="100">
        <v>11.59</v>
      </c>
      <c r="G97" s="100">
        <v>40.17</v>
      </c>
      <c r="H97" s="100">
        <v>16.48</v>
      </c>
      <c r="I97" s="100">
        <v>5.22</v>
      </c>
      <c r="J97" s="100">
        <v>0.18</v>
      </c>
      <c r="K97" s="100">
        <v>250.33</v>
      </c>
      <c r="L97" s="100">
        <v>27.61</v>
      </c>
      <c r="M97" s="100">
        <v>68.17</v>
      </c>
      <c r="N97" s="100">
        <v>0</v>
      </c>
      <c r="O97" s="100">
        <v>0</v>
      </c>
      <c r="P97" s="100">
        <v>0.63</v>
      </c>
      <c r="Q97" s="100">
        <v>4.83</v>
      </c>
      <c r="R97" s="6"/>
      <c r="S97" s="6"/>
      <c r="T97" s="156"/>
      <c r="U97" s="6"/>
    </row>
    <row r="98" spans="1:28" customFormat="1">
      <c r="A98" s="100" t="s">
        <v>615</v>
      </c>
      <c r="B98" s="100">
        <v>16.02</v>
      </c>
      <c r="C98" s="100">
        <v>47.9</v>
      </c>
      <c r="D98" s="100">
        <v>39.22</v>
      </c>
      <c r="E98" s="100">
        <v>7.68</v>
      </c>
      <c r="F98" s="100">
        <v>5.24</v>
      </c>
      <c r="G98" s="100">
        <v>40.299999999999997</v>
      </c>
      <c r="H98" s="100">
        <v>18.54</v>
      </c>
      <c r="I98" s="100">
        <v>5.31</v>
      </c>
      <c r="J98" s="100">
        <v>0.72</v>
      </c>
      <c r="K98" s="100">
        <v>297.52999999999997</v>
      </c>
      <c r="L98" s="100">
        <v>28.23</v>
      </c>
      <c r="M98" s="100">
        <v>63.14</v>
      </c>
      <c r="N98" s="100">
        <v>0</v>
      </c>
      <c r="O98" s="100">
        <v>0</v>
      </c>
      <c r="P98" s="100">
        <v>0.69</v>
      </c>
      <c r="Q98" s="100">
        <v>4.93</v>
      </c>
      <c r="R98" s="6"/>
      <c r="S98" s="6"/>
      <c r="T98" s="156"/>
      <c r="U98" s="6"/>
    </row>
    <row r="99" spans="1:28" customFormat="1">
      <c r="A99" s="100" t="s">
        <v>616</v>
      </c>
      <c r="B99" s="100">
        <v>23.85</v>
      </c>
      <c r="C99" s="100">
        <v>47.49</v>
      </c>
      <c r="D99" s="100">
        <v>45.29</v>
      </c>
      <c r="E99" s="100">
        <v>7.89</v>
      </c>
      <c r="F99" s="100">
        <v>6.06</v>
      </c>
      <c r="G99" s="100">
        <v>40.53</v>
      </c>
      <c r="H99" s="100">
        <v>20.67</v>
      </c>
      <c r="I99" s="100">
        <v>5.44</v>
      </c>
      <c r="J99" s="100">
        <v>0.36</v>
      </c>
      <c r="K99" s="100">
        <v>289.13</v>
      </c>
      <c r="L99" s="100">
        <v>28.83</v>
      </c>
      <c r="M99" s="100">
        <v>57.98</v>
      </c>
      <c r="N99" s="100">
        <v>0</v>
      </c>
      <c r="O99" s="100">
        <v>0</v>
      </c>
      <c r="P99" s="100">
        <v>0.76</v>
      </c>
      <c r="Q99" s="100">
        <v>5.0599999999999996</v>
      </c>
      <c r="R99" s="6"/>
      <c r="S99" s="6"/>
      <c r="T99" s="156"/>
      <c r="U99" s="6"/>
    </row>
    <row r="100" spans="1:28" customFormat="1">
      <c r="A100" s="100" t="s">
        <v>617</v>
      </c>
      <c r="B100" s="100">
        <v>20.53</v>
      </c>
      <c r="C100" s="100">
        <v>46.67</v>
      </c>
      <c r="D100" s="100">
        <v>42.2</v>
      </c>
      <c r="E100" s="100">
        <v>7.99</v>
      </c>
      <c r="F100" s="100">
        <v>7.18</v>
      </c>
      <c r="G100" s="100">
        <v>40.53</v>
      </c>
      <c r="H100" s="100">
        <v>20.67</v>
      </c>
      <c r="I100" s="100">
        <v>5.75</v>
      </c>
      <c r="J100" s="100">
        <v>0.27</v>
      </c>
      <c r="K100" s="100">
        <v>49.05</v>
      </c>
      <c r="L100" s="100">
        <v>28.54</v>
      </c>
      <c r="M100" s="100">
        <v>60.25</v>
      </c>
      <c r="N100" s="100">
        <v>0</v>
      </c>
      <c r="O100" s="100">
        <v>0</v>
      </c>
      <c r="P100" s="100">
        <v>0.74</v>
      </c>
      <c r="Q100" s="100">
        <v>5.07</v>
      </c>
      <c r="R100" s="6"/>
      <c r="S100" s="6"/>
      <c r="T100" s="156"/>
      <c r="U100" s="6"/>
      <c r="AB100" s="161"/>
    </row>
    <row r="101" spans="1:28" customFormat="1">
      <c r="A101" s="100" t="s">
        <v>618</v>
      </c>
      <c r="B101" s="100">
        <v>21.54</v>
      </c>
      <c r="C101" s="100">
        <v>50.31</v>
      </c>
      <c r="D101" s="100">
        <v>44.92</v>
      </c>
      <c r="E101" s="100">
        <v>7.5</v>
      </c>
      <c r="F101" s="100">
        <v>4.92</v>
      </c>
      <c r="G101" s="100">
        <v>40.53</v>
      </c>
      <c r="H101" s="100">
        <v>20.67</v>
      </c>
      <c r="I101" s="100">
        <v>6.1</v>
      </c>
      <c r="J101" s="100">
        <v>0.18</v>
      </c>
      <c r="K101" s="100">
        <v>60.56</v>
      </c>
      <c r="L101" s="100">
        <v>28.41</v>
      </c>
      <c r="M101" s="100">
        <v>61.48</v>
      </c>
      <c r="N101" s="100">
        <v>0</v>
      </c>
      <c r="O101" s="100">
        <v>0</v>
      </c>
      <c r="P101" s="100">
        <v>0.72</v>
      </c>
      <c r="Q101" s="100">
        <v>5.32</v>
      </c>
      <c r="R101" s="6"/>
      <c r="S101" s="6"/>
      <c r="T101" s="156"/>
      <c r="U101" s="6"/>
    </row>
    <row r="102" spans="1:28" customFormat="1">
      <c r="A102" s="100" t="s">
        <v>619</v>
      </c>
      <c r="B102" s="100">
        <v>22.97</v>
      </c>
      <c r="C102" s="100">
        <v>50.2</v>
      </c>
      <c r="D102" s="100">
        <v>46</v>
      </c>
      <c r="E102" s="100">
        <v>8.58</v>
      </c>
      <c r="F102" s="100">
        <v>4.5599999999999996</v>
      </c>
      <c r="G102" s="100">
        <v>48.43</v>
      </c>
      <c r="H102" s="100">
        <v>21.65</v>
      </c>
      <c r="I102" s="100">
        <v>6.15</v>
      </c>
      <c r="J102" s="100">
        <v>0.13</v>
      </c>
      <c r="K102" s="100">
        <v>17.36</v>
      </c>
      <c r="L102" s="100">
        <v>28.17</v>
      </c>
      <c r="M102" s="100">
        <v>62.79</v>
      </c>
      <c r="N102" s="100">
        <v>0</v>
      </c>
      <c r="O102" s="100">
        <v>0</v>
      </c>
      <c r="P102" s="100">
        <v>0.78</v>
      </c>
      <c r="Q102" s="100">
        <v>5.5</v>
      </c>
      <c r="R102" s="6"/>
      <c r="S102" s="6"/>
      <c r="T102" s="156"/>
      <c r="U102" s="6"/>
    </row>
    <row r="103" spans="1:28" customFormat="1">
      <c r="A103" s="100" t="s">
        <v>620</v>
      </c>
      <c r="B103" s="100">
        <v>25.73</v>
      </c>
      <c r="C103" s="100">
        <v>47.31</v>
      </c>
      <c r="D103" s="100">
        <v>46.7</v>
      </c>
      <c r="E103" s="100">
        <v>10.39</v>
      </c>
      <c r="F103" s="100">
        <v>5.86</v>
      </c>
      <c r="G103" s="100">
        <v>62.09</v>
      </c>
      <c r="H103" s="100">
        <v>22.65</v>
      </c>
      <c r="I103" s="100">
        <v>6.11</v>
      </c>
      <c r="J103" s="100">
        <v>0.24</v>
      </c>
      <c r="K103" s="100">
        <v>32.22</v>
      </c>
      <c r="L103" s="100">
        <v>27.88</v>
      </c>
      <c r="M103" s="100">
        <v>63.09</v>
      </c>
      <c r="N103" s="100">
        <v>0</v>
      </c>
      <c r="O103" s="100">
        <v>0</v>
      </c>
      <c r="P103" s="100">
        <v>0.73</v>
      </c>
      <c r="Q103" s="100">
        <v>5.44</v>
      </c>
      <c r="R103" s="6"/>
      <c r="S103" s="6"/>
      <c r="T103" s="156"/>
      <c r="U103" s="6"/>
    </row>
    <row r="104" spans="1:28" customFormat="1">
      <c r="A104" s="100" t="s">
        <v>621</v>
      </c>
      <c r="B104" s="100">
        <v>25.56</v>
      </c>
      <c r="C104" s="100">
        <v>50.97</v>
      </c>
      <c r="D104" s="100">
        <v>48.48</v>
      </c>
      <c r="E104" s="100">
        <v>8.59</v>
      </c>
      <c r="F104" s="100">
        <v>4.33</v>
      </c>
      <c r="G104" s="100">
        <v>62.09</v>
      </c>
      <c r="H104" s="100">
        <v>22.65</v>
      </c>
      <c r="I104" s="100">
        <v>6.88</v>
      </c>
      <c r="J104" s="100">
        <v>0.19</v>
      </c>
      <c r="K104" s="100">
        <v>42.36</v>
      </c>
      <c r="L104" s="100">
        <v>27.52</v>
      </c>
      <c r="M104" s="100">
        <v>64.52</v>
      </c>
      <c r="N104" s="100">
        <v>0</v>
      </c>
      <c r="O104" s="100">
        <v>0</v>
      </c>
      <c r="P104" s="100">
        <v>0.73</v>
      </c>
      <c r="Q104" s="100">
        <v>5.59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3.16</v>
      </c>
      <c r="C106" s="158">
        <f>MIN(C9:C104)</f>
        <v>23.45</v>
      </c>
      <c r="D106" s="158">
        <f t="shared" ref="D106:Q106" si="0">MIN(D9:D104)</f>
        <v>16.3</v>
      </c>
      <c r="E106" s="158">
        <f t="shared" si="0"/>
        <v>6.48</v>
      </c>
      <c r="F106" s="158">
        <f t="shared" si="0"/>
        <v>3.29</v>
      </c>
      <c r="G106" s="158">
        <f t="shared" si="0"/>
        <v>28.94</v>
      </c>
      <c r="H106" s="158">
        <f t="shared" si="0"/>
        <v>11.44</v>
      </c>
      <c r="I106" s="158">
        <f t="shared" si="0"/>
        <v>2.67</v>
      </c>
      <c r="J106" s="158">
        <f t="shared" si="0"/>
        <v>0.02</v>
      </c>
      <c r="K106" s="158">
        <f t="shared" si="0"/>
        <v>9.99</v>
      </c>
      <c r="L106" s="158">
        <f t="shared" si="0"/>
        <v>22.3</v>
      </c>
      <c r="M106" s="158">
        <f t="shared" si="0"/>
        <v>34.51</v>
      </c>
      <c r="N106" s="158">
        <f t="shared" si="0"/>
        <v>0</v>
      </c>
      <c r="O106" s="158">
        <f t="shared" si="0"/>
        <v>0</v>
      </c>
      <c r="P106" s="158">
        <f t="shared" si="0"/>
        <v>0.41</v>
      </c>
      <c r="Q106" s="158">
        <f t="shared" si="0"/>
        <v>4.5599999999999996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60.11</v>
      </c>
      <c r="C107" s="157">
        <f t="shared" ref="C107:Q107" si="1">MAX(C9:C104)</f>
        <v>59.78</v>
      </c>
      <c r="D107" s="157">
        <f t="shared" si="1"/>
        <v>79.3</v>
      </c>
      <c r="E107" s="157">
        <f t="shared" si="1"/>
        <v>13.15</v>
      </c>
      <c r="F107" s="157">
        <f t="shared" si="1"/>
        <v>66.510000000000005</v>
      </c>
      <c r="G107" s="157">
        <f t="shared" si="1"/>
        <v>67.97</v>
      </c>
      <c r="H107" s="157">
        <f t="shared" si="1"/>
        <v>22.65</v>
      </c>
      <c r="I107" s="157">
        <f t="shared" si="1"/>
        <v>6.88</v>
      </c>
      <c r="J107" s="157">
        <f t="shared" si="1"/>
        <v>1.03</v>
      </c>
      <c r="K107" s="157">
        <f t="shared" si="1"/>
        <v>356.31</v>
      </c>
      <c r="L107" s="157">
        <f t="shared" si="1"/>
        <v>34.9</v>
      </c>
      <c r="M107" s="157">
        <f t="shared" si="1"/>
        <v>92.93</v>
      </c>
      <c r="N107" s="157">
        <f t="shared" si="1"/>
        <v>952.4</v>
      </c>
      <c r="O107" s="157">
        <f t="shared" si="1"/>
        <v>0</v>
      </c>
      <c r="P107" s="157">
        <f t="shared" si="1"/>
        <v>0.78</v>
      </c>
      <c r="Q107" s="157">
        <f t="shared" si="1"/>
        <v>8.06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28.81979166666666</v>
      </c>
      <c r="C108" s="158">
        <f t="shared" ref="C108:Q108" si="2">AVERAGE(C9:C104)</f>
        <v>48.97104166666665</v>
      </c>
      <c r="D108" s="158">
        <f t="shared" si="2"/>
        <v>50.048229166666665</v>
      </c>
      <c r="E108" s="158">
        <f t="shared" si="2"/>
        <v>8.5625000000000018</v>
      </c>
      <c r="F108" s="158">
        <f t="shared" si="2"/>
        <v>10.659375000000002</v>
      </c>
      <c r="G108" s="158">
        <f t="shared" si="2"/>
        <v>45.122499999999981</v>
      </c>
      <c r="H108" s="158">
        <f t="shared" si="2"/>
        <v>16.247812500000013</v>
      </c>
      <c r="I108" s="158">
        <f t="shared" si="2"/>
        <v>4.9965625000000022</v>
      </c>
      <c r="J108" s="158">
        <f t="shared" si="2"/>
        <v>0.40552083333333333</v>
      </c>
      <c r="K108" s="158">
        <f t="shared" si="2"/>
        <v>152.9877083333333</v>
      </c>
      <c r="L108" s="158">
        <f t="shared" si="2"/>
        <v>28.529270833333328</v>
      </c>
      <c r="M108" s="158">
        <f t="shared" si="2"/>
        <v>63.725312500000001</v>
      </c>
      <c r="N108" s="158">
        <f t="shared" si="2"/>
        <v>210.70312499999997</v>
      </c>
      <c r="O108" s="158">
        <f t="shared" si="2"/>
        <v>0</v>
      </c>
      <c r="P108" s="158">
        <f t="shared" si="2"/>
        <v>0.61875000000000024</v>
      </c>
      <c r="Q108" s="158">
        <f t="shared" si="2"/>
        <v>6.0990625000000032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22.038409722891426</v>
      </c>
      <c r="C109" s="158">
        <f t="shared" ref="C109:Q109" si="3">STDEV(C9:C104)</f>
        <v>9.8696085859750777</v>
      </c>
      <c r="D109" s="158">
        <f t="shared" si="3"/>
        <v>21.500439652532549</v>
      </c>
      <c r="E109" s="158">
        <f t="shared" si="3"/>
        <v>1.2555837392686275</v>
      </c>
      <c r="F109" s="158">
        <f t="shared" si="3"/>
        <v>11.920032569056531</v>
      </c>
      <c r="G109" s="158">
        <f t="shared" si="3"/>
        <v>11.195757185084423</v>
      </c>
      <c r="H109" s="158">
        <f t="shared" si="3"/>
        <v>3.2171161336055025</v>
      </c>
      <c r="I109" s="158">
        <f t="shared" si="3"/>
        <v>1.1549388939178573</v>
      </c>
      <c r="J109" s="158">
        <f t="shared" si="3"/>
        <v>0.23124318387299433</v>
      </c>
      <c r="K109" s="158">
        <f t="shared" si="3"/>
        <v>104.33707435623887</v>
      </c>
      <c r="L109" s="158">
        <f t="shared" si="3"/>
        <v>4.2433480437756534</v>
      </c>
      <c r="M109" s="158">
        <f t="shared" si="3"/>
        <v>18.593151934211839</v>
      </c>
      <c r="N109" s="158">
        <f t="shared" si="3"/>
        <v>306.14266418164726</v>
      </c>
      <c r="O109" s="158">
        <f t="shared" si="3"/>
        <v>0</v>
      </c>
      <c r="P109" s="158">
        <f t="shared" si="3"/>
        <v>0.10528407686875151</v>
      </c>
      <c r="Q109" s="158">
        <f t="shared" si="3"/>
        <v>1.273588447220962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Q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05/05/2023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622</v>
      </c>
      <c r="B9" s="100">
        <v>24.66</v>
      </c>
      <c r="C9" s="100">
        <v>46.89</v>
      </c>
      <c r="D9" s="100">
        <v>45.62</v>
      </c>
      <c r="E9" s="100">
        <v>9.44</v>
      </c>
      <c r="F9" s="100">
        <v>4.97</v>
      </c>
      <c r="G9" s="100">
        <v>62.09</v>
      </c>
      <c r="H9" s="100">
        <v>22.65</v>
      </c>
      <c r="I9" s="100">
        <v>7.03</v>
      </c>
      <c r="J9" s="100">
        <v>0.11</v>
      </c>
      <c r="K9" s="100">
        <v>3.34</v>
      </c>
      <c r="L9" s="100">
        <v>27.19</v>
      </c>
      <c r="M9" s="100">
        <v>66.17</v>
      </c>
      <c r="N9" s="100">
        <v>0</v>
      </c>
      <c r="O9" s="100">
        <v>0</v>
      </c>
      <c r="P9" s="100">
        <v>0.7</v>
      </c>
      <c r="Q9" s="100">
        <v>5.68</v>
      </c>
      <c r="R9" s="6"/>
      <c r="S9" s="6"/>
      <c r="T9" s="156"/>
      <c r="U9" s="6"/>
    </row>
    <row r="10" spans="1:21" customFormat="1">
      <c r="A10" s="100" t="s">
        <v>623</v>
      </c>
      <c r="B10" s="100">
        <v>26.24</v>
      </c>
      <c r="C10" s="100">
        <v>48.76</v>
      </c>
      <c r="D10" s="100">
        <v>47.87</v>
      </c>
      <c r="E10" s="100">
        <v>9.06</v>
      </c>
      <c r="F10" s="100">
        <v>4.9800000000000004</v>
      </c>
      <c r="G10" s="100">
        <v>64.099999999999994</v>
      </c>
      <c r="H10" s="100">
        <v>23.31</v>
      </c>
      <c r="I10" s="100">
        <v>7.05</v>
      </c>
      <c r="J10" s="100">
        <v>0.23</v>
      </c>
      <c r="K10" s="100">
        <v>26.64</v>
      </c>
      <c r="L10" s="100">
        <v>26.92</v>
      </c>
      <c r="M10" s="100">
        <v>66.67</v>
      </c>
      <c r="N10" s="100">
        <v>0</v>
      </c>
      <c r="O10" s="100">
        <v>0</v>
      </c>
      <c r="P10" s="100">
        <v>0.72</v>
      </c>
      <c r="Q10" s="100">
        <v>5.64</v>
      </c>
      <c r="R10" s="6"/>
      <c r="S10" s="6"/>
      <c r="T10" s="156"/>
      <c r="U10" s="6"/>
    </row>
    <row r="11" spans="1:21" customFormat="1">
      <c r="A11" s="100" t="s">
        <v>624</v>
      </c>
      <c r="B11" s="100">
        <v>28.78</v>
      </c>
      <c r="C11" s="100">
        <v>51.36</v>
      </c>
      <c r="D11" s="100">
        <v>51.26</v>
      </c>
      <c r="E11" s="100">
        <v>8.73</v>
      </c>
      <c r="F11" s="100">
        <v>3.96</v>
      </c>
      <c r="G11" s="100">
        <v>67.58</v>
      </c>
      <c r="H11" s="100">
        <v>25.54</v>
      </c>
      <c r="I11" s="100">
        <v>7.7</v>
      </c>
      <c r="J11" s="100">
        <v>0.17</v>
      </c>
      <c r="K11" s="100">
        <v>49.87</v>
      </c>
      <c r="L11" s="100">
        <v>26.83</v>
      </c>
      <c r="M11" s="100">
        <v>67.069999999999993</v>
      </c>
      <c r="N11" s="100">
        <v>0</v>
      </c>
      <c r="O11" s="100">
        <v>0</v>
      </c>
      <c r="P11" s="100">
        <v>0.73</v>
      </c>
      <c r="Q11" s="100">
        <v>5.87</v>
      </c>
      <c r="R11" s="6"/>
      <c r="S11" s="6"/>
      <c r="T11" s="156"/>
      <c r="U11" s="6"/>
    </row>
    <row r="12" spans="1:21" customFormat="1">
      <c r="A12" s="100" t="s">
        <v>625</v>
      </c>
      <c r="B12" s="100">
        <v>28.81</v>
      </c>
      <c r="C12" s="100">
        <v>46.96</v>
      </c>
      <c r="D12" s="100">
        <v>48.99</v>
      </c>
      <c r="E12" s="100">
        <v>9.76</v>
      </c>
      <c r="F12" s="100">
        <v>5.33</v>
      </c>
      <c r="G12" s="100">
        <v>67.58</v>
      </c>
      <c r="H12" s="100">
        <v>25.54</v>
      </c>
      <c r="I12" s="100">
        <v>7.24</v>
      </c>
      <c r="J12" s="100">
        <v>0.41</v>
      </c>
      <c r="K12" s="100">
        <v>47.19</v>
      </c>
      <c r="L12" s="100">
        <v>26.61</v>
      </c>
      <c r="M12" s="100">
        <v>67.8</v>
      </c>
      <c r="N12" s="100">
        <v>0</v>
      </c>
      <c r="O12" s="100">
        <v>0</v>
      </c>
      <c r="P12" s="100">
        <v>0.69</v>
      </c>
      <c r="Q12" s="100">
        <v>5.83</v>
      </c>
      <c r="R12" s="6"/>
      <c r="S12" s="6"/>
      <c r="T12" s="156"/>
      <c r="U12" s="6"/>
    </row>
    <row r="13" spans="1:21" customFormat="1">
      <c r="A13" s="100" t="s">
        <v>626</v>
      </c>
      <c r="B13" s="100">
        <v>30.4</v>
      </c>
      <c r="C13" s="100">
        <v>50.4</v>
      </c>
      <c r="D13" s="100">
        <v>52.06</v>
      </c>
      <c r="E13" s="100">
        <v>8.16</v>
      </c>
      <c r="F13" s="100">
        <v>4.3600000000000003</v>
      </c>
      <c r="G13" s="100">
        <v>67.58</v>
      </c>
      <c r="H13" s="100">
        <v>25.54</v>
      </c>
      <c r="I13" s="100">
        <v>7.04</v>
      </c>
      <c r="J13" s="100">
        <v>0.28000000000000003</v>
      </c>
      <c r="K13" s="100">
        <v>43.4</v>
      </c>
      <c r="L13" s="100">
        <v>26.54</v>
      </c>
      <c r="M13" s="100">
        <v>68.2</v>
      </c>
      <c r="N13" s="100">
        <v>0</v>
      </c>
      <c r="O13" s="100">
        <v>0</v>
      </c>
      <c r="P13" s="100">
        <v>0.73</v>
      </c>
      <c r="Q13" s="100">
        <v>5.89</v>
      </c>
      <c r="R13" s="6"/>
      <c r="S13" s="6"/>
      <c r="T13" s="156"/>
      <c r="U13" s="6"/>
    </row>
    <row r="14" spans="1:21" customFormat="1">
      <c r="A14" s="100" t="s">
        <v>627</v>
      </c>
      <c r="B14" s="100">
        <v>32.4</v>
      </c>
      <c r="C14" s="100">
        <v>49.88</v>
      </c>
      <c r="D14" s="100">
        <v>53.4</v>
      </c>
      <c r="E14" s="100">
        <v>8.74</v>
      </c>
      <c r="F14" s="100">
        <v>4.07</v>
      </c>
      <c r="G14" s="100">
        <v>67.61</v>
      </c>
      <c r="H14" s="100">
        <v>25.48</v>
      </c>
      <c r="I14" s="100">
        <v>6.97</v>
      </c>
      <c r="J14" s="100">
        <v>0.13</v>
      </c>
      <c r="K14" s="100">
        <v>356.67</v>
      </c>
      <c r="L14" s="100">
        <v>26.18</v>
      </c>
      <c r="M14" s="100">
        <v>70.83</v>
      </c>
      <c r="N14" s="100">
        <v>0</v>
      </c>
      <c r="O14" s="100">
        <v>0</v>
      </c>
      <c r="P14" s="100">
        <v>0.75</v>
      </c>
      <c r="Q14" s="100">
        <v>6.04</v>
      </c>
      <c r="R14" s="6"/>
      <c r="S14" s="6"/>
      <c r="T14" s="156"/>
      <c r="U14" s="6"/>
    </row>
    <row r="15" spans="1:21" customFormat="1">
      <c r="A15" s="100" t="s">
        <v>628</v>
      </c>
      <c r="B15" s="100">
        <v>35.090000000000003</v>
      </c>
      <c r="C15" s="100">
        <v>49.95</v>
      </c>
      <c r="D15" s="100">
        <v>55.59</v>
      </c>
      <c r="E15" s="100">
        <v>9.11</v>
      </c>
      <c r="F15" s="100">
        <v>4.2300000000000004</v>
      </c>
      <c r="G15" s="100">
        <v>67.650000000000006</v>
      </c>
      <c r="H15" s="100">
        <v>25.42</v>
      </c>
      <c r="I15" s="100">
        <v>7.13</v>
      </c>
      <c r="J15" s="100">
        <v>0.18</v>
      </c>
      <c r="K15" s="100">
        <v>49.76</v>
      </c>
      <c r="L15" s="100">
        <v>26.12</v>
      </c>
      <c r="M15" s="100">
        <v>70.45</v>
      </c>
      <c r="N15" s="100">
        <v>0</v>
      </c>
      <c r="O15" s="100">
        <v>0</v>
      </c>
      <c r="P15" s="100">
        <v>0.75</v>
      </c>
      <c r="Q15" s="100">
        <v>6.01</v>
      </c>
      <c r="R15" s="6"/>
      <c r="S15" s="6"/>
      <c r="T15" s="156"/>
      <c r="U15" s="6"/>
    </row>
    <row r="16" spans="1:21" customFormat="1">
      <c r="A16" s="100" t="s">
        <v>629</v>
      </c>
      <c r="B16" s="100">
        <v>34.08</v>
      </c>
      <c r="C16" s="100">
        <v>53.54</v>
      </c>
      <c r="D16" s="100">
        <v>56.65</v>
      </c>
      <c r="E16" s="100">
        <v>8.65</v>
      </c>
      <c r="F16" s="100">
        <v>3.62</v>
      </c>
      <c r="G16" s="100">
        <v>67.650000000000006</v>
      </c>
      <c r="H16" s="100">
        <v>25.42</v>
      </c>
      <c r="I16" s="100">
        <v>6.93</v>
      </c>
      <c r="J16" s="100">
        <v>0.27</v>
      </c>
      <c r="K16" s="100">
        <v>163.78</v>
      </c>
      <c r="L16" s="100">
        <v>25.91</v>
      </c>
      <c r="M16" s="100">
        <v>76.75</v>
      </c>
      <c r="N16" s="100">
        <v>0</v>
      </c>
      <c r="O16" s="100">
        <v>0</v>
      </c>
      <c r="P16" s="100">
        <v>0.76</v>
      </c>
      <c r="Q16" s="100">
        <v>6.28</v>
      </c>
      <c r="R16" s="6"/>
      <c r="S16" s="6"/>
      <c r="T16" s="156"/>
      <c r="U16" s="6"/>
    </row>
    <row r="17" spans="1:21" customFormat="1">
      <c r="A17" s="100" t="s">
        <v>630</v>
      </c>
      <c r="B17" s="100">
        <v>34.21</v>
      </c>
      <c r="C17" s="100">
        <v>54.08</v>
      </c>
      <c r="D17" s="100">
        <v>57.04</v>
      </c>
      <c r="E17" s="100">
        <v>6.99</v>
      </c>
      <c r="F17" s="100">
        <v>3.54</v>
      </c>
      <c r="G17" s="100">
        <v>67.650000000000006</v>
      </c>
      <c r="H17" s="100">
        <v>25.42</v>
      </c>
      <c r="I17" s="100">
        <v>7.22</v>
      </c>
      <c r="J17" s="100">
        <v>0.22</v>
      </c>
      <c r="K17" s="100">
        <v>192.71</v>
      </c>
      <c r="L17" s="100">
        <v>25.06</v>
      </c>
      <c r="M17" s="100">
        <v>80.959999999999994</v>
      </c>
      <c r="N17" s="100">
        <v>0</v>
      </c>
      <c r="O17" s="100">
        <v>0</v>
      </c>
      <c r="P17" s="100">
        <v>0.76</v>
      </c>
      <c r="Q17" s="100">
        <v>6.4</v>
      </c>
      <c r="R17" s="6"/>
      <c r="S17" s="6"/>
      <c r="T17" s="156"/>
      <c r="U17" s="6"/>
    </row>
    <row r="18" spans="1:21" customFormat="1">
      <c r="A18" s="100" t="s">
        <v>631</v>
      </c>
      <c r="B18" s="100">
        <v>34.18</v>
      </c>
      <c r="C18" s="100">
        <v>53.88</v>
      </c>
      <c r="D18" s="100">
        <v>56.91</v>
      </c>
      <c r="E18" s="100">
        <v>8.07</v>
      </c>
      <c r="F18" s="100">
        <v>3.7</v>
      </c>
      <c r="G18" s="100">
        <v>66.61</v>
      </c>
      <c r="H18" s="100">
        <v>26.24</v>
      </c>
      <c r="I18" s="100">
        <v>7.23</v>
      </c>
      <c r="J18" s="100">
        <v>0.19</v>
      </c>
      <c r="K18" s="100">
        <v>195.16</v>
      </c>
      <c r="L18" s="100">
        <v>24.84</v>
      </c>
      <c r="M18" s="100">
        <v>81.45</v>
      </c>
      <c r="N18" s="100">
        <v>0</v>
      </c>
      <c r="O18" s="100">
        <v>0</v>
      </c>
      <c r="P18" s="100">
        <v>0.77</v>
      </c>
      <c r="Q18" s="100">
        <v>6.4</v>
      </c>
      <c r="R18" s="6"/>
      <c r="S18" s="6"/>
      <c r="T18" s="156"/>
      <c r="U18" s="6"/>
    </row>
    <row r="19" spans="1:21" customFormat="1">
      <c r="A19" s="100" t="s">
        <v>632</v>
      </c>
      <c r="B19" s="100">
        <v>34.44</v>
      </c>
      <c r="C19" s="100">
        <v>53.17</v>
      </c>
      <c r="D19" s="100">
        <v>56.75</v>
      </c>
      <c r="E19" s="100">
        <v>8.2899999999999991</v>
      </c>
      <c r="F19" s="100">
        <v>3.81</v>
      </c>
      <c r="G19" s="100">
        <v>64.8</v>
      </c>
      <c r="H19" s="100">
        <v>27.08</v>
      </c>
      <c r="I19" s="100">
        <v>7.35</v>
      </c>
      <c r="J19" s="100">
        <v>0.11</v>
      </c>
      <c r="K19" s="100">
        <v>223.76</v>
      </c>
      <c r="L19" s="100">
        <v>24.58</v>
      </c>
      <c r="M19" s="100">
        <v>82.29</v>
      </c>
      <c r="N19" s="100">
        <v>0</v>
      </c>
      <c r="O19" s="100">
        <v>0</v>
      </c>
      <c r="P19" s="100">
        <v>0.75</v>
      </c>
      <c r="Q19" s="100">
        <v>6.4</v>
      </c>
      <c r="R19" s="6"/>
      <c r="S19" s="6"/>
      <c r="T19" s="156"/>
      <c r="U19" s="6"/>
    </row>
    <row r="20" spans="1:21" customFormat="1">
      <c r="A20" s="100" t="s">
        <v>633</v>
      </c>
      <c r="B20" s="100">
        <v>34.409999999999997</v>
      </c>
      <c r="C20" s="100">
        <v>54.03</v>
      </c>
      <c r="D20" s="100">
        <v>57.18</v>
      </c>
      <c r="E20" s="100">
        <v>7.9</v>
      </c>
      <c r="F20" s="100">
        <v>3.59</v>
      </c>
      <c r="G20" s="100">
        <v>64.8</v>
      </c>
      <c r="H20" s="100">
        <v>27.08</v>
      </c>
      <c r="I20" s="100">
        <v>7.48</v>
      </c>
      <c r="J20" s="100">
        <v>0.11</v>
      </c>
      <c r="K20" s="100">
        <v>164.97</v>
      </c>
      <c r="L20" s="100">
        <v>24.7</v>
      </c>
      <c r="M20" s="100">
        <v>80.400000000000006</v>
      </c>
      <c r="N20" s="100">
        <v>0</v>
      </c>
      <c r="O20" s="100">
        <v>0</v>
      </c>
      <c r="P20" s="100">
        <v>0.75</v>
      </c>
      <c r="Q20" s="100">
        <v>6.45</v>
      </c>
      <c r="R20" s="6"/>
      <c r="S20" s="6"/>
      <c r="T20" s="156"/>
      <c r="U20" s="6"/>
    </row>
    <row r="21" spans="1:21" customFormat="1">
      <c r="A21" s="100" t="s">
        <v>634</v>
      </c>
      <c r="B21" s="100">
        <v>34.74</v>
      </c>
      <c r="C21" s="100">
        <v>53.82</v>
      </c>
      <c r="D21" s="100">
        <v>57.33</v>
      </c>
      <c r="E21" s="100">
        <v>7.92</v>
      </c>
      <c r="F21" s="100">
        <v>3.65</v>
      </c>
      <c r="G21" s="100">
        <v>64.8</v>
      </c>
      <c r="H21" s="100">
        <v>27.08</v>
      </c>
      <c r="I21" s="100">
        <v>7.75</v>
      </c>
      <c r="J21" s="100">
        <v>0.19</v>
      </c>
      <c r="K21" s="100">
        <v>143.58000000000001</v>
      </c>
      <c r="L21" s="100">
        <v>24.75</v>
      </c>
      <c r="M21" s="100">
        <v>81.48</v>
      </c>
      <c r="N21" s="100">
        <v>0</v>
      </c>
      <c r="O21" s="100">
        <v>0</v>
      </c>
      <c r="P21" s="100">
        <v>0.75</v>
      </c>
      <c r="Q21" s="100">
        <v>6.45</v>
      </c>
      <c r="R21" s="6"/>
      <c r="S21" s="6"/>
      <c r="T21" s="156"/>
      <c r="U21" s="6"/>
    </row>
    <row r="22" spans="1:21" customFormat="1">
      <c r="A22" s="100" t="s">
        <v>635</v>
      </c>
      <c r="B22" s="100">
        <v>35.49</v>
      </c>
      <c r="C22" s="100">
        <v>52.85</v>
      </c>
      <c r="D22" s="100">
        <v>57.42</v>
      </c>
      <c r="E22" s="100">
        <v>7.61</v>
      </c>
      <c r="F22" s="100">
        <v>3.71</v>
      </c>
      <c r="G22" s="100">
        <v>65.13</v>
      </c>
      <c r="H22" s="100">
        <v>26.13</v>
      </c>
      <c r="I22" s="100">
        <v>8.1</v>
      </c>
      <c r="J22" s="100">
        <v>0.19</v>
      </c>
      <c r="K22" s="100">
        <v>188.51</v>
      </c>
      <c r="L22" s="100">
        <v>24.39</v>
      </c>
      <c r="M22" s="100">
        <v>85.3</v>
      </c>
      <c r="N22" s="100">
        <v>0</v>
      </c>
      <c r="O22" s="100">
        <v>0</v>
      </c>
      <c r="P22" s="100">
        <v>0.73</v>
      </c>
      <c r="Q22" s="100">
        <v>6.44</v>
      </c>
      <c r="R22" s="6"/>
      <c r="S22" s="6"/>
      <c r="T22" s="156"/>
      <c r="U22" s="6"/>
    </row>
    <row r="23" spans="1:21" customFormat="1">
      <c r="A23" s="100" t="s">
        <v>636</v>
      </c>
      <c r="B23" s="100">
        <v>36.08</v>
      </c>
      <c r="C23" s="100">
        <v>53.31</v>
      </c>
      <c r="D23" s="100">
        <v>58.14</v>
      </c>
      <c r="E23" s="100">
        <v>7.76</v>
      </c>
      <c r="F23" s="100">
        <v>3.58</v>
      </c>
      <c r="G23" s="100">
        <v>65.7</v>
      </c>
      <c r="H23" s="100">
        <v>25.16</v>
      </c>
      <c r="I23" s="100">
        <v>8.4700000000000006</v>
      </c>
      <c r="J23" s="100">
        <v>0.08</v>
      </c>
      <c r="K23" s="100">
        <v>71.25</v>
      </c>
      <c r="L23" s="100">
        <v>24.39</v>
      </c>
      <c r="M23" s="100">
        <v>83.57</v>
      </c>
      <c r="N23" s="100">
        <v>0</v>
      </c>
      <c r="O23" s="100">
        <v>0</v>
      </c>
      <c r="P23" s="100">
        <v>0.73</v>
      </c>
      <c r="Q23" s="100">
        <v>6.5</v>
      </c>
      <c r="R23" s="6"/>
      <c r="S23" s="6"/>
      <c r="T23" s="156"/>
      <c r="U23" s="6"/>
    </row>
    <row r="24" spans="1:21" customFormat="1">
      <c r="A24" s="100" t="s">
        <v>637</v>
      </c>
      <c r="B24" s="100">
        <v>37.32</v>
      </c>
      <c r="C24" s="100">
        <v>53.74</v>
      </c>
      <c r="D24" s="100">
        <v>59.36</v>
      </c>
      <c r="E24" s="100">
        <v>7.85</v>
      </c>
      <c r="F24" s="100">
        <v>3.47</v>
      </c>
      <c r="G24" s="100">
        <v>65.7</v>
      </c>
      <c r="H24" s="100">
        <v>25.16</v>
      </c>
      <c r="I24" s="100">
        <v>8.64</v>
      </c>
      <c r="J24" s="100">
        <v>0.27</v>
      </c>
      <c r="K24" s="100">
        <v>28.25</v>
      </c>
      <c r="L24" s="100">
        <v>24.56</v>
      </c>
      <c r="M24" s="100">
        <v>81.38</v>
      </c>
      <c r="N24" s="100">
        <v>0</v>
      </c>
      <c r="O24" s="100">
        <v>0</v>
      </c>
      <c r="P24" s="100">
        <v>0.74</v>
      </c>
      <c r="Q24" s="100">
        <v>6.58</v>
      </c>
      <c r="R24" s="6"/>
      <c r="S24" s="6"/>
      <c r="T24" s="156"/>
      <c r="U24" s="6"/>
    </row>
    <row r="25" spans="1:21" customFormat="1">
      <c r="A25" s="100" t="s">
        <v>638</v>
      </c>
      <c r="B25" s="100">
        <v>39.58</v>
      </c>
      <c r="C25" s="100">
        <v>53.51</v>
      </c>
      <c r="D25" s="100">
        <v>61.05</v>
      </c>
      <c r="E25" s="100">
        <v>7.8</v>
      </c>
      <c r="F25" s="100">
        <v>3.55</v>
      </c>
      <c r="G25" s="100">
        <v>65.7</v>
      </c>
      <c r="H25" s="100">
        <v>25.16</v>
      </c>
      <c r="I25" s="100">
        <v>8.94</v>
      </c>
      <c r="J25" s="100">
        <v>0.28000000000000003</v>
      </c>
      <c r="K25" s="100">
        <v>45.36</v>
      </c>
      <c r="L25" s="100">
        <v>24.54</v>
      </c>
      <c r="M25" s="100">
        <v>81.790000000000006</v>
      </c>
      <c r="N25" s="100">
        <v>0</v>
      </c>
      <c r="O25" s="100">
        <v>0</v>
      </c>
      <c r="P25" s="100">
        <v>0.73</v>
      </c>
      <c r="Q25" s="100">
        <v>6.65</v>
      </c>
      <c r="R25" s="6"/>
      <c r="S25" s="6"/>
      <c r="T25" s="156"/>
      <c r="U25" s="6"/>
    </row>
    <row r="26" spans="1:21" customFormat="1">
      <c r="A26" s="100" t="s">
        <v>639</v>
      </c>
      <c r="B26" s="100">
        <v>42.1</v>
      </c>
      <c r="C26" s="100">
        <v>52.58</v>
      </c>
      <c r="D26" s="100">
        <v>62.58</v>
      </c>
      <c r="E26" s="100">
        <v>7.5</v>
      </c>
      <c r="F26" s="100">
        <v>3.75</v>
      </c>
      <c r="G26" s="100">
        <v>65.319999999999993</v>
      </c>
      <c r="H26" s="100">
        <v>23.8</v>
      </c>
      <c r="I26" s="100">
        <v>9.31</v>
      </c>
      <c r="J26" s="100">
        <v>0.21</v>
      </c>
      <c r="K26" s="100">
        <v>56.7</v>
      </c>
      <c r="L26" s="100">
        <v>24.65</v>
      </c>
      <c r="M26" s="100">
        <v>80.63</v>
      </c>
      <c r="N26" s="100">
        <v>0</v>
      </c>
      <c r="O26" s="100">
        <v>0</v>
      </c>
      <c r="P26" s="100">
        <v>0.73</v>
      </c>
      <c r="Q26" s="100">
        <v>6.77</v>
      </c>
      <c r="R26" s="6"/>
      <c r="S26" s="6"/>
      <c r="T26" s="156"/>
      <c r="U26" s="6"/>
    </row>
    <row r="27" spans="1:21" customFormat="1">
      <c r="A27" s="100" t="s">
        <v>640</v>
      </c>
      <c r="B27" s="100">
        <v>43.18</v>
      </c>
      <c r="C27" s="100">
        <v>54.18</v>
      </c>
      <c r="D27" s="100">
        <v>64.28</v>
      </c>
      <c r="E27" s="100">
        <v>7.9</v>
      </c>
      <c r="F27" s="100">
        <v>3.43</v>
      </c>
      <c r="G27" s="100">
        <v>64.67</v>
      </c>
      <c r="H27" s="100">
        <v>22.35</v>
      </c>
      <c r="I27" s="100">
        <v>9.6300000000000008</v>
      </c>
      <c r="J27" s="100">
        <v>0.12</v>
      </c>
      <c r="K27" s="100">
        <v>172</v>
      </c>
      <c r="L27" s="100">
        <v>24.51</v>
      </c>
      <c r="M27" s="100">
        <v>83.6</v>
      </c>
      <c r="N27" s="100">
        <v>0</v>
      </c>
      <c r="O27" s="100">
        <v>0</v>
      </c>
      <c r="P27" s="100">
        <v>0.74</v>
      </c>
      <c r="Q27" s="100">
        <v>6.91</v>
      </c>
      <c r="R27" s="6"/>
      <c r="S27" s="6"/>
      <c r="T27" s="156"/>
      <c r="U27" s="6"/>
    </row>
    <row r="28" spans="1:21" customFormat="1">
      <c r="A28" s="100" t="s">
        <v>641</v>
      </c>
      <c r="B28" s="100">
        <v>44.13</v>
      </c>
      <c r="C28" s="100">
        <v>53.74</v>
      </c>
      <c r="D28" s="100">
        <v>64.819999999999993</v>
      </c>
      <c r="E28" s="100">
        <v>7.69</v>
      </c>
      <c r="F28" s="100">
        <v>3.55</v>
      </c>
      <c r="G28" s="100">
        <v>64.67</v>
      </c>
      <c r="H28" s="100">
        <v>22.35</v>
      </c>
      <c r="I28" s="100">
        <v>9.76</v>
      </c>
      <c r="J28" s="100">
        <v>0.12</v>
      </c>
      <c r="K28" s="100">
        <v>70.959999999999994</v>
      </c>
      <c r="L28" s="100">
        <v>24.2</v>
      </c>
      <c r="M28" s="100">
        <v>83.78</v>
      </c>
      <c r="N28" s="100">
        <v>0</v>
      </c>
      <c r="O28" s="100">
        <v>0</v>
      </c>
      <c r="P28" s="100">
        <v>0.73</v>
      </c>
      <c r="Q28" s="100">
        <v>6.99</v>
      </c>
      <c r="R28" s="6"/>
      <c r="S28" s="6"/>
      <c r="T28" s="156"/>
      <c r="U28" s="6"/>
    </row>
    <row r="29" spans="1:21" customFormat="1">
      <c r="A29" s="100" t="s">
        <v>642</v>
      </c>
      <c r="B29" s="100">
        <v>45.25</v>
      </c>
      <c r="C29" s="100">
        <v>52.63</v>
      </c>
      <c r="D29" s="100">
        <v>65.14</v>
      </c>
      <c r="E29" s="100">
        <v>7.38</v>
      </c>
      <c r="F29" s="100">
        <v>3.73</v>
      </c>
      <c r="G29" s="100">
        <v>64.67</v>
      </c>
      <c r="H29" s="100">
        <v>22.35</v>
      </c>
      <c r="I29" s="100">
        <v>9.76</v>
      </c>
      <c r="J29" s="100">
        <v>0.18</v>
      </c>
      <c r="K29" s="100">
        <v>91.36</v>
      </c>
      <c r="L29" s="100">
        <v>24.64</v>
      </c>
      <c r="M29" s="100">
        <v>77.39</v>
      </c>
      <c r="N29" s="100">
        <v>0</v>
      </c>
      <c r="O29" s="100">
        <v>0</v>
      </c>
      <c r="P29" s="100">
        <v>0.72</v>
      </c>
      <c r="Q29" s="100">
        <v>6.99</v>
      </c>
      <c r="R29" s="6"/>
      <c r="S29" s="6"/>
      <c r="T29" s="156"/>
      <c r="U29" s="6"/>
    </row>
    <row r="30" spans="1:21" customFormat="1">
      <c r="A30" s="100" t="s">
        <v>643</v>
      </c>
      <c r="B30" s="100">
        <v>45.68</v>
      </c>
      <c r="C30" s="100">
        <v>53.75</v>
      </c>
      <c r="D30" s="100">
        <v>66.06</v>
      </c>
      <c r="E30" s="100">
        <v>7.76</v>
      </c>
      <c r="F30" s="100">
        <v>3.46</v>
      </c>
      <c r="G30" s="100">
        <v>64.959999999999994</v>
      </c>
      <c r="H30" s="100">
        <v>21.08</v>
      </c>
      <c r="I30" s="100">
        <v>9.82</v>
      </c>
      <c r="J30" s="100">
        <v>0.2</v>
      </c>
      <c r="K30" s="100">
        <v>176.55</v>
      </c>
      <c r="L30" s="100">
        <v>24.53</v>
      </c>
      <c r="M30" s="100">
        <v>79.930000000000007</v>
      </c>
      <c r="N30" s="100">
        <v>0</v>
      </c>
      <c r="O30" s="100">
        <v>0</v>
      </c>
      <c r="P30" s="100">
        <v>0.72</v>
      </c>
      <c r="Q30" s="100">
        <v>7.09</v>
      </c>
      <c r="R30" s="6"/>
      <c r="S30" s="6"/>
      <c r="T30" s="156"/>
      <c r="U30" s="6"/>
    </row>
    <row r="31" spans="1:21" customFormat="1">
      <c r="A31" s="100" t="s">
        <v>644</v>
      </c>
      <c r="B31" s="100">
        <v>46.16</v>
      </c>
      <c r="C31" s="100">
        <v>54.05</v>
      </c>
      <c r="D31" s="100">
        <v>66.599999999999994</v>
      </c>
      <c r="E31" s="100">
        <v>7.37</v>
      </c>
      <c r="F31" s="100">
        <v>3.47</v>
      </c>
      <c r="G31" s="100">
        <v>65.459999999999994</v>
      </c>
      <c r="H31" s="100">
        <v>19.77</v>
      </c>
      <c r="I31" s="100">
        <v>9.74</v>
      </c>
      <c r="J31" s="100">
        <v>0.1</v>
      </c>
      <c r="K31" s="100">
        <v>138.18</v>
      </c>
      <c r="L31" s="100">
        <v>24.22</v>
      </c>
      <c r="M31" s="100">
        <v>84.1</v>
      </c>
      <c r="N31" s="100">
        <v>8.6999999999999993</v>
      </c>
      <c r="O31" s="100">
        <v>0</v>
      </c>
      <c r="P31" s="100">
        <v>0.72</v>
      </c>
      <c r="Q31" s="100">
        <v>7.11</v>
      </c>
      <c r="R31" s="6"/>
      <c r="S31" s="6"/>
      <c r="T31" s="156"/>
      <c r="U31" s="6"/>
    </row>
    <row r="32" spans="1:21" customFormat="1">
      <c r="A32" s="100" t="s">
        <v>645</v>
      </c>
      <c r="B32" s="100">
        <v>47.09</v>
      </c>
      <c r="C32" s="100">
        <v>52.92</v>
      </c>
      <c r="D32" s="100">
        <v>66.760000000000005</v>
      </c>
      <c r="E32" s="100">
        <v>7.07</v>
      </c>
      <c r="F32" s="100">
        <v>3.7</v>
      </c>
      <c r="G32" s="100">
        <v>65.459999999999994</v>
      </c>
      <c r="H32" s="100">
        <v>19.77</v>
      </c>
      <c r="I32" s="100">
        <v>9.6300000000000008</v>
      </c>
      <c r="J32" s="100">
        <v>0.25</v>
      </c>
      <c r="K32" s="100">
        <v>34.409999999999997</v>
      </c>
      <c r="L32" s="100">
        <v>24.64</v>
      </c>
      <c r="M32" s="100">
        <v>78.349999999999994</v>
      </c>
      <c r="N32" s="100">
        <v>17.7</v>
      </c>
      <c r="O32" s="100">
        <v>0</v>
      </c>
      <c r="P32" s="100">
        <v>0.72</v>
      </c>
      <c r="Q32" s="100">
        <v>7.12</v>
      </c>
      <c r="R32" s="6"/>
      <c r="S32" s="6"/>
      <c r="T32" s="156"/>
      <c r="U32" s="6"/>
    </row>
    <row r="33" spans="1:21" customFormat="1">
      <c r="A33" s="100" t="s">
        <v>646</v>
      </c>
      <c r="B33" s="100">
        <v>48.08</v>
      </c>
      <c r="C33" s="100">
        <v>53.16</v>
      </c>
      <c r="D33" s="100">
        <v>67.680000000000007</v>
      </c>
      <c r="E33" s="100">
        <v>7.39</v>
      </c>
      <c r="F33" s="100">
        <v>3.8</v>
      </c>
      <c r="G33" s="100">
        <v>65.459999999999994</v>
      </c>
      <c r="H33" s="100">
        <v>19.77</v>
      </c>
      <c r="I33" s="100">
        <v>9.57</v>
      </c>
      <c r="J33" s="100">
        <v>0.12</v>
      </c>
      <c r="K33" s="100">
        <v>335.38</v>
      </c>
      <c r="L33" s="100">
        <v>25.02</v>
      </c>
      <c r="M33" s="100">
        <v>76.739999999999995</v>
      </c>
      <c r="N33" s="100">
        <v>22.8</v>
      </c>
      <c r="O33" s="100">
        <v>0</v>
      </c>
      <c r="P33" s="100">
        <v>0.71</v>
      </c>
      <c r="Q33" s="100">
        <v>7.17</v>
      </c>
      <c r="R33" s="6"/>
      <c r="S33" s="6"/>
      <c r="T33" s="156"/>
      <c r="U33" s="6"/>
    </row>
    <row r="34" spans="1:21" customFormat="1">
      <c r="A34" s="100" t="s">
        <v>647</v>
      </c>
      <c r="B34" s="100">
        <v>48.6</v>
      </c>
      <c r="C34" s="100">
        <v>54.29</v>
      </c>
      <c r="D34" s="100">
        <v>68.69</v>
      </c>
      <c r="E34" s="100">
        <v>7.66</v>
      </c>
      <c r="F34" s="100">
        <v>3.54</v>
      </c>
      <c r="G34" s="100">
        <v>67.83</v>
      </c>
      <c r="H34" s="100">
        <v>22.06</v>
      </c>
      <c r="I34" s="100">
        <v>9.59</v>
      </c>
      <c r="J34" s="100">
        <v>0.31</v>
      </c>
      <c r="K34" s="100">
        <v>45.44</v>
      </c>
      <c r="L34" s="100">
        <v>25.37</v>
      </c>
      <c r="M34" s="100">
        <v>74.709999999999994</v>
      </c>
      <c r="N34" s="100">
        <v>36</v>
      </c>
      <c r="O34" s="100">
        <v>0</v>
      </c>
      <c r="P34" s="100">
        <v>0.74</v>
      </c>
      <c r="Q34" s="100">
        <v>7.23</v>
      </c>
      <c r="R34" s="6"/>
      <c r="S34" s="6"/>
      <c r="T34" s="156"/>
      <c r="U34" s="6"/>
    </row>
    <row r="35" spans="1:21" customFormat="1">
      <c r="A35" s="100" t="s">
        <v>648</v>
      </c>
      <c r="B35" s="100">
        <v>49.24</v>
      </c>
      <c r="C35" s="100">
        <v>55.67</v>
      </c>
      <c r="D35" s="100">
        <v>69.92</v>
      </c>
      <c r="E35" s="100">
        <v>7.73</v>
      </c>
      <c r="F35" s="100">
        <v>3.48</v>
      </c>
      <c r="G35" s="100">
        <v>71.930000000000007</v>
      </c>
      <c r="H35" s="100">
        <v>29.14</v>
      </c>
      <c r="I35" s="100">
        <v>9.6199999999999992</v>
      </c>
      <c r="J35" s="100">
        <v>0.26</v>
      </c>
      <c r="K35" s="100">
        <v>27.5</v>
      </c>
      <c r="L35" s="100">
        <v>25.87</v>
      </c>
      <c r="M35" s="100">
        <v>71.599999999999994</v>
      </c>
      <c r="N35" s="100">
        <v>46.8</v>
      </c>
      <c r="O35" s="100">
        <v>0</v>
      </c>
      <c r="P35" s="100">
        <v>0.76</v>
      </c>
      <c r="Q35" s="100">
        <v>7.36</v>
      </c>
      <c r="R35" s="6"/>
      <c r="S35" s="6"/>
      <c r="T35" s="156"/>
      <c r="U35" s="6"/>
    </row>
    <row r="36" spans="1:21" customFormat="1">
      <c r="A36" s="100" t="s">
        <v>649</v>
      </c>
      <c r="B36" s="100">
        <v>50.44</v>
      </c>
      <c r="C36" s="100">
        <v>53.99</v>
      </c>
      <c r="D36" s="100">
        <v>70.010000000000005</v>
      </c>
      <c r="E36" s="100">
        <v>7.95</v>
      </c>
      <c r="F36" s="100">
        <v>4.03</v>
      </c>
      <c r="G36" s="100">
        <v>71.930000000000007</v>
      </c>
      <c r="H36" s="100">
        <v>29.14</v>
      </c>
      <c r="I36" s="100">
        <v>9.58</v>
      </c>
      <c r="J36" s="100">
        <v>0.35</v>
      </c>
      <c r="K36" s="100">
        <v>327.61</v>
      </c>
      <c r="L36" s="100">
        <v>26.27</v>
      </c>
      <c r="M36" s="100">
        <v>69.08</v>
      </c>
      <c r="N36" s="100">
        <v>57.5</v>
      </c>
      <c r="O36" s="100">
        <v>0</v>
      </c>
      <c r="P36" s="100">
        <v>0.73</v>
      </c>
      <c r="Q36" s="100">
        <v>7.36</v>
      </c>
      <c r="R36" s="6"/>
      <c r="S36" s="6"/>
      <c r="T36" s="156"/>
      <c r="U36" s="6"/>
    </row>
    <row r="37" spans="1:21" customFormat="1">
      <c r="A37" s="100" t="s">
        <v>650</v>
      </c>
      <c r="B37" s="100">
        <v>49.53</v>
      </c>
      <c r="C37" s="100">
        <v>48.39</v>
      </c>
      <c r="D37" s="100">
        <v>66.349999999999994</v>
      </c>
      <c r="E37" s="100">
        <v>8.0299999999999994</v>
      </c>
      <c r="F37" s="100">
        <v>4.72</v>
      </c>
      <c r="G37" s="100">
        <v>71.930000000000007</v>
      </c>
      <c r="H37" s="100">
        <v>29.14</v>
      </c>
      <c r="I37" s="100">
        <v>9.7100000000000009</v>
      </c>
      <c r="J37" s="100">
        <v>0.24</v>
      </c>
      <c r="K37" s="100">
        <v>322.88</v>
      </c>
      <c r="L37" s="100">
        <v>26.9</v>
      </c>
      <c r="M37" s="100">
        <v>67.13</v>
      </c>
      <c r="N37" s="100">
        <v>66.3</v>
      </c>
      <c r="O37" s="100">
        <v>0</v>
      </c>
      <c r="P37" s="100">
        <v>0.72</v>
      </c>
      <c r="Q37" s="100">
        <v>7.12</v>
      </c>
      <c r="R37" s="6"/>
      <c r="S37" s="6"/>
      <c r="T37" s="156"/>
      <c r="U37" s="6"/>
    </row>
    <row r="38" spans="1:21" customFormat="1">
      <c r="A38" s="100" t="s">
        <v>651</v>
      </c>
      <c r="B38" s="100">
        <v>48.44</v>
      </c>
      <c r="C38" s="100">
        <v>49.97</v>
      </c>
      <c r="D38" s="100">
        <v>66.31</v>
      </c>
      <c r="E38" s="100">
        <v>7.71</v>
      </c>
      <c r="F38" s="100">
        <v>4.25</v>
      </c>
      <c r="G38" s="100">
        <v>77.98</v>
      </c>
      <c r="H38" s="100">
        <v>30.99</v>
      </c>
      <c r="I38" s="100">
        <v>9.64</v>
      </c>
      <c r="J38" s="100">
        <v>0.52</v>
      </c>
      <c r="K38" s="100">
        <v>39.46</v>
      </c>
      <c r="L38" s="100">
        <v>28</v>
      </c>
      <c r="M38" s="100">
        <v>62.56</v>
      </c>
      <c r="N38" s="100">
        <v>78.8</v>
      </c>
      <c r="O38" s="100">
        <v>0</v>
      </c>
      <c r="P38" s="100">
        <v>0.74</v>
      </c>
      <c r="Q38" s="100">
        <v>7.11</v>
      </c>
      <c r="R38" s="6"/>
      <c r="S38" s="6"/>
      <c r="T38" s="156"/>
      <c r="U38" s="6"/>
    </row>
    <row r="39" spans="1:21" customFormat="1">
      <c r="A39" s="100" t="s">
        <v>652</v>
      </c>
      <c r="B39" s="100">
        <v>49.27</v>
      </c>
      <c r="C39" s="100">
        <v>51.78</v>
      </c>
      <c r="D39" s="100">
        <v>67.91</v>
      </c>
      <c r="E39" s="100">
        <v>8.1999999999999993</v>
      </c>
      <c r="F39" s="100">
        <v>4.3099999999999996</v>
      </c>
      <c r="G39" s="100">
        <v>88.43</v>
      </c>
      <c r="H39" s="100">
        <v>32.89</v>
      </c>
      <c r="I39" s="100">
        <v>9.5</v>
      </c>
      <c r="J39" s="100">
        <v>0.55000000000000004</v>
      </c>
      <c r="K39" s="100">
        <v>34.11</v>
      </c>
      <c r="L39" s="100">
        <v>28.37</v>
      </c>
      <c r="M39" s="100">
        <v>60.97</v>
      </c>
      <c r="N39" s="100">
        <v>81.8</v>
      </c>
      <c r="O39" s="100">
        <v>0</v>
      </c>
      <c r="P39" s="100">
        <v>0.76</v>
      </c>
      <c r="Q39" s="100">
        <v>7.2</v>
      </c>
      <c r="R39" s="6"/>
      <c r="S39" s="6"/>
      <c r="T39" s="156"/>
      <c r="U39" s="6"/>
    </row>
    <row r="40" spans="1:21" customFormat="1">
      <c r="A40" s="100" t="s">
        <v>653</v>
      </c>
      <c r="B40" s="100">
        <v>46.83</v>
      </c>
      <c r="C40" s="100">
        <v>46.92</v>
      </c>
      <c r="D40" s="100">
        <v>63.42</v>
      </c>
      <c r="E40" s="100">
        <v>9.34</v>
      </c>
      <c r="F40" s="100">
        <v>6.65</v>
      </c>
      <c r="G40" s="100">
        <v>88.43</v>
      </c>
      <c r="H40" s="100">
        <v>32.89</v>
      </c>
      <c r="I40" s="100">
        <v>9.5500000000000007</v>
      </c>
      <c r="J40" s="100">
        <v>0.04</v>
      </c>
      <c r="K40" s="100">
        <v>241.4</v>
      </c>
      <c r="L40" s="100">
        <v>29.04</v>
      </c>
      <c r="M40" s="100">
        <v>58.85</v>
      </c>
      <c r="N40" s="100">
        <v>101</v>
      </c>
      <c r="O40" s="100">
        <v>0</v>
      </c>
      <c r="P40" s="100">
        <v>0.75</v>
      </c>
      <c r="Q40" s="100">
        <v>7.03</v>
      </c>
      <c r="R40" s="6"/>
      <c r="S40" s="6"/>
      <c r="T40" s="156"/>
      <c r="U40" s="6"/>
    </row>
    <row r="41" spans="1:21" customFormat="1">
      <c r="A41" s="100" t="s">
        <v>654</v>
      </c>
      <c r="B41" s="100">
        <v>46.51</v>
      </c>
      <c r="C41" s="100">
        <v>49.48</v>
      </c>
      <c r="D41" s="100">
        <v>64.5</v>
      </c>
      <c r="E41" s="100">
        <v>8.3800000000000008</v>
      </c>
      <c r="F41" s="100">
        <v>5.44</v>
      </c>
      <c r="G41" s="100">
        <v>88.43</v>
      </c>
      <c r="H41" s="100">
        <v>32.89</v>
      </c>
      <c r="I41" s="100">
        <v>9.33</v>
      </c>
      <c r="J41" s="100">
        <v>0.14000000000000001</v>
      </c>
      <c r="K41" s="100">
        <v>352.54</v>
      </c>
      <c r="L41" s="100">
        <v>29.73</v>
      </c>
      <c r="M41" s="100">
        <v>56.5</v>
      </c>
      <c r="N41" s="100">
        <v>109.6</v>
      </c>
      <c r="O41" s="100">
        <v>0</v>
      </c>
      <c r="P41" s="100">
        <v>0.76</v>
      </c>
      <c r="Q41" s="100">
        <v>6.97</v>
      </c>
      <c r="R41" s="6"/>
      <c r="S41" s="6"/>
      <c r="T41" s="156"/>
      <c r="U41" s="6"/>
    </row>
    <row r="42" spans="1:21" customFormat="1">
      <c r="A42" s="100" t="s">
        <v>655</v>
      </c>
      <c r="B42" s="100">
        <v>43.64</v>
      </c>
      <c r="C42" s="100">
        <v>51.18</v>
      </c>
      <c r="D42" s="100">
        <v>63.09</v>
      </c>
      <c r="E42" s="100">
        <v>9.91</v>
      </c>
      <c r="F42" s="100">
        <v>7.34</v>
      </c>
      <c r="G42" s="100">
        <v>89.85</v>
      </c>
      <c r="H42" s="100">
        <v>35.31</v>
      </c>
      <c r="I42" s="100">
        <v>9.2200000000000006</v>
      </c>
      <c r="J42" s="100">
        <v>0.26</v>
      </c>
      <c r="K42" s="100">
        <v>343.26</v>
      </c>
      <c r="L42" s="100">
        <v>30.39</v>
      </c>
      <c r="M42" s="100">
        <v>55.43</v>
      </c>
      <c r="N42" s="100">
        <v>117</v>
      </c>
      <c r="O42" s="100">
        <v>0</v>
      </c>
      <c r="P42" s="100">
        <v>0.8</v>
      </c>
      <c r="Q42" s="100">
        <v>7.11</v>
      </c>
      <c r="R42" s="6"/>
      <c r="S42" s="6"/>
      <c r="T42" s="156"/>
      <c r="U42" s="6"/>
    </row>
    <row r="43" spans="1:21" customFormat="1">
      <c r="A43" s="100" t="s">
        <v>656</v>
      </c>
      <c r="B43" s="100">
        <v>42.33</v>
      </c>
      <c r="C43" s="100">
        <v>47.66</v>
      </c>
      <c r="D43" s="100">
        <v>60.2</v>
      </c>
      <c r="E43" s="100">
        <v>14.04</v>
      </c>
      <c r="F43" s="100">
        <v>11.23</v>
      </c>
      <c r="G43" s="100">
        <v>92.31</v>
      </c>
      <c r="H43" s="100">
        <v>37.81</v>
      </c>
      <c r="I43" s="100">
        <v>9.39</v>
      </c>
      <c r="J43" s="100">
        <v>0.47</v>
      </c>
      <c r="K43" s="100">
        <v>14.17</v>
      </c>
      <c r="L43" s="100">
        <v>31.04</v>
      </c>
      <c r="M43" s="100">
        <v>53.65</v>
      </c>
      <c r="N43" s="100">
        <v>145.4</v>
      </c>
      <c r="O43" s="100">
        <v>0</v>
      </c>
      <c r="P43" s="100">
        <v>0.81</v>
      </c>
      <c r="Q43" s="100">
        <v>6.94</v>
      </c>
      <c r="R43" s="6"/>
      <c r="S43" s="6"/>
      <c r="T43" s="156"/>
      <c r="U43" s="6"/>
    </row>
    <row r="44" spans="1:21" customFormat="1">
      <c r="A44" s="100" t="s">
        <v>657</v>
      </c>
      <c r="B44" s="100">
        <v>40.97</v>
      </c>
      <c r="C44" s="100">
        <v>46</v>
      </c>
      <c r="D44" s="100">
        <v>58.24</v>
      </c>
      <c r="E44" s="100">
        <v>16.84</v>
      </c>
      <c r="F44" s="100">
        <v>10.69</v>
      </c>
      <c r="G44" s="100">
        <v>92.31</v>
      </c>
      <c r="H44" s="100">
        <v>37.81</v>
      </c>
      <c r="I44" s="100">
        <v>9.27</v>
      </c>
      <c r="J44" s="100">
        <v>0.56999999999999995</v>
      </c>
      <c r="K44" s="100">
        <v>329.83</v>
      </c>
      <c r="L44" s="100">
        <v>31.24</v>
      </c>
      <c r="M44" s="100">
        <v>52.89</v>
      </c>
      <c r="N44" s="100">
        <v>221.8</v>
      </c>
      <c r="O44" s="100">
        <v>0</v>
      </c>
      <c r="P44" s="100">
        <v>0.81</v>
      </c>
      <c r="Q44" s="100">
        <v>6.71</v>
      </c>
      <c r="R44" s="6"/>
      <c r="S44" s="6"/>
      <c r="T44" s="156"/>
      <c r="U44" s="6"/>
    </row>
    <row r="45" spans="1:21" customFormat="1">
      <c r="A45" s="100" t="s">
        <v>658</v>
      </c>
      <c r="B45" s="100">
        <v>42.43</v>
      </c>
      <c r="C45" s="100">
        <v>52.16</v>
      </c>
      <c r="D45" s="100">
        <v>62.63</v>
      </c>
      <c r="E45" s="100">
        <v>11.14</v>
      </c>
      <c r="F45" s="100">
        <v>6.2</v>
      </c>
      <c r="G45" s="100">
        <v>92.31</v>
      </c>
      <c r="H45" s="100">
        <v>37.81</v>
      </c>
      <c r="I45" s="100">
        <v>9.56</v>
      </c>
      <c r="J45" s="100">
        <v>0.87</v>
      </c>
      <c r="K45" s="100">
        <v>306.22000000000003</v>
      </c>
      <c r="L45" s="100">
        <v>31.29</v>
      </c>
      <c r="M45" s="100">
        <v>51.46</v>
      </c>
      <c r="N45" s="100">
        <v>311.2</v>
      </c>
      <c r="O45" s="100">
        <v>0</v>
      </c>
      <c r="P45" s="100">
        <v>0.83</v>
      </c>
      <c r="Q45" s="100">
        <v>6.69</v>
      </c>
      <c r="R45" s="6"/>
      <c r="S45" s="6"/>
      <c r="T45" s="156"/>
      <c r="U45" s="6"/>
    </row>
    <row r="46" spans="1:21" customFormat="1">
      <c r="A46" s="100" t="s">
        <v>659</v>
      </c>
      <c r="B46" s="100">
        <v>38.81</v>
      </c>
      <c r="C46" s="100">
        <v>51</v>
      </c>
      <c r="D46" s="100">
        <v>59.12</v>
      </c>
      <c r="E46" s="100">
        <v>13.4</v>
      </c>
      <c r="F46" s="100">
        <v>10.53</v>
      </c>
      <c r="G46" s="100">
        <v>98.33</v>
      </c>
      <c r="H46" s="100">
        <v>40.83</v>
      </c>
      <c r="I46" s="100">
        <v>9.69</v>
      </c>
      <c r="J46" s="100">
        <v>0.82</v>
      </c>
      <c r="K46" s="100">
        <v>315.29000000000002</v>
      </c>
      <c r="L46" s="100">
        <v>31.93</v>
      </c>
      <c r="M46" s="100">
        <v>48.73</v>
      </c>
      <c r="N46" s="100">
        <v>252.2</v>
      </c>
      <c r="O46" s="100">
        <v>0</v>
      </c>
      <c r="P46" s="100">
        <v>0.83</v>
      </c>
      <c r="Q46" s="100">
        <v>6.76</v>
      </c>
      <c r="R46" s="6"/>
      <c r="S46" s="6"/>
      <c r="T46" s="156"/>
      <c r="U46" s="6"/>
    </row>
    <row r="47" spans="1:21" customFormat="1">
      <c r="A47" s="100" t="s">
        <v>660</v>
      </c>
      <c r="B47" s="100">
        <v>37.979999999999997</v>
      </c>
      <c r="C47" s="100">
        <v>50.09</v>
      </c>
      <c r="D47" s="100">
        <v>57.98</v>
      </c>
      <c r="E47" s="100">
        <v>17.63</v>
      </c>
      <c r="F47" s="100">
        <v>9.4700000000000006</v>
      </c>
      <c r="G47" s="100">
        <v>108.72</v>
      </c>
      <c r="H47" s="100">
        <v>43.94</v>
      </c>
      <c r="I47" s="100">
        <v>9.66</v>
      </c>
      <c r="J47" s="100">
        <v>0.67</v>
      </c>
      <c r="K47" s="100">
        <v>317.63</v>
      </c>
      <c r="L47" s="100">
        <v>32.26</v>
      </c>
      <c r="M47" s="100">
        <v>48.84</v>
      </c>
      <c r="N47" s="100">
        <v>332.2</v>
      </c>
      <c r="O47" s="100">
        <v>0</v>
      </c>
      <c r="P47" s="100">
        <v>0.83</v>
      </c>
      <c r="Q47" s="100">
        <v>6.63</v>
      </c>
      <c r="R47" s="6"/>
      <c r="S47" s="6"/>
      <c r="T47" s="156"/>
      <c r="U47" s="6"/>
    </row>
    <row r="48" spans="1:21" customFormat="1">
      <c r="A48" s="100" t="s">
        <v>661</v>
      </c>
      <c r="B48" s="100">
        <v>37.11</v>
      </c>
      <c r="C48" s="100">
        <v>49.58</v>
      </c>
      <c r="D48" s="100">
        <v>57.01</v>
      </c>
      <c r="E48" s="100">
        <v>23.34</v>
      </c>
      <c r="F48" s="100">
        <v>10.050000000000001</v>
      </c>
      <c r="G48" s="100">
        <v>108.72</v>
      </c>
      <c r="H48" s="100">
        <v>43.94</v>
      </c>
      <c r="I48" s="100">
        <v>9.33</v>
      </c>
      <c r="J48" s="100">
        <v>0.75</v>
      </c>
      <c r="K48" s="100">
        <v>6.86</v>
      </c>
      <c r="L48" s="100">
        <v>32.46</v>
      </c>
      <c r="M48" s="100">
        <v>49.75</v>
      </c>
      <c r="N48" s="100">
        <v>231</v>
      </c>
      <c r="O48" s="100">
        <v>0</v>
      </c>
      <c r="P48" s="100">
        <v>0.84</v>
      </c>
      <c r="Q48" s="100">
        <v>6.45</v>
      </c>
      <c r="R48" s="6"/>
      <c r="S48" s="6"/>
      <c r="T48" s="156"/>
      <c r="U48" s="6"/>
    </row>
    <row r="49" spans="1:21" customFormat="1">
      <c r="A49" s="100" t="s">
        <v>662</v>
      </c>
      <c r="B49" s="100">
        <v>34.61</v>
      </c>
      <c r="C49" s="100">
        <v>47.05</v>
      </c>
      <c r="D49" s="100">
        <v>53.69</v>
      </c>
      <c r="E49" s="100">
        <v>21.76</v>
      </c>
      <c r="F49" s="100">
        <v>12.08</v>
      </c>
      <c r="G49" s="100">
        <v>108.72</v>
      </c>
      <c r="H49" s="100">
        <v>43.94</v>
      </c>
      <c r="I49" s="100">
        <v>9.25</v>
      </c>
      <c r="J49" s="100">
        <v>0.76</v>
      </c>
      <c r="K49" s="100">
        <v>12.96</v>
      </c>
      <c r="L49" s="100">
        <v>32.74</v>
      </c>
      <c r="M49" s="100">
        <v>48.26</v>
      </c>
      <c r="N49" s="100">
        <v>280.2</v>
      </c>
      <c r="O49" s="100">
        <v>0</v>
      </c>
      <c r="P49" s="100">
        <v>0.81</v>
      </c>
      <c r="Q49" s="100">
        <v>6.33</v>
      </c>
      <c r="R49" s="6"/>
      <c r="S49" s="6"/>
      <c r="T49" s="156"/>
      <c r="U49" s="6"/>
    </row>
    <row r="50" spans="1:21" customFormat="1">
      <c r="A50" s="100" t="s">
        <v>663</v>
      </c>
      <c r="B50" s="100">
        <v>31.3</v>
      </c>
      <c r="C50" s="100">
        <v>46.29</v>
      </c>
      <c r="D50" s="100">
        <v>50.63</v>
      </c>
      <c r="E50" s="100">
        <v>27.25</v>
      </c>
      <c r="F50" s="100">
        <v>16.7</v>
      </c>
      <c r="G50" s="100">
        <v>110.89</v>
      </c>
      <c r="H50" s="100">
        <v>42.07</v>
      </c>
      <c r="I50" s="100">
        <v>9.0299999999999994</v>
      </c>
      <c r="J50" s="100">
        <v>0.64</v>
      </c>
      <c r="K50" s="100">
        <v>12.72</v>
      </c>
      <c r="L50" s="100">
        <v>33.1</v>
      </c>
      <c r="M50" s="100">
        <v>45.9</v>
      </c>
      <c r="N50" s="100">
        <v>291.2</v>
      </c>
      <c r="O50" s="100">
        <v>0</v>
      </c>
      <c r="P50" s="100">
        <v>0.76</v>
      </c>
      <c r="Q50" s="100">
        <v>6.2</v>
      </c>
      <c r="R50" s="6"/>
      <c r="S50" s="6"/>
      <c r="T50" s="156"/>
      <c r="U50" s="6"/>
    </row>
    <row r="51" spans="1:21" customFormat="1">
      <c r="A51" s="100" t="s">
        <v>664</v>
      </c>
      <c r="B51" s="100">
        <v>30.72</v>
      </c>
      <c r="C51" s="100">
        <v>48.13</v>
      </c>
      <c r="D51" s="100">
        <v>51.13</v>
      </c>
      <c r="E51" s="100">
        <v>29.52</v>
      </c>
      <c r="F51" s="100">
        <v>12.8</v>
      </c>
      <c r="G51" s="100">
        <v>114.63</v>
      </c>
      <c r="H51" s="100">
        <v>40.14</v>
      </c>
      <c r="I51" s="100">
        <v>8.8000000000000007</v>
      </c>
      <c r="J51" s="100">
        <v>0.76</v>
      </c>
      <c r="K51" s="100">
        <v>321.02999999999997</v>
      </c>
      <c r="L51" s="100">
        <v>33.549999999999997</v>
      </c>
      <c r="M51" s="100">
        <v>43.33</v>
      </c>
      <c r="N51" s="100">
        <v>695.1</v>
      </c>
      <c r="O51" s="100">
        <v>0</v>
      </c>
      <c r="P51" s="100">
        <v>0.8</v>
      </c>
      <c r="Q51" s="100">
        <v>6.08</v>
      </c>
      <c r="R51" s="6"/>
      <c r="S51" s="6"/>
      <c r="T51" s="156"/>
      <c r="U51" s="6"/>
    </row>
    <row r="52" spans="1:21" customFormat="1">
      <c r="A52" s="100" t="s">
        <v>665</v>
      </c>
      <c r="B52" s="100">
        <v>29.55</v>
      </c>
      <c r="C52" s="100">
        <v>49.9</v>
      </c>
      <c r="D52" s="100">
        <v>51.12</v>
      </c>
      <c r="E52" s="100">
        <v>19.47</v>
      </c>
      <c r="F52" s="100">
        <v>11.99</v>
      </c>
      <c r="G52" s="100">
        <v>114.63</v>
      </c>
      <c r="H52" s="100">
        <v>40.14</v>
      </c>
      <c r="I52" s="100">
        <v>8.1999999999999993</v>
      </c>
      <c r="J52" s="100">
        <v>0.74</v>
      </c>
      <c r="K52" s="100">
        <v>317.32</v>
      </c>
      <c r="L52" s="100">
        <v>33.61</v>
      </c>
      <c r="M52" s="100">
        <v>44.15</v>
      </c>
      <c r="N52" s="100">
        <v>617.9</v>
      </c>
      <c r="O52" s="100">
        <v>0</v>
      </c>
      <c r="P52" s="100">
        <v>0.84</v>
      </c>
      <c r="Q52" s="100">
        <v>6.1</v>
      </c>
      <c r="R52" s="6"/>
      <c r="S52" s="6"/>
      <c r="T52" s="156"/>
      <c r="U52" s="6"/>
    </row>
    <row r="53" spans="1:21" customFormat="1">
      <c r="A53" s="100" t="s">
        <v>666</v>
      </c>
      <c r="B53" s="100">
        <v>28.66</v>
      </c>
      <c r="C53" s="100">
        <v>49.55</v>
      </c>
      <c r="D53" s="100">
        <v>50.23</v>
      </c>
      <c r="E53" s="100">
        <v>18.14</v>
      </c>
      <c r="F53" s="100">
        <v>11.89</v>
      </c>
      <c r="G53" s="100">
        <v>114.63</v>
      </c>
      <c r="H53" s="100">
        <v>40.14</v>
      </c>
      <c r="I53" s="100">
        <v>8.5</v>
      </c>
      <c r="J53" s="100">
        <v>0.93</v>
      </c>
      <c r="K53" s="100">
        <v>294.73</v>
      </c>
      <c r="L53" s="100">
        <v>33.5</v>
      </c>
      <c r="M53" s="100">
        <v>42.58</v>
      </c>
      <c r="N53" s="100">
        <v>586.29999999999995</v>
      </c>
      <c r="O53" s="100">
        <v>0</v>
      </c>
      <c r="P53" s="100">
        <v>0.81</v>
      </c>
      <c r="Q53" s="100">
        <v>6.07</v>
      </c>
      <c r="R53" s="6"/>
      <c r="S53" s="6"/>
      <c r="T53" s="156"/>
      <c r="U53" s="6"/>
    </row>
    <row r="54" spans="1:21" customFormat="1">
      <c r="A54" s="100" t="s">
        <v>667</v>
      </c>
      <c r="B54" s="100">
        <v>25.1</v>
      </c>
      <c r="C54" s="100">
        <v>46.11</v>
      </c>
      <c r="D54" s="100">
        <v>45.57</v>
      </c>
      <c r="E54" s="100">
        <v>16.59</v>
      </c>
      <c r="F54" s="100">
        <v>14.08</v>
      </c>
      <c r="G54" s="100">
        <v>105.3</v>
      </c>
      <c r="H54" s="100">
        <v>37.85</v>
      </c>
      <c r="I54" s="100">
        <v>8.49</v>
      </c>
      <c r="J54" s="100">
        <v>1.06</v>
      </c>
      <c r="K54" s="100">
        <v>301.75</v>
      </c>
      <c r="L54" s="100">
        <v>34.1</v>
      </c>
      <c r="M54" s="100">
        <v>41.61</v>
      </c>
      <c r="N54" s="100">
        <v>868.5</v>
      </c>
      <c r="O54" s="100">
        <v>0</v>
      </c>
      <c r="P54" s="100">
        <v>0.77</v>
      </c>
      <c r="Q54" s="100">
        <v>5.92</v>
      </c>
      <c r="R54" s="6"/>
      <c r="S54" s="6"/>
      <c r="T54" s="156"/>
      <c r="U54" s="6"/>
    </row>
    <row r="55" spans="1:21" customFormat="1">
      <c r="A55" s="100" t="s">
        <v>668</v>
      </c>
      <c r="B55" s="100">
        <v>25.19</v>
      </c>
      <c r="C55" s="100">
        <v>51.46</v>
      </c>
      <c r="D55" s="100">
        <v>48.44</v>
      </c>
      <c r="E55" s="100">
        <v>14.92</v>
      </c>
      <c r="F55" s="100">
        <v>11.47</v>
      </c>
      <c r="G55" s="100">
        <v>89.19</v>
      </c>
      <c r="H55" s="100">
        <v>35.479999999999997</v>
      </c>
      <c r="I55" s="100">
        <v>8.2899999999999991</v>
      </c>
      <c r="J55" s="100">
        <v>1.4</v>
      </c>
      <c r="K55" s="100">
        <v>323.47000000000003</v>
      </c>
      <c r="L55" s="100">
        <v>34.229999999999997</v>
      </c>
      <c r="M55" s="100">
        <v>40</v>
      </c>
      <c r="N55" s="100">
        <v>873.2</v>
      </c>
      <c r="O55" s="100">
        <v>0</v>
      </c>
      <c r="P55" s="100">
        <v>0.78</v>
      </c>
      <c r="Q55" s="100">
        <v>5.82</v>
      </c>
      <c r="R55" s="6"/>
      <c r="S55" s="6"/>
      <c r="T55" s="156"/>
      <c r="U55" s="6"/>
    </row>
    <row r="56" spans="1:21" customFormat="1">
      <c r="A56" s="100" t="s">
        <v>669</v>
      </c>
      <c r="B56" s="100">
        <v>24.4</v>
      </c>
      <c r="C56" s="100">
        <v>55.69</v>
      </c>
      <c r="D56" s="100">
        <v>50.01</v>
      </c>
      <c r="E56" s="100">
        <v>13.02</v>
      </c>
      <c r="F56" s="100">
        <v>8.73</v>
      </c>
      <c r="G56" s="100">
        <v>89.19</v>
      </c>
      <c r="H56" s="100">
        <v>35.479999999999997</v>
      </c>
      <c r="I56" s="100">
        <v>7.9</v>
      </c>
      <c r="J56" s="100">
        <v>0.91</v>
      </c>
      <c r="K56" s="100">
        <v>292.08999999999997</v>
      </c>
      <c r="L56" s="100">
        <v>34.020000000000003</v>
      </c>
      <c r="M56" s="100">
        <v>40.47</v>
      </c>
      <c r="N56" s="100">
        <v>608.1</v>
      </c>
      <c r="O56" s="100">
        <v>0</v>
      </c>
      <c r="P56" s="100">
        <v>0.78</v>
      </c>
      <c r="Q56" s="100">
        <v>5.79</v>
      </c>
      <c r="R56" s="6"/>
      <c r="S56" s="6"/>
      <c r="T56" s="156"/>
      <c r="U56" s="6"/>
    </row>
    <row r="57" spans="1:21" customFormat="1">
      <c r="A57" s="100" t="s">
        <v>670</v>
      </c>
      <c r="B57" s="100">
        <v>22.47</v>
      </c>
      <c r="C57" s="100">
        <v>53.91</v>
      </c>
      <c r="D57" s="100">
        <v>47.54</v>
      </c>
      <c r="E57" s="100">
        <v>12</v>
      </c>
      <c r="F57" s="100">
        <v>7.22</v>
      </c>
      <c r="G57" s="100">
        <v>89.19</v>
      </c>
      <c r="H57" s="100">
        <v>35.479999999999997</v>
      </c>
      <c r="I57" s="100">
        <v>7.8</v>
      </c>
      <c r="J57" s="100">
        <v>1.0900000000000001</v>
      </c>
      <c r="K57" s="100">
        <v>292.95</v>
      </c>
      <c r="L57" s="100">
        <v>33.950000000000003</v>
      </c>
      <c r="M57" s="100">
        <v>40.69</v>
      </c>
      <c r="N57" s="100">
        <v>357.5</v>
      </c>
      <c r="O57" s="100">
        <v>0</v>
      </c>
      <c r="P57" s="100">
        <v>0.76</v>
      </c>
      <c r="Q57" s="100">
        <v>5.67</v>
      </c>
      <c r="R57" s="6"/>
      <c r="S57" s="6"/>
      <c r="T57" s="156"/>
      <c r="U57" s="6"/>
    </row>
    <row r="58" spans="1:21" customFormat="1">
      <c r="A58" s="100" t="s">
        <v>671</v>
      </c>
      <c r="B58" s="100">
        <v>19.52</v>
      </c>
      <c r="C58" s="100">
        <v>56.07</v>
      </c>
      <c r="D58" s="100">
        <v>46.3</v>
      </c>
      <c r="E58" s="100">
        <v>11.1</v>
      </c>
      <c r="F58" s="100">
        <v>9.7200000000000006</v>
      </c>
      <c r="G58" s="100">
        <v>81.61</v>
      </c>
      <c r="H58" s="100">
        <v>34</v>
      </c>
      <c r="I58" s="100">
        <v>7.67</v>
      </c>
      <c r="J58" s="100">
        <v>0.75</v>
      </c>
      <c r="K58" s="100">
        <v>307.12</v>
      </c>
      <c r="L58" s="100">
        <v>34.03</v>
      </c>
      <c r="M58" s="100">
        <v>40.44</v>
      </c>
      <c r="N58" s="100">
        <v>748.2</v>
      </c>
      <c r="O58" s="100">
        <v>0</v>
      </c>
      <c r="P58" s="100">
        <v>0.74</v>
      </c>
      <c r="Q58" s="100">
        <v>5.61</v>
      </c>
      <c r="R58" s="6"/>
      <c r="S58" s="6"/>
      <c r="T58" s="156"/>
      <c r="U58" s="6"/>
    </row>
    <row r="59" spans="1:21" customFormat="1">
      <c r="A59" s="100" t="s">
        <v>672</v>
      </c>
      <c r="B59" s="100">
        <v>18.45</v>
      </c>
      <c r="C59" s="100">
        <v>54.49</v>
      </c>
      <c r="D59" s="100">
        <v>44.62</v>
      </c>
      <c r="E59" s="100">
        <v>10</v>
      </c>
      <c r="F59" s="100">
        <v>8.3000000000000007</v>
      </c>
      <c r="G59" s="100">
        <v>68.510000000000005</v>
      </c>
      <c r="H59" s="100">
        <v>29.43</v>
      </c>
      <c r="I59" s="100">
        <v>7.55</v>
      </c>
      <c r="J59" s="100">
        <v>1.3</v>
      </c>
      <c r="K59" s="100">
        <v>284.97000000000003</v>
      </c>
      <c r="L59" s="100">
        <v>34.9</v>
      </c>
      <c r="M59" s="100">
        <v>38.06</v>
      </c>
      <c r="N59" s="100">
        <v>927.6</v>
      </c>
      <c r="O59" s="100">
        <v>0</v>
      </c>
      <c r="P59" s="100">
        <v>0.72</v>
      </c>
      <c r="Q59" s="100">
        <v>5.51</v>
      </c>
      <c r="R59" s="6"/>
      <c r="S59" s="6"/>
      <c r="T59" s="156"/>
      <c r="U59" s="6"/>
    </row>
    <row r="60" spans="1:21" customFormat="1">
      <c r="A60" s="100" t="s">
        <v>673</v>
      </c>
      <c r="B60" s="100">
        <v>17.350000000000001</v>
      </c>
      <c r="C60" s="100">
        <v>51.55</v>
      </c>
      <c r="D60" s="100">
        <v>42.19</v>
      </c>
      <c r="E60" s="100">
        <v>9.64</v>
      </c>
      <c r="F60" s="100">
        <v>7.1</v>
      </c>
      <c r="G60" s="100">
        <v>68.510000000000005</v>
      </c>
      <c r="H60" s="100">
        <v>29.43</v>
      </c>
      <c r="I60" s="100">
        <v>7.01</v>
      </c>
      <c r="J60" s="100">
        <v>1.02</v>
      </c>
      <c r="K60" s="100">
        <v>276.22000000000003</v>
      </c>
      <c r="L60" s="100">
        <v>34.25</v>
      </c>
      <c r="M60" s="100">
        <v>38.619999999999997</v>
      </c>
      <c r="N60" s="100">
        <v>514.1</v>
      </c>
      <c r="O60" s="100">
        <v>0</v>
      </c>
      <c r="P60" s="100">
        <v>0.7</v>
      </c>
      <c r="Q60" s="100">
        <v>5.39</v>
      </c>
      <c r="R60" s="6"/>
      <c r="S60" s="6"/>
      <c r="T60" s="156"/>
      <c r="U60" s="6"/>
    </row>
    <row r="61" spans="1:21" customFormat="1">
      <c r="A61" s="100" t="s">
        <v>674</v>
      </c>
      <c r="B61" s="100">
        <v>15.97</v>
      </c>
      <c r="C61" s="100">
        <v>56.71</v>
      </c>
      <c r="D61" s="100">
        <v>43.79</v>
      </c>
      <c r="E61" s="100">
        <v>9.5399999999999991</v>
      </c>
      <c r="F61" s="100">
        <v>7.77</v>
      </c>
      <c r="G61" s="100">
        <v>68.510000000000005</v>
      </c>
      <c r="H61" s="100">
        <v>29.43</v>
      </c>
      <c r="I61" s="100">
        <v>7.03</v>
      </c>
      <c r="J61" s="100">
        <v>0.57999999999999996</v>
      </c>
      <c r="K61" s="100">
        <v>283.47000000000003</v>
      </c>
      <c r="L61" s="100">
        <v>35.36</v>
      </c>
      <c r="M61" s="100">
        <v>37.44</v>
      </c>
      <c r="N61" s="100">
        <v>852.7</v>
      </c>
      <c r="O61" s="100">
        <v>0</v>
      </c>
      <c r="P61" s="100">
        <v>0.68</v>
      </c>
      <c r="Q61" s="100">
        <v>5.4</v>
      </c>
      <c r="R61" s="6"/>
      <c r="S61" s="6"/>
      <c r="T61" s="156"/>
      <c r="U61" s="6"/>
    </row>
    <row r="62" spans="1:21" customFormat="1">
      <c r="A62" s="100" t="s">
        <v>675</v>
      </c>
      <c r="B62" s="100">
        <v>14.71</v>
      </c>
      <c r="C62" s="100">
        <v>54.06</v>
      </c>
      <c r="D62" s="100">
        <v>41.39</v>
      </c>
      <c r="E62" s="100">
        <v>9.2799999999999994</v>
      </c>
      <c r="F62" s="100">
        <v>10.31</v>
      </c>
      <c r="G62" s="100">
        <v>60.95</v>
      </c>
      <c r="H62" s="100">
        <v>26.41</v>
      </c>
      <c r="I62" s="100">
        <v>6.87</v>
      </c>
      <c r="J62" s="100">
        <v>1.41</v>
      </c>
      <c r="K62" s="100">
        <v>306.61</v>
      </c>
      <c r="L62" s="100">
        <v>35.450000000000003</v>
      </c>
      <c r="M62" s="100">
        <v>37.18</v>
      </c>
      <c r="N62" s="100">
        <v>845.9</v>
      </c>
      <c r="O62" s="100">
        <v>0</v>
      </c>
      <c r="P62" s="100">
        <v>0.66</v>
      </c>
      <c r="Q62" s="100">
        <v>5.28</v>
      </c>
      <c r="R62" s="6"/>
      <c r="S62" s="6"/>
      <c r="T62" s="156"/>
      <c r="U62" s="6"/>
    </row>
    <row r="63" spans="1:21" customFormat="1">
      <c r="A63" s="100" t="s">
        <v>676</v>
      </c>
      <c r="B63" s="100">
        <v>13.76</v>
      </c>
      <c r="C63" s="100">
        <v>55.96</v>
      </c>
      <c r="D63" s="100">
        <v>41.63</v>
      </c>
      <c r="E63" s="100">
        <v>8.77</v>
      </c>
      <c r="F63" s="100">
        <v>5.81</v>
      </c>
      <c r="G63" s="100">
        <v>47.88</v>
      </c>
      <c r="H63" s="100">
        <v>23.3</v>
      </c>
      <c r="I63" s="100">
        <v>6.52</v>
      </c>
      <c r="J63" s="100">
        <v>0.73</v>
      </c>
      <c r="K63" s="100">
        <v>249.52</v>
      </c>
      <c r="L63" s="100">
        <v>35.96</v>
      </c>
      <c r="M63" s="100">
        <v>36.32</v>
      </c>
      <c r="N63" s="100">
        <v>602.29999999999995</v>
      </c>
      <c r="O63" s="100">
        <v>0</v>
      </c>
      <c r="P63" s="100">
        <v>0.66</v>
      </c>
      <c r="Q63" s="100">
        <v>5.23</v>
      </c>
      <c r="R63" s="6"/>
      <c r="S63" s="6"/>
      <c r="T63" s="156"/>
      <c r="U63" s="6"/>
    </row>
    <row r="64" spans="1:21" customFormat="1">
      <c r="A64" s="100" t="s">
        <v>677</v>
      </c>
      <c r="B64" s="100">
        <v>13.07</v>
      </c>
      <c r="C64" s="100">
        <v>56.39</v>
      </c>
      <c r="D64" s="100">
        <v>41.3</v>
      </c>
      <c r="E64" s="100">
        <v>8.33</v>
      </c>
      <c r="F64" s="100">
        <v>7.13</v>
      </c>
      <c r="G64" s="100">
        <v>47.88</v>
      </c>
      <c r="H64" s="100">
        <v>23.3</v>
      </c>
      <c r="I64" s="100">
        <v>6.24</v>
      </c>
      <c r="J64" s="100">
        <v>0.94</v>
      </c>
      <c r="K64" s="100">
        <v>291.88</v>
      </c>
      <c r="L64" s="100">
        <v>35.44</v>
      </c>
      <c r="M64" s="100">
        <v>36.96</v>
      </c>
      <c r="N64" s="100">
        <v>632</v>
      </c>
      <c r="O64" s="100">
        <v>0</v>
      </c>
      <c r="P64" s="100">
        <v>0.64</v>
      </c>
      <c r="Q64" s="100">
        <v>5.15</v>
      </c>
      <c r="R64" s="6"/>
      <c r="S64" s="6"/>
      <c r="T64" s="156"/>
      <c r="U64" s="6"/>
    </row>
    <row r="65" spans="1:21" customFormat="1">
      <c r="A65" s="100" t="s">
        <v>678</v>
      </c>
      <c r="B65" s="100">
        <v>11.93</v>
      </c>
      <c r="C65" s="100">
        <v>52.64</v>
      </c>
      <c r="D65" s="100">
        <v>38.42</v>
      </c>
      <c r="E65" s="100">
        <v>8.4600000000000009</v>
      </c>
      <c r="F65" s="100">
        <v>9.0399999999999991</v>
      </c>
      <c r="G65" s="100">
        <v>47.88</v>
      </c>
      <c r="H65" s="100">
        <v>23.3</v>
      </c>
      <c r="I65" s="100">
        <v>6.22</v>
      </c>
      <c r="J65" s="100">
        <v>1.01</v>
      </c>
      <c r="K65" s="100">
        <v>295.95999999999998</v>
      </c>
      <c r="L65" s="100">
        <v>35.6</v>
      </c>
      <c r="M65" s="100">
        <v>36.19</v>
      </c>
      <c r="N65" s="100">
        <v>723.4</v>
      </c>
      <c r="O65" s="100">
        <v>0</v>
      </c>
      <c r="P65" s="100">
        <v>0.59</v>
      </c>
      <c r="Q65" s="100">
        <v>5.01</v>
      </c>
      <c r="R65" s="6"/>
      <c r="S65" s="6"/>
      <c r="T65" s="156"/>
      <c r="U65" s="6"/>
    </row>
    <row r="66" spans="1:21" customFormat="1">
      <c r="A66" s="100" t="s">
        <v>679</v>
      </c>
      <c r="B66" s="100">
        <v>11.21</v>
      </c>
      <c r="C66" s="100">
        <v>51.98</v>
      </c>
      <c r="D66" s="100">
        <v>37.5</v>
      </c>
      <c r="E66" s="100">
        <v>8.19</v>
      </c>
      <c r="F66" s="100">
        <v>7.91</v>
      </c>
      <c r="G66" s="100">
        <v>43.71</v>
      </c>
      <c r="H66" s="100">
        <v>22.32</v>
      </c>
      <c r="I66" s="100">
        <v>6.04</v>
      </c>
      <c r="J66" s="100">
        <v>1.1299999999999999</v>
      </c>
      <c r="K66" s="100">
        <v>284.18</v>
      </c>
      <c r="L66" s="100">
        <v>35.479999999999997</v>
      </c>
      <c r="M66" s="100">
        <v>36.1</v>
      </c>
      <c r="N66" s="100">
        <v>720.9</v>
      </c>
      <c r="O66" s="100">
        <v>0</v>
      </c>
      <c r="P66" s="100">
        <v>0.59</v>
      </c>
      <c r="Q66" s="100">
        <v>4.8600000000000003</v>
      </c>
      <c r="R66" s="6"/>
      <c r="S66" s="6"/>
      <c r="T66" s="156"/>
      <c r="U66" s="6"/>
    </row>
    <row r="67" spans="1:21" customFormat="1">
      <c r="A67" s="100" t="s">
        <v>680</v>
      </c>
      <c r="B67" s="100">
        <v>10.67</v>
      </c>
      <c r="C67" s="100">
        <v>50.71</v>
      </c>
      <c r="D67" s="100">
        <v>36.4</v>
      </c>
      <c r="E67" s="100">
        <v>7.71</v>
      </c>
      <c r="F67" s="100">
        <v>9.07</v>
      </c>
      <c r="G67" s="100">
        <v>36.520000000000003</v>
      </c>
      <c r="H67" s="100">
        <v>21.31</v>
      </c>
      <c r="I67" s="100">
        <v>5.77</v>
      </c>
      <c r="J67" s="100">
        <v>0.84</v>
      </c>
      <c r="K67" s="100">
        <v>288.7</v>
      </c>
      <c r="L67" s="100">
        <v>35.33</v>
      </c>
      <c r="M67" s="100">
        <v>36.840000000000003</v>
      </c>
      <c r="N67" s="100">
        <v>434.1</v>
      </c>
      <c r="O67" s="100">
        <v>0</v>
      </c>
      <c r="P67" s="100">
        <v>0.56999999999999995</v>
      </c>
      <c r="Q67" s="100">
        <v>4.8</v>
      </c>
      <c r="R67" s="6"/>
      <c r="S67" s="6"/>
      <c r="T67" s="156"/>
      <c r="U67" s="6"/>
    </row>
    <row r="68" spans="1:21" customFormat="1">
      <c r="A68" s="100" t="s">
        <v>681</v>
      </c>
      <c r="B68" s="100">
        <v>10.1</v>
      </c>
      <c r="C68" s="100">
        <v>48.81</v>
      </c>
      <c r="D68" s="100">
        <v>34.950000000000003</v>
      </c>
      <c r="E68" s="100">
        <v>7.41</v>
      </c>
      <c r="F68" s="100">
        <v>10.69</v>
      </c>
      <c r="G68" s="100">
        <v>36.520000000000003</v>
      </c>
      <c r="H68" s="100">
        <v>21.31</v>
      </c>
      <c r="I68" s="100">
        <v>5.6</v>
      </c>
      <c r="J68" s="100">
        <v>1.06</v>
      </c>
      <c r="K68" s="100">
        <v>313.77999999999997</v>
      </c>
      <c r="L68" s="100">
        <v>35.72</v>
      </c>
      <c r="M68" s="100">
        <v>35.619999999999997</v>
      </c>
      <c r="N68" s="100">
        <v>687.2</v>
      </c>
      <c r="O68" s="100">
        <v>0</v>
      </c>
      <c r="P68" s="100">
        <v>0.56000000000000005</v>
      </c>
      <c r="Q68" s="100">
        <v>4.72</v>
      </c>
      <c r="R68" s="6"/>
      <c r="S68" s="6"/>
      <c r="T68" s="156"/>
      <c r="U68" s="6"/>
    </row>
    <row r="69" spans="1:21" customFormat="1">
      <c r="A69" s="100" t="s">
        <v>682</v>
      </c>
      <c r="B69" s="100">
        <v>9.83</v>
      </c>
      <c r="C69" s="100">
        <v>49.75</v>
      </c>
      <c r="D69" s="100">
        <v>35.229999999999997</v>
      </c>
      <c r="E69" s="100">
        <v>7.28</v>
      </c>
      <c r="F69" s="100">
        <v>7.47</v>
      </c>
      <c r="G69" s="100">
        <v>36.520000000000003</v>
      </c>
      <c r="H69" s="100">
        <v>21.31</v>
      </c>
      <c r="I69" s="100">
        <v>5.36</v>
      </c>
      <c r="J69" s="100">
        <v>1.1299999999999999</v>
      </c>
      <c r="K69" s="100">
        <v>294.48</v>
      </c>
      <c r="L69" s="100">
        <v>35.29</v>
      </c>
      <c r="M69" s="100">
        <v>35.93</v>
      </c>
      <c r="N69" s="100">
        <v>307.39999999999998</v>
      </c>
      <c r="O69" s="100">
        <v>0</v>
      </c>
      <c r="P69" s="100">
        <v>0.56000000000000005</v>
      </c>
      <c r="Q69" s="100">
        <v>4.6900000000000004</v>
      </c>
      <c r="R69" s="6"/>
      <c r="S69" s="6"/>
      <c r="T69" s="156"/>
      <c r="U69" s="6"/>
    </row>
    <row r="70" spans="1:21" customFormat="1">
      <c r="A70" s="100" t="s">
        <v>683</v>
      </c>
      <c r="B70" s="100">
        <v>9.59</v>
      </c>
      <c r="C70" s="100">
        <v>52.19</v>
      </c>
      <c r="D70" s="100">
        <v>36.31</v>
      </c>
      <c r="E70" s="100">
        <v>7.66</v>
      </c>
      <c r="F70" s="100">
        <v>12.1</v>
      </c>
      <c r="G70" s="100">
        <v>36.83</v>
      </c>
      <c r="H70" s="100">
        <v>20.62</v>
      </c>
      <c r="I70" s="100">
        <v>5.19</v>
      </c>
      <c r="J70" s="100">
        <v>0.6</v>
      </c>
      <c r="K70" s="100">
        <v>321.70999999999998</v>
      </c>
      <c r="L70" s="100">
        <v>35.049999999999997</v>
      </c>
      <c r="M70" s="100">
        <v>36.909999999999997</v>
      </c>
      <c r="N70" s="100">
        <v>239.1</v>
      </c>
      <c r="O70" s="100">
        <v>0</v>
      </c>
      <c r="P70" s="100">
        <v>0.54</v>
      </c>
      <c r="Q70" s="100">
        <v>4.79</v>
      </c>
      <c r="R70" s="6"/>
      <c r="S70" s="6"/>
      <c r="T70" s="156"/>
      <c r="U70" s="6"/>
    </row>
    <row r="71" spans="1:21" customFormat="1">
      <c r="A71" s="100" t="s">
        <v>684</v>
      </c>
      <c r="B71" s="100">
        <v>9.7899999999999991</v>
      </c>
      <c r="C71" s="100">
        <v>49.6</v>
      </c>
      <c r="D71" s="100">
        <v>35.119999999999997</v>
      </c>
      <c r="E71" s="100">
        <v>7.75</v>
      </c>
      <c r="F71" s="100">
        <v>13.75</v>
      </c>
      <c r="G71" s="100">
        <v>37.369999999999997</v>
      </c>
      <c r="H71" s="100">
        <v>19.899999999999999</v>
      </c>
      <c r="I71" s="100">
        <v>5.18</v>
      </c>
      <c r="J71" s="100">
        <v>0.62</v>
      </c>
      <c r="K71" s="100">
        <v>354.71</v>
      </c>
      <c r="L71" s="100">
        <v>34.9</v>
      </c>
      <c r="M71" s="100">
        <v>37.82</v>
      </c>
      <c r="N71" s="100">
        <v>288.89999999999998</v>
      </c>
      <c r="O71" s="100">
        <v>0</v>
      </c>
      <c r="P71" s="100">
        <v>0.52</v>
      </c>
      <c r="Q71" s="100">
        <v>4.76</v>
      </c>
      <c r="R71" s="6"/>
      <c r="S71" s="6"/>
      <c r="T71" s="156"/>
      <c r="U71" s="6"/>
    </row>
    <row r="72" spans="1:21" customFormat="1">
      <c r="A72" s="100" t="s">
        <v>685</v>
      </c>
      <c r="B72" s="100">
        <v>10.02</v>
      </c>
      <c r="C72" s="100">
        <v>46.96</v>
      </c>
      <c r="D72" s="100">
        <v>33.92</v>
      </c>
      <c r="E72" s="100">
        <v>7.64</v>
      </c>
      <c r="F72" s="100">
        <v>16</v>
      </c>
      <c r="G72" s="100">
        <v>37.369999999999997</v>
      </c>
      <c r="H72" s="100">
        <v>19.899999999999999</v>
      </c>
      <c r="I72" s="100">
        <v>4.72</v>
      </c>
      <c r="J72" s="100">
        <v>0.84</v>
      </c>
      <c r="K72" s="100">
        <v>20.71</v>
      </c>
      <c r="L72" s="100">
        <v>34.5</v>
      </c>
      <c r="M72" s="100">
        <v>38.229999999999997</v>
      </c>
      <c r="N72" s="100">
        <v>205.9</v>
      </c>
      <c r="O72" s="100">
        <v>0</v>
      </c>
      <c r="P72" s="100">
        <v>0.51</v>
      </c>
      <c r="Q72" s="100">
        <v>4.68</v>
      </c>
      <c r="R72" s="6"/>
      <c r="S72" s="6"/>
      <c r="T72" s="156"/>
      <c r="U72" s="6"/>
    </row>
    <row r="73" spans="1:21" customFormat="1">
      <c r="A73" s="100" t="s">
        <v>686</v>
      </c>
      <c r="B73" s="100">
        <v>10.81</v>
      </c>
      <c r="C73" s="100">
        <v>46.78</v>
      </c>
      <c r="D73" s="100">
        <v>34.46</v>
      </c>
      <c r="E73" s="100">
        <v>8.2100000000000009</v>
      </c>
      <c r="F73" s="100">
        <v>15.15</v>
      </c>
      <c r="G73" s="100">
        <v>37.369999999999997</v>
      </c>
      <c r="H73" s="100">
        <v>19.899999999999999</v>
      </c>
      <c r="I73" s="100">
        <v>4.4800000000000004</v>
      </c>
      <c r="J73" s="100">
        <v>0.61</v>
      </c>
      <c r="K73" s="100">
        <v>358.58</v>
      </c>
      <c r="L73" s="100">
        <v>34.43</v>
      </c>
      <c r="M73" s="100">
        <v>37.47</v>
      </c>
      <c r="N73" s="100">
        <v>214.2</v>
      </c>
      <c r="O73" s="100">
        <v>0</v>
      </c>
      <c r="P73" s="100">
        <v>0.49</v>
      </c>
      <c r="Q73" s="100">
        <v>4.63</v>
      </c>
      <c r="R73" s="6"/>
      <c r="S73" s="6"/>
      <c r="T73" s="156"/>
      <c r="U73" s="6"/>
    </row>
    <row r="74" spans="1:21" customFormat="1">
      <c r="A74" s="100" t="s">
        <v>687</v>
      </c>
      <c r="B74" s="100">
        <v>10.41</v>
      </c>
      <c r="C74" s="100">
        <v>52.9</v>
      </c>
      <c r="D74" s="100">
        <v>37.340000000000003</v>
      </c>
      <c r="E74" s="100">
        <v>7.94</v>
      </c>
      <c r="F74" s="100">
        <v>8.59</v>
      </c>
      <c r="G74" s="100">
        <v>35.1</v>
      </c>
      <c r="H74" s="100">
        <v>17.66</v>
      </c>
      <c r="I74" s="100">
        <v>4.32</v>
      </c>
      <c r="J74" s="100">
        <v>0.63</v>
      </c>
      <c r="K74" s="100">
        <v>344.07</v>
      </c>
      <c r="L74" s="100">
        <v>34.229999999999997</v>
      </c>
      <c r="M74" s="100">
        <v>37.39</v>
      </c>
      <c r="N74" s="100">
        <v>118</v>
      </c>
      <c r="O74" s="100">
        <v>0</v>
      </c>
      <c r="P74" s="100">
        <v>0.53</v>
      </c>
      <c r="Q74" s="100">
        <v>4.72</v>
      </c>
      <c r="R74" s="6"/>
      <c r="S74" s="6"/>
      <c r="T74" s="156"/>
      <c r="U74" s="6"/>
    </row>
    <row r="75" spans="1:21" customFormat="1">
      <c r="A75" s="100" t="s">
        <v>688</v>
      </c>
      <c r="B75" s="100">
        <v>10.41</v>
      </c>
      <c r="C75" s="100">
        <v>46.84</v>
      </c>
      <c r="D75" s="100">
        <v>34.17</v>
      </c>
      <c r="E75" s="100">
        <v>8.5399999999999991</v>
      </c>
      <c r="F75" s="100">
        <v>21.94</v>
      </c>
      <c r="G75" s="100">
        <v>31.17</v>
      </c>
      <c r="H75" s="100">
        <v>15.35</v>
      </c>
      <c r="I75" s="100">
        <v>4.26</v>
      </c>
      <c r="J75" s="100">
        <v>0.54</v>
      </c>
      <c r="K75" s="100">
        <v>308.17</v>
      </c>
      <c r="L75" s="100">
        <v>34.25</v>
      </c>
      <c r="M75" s="100">
        <v>37.08</v>
      </c>
      <c r="N75" s="100">
        <v>121.3</v>
      </c>
      <c r="O75" s="100">
        <v>0</v>
      </c>
      <c r="P75" s="100">
        <v>0.5</v>
      </c>
      <c r="Q75" s="100">
        <v>4.8899999999999997</v>
      </c>
      <c r="R75" s="6"/>
      <c r="S75" s="6"/>
      <c r="T75" s="156"/>
      <c r="U75" s="6"/>
    </row>
    <row r="76" spans="1:21" customFormat="1">
      <c r="A76" s="100" t="s">
        <v>689</v>
      </c>
      <c r="B76" s="100">
        <v>11.19</v>
      </c>
      <c r="C76" s="100">
        <v>45.78</v>
      </c>
      <c r="D76" s="100">
        <v>34.24</v>
      </c>
      <c r="E76" s="100">
        <v>9.1199999999999992</v>
      </c>
      <c r="F76" s="100">
        <v>16.239999999999998</v>
      </c>
      <c r="G76" s="100">
        <v>31.17</v>
      </c>
      <c r="H76" s="100">
        <v>15.35</v>
      </c>
      <c r="I76" s="100">
        <v>4.4800000000000004</v>
      </c>
      <c r="J76" s="100">
        <v>0.84</v>
      </c>
      <c r="K76" s="100">
        <v>302.5</v>
      </c>
      <c r="L76" s="100">
        <v>34.43</v>
      </c>
      <c r="M76" s="100">
        <v>35.97</v>
      </c>
      <c r="N76" s="100">
        <v>185.4</v>
      </c>
      <c r="O76" s="100">
        <v>0</v>
      </c>
      <c r="P76" s="100">
        <v>0.49</v>
      </c>
      <c r="Q76" s="100">
        <v>4.74</v>
      </c>
      <c r="R76" s="6"/>
      <c r="S76" s="6"/>
      <c r="T76" s="156"/>
      <c r="U76" s="6"/>
    </row>
    <row r="77" spans="1:21" customFormat="1">
      <c r="A77" s="100" t="s">
        <v>690</v>
      </c>
      <c r="B77" s="100">
        <v>11.04</v>
      </c>
      <c r="C77" s="100">
        <v>42.95</v>
      </c>
      <c r="D77" s="100">
        <v>32.64</v>
      </c>
      <c r="E77" s="100">
        <v>9.14</v>
      </c>
      <c r="F77" s="100">
        <v>21.6</v>
      </c>
      <c r="G77" s="100">
        <v>31.17</v>
      </c>
      <c r="H77" s="100">
        <v>15.35</v>
      </c>
      <c r="I77" s="100">
        <v>3.88</v>
      </c>
      <c r="J77" s="100">
        <v>0.5</v>
      </c>
      <c r="K77" s="100">
        <v>349.7</v>
      </c>
      <c r="L77" s="100">
        <v>34.67</v>
      </c>
      <c r="M77" s="100">
        <v>36.22</v>
      </c>
      <c r="N77" s="100">
        <v>141.30000000000001</v>
      </c>
      <c r="O77" s="100">
        <v>0</v>
      </c>
      <c r="P77" s="100">
        <v>0.48</v>
      </c>
      <c r="Q77" s="100">
        <v>4.66</v>
      </c>
      <c r="R77" s="6"/>
      <c r="S77" s="6"/>
      <c r="T77" s="156"/>
      <c r="U77" s="6"/>
    </row>
    <row r="78" spans="1:21" customFormat="1">
      <c r="A78" s="100" t="s">
        <v>691</v>
      </c>
      <c r="B78" s="100">
        <v>11.75</v>
      </c>
      <c r="C78" s="100">
        <v>44.24</v>
      </c>
      <c r="D78" s="100">
        <v>33.89</v>
      </c>
      <c r="E78" s="100">
        <v>9.4</v>
      </c>
      <c r="F78" s="100">
        <v>19.88</v>
      </c>
      <c r="G78" s="100">
        <v>32.67</v>
      </c>
      <c r="H78" s="100">
        <v>16.25</v>
      </c>
      <c r="I78" s="100">
        <v>3.9</v>
      </c>
      <c r="J78" s="100">
        <v>0.66</v>
      </c>
      <c r="K78" s="100">
        <v>303.76</v>
      </c>
      <c r="L78" s="100">
        <v>34.130000000000003</v>
      </c>
      <c r="M78" s="100">
        <v>36.89</v>
      </c>
      <c r="N78" s="100">
        <v>51.5</v>
      </c>
      <c r="O78" s="100">
        <v>0</v>
      </c>
      <c r="P78" s="100">
        <v>0.5</v>
      </c>
      <c r="Q78" s="100">
        <v>4.6500000000000004</v>
      </c>
      <c r="R78" s="6"/>
      <c r="S78" s="6"/>
      <c r="T78" s="156"/>
      <c r="U78" s="6"/>
    </row>
    <row r="79" spans="1:21" customFormat="1">
      <c r="A79" s="100" t="s">
        <v>692</v>
      </c>
      <c r="B79" s="100">
        <v>12.77</v>
      </c>
      <c r="C79" s="100">
        <v>45.08</v>
      </c>
      <c r="D79" s="100">
        <v>35.14</v>
      </c>
      <c r="E79" s="100">
        <v>9.19</v>
      </c>
      <c r="F79" s="100">
        <v>21.13</v>
      </c>
      <c r="G79" s="100">
        <v>35.26</v>
      </c>
      <c r="H79" s="100">
        <v>17.2</v>
      </c>
      <c r="I79" s="100">
        <v>3.74</v>
      </c>
      <c r="J79" s="100">
        <v>0.32</v>
      </c>
      <c r="K79" s="100">
        <v>308.52999999999997</v>
      </c>
      <c r="L79" s="100">
        <v>33.86</v>
      </c>
      <c r="M79" s="100">
        <v>37.020000000000003</v>
      </c>
      <c r="N79" s="100">
        <v>33</v>
      </c>
      <c r="O79" s="100">
        <v>0</v>
      </c>
      <c r="P79" s="100">
        <v>0.48</v>
      </c>
      <c r="Q79" s="100">
        <v>4.62</v>
      </c>
      <c r="R79" s="6"/>
      <c r="S79" s="6"/>
      <c r="T79" s="156"/>
      <c r="U79" s="6"/>
    </row>
    <row r="80" spans="1:21" customFormat="1">
      <c r="A80" s="100" t="s">
        <v>693</v>
      </c>
      <c r="B80" s="100">
        <v>11.4</v>
      </c>
      <c r="C80" s="100">
        <v>41.74</v>
      </c>
      <c r="D80" s="100">
        <v>32.299999999999997</v>
      </c>
      <c r="E80" s="100">
        <v>8.9700000000000006</v>
      </c>
      <c r="F80" s="100">
        <v>24.75</v>
      </c>
      <c r="G80" s="100">
        <v>35.26</v>
      </c>
      <c r="H80" s="100">
        <v>17.2</v>
      </c>
      <c r="I80" s="100">
        <v>3.83</v>
      </c>
      <c r="J80" s="100">
        <v>7.0000000000000007E-2</v>
      </c>
      <c r="K80" s="100">
        <v>357.28</v>
      </c>
      <c r="L80" s="100">
        <v>33.619999999999997</v>
      </c>
      <c r="M80" s="100">
        <v>38.9</v>
      </c>
      <c r="N80" s="100">
        <v>8.6999999999999993</v>
      </c>
      <c r="O80" s="100">
        <v>0</v>
      </c>
      <c r="P80" s="100">
        <v>0.48</v>
      </c>
      <c r="Q80" s="100">
        <v>4.6399999999999997</v>
      </c>
      <c r="R80" s="6"/>
      <c r="S80" s="6"/>
      <c r="T80" s="156"/>
      <c r="U80" s="6"/>
    </row>
    <row r="81" spans="1:21" customFormat="1">
      <c r="A81" s="100" t="s">
        <v>694</v>
      </c>
      <c r="B81" s="100">
        <v>10.86</v>
      </c>
      <c r="C81" s="100">
        <v>41.2</v>
      </c>
      <c r="D81" s="100">
        <v>31.58</v>
      </c>
      <c r="E81" s="100">
        <v>9.33</v>
      </c>
      <c r="F81" s="100">
        <v>21.8</v>
      </c>
      <c r="G81" s="100">
        <v>35.26</v>
      </c>
      <c r="H81" s="100">
        <v>17.2</v>
      </c>
      <c r="I81" s="100">
        <v>3.4</v>
      </c>
      <c r="J81" s="100">
        <v>0.16</v>
      </c>
      <c r="K81" s="100">
        <v>180.21</v>
      </c>
      <c r="L81" s="100">
        <v>32.950000000000003</v>
      </c>
      <c r="M81" s="100">
        <v>43.67</v>
      </c>
      <c r="N81" s="100">
        <v>1.8</v>
      </c>
      <c r="O81" s="100">
        <v>0</v>
      </c>
      <c r="P81" s="100">
        <v>0.47</v>
      </c>
      <c r="Q81" s="100">
        <v>4.66</v>
      </c>
      <c r="R81" s="6"/>
      <c r="S81" s="6"/>
      <c r="T81" s="156"/>
      <c r="U81" s="6"/>
    </row>
    <row r="82" spans="1:21" customFormat="1">
      <c r="A82" s="100" t="s">
        <v>695</v>
      </c>
      <c r="B82" s="100">
        <v>11.41</v>
      </c>
      <c r="C82" s="100">
        <v>43.66</v>
      </c>
      <c r="D82" s="100">
        <v>33.32</v>
      </c>
      <c r="E82" s="100">
        <v>10.28</v>
      </c>
      <c r="F82" s="100">
        <v>22.73</v>
      </c>
      <c r="G82" s="100">
        <v>36.85</v>
      </c>
      <c r="H82" s="100">
        <v>16.38</v>
      </c>
      <c r="I82" s="100">
        <v>3.43</v>
      </c>
      <c r="J82" s="100">
        <v>0.26</v>
      </c>
      <c r="K82" s="100">
        <v>190.21</v>
      </c>
      <c r="L82" s="100">
        <v>32.450000000000003</v>
      </c>
      <c r="M82" s="100">
        <v>45.31</v>
      </c>
      <c r="N82" s="100">
        <v>0</v>
      </c>
      <c r="O82" s="100">
        <v>0</v>
      </c>
      <c r="P82" s="100">
        <v>0.47</v>
      </c>
      <c r="Q82" s="100">
        <v>4.76</v>
      </c>
      <c r="R82" s="6"/>
      <c r="S82" s="6"/>
      <c r="T82" s="156"/>
      <c r="U82" s="6"/>
    </row>
    <row r="83" spans="1:21" customFormat="1">
      <c r="A83" s="100" t="s">
        <v>696</v>
      </c>
      <c r="B83" s="100">
        <v>10.18</v>
      </c>
      <c r="C83" s="100">
        <v>37.47</v>
      </c>
      <c r="D83" s="100">
        <v>29.09</v>
      </c>
      <c r="E83" s="100">
        <v>10.36</v>
      </c>
      <c r="F83" s="100">
        <v>29.81</v>
      </c>
      <c r="G83" s="100">
        <v>39.590000000000003</v>
      </c>
      <c r="H83" s="100">
        <v>14.97</v>
      </c>
      <c r="I83" s="100">
        <v>3.52</v>
      </c>
      <c r="J83" s="100">
        <v>0.23</v>
      </c>
      <c r="K83" s="100">
        <v>204.49</v>
      </c>
      <c r="L83" s="100">
        <v>32.049999999999997</v>
      </c>
      <c r="M83" s="100">
        <v>47.08</v>
      </c>
      <c r="N83" s="100">
        <v>0</v>
      </c>
      <c r="O83" s="100">
        <v>0</v>
      </c>
      <c r="P83" s="100">
        <v>0.43</v>
      </c>
      <c r="Q83" s="100">
        <v>4.83</v>
      </c>
      <c r="R83" s="6"/>
      <c r="S83" s="6"/>
      <c r="T83" s="156"/>
      <c r="U83" s="6"/>
    </row>
    <row r="84" spans="1:21" customFormat="1">
      <c r="A84" s="100" t="s">
        <v>697</v>
      </c>
      <c r="B84" s="100">
        <v>10.17</v>
      </c>
      <c r="C84" s="100">
        <v>35.08</v>
      </c>
      <c r="D84" s="100">
        <v>27.84</v>
      </c>
      <c r="E84" s="100">
        <v>10.56</v>
      </c>
      <c r="F84" s="100">
        <v>26.92</v>
      </c>
      <c r="G84" s="100">
        <v>39.590000000000003</v>
      </c>
      <c r="H84" s="100">
        <v>14.97</v>
      </c>
      <c r="I84" s="100">
        <v>3.45</v>
      </c>
      <c r="J84" s="100">
        <v>0.17</v>
      </c>
      <c r="K84" s="100">
        <v>216.91</v>
      </c>
      <c r="L84" s="100">
        <v>31.58</v>
      </c>
      <c r="M84" s="100">
        <v>48.13</v>
      </c>
      <c r="N84" s="100">
        <v>0</v>
      </c>
      <c r="O84" s="100">
        <v>0</v>
      </c>
      <c r="P84" s="100">
        <v>0.42</v>
      </c>
      <c r="Q84" s="100">
        <v>4.68</v>
      </c>
      <c r="R84" s="6"/>
      <c r="S84" s="6"/>
      <c r="T84" s="156"/>
      <c r="U84" s="6"/>
    </row>
    <row r="85" spans="1:21" customFormat="1">
      <c r="A85" s="100" t="s">
        <v>698</v>
      </c>
      <c r="B85" s="100">
        <v>12.32</v>
      </c>
      <c r="C85" s="100">
        <v>45.29</v>
      </c>
      <c r="D85" s="100">
        <v>34.9</v>
      </c>
      <c r="E85" s="100">
        <v>10.220000000000001</v>
      </c>
      <c r="F85" s="100">
        <v>12.95</v>
      </c>
      <c r="G85" s="100">
        <v>39.590000000000003</v>
      </c>
      <c r="H85" s="100">
        <v>14.97</v>
      </c>
      <c r="I85" s="100">
        <v>3.23</v>
      </c>
      <c r="J85" s="100">
        <v>0.18</v>
      </c>
      <c r="K85" s="100">
        <v>211.17</v>
      </c>
      <c r="L85" s="100">
        <v>31.22</v>
      </c>
      <c r="M85" s="100">
        <v>49.38</v>
      </c>
      <c r="N85" s="100">
        <v>0</v>
      </c>
      <c r="O85" s="100">
        <v>0</v>
      </c>
      <c r="P85" s="100">
        <v>0.48</v>
      </c>
      <c r="Q85" s="100">
        <v>4.66</v>
      </c>
      <c r="R85" s="6"/>
      <c r="S85" s="6"/>
      <c r="T85" s="156"/>
      <c r="U85" s="6"/>
    </row>
    <row r="86" spans="1:21" customFormat="1">
      <c r="A86" s="100" t="s">
        <v>699</v>
      </c>
      <c r="B86" s="100">
        <v>11.04</v>
      </c>
      <c r="C86" s="100">
        <v>41.5</v>
      </c>
      <c r="D86" s="100">
        <v>31.89</v>
      </c>
      <c r="E86" s="100">
        <v>10.28</v>
      </c>
      <c r="F86" s="100">
        <v>24.48</v>
      </c>
      <c r="G86" s="100">
        <v>36.92</v>
      </c>
      <c r="H86" s="100">
        <v>13.49</v>
      </c>
      <c r="I86" s="100">
        <v>3.31</v>
      </c>
      <c r="J86" s="100">
        <v>0.2</v>
      </c>
      <c r="K86" s="100">
        <v>161.09</v>
      </c>
      <c r="L86" s="100">
        <v>30.85</v>
      </c>
      <c r="M86" s="100">
        <v>50.83</v>
      </c>
      <c r="N86" s="100">
        <v>0</v>
      </c>
      <c r="O86" s="100">
        <v>0</v>
      </c>
      <c r="P86" s="100">
        <v>0.47</v>
      </c>
      <c r="Q86" s="100">
        <v>4.83</v>
      </c>
      <c r="R86" s="6"/>
      <c r="S86" s="6"/>
      <c r="T86" s="156"/>
      <c r="U86" s="6"/>
    </row>
    <row r="87" spans="1:21" customFormat="1">
      <c r="A87" s="100" t="s">
        <v>700</v>
      </c>
      <c r="B87" s="100">
        <v>10.77</v>
      </c>
      <c r="C87" s="100">
        <v>37.020000000000003</v>
      </c>
      <c r="D87" s="100">
        <v>29.33</v>
      </c>
      <c r="E87" s="100">
        <v>10.69</v>
      </c>
      <c r="F87" s="100">
        <v>22.95</v>
      </c>
      <c r="G87" s="100">
        <v>32.32</v>
      </c>
      <c r="H87" s="100">
        <v>11.64</v>
      </c>
      <c r="I87" s="100">
        <v>3.94</v>
      </c>
      <c r="J87" s="100">
        <v>0.15</v>
      </c>
      <c r="K87" s="100">
        <v>151.27000000000001</v>
      </c>
      <c r="L87" s="100">
        <v>30.31</v>
      </c>
      <c r="M87" s="100">
        <v>55.37</v>
      </c>
      <c r="N87" s="100">
        <v>0</v>
      </c>
      <c r="O87" s="100">
        <v>0</v>
      </c>
      <c r="P87" s="100">
        <v>0.45</v>
      </c>
      <c r="Q87" s="100">
        <v>4.7300000000000004</v>
      </c>
      <c r="R87" s="6"/>
      <c r="S87" s="6"/>
      <c r="T87" s="156"/>
      <c r="U87" s="6"/>
    </row>
    <row r="88" spans="1:21" customFormat="1">
      <c r="A88" s="100" t="s">
        <v>701</v>
      </c>
      <c r="B88" s="100">
        <v>11.97</v>
      </c>
      <c r="C88" s="100">
        <v>39.01</v>
      </c>
      <c r="D88" s="100">
        <v>31.33</v>
      </c>
      <c r="E88" s="100">
        <v>9.99</v>
      </c>
      <c r="F88" s="100">
        <v>16.82</v>
      </c>
      <c r="G88" s="100">
        <v>32.32</v>
      </c>
      <c r="H88" s="100">
        <v>11.64</v>
      </c>
      <c r="I88" s="100">
        <v>3.57</v>
      </c>
      <c r="J88" s="100">
        <v>0.1</v>
      </c>
      <c r="K88" s="100">
        <v>179.91</v>
      </c>
      <c r="L88" s="100">
        <v>29.93</v>
      </c>
      <c r="M88" s="100">
        <v>55.24</v>
      </c>
      <c r="N88" s="100">
        <v>0</v>
      </c>
      <c r="O88" s="100">
        <v>0</v>
      </c>
      <c r="P88" s="100">
        <v>0.44</v>
      </c>
      <c r="Q88" s="100">
        <v>4.6500000000000004</v>
      </c>
      <c r="R88" s="6"/>
      <c r="S88" s="6"/>
      <c r="T88" s="156"/>
      <c r="U88" s="6"/>
    </row>
    <row r="89" spans="1:21" customFormat="1">
      <c r="A89" s="100" t="s">
        <v>702</v>
      </c>
      <c r="B89" s="100">
        <v>12.86</v>
      </c>
      <c r="C89" s="100">
        <v>45.15</v>
      </c>
      <c r="D89" s="100">
        <v>35.26</v>
      </c>
      <c r="E89" s="100">
        <v>10.65</v>
      </c>
      <c r="F89" s="100">
        <v>16.260000000000002</v>
      </c>
      <c r="G89" s="100">
        <v>32.32</v>
      </c>
      <c r="H89" s="100">
        <v>11.64</v>
      </c>
      <c r="I89" s="100">
        <v>3.6</v>
      </c>
      <c r="J89" s="100">
        <v>0.14000000000000001</v>
      </c>
      <c r="K89" s="100">
        <v>170.99</v>
      </c>
      <c r="L89" s="100">
        <v>29.94</v>
      </c>
      <c r="M89" s="100">
        <v>54.67</v>
      </c>
      <c r="N89" s="100">
        <v>0</v>
      </c>
      <c r="O89" s="100">
        <v>0</v>
      </c>
      <c r="P89" s="100">
        <v>0.49</v>
      </c>
      <c r="Q89" s="100">
        <v>4.78</v>
      </c>
      <c r="R89" s="6"/>
      <c r="S89" s="6"/>
      <c r="T89" s="156"/>
      <c r="U89" s="6"/>
    </row>
    <row r="90" spans="1:21" customFormat="1">
      <c r="A90" s="100" t="s">
        <v>703</v>
      </c>
      <c r="B90" s="100">
        <v>12.03</v>
      </c>
      <c r="C90" s="100">
        <v>39.5</v>
      </c>
      <c r="D90" s="100">
        <v>31.64</v>
      </c>
      <c r="E90" s="100">
        <v>10.6</v>
      </c>
      <c r="F90" s="100">
        <v>19.850000000000001</v>
      </c>
      <c r="G90" s="100">
        <v>32.200000000000003</v>
      </c>
      <c r="H90" s="100">
        <v>13.36</v>
      </c>
      <c r="I90" s="100">
        <v>3.91</v>
      </c>
      <c r="J90" s="100">
        <v>0.15</v>
      </c>
      <c r="K90" s="100">
        <v>155.62</v>
      </c>
      <c r="L90" s="100">
        <v>29.55</v>
      </c>
      <c r="M90" s="100">
        <v>59.88</v>
      </c>
      <c r="N90" s="100">
        <v>0</v>
      </c>
      <c r="O90" s="100">
        <v>0</v>
      </c>
      <c r="P90" s="100">
        <v>0.47</v>
      </c>
      <c r="Q90" s="100">
        <v>4.84</v>
      </c>
      <c r="R90" s="6"/>
      <c r="S90" s="6"/>
      <c r="T90" s="156"/>
      <c r="U90" s="6"/>
    </row>
    <row r="91" spans="1:21" customFormat="1">
      <c r="A91" s="100" t="s">
        <v>704</v>
      </c>
      <c r="B91" s="100">
        <v>13</v>
      </c>
      <c r="C91" s="100">
        <v>39.409999999999997</v>
      </c>
      <c r="D91" s="100">
        <v>32.36</v>
      </c>
      <c r="E91" s="100">
        <v>10.51</v>
      </c>
      <c r="F91" s="100">
        <v>15.1</v>
      </c>
      <c r="G91" s="100">
        <v>31.98</v>
      </c>
      <c r="H91" s="100">
        <v>15.13</v>
      </c>
      <c r="I91" s="100">
        <v>3.98</v>
      </c>
      <c r="J91" s="100">
        <v>0.27</v>
      </c>
      <c r="K91" s="100">
        <v>175.15</v>
      </c>
      <c r="L91" s="100">
        <v>29.34</v>
      </c>
      <c r="M91" s="100">
        <v>59.91</v>
      </c>
      <c r="N91" s="100">
        <v>0</v>
      </c>
      <c r="O91" s="100">
        <v>0</v>
      </c>
      <c r="P91" s="100">
        <v>0.45</v>
      </c>
      <c r="Q91" s="100">
        <v>4.72</v>
      </c>
      <c r="R91" s="6"/>
      <c r="S91" s="6"/>
      <c r="T91" s="156"/>
      <c r="U91" s="6"/>
    </row>
    <row r="92" spans="1:21" customFormat="1">
      <c r="A92" s="100" t="s">
        <v>705</v>
      </c>
      <c r="B92" s="100">
        <v>14.9</v>
      </c>
      <c r="C92" s="100">
        <v>47.95</v>
      </c>
      <c r="D92" s="100">
        <v>38.35</v>
      </c>
      <c r="E92" s="100">
        <v>10.49</v>
      </c>
      <c r="F92" s="100">
        <v>8.86</v>
      </c>
      <c r="G92" s="100">
        <v>31.98</v>
      </c>
      <c r="H92" s="100">
        <v>15.13</v>
      </c>
      <c r="I92" s="100">
        <v>3.75</v>
      </c>
      <c r="J92" s="100">
        <v>0.19</v>
      </c>
      <c r="K92" s="100">
        <v>173.28</v>
      </c>
      <c r="L92" s="100">
        <v>29.22</v>
      </c>
      <c r="M92" s="100">
        <v>62.31</v>
      </c>
      <c r="N92" s="100">
        <v>0</v>
      </c>
      <c r="O92" s="100">
        <v>0</v>
      </c>
      <c r="P92" s="100">
        <v>0.5</v>
      </c>
      <c r="Q92" s="100">
        <v>4.84</v>
      </c>
      <c r="R92" s="6"/>
      <c r="S92" s="6"/>
      <c r="T92" s="156"/>
      <c r="U92" s="6"/>
    </row>
    <row r="93" spans="1:21" customFormat="1">
      <c r="A93" s="100" t="s">
        <v>706</v>
      </c>
      <c r="B93" s="100">
        <v>13.65</v>
      </c>
      <c r="C93" s="100">
        <v>41.68</v>
      </c>
      <c r="D93" s="100">
        <v>34.07</v>
      </c>
      <c r="E93" s="100">
        <v>10.31</v>
      </c>
      <c r="F93" s="100">
        <v>16.02</v>
      </c>
      <c r="G93" s="100">
        <v>31.98</v>
      </c>
      <c r="H93" s="100">
        <v>15.13</v>
      </c>
      <c r="I93" s="100">
        <v>3.99</v>
      </c>
      <c r="J93" s="100">
        <v>0.24</v>
      </c>
      <c r="K93" s="100">
        <v>176.46</v>
      </c>
      <c r="L93" s="100">
        <v>29.1</v>
      </c>
      <c r="M93" s="100">
        <v>60.75</v>
      </c>
      <c r="N93" s="100">
        <v>0</v>
      </c>
      <c r="O93" s="100">
        <v>0</v>
      </c>
      <c r="P93" s="100">
        <v>0.47</v>
      </c>
      <c r="Q93" s="100">
        <v>4.95</v>
      </c>
      <c r="R93" s="6"/>
      <c r="S93" s="6"/>
      <c r="T93" s="156"/>
      <c r="U93" s="6"/>
    </row>
    <row r="94" spans="1:21" customFormat="1">
      <c r="A94" s="100" t="s">
        <v>707</v>
      </c>
      <c r="B94" s="100">
        <v>15.29</v>
      </c>
      <c r="C94" s="100">
        <v>45.87</v>
      </c>
      <c r="D94" s="100">
        <v>37.57</v>
      </c>
      <c r="E94" s="100">
        <v>10.77</v>
      </c>
      <c r="F94" s="100">
        <v>9.36</v>
      </c>
      <c r="G94" s="100">
        <v>32.76</v>
      </c>
      <c r="H94" s="100">
        <v>15.31</v>
      </c>
      <c r="I94" s="100">
        <v>4.12</v>
      </c>
      <c r="J94" s="100">
        <v>0.25</v>
      </c>
      <c r="K94" s="100">
        <v>191.3</v>
      </c>
      <c r="L94" s="100">
        <v>29.38</v>
      </c>
      <c r="M94" s="100">
        <v>58.19</v>
      </c>
      <c r="N94" s="100">
        <v>0</v>
      </c>
      <c r="O94" s="100">
        <v>0</v>
      </c>
      <c r="P94" s="100">
        <v>0.47</v>
      </c>
      <c r="Q94" s="100">
        <v>4.8499999999999996</v>
      </c>
      <c r="R94" s="6"/>
      <c r="S94" s="6"/>
      <c r="T94" s="156"/>
      <c r="U94" s="6"/>
    </row>
    <row r="95" spans="1:21" customFormat="1">
      <c r="A95" s="100" t="s">
        <v>708</v>
      </c>
      <c r="B95" s="100">
        <v>16.21</v>
      </c>
      <c r="C95" s="100">
        <v>51.07</v>
      </c>
      <c r="D95" s="100">
        <v>41.04</v>
      </c>
      <c r="E95" s="100">
        <v>10.64</v>
      </c>
      <c r="F95" s="100">
        <v>6.63</v>
      </c>
      <c r="G95" s="100">
        <v>34.1</v>
      </c>
      <c r="H95" s="100">
        <v>15.49</v>
      </c>
      <c r="I95" s="100">
        <v>3.85</v>
      </c>
      <c r="J95" s="100">
        <v>0.35</v>
      </c>
      <c r="K95" s="100">
        <v>213.36</v>
      </c>
      <c r="L95" s="100">
        <v>29.38</v>
      </c>
      <c r="M95" s="100">
        <v>58.75</v>
      </c>
      <c r="N95" s="100">
        <v>0</v>
      </c>
      <c r="O95" s="100">
        <v>0</v>
      </c>
      <c r="P95" s="100">
        <v>0.5</v>
      </c>
      <c r="Q95" s="100">
        <v>4.96</v>
      </c>
      <c r="R95" s="6"/>
      <c r="S95" s="6"/>
      <c r="T95" s="156"/>
      <c r="U95" s="6"/>
    </row>
    <row r="96" spans="1:21" customFormat="1">
      <c r="A96" s="100" t="s">
        <v>709</v>
      </c>
      <c r="B96" s="100">
        <v>16.440000000000001</v>
      </c>
      <c r="C96" s="100">
        <v>52.67</v>
      </c>
      <c r="D96" s="100">
        <v>42.05</v>
      </c>
      <c r="E96" s="100">
        <v>10.42</v>
      </c>
      <c r="F96" s="100">
        <v>5.97</v>
      </c>
      <c r="G96" s="100">
        <v>34.1</v>
      </c>
      <c r="H96" s="100">
        <v>15.49</v>
      </c>
      <c r="I96" s="100">
        <v>4.2</v>
      </c>
      <c r="J96" s="100">
        <v>0.28999999999999998</v>
      </c>
      <c r="K96" s="100">
        <v>217.97</v>
      </c>
      <c r="L96" s="100">
        <v>29.08</v>
      </c>
      <c r="M96" s="100">
        <v>60.48</v>
      </c>
      <c r="N96" s="100">
        <v>0</v>
      </c>
      <c r="O96" s="100">
        <v>0</v>
      </c>
      <c r="P96" s="100">
        <v>0.5</v>
      </c>
      <c r="Q96" s="100">
        <v>5.08</v>
      </c>
      <c r="R96" s="6"/>
      <c r="S96" s="6"/>
      <c r="T96" s="156"/>
      <c r="U96" s="6"/>
    </row>
    <row r="97" spans="1:28" customFormat="1">
      <c r="A97" s="100" t="s">
        <v>710</v>
      </c>
      <c r="B97" s="100">
        <v>16.48</v>
      </c>
      <c r="C97" s="100">
        <v>53.04</v>
      </c>
      <c r="D97" s="100">
        <v>42.27</v>
      </c>
      <c r="E97" s="100">
        <v>9.84</v>
      </c>
      <c r="F97" s="100">
        <v>5.01</v>
      </c>
      <c r="G97" s="100">
        <v>34.1</v>
      </c>
      <c r="H97" s="100">
        <v>15.49</v>
      </c>
      <c r="I97" s="100">
        <v>4.3099999999999996</v>
      </c>
      <c r="J97" s="100">
        <v>0.33</v>
      </c>
      <c r="K97" s="100">
        <v>218.92</v>
      </c>
      <c r="L97" s="100">
        <v>28.83</v>
      </c>
      <c r="M97" s="100">
        <v>63</v>
      </c>
      <c r="N97" s="100">
        <v>0</v>
      </c>
      <c r="O97" s="100">
        <v>0</v>
      </c>
      <c r="P97" s="100">
        <v>0.5</v>
      </c>
      <c r="Q97" s="100">
        <v>5.12</v>
      </c>
      <c r="R97" s="6"/>
      <c r="S97" s="6"/>
      <c r="T97" s="156"/>
      <c r="U97" s="6"/>
    </row>
    <row r="98" spans="1:28" customFormat="1">
      <c r="A98" s="100" t="s">
        <v>711</v>
      </c>
      <c r="B98" s="100">
        <v>16.149999999999999</v>
      </c>
      <c r="C98" s="100">
        <v>52.58</v>
      </c>
      <c r="D98" s="100">
        <v>41.77</v>
      </c>
      <c r="E98" s="100">
        <v>9.43</v>
      </c>
      <c r="F98" s="100">
        <v>5.43</v>
      </c>
      <c r="G98" s="100">
        <v>34.78</v>
      </c>
      <c r="H98" s="100">
        <v>15.28</v>
      </c>
      <c r="I98" s="100">
        <v>4.34</v>
      </c>
      <c r="J98" s="100">
        <v>0.25</v>
      </c>
      <c r="K98" s="100">
        <v>223.63</v>
      </c>
      <c r="L98" s="100">
        <v>28.59</v>
      </c>
      <c r="M98" s="100">
        <v>64.86</v>
      </c>
      <c r="N98" s="100">
        <v>0</v>
      </c>
      <c r="O98" s="100">
        <v>0</v>
      </c>
      <c r="P98" s="100">
        <v>0.5</v>
      </c>
      <c r="Q98" s="100">
        <v>5.15</v>
      </c>
      <c r="R98" s="6"/>
      <c r="S98" s="6"/>
      <c r="T98" s="156"/>
      <c r="U98" s="6"/>
    </row>
    <row r="99" spans="1:28" customFormat="1">
      <c r="A99" s="100" t="s">
        <v>712</v>
      </c>
      <c r="B99" s="100">
        <v>16.579999999999998</v>
      </c>
      <c r="C99" s="100">
        <v>53.19</v>
      </c>
      <c r="D99" s="100">
        <v>42.43</v>
      </c>
      <c r="E99" s="100">
        <v>9.74</v>
      </c>
      <c r="F99" s="100">
        <v>4.83</v>
      </c>
      <c r="G99" s="100">
        <v>35.97</v>
      </c>
      <c r="H99" s="100">
        <v>15.07</v>
      </c>
      <c r="I99" s="100">
        <v>4.3600000000000003</v>
      </c>
      <c r="J99" s="100">
        <v>0.26</v>
      </c>
      <c r="K99" s="100">
        <v>215.62</v>
      </c>
      <c r="L99" s="100">
        <v>28.4</v>
      </c>
      <c r="M99" s="100">
        <v>66.19</v>
      </c>
      <c r="N99" s="100">
        <v>0</v>
      </c>
      <c r="O99" s="100">
        <v>0</v>
      </c>
      <c r="P99" s="100">
        <v>0.51</v>
      </c>
      <c r="Q99" s="100">
        <v>5.15</v>
      </c>
      <c r="R99" s="6"/>
      <c r="S99" s="6"/>
      <c r="T99" s="156"/>
      <c r="U99" s="6"/>
    </row>
    <row r="100" spans="1:28" customFormat="1">
      <c r="A100" s="100" t="s">
        <v>713</v>
      </c>
      <c r="B100" s="100">
        <v>16.77</v>
      </c>
      <c r="C100" s="100">
        <v>53.2</v>
      </c>
      <c r="D100" s="100">
        <v>42.6</v>
      </c>
      <c r="E100" s="100">
        <v>9.57</v>
      </c>
      <c r="F100" s="100">
        <v>4.32</v>
      </c>
      <c r="G100" s="100">
        <v>35.97</v>
      </c>
      <c r="H100" s="100">
        <v>15.07</v>
      </c>
      <c r="I100" s="100">
        <v>4.24</v>
      </c>
      <c r="J100" s="100">
        <v>0.3</v>
      </c>
      <c r="K100" s="100">
        <v>207.08</v>
      </c>
      <c r="L100" s="100">
        <v>28.12</v>
      </c>
      <c r="M100" s="100">
        <v>68.290000000000006</v>
      </c>
      <c r="N100" s="100">
        <v>0</v>
      </c>
      <c r="O100" s="100">
        <v>0</v>
      </c>
      <c r="P100" s="100">
        <v>0.51</v>
      </c>
      <c r="Q100" s="100">
        <v>5.18</v>
      </c>
      <c r="R100" s="6"/>
      <c r="S100" s="6"/>
      <c r="T100" s="156"/>
      <c r="U100" s="6"/>
      <c r="AB100" s="161"/>
    </row>
    <row r="101" spans="1:28" customFormat="1">
      <c r="A101" s="100" t="s">
        <v>714</v>
      </c>
      <c r="B101" s="100">
        <v>16.87</v>
      </c>
      <c r="C101" s="100">
        <v>53.18</v>
      </c>
      <c r="D101" s="100">
        <v>42.66</v>
      </c>
      <c r="E101" s="100">
        <v>9.43</v>
      </c>
      <c r="F101" s="100">
        <v>4.2300000000000004</v>
      </c>
      <c r="G101" s="100">
        <v>35.97</v>
      </c>
      <c r="H101" s="100">
        <v>15.07</v>
      </c>
      <c r="I101" s="100">
        <v>4.29</v>
      </c>
      <c r="J101" s="100">
        <v>0.4</v>
      </c>
      <c r="K101" s="100">
        <v>215.84</v>
      </c>
      <c r="L101" s="100">
        <v>27.81</v>
      </c>
      <c r="M101" s="100">
        <v>69.91</v>
      </c>
      <c r="N101" s="100">
        <v>0</v>
      </c>
      <c r="O101" s="100">
        <v>0</v>
      </c>
      <c r="P101" s="100">
        <v>0.5</v>
      </c>
      <c r="Q101" s="100">
        <v>5.2</v>
      </c>
      <c r="R101" s="6"/>
      <c r="S101" s="6"/>
      <c r="T101" s="156"/>
      <c r="U101" s="6"/>
    </row>
    <row r="102" spans="1:28" customFormat="1">
      <c r="A102" s="100" t="s">
        <v>715</v>
      </c>
      <c r="B102" s="100">
        <v>16.93</v>
      </c>
      <c r="C102" s="100">
        <v>52.77</v>
      </c>
      <c r="D102" s="100">
        <v>42.49</v>
      </c>
      <c r="E102" s="100">
        <v>9.2200000000000006</v>
      </c>
      <c r="F102" s="100">
        <v>4.37</v>
      </c>
      <c r="G102" s="100">
        <v>34.96</v>
      </c>
      <c r="H102" s="100">
        <v>14.71</v>
      </c>
      <c r="I102" s="100">
        <v>4.2300000000000004</v>
      </c>
      <c r="J102" s="100">
        <v>0.41</v>
      </c>
      <c r="K102" s="100">
        <v>225.04</v>
      </c>
      <c r="L102" s="100">
        <v>27.66</v>
      </c>
      <c r="M102" s="100">
        <v>70.53</v>
      </c>
      <c r="N102" s="100">
        <v>0</v>
      </c>
      <c r="O102" s="100">
        <v>0</v>
      </c>
      <c r="P102" s="100">
        <v>0.49</v>
      </c>
      <c r="Q102" s="100">
        <v>5.2</v>
      </c>
      <c r="R102" s="6"/>
      <c r="S102" s="6"/>
      <c r="T102" s="156"/>
      <c r="U102" s="6"/>
    </row>
    <row r="103" spans="1:28" customFormat="1">
      <c r="A103" s="100" t="s">
        <v>716</v>
      </c>
      <c r="B103" s="100">
        <v>17.149999999999999</v>
      </c>
      <c r="C103" s="100">
        <v>53.44</v>
      </c>
      <c r="D103" s="100">
        <v>43.02</v>
      </c>
      <c r="E103" s="100">
        <v>8.98</v>
      </c>
      <c r="F103" s="100">
        <v>4.1100000000000003</v>
      </c>
      <c r="G103" s="100">
        <v>33.22</v>
      </c>
      <c r="H103" s="100">
        <v>14.34</v>
      </c>
      <c r="I103" s="100">
        <v>4.18</v>
      </c>
      <c r="J103" s="100">
        <v>0.36</v>
      </c>
      <c r="K103" s="100">
        <v>216.38</v>
      </c>
      <c r="L103" s="100">
        <v>27.47</v>
      </c>
      <c r="M103" s="100">
        <v>71.02</v>
      </c>
      <c r="N103" s="100">
        <v>0</v>
      </c>
      <c r="O103" s="100">
        <v>0</v>
      </c>
      <c r="P103" s="100">
        <v>0.5</v>
      </c>
      <c r="Q103" s="100">
        <v>5.23</v>
      </c>
      <c r="R103" s="6"/>
      <c r="S103" s="6"/>
      <c r="T103" s="156"/>
      <c r="U103" s="6"/>
    </row>
    <row r="104" spans="1:28" customFormat="1">
      <c r="A104" s="100" t="s">
        <v>717</v>
      </c>
      <c r="B104" s="100">
        <v>17.28</v>
      </c>
      <c r="C104" s="100">
        <v>53.34</v>
      </c>
      <c r="D104" s="100">
        <v>43.08</v>
      </c>
      <c r="E104" s="100">
        <v>9.34</v>
      </c>
      <c r="F104" s="100">
        <v>4.08</v>
      </c>
      <c r="G104" s="100">
        <v>33.22</v>
      </c>
      <c r="H104" s="100">
        <v>14.34</v>
      </c>
      <c r="I104" s="100">
        <v>4.13</v>
      </c>
      <c r="J104" s="100">
        <v>0.34</v>
      </c>
      <c r="K104" s="100">
        <v>206.15</v>
      </c>
      <c r="L104" s="100">
        <v>27.31</v>
      </c>
      <c r="M104" s="100">
        <v>71.94</v>
      </c>
      <c r="N104" s="100">
        <v>0</v>
      </c>
      <c r="O104" s="100">
        <v>0</v>
      </c>
      <c r="P104" s="100">
        <v>0.49</v>
      </c>
      <c r="Q104" s="100">
        <v>5.23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9.59</v>
      </c>
      <c r="C106" s="158">
        <f>MIN(C9:C104)</f>
        <v>35.08</v>
      </c>
      <c r="D106" s="158">
        <f t="shared" ref="D106:Q106" si="0">MIN(D9:D104)</f>
        <v>27.84</v>
      </c>
      <c r="E106" s="158">
        <f t="shared" si="0"/>
        <v>6.99</v>
      </c>
      <c r="F106" s="158">
        <f t="shared" si="0"/>
        <v>3.43</v>
      </c>
      <c r="G106" s="158">
        <f t="shared" si="0"/>
        <v>31.17</v>
      </c>
      <c r="H106" s="158">
        <f t="shared" si="0"/>
        <v>11.64</v>
      </c>
      <c r="I106" s="158">
        <f t="shared" si="0"/>
        <v>3.23</v>
      </c>
      <c r="J106" s="158">
        <f t="shared" si="0"/>
        <v>0.04</v>
      </c>
      <c r="K106" s="158">
        <f t="shared" si="0"/>
        <v>3.34</v>
      </c>
      <c r="L106" s="158">
        <f t="shared" si="0"/>
        <v>24.2</v>
      </c>
      <c r="M106" s="158">
        <f t="shared" si="0"/>
        <v>35.619999999999997</v>
      </c>
      <c r="N106" s="158">
        <f t="shared" si="0"/>
        <v>0</v>
      </c>
      <c r="O106" s="158">
        <f t="shared" si="0"/>
        <v>0</v>
      </c>
      <c r="P106" s="158">
        <f t="shared" si="0"/>
        <v>0.42</v>
      </c>
      <c r="Q106" s="158">
        <f t="shared" si="0"/>
        <v>4.62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50.44</v>
      </c>
      <c r="C107" s="157">
        <f t="shared" ref="C107:Q107" si="1">MAX(C9:C104)</f>
        <v>56.71</v>
      </c>
      <c r="D107" s="157">
        <f t="shared" si="1"/>
        <v>70.010000000000005</v>
      </c>
      <c r="E107" s="157">
        <f t="shared" si="1"/>
        <v>29.52</v>
      </c>
      <c r="F107" s="157">
        <f t="shared" si="1"/>
        <v>29.81</v>
      </c>
      <c r="G107" s="157">
        <f t="shared" si="1"/>
        <v>114.63</v>
      </c>
      <c r="H107" s="157">
        <f t="shared" si="1"/>
        <v>43.94</v>
      </c>
      <c r="I107" s="157">
        <f t="shared" si="1"/>
        <v>9.82</v>
      </c>
      <c r="J107" s="157">
        <f t="shared" si="1"/>
        <v>1.41</v>
      </c>
      <c r="K107" s="157">
        <f t="shared" si="1"/>
        <v>358.58</v>
      </c>
      <c r="L107" s="157">
        <f t="shared" si="1"/>
        <v>35.96</v>
      </c>
      <c r="M107" s="157">
        <f t="shared" si="1"/>
        <v>85.3</v>
      </c>
      <c r="N107" s="157">
        <f t="shared" si="1"/>
        <v>927.6</v>
      </c>
      <c r="O107" s="157">
        <f t="shared" si="1"/>
        <v>0</v>
      </c>
      <c r="P107" s="157">
        <f t="shared" si="1"/>
        <v>0.84</v>
      </c>
      <c r="Q107" s="157">
        <f t="shared" si="1"/>
        <v>7.36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25.726770833333333</v>
      </c>
      <c r="C108" s="158">
        <f t="shared" ref="C108:Q108" si="2">AVERAGE(C9:C104)</f>
        <v>49.748333333333335</v>
      </c>
      <c r="D108" s="158">
        <f t="shared" si="2"/>
        <v>47.973645833333357</v>
      </c>
      <c r="E108" s="158">
        <f t="shared" si="2"/>
        <v>10.2790625</v>
      </c>
      <c r="F108" s="158">
        <f t="shared" si="2"/>
        <v>9.4816666666666709</v>
      </c>
      <c r="G108" s="158">
        <f t="shared" si="2"/>
        <v>59.864583333333371</v>
      </c>
      <c r="H108" s="158">
        <f t="shared" si="2"/>
        <v>24.195833333333336</v>
      </c>
      <c r="I108" s="158">
        <f t="shared" si="2"/>
        <v>6.7039583333333352</v>
      </c>
      <c r="J108" s="158">
        <f t="shared" si="2"/>
        <v>0.45770833333333316</v>
      </c>
      <c r="K108" s="158">
        <f t="shared" si="2"/>
        <v>205.91270833333337</v>
      </c>
      <c r="L108" s="158">
        <f t="shared" si="2"/>
        <v>30.050833333333319</v>
      </c>
      <c r="M108" s="158">
        <f t="shared" si="2"/>
        <v>57.05739583333331</v>
      </c>
      <c r="N108" s="158">
        <f t="shared" si="2"/>
        <v>177.29895833333333</v>
      </c>
      <c r="O108" s="158">
        <f t="shared" si="2"/>
        <v>0</v>
      </c>
      <c r="P108" s="158">
        <f t="shared" si="2"/>
        <v>0.64395833333333341</v>
      </c>
      <c r="Q108" s="158">
        <f t="shared" si="2"/>
        <v>5.7502083333333331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13.696865219134642</v>
      </c>
      <c r="C109" s="158">
        <f t="shared" ref="C109:Q109" si="3">STDEV(C9:C104)</f>
        <v>4.8031241295128702</v>
      </c>
      <c r="D109" s="158">
        <f t="shared" si="3"/>
        <v>12.224778643548918</v>
      </c>
      <c r="E109" s="158">
        <f t="shared" si="3"/>
        <v>4.0543538853474068</v>
      </c>
      <c r="F109" s="158">
        <f t="shared" si="3"/>
        <v>6.5309758546510466</v>
      </c>
      <c r="G109" s="158">
        <f t="shared" si="3"/>
        <v>24.839375740806769</v>
      </c>
      <c r="H109" s="158">
        <f t="shared" si="3"/>
        <v>8.7141743778581091</v>
      </c>
      <c r="I109" s="158">
        <f t="shared" si="3"/>
        <v>2.2932135481007823</v>
      </c>
      <c r="J109" s="158">
        <f t="shared" si="3"/>
        <v>0.34177394550281565</v>
      </c>
      <c r="K109" s="158">
        <f t="shared" si="3"/>
        <v>109.62676312191165</v>
      </c>
      <c r="L109" s="158">
        <f t="shared" si="3"/>
        <v>3.8509434706362433</v>
      </c>
      <c r="M109" s="158">
        <f t="shared" si="3"/>
        <v>16.273643802806333</v>
      </c>
      <c r="N109" s="158">
        <f t="shared" si="3"/>
        <v>268.07901604006378</v>
      </c>
      <c r="O109" s="158">
        <f t="shared" si="3"/>
        <v>0</v>
      </c>
      <c r="P109" s="158">
        <f t="shared" si="3"/>
        <v>0.13202455247468334</v>
      </c>
      <c r="Q109" s="158">
        <f t="shared" si="3"/>
        <v>0.90451496646622709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P111" sqref="P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06/05/2023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718</v>
      </c>
      <c r="B9" s="100">
        <v>18.32</v>
      </c>
      <c r="C9" s="100">
        <v>52.06</v>
      </c>
      <c r="D9" s="100">
        <v>43.24</v>
      </c>
      <c r="E9" s="100">
        <v>9.4700000000000006</v>
      </c>
      <c r="F9" s="100">
        <v>3.97</v>
      </c>
      <c r="G9" s="100">
        <v>33.22</v>
      </c>
      <c r="H9" s="100">
        <v>14.34</v>
      </c>
      <c r="I9" s="100">
        <v>4.09</v>
      </c>
      <c r="J9" s="100">
        <v>0.23</v>
      </c>
      <c r="K9" s="100">
        <v>200.8</v>
      </c>
      <c r="L9" s="100">
        <v>27.04</v>
      </c>
      <c r="M9" s="100">
        <v>73.45</v>
      </c>
      <c r="N9" s="100">
        <v>0</v>
      </c>
      <c r="O9" s="100">
        <v>0</v>
      </c>
      <c r="P9" s="100">
        <v>0.48</v>
      </c>
      <c r="Q9" s="100">
        <v>5.2</v>
      </c>
      <c r="R9" s="6"/>
      <c r="S9" s="6"/>
      <c r="T9" s="156"/>
      <c r="U9" s="6"/>
    </row>
    <row r="10" spans="1:21" customFormat="1">
      <c r="A10" s="100" t="s">
        <v>719</v>
      </c>
      <c r="B10" s="100">
        <v>18.350000000000001</v>
      </c>
      <c r="C10" s="100">
        <v>52.78</v>
      </c>
      <c r="D10" s="100">
        <v>43.64</v>
      </c>
      <c r="E10" s="100">
        <v>9.58</v>
      </c>
      <c r="F10" s="100">
        <v>4.04</v>
      </c>
      <c r="G10" s="100">
        <v>31.96</v>
      </c>
      <c r="H10" s="100">
        <v>14.86</v>
      </c>
      <c r="I10" s="100">
        <v>4.08</v>
      </c>
      <c r="J10" s="100">
        <v>0.16</v>
      </c>
      <c r="K10" s="100">
        <v>211.26</v>
      </c>
      <c r="L10" s="100">
        <v>26.84</v>
      </c>
      <c r="M10" s="100">
        <v>74.489999999999995</v>
      </c>
      <c r="N10" s="100">
        <v>0</v>
      </c>
      <c r="O10" s="100">
        <v>0</v>
      </c>
      <c r="P10" s="100">
        <v>0.48</v>
      </c>
      <c r="Q10" s="100">
        <v>5.22</v>
      </c>
      <c r="R10" s="6"/>
      <c r="S10" s="6"/>
      <c r="T10" s="156"/>
      <c r="U10" s="6"/>
    </row>
    <row r="11" spans="1:21" customFormat="1">
      <c r="A11" s="100" t="s">
        <v>720</v>
      </c>
      <c r="B11" s="100">
        <v>18.63</v>
      </c>
      <c r="C11" s="100">
        <v>54.13</v>
      </c>
      <c r="D11" s="100">
        <v>44.57</v>
      </c>
      <c r="E11" s="100">
        <v>9.65</v>
      </c>
      <c r="F11" s="100">
        <v>3.81</v>
      </c>
      <c r="G11" s="100">
        <v>29.8</v>
      </c>
      <c r="H11" s="100">
        <v>16.46</v>
      </c>
      <c r="I11" s="100">
        <v>4.0199999999999996</v>
      </c>
      <c r="J11" s="100">
        <v>0.27</v>
      </c>
      <c r="K11" s="100">
        <v>200.66</v>
      </c>
      <c r="L11" s="100">
        <v>26.82</v>
      </c>
      <c r="M11" s="100">
        <v>74.13</v>
      </c>
      <c r="N11" s="100">
        <v>0</v>
      </c>
      <c r="O11" s="100">
        <v>0</v>
      </c>
      <c r="P11" s="100">
        <v>0.48</v>
      </c>
      <c r="Q11" s="100">
        <v>5.31</v>
      </c>
      <c r="R11" s="6"/>
      <c r="S11" s="6"/>
      <c r="T11" s="156"/>
      <c r="U11" s="6"/>
    </row>
    <row r="12" spans="1:21" customFormat="1">
      <c r="A12" s="100" t="s">
        <v>721</v>
      </c>
      <c r="B12" s="100">
        <v>18.920000000000002</v>
      </c>
      <c r="C12" s="100">
        <v>54.04</v>
      </c>
      <c r="D12" s="100">
        <v>44.76</v>
      </c>
      <c r="E12" s="100">
        <v>9.08</v>
      </c>
      <c r="F12" s="100">
        <v>3.61</v>
      </c>
      <c r="G12" s="100">
        <v>29.8</v>
      </c>
      <c r="H12" s="100">
        <v>16.46</v>
      </c>
      <c r="I12" s="100">
        <v>3.93</v>
      </c>
      <c r="J12" s="100">
        <v>0.23</v>
      </c>
      <c r="K12" s="100">
        <v>200.82</v>
      </c>
      <c r="L12" s="100">
        <v>26.69</v>
      </c>
      <c r="M12" s="100">
        <v>74.67</v>
      </c>
      <c r="N12" s="100">
        <v>0</v>
      </c>
      <c r="O12" s="100">
        <v>0</v>
      </c>
      <c r="P12" s="100">
        <v>0.47</v>
      </c>
      <c r="Q12" s="100">
        <v>5.34</v>
      </c>
      <c r="R12" s="6"/>
      <c r="S12" s="6"/>
      <c r="T12" s="156"/>
      <c r="U12" s="6"/>
    </row>
    <row r="13" spans="1:21" customFormat="1">
      <c r="A13" s="100" t="s">
        <v>722</v>
      </c>
      <c r="B13" s="100">
        <v>19.059999999999999</v>
      </c>
      <c r="C13" s="100">
        <v>54.18</v>
      </c>
      <c r="D13" s="100">
        <v>44.94</v>
      </c>
      <c r="E13" s="100">
        <v>8.99</v>
      </c>
      <c r="F13" s="100">
        <v>3.67</v>
      </c>
      <c r="G13" s="100">
        <v>29.8</v>
      </c>
      <c r="H13" s="100">
        <v>16.46</v>
      </c>
      <c r="I13" s="100">
        <v>3.89</v>
      </c>
      <c r="J13" s="100">
        <v>0.18</v>
      </c>
      <c r="K13" s="100">
        <v>204.93</v>
      </c>
      <c r="L13" s="100">
        <v>26.47</v>
      </c>
      <c r="M13" s="100">
        <v>76.63</v>
      </c>
      <c r="N13" s="100">
        <v>0</v>
      </c>
      <c r="O13" s="100">
        <v>0</v>
      </c>
      <c r="P13" s="100">
        <v>0.47</v>
      </c>
      <c r="Q13" s="100">
        <v>5.35</v>
      </c>
      <c r="R13" s="6"/>
      <c r="S13" s="6"/>
      <c r="T13" s="156"/>
      <c r="U13" s="6"/>
    </row>
    <row r="14" spans="1:21" customFormat="1">
      <c r="A14" s="100" t="s">
        <v>723</v>
      </c>
      <c r="B14" s="100">
        <v>19.309999999999999</v>
      </c>
      <c r="C14" s="100">
        <v>53.07</v>
      </c>
      <c r="D14" s="100">
        <v>44.56</v>
      </c>
      <c r="E14" s="100">
        <v>9.2799999999999994</v>
      </c>
      <c r="F14" s="100">
        <v>3.8</v>
      </c>
      <c r="G14" s="100">
        <v>29.33</v>
      </c>
      <c r="H14" s="100">
        <v>14.1</v>
      </c>
      <c r="I14" s="100">
        <v>3.88</v>
      </c>
      <c r="J14" s="100">
        <v>0.16</v>
      </c>
      <c r="K14" s="100">
        <v>168.58</v>
      </c>
      <c r="L14" s="100">
        <v>26.38</v>
      </c>
      <c r="M14" s="100">
        <v>76.63</v>
      </c>
      <c r="N14" s="100">
        <v>0</v>
      </c>
      <c r="O14" s="100">
        <v>0</v>
      </c>
      <c r="P14" s="100">
        <v>0.46</v>
      </c>
      <c r="Q14" s="100">
        <v>5.33</v>
      </c>
      <c r="R14" s="6"/>
      <c r="S14" s="6"/>
      <c r="T14" s="156"/>
      <c r="U14" s="6"/>
    </row>
    <row r="15" spans="1:21" customFormat="1">
      <c r="A15" s="100" t="s">
        <v>724</v>
      </c>
      <c r="B15" s="100">
        <v>19.66</v>
      </c>
      <c r="C15" s="100">
        <v>53.63</v>
      </c>
      <c r="D15" s="100">
        <v>45.14</v>
      </c>
      <c r="E15" s="100">
        <v>9.35</v>
      </c>
      <c r="F15" s="100">
        <v>3.73</v>
      </c>
      <c r="G15" s="100">
        <v>28.51</v>
      </c>
      <c r="H15" s="100">
        <v>11.68</v>
      </c>
      <c r="I15" s="100">
        <v>3.87</v>
      </c>
      <c r="J15" s="100">
        <v>0.22</v>
      </c>
      <c r="K15" s="100">
        <v>202.64</v>
      </c>
      <c r="L15" s="100">
        <v>26.3</v>
      </c>
      <c r="M15" s="100">
        <v>77.44</v>
      </c>
      <c r="N15" s="100">
        <v>0</v>
      </c>
      <c r="O15" s="100">
        <v>0</v>
      </c>
      <c r="P15" s="100">
        <v>0.46</v>
      </c>
      <c r="Q15" s="100">
        <v>5.37</v>
      </c>
      <c r="R15" s="6"/>
      <c r="S15" s="6"/>
      <c r="T15" s="156"/>
      <c r="U15" s="6"/>
    </row>
    <row r="16" spans="1:21" customFormat="1">
      <c r="A16" s="100" t="s">
        <v>725</v>
      </c>
      <c r="B16" s="100">
        <v>19.920000000000002</v>
      </c>
      <c r="C16" s="100">
        <v>53.92</v>
      </c>
      <c r="D16" s="100">
        <v>45.5</v>
      </c>
      <c r="E16" s="100">
        <v>9.19</v>
      </c>
      <c r="F16" s="100">
        <v>3.61</v>
      </c>
      <c r="G16" s="100">
        <v>28.51</v>
      </c>
      <c r="H16" s="100">
        <v>11.68</v>
      </c>
      <c r="I16" s="100">
        <v>3.87</v>
      </c>
      <c r="J16" s="100">
        <v>0.16</v>
      </c>
      <c r="K16" s="100">
        <v>206.66</v>
      </c>
      <c r="L16" s="100">
        <v>26.25</v>
      </c>
      <c r="M16" s="100">
        <v>76.98</v>
      </c>
      <c r="N16" s="100">
        <v>0</v>
      </c>
      <c r="O16" s="100">
        <v>0</v>
      </c>
      <c r="P16" s="100">
        <v>0.46</v>
      </c>
      <c r="Q16" s="100">
        <v>5.41</v>
      </c>
      <c r="R16" s="6"/>
      <c r="S16" s="6"/>
      <c r="T16" s="156"/>
      <c r="U16" s="6"/>
    </row>
    <row r="17" spans="1:21" customFormat="1">
      <c r="A17" s="100" t="s">
        <v>726</v>
      </c>
      <c r="B17" s="100">
        <v>20.27</v>
      </c>
      <c r="C17" s="100">
        <v>53.31</v>
      </c>
      <c r="D17" s="100">
        <v>45.46</v>
      </c>
      <c r="E17" s="100">
        <v>5.89</v>
      </c>
      <c r="F17" s="100">
        <v>3.73</v>
      </c>
      <c r="G17" s="100">
        <v>28.51</v>
      </c>
      <c r="H17" s="100">
        <v>11.68</v>
      </c>
      <c r="I17" s="100">
        <v>3.82</v>
      </c>
      <c r="J17" s="100">
        <v>0.15</v>
      </c>
      <c r="K17" s="100">
        <v>193.74</v>
      </c>
      <c r="L17" s="100">
        <v>26.16</v>
      </c>
      <c r="M17" s="100">
        <v>77.36</v>
      </c>
      <c r="N17" s="100">
        <v>0</v>
      </c>
      <c r="O17" s="100">
        <v>0</v>
      </c>
      <c r="P17" s="100">
        <v>0.46</v>
      </c>
      <c r="Q17" s="100">
        <v>5.4</v>
      </c>
      <c r="R17" s="6"/>
      <c r="S17" s="6"/>
      <c r="T17" s="156"/>
      <c r="U17" s="6"/>
    </row>
    <row r="18" spans="1:21" customFormat="1">
      <c r="A18" s="100" t="s">
        <v>727</v>
      </c>
      <c r="B18" s="100">
        <v>20.3</v>
      </c>
      <c r="C18" s="100">
        <v>50.94</v>
      </c>
      <c r="D18" s="100">
        <v>44.24</v>
      </c>
      <c r="E18" s="100">
        <v>6.37</v>
      </c>
      <c r="F18" s="100">
        <v>4.8</v>
      </c>
      <c r="G18" s="100">
        <v>26.4</v>
      </c>
      <c r="H18" s="100">
        <v>11</v>
      </c>
      <c r="I18" s="100">
        <v>3.85</v>
      </c>
      <c r="J18" s="100">
        <v>0.18</v>
      </c>
      <c r="K18" s="100">
        <v>186.93</v>
      </c>
      <c r="L18" s="100">
        <v>26.02</v>
      </c>
      <c r="M18" s="100">
        <v>77.98</v>
      </c>
      <c r="N18" s="100">
        <v>0</v>
      </c>
      <c r="O18" s="100">
        <v>0</v>
      </c>
      <c r="P18" s="100">
        <v>0.45</v>
      </c>
      <c r="Q18" s="100">
        <v>5.48</v>
      </c>
      <c r="R18" s="6"/>
      <c r="S18" s="6"/>
      <c r="T18" s="156"/>
      <c r="U18" s="6"/>
    </row>
    <row r="19" spans="1:21" customFormat="1">
      <c r="A19" s="100" t="s">
        <v>728</v>
      </c>
      <c r="B19" s="100">
        <v>20.74</v>
      </c>
      <c r="C19" s="100">
        <v>44.59</v>
      </c>
      <c r="D19" s="100">
        <v>41.28</v>
      </c>
      <c r="E19" s="100">
        <v>5.65</v>
      </c>
      <c r="F19" s="100">
        <v>6.2</v>
      </c>
      <c r="G19" s="100">
        <v>22.75</v>
      </c>
      <c r="H19" s="100">
        <v>10.28</v>
      </c>
      <c r="I19" s="100">
        <v>3.87</v>
      </c>
      <c r="J19" s="100">
        <v>0.2</v>
      </c>
      <c r="K19" s="100">
        <v>191.07</v>
      </c>
      <c r="L19" s="100">
        <v>25.99</v>
      </c>
      <c r="M19" s="100">
        <v>77.8</v>
      </c>
      <c r="N19" s="100">
        <v>0</v>
      </c>
      <c r="O19" s="100">
        <v>0</v>
      </c>
      <c r="P19" s="100">
        <v>0.4</v>
      </c>
      <c r="Q19" s="100">
        <v>5.2</v>
      </c>
      <c r="R19" s="6"/>
      <c r="S19" s="6"/>
      <c r="T19" s="156"/>
      <c r="U19" s="6"/>
    </row>
    <row r="20" spans="1:21" customFormat="1">
      <c r="A20" s="100" t="s">
        <v>729</v>
      </c>
      <c r="B20" s="100">
        <v>20.12</v>
      </c>
      <c r="C20" s="100">
        <v>40.869999999999997</v>
      </c>
      <c r="D20" s="100">
        <v>38.840000000000003</v>
      </c>
      <c r="E20" s="100">
        <v>5.96</v>
      </c>
      <c r="F20" s="100">
        <v>6.59</v>
      </c>
      <c r="G20" s="100">
        <v>22.75</v>
      </c>
      <c r="H20" s="100">
        <v>10.28</v>
      </c>
      <c r="I20" s="100">
        <v>3.64</v>
      </c>
      <c r="J20" s="100">
        <v>0.08</v>
      </c>
      <c r="K20" s="100">
        <v>217.95</v>
      </c>
      <c r="L20" s="100">
        <v>26.08</v>
      </c>
      <c r="M20" s="100">
        <v>77.84</v>
      </c>
      <c r="N20" s="100">
        <v>0</v>
      </c>
      <c r="O20" s="100">
        <v>0</v>
      </c>
      <c r="P20" s="100">
        <v>0.38</v>
      </c>
      <c r="Q20" s="100">
        <v>5.03</v>
      </c>
      <c r="R20" s="6"/>
      <c r="S20" s="6"/>
      <c r="T20" s="156"/>
      <c r="U20" s="6"/>
    </row>
    <row r="21" spans="1:21" customFormat="1">
      <c r="A21" s="100" t="s">
        <v>730</v>
      </c>
      <c r="B21" s="100">
        <v>21.91</v>
      </c>
      <c r="C21" s="100">
        <v>49.03</v>
      </c>
      <c r="D21" s="100">
        <v>44.54</v>
      </c>
      <c r="E21" s="100">
        <v>6.28</v>
      </c>
      <c r="F21" s="100">
        <v>3.85</v>
      </c>
      <c r="G21" s="100">
        <v>22.75</v>
      </c>
      <c r="H21" s="100">
        <v>10.28</v>
      </c>
      <c r="I21" s="100">
        <v>3.5</v>
      </c>
      <c r="J21" s="100">
        <v>0.23</v>
      </c>
      <c r="K21" s="100">
        <v>191.32</v>
      </c>
      <c r="L21" s="100">
        <v>26.07</v>
      </c>
      <c r="M21" s="100">
        <v>78.23</v>
      </c>
      <c r="N21" s="100">
        <v>0</v>
      </c>
      <c r="O21" s="100">
        <v>0</v>
      </c>
      <c r="P21" s="100">
        <v>0.42</v>
      </c>
      <c r="Q21" s="100">
        <v>5.17</v>
      </c>
      <c r="R21" s="6"/>
      <c r="S21" s="6"/>
      <c r="T21" s="156"/>
      <c r="U21" s="6"/>
    </row>
    <row r="22" spans="1:21" customFormat="1">
      <c r="A22" s="100" t="s">
        <v>731</v>
      </c>
      <c r="B22" s="100">
        <v>22.04</v>
      </c>
      <c r="C22" s="100">
        <v>46.67</v>
      </c>
      <c r="D22" s="100">
        <v>43.41</v>
      </c>
      <c r="E22" s="100">
        <v>6.21</v>
      </c>
      <c r="F22" s="100">
        <v>4.8600000000000003</v>
      </c>
      <c r="G22" s="100">
        <v>22.21</v>
      </c>
      <c r="H22" s="100">
        <v>9.4499999999999993</v>
      </c>
      <c r="I22" s="100">
        <v>3.48</v>
      </c>
      <c r="J22" s="100">
        <v>0.24</v>
      </c>
      <c r="K22" s="100">
        <v>192.38</v>
      </c>
      <c r="L22" s="100">
        <v>25.86</v>
      </c>
      <c r="M22" s="100">
        <v>79.5</v>
      </c>
      <c r="N22" s="100">
        <v>0</v>
      </c>
      <c r="O22" s="100">
        <v>0</v>
      </c>
      <c r="P22" s="100">
        <v>0.41</v>
      </c>
      <c r="Q22" s="100">
        <v>5.3</v>
      </c>
      <c r="R22" s="6"/>
      <c r="S22" s="6"/>
      <c r="T22" s="156"/>
      <c r="U22" s="6"/>
    </row>
    <row r="23" spans="1:21" customFormat="1">
      <c r="A23" s="100" t="s">
        <v>732</v>
      </c>
      <c r="B23" s="100">
        <v>23.14</v>
      </c>
      <c r="C23" s="100">
        <v>49.75</v>
      </c>
      <c r="D23" s="100">
        <v>45.89</v>
      </c>
      <c r="E23" s="100">
        <v>6.44</v>
      </c>
      <c r="F23" s="100">
        <v>4.21</v>
      </c>
      <c r="G23" s="100">
        <v>21.26</v>
      </c>
      <c r="H23" s="100">
        <v>8.59</v>
      </c>
      <c r="I23" s="100">
        <v>3.73</v>
      </c>
      <c r="J23" s="100">
        <v>0.18</v>
      </c>
      <c r="K23" s="100">
        <v>183.36</v>
      </c>
      <c r="L23" s="100">
        <v>25.72</v>
      </c>
      <c r="M23" s="100">
        <v>80.28</v>
      </c>
      <c r="N23" s="100">
        <v>0</v>
      </c>
      <c r="O23" s="100">
        <v>0</v>
      </c>
      <c r="P23" s="100">
        <v>0.44</v>
      </c>
      <c r="Q23" s="100">
        <v>5.39</v>
      </c>
      <c r="R23" s="6"/>
      <c r="S23" s="6"/>
      <c r="T23" s="156"/>
      <c r="U23" s="6"/>
    </row>
    <row r="24" spans="1:21" customFormat="1">
      <c r="A24" s="100" t="s">
        <v>733</v>
      </c>
      <c r="B24" s="100">
        <v>23.89</v>
      </c>
      <c r="C24" s="100">
        <v>47.65</v>
      </c>
      <c r="D24" s="100">
        <v>45.4</v>
      </c>
      <c r="E24" s="100">
        <v>6.5</v>
      </c>
      <c r="F24" s="100">
        <v>4.41</v>
      </c>
      <c r="G24" s="100">
        <v>21.26</v>
      </c>
      <c r="H24" s="100">
        <v>8.59</v>
      </c>
      <c r="I24" s="100">
        <v>3.62</v>
      </c>
      <c r="J24" s="100">
        <v>0.1</v>
      </c>
      <c r="K24" s="100">
        <v>228.1</v>
      </c>
      <c r="L24" s="100">
        <v>25.67</v>
      </c>
      <c r="M24" s="100">
        <v>80.239999999999995</v>
      </c>
      <c r="N24" s="100">
        <v>0</v>
      </c>
      <c r="O24" s="100">
        <v>0</v>
      </c>
      <c r="P24" s="100">
        <v>0.42</v>
      </c>
      <c r="Q24" s="100">
        <v>5.38</v>
      </c>
      <c r="R24" s="6"/>
      <c r="S24" s="6"/>
      <c r="T24" s="156"/>
      <c r="U24" s="6"/>
    </row>
    <row r="25" spans="1:21" customFormat="1">
      <c r="A25" s="100" t="s">
        <v>734</v>
      </c>
      <c r="B25" s="100">
        <v>24.29</v>
      </c>
      <c r="C25" s="100">
        <v>44.2</v>
      </c>
      <c r="D25" s="100">
        <v>43.92</v>
      </c>
      <c r="E25" s="100">
        <v>5.7</v>
      </c>
      <c r="F25" s="100">
        <v>5.27</v>
      </c>
      <c r="G25" s="100">
        <v>21.26</v>
      </c>
      <c r="H25" s="100">
        <v>8.59</v>
      </c>
      <c r="I25" s="100">
        <v>3.77</v>
      </c>
      <c r="J25" s="100">
        <v>0.22</v>
      </c>
      <c r="K25" s="100">
        <v>212.88</v>
      </c>
      <c r="L25" s="100">
        <v>25.82</v>
      </c>
      <c r="M25" s="100">
        <v>78.930000000000007</v>
      </c>
      <c r="N25" s="100">
        <v>0</v>
      </c>
      <c r="O25" s="100">
        <v>0</v>
      </c>
      <c r="P25" s="100">
        <v>0.39</v>
      </c>
      <c r="Q25" s="100">
        <v>5.24</v>
      </c>
      <c r="R25" s="6"/>
      <c r="S25" s="6"/>
      <c r="T25" s="156"/>
      <c r="U25" s="6"/>
    </row>
    <row r="26" spans="1:21" customFormat="1">
      <c r="A26" s="100" t="s">
        <v>735</v>
      </c>
      <c r="B26" s="100">
        <v>24.93</v>
      </c>
      <c r="C26" s="100">
        <v>49.79</v>
      </c>
      <c r="D26" s="100">
        <v>47.35</v>
      </c>
      <c r="E26" s="100">
        <v>6.39</v>
      </c>
      <c r="F26" s="100">
        <v>3.75</v>
      </c>
      <c r="G26" s="100">
        <v>21.3</v>
      </c>
      <c r="H26" s="100">
        <v>9.6300000000000008</v>
      </c>
      <c r="I26" s="100">
        <v>3.57</v>
      </c>
      <c r="J26" s="100">
        <v>0.31</v>
      </c>
      <c r="K26" s="100">
        <v>250.12</v>
      </c>
      <c r="L26" s="100">
        <v>25.73</v>
      </c>
      <c r="M26" s="100">
        <v>78.69</v>
      </c>
      <c r="N26" s="100">
        <v>0</v>
      </c>
      <c r="O26" s="100">
        <v>0</v>
      </c>
      <c r="P26" s="100">
        <v>0.43</v>
      </c>
      <c r="Q26" s="100">
        <v>5.43</v>
      </c>
      <c r="R26" s="6"/>
      <c r="S26" s="6"/>
      <c r="T26" s="156"/>
      <c r="U26" s="6"/>
    </row>
    <row r="27" spans="1:21" customFormat="1">
      <c r="A27" s="100" t="s">
        <v>736</v>
      </c>
      <c r="B27" s="100">
        <v>25.5</v>
      </c>
      <c r="C27" s="100">
        <v>47.48</v>
      </c>
      <c r="D27" s="100">
        <v>46.61</v>
      </c>
      <c r="E27" s="100">
        <v>6.84</v>
      </c>
      <c r="F27" s="100">
        <v>4.53</v>
      </c>
      <c r="G27" s="100">
        <v>21.35</v>
      </c>
      <c r="H27" s="100">
        <v>10.73</v>
      </c>
      <c r="I27" s="100">
        <v>3.61</v>
      </c>
      <c r="J27" s="100">
        <v>0.43</v>
      </c>
      <c r="K27" s="100">
        <v>253.49</v>
      </c>
      <c r="L27" s="100">
        <v>25.65</v>
      </c>
      <c r="M27" s="100">
        <v>78.41</v>
      </c>
      <c r="N27" s="100">
        <v>0</v>
      </c>
      <c r="O27" s="100">
        <v>0</v>
      </c>
      <c r="P27" s="100">
        <v>0.4</v>
      </c>
      <c r="Q27" s="100">
        <v>5.43</v>
      </c>
      <c r="R27" s="6"/>
      <c r="S27" s="6"/>
      <c r="T27" s="156"/>
      <c r="U27" s="6"/>
    </row>
    <row r="28" spans="1:21" customFormat="1">
      <c r="A28" s="100" t="s">
        <v>737</v>
      </c>
      <c r="B28" s="100">
        <v>25.64</v>
      </c>
      <c r="C28" s="100">
        <v>45.05</v>
      </c>
      <c r="D28" s="100">
        <v>45.45</v>
      </c>
      <c r="E28" s="100">
        <v>6.52</v>
      </c>
      <c r="F28" s="100">
        <v>4.72</v>
      </c>
      <c r="G28" s="100">
        <v>21.35</v>
      </c>
      <c r="H28" s="100">
        <v>10.73</v>
      </c>
      <c r="I28" s="100">
        <v>3.72</v>
      </c>
      <c r="J28" s="100">
        <v>0.3</v>
      </c>
      <c r="K28" s="100">
        <v>241.48</v>
      </c>
      <c r="L28" s="100">
        <v>25.64</v>
      </c>
      <c r="M28" s="100">
        <v>78.5</v>
      </c>
      <c r="N28" s="100">
        <v>0</v>
      </c>
      <c r="O28" s="100">
        <v>0</v>
      </c>
      <c r="P28" s="100">
        <v>0.39</v>
      </c>
      <c r="Q28" s="100">
        <v>5.29</v>
      </c>
      <c r="R28" s="6"/>
      <c r="S28" s="6"/>
      <c r="T28" s="156"/>
      <c r="U28" s="6"/>
    </row>
    <row r="29" spans="1:21" customFormat="1">
      <c r="A29" s="100" t="s">
        <v>738</v>
      </c>
      <c r="B29" s="100">
        <v>26.06</v>
      </c>
      <c r="C29" s="100">
        <v>50.6</v>
      </c>
      <c r="D29" s="100">
        <v>48.69</v>
      </c>
      <c r="E29" s="100">
        <v>7.03</v>
      </c>
      <c r="F29" s="100">
        <v>3.55</v>
      </c>
      <c r="G29" s="100">
        <v>21.35</v>
      </c>
      <c r="H29" s="100">
        <v>10.73</v>
      </c>
      <c r="I29" s="100">
        <v>3.63</v>
      </c>
      <c r="J29" s="100">
        <v>0.26</v>
      </c>
      <c r="K29" s="100">
        <v>211.88</v>
      </c>
      <c r="L29" s="100">
        <v>25.66</v>
      </c>
      <c r="M29" s="100">
        <v>78.069999999999993</v>
      </c>
      <c r="N29" s="100">
        <v>0</v>
      </c>
      <c r="O29" s="100">
        <v>0</v>
      </c>
      <c r="P29" s="100">
        <v>0.43</v>
      </c>
      <c r="Q29" s="100">
        <v>5.52</v>
      </c>
      <c r="R29" s="6"/>
      <c r="S29" s="6"/>
      <c r="T29" s="156"/>
      <c r="U29" s="6"/>
    </row>
    <row r="30" spans="1:21" customFormat="1">
      <c r="A30" s="100" t="s">
        <v>739</v>
      </c>
      <c r="B30" s="100">
        <v>25.94</v>
      </c>
      <c r="C30" s="100">
        <v>46.77</v>
      </c>
      <c r="D30" s="100">
        <v>46.59</v>
      </c>
      <c r="E30" s="100">
        <v>6.88</v>
      </c>
      <c r="F30" s="100">
        <v>5.13</v>
      </c>
      <c r="G30" s="100">
        <v>21.09</v>
      </c>
      <c r="H30" s="100">
        <v>10.44</v>
      </c>
      <c r="I30" s="100">
        <v>3.64</v>
      </c>
      <c r="J30" s="100">
        <v>0.33</v>
      </c>
      <c r="K30" s="100">
        <v>247.11</v>
      </c>
      <c r="L30" s="100">
        <v>25.7</v>
      </c>
      <c r="M30" s="100">
        <v>78.069999999999993</v>
      </c>
      <c r="N30" s="100">
        <v>0</v>
      </c>
      <c r="O30" s="100">
        <v>0</v>
      </c>
      <c r="P30" s="100">
        <v>0.41</v>
      </c>
      <c r="Q30" s="100">
        <v>5.51</v>
      </c>
      <c r="R30" s="6"/>
      <c r="S30" s="6"/>
      <c r="T30" s="156"/>
      <c r="U30" s="6"/>
    </row>
    <row r="31" spans="1:21" customFormat="1">
      <c r="A31" s="100" t="s">
        <v>740</v>
      </c>
      <c r="B31" s="100">
        <v>26.62</v>
      </c>
      <c r="C31" s="100">
        <v>49.37</v>
      </c>
      <c r="D31" s="100">
        <v>48.49</v>
      </c>
      <c r="E31" s="100">
        <v>6.65</v>
      </c>
      <c r="F31" s="100">
        <v>4.13</v>
      </c>
      <c r="G31" s="100">
        <v>20.63</v>
      </c>
      <c r="H31" s="100">
        <v>10.130000000000001</v>
      </c>
      <c r="I31" s="100">
        <v>3.74</v>
      </c>
      <c r="J31" s="100">
        <v>0.34</v>
      </c>
      <c r="K31" s="100">
        <v>247.53</v>
      </c>
      <c r="L31" s="100">
        <v>25.82</v>
      </c>
      <c r="M31" s="100">
        <v>76.83</v>
      </c>
      <c r="N31" s="100">
        <v>2.2000000000000002</v>
      </c>
      <c r="O31" s="100">
        <v>0</v>
      </c>
      <c r="P31" s="100">
        <v>0.43</v>
      </c>
      <c r="Q31" s="100">
        <v>5.58</v>
      </c>
      <c r="R31" s="6"/>
      <c r="S31" s="6"/>
      <c r="T31" s="156"/>
      <c r="U31" s="6"/>
    </row>
    <row r="32" spans="1:21" customFormat="1">
      <c r="A32" s="100" t="s">
        <v>741</v>
      </c>
      <c r="B32" s="100">
        <v>27.16</v>
      </c>
      <c r="C32" s="100">
        <v>47.97</v>
      </c>
      <c r="D32" s="100">
        <v>48.19</v>
      </c>
      <c r="E32" s="100">
        <v>6.74</v>
      </c>
      <c r="F32" s="100">
        <v>4.5</v>
      </c>
      <c r="G32" s="100">
        <v>20.63</v>
      </c>
      <c r="H32" s="100">
        <v>10.130000000000001</v>
      </c>
      <c r="I32" s="100">
        <v>3.57</v>
      </c>
      <c r="J32" s="100">
        <v>0.22</v>
      </c>
      <c r="K32" s="100">
        <v>228.14</v>
      </c>
      <c r="L32" s="100">
        <v>25.96</v>
      </c>
      <c r="M32" s="100">
        <v>76.47</v>
      </c>
      <c r="N32" s="100">
        <v>14.4</v>
      </c>
      <c r="O32" s="100">
        <v>0</v>
      </c>
      <c r="P32" s="100">
        <v>0.41</v>
      </c>
      <c r="Q32" s="100">
        <v>5.56</v>
      </c>
      <c r="R32" s="6"/>
      <c r="S32" s="6"/>
      <c r="T32" s="156"/>
      <c r="U32" s="6"/>
    </row>
    <row r="33" spans="1:21" customFormat="1">
      <c r="A33" s="100" t="s">
        <v>742</v>
      </c>
      <c r="B33" s="100">
        <v>26.88</v>
      </c>
      <c r="C33" s="100">
        <v>44.65</v>
      </c>
      <c r="D33" s="100">
        <v>46.24</v>
      </c>
      <c r="E33" s="100">
        <v>6.25</v>
      </c>
      <c r="F33" s="100">
        <v>5.53</v>
      </c>
      <c r="G33" s="100">
        <v>20.63</v>
      </c>
      <c r="H33" s="100">
        <v>10.130000000000001</v>
      </c>
      <c r="I33" s="100">
        <v>3.73</v>
      </c>
      <c r="J33" s="100">
        <v>0.15</v>
      </c>
      <c r="K33" s="100">
        <v>249.28</v>
      </c>
      <c r="L33" s="100">
        <v>26.12</v>
      </c>
      <c r="M33" s="100">
        <v>76.099999999999994</v>
      </c>
      <c r="N33" s="100">
        <v>30.1</v>
      </c>
      <c r="O33" s="100">
        <v>0</v>
      </c>
      <c r="P33" s="100">
        <v>0.4</v>
      </c>
      <c r="Q33" s="100">
        <v>5.44</v>
      </c>
      <c r="R33" s="6"/>
      <c r="S33" s="6"/>
      <c r="T33" s="156"/>
      <c r="U33" s="6"/>
    </row>
    <row r="34" spans="1:21" customFormat="1">
      <c r="A34" s="100" t="s">
        <v>743</v>
      </c>
      <c r="B34" s="100">
        <v>27.22</v>
      </c>
      <c r="C34" s="100">
        <v>49.62</v>
      </c>
      <c r="D34" s="100">
        <v>49.1</v>
      </c>
      <c r="E34" s="100">
        <v>7.01</v>
      </c>
      <c r="F34" s="100">
        <v>4.16</v>
      </c>
      <c r="G34" s="100">
        <v>20.93</v>
      </c>
      <c r="H34" s="100">
        <v>9.52</v>
      </c>
      <c r="I34" s="100">
        <v>3.58</v>
      </c>
      <c r="J34" s="100">
        <v>0.17</v>
      </c>
      <c r="K34" s="100">
        <v>197.23</v>
      </c>
      <c r="L34" s="100">
        <v>26.31</v>
      </c>
      <c r="M34" s="100">
        <v>77.14</v>
      </c>
      <c r="N34" s="100">
        <v>47</v>
      </c>
      <c r="O34" s="100">
        <v>0</v>
      </c>
      <c r="P34" s="100">
        <v>0.43</v>
      </c>
      <c r="Q34" s="100">
        <v>5.59</v>
      </c>
      <c r="R34" s="6"/>
      <c r="S34" s="6"/>
      <c r="T34" s="156"/>
      <c r="U34" s="6"/>
    </row>
    <row r="35" spans="1:21" customFormat="1">
      <c r="A35" s="100" t="s">
        <v>744</v>
      </c>
      <c r="B35" s="100">
        <v>27.39</v>
      </c>
      <c r="C35" s="100">
        <v>46.27</v>
      </c>
      <c r="D35" s="100">
        <v>47.5</v>
      </c>
      <c r="E35" s="100">
        <v>6.9</v>
      </c>
      <c r="F35" s="100">
        <v>5.35</v>
      </c>
      <c r="G35" s="100">
        <v>21.46</v>
      </c>
      <c r="H35" s="100">
        <v>7.64</v>
      </c>
      <c r="I35" s="100">
        <v>3.67</v>
      </c>
      <c r="J35" s="100">
        <v>0.25</v>
      </c>
      <c r="K35" s="100">
        <v>220.9</v>
      </c>
      <c r="L35" s="100">
        <v>26.56</v>
      </c>
      <c r="M35" s="100">
        <v>76.930000000000007</v>
      </c>
      <c r="N35" s="100">
        <v>65.2</v>
      </c>
      <c r="O35" s="100">
        <v>0</v>
      </c>
      <c r="P35" s="100">
        <v>0.41</v>
      </c>
      <c r="Q35" s="100">
        <v>5.56</v>
      </c>
      <c r="R35" s="6"/>
      <c r="S35" s="6"/>
      <c r="T35" s="156"/>
      <c r="U35" s="6"/>
    </row>
    <row r="36" spans="1:21" customFormat="1">
      <c r="A36" s="100" t="s">
        <v>745</v>
      </c>
      <c r="B36" s="100">
        <v>28.11</v>
      </c>
      <c r="C36" s="100">
        <v>50.22</v>
      </c>
      <c r="D36" s="100">
        <v>50.13</v>
      </c>
      <c r="E36" s="100">
        <v>6.99</v>
      </c>
      <c r="F36" s="100">
        <v>4.0599999999999996</v>
      </c>
      <c r="G36" s="100">
        <v>21.46</v>
      </c>
      <c r="H36" s="100">
        <v>7.64</v>
      </c>
      <c r="I36" s="100">
        <v>3.73</v>
      </c>
      <c r="J36" s="100">
        <v>0.22</v>
      </c>
      <c r="K36" s="100">
        <v>214.4</v>
      </c>
      <c r="L36" s="100">
        <v>26.94</v>
      </c>
      <c r="M36" s="100">
        <v>76.22</v>
      </c>
      <c r="N36" s="100">
        <v>82.1</v>
      </c>
      <c r="O36" s="100">
        <v>0</v>
      </c>
      <c r="P36" s="100">
        <v>0.45</v>
      </c>
      <c r="Q36" s="100">
        <v>5.67</v>
      </c>
      <c r="R36" s="6"/>
      <c r="S36" s="6"/>
      <c r="T36" s="156"/>
      <c r="U36" s="6"/>
    </row>
    <row r="37" spans="1:21" customFormat="1">
      <c r="A37" s="100" t="s">
        <v>746</v>
      </c>
      <c r="B37" s="100">
        <v>28.57</v>
      </c>
      <c r="C37" s="100">
        <v>49.45</v>
      </c>
      <c r="D37" s="100">
        <v>50.1</v>
      </c>
      <c r="E37" s="100">
        <v>7.03</v>
      </c>
      <c r="F37" s="100">
        <v>4.2</v>
      </c>
      <c r="G37" s="100">
        <v>21.46</v>
      </c>
      <c r="H37" s="100">
        <v>7.64</v>
      </c>
      <c r="I37" s="100">
        <v>3.75</v>
      </c>
      <c r="J37" s="100">
        <v>0.28999999999999998</v>
      </c>
      <c r="K37" s="100">
        <v>219.26</v>
      </c>
      <c r="L37" s="100">
        <v>27.22</v>
      </c>
      <c r="M37" s="100">
        <v>75.69</v>
      </c>
      <c r="N37" s="100">
        <v>87.4</v>
      </c>
      <c r="O37" s="100">
        <v>0</v>
      </c>
      <c r="P37" s="100">
        <v>0.43</v>
      </c>
      <c r="Q37" s="100">
        <v>5.69</v>
      </c>
      <c r="R37" s="6"/>
      <c r="S37" s="6"/>
      <c r="T37" s="156"/>
      <c r="U37" s="6"/>
    </row>
    <row r="38" spans="1:21" customFormat="1">
      <c r="A38" s="100" t="s">
        <v>747</v>
      </c>
      <c r="B38" s="100">
        <v>28.39</v>
      </c>
      <c r="C38" s="100">
        <v>49.77</v>
      </c>
      <c r="D38" s="100">
        <v>50.12</v>
      </c>
      <c r="E38" s="100">
        <v>6.43</v>
      </c>
      <c r="F38" s="100">
        <v>4.18</v>
      </c>
      <c r="G38" s="100">
        <v>21.4</v>
      </c>
      <c r="H38" s="100">
        <v>8.2200000000000006</v>
      </c>
      <c r="I38" s="100">
        <v>3.89</v>
      </c>
      <c r="J38" s="100">
        <v>0.31</v>
      </c>
      <c r="K38" s="100">
        <v>226.35</v>
      </c>
      <c r="L38" s="100">
        <v>27.4</v>
      </c>
      <c r="M38" s="100">
        <v>74.760000000000005</v>
      </c>
      <c r="N38" s="100">
        <v>105.2</v>
      </c>
      <c r="O38" s="100">
        <v>0</v>
      </c>
      <c r="P38" s="100">
        <v>0.46</v>
      </c>
      <c r="Q38" s="100">
        <v>5.67</v>
      </c>
      <c r="R38" s="6"/>
      <c r="S38" s="6"/>
      <c r="T38" s="156"/>
      <c r="U38" s="6"/>
    </row>
    <row r="39" spans="1:21" customFormat="1">
      <c r="A39" s="100" t="s">
        <v>748</v>
      </c>
      <c r="B39" s="100">
        <v>27.94</v>
      </c>
      <c r="C39" s="100">
        <v>50.47</v>
      </c>
      <c r="D39" s="100">
        <v>50.12</v>
      </c>
      <c r="E39" s="100">
        <v>6.24</v>
      </c>
      <c r="F39" s="100">
        <v>4.13</v>
      </c>
      <c r="G39" s="100">
        <v>21.3</v>
      </c>
      <c r="H39" s="100">
        <v>8.83</v>
      </c>
      <c r="I39" s="100">
        <v>3.99</v>
      </c>
      <c r="J39" s="100">
        <v>0.24</v>
      </c>
      <c r="K39" s="100">
        <v>197.88</v>
      </c>
      <c r="L39" s="100">
        <v>27.86</v>
      </c>
      <c r="M39" s="100">
        <v>73.239999999999995</v>
      </c>
      <c r="N39" s="100">
        <v>123.8</v>
      </c>
      <c r="O39" s="100">
        <v>0</v>
      </c>
      <c r="P39" s="100">
        <v>0.47</v>
      </c>
      <c r="Q39" s="100">
        <v>5.67</v>
      </c>
      <c r="R39" s="6"/>
      <c r="S39" s="6"/>
      <c r="T39" s="156"/>
      <c r="U39" s="6"/>
    </row>
    <row r="40" spans="1:21" customFormat="1">
      <c r="A40" s="100" t="s">
        <v>749</v>
      </c>
      <c r="B40" s="100">
        <v>27.41</v>
      </c>
      <c r="C40" s="100">
        <v>50.88</v>
      </c>
      <c r="D40" s="100">
        <v>49.92</v>
      </c>
      <c r="E40" s="100">
        <v>6.21</v>
      </c>
      <c r="F40" s="100">
        <v>4.04</v>
      </c>
      <c r="G40" s="100">
        <v>21.3</v>
      </c>
      <c r="H40" s="100">
        <v>8.83</v>
      </c>
      <c r="I40" s="100">
        <v>4.08</v>
      </c>
      <c r="J40" s="100">
        <v>0.4</v>
      </c>
      <c r="K40" s="100">
        <v>256.94</v>
      </c>
      <c r="L40" s="100">
        <v>28.19</v>
      </c>
      <c r="M40" s="100">
        <v>71.73</v>
      </c>
      <c r="N40" s="100">
        <v>134.9</v>
      </c>
      <c r="O40" s="100">
        <v>0</v>
      </c>
      <c r="P40" s="100">
        <v>0.49</v>
      </c>
      <c r="Q40" s="100">
        <v>5.68</v>
      </c>
      <c r="R40" s="6"/>
      <c r="S40" s="6"/>
      <c r="T40" s="156"/>
      <c r="U40" s="6"/>
    </row>
    <row r="41" spans="1:21" customFormat="1">
      <c r="A41" s="100" t="s">
        <v>750</v>
      </c>
      <c r="B41" s="100">
        <v>26.75</v>
      </c>
      <c r="C41" s="100">
        <v>51.36</v>
      </c>
      <c r="D41" s="100">
        <v>49.64</v>
      </c>
      <c r="E41" s="100">
        <v>6.57</v>
      </c>
      <c r="F41" s="100">
        <v>4.03</v>
      </c>
      <c r="G41" s="100">
        <v>21.3</v>
      </c>
      <c r="H41" s="100">
        <v>8.83</v>
      </c>
      <c r="I41" s="100">
        <v>4.16</v>
      </c>
      <c r="J41" s="100">
        <v>0.53</v>
      </c>
      <c r="K41" s="100">
        <v>254.77</v>
      </c>
      <c r="L41" s="100">
        <v>28.95</v>
      </c>
      <c r="M41" s="100">
        <v>67.28</v>
      </c>
      <c r="N41" s="100">
        <v>137.30000000000001</v>
      </c>
      <c r="O41" s="100">
        <v>0</v>
      </c>
      <c r="P41" s="100">
        <v>0.51</v>
      </c>
      <c r="Q41" s="100">
        <v>5.67</v>
      </c>
      <c r="R41" s="6"/>
      <c r="S41" s="6"/>
      <c r="T41" s="156"/>
      <c r="U41" s="6"/>
    </row>
    <row r="42" spans="1:21" customFormat="1">
      <c r="A42" s="100" t="s">
        <v>751</v>
      </c>
      <c r="B42" s="100">
        <v>25.72</v>
      </c>
      <c r="C42" s="100">
        <v>52.61</v>
      </c>
      <c r="D42" s="100">
        <v>49.46</v>
      </c>
      <c r="E42" s="100">
        <v>6.34</v>
      </c>
      <c r="F42" s="100">
        <v>4.9400000000000004</v>
      </c>
      <c r="G42" s="100">
        <v>24.78</v>
      </c>
      <c r="H42" s="100">
        <v>9.93</v>
      </c>
      <c r="I42" s="100">
        <v>4.3099999999999996</v>
      </c>
      <c r="J42" s="100">
        <v>0.54</v>
      </c>
      <c r="K42" s="100">
        <v>283.75</v>
      </c>
      <c r="L42" s="100">
        <v>30.18</v>
      </c>
      <c r="M42" s="100">
        <v>62.46</v>
      </c>
      <c r="N42" s="100">
        <v>126.6</v>
      </c>
      <c r="O42" s="100">
        <v>0</v>
      </c>
      <c r="P42" s="100">
        <v>0.53</v>
      </c>
      <c r="Q42" s="100">
        <v>5.7</v>
      </c>
      <c r="R42" s="6"/>
      <c r="S42" s="6"/>
      <c r="T42" s="156"/>
      <c r="U42" s="6"/>
    </row>
    <row r="43" spans="1:21" customFormat="1">
      <c r="A43" s="100" t="s">
        <v>752</v>
      </c>
      <c r="B43" s="100">
        <v>24.71</v>
      </c>
      <c r="C43" s="100">
        <v>54.16</v>
      </c>
      <c r="D43" s="100">
        <v>49.46</v>
      </c>
      <c r="E43" s="100">
        <v>6.76</v>
      </c>
      <c r="F43" s="100">
        <v>4.58</v>
      </c>
      <c r="G43" s="100">
        <v>30.79</v>
      </c>
      <c r="H43" s="100">
        <v>11.06</v>
      </c>
      <c r="I43" s="100">
        <v>4.54</v>
      </c>
      <c r="J43" s="100">
        <v>0.66</v>
      </c>
      <c r="K43" s="100">
        <v>272.67</v>
      </c>
      <c r="L43" s="100">
        <v>30.9</v>
      </c>
      <c r="M43" s="100">
        <v>59.48</v>
      </c>
      <c r="N43" s="100">
        <v>139.5</v>
      </c>
      <c r="O43" s="100">
        <v>0</v>
      </c>
      <c r="P43" s="100">
        <v>0.54</v>
      </c>
      <c r="Q43" s="100">
        <v>5.73</v>
      </c>
      <c r="R43" s="6"/>
      <c r="S43" s="6"/>
      <c r="T43" s="156"/>
      <c r="U43" s="6"/>
    </row>
    <row r="44" spans="1:21" customFormat="1">
      <c r="A44" s="100" t="s">
        <v>753</v>
      </c>
      <c r="B44" s="100">
        <v>23.2</v>
      </c>
      <c r="C44" s="100">
        <v>55.06</v>
      </c>
      <c r="D44" s="100">
        <v>48.72</v>
      </c>
      <c r="E44" s="100">
        <v>6.29</v>
      </c>
      <c r="F44" s="100">
        <v>4.6900000000000004</v>
      </c>
      <c r="G44" s="100">
        <v>30.79</v>
      </c>
      <c r="H44" s="100">
        <v>11.06</v>
      </c>
      <c r="I44" s="100">
        <v>4.71</v>
      </c>
      <c r="J44" s="100">
        <v>0.95</v>
      </c>
      <c r="K44" s="100">
        <v>292.05</v>
      </c>
      <c r="L44" s="100">
        <v>31.28</v>
      </c>
      <c r="M44" s="100">
        <v>56.61</v>
      </c>
      <c r="N44" s="100">
        <v>200.1</v>
      </c>
      <c r="O44" s="100">
        <v>0</v>
      </c>
      <c r="P44" s="100">
        <v>0.55000000000000004</v>
      </c>
      <c r="Q44" s="100">
        <v>5.66</v>
      </c>
      <c r="R44" s="6"/>
      <c r="S44" s="6"/>
      <c r="T44" s="156"/>
      <c r="U44" s="6"/>
    </row>
    <row r="45" spans="1:21" customFormat="1">
      <c r="A45" s="100" t="s">
        <v>754</v>
      </c>
      <c r="B45" s="100">
        <v>21.69</v>
      </c>
      <c r="C45" s="100">
        <v>54.24</v>
      </c>
      <c r="D45" s="100">
        <v>47.08</v>
      </c>
      <c r="E45" s="100">
        <v>6.31</v>
      </c>
      <c r="F45" s="100">
        <v>5.6</v>
      </c>
      <c r="G45" s="100">
        <v>30.79</v>
      </c>
      <c r="H45" s="100">
        <v>11.06</v>
      </c>
      <c r="I45" s="100">
        <v>4.8099999999999996</v>
      </c>
      <c r="J45" s="100">
        <v>0.92</v>
      </c>
      <c r="K45" s="100">
        <v>296.14</v>
      </c>
      <c r="L45" s="100">
        <v>31.9</v>
      </c>
      <c r="M45" s="100">
        <v>55.57</v>
      </c>
      <c r="N45" s="100">
        <v>297.10000000000002</v>
      </c>
      <c r="O45" s="100">
        <v>0</v>
      </c>
      <c r="P45" s="100">
        <v>0.56000000000000005</v>
      </c>
      <c r="Q45" s="100">
        <v>5.54</v>
      </c>
      <c r="R45" s="6"/>
      <c r="S45" s="6"/>
      <c r="T45" s="156"/>
      <c r="U45" s="6"/>
    </row>
    <row r="46" spans="1:21" customFormat="1">
      <c r="A46" s="100" t="s">
        <v>755</v>
      </c>
      <c r="B46" s="100">
        <v>20.02</v>
      </c>
      <c r="C46" s="100">
        <v>56.4</v>
      </c>
      <c r="D46" s="100">
        <v>46.87</v>
      </c>
      <c r="E46" s="100">
        <v>6.5</v>
      </c>
      <c r="F46" s="100">
        <v>6.59</v>
      </c>
      <c r="G46" s="100">
        <v>36.03</v>
      </c>
      <c r="H46" s="100">
        <v>16.7</v>
      </c>
      <c r="I46" s="100">
        <v>4.9400000000000004</v>
      </c>
      <c r="J46" s="100">
        <v>0.92</v>
      </c>
      <c r="K46" s="100">
        <v>299.01</v>
      </c>
      <c r="L46" s="100">
        <v>32.21</v>
      </c>
      <c r="M46" s="100">
        <v>53.34</v>
      </c>
      <c r="N46" s="100">
        <v>215.7</v>
      </c>
      <c r="O46" s="100">
        <v>0</v>
      </c>
      <c r="P46" s="100">
        <v>0.57999999999999996</v>
      </c>
      <c r="Q46" s="100">
        <v>5.53</v>
      </c>
      <c r="R46" s="6"/>
      <c r="S46" s="6"/>
      <c r="T46" s="156"/>
      <c r="U46" s="6"/>
    </row>
    <row r="47" spans="1:21" customFormat="1">
      <c r="A47" s="100" t="s">
        <v>756</v>
      </c>
      <c r="B47" s="100">
        <v>18.45</v>
      </c>
      <c r="C47" s="100">
        <v>54.51</v>
      </c>
      <c r="D47" s="100">
        <v>44.63</v>
      </c>
      <c r="E47" s="100">
        <v>6.51</v>
      </c>
      <c r="F47" s="100">
        <v>7.06</v>
      </c>
      <c r="G47" s="100">
        <v>45.09</v>
      </c>
      <c r="H47" s="100">
        <v>22.69</v>
      </c>
      <c r="I47" s="100">
        <v>5.0199999999999996</v>
      </c>
      <c r="J47" s="100">
        <v>0.79</v>
      </c>
      <c r="K47" s="100">
        <v>263.10000000000002</v>
      </c>
      <c r="L47" s="100">
        <v>32.619999999999997</v>
      </c>
      <c r="M47" s="100">
        <v>51.08</v>
      </c>
      <c r="N47" s="100">
        <v>364.9</v>
      </c>
      <c r="O47" s="100">
        <v>0</v>
      </c>
      <c r="P47" s="100">
        <v>0.56000000000000005</v>
      </c>
      <c r="Q47" s="100">
        <v>5.34</v>
      </c>
      <c r="R47" s="6"/>
      <c r="S47" s="6"/>
      <c r="T47" s="156"/>
      <c r="U47" s="6"/>
    </row>
    <row r="48" spans="1:21" customFormat="1">
      <c r="A48" s="100" t="s">
        <v>757</v>
      </c>
      <c r="B48" s="100">
        <v>16.8</v>
      </c>
      <c r="C48" s="100">
        <v>56.63</v>
      </c>
      <c r="D48" s="100">
        <v>44.41</v>
      </c>
      <c r="E48" s="100">
        <v>6.21</v>
      </c>
      <c r="F48" s="100">
        <v>5.27</v>
      </c>
      <c r="G48" s="100">
        <v>45.09</v>
      </c>
      <c r="H48" s="100">
        <v>22.69</v>
      </c>
      <c r="I48" s="100">
        <v>5.05</v>
      </c>
      <c r="J48" s="100">
        <v>0.25</v>
      </c>
      <c r="K48" s="100">
        <v>306.45999999999998</v>
      </c>
      <c r="L48" s="100">
        <v>33.19</v>
      </c>
      <c r="M48" s="100">
        <v>48.05</v>
      </c>
      <c r="N48" s="100">
        <v>244.6</v>
      </c>
      <c r="O48" s="100">
        <v>0</v>
      </c>
      <c r="P48" s="100">
        <v>0.57999999999999996</v>
      </c>
      <c r="Q48" s="100">
        <v>5.33</v>
      </c>
      <c r="R48" s="6"/>
      <c r="S48" s="6"/>
      <c r="T48" s="156"/>
      <c r="U48" s="6"/>
    </row>
    <row r="49" spans="1:21" customFormat="1">
      <c r="A49" s="100" t="s">
        <v>758</v>
      </c>
      <c r="B49" s="100">
        <v>15.09</v>
      </c>
      <c r="C49" s="100">
        <v>53.78</v>
      </c>
      <c r="D49" s="100">
        <v>41.55</v>
      </c>
      <c r="E49" s="100">
        <v>6.11</v>
      </c>
      <c r="F49" s="100">
        <v>7.1</v>
      </c>
      <c r="G49" s="100">
        <v>45.09</v>
      </c>
      <c r="H49" s="100">
        <v>22.69</v>
      </c>
      <c r="I49" s="100">
        <v>5.16</v>
      </c>
      <c r="J49" s="100">
        <v>1.1499999999999999</v>
      </c>
      <c r="K49" s="100">
        <v>302.62</v>
      </c>
      <c r="L49" s="100">
        <v>33.46</v>
      </c>
      <c r="M49" s="100">
        <v>44.56</v>
      </c>
      <c r="N49" s="100">
        <v>226.4</v>
      </c>
      <c r="O49" s="100">
        <v>0</v>
      </c>
      <c r="P49" s="100">
        <v>0.56999999999999995</v>
      </c>
      <c r="Q49" s="100">
        <v>5.23</v>
      </c>
      <c r="R49" s="6"/>
      <c r="S49" s="6"/>
      <c r="T49" s="156"/>
      <c r="U49" s="6"/>
    </row>
    <row r="50" spans="1:21" customFormat="1">
      <c r="A50" s="100" t="s">
        <v>759</v>
      </c>
      <c r="B50" s="100">
        <v>13.75</v>
      </c>
      <c r="C50" s="100">
        <v>53.44</v>
      </c>
      <c r="D50" s="100">
        <v>40.299999999999997</v>
      </c>
      <c r="E50" s="100">
        <v>7.24</v>
      </c>
      <c r="F50" s="100">
        <v>7.4</v>
      </c>
      <c r="G50" s="100">
        <v>46.3</v>
      </c>
      <c r="H50" s="100">
        <v>21.91</v>
      </c>
      <c r="I50" s="100">
        <v>5.2</v>
      </c>
      <c r="J50" s="100">
        <v>0.83</v>
      </c>
      <c r="K50" s="100">
        <v>281.39999999999998</v>
      </c>
      <c r="L50" s="100">
        <v>34.15</v>
      </c>
      <c r="M50" s="100">
        <v>41.83</v>
      </c>
      <c r="N50" s="100">
        <v>249.9</v>
      </c>
      <c r="O50" s="100">
        <v>0</v>
      </c>
      <c r="P50" s="100">
        <v>0.56000000000000005</v>
      </c>
      <c r="Q50" s="100">
        <v>5.0599999999999996</v>
      </c>
      <c r="R50" s="6"/>
      <c r="S50" s="6"/>
      <c r="T50" s="156"/>
      <c r="U50" s="6"/>
    </row>
    <row r="51" spans="1:21" customFormat="1">
      <c r="A51" s="100" t="s">
        <v>760</v>
      </c>
      <c r="B51" s="100">
        <v>12.79</v>
      </c>
      <c r="C51" s="100">
        <v>56.69</v>
      </c>
      <c r="D51" s="100">
        <v>41.23</v>
      </c>
      <c r="E51" s="100">
        <v>7.22</v>
      </c>
      <c r="F51" s="100">
        <v>7.82</v>
      </c>
      <c r="G51" s="100">
        <v>48.41</v>
      </c>
      <c r="H51" s="100">
        <v>21.11</v>
      </c>
      <c r="I51" s="100">
        <v>5.1100000000000003</v>
      </c>
      <c r="J51" s="100">
        <v>0.52</v>
      </c>
      <c r="K51" s="100">
        <v>301.72000000000003</v>
      </c>
      <c r="L51" s="100">
        <v>34.44</v>
      </c>
      <c r="M51" s="100">
        <v>41.6</v>
      </c>
      <c r="N51" s="100">
        <v>689.9</v>
      </c>
      <c r="O51" s="100">
        <v>0</v>
      </c>
      <c r="P51" s="100">
        <v>0.57999999999999996</v>
      </c>
      <c r="Q51" s="100">
        <v>5.12</v>
      </c>
      <c r="R51" s="6"/>
      <c r="S51" s="6"/>
      <c r="T51" s="156"/>
      <c r="U51" s="6"/>
    </row>
    <row r="52" spans="1:21" customFormat="1">
      <c r="A52" s="100" t="s">
        <v>761</v>
      </c>
      <c r="B52" s="100">
        <v>11.84</v>
      </c>
      <c r="C52" s="100">
        <v>54.36</v>
      </c>
      <c r="D52" s="100">
        <v>39.25</v>
      </c>
      <c r="E52" s="100">
        <v>7.33</v>
      </c>
      <c r="F52" s="100">
        <v>9.2899999999999991</v>
      </c>
      <c r="G52" s="100">
        <v>48.41</v>
      </c>
      <c r="H52" s="100">
        <v>21.11</v>
      </c>
      <c r="I52" s="100">
        <v>5.03</v>
      </c>
      <c r="J52" s="100">
        <v>0.87</v>
      </c>
      <c r="K52" s="100">
        <v>300.5</v>
      </c>
      <c r="L52" s="100">
        <v>34.81</v>
      </c>
      <c r="M52" s="100">
        <v>39.85</v>
      </c>
      <c r="N52" s="100">
        <v>773.8</v>
      </c>
      <c r="O52" s="100">
        <v>0</v>
      </c>
      <c r="P52" s="100">
        <v>0.56000000000000005</v>
      </c>
      <c r="Q52" s="100">
        <v>5</v>
      </c>
      <c r="R52" s="6"/>
      <c r="S52" s="6"/>
      <c r="T52" s="156"/>
      <c r="U52" s="6"/>
    </row>
    <row r="53" spans="1:21" customFormat="1">
      <c r="A53" s="100" t="s">
        <v>762</v>
      </c>
      <c r="B53" s="100">
        <v>10.77</v>
      </c>
      <c r="C53" s="100">
        <v>52.49</v>
      </c>
      <c r="D53" s="100">
        <v>37.409999999999997</v>
      </c>
      <c r="E53" s="100">
        <v>7.67</v>
      </c>
      <c r="F53" s="100">
        <v>10.87</v>
      </c>
      <c r="G53" s="100">
        <v>48.41</v>
      </c>
      <c r="H53" s="100">
        <v>21.11</v>
      </c>
      <c r="I53" s="100">
        <v>5</v>
      </c>
      <c r="J53" s="100">
        <v>0.5</v>
      </c>
      <c r="K53" s="100">
        <v>293.58</v>
      </c>
      <c r="L53" s="100">
        <v>34.82</v>
      </c>
      <c r="M53" s="100">
        <v>39.29</v>
      </c>
      <c r="N53" s="100">
        <v>759.2</v>
      </c>
      <c r="O53" s="100">
        <v>0</v>
      </c>
      <c r="P53" s="100">
        <v>0.55000000000000004</v>
      </c>
      <c r="Q53" s="100">
        <v>4.8600000000000003</v>
      </c>
      <c r="R53" s="6"/>
      <c r="S53" s="6"/>
      <c r="T53" s="156"/>
      <c r="U53" s="6"/>
    </row>
    <row r="54" spans="1:21" customFormat="1">
      <c r="A54" s="100" t="s">
        <v>763</v>
      </c>
      <c r="B54" s="100">
        <v>9.74</v>
      </c>
      <c r="C54" s="100">
        <v>50.64</v>
      </c>
      <c r="D54" s="100">
        <v>35.619999999999997</v>
      </c>
      <c r="E54" s="100">
        <v>7.7</v>
      </c>
      <c r="F54" s="100">
        <v>11.75</v>
      </c>
      <c r="G54" s="100">
        <v>47.8</v>
      </c>
      <c r="H54" s="100">
        <v>22.1</v>
      </c>
      <c r="I54" s="100">
        <v>4.87</v>
      </c>
      <c r="J54" s="100">
        <v>0.57999999999999996</v>
      </c>
      <c r="K54" s="100">
        <v>282.48</v>
      </c>
      <c r="L54" s="100">
        <v>35.369999999999997</v>
      </c>
      <c r="M54" s="100">
        <v>37.6</v>
      </c>
      <c r="N54" s="100">
        <v>825.9</v>
      </c>
      <c r="O54" s="100">
        <v>0</v>
      </c>
      <c r="P54" s="100">
        <v>0.54</v>
      </c>
      <c r="Q54" s="100">
        <v>4.72</v>
      </c>
      <c r="R54" s="6"/>
      <c r="S54" s="6"/>
      <c r="T54" s="156"/>
      <c r="U54" s="6"/>
    </row>
    <row r="55" spans="1:21" customFormat="1">
      <c r="A55" s="100" t="s">
        <v>764</v>
      </c>
      <c r="B55" s="100">
        <v>8.41</v>
      </c>
      <c r="C55" s="100">
        <v>45.23</v>
      </c>
      <c r="D55" s="100">
        <v>31.73</v>
      </c>
      <c r="E55" s="100">
        <v>6.82</v>
      </c>
      <c r="F55" s="100">
        <v>20.32</v>
      </c>
      <c r="G55" s="100">
        <v>46.75</v>
      </c>
      <c r="H55" s="100">
        <v>23.13</v>
      </c>
      <c r="I55" s="100">
        <v>4.8600000000000003</v>
      </c>
      <c r="J55" s="100">
        <v>0.71</v>
      </c>
      <c r="K55" s="100">
        <v>323.83</v>
      </c>
      <c r="L55" s="100">
        <v>35.36</v>
      </c>
      <c r="M55" s="100">
        <v>36.81</v>
      </c>
      <c r="N55" s="100">
        <v>781.9</v>
      </c>
      <c r="O55" s="100">
        <v>0</v>
      </c>
      <c r="P55" s="100">
        <v>0.51</v>
      </c>
      <c r="Q55" s="100">
        <v>4.59</v>
      </c>
      <c r="R55" s="6"/>
      <c r="S55" s="6"/>
      <c r="T55" s="156"/>
      <c r="U55" s="6"/>
    </row>
    <row r="56" spans="1:21" customFormat="1">
      <c r="A56" s="100" t="s">
        <v>765</v>
      </c>
      <c r="B56" s="135" t="s">
        <v>12</v>
      </c>
      <c r="C56" s="135" t="s">
        <v>12</v>
      </c>
      <c r="D56" s="135" t="s">
        <v>12</v>
      </c>
      <c r="E56" s="135" t="s">
        <v>12</v>
      </c>
      <c r="F56" s="100">
        <v>51.17</v>
      </c>
      <c r="G56" s="135" t="s">
        <v>12</v>
      </c>
      <c r="H56" s="135" t="s">
        <v>12</v>
      </c>
      <c r="I56" s="100">
        <v>4.7300000000000004</v>
      </c>
      <c r="J56" s="100">
        <v>0.3</v>
      </c>
      <c r="K56" s="100">
        <v>39.03</v>
      </c>
      <c r="L56" s="100">
        <v>35.67</v>
      </c>
      <c r="M56" s="100">
        <v>36.54</v>
      </c>
      <c r="N56" s="100">
        <v>654.1</v>
      </c>
      <c r="O56" s="100">
        <v>0</v>
      </c>
      <c r="P56" s="135" t="s">
        <v>12</v>
      </c>
      <c r="Q56" s="100">
        <v>4.37</v>
      </c>
      <c r="R56" s="6"/>
      <c r="S56" s="6"/>
      <c r="T56" s="156"/>
      <c r="U56" s="6"/>
    </row>
    <row r="57" spans="1:21" customFormat="1">
      <c r="A57" s="100" t="s">
        <v>766</v>
      </c>
      <c r="B57" s="135" t="s">
        <v>12</v>
      </c>
      <c r="C57" s="135" t="s">
        <v>12</v>
      </c>
      <c r="D57" s="135" t="s">
        <v>12</v>
      </c>
      <c r="E57" s="135" t="s">
        <v>12</v>
      </c>
      <c r="F57" s="100">
        <v>63.85</v>
      </c>
      <c r="G57" s="135" t="s">
        <v>12</v>
      </c>
      <c r="H57" s="135" t="s">
        <v>12</v>
      </c>
      <c r="I57" s="100">
        <v>4.4000000000000004</v>
      </c>
      <c r="J57" s="100">
        <v>0.55000000000000004</v>
      </c>
      <c r="K57" s="100">
        <v>280.20999999999998</v>
      </c>
      <c r="L57" s="100">
        <v>36.07</v>
      </c>
      <c r="M57" s="100">
        <v>36.07</v>
      </c>
      <c r="N57" s="100">
        <v>738.9</v>
      </c>
      <c r="O57" s="100">
        <v>0</v>
      </c>
      <c r="P57" s="100">
        <v>0.49</v>
      </c>
      <c r="Q57" s="100">
        <v>4.49</v>
      </c>
      <c r="R57" s="6"/>
      <c r="S57" s="6"/>
      <c r="T57" s="156"/>
      <c r="U57" s="6"/>
    </row>
    <row r="58" spans="1:21" customFormat="1">
      <c r="A58" s="100" t="s">
        <v>767</v>
      </c>
      <c r="B58" s="135" t="s">
        <v>12</v>
      </c>
      <c r="C58" s="135" t="s">
        <v>12</v>
      </c>
      <c r="D58" s="135" t="s">
        <v>12</v>
      </c>
      <c r="E58" s="135" t="s">
        <v>12</v>
      </c>
      <c r="F58" s="100">
        <v>48.86</v>
      </c>
      <c r="G58" s="135" t="s">
        <v>12</v>
      </c>
      <c r="H58" s="135" t="s">
        <v>12</v>
      </c>
      <c r="I58" s="100">
        <v>5.72</v>
      </c>
      <c r="J58" s="100">
        <v>0.51</v>
      </c>
      <c r="K58" s="100">
        <v>288.33999999999997</v>
      </c>
      <c r="L58" s="100">
        <v>36.26</v>
      </c>
      <c r="M58" s="100">
        <v>33.96</v>
      </c>
      <c r="N58" s="100">
        <v>696.3</v>
      </c>
      <c r="O58" s="100">
        <v>0</v>
      </c>
      <c r="P58" s="100">
        <v>0.47</v>
      </c>
      <c r="Q58" s="100">
        <v>4.84</v>
      </c>
      <c r="R58" s="6"/>
      <c r="S58" s="6"/>
      <c r="T58" s="156"/>
      <c r="U58" s="6"/>
    </row>
    <row r="59" spans="1:21" customFormat="1">
      <c r="A59" s="100" t="s">
        <v>768</v>
      </c>
      <c r="B59" s="100">
        <v>10.199999999999999</v>
      </c>
      <c r="C59" s="100">
        <v>28.92</v>
      </c>
      <c r="D59" s="100">
        <v>24.64</v>
      </c>
      <c r="E59" s="135" t="s">
        <v>12</v>
      </c>
      <c r="F59" s="100">
        <v>36.72</v>
      </c>
      <c r="G59" s="135" t="s">
        <v>12</v>
      </c>
      <c r="H59" s="135" t="s">
        <v>12</v>
      </c>
      <c r="I59" s="100">
        <v>6.7</v>
      </c>
      <c r="J59" s="100">
        <v>0.59</v>
      </c>
      <c r="K59" s="100">
        <v>321.42</v>
      </c>
      <c r="L59" s="100">
        <v>36.450000000000003</v>
      </c>
      <c r="M59" s="100">
        <v>32.26</v>
      </c>
      <c r="N59" s="100">
        <v>539</v>
      </c>
      <c r="O59" s="100">
        <v>0</v>
      </c>
      <c r="P59" s="100">
        <v>0.46</v>
      </c>
      <c r="Q59" s="100">
        <v>4.99</v>
      </c>
      <c r="R59" s="6"/>
      <c r="S59" s="6"/>
      <c r="T59" s="156"/>
      <c r="U59" s="6"/>
    </row>
    <row r="60" spans="1:21" customFormat="1">
      <c r="A60" s="100" t="s">
        <v>769</v>
      </c>
      <c r="B60" s="100">
        <v>15.67</v>
      </c>
      <c r="C60" s="100">
        <v>27.54</v>
      </c>
      <c r="D60" s="100">
        <v>28.3</v>
      </c>
      <c r="E60" s="135" t="s">
        <v>12</v>
      </c>
      <c r="F60" s="100">
        <v>27.08</v>
      </c>
      <c r="G60" s="135" t="s">
        <v>12</v>
      </c>
      <c r="H60" s="135" t="s">
        <v>12</v>
      </c>
      <c r="I60" s="100">
        <v>10</v>
      </c>
      <c r="J60" s="100">
        <v>0.72</v>
      </c>
      <c r="K60" s="100">
        <v>8.18</v>
      </c>
      <c r="L60" s="100">
        <v>35.85</v>
      </c>
      <c r="M60" s="100">
        <v>32.89</v>
      </c>
      <c r="N60" s="100">
        <v>475.6</v>
      </c>
      <c r="O60" s="100">
        <v>0</v>
      </c>
      <c r="P60" s="100">
        <v>0.46</v>
      </c>
      <c r="Q60" s="100">
        <v>5</v>
      </c>
      <c r="R60" s="6"/>
      <c r="S60" s="6"/>
      <c r="T60" s="156"/>
      <c r="U60" s="6"/>
    </row>
    <row r="61" spans="1:21" customFormat="1">
      <c r="A61" s="100" t="s">
        <v>770</v>
      </c>
      <c r="B61" s="100">
        <v>11.1</v>
      </c>
      <c r="C61" s="100">
        <v>28.86</v>
      </c>
      <c r="D61" s="100">
        <v>25.33</v>
      </c>
      <c r="E61" s="135" t="s">
        <v>12</v>
      </c>
      <c r="F61" s="100">
        <v>25.9</v>
      </c>
      <c r="G61" s="135" t="s">
        <v>12</v>
      </c>
      <c r="H61" s="135" t="s">
        <v>12</v>
      </c>
      <c r="I61" s="100">
        <v>14.54</v>
      </c>
      <c r="J61" s="100">
        <v>0.39</v>
      </c>
      <c r="K61" s="100">
        <v>80.48</v>
      </c>
      <c r="L61" s="100">
        <v>36.68</v>
      </c>
      <c r="M61" s="100">
        <v>33.49</v>
      </c>
      <c r="N61" s="100">
        <v>805.3</v>
      </c>
      <c r="O61" s="100">
        <v>0</v>
      </c>
      <c r="P61" s="100">
        <v>0.46</v>
      </c>
      <c r="Q61" s="100">
        <v>5</v>
      </c>
      <c r="R61" s="6"/>
      <c r="S61" s="6"/>
      <c r="T61" s="156"/>
      <c r="U61" s="6"/>
    </row>
    <row r="62" spans="1:21" customFormat="1">
      <c r="A62" s="100" t="s">
        <v>771</v>
      </c>
      <c r="B62" s="100">
        <v>24.72</v>
      </c>
      <c r="C62" s="100">
        <v>28.28</v>
      </c>
      <c r="D62" s="100">
        <v>35.950000000000003</v>
      </c>
      <c r="E62" s="135" t="s">
        <v>12</v>
      </c>
      <c r="F62" s="100">
        <v>21.01</v>
      </c>
      <c r="G62" s="135" t="s">
        <v>12</v>
      </c>
      <c r="H62" s="135" t="s">
        <v>12</v>
      </c>
      <c r="I62" s="100">
        <v>23.95</v>
      </c>
      <c r="J62" s="100">
        <v>0.55000000000000004</v>
      </c>
      <c r="K62" s="100">
        <v>11.35</v>
      </c>
      <c r="L62" s="100">
        <v>36.799999999999997</v>
      </c>
      <c r="M62" s="100">
        <v>31.4</v>
      </c>
      <c r="N62" s="100">
        <v>646.70000000000005</v>
      </c>
      <c r="O62" s="100">
        <v>0</v>
      </c>
      <c r="P62" s="100">
        <v>0.45</v>
      </c>
      <c r="Q62" s="100">
        <v>4.99</v>
      </c>
      <c r="R62" s="6"/>
      <c r="S62" s="6"/>
      <c r="T62" s="156"/>
      <c r="U62" s="6"/>
    </row>
    <row r="63" spans="1:21" customFormat="1">
      <c r="A63" s="100" t="s">
        <v>772</v>
      </c>
      <c r="B63" s="100">
        <v>12.85</v>
      </c>
      <c r="C63" s="100">
        <v>31.48</v>
      </c>
      <c r="D63" s="100">
        <v>28.1</v>
      </c>
      <c r="E63" s="135" t="s">
        <v>12</v>
      </c>
      <c r="F63" s="100">
        <v>19.010000000000002</v>
      </c>
      <c r="G63" s="135" t="s">
        <v>12</v>
      </c>
      <c r="H63" s="135" t="s">
        <v>12</v>
      </c>
      <c r="I63" s="100">
        <v>34.81</v>
      </c>
      <c r="J63" s="100">
        <v>0.39</v>
      </c>
      <c r="K63" s="100">
        <v>285.31</v>
      </c>
      <c r="L63" s="100">
        <v>36.93</v>
      </c>
      <c r="M63" s="100">
        <v>30.61</v>
      </c>
      <c r="N63" s="100">
        <v>705.4</v>
      </c>
      <c r="O63" s="100">
        <v>0</v>
      </c>
      <c r="P63" s="100">
        <v>0.44</v>
      </c>
      <c r="Q63" s="100">
        <v>4.97</v>
      </c>
      <c r="R63" s="6"/>
      <c r="S63" s="6"/>
      <c r="T63" s="156"/>
      <c r="U63" s="6"/>
    </row>
    <row r="64" spans="1:21" customFormat="1">
      <c r="A64" s="100" t="s">
        <v>773</v>
      </c>
      <c r="B64" s="100">
        <v>10.18</v>
      </c>
      <c r="C64" s="100">
        <v>34.299999999999997</v>
      </c>
      <c r="D64" s="100">
        <v>27.43</v>
      </c>
      <c r="E64" s="100">
        <v>9.9600000000000009</v>
      </c>
      <c r="F64" s="100">
        <v>16.190000000000001</v>
      </c>
      <c r="G64" s="100">
        <v>17.72</v>
      </c>
      <c r="H64" s="100">
        <v>10.16</v>
      </c>
      <c r="I64" s="100">
        <v>47.93</v>
      </c>
      <c r="J64" s="100">
        <v>1.31</v>
      </c>
      <c r="K64" s="100">
        <v>299.12</v>
      </c>
      <c r="L64" s="100">
        <v>36.840000000000003</v>
      </c>
      <c r="M64" s="100">
        <v>29.29</v>
      </c>
      <c r="N64" s="100">
        <v>770.3</v>
      </c>
      <c r="O64" s="100">
        <v>0</v>
      </c>
      <c r="P64" s="100">
        <v>0.44</v>
      </c>
      <c r="Q64" s="100">
        <v>4.9800000000000004</v>
      </c>
      <c r="R64" s="6"/>
      <c r="S64" s="6"/>
      <c r="T64" s="156"/>
      <c r="U64" s="6"/>
    </row>
    <row r="65" spans="1:21" customFormat="1">
      <c r="A65" s="100" t="s">
        <v>774</v>
      </c>
      <c r="B65" s="100">
        <v>7.04</v>
      </c>
      <c r="C65" s="100">
        <v>35.76</v>
      </c>
      <c r="D65" s="100">
        <v>25.68</v>
      </c>
      <c r="E65" s="100">
        <v>12.09</v>
      </c>
      <c r="F65" s="100">
        <v>32.01</v>
      </c>
      <c r="G65" s="100">
        <v>17.72</v>
      </c>
      <c r="H65" s="100">
        <v>10.16</v>
      </c>
      <c r="I65" s="100">
        <v>59.2</v>
      </c>
      <c r="J65" s="100">
        <v>0.59</v>
      </c>
      <c r="K65" s="100">
        <v>8.81</v>
      </c>
      <c r="L65" s="100">
        <v>37.11</v>
      </c>
      <c r="M65" s="100">
        <v>29.55</v>
      </c>
      <c r="N65" s="100">
        <v>670.7</v>
      </c>
      <c r="O65" s="100">
        <v>0</v>
      </c>
      <c r="P65" s="100">
        <v>0.44</v>
      </c>
      <c r="Q65" s="100">
        <v>5</v>
      </c>
      <c r="R65" s="6"/>
      <c r="S65" s="6"/>
      <c r="T65" s="156"/>
      <c r="U65" s="6"/>
    </row>
    <row r="66" spans="1:21" customFormat="1">
      <c r="A66" s="100" t="s">
        <v>775</v>
      </c>
      <c r="B66" s="100">
        <v>6.46</v>
      </c>
      <c r="C66" s="100">
        <v>36.880000000000003</v>
      </c>
      <c r="D66" s="100">
        <v>25.8</v>
      </c>
      <c r="E66" s="100">
        <v>15.11</v>
      </c>
      <c r="F66" s="100">
        <v>24.54</v>
      </c>
      <c r="G66" s="100">
        <v>28.09</v>
      </c>
      <c r="H66" s="100">
        <v>11.25</v>
      </c>
      <c r="I66" s="100">
        <v>66.040000000000006</v>
      </c>
      <c r="J66" s="100">
        <v>0.98</v>
      </c>
      <c r="K66" s="100">
        <v>27.26</v>
      </c>
      <c r="L66" s="100">
        <v>36.29</v>
      </c>
      <c r="M66" s="100">
        <v>32.020000000000003</v>
      </c>
      <c r="N66" s="100">
        <v>264.89999999999998</v>
      </c>
      <c r="O66" s="100">
        <v>0</v>
      </c>
      <c r="P66" s="100">
        <v>0.48</v>
      </c>
      <c r="Q66" s="100">
        <v>5</v>
      </c>
      <c r="R66" s="6"/>
      <c r="S66" s="6"/>
      <c r="T66" s="156"/>
      <c r="U66" s="6"/>
    </row>
    <row r="67" spans="1:21" customFormat="1">
      <c r="A67" s="100" t="s">
        <v>776</v>
      </c>
      <c r="B67" s="100">
        <v>6.56</v>
      </c>
      <c r="C67" s="100">
        <v>37.28</v>
      </c>
      <c r="D67" s="100">
        <v>26.09</v>
      </c>
      <c r="E67" s="100">
        <v>15.99</v>
      </c>
      <c r="F67" s="100">
        <v>33.1</v>
      </c>
      <c r="G67" s="100">
        <v>28.45</v>
      </c>
      <c r="H67" s="100">
        <v>11.25</v>
      </c>
      <c r="I67" s="100">
        <v>53.14</v>
      </c>
      <c r="J67" s="100">
        <v>1.1100000000000001</v>
      </c>
      <c r="K67" s="100">
        <v>50.19</v>
      </c>
      <c r="L67" s="100">
        <v>36.01</v>
      </c>
      <c r="M67" s="100">
        <v>32.21</v>
      </c>
      <c r="N67" s="100">
        <v>436.8</v>
      </c>
      <c r="O67" s="100">
        <v>0</v>
      </c>
      <c r="P67" s="100">
        <v>0.49</v>
      </c>
      <c r="Q67" s="100">
        <v>5</v>
      </c>
      <c r="R67" s="6"/>
      <c r="S67" s="6"/>
      <c r="T67" s="156"/>
      <c r="U67" s="6"/>
    </row>
    <row r="68" spans="1:21" customFormat="1">
      <c r="A68" s="100" t="s">
        <v>777</v>
      </c>
      <c r="B68" s="100">
        <v>6.73</v>
      </c>
      <c r="C68" s="100">
        <v>38.28</v>
      </c>
      <c r="D68" s="100">
        <v>26.75</v>
      </c>
      <c r="E68" s="100">
        <v>14.61</v>
      </c>
      <c r="F68" s="100">
        <v>31.29</v>
      </c>
      <c r="G68" s="100">
        <v>28.45</v>
      </c>
      <c r="H68" s="100">
        <v>11.25</v>
      </c>
      <c r="I68" s="100">
        <v>51.89</v>
      </c>
      <c r="J68" s="100">
        <v>0.65</v>
      </c>
      <c r="K68" s="100">
        <v>55.69</v>
      </c>
      <c r="L68" s="100">
        <v>35.79</v>
      </c>
      <c r="M68" s="100">
        <v>33.020000000000003</v>
      </c>
      <c r="N68" s="100">
        <v>236.4</v>
      </c>
      <c r="O68" s="100">
        <v>0</v>
      </c>
      <c r="P68" s="100">
        <v>0.48</v>
      </c>
      <c r="Q68" s="100">
        <v>5</v>
      </c>
      <c r="R68" s="6"/>
      <c r="S68" s="6"/>
      <c r="T68" s="156"/>
      <c r="U68" s="6"/>
    </row>
    <row r="69" spans="1:21" customFormat="1">
      <c r="A69" s="100" t="s">
        <v>778</v>
      </c>
      <c r="B69" s="100">
        <v>6.99</v>
      </c>
      <c r="C69" s="100">
        <v>37.07</v>
      </c>
      <c r="D69" s="100">
        <v>26.32</v>
      </c>
      <c r="E69" s="100">
        <v>15.65</v>
      </c>
      <c r="F69" s="100">
        <v>39.44</v>
      </c>
      <c r="G69" s="100">
        <v>28.45</v>
      </c>
      <c r="H69" s="100">
        <v>11.25</v>
      </c>
      <c r="I69" s="100">
        <v>45.51</v>
      </c>
      <c r="J69" s="100">
        <v>0.35</v>
      </c>
      <c r="K69" s="100">
        <v>50.66</v>
      </c>
      <c r="L69" s="100">
        <v>35.79</v>
      </c>
      <c r="M69" s="100">
        <v>31.74</v>
      </c>
      <c r="N69" s="100">
        <v>240.8</v>
      </c>
      <c r="O69" s="100">
        <v>0</v>
      </c>
      <c r="P69" s="100">
        <v>0.47</v>
      </c>
      <c r="Q69" s="100">
        <v>5</v>
      </c>
      <c r="R69" s="6"/>
      <c r="S69" s="6"/>
      <c r="T69" s="156"/>
      <c r="U69" s="6"/>
    </row>
    <row r="70" spans="1:21" customFormat="1">
      <c r="A70" s="100" t="s">
        <v>779</v>
      </c>
      <c r="B70" s="100">
        <v>7.42</v>
      </c>
      <c r="C70" s="100">
        <v>37.31</v>
      </c>
      <c r="D70" s="100">
        <v>26.79</v>
      </c>
      <c r="E70" s="100">
        <v>13.24</v>
      </c>
      <c r="F70" s="100">
        <v>28.54</v>
      </c>
      <c r="G70" s="100">
        <v>34.65</v>
      </c>
      <c r="H70" s="100">
        <v>13.72</v>
      </c>
      <c r="I70" s="100">
        <v>39.74</v>
      </c>
      <c r="J70" s="100">
        <v>0.37</v>
      </c>
      <c r="K70" s="100">
        <v>98.45</v>
      </c>
      <c r="L70" s="100">
        <v>36.22</v>
      </c>
      <c r="M70" s="100">
        <v>34.229999999999997</v>
      </c>
      <c r="N70" s="100">
        <v>333</v>
      </c>
      <c r="O70" s="100">
        <v>0</v>
      </c>
      <c r="P70" s="100">
        <v>0.45</v>
      </c>
      <c r="Q70" s="100">
        <v>5</v>
      </c>
      <c r="R70" s="6"/>
      <c r="S70" s="6"/>
      <c r="T70" s="156"/>
      <c r="U70" s="6"/>
    </row>
    <row r="71" spans="1:21" customFormat="1">
      <c r="A71" s="100" t="s">
        <v>780</v>
      </c>
      <c r="B71" s="100">
        <v>7.13</v>
      </c>
      <c r="C71" s="100">
        <v>37.99</v>
      </c>
      <c r="D71" s="100">
        <v>26.92</v>
      </c>
      <c r="E71" s="100">
        <v>11.98</v>
      </c>
      <c r="F71" s="100">
        <v>26.46</v>
      </c>
      <c r="G71" s="100">
        <v>34.869999999999997</v>
      </c>
      <c r="H71" s="100">
        <v>13.72</v>
      </c>
      <c r="I71" s="100">
        <v>34.950000000000003</v>
      </c>
      <c r="J71" s="100">
        <v>0.38</v>
      </c>
      <c r="K71" s="100">
        <v>107.12</v>
      </c>
      <c r="L71" s="100">
        <v>36.9</v>
      </c>
      <c r="M71" s="100">
        <v>30.57</v>
      </c>
      <c r="N71" s="100">
        <v>500.7</v>
      </c>
      <c r="O71" s="100">
        <v>0</v>
      </c>
      <c r="P71" s="100">
        <v>0.45</v>
      </c>
      <c r="Q71" s="100">
        <v>5</v>
      </c>
      <c r="R71" s="6"/>
      <c r="S71" s="6"/>
      <c r="T71" s="156"/>
      <c r="U71" s="6"/>
    </row>
    <row r="72" spans="1:21" customFormat="1">
      <c r="A72" s="100" t="s">
        <v>781</v>
      </c>
      <c r="B72" s="100">
        <v>7.48</v>
      </c>
      <c r="C72" s="100">
        <v>38.68</v>
      </c>
      <c r="D72" s="100">
        <v>27.55</v>
      </c>
      <c r="E72" s="100">
        <v>12.6</v>
      </c>
      <c r="F72" s="100">
        <v>27.51</v>
      </c>
      <c r="G72" s="100">
        <v>34.869999999999997</v>
      </c>
      <c r="H72" s="100">
        <v>13.72</v>
      </c>
      <c r="I72" s="100">
        <v>37.89</v>
      </c>
      <c r="J72" s="100">
        <v>0.28000000000000003</v>
      </c>
      <c r="K72" s="100">
        <v>342.75</v>
      </c>
      <c r="L72" s="100">
        <v>37.119999999999997</v>
      </c>
      <c r="M72" s="100">
        <v>29.39</v>
      </c>
      <c r="N72" s="100">
        <v>393.5</v>
      </c>
      <c r="O72" s="100">
        <v>0</v>
      </c>
      <c r="P72" s="100">
        <v>0.47</v>
      </c>
      <c r="Q72" s="100">
        <v>5</v>
      </c>
      <c r="R72" s="6"/>
      <c r="S72" s="6"/>
      <c r="T72" s="156"/>
      <c r="U72" s="6"/>
    </row>
    <row r="73" spans="1:21" customFormat="1">
      <c r="A73" s="100" t="s">
        <v>782</v>
      </c>
      <c r="B73" s="100">
        <v>8.02</v>
      </c>
      <c r="C73" s="100">
        <v>39.53</v>
      </c>
      <c r="D73" s="100">
        <v>28.43</v>
      </c>
      <c r="E73" s="100">
        <v>13.27</v>
      </c>
      <c r="F73" s="100">
        <v>25.98</v>
      </c>
      <c r="G73" s="100">
        <v>34.869999999999997</v>
      </c>
      <c r="H73" s="100">
        <v>13.72</v>
      </c>
      <c r="I73" s="100">
        <v>38.58</v>
      </c>
      <c r="J73" s="100">
        <v>0.78</v>
      </c>
      <c r="K73" s="100">
        <v>324.02999999999997</v>
      </c>
      <c r="L73" s="100">
        <v>36.57</v>
      </c>
      <c r="M73" s="100">
        <v>29.53</v>
      </c>
      <c r="N73" s="100">
        <v>341.8</v>
      </c>
      <c r="O73" s="100">
        <v>0</v>
      </c>
      <c r="P73" s="100">
        <v>0.48</v>
      </c>
      <c r="Q73" s="100">
        <v>5</v>
      </c>
      <c r="R73" s="6"/>
      <c r="S73" s="6"/>
      <c r="T73" s="156"/>
      <c r="U73" s="6"/>
    </row>
    <row r="74" spans="1:21" customFormat="1">
      <c r="A74" s="100" t="s">
        <v>783</v>
      </c>
      <c r="B74" s="100">
        <v>8.4499999999999993</v>
      </c>
      <c r="C74" s="100">
        <v>39.94</v>
      </c>
      <c r="D74" s="100">
        <v>29</v>
      </c>
      <c r="E74" s="100">
        <v>15.13</v>
      </c>
      <c r="F74" s="100">
        <v>31.66</v>
      </c>
      <c r="G74" s="100">
        <v>31.41</v>
      </c>
      <c r="H74" s="100">
        <v>13.57</v>
      </c>
      <c r="I74" s="100">
        <v>35.24</v>
      </c>
      <c r="J74" s="100">
        <v>0.52</v>
      </c>
      <c r="K74" s="100">
        <v>334.57</v>
      </c>
      <c r="L74" s="100">
        <v>36.32</v>
      </c>
      <c r="M74" s="100">
        <v>29.84</v>
      </c>
      <c r="N74" s="100">
        <v>222</v>
      </c>
      <c r="O74" s="100">
        <v>0</v>
      </c>
      <c r="P74" s="100">
        <v>0.48</v>
      </c>
      <c r="Q74" s="100">
        <v>4.9800000000000004</v>
      </c>
      <c r="R74" s="6"/>
      <c r="S74" s="6"/>
      <c r="T74" s="156"/>
      <c r="U74" s="6"/>
    </row>
    <row r="75" spans="1:21" customFormat="1">
      <c r="A75" s="100" t="s">
        <v>784</v>
      </c>
      <c r="B75" s="100">
        <v>8.57</v>
      </c>
      <c r="C75" s="100">
        <v>40.950000000000003</v>
      </c>
      <c r="D75" s="100">
        <v>29.62</v>
      </c>
      <c r="E75" s="100">
        <v>14.75</v>
      </c>
      <c r="F75" s="100">
        <v>36.270000000000003</v>
      </c>
      <c r="G75" s="100">
        <v>31.29</v>
      </c>
      <c r="H75" s="100">
        <v>13.57</v>
      </c>
      <c r="I75" s="100">
        <v>32.770000000000003</v>
      </c>
      <c r="J75" s="100">
        <v>0.23</v>
      </c>
      <c r="K75" s="100">
        <v>321.81</v>
      </c>
      <c r="L75" s="100">
        <v>35.979999999999997</v>
      </c>
      <c r="M75" s="100">
        <v>30.72</v>
      </c>
      <c r="N75" s="100">
        <v>136.6</v>
      </c>
      <c r="O75" s="100">
        <v>0</v>
      </c>
      <c r="P75" s="100">
        <v>0.46</v>
      </c>
      <c r="Q75" s="100">
        <v>4.97</v>
      </c>
      <c r="R75" s="6"/>
      <c r="S75" s="6"/>
      <c r="T75" s="156"/>
      <c r="U75" s="6"/>
    </row>
    <row r="76" spans="1:21" customFormat="1">
      <c r="A76" s="100" t="s">
        <v>785</v>
      </c>
      <c r="B76" s="100">
        <v>8.69</v>
      </c>
      <c r="C76" s="100">
        <v>44.96</v>
      </c>
      <c r="D76" s="100">
        <v>31.81</v>
      </c>
      <c r="E76" s="100">
        <v>13.7</v>
      </c>
      <c r="F76" s="100">
        <v>16.95</v>
      </c>
      <c r="G76" s="100">
        <v>31.29</v>
      </c>
      <c r="H76" s="100">
        <v>13.57</v>
      </c>
      <c r="I76" s="100">
        <v>29.5</v>
      </c>
      <c r="J76" s="100">
        <v>0.56999999999999995</v>
      </c>
      <c r="K76" s="100">
        <v>36.1</v>
      </c>
      <c r="L76" s="100">
        <v>35.22</v>
      </c>
      <c r="M76" s="100">
        <v>32.17</v>
      </c>
      <c r="N76" s="100">
        <v>50</v>
      </c>
      <c r="O76" s="100">
        <v>0</v>
      </c>
      <c r="P76" s="100">
        <v>0.51</v>
      </c>
      <c r="Q76" s="100">
        <v>4.8600000000000003</v>
      </c>
      <c r="R76" s="6"/>
      <c r="S76" s="6"/>
      <c r="T76" s="156"/>
      <c r="U76" s="6"/>
    </row>
    <row r="77" spans="1:21" customFormat="1">
      <c r="A77" s="100" t="s">
        <v>786</v>
      </c>
      <c r="B77" s="100">
        <v>9.7100000000000009</v>
      </c>
      <c r="C77" s="100">
        <v>49.4</v>
      </c>
      <c r="D77" s="100">
        <v>34.950000000000003</v>
      </c>
      <c r="E77" s="100">
        <v>13.32</v>
      </c>
      <c r="F77" s="100">
        <v>24.46</v>
      </c>
      <c r="G77" s="100">
        <v>31.29</v>
      </c>
      <c r="H77" s="100">
        <v>13.57</v>
      </c>
      <c r="I77" s="100">
        <v>25.53</v>
      </c>
      <c r="J77" s="100">
        <v>0.56999999999999995</v>
      </c>
      <c r="K77" s="100">
        <v>34.619999999999997</v>
      </c>
      <c r="L77" s="100">
        <v>34.74</v>
      </c>
      <c r="M77" s="100">
        <v>33.86</v>
      </c>
      <c r="N77" s="100">
        <v>61.7</v>
      </c>
      <c r="O77" s="100">
        <v>0</v>
      </c>
      <c r="P77" s="100">
        <v>0.56000000000000005</v>
      </c>
      <c r="Q77" s="100">
        <v>4.5599999999999996</v>
      </c>
      <c r="R77" s="6"/>
      <c r="S77" s="6"/>
      <c r="T77" s="156"/>
      <c r="U77" s="6"/>
    </row>
    <row r="78" spans="1:21" customFormat="1">
      <c r="A78" s="100" t="s">
        <v>787</v>
      </c>
      <c r="B78" s="100">
        <v>11.03</v>
      </c>
      <c r="C78" s="100">
        <v>53.13</v>
      </c>
      <c r="D78" s="100">
        <v>37.96</v>
      </c>
      <c r="E78" s="100">
        <v>12.99</v>
      </c>
      <c r="F78" s="100">
        <v>15.8</v>
      </c>
      <c r="G78" s="100">
        <v>38.07</v>
      </c>
      <c r="H78" s="100">
        <v>16.28</v>
      </c>
      <c r="I78" s="100">
        <v>29.66</v>
      </c>
      <c r="J78" s="100">
        <v>0.24</v>
      </c>
      <c r="K78" s="100">
        <v>356.91</v>
      </c>
      <c r="L78" s="100">
        <v>34.46</v>
      </c>
      <c r="M78" s="100">
        <v>34.270000000000003</v>
      </c>
      <c r="N78" s="100">
        <v>14.9</v>
      </c>
      <c r="O78" s="100">
        <v>0</v>
      </c>
      <c r="P78" s="100">
        <v>0.56999999999999995</v>
      </c>
      <c r="Q78" s="100">
        <v>4.6500000000000004</v>
      </c>
      <c r="R78" s="6"/>
      <c r="S78" s="6"/>
      <c r="T78" s="156"/>
      <c r="U78" s="6"/>
    </row>
    <row r="79" spans="1:21" customFormat="1">
      <c r="A79" s="100" t="s">
        <v>788</v>
      </c>
      <c r="B79" s="100">
        <v>10.23</v>
      </c>
      <c r="C79" s="100">
        <v>54.42</v>
      </c>
      <c r="D79" s="100">
        <v>37.99</v>
      </c>
      <c r="E79" s="100">
        <v>14.01</v>
      </c>
      <c r="F79" s="100">
        <v>19.61</v>
      </c>
      <c r="G79" s="100">
        <v>38.299999999999997</v>
      </c>
      <c r="H79" s="100">
        <v>16.28</v>
      </c>
      <c r="I79" s="100">
        <v>25.59</v>
      </c>
      <c r="J79" s="100">
        <v>0.13</v>
      </c>
      <c r="K79" s="100">
        <v>262.91000000000003</v>
      </c>
      <c r="L79" s="100">
        <v>34.28</v>
      </c>
      <c r="M79" s="100">
        <v>36.049999999999997</v>
      </c>
      <c r="N79" s="100">
        <v>7.1</v>
      </c>
      <c r="O79" s="100">
        <v>0</v>
      </c>
      <c r="P79" s="100">
        <v>0.57999999999999996</v>
      </c>
      <c r="Q79" s="100">
        <v>4.82</v>
      </c>
      <c r="R79" s="6"/>
      <c r="S79" s="6"/>
      <c r="T79" s="156"/>
      <c r="U79" s="6"/>
    </row>
    <row r="80" spans="1:21" customFormat="1">
      <c r="A80" s="100" t="s">
        <v>789</v>
      </c>
      <c r="B80" s="100">
        <v>9.7200000000000006</v>
      </c>
      <c r="C80" s="100">
        <v>51.83</v>
      </c>
      <c r="D80" s="100">
        <v>36.229999999999997</v>
      </c>
      <c r="E80" s="100">
        <v>15.59</v>
      </c>
      <c r="F80" s="100">
        <v>15.27</v>
      </c>
      <c r="G80" s="100">
        <v>38.299999999999997</v>
      </c>
      <c r="H80" s="100">
        <v>16.28</v>
      </c>
      <c r="I80" s="100">
        <v>26.88</v>
      </c>
      <c r="J80" s="100">
        <v>0.18</v>
      </c>
      <c r="K80" s="100">
        <v>164.44</v>
      </c>
      <c r="L80" s="100">
        <v>33.97</v>
      </c>
      <c r="M80" s="100">
        <v>38.51</v>
      </c>
      <c r="N80" s="100">
        <v>18.5</v>
      </c>
      <c r="O80" s="100">
        <v>0</v>
      </c>
      <c r="P80" s="100">
        <v>0.57999999999999996</v>
      </c>
      <c r="Q80" s="100">
        <v>4.8099999999999996</v>
      </c>
      <c r="R80" s="6"/>
      <c r="S80" s="6"/>
      <c r="T80" s="156"/>
      <c r="U80" s="6"/>
    </row>
    <row r="81" spans="1:21" customFormat="1">
      <c r="A81" s="100" t="s">
        <v>790</v>
      </c>
      <c r="B81" s="100">
        <v>9.91</v>
      </c>
      <c r="C81" s="100">
        <v>52.49</v>
      </c>
      <c r="D81" s="100">
        <v>36.72</v>
      </c>
      <c r="E81" s="100">
        <v>10.1</v>
      </c>
      <c r="F81" s="100">
        <v>24.86</v>
      </c>
      <c r="G81" s="100">
        <v>38.299999999999997</v>
      </c>
      <c r="H81" s="100">
        <v>16.28</v>
      </c>
      <c r="I81" s="100">
        <v>23.3</v>
      </c>
      <c r="J81" s="100">
        <v>0.23</v>
      </c>
      <c r="K81" s="100">
        <v>181.93</v>
      </c>
      <c r="L81" s="100">
        <v>33.44</v>
      </c>
      <c r="M81" s="100">
        <v>42.13</v>
      </c>
      <c r="N81" s="100">
        <v>3.8</v>
      </c>
      <c r="O81" s="100">
        <v>0</v>
      </c>
      <c r="P81" s="100">
        <v>0.56000000000000005</v>
      </c>
      <c r="Q81" s="100">
        <v>4.88</v>
      </c>
      <c r="R81" s="6"/>
      <c r="S81" s="6"/>
      <c r="T81" s="156"/>
      <c r="U81" s="6"/>
    </row>
    <row r="82" spans="1:21" customFormat="1">
      <c r="A82" s="100" t="s">
        <v>791</v>
      </c>
      <c r="B82" s="100">
        <v>10.029999999999999</v>
      </c>
      <c r="C82" s="100">
        <v>50.56</v>
      </c>
      <c r="D82" s="100">
        <v>35.81</v>
      </c>
      <c r="E82" s="100">
        <v>10.15</v>
      </c>
      <c r="F82" s="100">
        <v>17.37</v>
      </c>
      <c r="G82" s="100">
        <v>49.1</v>
      </c>
      <c r="H82" s="100">
        <v>19.649999999999999</v>
      </c>
      <c r="I82" s="100">
        <v>25</v>
      </c>
      <c r="J82" s="100">
        <v>0.22</v>
      </c>
      <c r="K82" s="100">
        <v>185.44</v>
      </c>
      <c r="L82" s="100">
        <v>32.85</v>
      </c>
      <c r="M82" s="100">
        <v>45.29</v>
      </c>
      <c r="N82" s="100">
        <v>0</v>
      </c>
      <c r="O82" s="100">
        <v>0</v>
      </c>
      <c r="P82" s="100">
        <v>0.56999999999999995</v>
      </c>
      <c r="Q82" s="100">
        <v>4.93</v>
      </c>
      <c r="R82" s="6"/>
      <c r="S82" s="6"/>
      <c r="T82" s="156"/>
      <c r="U82" s="6"/>
    </row>
    <row r="83" spans="1:21" customFormat="1">
      <c r="A83" s="100" t="s">
        <v>792</v>
      </c>
      <c r="B83" s="100">
        <v>9.9600000000000009</v>
      </c>
      <c r="C83" s="100">
        <v>49.13</v>
      </c>
      <c r="D83" s="100">
        <v>35.01</v>
      </c>
      <c r="E83" s="100">
        <v>9.82</v>
      </c>
      <c r="F83" s="100">
        <v>24.78</v>
      </c>
      <c r="G83" s="100">
        <v>49.47</v>
      </c>
      <c r="H83" s="100">
        <v>19.649999999999999</v>
      </c>
      <c r="I83" s="100">
        <v>21.24</v>
      </c>
      <c r="J83" s="100">
        <v>0.15</v>
      </c>
      <c r="K83" s="100">
        <v>181.68</v>
      </c>
      <c r="L83" s="100">
        <v>32.369999999999997</v>
      </c>
      <c r="M83" s="100">
        <v>47.44</v>
      </c>
      <c r="N83" s="100">
        <v>0</v>
      </c>
      <c r="O83" s="100">
        <v>0</v>
      </c>
      <c r="P83" s="100">
        <v>0.56999999999999995</v>
      </c>
      <c r="Q83" s="100">
        <v>4.9000000000000004</v>
      </c>
      <c r="R83" s="6"/>
      <c r="S83" s="6"/>
      <c r="T83" s="156"/>
      <c r="U83" s="6"/>
    </row>
    <row r="84" spans="1:21" customFormat="1">
      <c r="A84" s="100" t="s">
        <v>793</v>
      </c>
      <c r="B84" s="100">
        <v>10.42</v>
      </c>
      <c r="C84" s="100">
        <v>52.44</v>
      </c>
      <c r="D84" s="100">
        <v>37.1</v>
      </c>
      <c r="E84" s="100">
        <v>8.9499999999999993</v>
      </c>
      <c r="F84" s="100">
        <v>14.73</v>
      </c>
      <c r="G84" s="100">
        <v>49.47</v>
      </c>
      <c r="H84" s="100">
        <v>19.649999999999999</v>
      </c>
      <c r="I84" s="100">
        <v>23.75</v>
      </c>
      <c r="J84" s="100">
        <v>0.13</v>
      </c>
      <c r="K84" s="100">
        <v>186.78</v>
      </c>
      <c r="L84" s="100">
        <v>31.97</v>
      </c>
      <c r="M84" s="100">
        <v>49.06</v>
      </c>
      <c r="N84" s="100">
        <v>0</v>
      </c>
      <c r="O84" s="100">
        <v>0</v>
      </c>
      <c r="P84" s="100">
        <v>0.57999999999999996</v>
      </c>
      <c r="Q84" s="100">
        <v>4.8899999999999997</v>
      </c>
      <c r="R84" s="6"/>
      <c r="S84" s="6"/>
      <c r="T84" s="156"/>
      <c r="U84" s="6"/>
    </row>
    <row r="85" spans="1:21" customFormat="1">
      <c r="A85" s="100" t="s">
        <v>794</v>
      </c>
      <c r="B85" s="100">
        <v>9.8800000000000008</v>
      </c>
      <c r="C85" s="100">
        <v>47.95</v>
      </c>
      <c r="D85" s="100">
        <v>34.33</v>
      </c>
      <c r="E85" s="100">
        <v>9.31</v>
      </c>
      <c r="F85" s="100">
        <v>21.18</v>
      </c>
      <c r="G85" s="100">
        <v>49.47</v>
      </c>
      <c r="H85" s="100">
        <v>19.649999999999999</v>
      </c>
      <c r="I85" s="100">
        <v>2.68</v>
      </c>
      <c r="J85" s="100">
        <v>0.2</v>
      </c>
      <c r="K85" s="100">
        <v>169.82</v>
      </c>
      <c r="L85" s="100">
        <v>31.79</v>
      </c>
      <c r="M85" s="100">
        <v>50.8</v>
      </c>
      <c r="N85" s="100">
        <v>0</v>
      </c>
      <c r="O85" s="100">
        <v>0</v>
      </c>
      <c r="P85" s="100">
        <v>0.56999999999999995</v>
      </c>
      <c r="Q85" s="100">
        <v>4.88</v>
      </c>
      <c r="R85" s="6"/>
      <c r="S85" s="6"/>
      <c r="T85" s="156"/>
      <c r="U85" s="6"/>
    </row>
    <row r="86" spans="1:21" customFormat="1">
      <c r="A86" s="100" t="s">
        <v>795</v>
      </c>
      <c r="B86" s="100">
        <v>10.38</v>
      </c>
      <c r="C86" s="100">
        <v>51.66</v>
      </c>
      <c r="D86" s="100">
        <v>36.659999999999997</v>
      </c>
      <c r="E86" s="100">
        <v>8.4700000000000006</v>
      </c>
      <c r="F86" s="100">
        <v>14.01</v>
      </c>
      <c r="G86" s="100">
        <v>49.12</v>
      </c>
      <c r="H86" s="100">
        <v>20.76</v>
      </c>
      <c r="I86" s="100">
        <v>19.3</v>
      </c>
      <c r="J86" s="100">
        <v>0.18</v>
      </c>
      <c r="K86" s="100">
        <v>173.05</v>
      </c>
      <c r="L86" s="100">
        <v>31.11</v>
      </c>
      <c r="M86" s="100">
        <v>54.37</v>
      </c>
      <c r="N86" s="100">
        <v>0</v>
      </c>
      <c r="O86" s="100">
        <v>0</v>
      </c>
      <c r="P86" s="100">
        <v>0.57999999999999996</v>
      </c>
      <c r="Q86" s="100">
        <v>4.8899999999999997</v>
      </c>
      <c r="R86" s="6"/>
      <c r="S86" s="6"/>
      <c r="T86" s="156"/>
      <c r="U86" s="6"/>
    </row>
    <row r="87" spans="1:21" customFormat="1">
      <c r="A87" s="100" t="s">
        <v>796</v>
      </c>
      <c r="B87" s="100">
        <v>10.23</v>
      </c>
      <c r="C87" s="100">
        <v>49.12</v>
      </c>
      <c r="D87" s="100">
        <v>35.22</v>
      </c>
      <c r="E87" s="100">
        <v>9.11</v>
      </c>
      <c r="F87" s="100">
        <v>12.71</v>
      </c>
      <c r="G87" s="100">
        <v>49.11</v>
      </c>
      <c r="H87" s="100">
        <v>20.76</v>
      </c>
      <c r="I87" s="100">
        <v>2.41</v>
      </c>
      <c r="J87" s="100">
        <v>0.26</v>
      </c>
      <c r="K87" s="100">
        <v>167.38</v>
      </c>
      <c r="L87" s="100">
        <v>30.78</v>
      </c>
      <c r="M87" s="100">
        <v>57.1</v>
      </c>
      <c r="N87" s="100">
        <v>0</v>
      </c>
      <c r="O87" s="100">
        <v>0</v>
      </c>
      <c r="P87" s="100">
        <v>0.57999999999999996</v>
      </c>
      <c r="Q87" s="100">
        <v>4.88</v>
      </c>
      <c r="R87" s="6"/>
      <c r="S87" s="6"/>
      <c r="T87" s="156"/>
      <c r="U87" s="6"/>
    </row>
    <row r="88" spans="1:21" customFormat="1">
      <c r="A88" s="100" t="s">
        <v>797</v>
      </c>
      <c r="B88" s="100">
        <v>10.68</v>
      </c>
      <c r="C88" s="100">
        <v>51.82</v>
      </c>
      <c r="D88" s="100">
        <v>36.99</v>
      </c>
      <c r="E88" s="100">
        <v>8.6199999999999992</v>
      </c>
      <c r="F88" s="100">
        <v>14.61</v>
      </c>
      <c r="G88" s="100">
        <v>49.11</v>
      </c>
      <c r="H88" s="100">
        <v>20.76</v>
      </c>
      <c r="I88" s="100">
        <v>17.53</v>
      </c>
      <c r="J88" s="100">
        <v>0.21</v>
      </c>
      <c r="K88" s="100">
        <v>161.57</v>
      </c>
      <c r="L88" s="100">
        <v>30.36</v>
      </c>
      <c r="M88" s="100">
        <v>58.59</v>
      </c>
      <c r="N88" s="100">
        <v>0</v>
      </c>
      <c r="O88" s="100">
        <v>0</v>
      </c>
      <c r="P88" s="100">
        <v>0.6</v>
      </c>
      <c r="Q88" s="100">
        <v>4.9400000000000004</v>
      </c>
      <c r="R88" s="6"/>
      <c r="S88" s="6"/>
      <c r="T88" s="156"/>
      <c r="U88" s="6"/>
    </row>
    <row r="89" spans="1:21" customFormat="1">
      <c r="A89" s="100" t="s">
        <v>798</v>
      </c>
      <c r="B89" s="100">
        <v>11.23</v>
      </c>
      <c r="C89" s="100">
        <v>51.05</v>
      </c>
      <c r="D89" s="100">
        <v>37.03</v>
      </c>
      <c r="E89" s="100">
        <v>8.81</v>
      </c>
      <c r="F89" s="100">
        <v>8.26</v>
      </c>
      <c r="G89" s="100">
        <v>49.11</v>
      </c>
      <c r="H89" s="100">
        <v>20.76</v>
      </c>
      <c r="I89" s="100">
        <v>20.14</v>
      </c>
      <c r="J89" s="100">
        <v>0.17</v>
      </c>
      <c r="K89" s="100">
        <v>186.78</v>
      </c>
      <c r="L89" s="100">
        <v>29.94</v>
      </c>
      <c r="M89" s="100">
        <v>60.4</v>
      </c>
      <c r="N89" s="100">
        <v>0</v>
      </c>
      <c r="O89" s="100">
        <v>0</v>
      </c>
      <c r="P89" s="100">
        <v>0.6</v>
      </c>
      <c r="Q89" s="100">
        <v>4.8600000000000003</v>
      </c>
      <c r="R89" s="6"/>
      <c r="S89" s="6"/>
      <c r="T89" s="156"/>
      <c r="U89" s="6"/>
    </row>
    <row r="90" spans="1:21" customFormat="1">
      <c r="A90" s="100" t="s">
        <v>799</v>
      </c>
      <c r="B90" s="100">
        <v>12.29</v>
      </c>
      <c r="C90" s="100">
        <v>55.17</v>
      </c>
      <c r="D90" s="100">
        <v>40.03</v>
      </c>
      <c r="E90" s="100">
        <v>8.43</v>
      </c>
      <c r="F90" s="100">
        <v>5.35</v>
      </c>
      <c r="G90" s="100">
        <v>49.82</v>
      </c>
      <c r="H90" s="100">
        <v>22.49</v>
      </c>
      <c r="I90" s="100">
        <v>18.59</v>
      </c>
      <c r="J90" s="100">
        <v>0.19</v>
      </c>
      <c r="K90" s="100">
        <v>181.86</v>
      </c>
      <c r="L90" s="100">
        <v>29.71</v>
      </c>
      <c r="M90" s="100">
        <v>64.489999999999995</v>
      </c>
      <c r="N90" s="100">
        <v>0</v>
      </c>
      <c r="O90" s="100">
        <v>0</v>
      </c>
      <c r="P90" s="100">
        <v>0.62</v>
      </c>
      <c r="Q90" s="100">
        <v>4.97</v>
      </c>
      <c r="R90" s="6"/>
      <c r="S90" s="6"/>
      <c r="T90" s="156"/>
      <c r="U90" s="6"/>
    </row>
    <row r="91" spans="1:21" customFormat="1">
      <c r="A91" s="100" t="s">
        <v>800</v>
      </c>
      <c r="B91" s="100">
        <v>12.96</v>
      </c>
      <c r="C91" s="100">
        <v>53.83</v>
      </c>
      <c r="D91" s="100">
        <v>39.869999999999997</v>
      </c>
      <c r="E91" s="100">
        <v>8.0500000000000007</v>
      </c>
      <c r="F91" s="100">
        <v>5.37</v>
      </c>
      <c r="G91" s="100">
        <v>49.85</v>
      </c>
      <c r="H91" s="100">
        <v>22.49</v>
      </c>
      <c r="I91" s="100">
        <v>19.57</v>
      </c>
      <c r="J91" s="100">
        <v>0.2</v>
      </c>
      <c r="K91" s="100">
        <v>205.48</v>
      </c>
      <c r="L91" s="100">
        <v>29.12</v>
      </c>
      <c r="M91" s="100">
        <v>68.17</v>
      </c>
      <c r="N91" s="100">
        <v>0</v>
      </c>
      <c r="O91" s="100">
        <v>0</v>
      </c>
      <c r="P91" s="100">
        <v>0.62</v>
      </c>
      <c r="Q91" s="100">
        <v>4.9400000000000004</v>
      </c>
      <c r="R91" s="6"/>
      <c r="S91" s="6"/>
      <c r="T91" s="156"/>
      <c r="U91" s="6"/>
    </row>
    <row r="92" spans="1:21" customFormat="1">
      <c r="A92" s="100" t="s">
        <v>801</v>
      </c>
      <c r="B92" s="100">
        <v>13.23</v>
      </c>
      <c r="C92" s="100">
        <v>53.81</v>
      </c>
      <c r="D92" s="100">
        <v>40.08</v>
      </c>
      <c r="E92" s="100">
        <v>8.66</v>
      </c>
      <c r="F92" s="100">
        <v>6.17</v>
      </c>
      <c r="G92" s="100">
        <v>49.85</v>
      </c>
      <c r="H92" s="100">
        <v>22.49</v>
      </c>
      <c r="I92" s="100">
        <v>19.100000000000001</v>
      </c>
      <c r="J92" s="100">
        <v>0.16</v>
      </c>
      <c r="K92" s="100">
        <v>187.12</v>
      </c>
      <c r="L92" s="100">
        <v>28.97</v>
      </c>
      <c r="M92" s="100">
        <v>65.3</v>
      </c>
      <c r="N92" s="100">
        <v>0</v>
      </c>
      <c r="O92" s="100">
        <v>0</v>
      </c>
      <c r="P92" s="100">
        <v>0.64</v>
      </c>
      <c r="Q92" s="100">
        <v>5.07</v>
      </c>
      <c r="R92" s="6"/>
      <c r="S92" s="6"/>
      <c r="T92" s="156"/>
      <c r="U92" s="6"/>
    </row>
    <row r="93" spans="1:21" customFormat="1">
      <c r="A93" s="100" t="s">
        <v>802</v>
      </c>
      <c r="B93" s="100">
        <v>13.78</v>
      </c>
      <c r="C93" s="100">
        <v>53.89</v>
      </c>
      <c r="D93" s="100">
        <v>40.56</v>
      </c>
      <c r="E93" s="100">
        <v>8.1300000000000008</v>
      </c>
      <c r="F93" s="100">
        <v>6.24</v>
      </c>
      <c r="G93" s="100">
        <v>49.85</v>
      </c>
      <c r="H93" s="100">
        <v>22.49</v>
      </c>
      <c r="I93" s="100">
        <v>18.940000000000001</v>
      </c>
      <c r="J93" s="100">
        <v>0.12</v>
      </c>
      <c r="K93" s="100">
        <v>187.78</v>
      </c>
      <c r="L93" s="100">
        <v>28.94</v>
      </c>
      <c r="M93" s="100">
        <v>64.91</v>
      </c>
      <c r="N93" s="100">
        <v>0</v>
      </c>
      <c r="O93" s="100">
        <v>0</v>
      </c>
      <c r="P93" s="100">
        <v>0.64</v>
      </c>
      <c r="Q93" s="100">
        <v>5.07</v>
      </c>
      <c r="R93" s="6"/>
      <c r="S93" s="6"/>
      <c r="T93" s="156"/>
      <c r="U93" s="6"/>
    </row>
    <row r="94" spans="1:21" customFormat="1">
      <c r="A94" s="100" t="s">
        <v>803</v>
      </c>
      <c r="B94" s="100">
        <v>13.86</v>
      </c>
      <c r="C94" s="100">
        <v>52.03</v>
      </c>
      <c r="D94" s="100">
        <v>39.65</v>
      </c>
      <c r="E94" s="100">
        <v>8.0399999999999991</v>
      </c>
      <c r="F94" s="100">
        <v>8.77</v>
      </c>
      <c r="G94" s="100">
        <v>51.22</v>
      </c>
      <c r="H94" s="100">
        <v>24.91</v>
      </c>
      <c r="I94" s="100">
        <v>17.59</v>
      </c>
      <c r="J94" s="100">
        <v>0.18</v>
      </c>
      <c r="K94" s="100">
        <v>159.29</v>
      </c>
      <c r="L94" s="100">
        <v>28.9</v>
      </c>
      <c r="M94" s="100">
        <v>66.37</v>
      </c>
      <c r="N94" s="100">
        <v>0</v>
      </c>
      <c r="O94" s="100">
        <v>0</v>
      </c>
      <c r="P94" s="100">
        <v>0.65</v>
      </c>
      <c r="Q94" s="100">
        <v>5.1100000000000003</v>
      </c>
      <c r="R94" s="6"/>
      <c r="S94" s="6"/>
      <c r="T94" s="156"/>
      <c r="U94" s="6"/>
    </row>
    <row r="95" spans="1:21" customFormat="1">
      <c r="A95" s="100" t="s">
        <v>804</v>
      </c>
      <c r="B95" s="100">
        <v>14.75</v>
      </c>
      <c r="C95" s="100">
        <v>53.88</v>
      </c>
      <c r="D95" s="100">
        <v>41.33</v>
      </c>
      <c r="E95" s="100">
        <v>7.99</v>
      </c>
      <c r="F95" s="100">
        <v>5.58</v>
      </c>
      <c r="G95" s="100">
        <v>51.26</v>
      </c>
      <c r="H95" s="100">
        <v>24.91</v>
      </c>
      <c r="I95" s="100">
        <v>17.329999999999998</v>
      </c>
      <c r="J95" s="100">
        <v>0.18</v>
      </c>
      <c r="K95" s="100">
        <v>162.78</v>
      </c>
      <c r="L95" s="100">
        <v>28.69</v>
      </c>
      <c r="M95" s="100">
        <v>67.64</v>
      </c>
      <c r="N95" s="100">
        <v>0</v>
      </c>
      <c r="O95" s="100">
        <v>0</v>
      </c>
      <c r="P95" s="100">
        <v>0.66</v>
      </c>
      <c r="Q95" s="100">
        <v>5.18</v>
      </c>
      <c r="R95" s="6"/>
      <c r="S95" s="6"/>
      <c r="T95" s="156"/>
      <c r="U95" s="6"/>
    </row>
    <row r="96" spans="1:21" customFormat="1">
      <c r="A96" s="100" t="s">
        <v>805</v>
      </c>
      <c r="B96" s="100">
        <v>14.58</v>
      </c>
      <c r="C96" s="100">
        <v>49.96</v>
      </c>
      <c r="D96" s="100">
        <v>39.15</v>
      </c>
      <c r="E96" s="100">
        <v>8.1199999999999992</v>
      </c>
      <c r="F96" s="100">
        <v>6.99</v>
      </c>
      <c r="G96" s="100">
        <v>51.26</v>
      </c>
      <c r="H96" s="100">
        <v>24.91</v>
      </c>
      <c r="I96" s="100">
        <v>16.899999999999999</v>
      </c>
      <c r="J96" s="100">
        <v>0.2</v>
      </c>
      <c r="K96" s="100">
        <v>173.54</v>
      </c>
      <c r="L96" s="100">
        <v>28.36</v>
      </c>
      <c r="M96" s="100">
        <v>73.08</v>
      </c>
      <c r="N96" s="100">
        <v>0</v>
      </c>
      <c r="O96" s="100">
        <v>0</v>
      </c>
      <c r="P96" s="100">
        <v>0.67</v>
      </c>
      <c r="Q96" s="100">
        <v>5.1100000000000003</v>
      </c>
      <c r="R96" s="6"/>
      <c r="S96" s="6"/>
      <c r="T96" s="156"/>
      <c r="U96" s="6"/>
    </row>
    <row r="97" spans="1:28" customFormat="1">
      <c r="A97" s="100" t="s">
        <v>806</v>
      </c>
      <c r="B97" s="100">
        <v>14.07</v>
      </c>
      <c r="C97" s="100">
        <v>43.26</v>
      </c>
      <c r="D97" s="100">
        <v>35.24</v>
      </c>
      <c r="E97" s="100">
        <v>7.89</v>
      </c>
      <c r="F97" s="100">
        <v>10.81</v>
      </c>
      <c r="G97" s="100">
        <v>51.26</v>
      </c>
      <c r="H97" s="100">
        <v>24.91</v>
      </c>
      <c r="I97" s="100">
        <v>16.510000000000002</v>
      </c>
      <c r="J97" s="100">
        <v>0.17</v>
      </c>
      <c r="K97" s="100">
        <v>164.62</v>
      </c>
      <c r="L97" s="100">
        <v>28.14</v>
      </c>
      <c r="M97" s="100">
        <v>71.03</v>
      </c>
      <c r="N97" s="100">
        <v>0</v>
      </c>
      <c r="O97" s="100">
        <v>0</v>
      </c>
      <c r="P97" s="100">
        <v>0.65</v>
      </c>
      <c r="Q97" s="100">
        <v>4.9800000000000004</v>
      </c>
      <c r="R97" s="6"/>
      <c r="S97" s="6"/>
      <c r="T97" s="156"/>
      <c r="U97" s="6"/>
    </row>
    <row r="98" spans="1:28" customFormat="1">
      <c r="A98" s="100" t="s">
        <v>807</v>
      </c>
      <c r="B98" s="100">
        <v>13.02</v>
      </c>
      <c r="C98" s="100">
        <v>37.26</v>
      </c>
      <c r="D98" s="100">
        <v>31.26</v>
      </c>
      <c r="E98" s="100">
        <v>7.92</v>
      </c>
      <c r="F98" s="100">
        <v>14.84</v>
      </c>
      <c r="G98" s="100">
        <v>53.16</v>
      </c>
      <c r="H98" s="100">
        <v>26.22</v>
      </c>
      <c r="I98" s="100">
        <v>15.01</v>
      </c>
      <c r="J98" s="100">
        <v>0.21</v>
      </c>
      <c r="K98" s="100">
        <v>162.99</v>
      </c>
      <c r="L98" s="100">
        <v>28.06</v>
      </c>
      <c r="M98" s="100">
        <v>73.040000000000006</v>
      </c>
      <c r="N98" s="100">
        <v>0</v>
      </c>
      <c r="O98" s="100">
        <v>0</v>
      </c>
      <c r="P98" s="100">
        <v>0.63</v>
      </c>
      <c r="Q98" s="100">
        <v>4.82</v>
      </c>
      <c r="R98" s="6"/>
      <c r="S98" s="6"/>
      <c r="T98" s="156"/>
      <c r="U98" s="6"/>
    </row>
    <row r="99" spans="1:28" customFormat="1">
      <c r="A99" s="100" t="s">
        <v>808</v>
      </c>
      <c r="B99" s="100">
        <v>14.53</v>
      </c>
      <c r="C99" s="100">
        <v>38.92</v>
      </c>
      <c r="D99" s="100">
        <v>33.340000000000003</v>
      </c>
      <c r="E99" s="100">
        <v>8.2899999999999991</v>
      </c>
      <c r="F99" s="100">
        <v>10.53</v>
      </c>
      <c r="G99" s="100">
        <v>53.23</v>
      </c>
      <c r="H99" s="100">
        <v>26.22</v>
      </c>
      <c r="I99" s="100">
        <v>13.58</v>
      </c>
      <c r="J99" s="100">
        <v>0.13</v>
      </c>
      <c r="K99" s="100">
        <v>169.13</v>
      </c>
      <c r="L99" s="100">
        <v>27.81</v>
      </c>
      <c r="M99" s="100">
        <v>73.72</v>
      </c>
      <c r="N99" s="100">
        <v>0</v>
      </c>
      <c r="O99" s="100">
        <v>0</v>
      </c>
      <c r="P99" s="100">
        <v>0.61</v>
      </c>
      <c r="Q99" s="100">
        <v>4.68</v>
      </c>
      <c r="R99" s="6"/>
      <c r="S99" s="6"/>
      <c r="T99" s="156"/>
      <c r="U99" s="6"/>
    </row>
    <row r="100" spans="1:28" customFormat="1">
      <c r="A100" s="100" t="s">
        <v>809</v>
      </c>
      <c r="B100" s="100">
        <v>19.72</v>
      </c>
      <c r="C100" s="100">
        <v>49.86</v>
      </c>
      <c r="D100" s="100">
        <v>43.21</v>
      </c>
      <c r="E100" s="100">
        <v>7.79</v>
      </c>
      <c r="F100" s="100">
        <v>5.0199999999999996</v>
      </c>
      <c r="G100" s="100">
        <v>53.23</v>
      </c>
      <c r="H100" s="100">
        <v>26.22</v>
      </c>
      <c r="I100" s="100">
        <v>12.77</v>
      </c>
      <c r="J100" s="100">
        <v>0.17</v>
      </c>
      <c r="K100" s="100">
        <v>153.28</v>
      </c>
      <c r="L100" s="100">
        <v>27.84</v>
      </c>
      <c r="M100" s="100">
        <v>69.92</v>
      </c>
      <c r="N100" s="100">
        <v>0</v>
      </c>
      <c r="O100" s="100">
        <v>0</v>
      </c>
      <c r="P100" s="100">
        <v>0.68</v>
      </c>
      <c r="Q100" s="100">
        <v>4.91</v>
      </c>
      <c r="R100" s="6"/>
      <c r="S100" s="6"/>
      <c r="T100" s="156"/>
      <c r="U100" s="6"/>
      <c r="AB100" s="161"/>
    </row>
    <row r="101" spans="1:28" customFormat="1">
      <c r="A101" s="100" t="s">
        <v>810</v>
      </c>
      <c r="B101" s="100">
        <v>18.239999999999998</v>
      </c>
      <c r="C101" s="100">
        <v>47.02</v>
      </c>
      <c r="D101" s="100">
        <v>40.54</v>
      </c>
      <c r="E101" s="100">
        <v>8.52</v>
      </c>
      <c r="F101" s="100">
        <v>7.66</v>
      </c>
      <c r="G101" s="100">
        <v>53.23</v>
      </c>
      <c r="H101" s="100">
        <v>26.22</v>
      </c>
      <c r="I101" s="100">
        <v>14.02</v>
      </c>
      <c r="J101" s="100">
        <v>0.19</v>
      </c>
      <c r="K101" s="100">
        <v>201.42</v>
      </c>
      <c r="L101" s="100">
        <v>27.73</v>
      </c>
      <c r="M101" s="100">
        <v>70.97</v>
      </c>
      <c r="N101" s="100">
        <v>0</v>
      </c>
      <c r="O101" s="100">
        <v>0</v>
      </c>
      <c r="P101" s="100">
        <v>0.68</v>
      </c>
      <c r="Q101" s="100">
        <v>5.09</v>
      </c>
      <c r="R101" s="6"/>
      <c r="S101" s="6"/>
      <c r="T101" s="156"/>
      <c r="U101" s="6"/>
    </row>
    <row r="102" spans="1:28" customFormat="1">
      <c r="A102" s="100" t="s">
        <v>811</v>
      </c>
      <c r="B102" s="100">
        <v>18.13</v>
      </c>
      <c r="C102" s="100">
        <v>45.52</v>
      </c>
      <c r="D102" s="100">
        <v>39.68</v>
      </c>
      <c r="E102" s="100">
        <v>8.11</v>
      </c>
      <c r="F102" s="100">
        <v>7.12</v>
      </c>
      <c r="G102" s="100">
        <v>61.96</v>
      </c>
      <c r="H102" s="100">
        <v>25.3</v>
      </c>
      <c r="I102" s="100">
        <v>13.76</v>
      </c>
      <c r="J102" s="100">
        <v>0.15</v>
      </c>
      <c r="K102" s="100">
        <v>176.67</v>
      </c>
      <c r="L102" s="100">
        <v>27.21</v>
      </c>
      <c r="M102" s="100">
        <v>77.09</v>
      </c>
      <c r="N102" s="100">
        <v>0</v>
      </c>
      <c r="O102" s="100">
        <v>0</v>
      </c>
      <c r="P102" s="100">
        <v>0.66</v>
      </c>
      <c r="Q102" s="100">
        <v>5.13</v>
      </c>
      <c r="R102" s="6"/>
      <c r="S102" s="6"/>
      <c r="T102" s="156"/>
      <c r="U102" s="6"/>
    </row>
    <row r="103" spans="1:28" customFormat="1">
      <c r="A103" s="100" t="s">
        <v>812</v>
      </c>
      <c r="B103" s="100">
        <v>19.22</v>
      </c>
      <c r="C103" s="100">
        <v>49.5</v>
      </c>
      <c r="D103" s="100">
        <v>42.63</v>
      </c>
      <c r="E103" s="100">
        <v>8.86</v>
      </c>
      <c r="F103" s="100">
        <v>5.47</v>
      </c>
      <c r="G103" s="100">
        <v>62.26</v>
      </c>
      <c r="H103" s="100">
        <v>25.3</v>
      </c>
      <c r="I103" s="100">
        <v>12.23</v>
      </c>
      <c r="J103" s="100">
        <v>0.16</v>
      </c>
      <c r="K103" s="100">
        <v>159.65</v>
      </c>
      <c r="L103" s="100">
        <v>27</v>
      </c>
      <c r="M103" s="100">
        <v>78.319999999999993</v>
      </c>
      <c r="N103" s="100">
        <v>0</v>
      </c>
      <c r="O103" s="100">
        <v>0</v>
      </c>
      <c r="P103" s="100">
        <v>0.68</v>
      </c>
      <c r="Q103" s="100">
        <v>5.27</v>
      </c>
      <c r="R103" s="6"/>
      <c r="S103" s="6"/>
      <c r="T103" s="156"/>
      <c r="U103" s="6"/>
    </row>
    <row r="104" spans="1:28" customFormat="1">
      <c r="A104" s="100" t="s">
        <v>813</v>
      </c>
      <c r="B104" s="100">
        <v>18.27</v>
      </c>
      <c r="C104" s="100">
        <v>42.42</v>
      </c>
      <c r="D104" s="100">
        <v>38.159999999999997</v>
      </c>
      <c r="E104" s="100">
        <v>7.86</v>
      </c>
      <c r="F104" s="100">
        <v>7.95</v>
      </c>
      <c r="G104" s="100">
        <v>62.26</v>
      </c>
      <c r="H104" s="100">
        <v>25.3</v>
      </c>
      <c r="I104" s="100">
        <v>14.3</v>
      </c>
      <c r="J104" s="100">
        <v>0.16</v>
      </c>
      <c r="K104" s="100">
        <v>163.33000000000001</v>
      </c>
      <c r="L104" s="100">
        <v>26.95</v>
      </c>
      <c r="M104" s="100">
        <v>78.25</v>
      </c>
      <c r="N104" s="100">
        <v>0</v>
      </c>
      <c r="O104" s="100">
        <v>0</v>
      </c>
      <c r="P104" s="100">
        <v>0.66</v>
      </c>
      <c r="Q104" s="100">
        <v>5.18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6.46</v>
      </c>
      <c r="C106" s="158">
        <f>MIN(C9:C104)</f>
        <v>27.54</v>
      </c>
      <c r="D106" s="158">
        <f t="shared" ref="D106:Q106" si="0">MIN(D9:D104)</f>
        <v>24.64</v>
      </c>
      <c r="E106" s="158">
        <f t="shared" si="0"/>
        <v>5.65</v>
      </c>
      <c r="F106" s="158">
        <f t="shared" si="0"/>
        <v>3.55</v>
      </c>
      <c r="G106" s="158">
        <f t="shared" si="0"/>
        <v>17.72</v>
      </c>
      <c r="H106" s="158">
        <f t="shared" si="0"/>
        <v>7.64</v>
      </c>
      <c r="I106" s="158">
        <f t="shared" si="0"/>
        <v>2.41</v>
      </c>
      <c r="J106" s="158">
        <f t="shared" si="0"/>
        <v>0.08</v>
      </c>
      <c r="K106" s="158">
        <f t="shared" si="0"/>
        <v>8.18</v>
      </c>
      <c r="L106" s="158">
        <f t="shared" si="0"/>
        <v>25.64</v>
      </c>
      <c r="M106" s="158">
        <f t="shared" si="0"/>
        <v>29.29</v>
      </c>
      <c r="N106" s="158">
        <f t="shared" si="0"/>
        <v>0</v>
      </c>
      <c r="O106" s="158">
        <f t="shared" si="0"/>
        <v>0</v>
      </c>
      <c r="P106" s="158">
        <f t="shared" si="0"/>
        <v>0.38</v>
      </c>
      <c r="Q106" s="158">
        <f t="shared" si="0"/>
        <v>4.37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28.57</v>
      </c>
      <c r="C107" s="157">
        <f t="shared" ref="C107:Q107" si="1">MAX(C9:C104)</f>
        <v>56.69</v>
      </c>
      <c r="D107" s="157">
        <f t="shared" si="1"/>
        <v>50.13</v>
      </c>
      <c r="E107" s="157">
        <f t="shared" si="1"/>
        <v>15.99</v>
      </c>
      <c r="F107" s="157">
        <f t="shared" si="1"/>
        <v>63.85</v>
      </c>
      <c r="G107" s="157">
        <f t="shared" si="1"/>
        <v>62.26</v>
      </c>
      <c r="H107" s="157">
        <f t="shared" si="1"/>
        <v>26.22</v>
      </c>
      <c r="I107" s="157">
        <f t="shared" si="1"/>
        <v>66.040000000000006</v>
      </c>
      <c r="J107" s="157">
        <f t="shared" si="1"/>
        <v>1.31</v>
      </c>
      <c r="K107" s="157">
        <f t="shared" si="1"/>
        <v>356.91</v>
      </c>
      <c r="L107" s="157">
        <f t="shared" si="1"/>
        <v>37.119999999999997</v>
      </c>
      <c r="M107" s="157">
        <f t="shared" si="1"/>
        <v>80.28</v>
      </c>
      <c r="N107" s="157">
        <f t="shared" si="1"/>
        <v>825.9</v>
      </c>
      <c r="O107" s="157">
        <f t="shared" si="1"/>
        <v>0</v>
      </c>
      <c r="P107" s="157">
        <f t="shared" si="1"/>
        <v>0.68</v>
      </c>
      <c r="Q107" s="157">
        <f t="shared" si="1"/>
        <v>5.73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16.673978494623665</v>
      </c>
      <c r="C108" s="158">
        <f t="shared" ref="C108:Q108" si="2">AVERAGE(C9:C104)</f>
        <v>47.52817204301077</v>
      </c>
      <c r="D108" s="158">
        <f t="shared" si="2"/>
        <v>39.554086021505356</v>
      </c>
      <c r="E108" s="158">
        <f t="shared" si="2"/>
        <v>8.7644318181818175</v>
      </c>
      <c r="F108" s="158">
        <f t="shared" si="2"/>
        <v>13.150937499999998</v>
      </c>
      <c r="G108" s="158">
        <f t="shared" si="2"/>
        <v>35.540909090909089</v>
      </c>
      <c r="H108" s="158">
        <f t="shared" si="2"/>
        <v>15.73352272727273</v>
      </c>
      <c r="I108" s="158">
        <f t="shared" si="2"/>
        <v>14.312708333333331</v>
      </c>
      <c r="J108" s="158">
        <f t="shared" si="2"/>
        <v>0.37177083333333333</v>
      </c>
      <c r="K108" s="158">
        <f t="shared" si="2"/>
        <v>204.20083333333335</v>
      </c>
      <c r="L108" s="158">
        <f t="shared" si="2"/>
        <v>30.676458333333319</v>
      </c>
      <c r="M108" s="158">
        <f t="shared" si="2"/>
        <v>57.671979166666688</v>
      </c>
      <c r="N108" s="158">
        <f t="shared" si="2"/>
        <v>173.85312499999995</v>
      </c>
      <c r="O108" s="158">
        <f t="shared" si="2"/>
        <v>0</v>
      </c>
      <c r="P108" s="158">
        <f t="shared" si="2"/>
        <v>0.51399999999999979</v>
      </c>
      <c r="Q108" s="158">
        <f t="shared" si="2"/>
        <v>5.1492708333333335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6.8413396761708718</v>
      </c>
      <c r="C109" s="158">
        <f t="shared" ref="C109:Q109" si="3">STDEV(C9:C104)</f>
        <v>7.1537475655035268</v>
      </c>
      <c r="D109" s="158">
        <f t="shared" si="3"/>
        <v>7.4654524945941771</v>
      </c>
      <c r="E109" s="158">
        <f t="shared" si="3"/>
        <v>2.7848988747213581</v>
      </c>
      <c r="F109" s="158">
        <f t="shared" si="3"/>
        <v>12.211377703913332</v>
      </c>
      <c r="G109" s="158">
        <f t="shared" si="3"/>
        <v>12.658281341492451</v>
      </c>
      <c r="H109" s="158">
        <f t="shared" si="3"/>
        <v>5.9402625894535319</v>
      </c>
      <c r="I109" s="158">
        <f t="shared" si="3"/>
        <v>14.562478568616111</v>
      </c>
      <c r="J109" s="158">
        <f t="shared" si="3"/>
        <v>0.26832813686806628</v>
      </c>
      <c r="K109" s="158">
        <f t="shared" si="3"/>
        <v>81.397344695688687</v>
      </c>
      <c r="L109" s="158">
        <f t="shared" si="3"/>
        <v>4.0956253886998066</v>
      </c>
      <c r="M109" s="158">
        <f t="shared" si="3"/>
        <v>18.864502036743428</v>
      </c>
      <c r="N109" s="158">
        <f t="shared" si="3"/>
        <v>257.74884713739834</v>
      </c>
      <c r="O109" s="158">
        <f t="shared" si="3"/>
        <v>0</v>
      </c>
      <c r="P109" s="158">
        <f t="shared" si="3"/>
        <v>8.2583291288251606E-2</v>
      </c>
      <c r="Q109" s="158">
        <f t="shared" si="3"/>
        <v>0.30706846413571476</v>
      </c>
      <c r="R109" s="158"/>
      <c r="S109" s="158"/>
      <c r="T109" s="158"/>
      <c r="U109" s="158"/>
    </row>
    <row r="110" spans="1:28">
      <c r="A110" s="157" t="s">
        <v>52</v>
      </c>
      <c r="B110" s="157">
        <v>96</v>
      </c>
      <c r="C110" s="157">
        <v>96</v>
      </c>
      <c r="D110" s="157">
        <v>96</v>
      </c>
      <c r="E110" s="157">
        <v>96</v>
      </c>
      <c r="F110" s="157">
        <f t="shared" ref="F110:Q110" si="4">COUNT(F9:F104)</f>
        <v>96</v>
      </c>
      <c r="G110" s="157">
        <v>96</v>
      </c>
      <c r="H110" s="157"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17"/>
  <sheetViews>
    <sheetView zoomScale="85" zoomScaleNormal="85" workbookViewId="0">
      <pane xSplit="1" ySplit="8" topLeftCell="B60" activePane="bottomRight" state="frozen"/>
      <selection pane="topRight"/>
      <selection pane="bottomLeft"/>
      <selection pane="bottomRight" activeCell="E111" sqref="E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07/05/2023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814</v>
      </c>
      <c r="B9" s="100">
        <v>19.12</v>
      </c>
      <c r="C9" s="100">
        <v>39.78</v>
      </c>
      <c r="D9" s="100">
        <v>37.47</v>
      </c>
      <c r="E9" s="100">
        <v>7.8</v>
      </c>
      <c r="F9" s="100">
        <v>7.83</v>
      </c>
      <c r="G9" s="100">
        <v>62.26</v>
      </c>
      <c r="H9" s="100">
        <v>25.3</v>
      </c>
      <c r="I9" s="100">
        <v>13.15</v>
      </c>
      <c r="J9" s="100">
        <v>0.19</v>
      </c>
      <c r="K9" s="100">
        <v>176.4</v>
      </c>
      <c r="L9" s="100">
        <v>26.76</v>
      </c>
      <c r="M9" s="100">
        <v>79.430000000000007</v>
      </c>
      <c r="N9" s="100">
        <v>0</v>
      </c>
      <c r="O9" s="100">
        <v>0</v>
      </c>
      <c r="P9" s="100">
        <v>0.65</v>
      </c>
      <c r="Q9" s="100">
        <v>4.99</v>
      </c>
      <c r="R9" s="6"/>
      <c r="S9" s="6"/>
      <c r="T9" s="156"/>
      <c r="U9" s="6"/>
    </row>
    <row r="10" spans="1:21" customFormat="1">
      <c r="A10" s="100" t="s">
        <v>815</v>
      </c>
      <c r="B10" s="100">
        <v>21.99</v>
      </c>
      <c r="C10" s="100">
        <v>48.99</v>
      </c>
      <c r="D10" s="100">
        <v>44.58</v>
      </c>
      <c r="E10" s="100">
        <v>8.39</v>
      </c>
      <c r="F10" s="100">
        <v>4.3600000000000003</v>
      </c>
      <c r="G10" s="100">
        <v>58.55</v>
      </c>
      <c r="H10" s="100">
        <v>26.83</v>
      </c>
      <c r="I10" s="100">
        <v>12.25</v>
      </c>
      <c r="J10" s="100">
        <v>0.19</v>
      </c>
      <c r="K10" s="100">
        <v>194.85</v>
      </c>
      <c r="L10" s="100">
        <v>26.5</v>
      </c>
      <c r="M10" s="100">
        <v>80.760000000000005</v>
      </c>
      <c r="N10" s="100">
        <v>0</v>
      </c>
      <c r="O10" s="100">
        <v>0</v>
      </c>
      <c r="P10" s="100">
        <v>0.69</v>
      </c>
      <c r="Q10" s="100">
        <v>5.18</v>
      </c>
      <c r="R10" s="6"/>
      <c r="S10" s="6"/>
      <c r="T10" s="156"/>
      <c r="U10" s="6"/>
    </row>
    <row r="11" spans="1:21" customFormat="1">
      <c r="A11" s="100" t="s">
        <v>816</v>
      </c>
      <c r="B11" s="100">
        <v>21.67</v>
      </c>
      <c r="C11" s="100">
        <v>46.5</v>
      </c>
      <c r="D11" s="100">
        <v>43.02</v>
      </c>
      <c r="E11" s="100">
        <v>8.49</v>
      </c>
      <c r="F11" s="100">
        <v>4.6900000000000004</v>
      </c>
      <c r="G11" s="100">
        <v>58.42</v>
      </c>
      <c r="H11" s="100">
        <v>26.83</v>
      </c>
      <c r="I11" s="100">
        <v>12.92</v>
      </c>
      <c r="J11" s="100">
        <v>0.14000000000000001</v>
      </c>
      <c r="K11" s="100">
        <v>178.41</v>
      </c>
      <c r="L11" s="100">
        <v>26.29</v>
      </c>
      <c r="M11" s="100">
        <v>81.25</v>
      </c>
      <c r="N11" s="100">
        <v>0</v>
      </c>
      <c r="O11" s="100">
        <v>0</v>
      </c>
      <c r="P11" s="100">
        <v>0.67</v>
      </c>
      <c r="Q11" s="100">
        <v>5.36</v>
      </c>
      <c r="R11" s="6"/>
      <c r="S11" s="6"/>
      <c r="T11" s="156"/>
      <c r="U11" s="6"/>
    </row>
    <row r="12" spans="1:21" customFormat="1">
      <c r="A12" s="100" t="s">
        <v>817</v>
      </c>
      <c r="B12" s="100">
        <v>20.149999999999999</v>
      </c>
      <c r="C12" s="100">
        <v>40.69</v>
      </c>
      <c r="D12" s="100">
        <v>38.770000000000003</v>
      </c>
      <c r="E12" s="100">
        <v>7.76</v>
      </c>
      <c r="F12" s="100">
        <v>7.11</v>
      </c>
      <c r="G12" s="100">
        <v>58.42</v>
      </c>
      <c r="H12" s="100">
        <v>26.83</v>
      </c>
      <c r="I12" s="100">
        <v>13.53</v>
      </c>
      <c r="J12" s="100">
        <v>0.06</v>
      </c>
      <c r="K12" s="100">
        <v>184.19</v>
      </c>
      <c r="L12" s="100">
        <v>26.46</v>
      </c>
      <c r="M12" s="100">
        <v>78.849999999999994</v>
      </c>
      <c r="N12" s="100">
        <v>0</v>
      </c>
      <c r="O12" s="100">
        <v>0</v>
      </c>
      <c r="P12" s="100">
        <v>0.65</v>
      </c>
      <c r="Q12" s="100">
        <v>5.23</v>
      </c>
      <c r="R12" s="6"/>
      <c r="S12" s="6"/>
      <c r="T12" s="156"/>
      <c r="U12" s="6"/>
    </row>
    <row r="13" spans="1:21" customFormat="1">
      <c r="A13" s="100" t="s">
        <v>818</v>
      </c>
      <c r="B13" s="100">
        <v>23.46</v>
      </c>
      <c r="C13" s="100">
        <v>47.03</v>
      </c>
      <c r="D13" s="100">
        <v>44.74</v>
      </c>
      <c r="E13" s="100">
        <v>8.57</v>
      </c>
      <c r="F13" s="100">
        <v>4.9000000000000004</v>
      </c>
      <c r="G13" s="100">
        <v>58.42</v>
      </c>
      <c r="H13" s="100">
        <v>26.83</v>
      </c>
      <c r="I13" s="100">
        <v>12.06</v>
      </c>
      <c r="J13" s="100">
        <v>0.16</v>
      </c>
      <c r="K13" s="100">
        <v>118.72</v>
      </c>
      <c r="L13" s="100">
        <v>26.6</v>
      </c>
      <c r="M13" s="100">
        <v>76.8</v>
      </c>
      <c r="N13" s="100">
        <v>0</v>
      </c>
      <c r="O13" s="100">
        <v>0</v>
      </c>
      <c r="P13" s="100">
        <v>0.69</v>
      </c>
      <c r="Q13" s="100">
        <v>5.22</v>
      </c>
      <c r="R13" s="6"/>
      <c r="S13" s="6"/>
      <c r="T13" s="156"/>
      <c r="U13" s="6"/>
    </row>
    <row r="14" spans="1:21" customFormat="1">
      <c r="A14" s="100" t="s">
        <v>819</v>
      </c>
      <c r="B14" s="100">
        <v>28.54</v>
      </c>
      <c r="C14" s="100">
        <v>49.61</v>
      </c>
      <c r="D14" s="100">
        <v>50.16</v>
      </c>
      <c r="E14" s="100">
        <v>8.6300000000000008</v>
      </c>
      <c r="F14" s="100">
        <v>3.28</v>
      </c>
      <c r="G14" s="100">
        <v>54.44</v>
      </c>
      <c r="H14" s="100">
        <v>23.96</v>
      </c>
      <c r="I14" s="100">
        <v>11.76</v>
      </c>
      <c r="J14" s="100">
        <v>0.13</v>
      </c>
      <c r="K14" s="100">
        <v>132.38999999999999</v>
      </c>
      <c r="L14" s="100">
        <v>26.79</v>
      </c>
      <c r="M14" s="100">
        <v>76.040000000000006</v>
      </c>
      <c r="N14" s="100">
        <v>0</v>
      </c>
      <c r="O14" s="100">
        <v>0</v>
      </c>
      <c r="P14" s="100">
        <v>0.72</v>
      </c>
      <c r="Q14" s="100">
        <v>5.55</v>
      </c>
      <c r="R14" s="6"/>
      <c r="S14" s="6"/>
      <c r="T14" s="156"/>
      <c r="U14" s="6"/>
    </row>
    <row r="15" spans="1:21" customFormat="1">
      <c r="A15" s="100" t="s">
        <v>820</v>
      </c>
      <c r="B15" s="100">
        <v>31.24</v>
      </c>
      <c r="C15" s="100">
        <v>46.04</v>
      </c>
      <c r="D15" s="100">
        <v>50.46</v>
      </c>
      <c r="E15" s="100">
        <v>8.17</v>
      </c>
      <c r="F15" s="100">
        <v>4.1100000000000003</v>
      </c>
      <c r="G15" s="100">
        <v>54.3</v>
      </c>
      <c r="H15" s="100">
        <v>23.96</v>
      </c>
      <c r="I15" s="100">
        <v>12.68</v>
      </c>
      <c r="J15" s="100">
        <v>0.12</v>
      </c>
      <c r="K15" s="100">
        <v>207.96</v>
      </c>
      <c r="L15" s="100">
        <v>26.64</v>
      </c>
      <c r="M15" s="100">
        <v>75.94</v>
      </c>
      <c r="N15" s="100">
        <v>0</v>
      </c>
      <c r="O15" s="100">
        <v>0</v>
      </c>
      <c r="P15" s="100">
        <v>0.7</v>
      </c>
      <c r="Q15" s="100">
        <v>5.53</v>
      </c>
      <c r="R15" s="6"/>
      <c r="S15" s="6"/>
      <c r="T15" s="156"/>
      <c r="U15" s="6"/>
    </row>
    <row r="16" spans="1:21" customFormat="1">
      <c r="A16" s="100" t="s">
        <v>821</v>
      </c>
      <c r="B16" s="100">
        <v>31.78</v>
      </c>
      <c r="C16" s="100">
        <v>50.33</v>
      </c>
      <c r="D16" s="100">
        <v>53.13</v>
      </c>
      <c r="E16" s="100">
        <v>8.74</v>
      </c>
      <c r="F16" s="100">
        <v>3.82</v>
      </c>
      <c r="G16" s="100">
        <v>54.3</v>
      </c>
      <c r="H16" s="100">
        <v>23.96</v>
      </c>
      <c r="I16" s="100">
        <v>11.48</v>
      </c>
      <c r="J16" s="100">
        <v>0.18</v>
      </c>
      <c r="K16" s="100">
        <v>119.17</v>
      </c>
      <c r="L16" s="100">
        <v>26.53</v>
      </c>
      <c r="M16" s="100">
        <v>77.650000000000006</v>
      </c>
      <c r="N16" s="100">
        <v>0</v>
      </c>
      <c r="O16" s="100">
        <v>0</v>
      </c>
      <c r="P16" s="100">
        <v>0.72</v>
      </c>
      <c r="Q16" s="100">
        <v>5.76</v>
      </c>
      <c r="R16" s="6"/>
      <c r="S16" s="6"/>
      <c r="T16" s="156"/>
      <c r="U16" s="6"/>
    </row>
    <row r="17" spans="1:21" customFormat="1">
      <c r="A17" s="100" t="s">
        <v>822</v>
      </c>
      <c r="B17" s="100">
        <v>38.590000000000003</v>
      </c>
      <c r="C17" s="100">
        <v>50.07</v>
      </c>
      <c r="D17" s="100">
        <v>58.46</v>
      </c>
      <c r="E17" s="100">
        <v>6.66</v>
      </c>
      <c r="F17" s="100">
        <v>3.32</v>
      </c>
      <c r="G17" s="100">
        <v>54.3</v>
      </c>
      <c r="H17" s="100">
        <v>23.96</v>
      </c>
      <c r="I17" s="100">
        <v>11.61</v>
      </c>
      <c r="J17" s="100">
        <v>0.15</v>
      </c>
      <c r="K17" s="100">
        <v>146.76</v>
      </c>
      <c r="L17" s="100">
        <v>26.51</v>
      </c>
      <c r="M17" s="100">
        <v>78.790000000000006</v>
      </c>
      <c r="N17" s="100">
        <v>0</v>
      </c>
      <c r="O17" s="100">
        <v>0</v>
      </c>
      <c r="P17" s="100">
        <v>0.73</v>
      </c>
      <c r="Q17" s="100">
        <v>5.96</v>
      </c>
      <c r="R17" s="6"/>
      <c r="S17" s="6"/>
      <c r="T17" s="156"/>
      <c r="U17" s="6"/>
    </row>
    <row r="18" spans="1:21" customFormat="1">
      <c r="A18" s="100" t="s">
        <v>823</v>
      </c>
      <c r="B18" s="100">
        <v>37.97</v>
      </c>
      <c r="C18" s="100">
        <v>45</v>
      </c>
      <c r="D18" s="100">
        <v>55.31</v>
      </c>
      <c r="E18" s="100">
        <v>6.73</v>
      </c>
      <c r="F18" s="100">
        <v>4.05</v>
      </c>
      <c r="G18" s="100">
        <v>60.44</v>
      </c>
      <c r="H18" s="100">
        <v>28.38</v>
      </c>
      <c r="I18" s="100">
        <v>12.31</v>
      </c>
      <c r="J18" s="100">
        <v>0.28000000000000003</v>
      </c>
      <c r="K18" s="100">
        <v>183.12</v>
      </c>
      <c r="L18" s="100">
        <v>25.96</v>
      </c>
      <c r="M18" s="100">
        <v>82.89</v>
      </c>
      <c r="N18" s="100">
        <v>0</v>
      </c>
      <c r="O18" s="100">
        <v>0</v>
      </c>
      <c r="P18" s="100">
        <v>0.7</v>
      </c>
      <c r="Q18" s="100">
        <v>6.02</v>
      </c>
      <c r="R18" s="6"/>
      <c r="S18" s="6"/>
      <c r="T18" s="156"/>
      <c r="U18" s="6"/>
    </row>
    <row r="19" spans="1:21" customFormat="1">
      <c r="A19" s="100" t="s">
        <v>824</v>
      </c>
      <c r="B19" s="100">
        <v>36.92</v>
      </c>
      <c r="C19" s="100">
        <v>49.41</v>
      </c>
      <c r="D19" s="100">
        <v>56.77</v>
      </c>
      <c r="E19" s="100">
        <v>7.5</v>
      </c>
      <c r="F19" s="100">
        <v>3.97</v>
      </c>
      <c r="G19" s="100">
        <v>60.65</v>
      </c>
      <c r="H19" s="100">
        <v>28.38</v>
      </c>
      <c r="I19" s="100">
        <v>11.27</v>
      </c>
      <c r="J19" s="100">
        <v>0.2</v>
      </c>
      <c r="K19" s="100">
        <v>205.57</v>
      </c>
      <c r="L19" s="100">
        <v>25.38</v>
      </c>
      <c r="M19" s="100">
        <v>84.21</v>
      </c>
      <c r="N19" s="100">
        <v>0</v>
      </c>
      <c r="O19" s="100">
        <v>0</v>
      </c>
      <c r="P19" s="100">
        <v>0.72</v>
      </c>
      <c r="Q19" s="100">
        <v>6.14</v>
      </c>
      <c r="R19" s="6"/>
      <c r="S19" s="6"/>
      <c r="T19" s="156"/>
      <c r="U19" s="6"/>
    </row>
    <row r="20" spans="1:21" customFormat="1">
      <c r="A20" s="100" t="s">
        <v>825</v>
      </c>
      <c r="B20" s="100">
        <v>36.840000000000003</v>
      </c>
      <c r="C20" s="100">
        <v>54.24</v>
      </c>
      <c r="D20" s="100">
        <v>59.23</v>
      </c>
      <c r="E20" s="100">
        <v>8.27</v>
      </c>
      <c r="F20" s="100">
        <v>3.54</v>
      </c>
      <c r="G20" s="100">
        <v>60.65</v>
      </c>
      <c r="H20" s="100">
        <v>28.38</v>
      </c>
      <c r="I20" s="100">
        <v>11.55</v>
      </c>
      <c r="J20" s="100">
        <v>0.12</v>
      </c>
      <c r="K20" s="100">
        <v>200.98</v>
      </c>
      <c r="L20" s="100">
        <v>25.53</v>
      </c>
      <c r="M20" s="100">
        <v>82.82</v>
      </c>
      <c r="N20" s="100">
        <v>0</v>
      </c>
      <c r="O20" s="100">
        <v>0</v>
      </c>
      <c r="P20" s="100">
        <v>0.74</v>
      </c>
      <c r="Q20" s="100">
        <v>6.45</v>
      </c>
      <c r="R20" s="6"/>
      <c r="S20" s="6"/>
      <c r="T20" s="156"/>
      <c r="U20" s="6"/>
    </row>
    <row r="21" spans="1:21" customFormat="1">
      <c r="A21" s="100" t="s">
        <v>826</v>
      </c>
      <c r="B21" s="100">
        <v>36.86</v>
      </c>
      <c r="C21" s="100">
        <v>54.57</v>
      </c>
      <c r="D21" s="100">
        <v>59.42</v>
      </c>
      <c r="E21" s="100">
        <v>7.72</v>
      </c>
      <c r="F21" s="100">
        <v>3.89</v>
      </c>
      <c r="G21" s="100">
        <v>60.65</v>
      </c>
      <c r="H21" s="100">
        <v>28.38</v>
      </c>
      <c r="I21" s="100">
        <v>12.03</v>
      </c>
      <c r="J21" s="100">
        <v>0.17</v>
      </c>
      <c r="K21" s="100">
        <v>184.54</v>
      </c>
      <c r="L21" s="100">
        <v>25.54</v>
      </c>
      <c r="M21" s="100">
        <v>84.35</v>
      </c>
      <c r="N21" s="100">
        <v>0</v>
      </c>
      <c r="O21" s="100">
        <v>0</v>
      </c>
      <c r="P21" s="100">
        <v>0.75</v>
      </c>
      <c r="Q21" s="100">
        <v>6.52</v>
      </c>
      <c r="R21" s="6"/>
      <c r="S21" s="6"/>
      <c r="T21" s="156"/>
      <c r="U21" s="6"/>
    </row>
    <row r="22" spans="1:21" customFormat="1">
      <c r="A22" s="100" t="s">
        <v>827</v>
      </c>
      <c r="B22" s="100">
        <v>36.880000000000003</v>
      </c>
      <c r="C22" s="100">
        <v>53.63</v>
      </c>
      <c r="D22" s="100">
        <v>58.94</v>
      </c>
      <c r="E22" s="100">
        <v>7.29</v>
      </c>
      <c r="F22" s="100">
        <v>4.1100000000000003</v>
      </c>
      <c r="G22" s="100">
        <v>56.97</v>
      </c>
      <c r="H22" s="100">
        <v>26.32</v>
      </c>
      <c r="I22" s="100">
        <v>11.87</v>
      </c>
      <c r="J22" s="100">
        <v>0.16</v>
      </c>
      <c r="K22" s="100">
        <v>181.5</v>
      </c>
      <c r="L22" s="100">
        <v>25.52</v>
      </c>
      <c r="M22" s="100">
        <v>81.459999999999994</v>
      </c>
      <c r="N22" s="100">
        <v>0</v>
      </c>
      <c r="O22" s="100">
        <v>0</v>
      </c>
      <c r="P22" s="100">
        <v>0.74</v>
      </c>
      <c r="Q22" s="100">
        <v>6.47</v>
      </c>
      <c r="R22" s="6"/>
      <c r="S22" s="6"/>
      <c r="T22" s="156"/>
      <c r="U22" s="6"/>
    </row>
    <row r="23" spans="1:21" customFormat="1">
      <c r="A23" s="100" t="s">
        <v>828</v>
      </c>
      <c r="B23" s="100">
        <v>36.71</v>
      </c>
      <c r="C23" s="100">
        <v>53.35</v>
      </c>
      <c r="D23" s="100">
        <v>58.66</v>
      </c>
      <c r="E23" s="100">
        <v>7.64</v>
      </c>
      <c r="F23" s="100">
        <v>3.86</v>
      </c>
      <c r="G23" s="100">
        <v>56.84</v>
      </c>
      <c r="H23" s="100">
        <v>26.32</v>
      </c>
      <c r="I23" s="100">
        <v>11.61</v>
      </c>
      <c r="J23" s="100">
        <v>0.23</v>
      </c>
      <c r="K23" s="100">
        <v>217.45</v>
      </c>
      <c r="L23" s="100">
        <v>25.83</v>
      </c>
      <c r="M23" s="100">
        <v>78.55</v>
      </c>
      <c r="N23" s="100">
        <v>0</v>
      </c>
      <c r="O23" s="100">
        <v>0</v>
      </c>
      <c r="P23" s="100">
        <v>0.73</v>
      </c>
      <c r="Q23" s="100">
        <v>6.48</v>
      </c>
      <c r="R23" s="6"/>
      <c r="S23" s="6"/>
      <c r="T23" s="156"/>
      <c r="U23" s="6"/>
    </row>
    <row r="24" spans="1:21" customFormat="1">
      <c r="A24" s="100" t="s">
        <v>829</v>
      </c>
      <c r="B24" s="100">
        <v>36.11</v>
      </c>
      <c r="C24" s="100">
        <v>53.93</v>
      </c>
      <c r="D24" s="100">
        <v>58.48</v>
      </c>
      <c r="E24" s="100">
        <v>7.16</v>
      </c>
      <c r="F24" s="100">
        <v>3.69</v>
      </c>
      <c r="G24" s="100">
        <v>56.84</v>
      </c>
      <c r="H24" s="100">
        <v>26.32</v>
      </c>
      <c r="I24" s="100">
        <v>11.43</v>
      </c>
      <c r="J24" s="100">
        <v>0.1</v>
      </c>
      <c r="K24" s="100">
        <v>184.25</v>
      </c>
      <c r="L24" s="100">
        <v>25.89</v>
      </c>
      <c r="M24" s="100">
        <v>77.72</v>
      </c>
      <c r="N24" s="100">
        <v>0</v>
      </c>
      <c r="O24" s="100">
        <v>0</v>
      </c>
      <c r="P24" s="100">
        <v>0.73</v>
      </c>
      <c r="Q24" s="100">
        <v>6.47</v>
      </c>
      <c r="R24" s="6"/>
      <c r="S24" s="6"/>
      <c r="T24" s="156"/>
      <c r="U24" s="6"/>
    </row>
    <row r="25" spans="1:21" customFormat="1">
      <c r="A25" s="100" t="s">
        <v>830</v>
      </c>
      <c r="B25" s="100">
        <v>35.79</v>
      </c>
      <c r="C25" s="100">
        <v>52.77</v>
      </c>
      <c r="D25" s="100">
        <v>57.62</v>
      </c>
      <c r="E25" s="100">
        <v>7.47</v>
      </c>
      <c r="F25" s="100">
        <v>3.85</v>
      </c>
      <c r="G25" s="100">
        <v>56.84</v>
      </c>
      <c r="H25" s="100">
        <v>26.32</v>
      </c>
      <c r="I25" s="100">
        <v>11.13</v>
      </c>
      <c r="J25" s="100">
        <v>0.15</v>
      </c>
      <c r="K25" s="100">
        <v>169.43</v>
      </c>
      <c r="L25" s="100">
        <v>25.59</v>
      </c>
      <c r="M25" s="100">
        <v>81.010000000000005</v>
      </c>
      <c r="N25" s="100">
        <v>0</v>
      </c>
      <c r="O25" s="100">
        <v>0</v>
      </c>
      <c r="P25" s="100">
        <v>0.72</v>
      </c>
      <c r="Q25" s="100">
        <v>6.39</v>
      </c>
      <c r="R25" s="6"/>
      <c r="S25" s="6"/>
      <c r="T25" s="156"/>
      <c r="U25" s="6"/>
    </row>
    <row r="26" spans="1:21" customFormat="1">
      <c r="A26" s="100" t="s">
        <v>831</v>
      </c>
      <c r="B26" s="100">
        <v>35.78</v>
      </c>
      <c r="C26" s="100">
        <v>52.76</v>
      </c>
      <c r="D26" s="100">
        <v>57.61</v>
      </c>
      <c r="E26" s="100">
        <v>7.44</v>
      </c>
      <c r="F26" s="100">
        <v>3.75</v>
      </c>
      <c r="G26" s="100">
        <v>57.05</v>
      </c>
      <c r="H26" s="100">
        <v>25.22</v>
      </c>
      <c r="I26" s="100">
        <v>10.94</v>
      </c>
      <c r="J26" s="100">
        <v>0.18</v>
      </c>
      <c r="K26" s="100">
        <v>192.51</v>
      </c>
      <c r="L26" s="100">
        <v>25.3</v>
      </c>
      <c r="M26" s="100">
        <v>82.36</v>
      </c>
      <c r="N26" s="100">
        <v>0</v>
      </c>
      <c r="O26" s="100">
        <v>0</v>
      </c>
      <c r="P26" s="100">
        <v>0.71</v>
      </c>
      <c r="Q26" s="100">
        <v>6.4</v>
      </c>
      <c r="R26" s="6"/>
      <c r="S26" s="6"/>
      <c r="T26" s="156"/>
      <c r="U26" s="6"/>
    </row>
    <row r="27" spans="1:21" customFormat="1">
      <c r="A27" s="100" t="s">
        <v>832</v>
      </c>
      <c r="B27" s="100">
        <v>35.43</v>
      </c>
      <c r="C27" s="100">
        <v>53.24</v>
      </c>
      <c r="D27" s="100">
        <v>57.58</v>
      </c>
      <c r="E27" s="100">
        <v>7.28</v>
      </c>
      <c r="F27" s="100">
        <v>3.53</v>
      </c>
      <c r="G27" s="100">
        <v>57.06</v>
      </c>
      <c r="H27" s="100">
        <v>25.22</v>
      </c>
      <c r="I27" s="100">
        <v>10.75</v>
      </c>
      <c r="J27" s="100">
        <v>0.22</v>
      </c>
      <c r="K27" s="100">
        <v>199.03</v>
      </c>
      <c r="L27" s="100">
        <v>25.18</v>
      </c>
      <c r="M27" s="100">
        <v>84.25</v>
      </c>
      <c r="N27" s="100">
        <v>0</v>
      </c>
      <c r="O27" s="100">
        <v>0</v>
      </c>
      <c r="P27" s="100">
        <v>0.71</v>
      </c>
      <c r="Q27" s="100">
        <v>6.37</v>
      </c>
      <c r="R27" s="6"/>
      <c r="S27" s="6"/>
      <c r="T27" s="156"/>
      <c r="U27" s="6"/>
    </row>
    <row r="28" spans="1:21" customFormat="1">
      <c r="A28" s="100" t="s">
        <v>833</v>
      </c>
      <c r="B28" s="100">
        <v>35.22</v>
      </c>
      <c r="C28" s="100">
        <v>52.28</v>
      </c>
      <c r="D28" s="100">
        <v>56.91</v>
      </c>
      <c r="E28" s="100">
        <v>7.03</v>
      </c>
      <c r="F28" s="100">
        <v>3.89</v>
      </c>
      <c r="G28" s="100">
        <v>57.06</v>
      </c>
      <c r="H28" s="100">
        <v>25.22</v>
      </c>
      <c r="I28" s="100">
        <v>10.57</v>
      </c>
      <c r="J28" s="100">
        <v>0.18</v>
      </c>
      <c r="K28" s="100">
        <v>182.72</v>
      </c>
      <c r="L28" s="100">
        <v>25.28</v>
      </c>
      <c r="M28" s="100">
        <v>81.400000000000006</v>
      </c>
      <c r="N28" s="100">
        <v>0</v>
      </c>
      <c r="O28" s="100">
        <v>0</v>
      </c>
      <c r="P28" s="100">
        <v>0.7</v>
      </c>
      <c r="Q28" s="100">
        <v>6.28</v>
      </c>
      <c r="R28" s="6"/>
      <c r="S28" s="6"/>
      <c r="T28" s="156"/>
      <c r="U28" s="6"/>
    </row>
    <row r="29" spans="1:21" customFormat="1">
      <c r="A29" s="100" t="s">
        <v>834</v>
      </c>
      <c r="B29" s="100">
        <v>35.090000000000003</v>
      </c>
      <c r="C29" s="100">
        <v>52.09</v>
      </c>
      <c r="D29" s="100">
        <v>56.71</v>
      </c>
      <c r="E29" s="100">
        <v>7.02</v>
      </c>
      <c r="F29" s="100">
        <v>3.68</v>
      </c>
      <c r="G29" s="100">
        <v>57.06</v>
      </c>
      <c r="H29" s="100">
        <v>25.22</v>
      </c>
      <c r="I29" s="100">
        <v>10.36</v>
      </c>
      <c r="J29" s="100">
        <v>0.2</v>
      </c>
      <c r="K29" s="100">
        <v>181.94</v>
      </c>
      <c r="L29" s="100">
        <v>25.57</v>
      </c>
      <c r="M29" s="100">
        <v>79.09</v>
      </c>
      <c r="N29" s="100">
        <v>0</v>
      </c>
      <c r="O29" s="100">
        <v>0</v>
      </c>
      <c r="P29" s="100">
        <v>0.69</v>
      </c>
      <c r="Q29" s="100">
        <v>6.29</v>
      </c>
      <c r="R29" s="6"/>
      <c r="S29" s="6"/>
      <c r="T29" s="156"/>
      <c r="U29" s="6"/>
    </row>
    <row r="30" spans="1:21" customFormat="1">
      <c r="A30" s="100" t="s">
        <v>835</v>
      </c>
      <c r="B30" s="100">
        <v>34.94</v>
      </c>
      <c r="C30" s="100">
        <v>53.08</v>
      </c>
      <c r="D30" s="100">
        <v>57.11</v>
      </c>
      <c r="E30" s="100">
        <v>7.39</v>
      </c>
      <c r="F30" s="100">
        <v>3.41</v>
      </c>
      <c r="G30" s="100">
        <v>52.58</v>
      </c>
      <c r="H30" s="100">
        <v>25.5</v>
      </c>
      <c r="I30" s="100">
        <v>10.220000000000001</v>
      </c>
      <c r="J30" s="100">
        <v>0.22</v>
      </c>
      <c r="K30" s="100">
        <v>183.56</v>
      </c>
      <c r="L30" s="100">
        <v>25.46</v>
      </c>
      <c r="M30" s="100">
        <v>80.28</v>
      </c>
      <c r="N30" s="100">
        <v>0</v>
      </c>
      <c r="O30" s="100">
        <v>0</v>
      </c>
      <c r="P30" s="100">
        <v>0.7</v>
      </c>
      <c r="Q30" s="100">
        <v>6.36</v>
      </c>
      <c r="R30" s="6"/>
      <c r="S30" s="6"/>
      <c r="T30" s="156"/>
      <c r="U30" s="6"/>
    </row>
    <row r="31" spans="1:21" customFormat="1">
      <c r="A31" s="100" t="s">
        <v>836</v>
      </c>
      <c r="B31" s="100">
        <v>34.979999999999997</v>
      </c>
      <c r="C31" s="100">
        <v>52.11</v>
      </c>
      <c r="D31" s="100">
        <v>56.62</v>
      </c>
      <c r="E31" s="100">
        <v>6.83</v>
      </c>
      <c r="F31" s="100">
        <v>3.64</v>
      </c>
      <c r="G31" s="100">
        <v>52.43</v>
      </c>
      <c r="H31" s="100">
        <v>25.5</v>
      </c>
      <c r="I31" s="100">
        <v>10.08</v>
      </c>
      <c r="J31" s="100">
        <v>0.14000000000000001</v>
      </c>
      <c r="K31" s="100">
        <v>184.46</v>
      </c>
      <c r="L31" s="100">
        <v>25.37</v>
      </c>
      <c r="M31" s="100">
        <v>81.05</v>
      </c>
      <c r="N31" s="100">
        <v>6</v>
      </c>
      <c r="O31" s="100">
        <v>0</v>
      </c>
      <c r="P31" s="100">
        <v>0.69</v>
      </c>
      <c r="Q31" s="100">
        <v>6.33</v>
      </c>
      <c r="R31" s="6"/>
      <c r="S31" s="6"/>
      <c r="T31" s="156"/>
      <c r="U31" s="6"/>
    </row>
    <row r="32" spans="1:21" customFormat="1">
      <c r="A32" s="100" t="s">
        <v>837</v>
      </c>
      <c r="B32" s="100">
        <v>35.090000000000003</v>
      </c>
      <c r="C32" s="100">
        <v>51.07</v>
      </c>
      <c r="D32" s="100">
        <v>56.18</v>
      </c>
      <c r="E32" s="100">
        <v>6.9</v>
      </c>
      <c r="F32" s="100">
        <v>3.71</v>
      </c>
      <c r="G32" s="100">
        <v>52.43</v>
      </c>
      <c r="H32" s="100">
        <v>25.5</v>
      </c>
      <c r="I32" s="100">
        <v>10</v>
      </c>
      <c r="J32" s="100">
        <v>0.12</v>
      </c>
      <c r="K32" s="100">
        <v>212.8</v>
      </c>
      <c r="L32" s="100">
        <v>25.66</v>
      </c>
      <c r="M32" s="100">
        <v>80.64</v>
      </c>
      <c r="N32" s="100">
        <v>17.8</v>
      </c>
      <c r="O32" s="100">
        <v>0</v>
      </c>
      <c r="P32" s="100">
        <v>0.68</v>
      </c>
      <c r="Q32" s="100">
        <v>6.26</v>
      </c>
      <c r="R32" s="6"/>
      <c r="S32" s="6"/>
      <c r="T32" s="156"/>
      <c r="U32" s="6"/>
    </row>
    <row r="33" spans="1:21" customFormat="1">
      <c r="A33" s="100" t="s">
        <v>838</v>
      </c>
      <c r="B33" s="100">
        <v>34.75</v>
      </c>
      <c r="C33" s="100">
        <v>52.51</v>
      </c>
      <c r="D33" s="100">
        <v>56.65</v>
      </c>
      <c r="E33" s="100">
        <v>7.24</v>
      </c>
      <c r="F33" s="100">
        <v>3.3</v>
      </c>
      <c r="G33" s="100">
        <v>52.43</v>
      </c>
      <c r="H33" s="100">
        <v>25.5</v>
      </c>
      <c r="I33" s="100">
        <v>9.99</v>
      </c>
      <c r="J33" s="100">
        <v>7.0000000000000007E-2</v>
      </c>
      <c r="K33" s="100">
        <v>220.08</v>
      </c>
      <c r="L33" s="100">
        <v>25.97</v>
      </c>
      <c r="M33" s="100">
        <v>79</v>
      </c>
      <c r="N33" s="100">
        <v>28.7</v>
      </c>
      <c r="O33" s="100">
        <v>0</v>
      </c>
      <c r="P33" s="100">
        <v>0.69</v>
      </c>
      <c r="Q33" s="100">
        <v>6.3</v>
      </c>
      <c r="R33" s="6"/>
      <c r="S33" s="6"/>
      <c r="T33" s="156"/>
      <c r="U33" s="6"/>
    </row>
    <row r="34" spans="1:21" customFormat="1">
      <c r="A34" s="100" t="s">
        <v>839</v>
      </c>
      <c r="B34" s="100">
        <v>34.75</v>
      </c>
      <c r="C34" s="100">
        <v>52.22</v>
      </c>
      <c r="D34" s="100">
        <v>56.5</v>
      </c>
      <c r="E34" s="100">
        <v>6.8</v>
      </c>
      <c r="F34" s="100">
        <v>3.58</v>
      </c>
      <c r="G34" s="100">
        <v>51.33</v>
      </c>
      <c r="H34" s="100">
        <v>23.73</v>
      </c>
      <c r="I34" s="100">
        <v>9.92</v>
      </c>
      <c r="J34" s="100">
        <v>0.2</v>
      </c>
      <c r="K34" s="100">
        <v>161.07</v>
      </c>
      <c r="L34" s="100">
        <v>26.57</v>
      </c>
      <c r="M34" s="100">
        <v>76.98</v>
      </c>
      <c r="N34" s="100">
        <v>39.1</v>
      </c>
      <c r="O34" s="100">
        <v>0</v>
      </c>
      <c r="P34" s="100">
        <v>0.7</v>
      </c>
      <c r="Q34" s="100">
        <v>6.3</v>
      </c>
      <c r="R34" s="6"/>
      <c r="S34" s="6"/>
      <c r="T34" s="156"/>
      <c r="U34" s="6"/>
    </row>
    <row r="35" spans="1:21" customFormat="1">
      <c r="A35" s="100" t="s">
        <v>840</v>
      </c>
      <c r="B35" s="100">
        <v>35.03</v>
      </c>
      <c r="C35" s="100">
        <v>51.64</v>
      </c>
      <c r="D35" s="100">
        <v>56.42</v>
      </c>
      <c r="E35" s="100">
        <v>6.33</v>
      </c>
      <c r="F35" s="100">
        <v>3.74</v>
      </c>
      <c r="G35" s="100">
        <v>51.29</v>
      </c>
      <c r="H35" s="100">
        <v>23.73</v>
      </c>
      <c r="I35" s="100">
        <v>9.8699999999999992</v>
      </c>
      <c r="J35" s="100">
        <v>0.22</v>
      </c>
      <c r="K35" s="100">
        <v>166.73</v>
      </c>
      <c r="L35" s="100">
        <v>27.25</v>
      </c>
      <c r="M35" s="100">
        <v>74.19</v>
      </c>
      <c r="N35" s="100">
        <v>53</v>
      </c>
      <c r="O35" s="100">
        <v>0</v>
      </c>
      <c r="P35" s="100">
        <v>0.68</v>
      </c>
      <c r="Q35" s="100">
        <v>6.31</v>
      </c>
      <c r="R35" s="6"/>
      <c r="S35" s="6"/>
      <c r="T35" s="156"/>
      <c r="U35" s="6"/>
    </row>
    <row r="36" spans="1:21" customFormat="1">
      <c r="A36" s="100" t="s">
        <v>841</v>
      </c>
      <c r="B36" s="100">
        <v>34.590000000000003</v>
      </c>
      <c r="C36" s="100">
        <v>52.7</v>
      </c>
      <c r="D36" s="100">
        <v>56.62</v>
      </c>
      <c r="E36" s="100">
        <v>7.14</v>
      </c>
      <c r="F36" s="100">
        <v>3.51</v>
      </c>
      <c r="G36" s="100">
        <v>51.29</v>
      </c>
      <c r="H36" s="100">
        <v>23.73</v>
      </c>
      <c r="I36" s="100">
        <v>9.86</v>
      </c>
      <c r="J36" s="100">
        <v>0.19</v>
      </c>
      <c r="K36" s="100">
        <v>42.06</v>
      </c>
      <c r="L36" s="100">
        <v>27.78</v>
      </c>
      <c r="M36" s="100">
        <v>69.2</v>
      </c>
      <c r="N36" s="100">
        <v>67.099999999999994</v>
      </c>
      <c r="O36" s="100">
        <v>0</v>
      </c>
      <c r="P36" s="100">
        <v>0.69</v>
      </c>
      <c r="Q36" s="100">
        <v>6.38</v>
      </c>
      <c r="R36" s="6"/>
      <c r="S36" s="6"/>
      <c r="T36" s="156"/>
      <c r="U36" s="6"/>
    </row>
    <row r="37" spans="1:21" customFormat="1">
      <c r="A37" s="100" t="s">
        <v>842</v>
      </c>
      <c r="B37" s="100">
        <v>34.57</v>
      </c>
      <c r="C37" s="100">
        <v>51.39</v>
      </c>
      <c r="D37" s="100">
        <v>55.92</v>
      </c>
      <c r="E37" s="100">
        <v>6.6</v>
      </c>
      <c r="F37" s="100">
        <v>3.99</v>
      </c>
      <c r="G37" s="100">
        <v>51.29</v>
      </c>
      <c r="H37" s="100">
        <v>23.73</v>
      </c>
      <c r="I37" s="100">
        <v>9.74</v>
      </c>
      <c r="J37" s="100">
        <v>0.35</v>
      </c>
      <c r="K37" s="100">
        <v>228.41</v>
      </c>
      <c r="L37" s="100">
        <v>28.49</v>
      </c>
      <c r="M37" s="100">
        <v>66.66</v>
      </c>
      <c r="N37" s="100">
        <v>76.900000000000006</v>
      </c>
      <c r="O37" s="100">
        <v>0</v>
      </c>
      <c r="P37" s="100">
        <v>0.69</v>
      </c>
      <c r="Q37" s="100">
        <v>6.28</v>
      </c>
      <c r="R37" s="6"/>
      <c r="S37" s="6"/>
      <c r="T37" s="156"/>
      <c r="U37" s="6"/>
    </row>
    <row r="38" spans="1:21" customFormat="1">
      <c r="A38" s="100" t="s">
        <v>843</v>
      </c>
      <c r="B38" s="100">
        <v>33.86</v>
      </c>
      <c r="C38" s="100">
        <v>53.7</v>
      </c>
      <c r="D38" s="100">
        <v>56.56</v>
      </c>
      <c r="E38" s="100">
        <v>6.9</v>
      </c>
      <c r="F38" s="100">
        <v>3.66</v>
      </c>
      <c r="G38" s="100">
        <v>49.76</v>
      </c>
      <c r="H38" s="100">
        <v>27.71</v>
      </c>
      <c r="I38" s="100">
        <v>9.68</v>
      </c>
      <c r="J38" s="100">
        <v>0.5</v>
      </c>
      <c r="K38" s="100">
        <v>280.8</v>
      </c>
      <c r="L38" s="100">
        <v>29.42</v>
      </c>
      <c r="M38" s="100">
        <v>61.98</v>
      </c>
      <c r="N38" s="100">
        <v>83.6</v>
      </c>
      <c r="O38" s="100">
        <v>0</v>
      </c>
      <c r="P38" s="100">
        <v>0.7</v>
      </c>
      <c r="Q38" s="100">
        <v>6.35</v>
      </c>
      <c r="R38" s="6"/>
      <c r="S38" s="6"/>
      <c r="T38" s="156"/>
      <c r="U38" s="6"/>
    </row>
    <row r="39" spans="1:21" customFormat="1">
      <c r="A39" s="100" t="s">
        <v>844</v>
      </c>
      <c r="B39" s="100">
        <v>31.97</v>
      </c>
      <c r="C39" s="100">
        <v>50.41</v>
      </c>
      <c r="D39" s="100">
        <v>53.33</v>
      </c>
      <c r="E39" s="100">
        <v>7</v>
      </c>
      <c r="F39" s="100">
        <v>6.99</v>
      </c>
      <c r="G39" s="100">
        <v>49.71</v>
      </c>
      <c r="H39" s="100">
        <v>27.71</v>
      </c>
      <c r="I39" s="100">
        <v>9.6</v>
      </c>
      <c r="J39" s="100">
        <v>0.51</v>
      </c>
      <c r="K39" s="100">
        <v>307.55</v>
      </c>
      <c r="L39" s="100">
        <v>30.4</v>
      </c>
      <c r="M39" s="100">
        <v>56.49</v>
      </c>
      <c r="N39" s="100">
        <v>93.4</v>
      </c>
      <c r="O39" s="100">
        <v>0</v>
      </c>
      <c r="P39" s="100">
        <v>0.73</v>
      </c>
      <c r="Q39" s="100">
        <v>6.21</v>
      </c>
      <c r="R39" s="6"/>
      <c r="S39" s="6"/>
      <c r="T39" s="156"/>
      <c r="U39" s="6"/>
    </row>
    <row r="40" spans="1:21" customFormat="1">
      <c r="A40" s="100" t="s">
        <v>845</v>
      </c>
      <c r="B40" s="100">
        <v>31.06</v>
      </c>
      <c r="C40" s="100">
        <v>46.91</v>
      </c>
      <c r="D40" s="100">
        <v>50.76</v>
      </c>
      <c r="E40" s="100">
        <v>7.54</v>
      </c>
      <c r="F40" s="100">
        <v>9.59</v>
      </c>
      <c r="G40" s="100">
        <v>49.71</v>
      </c>
      <c r="H40" s="100">
        <v>27.71</v>
      </c>
      <c r="I40" s="100">
        <v>9.4700000000000006</v>
      </c>
      <c r="J40" s="100">
        <v>0.84</v>
      </c>
      <c r="K40" s="100">
        <v>298.81</v>
      </c>
      <c r="L40" s="100">
        <v>30.93</v>
      </c>
      <c r="M40" s="100">
        <v>53.86</v>
      </c>
      <c r="N40" s="100">
        <v>103.2</v>
      </c>
      <c r="O40" s="100">
        <v>0</v>
      </c>
      <c r="P40" s="100">
        <v>0.74</v>
      </c>
      <c r="Q40" s="100">
        <v>6.03</v>
      </c>
      <c r="R40" s="6"/>
      <c r="S40" s="6"/>
      <c r="T40" s="156"/>
      <c r="U40" s="6"/>
    </row>
    <row r="41" spans="1:21" customFormat="1">
      <c r="A41" s="100" t="s">
        <v>846</v>
      </c>
      <c r="B41" s="100">
        <v>28.77</v>
      </c>
      <c r="C41" s="100">
        <v>45.99</v>
      </c>
      <c r="D41" s="100">
        <v>48.45</v>
      </c>
      <c r="E41" s="100">
        <v>8.1999999999999993</v>
      </c>
      <c r="F41" s="100">
        <v>10.72</v>
      </c>
      <c r="G41" s="100">
        <v>49.71</v>
      </c>
      <c r="H41" s="100">
        <v>27.71</v>
      </c>
      <c r="I41" s="100">
        <v>9.24</v>
      </c>
      <c r="J41" s="100">
        <v>0.82</v>
      </c>
      <c r="K41" s="100">
        <v>298.38</v>
      </c>
      <c r="L41" s="100">
        <v>31.59</v>
      </c>
      <c r="M41" s="100">
        <v>51.64</v>
      </c>
      <c r="N41" s="100">
        <v>112.3</v>
      </c>
      <c r="O41" s="100">
        <v>0</v>
      </c>
      <c r="P41" s="100">
        <v>0.8</v>
      </c>
      <c r="Q41" s="100">
        <v>5.87</v>
      </c>
      <c r="R41" s="6"/>
      <c r="S41" s="6"/>
      <c r="T41" s="156"/>
      <c r="U41" s="6"/>
    </row>
    <row r="42" spans="1:21" customFormat="1">
      <c r="A42" s="100" t="s">
        <v>847</v>
      </c>
      <c r="B42" s="100">
        <v>28.52</v>
      </c>
      <c r="C42" s="100">
        <v>45.73</v>
      </c>
      <c r="D42" s="100">
        <v>48.12</v>
      </c>
      <c r="E42" s="100">
        <v>10.29</v>
      </c>
      <c r="F42" s="100">
        <v>11.9</v>
      </c>
      <c r="G42" s="100">
        <v>51.65</v>
      </c>
      <c r="H42" s="100">
        <v>26.38</v>
      </c>
      <c r="I42" s="100">
        <v>9.36</v>
      </c>
      <c r="J42" s="100">
        <v>0.78</v>
      </c>
      <c r="K42" s="100">
        <v>303.05</v>
      </c>
      <c r="L42" s="100">
        <v>32.01</v>
      </c>
      <c r="M42" s="100">
        <v>51.22</v>
      </c>
      <c r="N42" s="100">
        <v>122.1</v>
      </c>
      <c r="O42" s="100">
        <v>0</v>
      </c>
      <c r="P42" s="100">
        <v>0.83</v>
      </c>
      <c r="Q42" s="100">
        <v>5.76</v>
      </c>
      <c r="R42" s="6"/>
      <c r="S42" s="6"/>
      <c r="T42" s="156"/>
      <c r="U42" s="6"/>
    </row>
    <row r="43" spans="1:21" customFormat="1">
      <c r="A43" s="100" t="s">
        <v>848</v>
      </c>
      <c r="B43" s="100">
        <v>29.12</v>
      </c>
      <c r="C43" s="100">
        <v>50.16</v>
      </c>
      <c r="D43" s="100">
        <v>50.91</v>
      </c>
      <c r="E43" s="100">
        <v>8.3699999999999992</v>
      </c>
      <c r="F43" s="100">
        <v>7.72</v>
      </c>
      <c r="G43" s="100">
        <v>51.72</v>
      </c>
      <c r="H43" s="100">
        <v>26.38</v>
      </c>
      <c r="I43" s="100">
        <v>9.7200000000000006</v>
      </c>
      <c r="J43" s="100">
        <v>1.1499999999999999</v>
      </c>
      <c r="K43" s="100">
        <v>311.39</v>
      </c>
      <c r="L43" s="100">
        <v>32.380000000000003</v>
      </c>
      <c r="M43" s="100">
        <v>50.29</v>
      </c>
      <c r="N43" s="100">
        <v>131.69999999999999</v>
      </c>
      <c r="O43" s="100">
        <v>0</v>
      </c>
      <c r="P43" s="100">
        <v>0.82</v>
      </c>
      <c r="Q43" s="100">
        <v>5.81</v>
      </c>
      <c r="R43" s="6"/>
      <c r="S43" s="6"/>
      <c r="T43" s="156"/>
      <c r="U43" s="6"/>
    </row>
    <row r="44" spans="1:21" customFormat="1">
      <c r="A44" s="100" t="s">
        <v>849</v>
      </c>
      <c r="B44" s="100">
        <v>27.21</v>
      </c>
      <c r="C44" s="100">
        <v>48.71</v>
      </c>
      <c r="D44" s="100">
        <v>48.62</v>
      </c>
      <c r="E44" s="100">
        <v>8.82</v>
      </c>
      <c r="F44" s="100">
        <v>12.87</v>
      </c>
      <c r="G44" s="100">
        <v>51.72</v>
      </c>
      <c r="H44" s="100">
        <v>26.38</v>
      </c>
      <c r="I44" s="100">
        <v>11.15</v>
      </c>
      <c r="J44" s="100">
        <v>0.86</v>
      </c>
      <c r="K44" s="100">
        <v>299.45999999999998</v>
      </c>
      <c r="L44" s="100">
        <v>32.81</v>
      </c>
      <c r="M44" s="100">
        <v>49.42</v>
      </c>
      <c r="N44" s="100">
        <v>170.5</v>
      </c>
      <c r="O44" s="100">
        <v>0</v>
      </c>
      <c r="P44" s="100">
        <v>0.83</v>
      </c>
      <c r="Q44" s="100">
        <v>5.91</v>
      </c>
      <c r="R44" s="6"/>
      <c r="S44" s="6"/>
      <c r="T44" s="156"/>
      <c r="U44" s="6"/>
    </row>
    <row r="45" spans="1:21" customFormat="1">
      <c r="A45" s="100" t="s">
        <v>850</v>
      </c>
      <c r="B45" s="100">
        <v>25.86</v>
      </c>
      <c r="C45" s="100">
        <v>48.85</v>
      </c>
      <c r="D45" s="100">
        <v>47.61</v>
      </c>
      <c r="E45" s="100">
        <v>9.66</v>
      </c>
      <c r="F45" s="100">
        <v>15.34</v>
      </c>
      <c r="G45" s="100">
        <v>51.72</v>
      </c>
      <c r="H45" s="100">
        <v>26.38</v>
      </c>
      <c r="I45" s="100">
        <v>10.25</v>
      </c>
      <c r="J45" s="100">
        <v>0.99</v>
      </c>
      <c r="K45" s="100">
        <v>304.42</v>
      </c>
      <c r="L45" s="100">
        <v>33.28</v>
      </c>
      <c r="M45" s="100">
        <v>48.22</v>
      </c>
      <c r="N45" s="100">
        <v>263.39999999999998</v>
      </c>
      <c r="O45" s="100">
        <v>0</v>
      </c>
      <c r="P45" s="100">
        <v>0.83</v>
      </c>
      <c r="Q45" s="100">
        <v>5.75</v>
      </c>
      <c r="R45" s="6"/>
      <c r="S45" s="6"/>
      <c r="T45" s="156"/>
      <c r="U45" s="6"/>
    </row>
    <row r="46" spans="1:21" customFormat="1">
      <c r="A46" s="100" t="s">
        <v>851</v>
      </c>
      <c r="B46" s="100">
        <v>23.6</v>
      </c>
      <c r="C46" s="100">
        <v>45.8</v>
      </c>
      <c r="D46" s="100">
        <v>44.2</v>
      </c>
      <c r="E46" s="100">
        <v>10.26</v>
      </c>
      <c r="F46" s="100">
        <v>17.86</v>
      </c>
      <c r="G46" s="100">
        <v>64.31</v>
      </c>
      <c r="H46" s="100">
        <v>27.47</v>
      </c>
      <c r="I46" s="100">
        <v>9.8000000000000007</v>
      </c>
      <c r="J46" s="100">
        <v>0.51</v>
      </c>
      <c r="K46" s="100">
        <v>280.66000000000003</v>
      </c>
      <c r="L46" s="100">
        <v>33.94</v>
      </c>
      <c r="M46" s="100">
        <v>46.73</v>
      </c>
      <c r="N46" s="100">
        <v>203.5</v>
      </c>
      <c r="O46" s="100">
        <v>0</v>
      </c>
      <c r="P46" s="100">
        <v>0.84</v>
      </c>
      <c r="Q46" s="100">
        <v>5.61</v>
      </c>
      <c r="R46" s="6"/>
      <c r="S46" s="6"/>
      <c r="T46" s="156"/>
      <c r="U46" s="6"/>
    </row>
    <row r="47" spans="1:21" customFormat="1">
      <c r="A47" s="100" t="s">
        <v>852</v>
      </c>
      <c r="B47" s="100">
        <v>21.61</v>
      </c>
      <c r="C47" s="100">
        <v>43.94</v>
      </c>
      <c r="D47" s="100">
        <v>41.64</v>
      </c>
      <c r="E47" s="100">
        <v>9.99</v>
      </c>
      <c r="F47" s="100">
        <v>15.56</v>
      </c>
      <c r="G47" s="100">
        <v>64.739999999999995</v>
      </c>
      <c r="H47" s="100">
        <v>27.47</v>
      </c>
      <c r="I47" s="100">
        <v>9.7100000000000009</v>
      </c>
      <c r="J47" s="100">
        <v>0.61</v>
      </c>
      <c r="K47" s="100">
        <v>251.03</v>
      </c>
      <c r="L47" s="100">
        <v>34.340000000000003</v>
      </c>
      <c r="M47" s="100">
        <v>45.48</v>
      </c>
      <c r="N47" s="100">
        <v>375.5</v>
      </c>
      <c r="O47" s="100">
        <v>0</v>
      </c>
      <c r="P47" s="100">
        <v>0.82</v>
      </c>
      <c r="Q47" s="100">
        <v>5.48</v>
      </c>
      <c r="R47" s="6"/>
      <c r="S47" s="6"/>
      <c r="T47" s="156"/>
      <c r="U47" s="6"/>
    </row>
    <row r="48" spans="1:21" customFormat="1">
      <c r="A48" s="100" t="s">
        <v>853</v>
      </c>
      <c r="B48" s="100">
        <v>21.21</v>
      </c>
      <c r="C48" s="100">
        <v>44.79</v>
      </c>
      <c r="D48" s="100">
        <v>41.77</v>
      </c>
      <c r="E48" s="100">
        <v>9.58</v>
      </c>
      <c r="F48" s="100">
        <v>12.42</v>
      </c>
      <c r="G48" s="100">
        <v>64.739999999999995</v>
      </c>
      <c r="H48" s="100">
        <v>27.47</v>
      </c>
      <c r="I48" s="100">
        <v>9.73</v>
      </c>
      <c r="J48" s="100">
        <v>0.73</v>
      </c>
      <c r="K48" s="100">
        <v>273.48</v>
      </c>
      <c r="L48" s="100">
        <v>34.57</v>
      </c>
      <c r="M48" s="100">
        <v>44.05</v>
      </c>
      <c r="N48" s="100">
        <v>262.5</v>
      </c>
      <c r="O48" s="100">
        <v>0</v>
      </c>
      <c r="P48" s="100">
        <v>0.81</v>
      </c>
      <c r="Q48" s="100">
        <v>5.34</v>
      </c>
      <c r="R48" s="6"/>
      <c r="S48" s="6"/>
      <c r="T48" s="156"/>
      <c r="U48" s="6"/>
    </row>
    <row r="49" spans="1:21" customFormat="1">
      <c r="A49" s="100" t="s">
        <v>854</v>
      </c>
      <c r="B49" s="100">
        <v>18.79</v>
      </c>
      <c r="C49" s="100">
        <v>43.32</v>
      </c>
      <c r="D49" s="100">
        <v>39.049999999999997</v>
      </c>
      <c r="E49" s="100">
        <v>8.31</v>
      </c>
      <c r="F49" s="100">
        <v>18.87</v>
      </c>
      <c r="G49" s="100">
        <v>64.739999999999995</v>
      </c>
      <c r="H49" s="100">
        <v>27.47</v>
      </c>
      <c r="I49" s="100">
        <v>9.5399999999999991</v>
      </c>
      <c r="J49" s="100">
        <v>0.65</v>
      </c>
      <c r="K49" s="100">
        <v>260.41000000000003</v>
      </c>
      <c r="L49" s="100">
        <v>34.9</v>
      </c>
      <c r="M49" s="100">
        <v>43.28</v>
      </c>
      <c r="N49" s="100">
        <v>193.5</v>
      </c>
      <c r="O49" s="100">
        <v>0</v>
      </c>
      <c r="P49" s="100">
        <v>0.79</v>
      </c>
      <c r="Q49" s="100">
        <v>5.21</v>
      </c>
      <c r="R49" s="6"/>
      <c r="S49" s="6"/>
      <c r="T49" s="156"/>
      <c r="U49" s="6"/>
    </row>
    <row r="50" spans="1:21" customFormat="1">
      <c r="A50" s="100" t="s">
        <v>855</v>
      </c>
      <c r="B50" s="100">
        <v>17.22</v>
      </c>
      <c r="C50" s="100">
        <v>42.28</v>
      </c>
      <c r="D50" s="100">
        <v>37.25</v>
      </c>
      <c r="E50" s="100">
        <v>9.8000000000000007</v>
      </c>
      <c r="F50" s="100">
        <v>20.9</v>
      </c>
      <c r="G50" s="100">
        <v>57.22</v>
      </c>
      <c r="H50" s="100">
        <v>28.66</v>
      </c>
      <c r="I50" s="100">
        <v>9.5</v>
      </c>
      <c r="J50" s="100">
        <v>0.53</v>
      </c>
      <c r="K50" s="100">
        <v>250.23</v>
      </c>
      <c r="L50" s="100">
        <v>35.64</v>
      </c>
      <c r="M50" s="100">
        <v>41.37</v>
      </c>
      <c r="N50" s="100">
        <v>226.9</v>
      </c>
      <c r="O50" s="100">
        <v>0</v>
      </c>
      <c r="P50" s="100">
        <v>0.79</v>
      </c>
      <c r="Q50" s="100">
        <v>5.0999999999999996</v>
      </c>
      <c r="R50" s="6"/>
      <c r="S50" s="6"/>
      <c r="T50" s="156"/>
      <c r="U50" s="6"/>
    </row>
    <row r="51" spans="1:21" customFormat="1">
      <c r="A51" s="100" t="s">
        <v>856</v>
      </c>
      <c r="B51" s="100">
        <v>15.62</v>
      </c>
      <c r="C51" s="100">
        <v>42.19</v>
      </c>
      <c r="D51" s="100">
        <v>35.92</v>
      </c>
      <c r="E51" s="100">
        <v>10.19</v>
      </c>
      <c r="F51" s="100">
        <v>22.45</v>
      </c>
      <c r="G51" s="100">
        <v>56.96</v>
      </c>
      <c r="H51" s="100">
        <v>28.66</v>
      </c>
      <c r="I51" s="100">
        <v>9.02</v>
      </c>
      <c r="J51" s="100">
        <v>0.59</v>
      </c>
      <c r="K51" s="100">
        <v>263.79000000000002</v>
      </c>
      <c r="L51" s="100">
        <v>35.85</v>
      </c>
      <c r="M51" s="100">
        <v>39.270000000000003</v>
      </c>
      <c r="N51" s="100">
        <v>650</v>
      </c>
      <c r="O51" s="100">
        <v>0</v>
      </c>
      <c r="P51" s="100">
        <v>0.81</v>
      </c>
      <c r="Q51" s="100">
        <v>4.9800000000000004</v>
      </c>
      <c r="R51" s="6"/>
      <c r="S51" s="6"/>
      <c r="T51" s="156"/>
      <c r="U51" s="6"/>
    </row>
    <row r="52" spans="1:21" customFormat="1">
      <c r="A52" s="100" t="s">
        <v>857</v>
      </c>
      <c r="B52" s="100">
        <v>13.83</v>
      </c>
      <c r="C52" s="100">
        <v>42.5</v>
      </c>
      <c r="D52" s="100">
        <v>34.64</v>
      </c>
      <c r="E52" s="100">
        <v>11.58</v>
      </c>
      <c r="F52" s="100">
        <v>26.97</v>
      </c>
      <c r="G52" s="100">
        <v>56.96</v>
      </c>
      <c r="H52" s="100">
        <v>28.66</v>
      </c>
      <c r="I52" s="100">
        <v>8.9700000000000006</v>
      </c>
      <c r="J52" s="100">
        <v>0.7</v>
      </c>
      <c r="K52" s="100">
        <v>295.94</v>
      </c>
      <c r="L52" s="100">
        <v>35.950000000000003</v>
      </c>
      <c r="M52" s="100">
        <v>39.24</v>
      </c>
      <c r="N52" s="100">
        <v>767.8</v>
      </c>
      <c r="O52" s="100">
        <v>0</v>
      </c>
      <c r="P52" s="100">
        <v>0.82</v>
      </c>
      <c r="Q52" s="100">
        <v>4.88</v>
      </c>
      <c r="R52" s="6"/>
      <c r="S52" s="6"/>
      <c r="T52" s="156"/>
      <c r="U52" s="6"/>
    </row>
    <row r="53" spans="1:21" customFormat="1">
      <c r="A53" s="100" t="s">
        <v>858</v>
      </c>
      <c r="B53" s="100">
        <v>12.68</v>
      </c>
      <c r="C53" s="100">
        <v>43.6</v>
      </c>
      <c r="D53" s="100">
        <v>34.299999999999997</v>
      </c>
      <c r="E53" s="100">
        <v>11.72</v>
      </c>
      <c r="F53" s="100">
        <v>28.39</v>
      </c>
      <c r="G53" s="100">
        <v>56.96</v>
      </c>
      <c r="H53" s="100">
        <v>28.66</v>
      </c>
      <c r="I53" s="100">
        <v>8.83</v>
      </c>
      <c r="J53" s="100">
        <v>0.68</v>
      </c>
      <c r="K53" s="100">
        <v>269.95</v>
      </c>
      <c r="L53" s="100">
        <v>36.24</v>
      </c>
      <c r="M53" s="100">
        <v>37.26</v>
      </c>
      <c r="N53" s="100">
        <v>755.1</v>
      </c>
      <c r="O53" s="100">
        <v>0</v>
      </c>
      <c r="P53" s="100">
        <v>0.82</v>
      </c>
      <c r="Q53" s="100">
        <v>4.75</v>
      </c>
      <c r="R53" s="6"/>
      <c r="S53" s="6"/>
      <c r="T53" s="156"/>
      <c r="U53" s="6"/>
    </row>
    <row r="54" spans="1:21" customFormat="1">
      <c r="A54" s="100" t="s">
        <v>859</v>
      </c>
      <c r="B54" s="100">
        <v>11.1</v>
      </c>
      <c r="C54" s="100">
        <v>42.56</v>
      </c>
      <c r="D54" s="100">
        <v>32.49</v>
      </c>
      <c r="E54" s="100">
        <v>11.85</v>
      </c>
      <c r="F54" s="100">
        <v>39.71</v>
      </c>
      <c r="G54" s="100">
        <v>57.89</v>
      </c>
      <c r="H54" s="100">
        <v>24.41</v>
      </c>
      <c r="I54" s="100">
        <v>8.7899999999999991</v>
      </c>
      <c r="J54" s="100">
        <v>0.53</v>
      </c>
      <c r="K54" s="100">
        <v>315.72000000000003</v>
      </c>
      <c r="L54" s="100">
        <v>36.72</v>
      </c>
      <c r="M54" s="100">
        <v>35.130000000000003</v>
      </c>
      <c r="N54" s="100">
        <v>823</v>
      </c>
      <c r="O54" s="100">
        <v>0</v>
      </c>
      <c r="P54" s="100">
        <v>0.79</v>
      </c>
      <c r="Q54" s="100">
        <v>4.6399999999999997</v>
      </c>
      <c r="R54" s="6"/>
      <c r="S54" s="6"/>
      <c r="T54" s="156"/>
      <c r="U54" s="6"/>
    </row>
    <row r="55" spans="1:21" customFormat="1">
      <c r="A55" s="100" t="s">
        <v>860</v>
      </c>
      <c r="B55" s="100">
        <v>10.19</v>
      </c>
      <c r="C55" s="100">
        <v>43.06</v>
      </c>
      <c r="D55" s="100">
        <v>32.020000000000003</v>
      </c>
      <c r="E55" s="100">
        <v>12.06</v>
      </c>
      <c r="F55" s="100">
        <v>30.58</v>
      </c>
      <c r="G55" s="100">
        <v>57.92</v>
      </c>
      <c r="H55" s="100">
        <v>24.41</v>
      </c>
      <c r="I55" s="100">
        <v>8.65</v>
      </c>
      <c r="J55" s="100">
        <v>0.36</v>
      </c>
      <c r="K55" s="100">
        <v>247.24</v>
      </c>
      <c r="L55" s="100">
        <v>37.44</v>
      </c>
      <c r="M55" s="100">
        <v>33.729999999999997</v>
      </c>
      <c r="N55" s="100">
        <v>875.1</v>
      </c>
      <c r="O55" s="100">
        <v>0</v>
      </c>
      <c r="P55" s="100">
        <v>0.8</v>
      </c>
      <c r="Q55" s="100">
        <v>4.67</v>
      </c>
      <c r="R55" s="6"/>
      <c r="S55" s="6"/>
      <c r="T55" s="156"/>
      <c r="U55" s="6"/>
    </row>
    <row r="56" spans="1:21" customFormat="1">
      <c r="A56" s="100" t="s">
        <v>861</v>
      </c>
      <c r="B56" s="100">
        <v>9.1</v>
      </c>
      <c r="C56" s="100">
        <v>41.62</v>
      </c>
      <c r="D56" s="100">
        <v>30.39</v>
      </c>
      <c r="E56" s="100">
        <v>12.52</v>
      </c>
      <c r="F56" s="100">
        <v>34.26</v>
      </c>
      <c r="G56" s="100">
        <v>57.92</v>
      </c>
      <c r="H56" s="100">
        <v>24.41</v>
      </c>
      <c r="I56" s="100">
        <v>8.2100000000000009</v>
      </c>
      <c r="J56" s="100">
        <v>0.32</v>
      </c>
      <c r="K56" s="100">
        <v>299.97000000000003</v>
      </c>
      <c r="L56" s="100">
        <v>37.479999999999997</v>
      </c>
      <c r="M56" s="100">
        <v>33.08</v>
      </c>
      <c r="N56" s="100">
        <v>835.3</v>
      </c>
      <c r="O56" s="100">
        <v>0</v>
      </c>
      <c r="P56" s="100">
        <v>0.8</v>
      </c>
      <c r="Q56" s="100">
        <v>4.74</v>
      </c>
      <c r="R56" s="6"/>
      <c r="S56" s="6"/>
      <c r="T56" s="156"/>
      <c r="U56" s="6"/>
    </row>
    <row r="57" spans="1:21" customFormat="1">
      <c r="A57" s="100" t="s">
        <v>862</v>
      </c>
      <c r="B57" s="100">
        <v>8.2899999999999991</v>
      </c>
      <c r="C57" s="100">
        <v>41.37</v>
      </c>
      <c r="D57" s="100">
        <v>29.61</v>
      </c>
      <c r="E57" s="100">
        <v>12.13</v>
      </c>
      <c r="F57" s="100">
        <v>38.22</v>
      </c>
      <c r="G57" s="100">
        <v>57.92</v>
      </c>
      <c r="H57" s="100">
        <v>24.41</v>
      </c>
      <c r="I57" s="100">
        <v>8.56</v>
      </c>
      <c r="J57" s="100">
        <v>0.34</v>
      </c>
      <c r="K57" s="100">
        <v>295.77999999999997</v>
      </c>
      <c r="L57" s="100">
        <v>37.700000000000003</v>
      </c>
      <c r="M57" s="100">
        <v>31.75</v>
      </c>
      <c r="N57" s="100">
        <v>824</v>
      </c>
      <c r="O57" s="100">
        <v>0</v>
      </c>
      <c r="P57" s="100">
        <v>0.75</v>
      </c>
      <c r="Q57" s="100">
        <v>4.83</v>
      </c>
      <c r="R57" s="6"/>
      <c r="S57" s="6"/>
      <c r="T57" s="156"/>
      <c r="U57" s="6"/>
    </row>
    <row r="58" spans="1:21" customFormat="1">
      <c r="A58" s="100" t="s">
        <v>863</v>
      </c>
      <c r="B58" s="100">
        <v>7.39</v>
      </c>
      <c r="C58" s="100">
        <v>40.880000000000003</v>
      </c>
      <c r="D58" s="100">
        <v>28.63</v>
      </c>
      <c r="E58" s="100">
        <v>12.09</v>
      </c>
      <c r="F58" s="100">
        <v>25.39</v>
      </c>
      <c r="G58" s="100">
        <v>54.39</v>
      </c>
      <c r="H58" s="100">
        <v>25.26</v>
      </c>
      <c r="I58" s="100">
        <v>8.5</v>
      </c>
      <c r="J58" s="100">
        <v>0.57999999999999996</v>
      </c>
      <c r="K58" s="100">
        <v>349.29</v>
      </c>
      <c r="L58" s="100">
        <v>37.659999999999997</v>
      </c>
      <c r="M58" s="100">
        <v>31.41</v>
      </c>
      <c r="N58" s="100">
        <v>679.5</v>
      </c>
      <c r="O58" s="100">
        <v>0</v>
      </c>
      <c r="P58" s="100">
        <v>0.75</v>
      </c>
      <c r="Q58" s="100">
        <v>4.9000000000000004</v>
      </c>
      <c r="R58" s="6"/>
      <c r="S58" s="6"/>
      <c r="T58" s="156"/>
      <c r="U58" s="6"/>
    </row>
    <row r="59" spans="1:21" customFormat="1">
      <c r="A59" s="100" t="s">
        <v>864</v>
      </c>
      <c r="B59" s="100">
        <v>7.64</v>
      </c>
      <c r="C59" s="100">
        <v>50.25</v>
      </c>
      <c r="D59" s="100">
        <v>33.729999999999997</v>
      </c>
      <c r="E59" s="100">
        <v>10.31</v>
      </c>
      <c r="F59" s="100">
        <v>21.42</v>
      </c>
      <c r="G59" s="100">
        <v>54.27</v>
      </c>
      <c r="H59" s="100">
        <v>25.26</v>
      </c>
      <c r="I59" s="100">
        <v>7.79</v>
      </c>
      <c r="J59" s="100">
        <v>0.22</v>
      </c>
      <c r="K59" s="100">
        <v>283.16000000000003</v>
      </c>
      <c r="L59" s="100">
        <v>37.04</v>
      </c>
      <c r="M59" s="100">
        <v>34.229999999999997</v>
      </c>
      <c r="N59" s="100">
        <v>589.70000000000005</v>
      </c>
      <c r="O59" s="100">
        <v>0</v>
      </c>
      <c r="P59" s="100">
        <v>0.8</v>
      </c>
      <c r="Q59" s="100">
        <v>4.5999999999999996</v>
      </c>
      <c r="R59" s="6"/>
      <c r="S59" s="6"/>
      <c r="T59" s="156"/>
      <c r="U59" s="6"/>
    </row>
    <row r="60" spans="1:21" customFormat="1">
      <c r="A60" s="100" t="s">
        <v>865</v>
      </c>
      <c r="B60" s="100">
        <v>7.15</v>
      </c>
      <c r="C60" s="100">
        <v>49.53</v>
      </c>
      <c r="D60" s="100">
        <v>32.96</v>
      </c>
      <c r="E60" s="100">
        <v>11.05</v>
      </c>
      <c r="F60" s="100">
        <v>19.77</v>
      </c>
      <c r="G60" s="100">
        <v>54.27</v>
      </c>
      <c r="H60" s="100">
        <v>25.26</v>
      </c>
      <c r="I60" s="100">
        <v>8.31</v>
      </c>
      <c r="J60" s="100">
        <v>0.2</v>
      </c>
      <c r="K60" s="100">
        <v>247.2</v>
      </c>
      <c r="L60" s="100">
        <v>37.99</v>
      </c>
      <c r="M60" s="100">
        <v>32.99</v>
      </c>
      <c r="N60" s="100">
        <v>652.29999999999995</v>
      </c>
      <c r="O60" s="100">
        <v>0</v>
      </c>
      <c r="P60" s="100">
        <v>0.79</v>
      </c>
      <c r="Q60" s="100">
        <v>4.58</v>
      </c>
      <c r="R60" s="6"/>
      <c r="S60" s="6"/>
      <c r="T60" s="156"/>
      <c r="U60" s="6"/>
    </row>
    <row r="61" spans="1:21" customFormat="1">
      <c r="A61" s="100" t="s">
        <v>866</v>
      </c>
      <c r="B61" s="100">
        <v>6.84</v>
      </c>
      <c r="C61" s="100">
        <v>49.9</v>
      </c>
      <c r="D61" s="100">
        <v>32.909999999999997</v>
      </c>
      <c r="E61" s="100">
        <v>10.59</v>
      </c>
      <c r="F61" s="100">
        <v>13.11</v>
      </c>
      <c r="G61" s="100">
        <v>54.27</v>
      </c>
      <c r="H61" s="100">
        <v>25.26</v>
      </c>
      <c r="I61" s="100">
        <v>8.3699999999999992</v>
      </c>
      <c r="J61" s="100">
        <v>0.45</v>
      </c>
      <c r="K61" s="100">
        <v>237.94</v>
      </c>
      <c r="L61" s="100">
        <v>37.36</v>
      </c>
      <c r="M61" s="100">
        <v>34.47</v>
      </c>
      <c r="N61" s="100">
        <v>517.20000000000005</v>
      </c>
      <c r="O61" s="100">
        <v>0</v>
      </c>
      <c r="P61" s="100">
        <v>0.79</v>
      </c>
      <c r="Q61" s="100">
        <v>4.63</v>
      </c>
      <c r="R61" s="6"/>
      <c r="S61" s="6"/>
      <c r="T61" s="156"/>
      <c r="U61" s="6"/>
    </row>
    <row r="62" spans="1:21" customFormat="1">
      <c r="A62" s="100" t="s">
        <v>867</v>
      </c>
      <c r="B62" s="100">
        <v>6.5</v>
      </c>
      <c r="C62" s="100">
        <v>49.31</v>
      </c>
      <c r="D62" s="100">
        <v>32.33</v>
      </c>
      <c r="E62" s="100">
        <v>9.9700000000000006</v>
      </c>
      <c r="F62" s="100">
        <v>18.079999999999998</v>
      </c>
      <c r="G62" s="100">
        <v>51.39</v>
      </c>
      <c r="H62" s="100">
        <v>26.32</v>
      </c>
      <c r="I62" s="100">
        <v>8.33</v>
      </c>
      <c r="J62" s="100">
        <v>0.69</v>
      </c>
      <c r="K62" s="100">
        <v>279.81</v>
      </c>
      <c r="L62" s="100">
        <v>37.86</v>
      </c>
      <c r="M62" s="100">
        <v>29.69</v>
      </c>
      <c r="N62" s="100">
        <v>699.8</v>
      </c>
      <c r="O62" s="100">
        <v>0</v>
      </c>
      <c r="P62" s="100">
        <v>0.76</v>
      </c>
      <c r="Q62" s="100">
        <v>4.66</v>
      </c>
      <c r="R62" s="6"/>
      <c r="S62" s="6"/>
      <c r="T62" s="156"/>
      <c r="U62" s="6"/>
    </row>
    <row r="63" spans="1:21" customFormat="1">
      <c r="A63" s="100" t="s">
        <v>868</v>
      </c>
      <c r="B63" s="100">
        <v>5.99</v>
      </c>
      <c r="C63" s="100">
        <v>44.91</v>
      </c>
      <c r="D63" s="100">
        <v>29.62</v>
      </c>
      <c r="E63" s="100">
        <v>9.77</v>
      </c>
      <c r="F63" s="100">
        <v>16.649999999999999</v>
      </c>
      <c r="G63" s="100">
        <v>51.29</v>
      </c>
      <c r="H63" s="100">
        <v>26.32</v>
      </c>
      <c r="I63" s="100">
        <v>8.31</v>
      </c>
      <c r="J63" s="100">
        <v>0.67</v>
      </c>
      <c r="K63" s="100">
        <v>305.95999999999998</v>
      </c>
      <c r="L63" s="100">
        <v>37.78</v>
      </c>
      <c r="M63" s="100">
        <v>30.93</v>
      </c>
      <c r="N63" s="100">
        <v>499.8</v>
      </c>
      <c r="O63" s="100">
        <v>0</v>
      </c>
      <c r="P63" s="100">
        <v>0.75</v>
      </c>
      <c r="Q63" s="100">
        <v>4.67</v>
      </c>
      <c r="R63" s="6"/>
      <c r="S63" s="6"/>
      <c r="T63" s="156"/>
      <c r="U63" s="6"/>
    </row>
    <row r="64" spans="1:21" customFormat="1">
      <c r="A64" s="100" t="s">
        <v>869</v>
      </c>
      <c r="B64" s="100">
        <v>6.07</v>
      </c>
      <c r="C64" s="100">
        <v>50.93</v>
      </c>
      <c r="D64" s="100">
        <v>32.82</v>
      </c>
      <c r="E64" s="100">
        <v>9.48</v>
      </c>
      <c r="F64" s="100">
        <v>21.19</v>
      </c>
      <c r="G64" s="100">
        <v>51.29</v>
      </c>
      <c r="H64" s="100">
        <v>26.32</v>
      </c>
      <c r="I64" s="100">
        <v>7.93</v>
      </c>
      <c r="J64" s="100">
        <v>0.41</v>
      </c>
      <c r="K64" s="100">
        <v>46.04</v>
      </c>
      <c r="L64" s="100">
        <v>37.25</v>
      </c>
      <c r="M64" s="100">
        <v>31.89</v>
      </c>
      <c r="N64" s="100">
        <v>261.10000000000002</v>
      </c>
      <c r="O64" s="100">
        <v>0</v>
      </c>
      <c r="P64" s="100">
        <v>0.75</v>
      </c>
      <c r="Q64" s="100">
        <v>4.5999999999999996</v>
      </c>
      <c r="R64" s="6"/>
      <c r="S64" s="6"/>
      <c r="T64" s="156"/>
      <c r="U64" s="6"/>
    </row>
    <row r="65" spans="1:21" customFormat="1">
      <c r="A65" s="100" t="s">
        <v>870</v>
      </c>
      <c r="B65" s="100">
        <v>6.24</v>
      </c>
      <c r="C65" s="100">
        <v>47.43</v>
      </c>
      <c r="D65" s="100">
        <v>31.13</v>
      </c>
      <c r="E65" s="100">
        <v>10.199999999999999</v>
      </c>
      <c r="F65" s="100">
        <v>30.06</v>
      </c>
      <c r="G65" s="100">
        <v>51.29</v>
      </c>
      <c r="H65" s="100">
        <v>26.32</v>
      </c>
      <c r="I65" s="100">
        <v>8.1</v>
      </c>
      <c r="J65" s="100">
        <v>0.56000000000000005</v>
      </c>
      <c r="K65" s="100">
        <v>59.8</v>
      </c>
      <c r="L65" s="100">
        <v>36.630000000000003</v>
      </c>
      <c r="M65" s="100">
        <v>31.97</v>
      </c>
      <c r="N65" s="100">
        <v>185.3</v>
      </c>
      <c r="O65" s="100">
        <v>0</v>
      </c>
      <c r="P65" s="100">
        <v>0.6</v>
      </c>
      <c r="Q65" s="100">
        <v>4.59</v>
      </c>
      <c r="R65" s="6"/>
      <c r="S65" s="6"/>
      <c r="T65" s="156"/>
      <c r="U65" s="6"/>
    </row>
    <row r="66" spans="1:21" customFormat="1">
      <c r="A66" s="100" t="s">
        <v>871</v>
      </c>
      <c r="B66" s="100">
        <v>6.23</v>
      </c>
      <c r="C66" s="100">
        <v>44.36</v>
      </c>
      <c r="D66" s="100">
        <v>29.52</v>
      </c>
      <c r="E66" s="100">
        <v>10.119999999999999</v>
      </c>
      <c r="F66" s="100">
        <v>20.440000000000001</v>
      </c>
      <c r="G66" s="100">
        <v>50.76</v>
      </c>
      <c r="H66" s="100">
        <v>23.83</v>
      </c>
      <c r="I66" s="100">
        <v>7.58</v>
      </c>
      <c r="J66" s="100">
        <v>0.36</v>
      </c>
      <c r="K66" s="100">
        <v>181.71</v>
      </c>
      <c r="L66" s="100">
        <v>37.159999999999997</v>
      </c>
      <c r="M66" s="100">
        <v>33.78</v>
      </c>
      <c r="N66" s="100">
        <v>272.60000000000002</v>
      </c>
      <c r="O66" s="100">
        <v>0</v>
      </c>
      <c r="P66" s="100">
        <v>0.67</v>
      </c>
      <c r="Q66" s="100">
        <v>4.58</v>
      </c>
      <c r="R66" s="6"/>
      <c r="S66" s="6"/>
      <c r="T66" s="156"/>
      <c r="U66" s="6"/>
    </row>
    <row r="67" spans="1:21" customFormat="1">
      <c r="A67" s="100" t="s">
        <v>872</v>
      </c>
      <c r="B67" s="100">
        <v>9.65</v>
      </c>
      <c r="C67" s="100">
        <v>42.42</v>
      </c>
      <c r="D67" s="100">
        <v>31.25</v>
      </c>
      <c r="E67" s="100">
        <v>9.99</v>
      </c>
      <c r="F67" s="100">
        <v>28.43</v>
      </c>
      <c r="G67" s="100">
        <v>50.74</v>
      </c>
      <c r="H67" s="100">
        <v>23.83</v>
      </c>
      <c r="I67" s="100">
        <v>6.79</v>
      </c>
      <c r="J67" s="100">
        <v>0.37</v>
      </c>
      <c r="K67" s="100">
        <v>173.93</v>
      </c>
      <c r="L67" s="100">
        <v>36.659999999999997</v>
      </c>
      <c r="M67" s="100">
        <v>35.9</v>
      </c>
      <c r="N67" s="100">
        <v>83.4</v>
      </c>
      <c r="O67" s="100">
        <v>0</v>
      </c>
      <c r="P67" s="100">
        <v>2.2400000000000002</v>
      </c>
      <c r="Q67" s="100">
        <v>4.78</v>
      </c>
      <c r="R67" s="6"/>
      <c r="S67" s="6"/>
      <c r="T67" s="156"/>
      <c r="U67" s="6"/>
    </row>
    <row r="68" spans="1:21" customFormat="1">
      <c r="A68" s="100" t="s">
        <v>873</v>
      </c>
      <c r="B68" s="100">
        <v>8.59</v>
      </c>
      <c r="C68" s="100">
        <v>40.22</v>
      </c>
      <c r="D68" s="100">
        <v>29.26</v>
      </c>
      <c r="E68" s="100">
        <v>10.88</v>
      </c>
      <c r="F68" s="100">
        <v>32.24</v>
      </c>
      <c r="G68" s="100">
        <v>50.74</v>
      </c>
      <c r="H68" s="100">
        <v>23.83</v>
      </c>
      <c r="I68" s="100">
        <v>7.17</v>
      </c>
      <c r="J68" s="100">
        <v>0.34</v>
      </c>
      <c r="K68" s="100">
        <v>271.58999999999997</v>
      </c>
      <c r="L68" s="100">
        <v>35.700000000000003</v>
      </c>
      <c r="M68" s="100">
        <v>35.92</v>
      </c>
      <c r="N68" s="100">
        <v>17.7</v>
      </c>
      <c r="O68" s="100">
        <v>0</v>
      </c>
      <c r="P68" s="100">
        <v>2.6</v>
      </c>
      <c r="Q68" s="100">
        <v>5.53</v>
      </c>
      <c r="R68" s="6"/>
      <c r="S68" s="6"/>
      <c r="T68" s="156"/>
      <c r="U68" s="6"/>
    </row>
    <row r="69" spans="1:21" customFormat="1">
      <c r="A69" s="100" t="s">
        <v>874</v>
      </c>
      <c r="B69" s="100">
        <v>6.09</v>
      </c>
      <c r="C69" s="100">
        <v>44.17</v>
      </c>
      <c r="D69" s="100">
        <v>29.31</v>
      </c>
      <c r="E69" s="100">
        <v>9.51</v>
      </c>
      <c r="F69" s="100">
        <v>15.18</v>
      </c>
      <c r="G69" s="100">
        <v>50.74</v>
      </c>
      <c r="H69" s="100">
        <v>23.83</v>
      </c>
      <c r="I69" s="100">
        <v>6.96</v>
      </c>
      <c r="J69" s="100">
        <v>2.4700000000000002</v>
      </c>
      <c r="K69" s="100">
        <v>29.99</v>
      </c>
      <c r="L69" s="100">
        <v>29.73</v>
      </c>
      <c r="M69" s="100">
        <v>63.35</v>
      </c>
      <c r="N69" s="100">
        <v>33</v>
      </c>
      <c r="O69" s="100">
        <v>0</v>
      </c>
      <c r="P69" s="100">
        <v>3.1</v>
      </c>
      <c r="Q69" s="100">
        <v>5.48</v>
      </c>
      <c r="R69" s="6"/>
      <c r="S69" s="6"/>
      <c r="T69" s="156"/>
      <c r="U69" s="6"/>
    </row>
    <row r="70" spans="1:21" customFormat="1">
      <c r="A70" s="100" t="s">
        <v>875</v>
      </c>
      <c r="B70" s="100">
        <v>5.26</v>
      </c>
      <c r="C70" s="100">
        <v>49.67</v>
      </c>
      <c r="D70" s="100">
        <v>31.51</v>
      </c>
      <c r="E70" s="100">
        <v>8.56</v>
      </c>
      <c r="F70" s="100">
        <v>7.91</v>
      </c>
      <c r="G70" s="100">
        <v>50.53</v>
      </c>
      <c r="H70" s="100">
        <v>23.76</v>
      </c>
      <c r="I70" s="100">
        <v>6.72</v>
      </c>
      <c r="J70" s="100">
        <v>0.46</v>
      </c>
      <c r="K70" s="100">
        <v>128.43</v>
      </c>
      <c r="L70" s="100">
        <v>22.3</v>
      </c>
      <c r="M70" s="100">
        <v>93.69</v>
      </c>
      <c r="N70" s="100">
        <v>20.9</v>
      </c>
      <c r="O70" s="100">
        <v>0</v>
      </c>
      <c r="P70" s="100">
        <v>3.48</v>
      </c>
      <c r="Q70" s="100">
        <v>5.24</v>
      </c>
      <c r="R70" s="6"/>
      <c r="S70" s="6"/>
      <c r="T70" s="156"/>
      <c r="U70" s="6"/>
    </row>
    <row r="71" spans="1:21" customFormat="1">
      <c r="A71" s="100" t="s">
        <v>876</v>
      </c>
      <c r="B71" s="100">
        <v>5.12</v>
      </c>
      <c r="C71" s="100">
        <v>52.62</v>
      </c>
      <c r="D71" s="100">
        <v>32.950000000000003</v>
      </c>
      <c r="E71" s="100">
        <v>8.17</v>
      </c>
      <c r="F71" s="100">
        <v>5.79</v>
      </c>
      <c r="G71" s="100">
        <v>50.52</v>
      </c>
      <c r="H71" s="100">
        <v>23.76</v>
      </c>
      <c r="I71" s="100">
        <v>6.93</v>
      </c>
      <c r="J71" s="100">
        <v>0.12</v>
      </c>
      <c r="K71" s="100">
        <v>144.94</v>
      </c>
      <c r="L71" s="100">
        <v>22.04</v>
      </c>
      <c r="M71" s="100">
        <v>96.65</v>
      </c>
      <c r="N71" s="100">
        <v>29.8</v>
      </c>
      <c r="O71" s="100">
        <v>0</v>
      </c>
      <c r="P71" s="100">
        <v>4</v>
      </c>
      <c r="Q71" s="100">
        <v>5.31</v>
      </c>
      <c r="R71" s="6"/>
      <c r="S71" s="6"/>
      <c r="T71" s="156"/>
      <c r="U71" s="6"/>
    </row>
    <row r="72" spans="1:21" customFormat="1">
      <c r="A72" s="100" t="s">
        <v>877</v>
      </c>
      <c r="B72" s="100">
        <v>5.53</v>
      </c>
      <c r="C72" s="100">
        <v>52.16</v>
      </c>
      <c r="D72" s="100">
        <v>33.04</v>
      </c>
      <c r="E72" s="100">
        <v>7.61</v>
      </c>
      <c r="F72" s="100">
        <v>6.14</v>
      </c>
      <c r="G72" s="100">
        <v>50.52</v>
      </c>
      <c r="H72" s="100">
        <v>23.76</v>
      </c>
      <c r="I72" s="100">
        <v>6.88</v>
      </c>
      <c r="J72" s="100">
        <v>0.33</v>
      </c>
      <c r="K72" s="100">
        <v>249.45</v>
      </c>
      <c r="L72" s="100">
        <v>24.17</v>
      </c>
      <c r="M72" s="100">
        <v>87.36</v>
      </c>
      <c r="N72" s="100">
        <v>54.9</v>
      </c>
      <c r="O72" s="100">
        <v>0</v>
      </c>
      <c r="P72" s="100">
        <v>4.6900000000000004</v>
      </c>
      <c r="Q72" s="100">
        <v>5.43</v>
      </c>
      <c r="R72" s="6"/>
      <c r="S72" s="6"/>
      <c r="T72" s="156"/>
      <c r="U72" s="6"/>
    </row>
    <row r="73" spans="1:21" customFormat="1">
      <c r="A73" s="100" t="s">
        <v>878</v>
      </c>
      <c r="B73" s="100">
        <v>5.94</v>
      </c>
      <c r="C73" s="100">
        <v>52.81</v>
      </c>
      <c r="D73" s="100">
        <v>33.71</v>
      </c>
      <c r="E73" s="100">
        <v>7.55</v>
      </c>
      <c r="F73" s="100">
        <v>5.5</v>
      </c>
      <c r="G73" s="100">
        <v>50.52</v>
      </c>
      <c r="H73" s="100">
        <v>23.76</v>
      </c>
      <c r="I73" s="100">
        <v>6.71</v>
      </c>
      <c r="J73" s="100">
        <v>0.17</v>
      </c>
      <c r="K73" s="100">
        <v>261.47000000000003</v>
      </c>
      <c r="L73" s="100">
        <v>25.88</v>
      </c>
      <c r="M73" s="100">
        <v>71.239999999999995</v>
      </c>
      <c r="N73" s="100">
        <v>104.5</v>
      </c>
      <c r="O73" s="100">
        <v>0</v>
      </c>
      <c r="P73" s="100">
        <v>5.56</v>
      </c>
      <c r="Q73" s="100">
        <v>5.37</v>
      </c>
      <c r="R73" s="6"/>
      <c r="S73" s="6"/>
      <c r="T73" s="156"/>
      <c r="U73" s="6"/>
    </row>
    <row r="74" spans="1:21" customFormat="1">
      <c r="A74" s="100" t="s">
        <v>879</v>
      </c>
      <c r="B74" s="100">
        <v>6.39</v>
      </c>
      <c r="C74" s="100">
        <v>54.06</v>
      </c>
      <c r="D74" s="100">
        <v>34.72</v>
      </c>
      <c r="E74" s="100">
        <v>7.59</v>
      </c>
      <c r="F74" s="100">
        <v>4.72</v>
      </c>
      <c r="G74" s="100">
        <v>43.7</v>
      </c>
      <c r="H74" s="100">
        <v>21.33</v>
      </c>
      <c r="I74" s="100">
        <v>6.53</v>
      </c>
      <c r="J74" s="100">
        <v>0.37</v>
      </c>
      <c r="K74" s="100">
        <v>242.49</v>
      </c>
      <c r="L74" s="100">
        <v>27.52</v>
      </c>
      <c r="M74" s="100">
        <v>67.13</v>
      </c>
      <c r="N74" s="100">
        <v>272.5</v>
      </c>
      <c r="O74" s="100">
        <v>0</v>
      </c>
      <c r="P74" s="100">
        <v>6.3</v>
      </c>
      <c r="Q74" s="100">
        <v>5.19</v>
      </c>
      <c r="R74" s="6"/>
      <c r="S74" s="6"/>
      <c r="T74" s="156"/>
      <c r="U74" s="6"/>
    </row>
    <row r="75" spans="1:21" customFormat="1">
      <c r="A75" s="100" t="s">
        <v>880</v>
      </c>
      <c r="B75" s="100">
        <v>9.15</v>
      </c>
      <c r="C75" s="100">
        <v>54.03</v>
      </c>
      <c r="D75" s="100">
        <v>36.92</v>
      </c>
      <c r="E75" s="100">
        <v>7.75</v>
      </c>
      <c r="F75" s="100">
        <v>5.26</v>
      </c>
      <c r="G75" s="100">
        <v>43.47</v>
      </c>
      <c r="H75" s="100">
        <v>21.33</v>
      </c>
      <c r="I75" s="100">
        <v>6.35</v>
      </c>
      <c r="J75" s="100">
        <v>0.24</v>
      </c>
      <c r="K75" s="100">
        <v>81.44</v>
      </c>
      <c r="L75" s="100">
        <v>30.3</v>
      </c>
      <c r="M75" s="100">
        <v>62.08</v>
      </c>
      <c r="N75" s="100">
        <v>319.3</v>
      </c>
      <c r="O75" s="100">
        <v>0</v>
      </c>
      <c r="P75" s="100">
        <v>6.12</v>
      </c>
      <c r="Q75" s="100">
        <v>5.29</v>
      </c>
      <c r="R75" s="6"/>
      <c r="S75" s="6"/>
      <c r="T75" s="156"/>
      <c r="U75" s="6"/>
    </row>
    <row r="76" spans="1:21" customFormat="1">
      <c r="A76" s="100" t="s">
        <v>881</v>
      </c>
      <c r="B76" s="100">
        <v>9.4600000000000009</v>
      </c>
      <c r="C76" s="100">
        <v>55.68</v>
      </c>
      <c r="D76" s="100">
        <v>38.03</v>
      </c>
      <c r="E76" s="100">
        <v>7.31</v>
      </c>
      <c r="F76" s="100">
        <v>7.67</v>
      </c>
      <c r="G76" s="100">
        <v>43.47</v>
      </c>
      <c r="H76" s="100">
        <v>21.33</v>
      </c>
      <c r="I76" s="100">
        <v>6.24</v>
      </c>
      <c r="J76" s="100">
        <v>0.39</v>
      </c>
      <c r="K76" s="100">
        <v>159.72999999999999</v>
      </c>
      <c r="L76" s="100">
        <v>31.61</v>
      </c>
      <c r="M76" s="100">
        <v>61.77</v>
      </c>
      <c r="N76" s="100">
        <v>258.39999999999998</v>
      </c>
      <c r="O76" s="100">
        <v>0</v>
      </c>
      <c r="P76" s="100">
        <v>6.56</v>
      </c>
      <c r="Q76" s="100">
        <v>5.5</v>
      </c>
      <c r="R76" s="6"/>
      <c r="S76" s="6"/>
      <c r="T76" s="156"/>
      <c r="U76" s="6"/>
    </row>
    <row r="77" spans="1:21" customFormat="1">
      <c r="A77" s="100" t="s">
        <v>882</v>
      </c>
      <c r="B77" s="100">
        <v>9.84</v>
      </c>
      <c r="C77" s="100">
        <v>55.05</v>
      </c>
      <c r="D77" s="100">
        <v>38</v>
      </c>
      <c r="E77" s="100">
        <v>7.03</v>
      </c>
      <c r="F77" s="100">
        <v>7.67</v>
      </c>
      <c r="G77" s="100">
        <v>43.47</v>
      </c>
      <c r="H77" s="100">
        <v>21.33</v>
      </c>
      <c r="I77" s="100">
        <v>6.09</v>
      </c>
      <c r="J77" s="100">
        <v>0.33</v>
      </c>
      <c r="K77" s="100">
        <v>166.88</v>
      </c>
      <c r="L77" s="100">
        <v>31.52</v>
      </c>
      <c r="M77" s="100">
        <v>61.71</v>
      </c>
      <c r="N77" s="100">
        <v>104.2</v>
      </c>
      <c r="O77" s="100">
        <v>0</v>
      </c>
      <c r="P77" s="100">
        <v>9.3000000000000007</v>
      </c>
      <c r="Q77" s="100">
        <v>5.59</v>
      </c>
      <c r="R77" s="6"/>
      <c r="S77" s="6"/>
      <c r="T77" s="156"/>
      <c r="U77" s="6"/>
    </row>
    <row r="78" spans="1:21" customFormat="1">
      <c r="A78" s="100" t="s">
        <v>883</v>
      </c>
      <c r="B78" s="100">
        <v>10.23</v>
      </c>
      <c r="C78" s="100">
        <v>59.17</v>
      </c>
      <c r="D78" s="100">
        <v>40.47</v>
      </c>
      <c r="E78" s="100">
        <v>7.31</v>
      </c>
      <c r="F78" s="100">
        <v>7.87</v>
      </c>
      <c r="G78" s="100">
        <v>54.37</v>
      </c>
      <c r="H78" s="100">
        <v>22.42</v>
      </c>
      <c r="I78" s="100">
        <v>5.74</v>
      </c>
      <c r="J78" s="100">
        <v>0.28000000000000003</v>
      </c>
      <c r="K78" s="100">
        <v>164.84</v>
      </c>
      <c r="L78" s="100">
        <v>30.24</v>
      </c>
      <c r="M78" s="100">
        <v>69.92</v>
      </c>
      <c r="N78" s="100">
        <v>36.200000000000003</v>
      </c>
      <c r="O78" s="100">
        <v>0</v>
      </c>
      <c r="P78" s="100">
        <v>9.85</v>
      </c>
      <c r="Q78" s="100">
        <v>5.79</v>
      </c>
      <c r="R78" s="6"/>
      <c r="S78" s="6"/>
      <c r="T78" s="156"/>
      <c r="U78" s="6"/>
    </row>
    <row r="79" spans="1:21" customFormat="1">
      <c r="A79" s="100" t="s">
        <v>884</v>
      </c>
      <c r="B79" s="100">
        <v>11.44</v>
      </c>
      <c r="C79" s="100">
        <v>67.430000000000007</v>
      </c>
      <c r="D79" s="100">
        <v>45.76</v>
      </c>
      <c r="E79" s="100">
        <v>7.96</v>
      </c>
      <c r="F79" s="100">
        <v>4.88</v>
      </c>
      <c r="G79" s="100">
        <v>54.75</v>
      </c>
      <c r="H79" s="100">
        <v>22.42</v>
      </c>
      <c r="I79" s="100">
        <v>6.04</v>
      </c>
      <c r="J79" s="100">
        <v>0.19</v>
      </c>
      <c r="K79" s="100">
        <v>181.7</v>
      </c>
      <c r="L79" s="100">
        <v>29.38</v>
      </c>
      <c r="M79" s="100">
        <v>77.849999999999994</v>
      </c>
      <c r="N79" s="100">
        <v>20</v>
      </c>
      <c r="O79" s="100">
        <v>0</v>
      </c>
      <c r="P79" s="100">
        <v>10.59</v>
      </c>
      <c r="Q79" s="100">
        <v>6.19</v>
      </c>
      <c r="R79" s="6"/>
      <c r="S79" s="6"/>
      <c r="T79" s="156"/>
      <c r="U79" s="6"/>
    </row>
    <row r="80" spans="1:21" customFormat="1">
      <c r="A80" s="100" t="s">
        <v>885</v>
      </c>
      <c r="B80" s="100">
        <v>13.3</v>
      </c>
      <c r="C80" s="100">
        <v>76.17</v>
      </c>
      <c r="D80" s="100">
        <v>51.81</v>
      </c>
      <c r="E80" s="100">
        <v>8.3699999999999992</v>
      </c>
      <c r="F80" s="100">
        <v>4.1500000000000004</v>
      </c>
      <c r="G80" s="100">
        <v>54.75</v>
      </c>
      <c r="H80" s="100">
        <v>22.42</v>
      </c>
      <c r="I80" s="100">
        <v>6.17</v>
      </c>
      <c r="J80" s="100">
        <v>0.13</v>
      </c>
      <c r="K80" s="100">
        <v>192.09</v>
      </c>
      <c r="L80" s="100">
        <v>29.02</v>
      </c>
      <c r="M80" s="100">
        <v>75.510000000000005</v>
      </c>
      <c r="N80" s="100">
        <v>12.6</v>
      </c>
      <c r="O80" s="100">
        <v>0</v>
      </c>
      <c r="P80" s="100">
        <v>11.53</v>
      </c>
      <c r="Q80" s="100">
        <v>6.54</v>
      </c>
      <c r="R80" s="6"/>
      <c r="S80" s="6"/>
      <c r="T80" s="156"/>
      <c r="U80" s="6"/>
    </row>
    <row r="81" spans="1:21" customFormat="1">
      <c r="A81" s="100" t="s">
        <v>886</v>
      </c>
      <c r="B81" s="100">
        <v>15.24</v>
      </c>
      <c r="C81" s="100">
        <v>79.56</v>
      </c>
      <c r="D81" s="100">
        <v>55.72</v>
      </c>
      <c r="E81" s="100">
        <v>5.21</v>
      </c>
      <c r="F81" s="100">
        <v>3.97</v>
      </c>
      <c r="G81" s="100">
        <v>54.75</v>
      </c>
      <c r="H81" s="100">
        <v>22.42</v>
      </c>
      <c r="I81" s="100">
        <v>6.46</v>
      </c>
      <c r="J81" s="100">
        <v>0.2</v>
      </c>
      <c r="K81" s="100">
        <v>178.35</v>
      </c>
      <c r="L81" s="100">
        <v>28.88</v>
      </c>
      <c r="M81" s="100">
        <v>76.16</v>
      </c>
      <c r="N81" s="100">
        <v>0.7</v>
      </c>
      <c r="O81" s="100">
        <v>0</v>
      </c>
      <c r="P81" s="100">
        <v>11.88</v>
      </c>
      <c r="Q81" s="100">
        <v>6.72</v>
      </c>
      <c r="R81" s="6"/>
      <c r="S81" s="6"/>
      <c r="T81" s="156"/>
      <c r="U81" s="6"/>
    </row>
    <row r="82" spans="1:21" customFormat="1">
      <c r="A82" s="100" t="s">
        <v>887</v>
      </c>
      <c r="B82" s="100">
        <v>17.38</v>
      </c>
      <c r="C82" s="100">
        <v>83.24</v>
      </c>
      <c r="D82" s="100">
        <v>58.78</v>
      </c>
      <c r="E82" s="100">
        <v>6.57</v>
      </c>
      <c r="F82" s="100">
        <v>2.72</v>
      </c>
      <c r="G82" s="100">
        <v>37.76</v>
      </c>
      <c r="H82" s="100">
        <v>19.100000000000001</v>
      </c>
      <c r="I82" s="100">
        <v>6.81</v>
      </c>
      <c r="J82" s="100">
        <v>0.22</v>
      </c>
      <c r="K82" s="100">
        <v>256.13</v>
      </c>
      <c r="L82" s="100">
        <v>28.58</v>
      </c>
      <c r="M82" s="100">
        <v>77.260000000000005</v>
      </c>
      <c r="N82" s="100">
        <v>0</v>
      </c>
      <c r="O82" s="100">
        <v>0</v>
      </c>
      <c r="P82" s="100">
        <v>12.24</v>
      </c>
      <c r="Q82" s="100">
        <v>6.81</v>
      </c>
      <c r="R82" s="6"/>
      <c r="S82" s="6"/>
      <c r="T82" s="156"/>
      <c r="U82" s="6"/>
    </row>
    <row r="83" spans="1:21" customFormat="1">
      <c r="A83" s="100" t="s">
        <v>888</v>
      </c>
      <c r="B83" s="100">
        <v>19.850000000000001</v>
      </c>
      <c r="C83" s="100">
        <v>85.3</v>
      </c>
      <c r="D83" s="100">
        <v>61.84</v>
      </c>
      <c r="E83" s="100">
        <v>7.31</v>
      </c>
      <c r="F83" s="100">
        <v>2.2999999999999998</v>
      </c>
      <c r="G83" s="100">
        <v>37.18</v>
      </c>
      <c r="H83" s="100">
        <v>19.100000000000001</v>
      </c>
      <c r="I83" s="100">
        <v>7.02</v>
      </c>
      <c r="J83" s="100">
        <v>0.13</v>
      </c>
      <c r="K83" s="100">
        <v>205.52</v>
      </c>
      <c r="L83" s="100">
        <v>28.53</v>
      </c>
      <c r="M83" s="100">
        <v>73.459999999999994</v>
      </c>
      <c r="N83" s="100">
        <v>0</v>
      </c>
      <c r="O83" s="100">
        <v>0</v>
      </c>
      <c r="P83" s="100">
        <v>12.41</v>
      </c>
      <c r="Q83" s="100">
        <v>6.82</v>
      </c>
      <c r="R83" s="6"/>
      <c r="S83" s="6"/>
      <c r="T83" s="156"/>
      <c r="U83" s="6"/>
    </row>
    <row r="84" spans="1:21" customFormat="1">
      <c r="A84" s="100" t="s">
        <v>889</v>
      </c>
      <c r="B84" s="100">
        <v>22.26</v>
      </c>
      <c r="C84" s="100">
        <v>87.72</v>
      </c>
      <c r="D84" s="100">
        <v>65.03</v>
      </c>
      <c r="E84" s="100">
        <v>7.73</v>
      </c>
      <c r="F84" s="100">
        <v>2.44</v>
      </c>
      <c r="G84" s="100">
        <v>37.18</v>
      </c>
      <c r="H84" s="100">
        <v>19.100000000000001</v>
      </c>
      <c r="I84" s="100">
        <v>7.16</v>
      </c>
      <c r="J84" s="100">
        <v>0.12</v>
      </c>
      <c r="K84" s="100">
        <v>166.44</v>
      </c>
      <c r="L84" s="100">
        <v>28.22</v>
      </c>
      <c r="M84" s="100">
        <v>75.67</v>
      </c>
      <c r="N84" s="100">
        <v>0</v>
      </c>
      <c r="O84" s="100">
        <v>0</v>
      </c>
      <c r="P84" s="100">
        <v>12.4</v>
      </c>
      <c r="Q84" s="100">
        <v>6.92</v>
      </c>
      <c r="R84" s="6"/>
      <c r="S84" s="6"/>
      <c r="T84" s="156"/>
      <c r="U84" s="6"/>
    </row>
    <row r="85" spans="1:21" customFormat="1">
      <c r="A85" s="100" t="s">
        <v>890</v>
      </c>
      <c r="B85" s="100">
        <v>24.72</v>
      </c>
      <c r="C85" s="100">
        <v>90.79</v>
      </c>
      <c r="D85" s="100">
        <v>68.61</v>
      </c>
      <c r="E85" s="100">
        <v>8.16</v>
      </c>
      <c r="F85" s="100">
        <v>2.62</v>
      </c>
      <c r="G85" s="100">
        <v>37.18</v>
      </c>
      <c r="H85" s="100">
        <v>19.100000000000001</v>
      </c>
      <c r="I85" s="100">
        <v>0</v>
      </c>
      <c r="J85" s="100">
        <v>0.17</v>
      </c>
      <c r="K85" s="100">
        <v>182.16</v>
      </c>
      <c r="L85" s="100">
        <v>28.07</v>
      </c>
      <c r="M85" s="100">
        <v>81.069999999999993</v>
      </c>
      <c r="N85" s="100">
        <v>0</v>
      </c>
      <c r="O85" s="100">
        <v>0</v>
      </c>
      <c r="P85" s="100">
        <v>12.25</v>
      </c>
      <c r="Q85" s="100">
        <v>7.09</v>
      </c>
      <c r="R85" s="6"/>
      <c r="S85" s="6"/>
      <c r="T85" s="156"/>
      <c r="U85" s="6"/>
    </row>
    <row r="86" spans="1:21" customFormat="1">
      <c r="A86" s="100" t="s">
        <v>891</v>
      </c>
      <c r="B86" s="100">
        <v>27.3</v>
      </c>
      <c r="C86" s="100">
        <v>93.83</v>
      </c>
      <c r="D86" s="100">
        <v>72.27</v>
      </c>
      <c r="E86" s="100">
        <v>7.69</v>
      </c>
      <c r="F86" s="100">
        <v>2.54</v>
      </c>
      <c r="G86" s="100">
        <v>29.39</v>
      </c>
      <c r="H86" s="100">
        <v>13.37</v>
      </c>
      <c r="I86" s="100">
        <v>0</v>
      </c>
      <c r="J86" s="100">
        <v>0.08</v>
      </c>
      <c r="K86" s="100">
        <v>175.47</v>
      </c>
      <c r="L86" s="100">
        <v>27.96</v>
      </c>
      <c r="M86" s="100">
        <v>75.77</v>
      </c>
      <c r="N86" s="100">
        <v>0</v>
      </c>
      <c r="O86" s="100">
        <v>0</v>
      </c>
      <c r="P86" s="100">
        <v>12.07</v>
      </c>
      <c r="Q86" s="100">
        <v>7.29</v>
      </c>
      <c r="R86" s="6"/>
      <c r="S86" s="6"/>
      <c r="T86" s="156"/>
      <c r="U86" s="6"/>
    </row>
    <row r="87" spans="1:21" customFormat="1">
      <c r="A87" s="100" t="s">
        <v>892</v>
      </c>
      <c r="B87" s="100">
        <v>29.89</v>
      </c>
      <c r="C87" s="100">
        <v>96.96</v>
      </c>
      <c r="D87" s="100">
        <v>75.98</v>
      </c>
      <c r="E87" s="100">
        <v>7.84</v>
      </c>
      <c r="F87" s="100">
        <v>3.96</v>
      </c>
      <c r="G87" s="100">
        <v>29.12</v>
      </c>
      <c r="H87" s="100">
        <v>13.37</v>
      </c>
      <c r="I87" s="100">
        <v>0</v>
      </c>
      <c r="J87" s="100">
        <v>0.17</v>
      </c>
      <c r="K87" s="100">
        <v>160.88</v>
      </c>
      <c r="L87" s="100">
        <v>28.03</v>
      </c>
      <c r="M87" s="100">
        <v>79.19</v>
      </c>
      <c r="N87" s="100">
        <v>0</v>
      </c>
      <c r="O87" s="100">
        <v>0</v>
      </c>
      <c r="P87" s="100">
        <v>11.74</v>
      </c>
      <c r="Q87" s="100">
        <v>7.41</v>
      </c>
      <c r="R87" s="6"/>
      <c r="S87" s="6"/>
      <c r="T87" s="156"/>
      <c r="U87" s="6"/>
    </row>
    <row r="88" spans="1:21" customFormat="1">
      <c r="A88" s="100" t="s">
        <v>893</v>
      </c>
      <c r="B88" s="100">
        <v>32.450000000000003</v>
      </c>
      <c r="C88" s="100">
        <v>100.19</v>
      </c>
      <c r="D88" s="100">
        <v>79.72</v>
      </c>
      <c r="E88" s="100">
        <v>7.85</v>
      </c>
      <c r="F88" s="100">
        <v>4.3</v>
      </c>
      <c r="G88" s="100">
        <v>29.12</v>
      </c>
      <c r="H88" s="100">
        <v>13.37</v>
      </c>
      <c r="I88" s="100">
        <v>0</v>
      </c>
      <c r="J88" s="100">
        <v>0.09</v>
      </c>
      <c r="K88" s="100">
        <v>137.37</v>
      </c>
      <c r="L88" s="100">
        <v>28.03</v>
      </c>
      <c r="M88" s="100">
        <v>77.41</v>
      </c>
      <c r="N88" s="100">
        <v>0</v>
      </c>
      <c r="O88" s="100">
        <v>0</v>
      </c>
      <c r="P88" s="100">
        <v>11.32</v>
      </c>
      <c r="Q88" s="100">
        <v>7.55</v>
      </c>
      <c r="R88" s="6"/>
      <c r="S88" s="6"/>
      <c r="T88" s="156"/>
      <c r="U88" s="6"/>
    </row>
    <row r="89" spans="1:21" customFormat="1">
      <c r="A89" s="100" t="s">
        <v>894</v>
      </c>
      <c r="B89" s="100">
        <v>33.799999999999997</v>
      </c>
      <c r="C89" s="100">
        <v>104.15</v>
      </c>
      <c r="D89" s="100">
        <v>81.77</v>
      </c>
      <c r="E89" s="100">
        <v>7.54</v>
      </c>
      <c r="F89" s="100">
        <v>4.54</v>
      </c>
      <c r="G89" s="100">
        <v>29.12</v>
      </c>
      <c r="H89" s="100">
        <v>13.37</v>
      </c>
      <c r="I89" s="100">
        <v>0</v>
      </c>
      <c r="J89" s="100">
        <v>0.2</v>
      </c>
      <c r="K89" s="100">
        <v>214.92</v>
      </c>
      <c r="L89" s="100">
        <v>28.84</v>
      </c>
      <c r="M89" s="100">
        <v>66.56</v>
      </c>
      <c r="N89" s="100">
        <v>0</v>
      </c>
      <c r="O89" s="100">
        <v>0</v>
      </c>
      <c r="P89" s="100">
        <v>10.91</v>
      </c>
      <c r="Q89" s="100">
        <v>7.66</v>
      </c>
      <c r="R89" s="6"/>
      <c r="S89" s="6"/>
      <c r="T89" s="156"/>
      <c r="U89" s="6"/>
    </row>
    <row r="90" spans="1:21" customFormat="1">
      <c r="A90" s="100" t="s">
        <v>895</v>
      </c>
      <c r="B90" s="100">
        <v>38.15</v>
      </c>
      <c r="C90" s="100">
        <v>108.25</v>
      </c>
      <c r="D90" s="100">
        <v>88.5</v>
      </c>
      <c r="E90" s="100">
        <v>7.53</v>
      </c>
      <c r="F90" s="100">
        <v>3.37</v>
      </c>
      <c r="G90" s="100">
        <v>30.05</v>
      </c>
      <c r="H90" s="100">
        <v>13.2</v>
      </c>
      <c r="I90" s="100">
        <v>0</v>
      </c>
      <c r="J90" s="100">
        <v>0.23</v>
      </c>
      <c r="K90" s="100">
        <v>346.73</v>
      </c>
      <c r="L90" s="100">
        <v>29.24</v>
      </c>
      <c r="M90" s="100">
        <v>62.74</v>
      </c>
      <c r="N90" s="100">
        <v>0</v>
      </c>
      <c r="O90" s="100">
        <v>0</v>
      </c>
      <c r="P90" s="100">
        <v>10.52</v>
      </c>
      <c r="Q90" s="100">
        <v>7.82</v>
      </c>
      <c r="R90" s="6"/>
      <c r="S90" s="6"/>
      <c r="T90" s="156"/>
      <c r="U90" s="6"/>
    </row>
    <row r="91" spans="1:21" customFormat="1">
      <c r="A91" s="100" t="s">
        <v>896</v>
      </c>
      <c r="B91" s="100">
        <v>41.64</v>
      </c>
      <c r="C91" s="100">
        <v>113.01</v>
      </c>
      <c r="D91" s="100">
        <v>93.79</v>
      </c>
      <c r="E91" s="100">
        <v>7.38</v>
      </c>
      <c r="F91" s="100">
        <v>4.79</v>
      </c>
      <c r="G91" s="100">
        <v>30.09</v>
      </c>
      <c r="H91" s="100">
        <v>13.2</v>
      </c>
      <c r="I91" s="100">
        <v>0</v>
      </c>
      <c r="J91" s="100">
        <v>0.4</v>
      </c>
      <c r="K91" s="100">
        <v>0.04</v>
      </c>
      <c r="L91" s="100">
        <v>29.65</v>
      </c>
      <c r="M91" s="100">
        <v>58.51</v>
      </c>
      <c r="N91" s="100">
        <v>0</v>
      </c>
      <c r="O91" s="100">
        <v>0</v>
      </c>
      <c r="P91" s="100">
        <v>10.130000000000001</v>
      </c>
      <c r="Q91" s="100">
        <v>7.98</v>
      </c>
      <c r="R91" s="6"/>
      <c r="S91" s="6"/>
      <c r="T91" s="156"/>
      <c r="U91" s="6"/>
    </row>
    <row r="92" spans="1:21" customFormat="1">
      <c r="A92" s="100" t="s">
        <v>897</v>
      </c>
      <c r="B92" s="133" t="s">
        <v>4</v>
      </c>
      <c r="C92" s="133" t="s">
        <v>4</v>
      </c>
      <c r="D92" s="133" t="s">
        <v>4</v>
      </c>
      <c r="E92" s="133" t="s">
        <v>4</v>
      </c>
      <c r="F92" s="133" t="s">
        <v>4</v>
      </c>
      <c r="G92" s="133" t="s">
        <v>4</v>
      </c>
      <c r="H92" s="133" t="s">
        <v>4</v>
      </c>
      <c r="I92" s="133" t="s">
        <v>4</v>
      </c>
      <c r="J92" s="133" t="s">
        <v>4</v>
      </c>
      <c r="K92" s="133" t="s">
        <v>4</v>
      </c>
      <c r="L92" s="133" t="s">
        <v>4</v>
      </c>
      <c r="M92" s="133" t="s">
        <v>4</v>
      </c>
      <c r="N92" s="133" t="s">
        <v>4</v>
      </c>
      <c r="O92" s="133" t="s">
        <v>4</v>
      </c>
      <c r="P92" s="133" t="s">
        <v>4</v>
      </c>
      <c r="Q92" s="133" t="s">
        <v>4</v>
      </c>
      <c r="R92" s="6"/>
      <c r="S92" s="6"/>
      <c r="T92" s="156"/>
      <c r="U92" s="6"/>
    </row>
    <row r="93" spans="1:21" customFormat="1">
      <c r="A93" s="100" t="s">
        <v>898</v>
      </c>
      <c r="B93" s="133" t="s">
        <v>4</v>
      </c>
      <c r="C93" s="133" t="s">
        <v>4</v>
      </c>
      <c r="D93" s="133" t="s">
        <v>4</v>
      </c>
      <c r="E93" s="133" t="s">
        <v>4</v>
      </c>
      <c r="F93" s="133" t="s">
        <v>4</v>
      </c>
      <c r="G93" s="133" t="s">
        <v>4</v>
      </c>
      <c r="H93" s="133" t="s">
        <v>4</v>
      </c>
      <c r="I93" s="133" t="s">
        <v>4</v>
      </c>
      <c r="J93" s="133" t="s">
        <v>4</v>
      </c>
      <c r="K93" s="133" t="s">
        <v>4</v>
      </c>
      <c r="L93" s="133" t="s">
        <v>4</v>
      </c>
      <c r="M93" s="133" t="s">
        <v>4</v>
      </c>
      <c r="N93" s="133" t="s">
        <v>4</v>
      </c>
      <c r="O93" s="133" t="s">
        <v>4</v>
      </c>
      <c r="P93" s="133" t="s">
        <v>4</v>
      </c>
      <c r="Q93" s="133" t="s">
        <v>4</v>
      </c>
      <c r="R93" s="6"/>
      <c r="S93" s="6"/>
      <c r="T93" s="156"/>
      <c r="U93" s="6"/>
    </row>
    <row r="94" spans="1:21" customFormat="1">
      <c r="A94" s="100" t="s">
        <v>899</v>
      </c>
      <c r="B94" s="133" t="s">
        <v>4</v>
      </c>
      <c r="C94" s="133" t="s">
        <v>4</v>
      </c>
      <c r="D94" s="133" t="s">
        <v>4</v>
      </c>
      <c r="E94" s="133" t="s">
        <v>4</v>
      </c>
      <c r="F94" s="133" t="s">
        <v>4</v>
      </c>
      <c r="G94" s="133" t="s">
        <v>4</v>
      </c>
      <c r="H94" s="133" t="s">
        <v>4</v>
      </c>
      <c r="I94" s="133" t="s">
        <v>4</v>
      </c>
      <c r="J94" s="133" t="s">
        <v>4</v>
      </c>
      <c r="K94" s="133" t="s">
        <v>4</v>
      </c>
      <c r="L94" s="133" t="s">
        <v>4</v>
      </c>
      <c r="M94" s="133" t="s">
        <v>4</v>
      </c>
      <c r="N94" s="133" t="s">
        <v>4</v>
      </c>
      <c r="O94" s="133" t="s">
        <v>4</v>
      </c>
      <c r="P94" s="133" t="s">
        <v>4</v>
      </c>
      <c r="Q94" s="133" t="s">
        <v>4</v>
      </c>
      <c r="R94" s="6"/>
      <c r="S94" s="6"/>
      <c r="T94" s="156"/>
      <c r="U94" s="6"/>
    </row>
    <row r="95" spans="1:21" customFormat="1">
      <c r="A95" s="100" t="s">
        <v>900</v>
      </c>
      <c r="B95" s="133" t="s">
        <v>4</v>
      </c>
      <c r="C95" s="133" t="s">
        <v>4</v>
      </c>
      <c r="D95" s="133" t="s">
        <v>4</v>
      </c>
      <c r="E95" s="133" t="s">
        <v>4</v>
      </c>
      <c r="F95" s="133" t="s">
        <v>4</v>
      </c>
      <c r="G95" s="133" t="s">
        <v>4</v>
      </c>
      <c r="H95" s="133" t="s">
        <v>4</v>
      </c>
      <c r="I95" s="133" t="s">
        <v>4</v>
      </c>
      <c r="J95" s="133" t="s">
        <v>4</v>
      </c>
      <c r="K95" s="133" t="s">
        <v>4</v>
      </c>
      <c r="L95" s="133" t="s">
        <v>4</v>
      </c>
      <c r="M95" s="133" t="s">
        <v>4</v>
      </c>
      <c r="N95" s="133" t="s">
        <v>4</v>
      </c>
      <c r="O95" s="133" t="s">
        <v>4</v>
      </c>
      <c r="P95" s="133" t="s">
        <v>4</v>
      </c>
      <c r="Q95" s="133" t="s">
        <v>4</v>
      </c>
      <c r="R95" s="6"/>
      <c r="S95" s="6"/>
      <c r="T95" s="156"/>
      <c r="U95" s="6"/>
    </row>
    <row r="96" spans="1:21" customFormat="1">
      <c r="A96" s="100" t="s">
        <v>901</v>
      </c>
      <c r="B96" s="150" t="s">
        <v>21</v>
      </c>
      <c r="C96" s="150" t="s">
        <v>21</v>
      </c>
      <c r="D96" s="150" t="s">
        <v>21</v>
      </c>
      <c r="E96" s="150" t="s">
        <v>21</v>
      </c>
      <c r="F96" s="100">
        <v>4.5</v>
      </c>
      <c r="G96" s="100">
        <v>42.31</v>
      </c>
      <c r="H96" s="100">
        <v>23.98</v>
      </c>
      <c r="I96" s="100">
        <v>0</v>
      </c>
      <c r="J96" s="100">
        <v>0.71</v>
      </c>
      <c r="K96" s="100">
        <v>67.81</v>
      </c>
      <c r="L96" s="100">
        <v>28.81</v>
      </c>
      <c r="M96" s="100">
        <v>58.91</v>
      </c>
      <c r="N96" s="100">
        <v>0</v>
      </c>
      <c r="O96" s="100">
        <v>0</v>
      </c>
      <c r="P96" s="100">
        <v>2.5099999999999998</v>
      </c>
      <c r="Q96" s="151" t="s">
        <v>8</v>
      </c>
      <c r="R96" s="6"/>
      <c r="S96" s="6"/>
      <c r="T96" s="156"/>
      <c r="U96" s="6"/>
    </row>
    <row r="97" spans="1:28" customFormat="1">
      <c r="A97" s="100" t="s">
        <v>902</v>
      </c>
      <c r="B97" s="150" t="s">
        <v>21</v>
      </c>
      <c r="C97" s="150" t="s">
        <v>21</v>
      </c>
      <c r="D97" s="150" t="s">
        <v>21</v>
      </c>
      <c r="E97" s="100">
        <v>6.29</v>
      </c>
      <c r="F97" s="100">
        <v>1.49</v>
      </c>
      <c r="G97" s="100">
        <v>49.75</v>
      </c>
      <c r="H97" s="100">
        <v>23.98</v>
      </c>
      <c r="I97" s="100">
        <v>0</v>
      </c>
      <c r="J97" s="100">
        <v>0.5</v>
      </c>
      <c r="K97" s="100">
        <v>64.03</v>
      </c>
      <c r="L97" s="100">
        <v>29.21</v>
      </c>
      <c r="M97" s="100">
        <v>57.75</v>
      </c>
      <c r="N97" s="100">
        <v>0</v>
      </c>
      <c r="O97" s="100">
        <v>0</v>
      </c>
      <c r="P97" s="100">
        <v>1.1399999999999999</v>
      </c>
      <c r="Q97" s="151" t="s">
        <v>8</v>
      </c>
      <c r="R97" s="6"/>
      <c r="S97" s="6"/>
      <c r="T97" s="156"/>
      <c r="U97" s="6"/>
    </row>
    <row r="98" spans="1:28" customFormat="1">
      <c r="A98" s="100" t="s">
        <v>903</v>
      </c>
      <c r="B98" s="100">
        <v>34.47</v>
      </c>
      <c r="C98" s="100">
        <v>38.229999999999997</v>
      </c>
      <c r="D98" s="100">
        <v>48.32</v>
      </c>
      <c r="E98" s="151" t="s">
        <v>8</v>
      </c>
      <c r="F98" s="100">
        <v>1.53</v>
      </c>
      <c r="G98" s="100">
        <v>86.09</v>
      </c>
      <c r="H98" s="100">
        <v>31.03</v>
      </c>
      <c r="I98" s="100">
        <v>0</v>
      </c>
      <c r="J98" s="100">
        <v>0.26</v>
      </c>
      <c r="K98" s="100">
        <v>143.71</v>
      </c>
      <c r="L98" s="100">
        <v>29.38</v>
      </c>
      <c r="M98" s="100">
        <v>61.3</v>
      </c>
      <c r="N98" s="100">
        <v>0</v>
      </c>
      <c r="O98" s="100">
        <v>0</v>
      </c>
      <c r="P98" s="100">
        <v>0.42</v>
      </c>
      <c r="Q98" s="151" t="s">
        <v>8</v>
      </c>
      <c r="R98" s="6"/>
      <c r="S98" s="6"/>
      <c r="T98" s="156"/>
      <c r="U98" s="6"/>
    </row>
    <row r="99" spans="1:28" customFormat="1">
      <c r="A99" s="100" t="s">
        <v>904</v>
      </c>
      <c r="B99" s="100">
        <v>63.55</v>
      </c>
      <c r="C99" s="100">
        <v>68.56</v>
      </c>
      <c r="D99" s="100">
        <v>88.13</v>
      </c>
      <c r="E99" s="151" t="s">
        <v>8</v>
      </c>
      <c r="F99" s="100">
        <v>4.6500000000000004</v>
      </c>
      <c r="G99" s="100">
        <v>87.34</v>
      </c>
      <c r="H99" s="100">
        <v>31.03</v>
      </c>
      <c r="I99" s="100">
        <v>0</v>
      </c>
      <c r="J99" s="100">
        <v>0.17</v>
      </c>
      <c r="K99" s="100">
        <v>174.3</v>
      </c>
      <c r="L99" s="100">
        <v>28.36</v>
      </c>
      <c r="M99" s="100">
        <v>65.349999999999994</v>
      </c>
      <c r="N99" s="100">
        <v>0</v>
      </c>
      <c r="O99" s="100">
        <v>0</v>
      </c>
      <c r="P99" s="100">
        <v>0.22</v>
      </c>
      <c r="Q99" s="151" t="s">
        <v>8</v>
      </c>
      <c r="R99" s="6"/>
      <c r="S99" s="6"/>
      <c r="T99" s="156"/>
      <c r="U99" s="6"/>
    </row>
    <row r="100" spans="1:28" customFormat="1">
      <c r="A100" s="100" t="s">
        <v>905</v>
      </c>
      <c r="B100" s="100">
        <v>58.56</v>
      </c>
      <c r="C100" s="100">
        <v>58.68</v>
      </c>
      <c r="D100" s="100">
        <v>78.97</v>
      </c>
      <c r="E100" s="151" t="s">
        <v>8</v>
      </c>
      <c r="F100" s="100">
        <v>5.53</v>
      </c>
      <c r="G100" s="100">
        <v>87.34</v>
      </c>
      <c r="H100" s="100">
        <v>31.03</v>
      </c>
      <c r="I100" s="100">
        <v>0</v>
      </c>
      <c r="J100" s="100">
        <v>0.13</v>
      </c>
      <c r="K100" s="100">
        <v>195.21</v>
      </c>
      <c r="L100" s="100">
        <v>28.12</v>
      </c>
      <c r="M100" s="100">
        <v>65.06</v>
      </c>
      <c r="N100" s="100">
        <v>0</v>
      </c>
      <c r="O100" s="100">
        <v>0</v>
      </c>
      <c r="P100" s="100">
        <v>0.1</v>
      </c>
      <c r="Q100" s="151" t="s">
        <v>8</v>
      </c>
      <c r="R100" s="6"/>
      <c r="S100" s="6"/>
      <c r="T100" s="156"/>
      <c r="U100" s="6"/>
      <c r="AB100" s="161"/>
    </row>
    <row r="101" spans="1:28" customFormat="1">
      <c r="A101" s="100" t="s">
        <v>906</v>
      </c>
      <c r="B101" s="100">
        <v>59.98</v>
      </c>
      <c r="C101" s="100">
        <v>60.84</v>
      </c>
      <c r="D101" s="100">
        <v>81.239999999999995</v>
      </c>
      <c r="E101" s="151" t="s">
        <v>8</v>
      </c>
      <c r="F101" s="100">
        <v>4.2699999999999996</v>
      </c>
      <c r="G101" s="100">
        <v>87.34</v>
      </c>
      <c r="H101" s="100">
        <v>31.03</v>
      </c>
      <c r="I101" s="100">
        <v>0</v>
      </c>
      <c r="J101" s="100">
        <v>0.16</v>
      </c>
      <c r="K101" s="100">
        <v>172.45</v>
      </c>
      <c r="L101" s="100">
        <v>28.17</v>
      </c>
      <c r="M101" s="100">
        <v>68.5</v>
      </c>
      <c r="N101" s="100">
        <v>0</v>
      </c>
      <c r="O101" s="100">
        <v>0</v>
      </c>
      <c r="P101" s="100">
        <v>0.1</v>
      </c>
      <c r="Q101" s="151" t="s">
        <v>8</v>
      </c>
      <c r="R101" s="6"/>
      <c r="S101" s="6"/>
      <c r="T101" s="156"/>
      <c r="U101" s="6"/>
    </row>
    <row r="102" spans="1:28" customFormat="1">
      <c r="A102" s="100" t="s">
        <v>907</v>
      </c>
      <c r="B102" s="100">
        <v>57.87</v>
      </c>
      <c r="C102" s="100">
        <v>64.010000000000005</v>
      </c>
      <c r="D102" s="100">
        <v>81.209999999999994</v>
      </c>
      <c r="E102" s="151" t="s">
        <v>8</v>
      </c>
      <c r="F102" s="100">
        <v>3.24</v>
      </c>
      <c r="G102" s="100">
        <v>89.16</v>
      </c>
      <c r="H102" s="100">
        <v>32.229999999999997</v>
      </c>
      <c r="I102" s="100">
        <v>0</v>
      </c>
      <c r="J102" s="100">
        <v>0.25</v>
      </c>
      <c r="K102" s="100">
        <v>180.91</v>
      </c>
      <c r="L102" s="100">
        <v>27.5</v>
      </c>
      <c r="M102" s="100">
        <v>76.900000000000006</v>
      </c>
      <c r="N102" s="100">
        <v>0</v>
      </c>
      <c r="O102" s="100">
        <v>0</v>
      </c>
      <c r="P102" s="100">
        <v>0.1</v>
      </c>
      <c r="Q102" s="151" t="s">
        <v>8</v>
      </c>
      <c r="R102" s="6"/>
      <c r="S102" s="6"/>
      <c r="T102" s="156"/>
      <c r="U102" s="6"/>
    </row>
    <row r="103" spans="1:28" customFormat="1">
      <c r="A103" s="100" t="s">
        <v>908</v>
      </c>
      <c r="B103" s="100">
        <v>58.9</v>
      </c>
      <c r="C103" s="100">
        <v>63.11</v>
      </c>
      <c r="D103" s="100">
        <v>81.56</v>
      </c>
      <c r="E103" s="151" t="s">
        <v>8</v>
      </c>
      <c r="F103" s="100">
        <v>3.62</v>
      </c>
      <c r="G103" s="100">
        <v>89.22</v>
      </c>
      <c r="H103" s="100">
        <v>32.229999999999997</v>
      </c>
      <c r="I103" s="100">
        <v>0</v>
      </c>
      <c r="J103" s="100">
        <v>0.24</v>
      </c>
      <c r="K103" s="100">
        <v>177.84</v>
      </c>
      <c r="L103" s="100">
        <v>27.32</v>
      </c>
      <c r="M103" s="100">
        <v>75.48</v>
      </c>
      <c r="N103" s="100">
        <v>0</v>
      </c>
      <c r="O103" s="100">
        <v>0</v>
      </c>
      <c r="P103" s="100">
        <v>0.1</v>
      </c>
      <c r="Q103" s="151" t="s">
        <v>8</v>
      </c>
      <c r="R103" s="6"/>
      <c r="S103" s="6"/>
      <c r="T103" s="156"/>
      <c r="U103" s="6"/>
    </row>
    <row r="104" spans="1:28" customFormat="1">
      <c r="A104" s="100" t="s">
        <v>909</v>
      </c>
      <c r="B104" s="100">
        <v>58.21</v>
      </c>
      <c r="C104" s="100">
        <v>61.58</v>
      </c>
      <c r="D104" s="100">
        <v>80.2</v>
      </c>
      <c r="E104" s="100">
        <v>5.58</v>
      </c>
      <c r="F104" s="100">
        <v>3.86</v>
      </c>
      <c r="G104" s="100">
        <v>89.22</v>
      </c>
      <c r="H104" s="100">
        <v>32.229999999999997</v>
      </c>
      <c r="I104" s="100">
        <v>0</v>
      </c>
      <c r="J104" s="100">
        <v>0.14000000000000001</v>
      </c>
      <c r="K104" s="100">
        <v>179.4</v>
      </c>
      <c r="L104" s="100">
        <v>27</v>
      </c>
      <c r="M104" s="100">
        <v>76.599999999999994</v>
      </c>
      <c r="N104" s="100">
        <v>0</v>
      </c>
      <c r="O104" s="100">
        <v>0</v>
      </c>
      <c r="P104" s="100">
        <v>0.1</v>
      </c>
      <c r="Q104" s="151" t="s">
        <v>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5.12</v>
      </c>
      <c r="C106" s="158">
        <f>MIN(C9:C104)</f>
        <v>38.229999999999997</v>
      </c>
      <c r="D106" s="158">
        <f t="shared" ref="D106:Q106" si="0">MIN(D9:D104)</f>
        <v>28.63</v>
      </c>
      <c r="E106" s="158">
        <f t="shared" si="0"/>
        <v>5.21</v>
      </c>
      <c r="F106" s="158">
        <f t="shared" si="0"/>
        <v>1.49</v>
      </c>
      <c r="G106" s="158">
        <f t="shared" si="0"/>
        <v>29.12</v>
      </c>
      <c r="H106" s="158">
        <f t="shared" si="0"/>
        <v>13.2</v>
      </c>
      <c r="I106" s="158">
        <f t="shared" si="0"/>
        <v>0</v>
      </c>
      <c r="J106" s="158">
        <f t="shared" si="0"/>
        <v>0.06</v>
      </c>
      <c r="K106" s="158">
        <f t="shared" si="0"/>
        <v>0.04</v>
      </c>
      <c r="L106" s="158">
        <f t="shared" si="0"/>
        <v>22.04</v>
      </c>
      <c r="M106" s="158">
        <f t="shared" si="0"/>
        <v>29.69</v>
      </c>
      <c r="N106" s="158">
        <f t="shared" si="0"/>
        <v>0</v>
      </c>
      <c r="O106" s="158">
        <f t="shared" si="0"/>
        <v>0</v>
      </c>
      <c r="P106" s="158">
        <f t="shared" si="0"/>
        <v>0.1</v>
      </c>
      <c r="Q106" s="158">
        <f t="shared" si="0"/>
        <v>4.58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63.55</v>
      </c>
      <c r="C107" s="157">
        <f t="shared" ref="C107:Q107" si="1">MAX(C9:C104)</f>
        <v>113.01</v>
      </c>
      <c r="D107" s="157">
        <f t="shared" si="1"/>
        <v>93.79</v>
      </c>
      <c r="E107" s="157">
        <f t="shared" si="1"/>
        <v>12.52</v>
      </c>
      <c r="F107" s="157">
        <f t="shared" si="1"/>
        <v>39.71</v>
      </c>
      <c r="G107" s="157">
        <f t="shared" si="1"/>
        <v>89.22</v>
      </c>
      <c r="H107" s="157">
        <f t="shared" si="1"/>
        <v>32.229999999999997</v>
      </c>
      <c r="I107" s="157">
        <f t="shared" si="1"/>
        <v>13.53</v>
      </c>
      <c r="J107" s="157">
        <f t="shared" si="1"/>
        <v>2.4700000000000002</v>
      </c>
      <c r="K107" s="157">
        <f t="shared" si="1"/>
        <v>349.29</v>
      </c>
      <c r="L107" s="157">
        <f t="shared" si="1"/>
        <v>37.99</v>
      </c>
      <c r="M107" s="157">
        <f t="shared" si="1"/>
        <v>96.65</v>
      </c>
      <c r="N107" s="157">
        <f t="shared" si="1"/>
        <v>875.1</v>
      </c>
      <c r="O107" s="157">
        <f t="shared" si="1"/>
        <v>0</v>
      </c>
      <c r="P107" s="157">
        <f t="shared" si="1"/>
        <v>12.41</v>
      </c>
      <c r="Q107" s="157">
        <f t="shared" si="1"/>
        <v>7.98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24.896777777777775</v>
      </c>
      <c r="C108" s="158">
        <f t="shared" ref="C108:Q108" si="2">AVERAGE(C9:C104)</f>
        <v>55.685444444444428</v>
      </c>
      <c r="D108" s="158">
        <f t="shared" si="2"/>
        <v>50.396888888888903</v>
      </c>
      <c r="E108" s="158">
        <f t="shared" si="2"/>
        <v>8.4189411764705877</v>
      </c>
      <c r="F108" s="158">
        <f t="shared" si="2"/>
        <v>9.8135869565217337</v>
      </c>
      <c r="G108" s="158">
        <f t="shared" si="2"/>
        <v>54.399891304347825</v>
      </c>
      <c r="H108" s="158">
        <f t="shared" si="2"/>
        <v>24.78597826086957</v>
      </c>
      <c r="I108" s="158">
        <f t="shared" si="2"/>
        <v>7.6816304347826074</v>
      </c>
      <c r="J108" s="158">
        <f t="shared" si="2"/>
        <v>0.35782608695652174</v>
      </c>
      <c r="K108" s="158">
        <f t="shared" si="2"/>
        <v>202.92032608695655</v>
      </c>
      <c r="L108" s="158">
        <f t="shared" si="2"/>
        <v>29.918369565217404</v>
      </c>
      <c r="M108" s="158">
        <f t="shared" si="2"/>
        <v>63.567391304347822</v>
      </c>
      <c r="N108" s="158">
        <f t="shared" si="2"/>
        <v>150.93913043478261</v>
      </c>
      <c r="O108" s="158">
        <f t="shared" si="2"/>
        <v>0</v>
      </c>
      <c r="P108" s="158">
        <f t="shared" si="2"/>
        <v>2.8428260869565234</v>
      </c>
      <c r="Q108" s="158">
        <f t="shared" si="2"/>
        <v>5.8145783132530147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14.766750825759289</v>
      </c>
      <c r="C109" s="158">
        <f t="shared" ref="C109:Q109" si="3">STDEV(C9:C104)</f>
        <v>16.455560254315184</v>
      </c>
      <c r="D109" s="158">
        <f t="shared" si="3"/>
        <v>16.390959185515147</v>
      </c>
      <c r="E109" s="158">
        <f t="shared" si="3"/>
        <v>1.6408389430333503</v>
      </c>
      <c r="F109" s="158">
        <f t="shared" si="3"/>
        <v>9.3979363623870356</v>
      </c>
      <c r="G109" s="158">
        <f t="shared" si="3"/>
        <v>12.657017207993366</v>
      </c>
      <c r="H109" s="158">
        <f t="shared" si="3"/>
        <v>4.1307485578129306</v>
      </c>
      <c r="I109" s="158">
        <f t="shared" si="3"/>
        <v>3.9843516099900862</v>
      </c>
      <c r="J109" s="158">
        <f t="shared" si="3"/>
        <v>0.32258170814984455</v>
      </c>
      <c r="K109" s="158">
        <f t="shared" si="3"/>
        <v>73.143234872302585</v>
      </c>
      <c r="L109" s="158">
        <f t="shared" si="3"/>
        <v>4.367461172430616</v>
      </c>
      <c r="M109" s="158">
        <f t="shared" si="3"/>
        <v>18.561334434168987</v>
      </c>
      <c r="N109" s="158">
        <f t="shared" si="3"/>
        <v>246.51407331447157</v>
      </c>
      <c r="O109" s="158">
        <f t="shared" si="3"/>
        <v>0</v>
      </c>
      <c r="P109" s="158">
        <f t="shared" si="3"/>
        <v>3.9783798475233763</v>
      </c>
      <c r="Q109" s="158">
        <f t="shared" si="3"/>
        <v>0.84686840801834784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P110" si="4">COUNT(B9:B104)</f>
        <v>90</v>
      </c>
      <c r="C110" s="157">
        <f t="shared" si="4"/>
        <v>90</v>
      </c>
      <c r="D110" s="157">
        <f t="shared" si="4"/>
        <v>90</v>
      </c>
      <c r="E110" s="157">
        <v>91</v>
      </c>
      <c r="F110" s="157">
        <f t="shared" si="4"/>
        <v>92</v>
      </c>
      <c r="G110" s="157">
        <f t="shared" si="4"/>
        <v>92</v>
      </c>
      <c r="H110" s="157">
        <f t="shared" si="4"/>
        <v>92</v>
      </c>
      <c r="I110" s="157">
        <f t="shared" si="4"/>
        <v>92</v>
      </c>
      <c r="J110" s="157">
        <f t="shared" si="4"/>
        <v>92</v>
      </c>
      <c r="K110" s="157">
        <f t="shared" si="4"/>
        <v>92</v>
      </c>
      <c r="L110" s="157">
        <f t="shared" si="4"/>
        <v>92</v>
      </c>
      <c r="M110" s="157">
        <f t="shared" si="4"/>
        <v>92</v>
      </c>
      <c r="N110" s="157">
        <f t="shared" si="4"/>
        <v>92</v>
      </c>
      <c r="O110" s="157">
        <f t="shared" si="4"/>
        <v>92</v>
      </c>
      <c r="P110" s="157">
        <f t="shared" si="4"/>
        <v>92</v>
      </c>
      <c r="Q110" s="157">
        <v>92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17"/>
  <sheetViews>
    <sheetView zoomScale="85" zoomScaleNormal="85" workbookViewId="0">
      <pane xSplit="1" ySplit="8" topLeftCell="B63" activePane="bottomRight" state="frozen"/>
      <selection pane="topRight"/>
      <selection pane="bottomLeft"/>
      <selection pane="bottomRight" activeCell="Q40" sqref="Q40:Q5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08/05/2023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910</v>
      </c>
      <c r="B9" s="100">
        <v>57.65</v>
      </c>
      <c r="C9" s="100">
        <v>57.21</v>
      </c>
      <c r="D9" s="100">
        <v>77.47</v>
      </c>
      <c r="E9" s="100">
        <v>1.0900000000000001</v>
      </c>
      <c r="F9" s="100">
        <v>4.2699999999999996</v>
      </c>
      <c r="G9" s="100">
        <v>89.22</v>
      </c>
      <c r="H9" s="100">
        <v>32.229999999999997</v>
      </c>
      <c r="I9" s="100">
        <v>0</v>
      </c>
      <c r="J9" s="100">
        <v>0.17</v>
      </c>
      <c r="K9" s="100">
        <v>188.1</v>
      </c>
      <c r="L9" s="100">
        <v>27.02</v>
      </c>
      <c r="M9" s="100">
        <v>77.47</v>
      </c>
      <c r="N9" s="100">
        <v>0</v>
      </c>
      <c r="O9" s="100">
        <v>0</v>
      </c>
      <c r="P9" s="151" t="s">
        <v>8</v>
      </c>
      <c r="Q9" s="151" t="s">
        <v>8</v>
      </c>
      <c r="R9" s="6"/>
      <c r="S9" s="6"/>
      <c r="T9" s="156"/>
      <c r="U9" s="6"/>
    </row>
    <row r="10" spans="1:21" customFormat="1">
      <c r="A10" s="100" t="s">
        <v>911</v>
      </c>
      <c r="B10" s="100">
        <v>58.14</v>
      </c>
      <c r="C10" s="100">
        <v>60.94</v>
      </c>
      <c r="D10" s="100">
        <v>79.81</v>
      </c>
      <c r="E10" s="100">
        <v>4.12</v>
      </c>
      <c r="F10" s="100">
        <v>4.46</v>
      </c>
      <c r="G10" s="100">
        <v>86.67</v>
      </c>
      <c r="H10" s="100">
        <v>30.96</v>
      </c>
      <c r="I10" s="100">
        <v>0</v>
      </c>
      <c r="J10" s="100">
        <v>0.24</v>
      </c>
      <c r="K10" s="100">
        <v>209.95</v>
      </c>
      <c r="L10" s="100">
        <v>27.14</v>
      </c>
      <c r="M10" s="100">
        <v>73.41</v>
      </c>
      <c r="N10" s="100">
        <v>0</v>
      </c>
      <c r="O10" s="100">
        <v>0</v>
      </c>
      <c r="P10" s="151" t="s">
        <v>8</v>
      </c>
      <c r="Q10" s="151" t="s">
        <v>8</v>
      </c>
      <c r="R10" s="6"/>
      <c r="S10" s="6"/>
      <c r="T10" s="156"/>
      <c r="U10" s="6"/>
    </row>
    <row r="11" spans="1:21" customFormat="1">
      <c r="A11" s="100" t="s">
        <v>912</v>
      </c>
      <c r="B11" s="100">
        <v>57.18</v>
      </c>
      <c r="C11" s="100">
        <v>59.43</v>
      </c>
      <c r="D11" s="100">
        <v>78.25</v>
      </c>
      <c r="E11" s="151" t="s">
        <v>8</v>
      </c>
      <c r="F11" s="100">
        <v>4.47</v>
      </c>
      <c r="G11" s="100">
        <v>86.58</v>
      </c>
      <c r="H11" s="100">
        <v>30.96</v>
      </c>
      <c r="I11" s="100">
        <v>0</v>
      </c>
      <c r="J11" s="100">
        <v>0.17</v>
      </c>
      <c r="K11" s="100">
        <v>196.75</v>
      </c>
      <c r="L11" s="100">
        <v>27.44</v>
      </c>
      <c r="M11" s="100">
        <v>70.400000000000006</v>
      </c>
      <c r="N11" s="100">
        <v>0</v>
      </c>
      <c r="O11" s="100">
        <v>0</v>
      </c>
      <c r="P11" s="151" t="s">
        <v>8</v>
      </c>
      <c r="Q11" s="151" t="s">
        <v>8</v>
      </c>
      <c r="R11" s="6"/>
      <c r="S11" s="6"/>
      <c r="T11" s="156"/>
      <c r="U11" s="6"/>
    </row>
    <row r="12" spans="1:21" customFormat="1">
      <c r="A12" s="100" t="s">
        <v>913</v>
      </c>
      <c r="B12" s="100">
        <v>56.7</v>
      </c>
      <c r="C12" s="100">
        <v>61.68</v>
      </c>
      <c r="D12" s="100">
        <v>79.05</v>
      </c>
      <c r="E12" s="151" t="s">
        <v>8</v>
      </c>
      <c r="F12" s="100">
        <v>4.71</v>
      </c>
      <c r="G12" s="100">
        <v>86.58</v>
      </c>
      <c r="H12" s="100">
        <v>30.96</v>
      </c>
      <c r="I12" s="100">
        <v>0</v>
      </c>
      <c r="J12" s="100">
        <v>0.22</v>
      </c>
      <c r="K12" s="100">
        <v>241.29</v>
      </c>
      <c r="L12" s="100">
        <v>27.33</v>
      </c>
      <c r="M12" s="100">
        <v>71.13</v>
      </c>
      <c r="N12" s="100">
        <v>0</v>
      </c>
      <c r="O12" s="100">
        <v>0</v>
      </c>
      <c r="P12" s="151" t="s">
        <v>8</v>
      </c>
      <c r="Q12" s="151" t="s">
        <v>8</v>
      </c>
      <c r="R12" s="6"/>
      <c r="S12" s="6"/>
      <c r="T12" s="156"/>
      <c r="U12" s="6"/>
    </row>
    <row r="13" spans="1:21" customFormat="1">
      <c r="A13" s="100" t="s">
        <v>914</v>
      </c>
      <c r="B13" s="100">
        <v>56.71</v>
      </c>
      <c r="C13" s="100">
        <v>64.77</v>
      </c>
      <c r="D13" s="100">
        <v>80.67</v>
      </c>
      <c r="E13" s="151" t="s">
        <v>8</v>
      </c>
      <c r="F13" s="100">
        <v>4.63</v>
      </c>
      <c r="G13" s="100">
        <v>86.58</v>
      </c>
      <c r="H13" s="100">
        <v>30.96</v>
      </c>
      <c r="I13" s="100">
        <v>0</v>
      </c>
      <c r="J13" s="100">
        <v>0.28999999999999998</v>
      </c>
      <c r="K13" s="100">
        <v>299.05</v>
      </c>
      <c r="L13" s="100">
        <v>27.54</v>
      </c>
      <c r="M13" s="100">
        <v>66.819999999999993</v>
      </c>
      <c r="N13" s="100">
        <v>0</v>
      </c>
      <c r="O13" s="100">
        <v>0</v>
      </c>
      <c r="P13" s="151" t="s">
        <v>8</v>
      </c>
      <c r="Q13" s="151" t="s">
        <v>8</v>
      </c>
      <c r="R13" s="6"/>
      <c r="S13" s="6"/>
      <c r="T13" s="156"/>
      <c r="U13" s="6"/>
    </row>
    <row r="14" spans="1:21" customFormat="1">
      <c r="A14" s="100" t="s">
        <v>915</v>
      </c>
      <c r="B14" s="100">
        <v>56.68</v>
      </c>
      <c r="C14" s="100">
        <v>68.97</v>
      </c>
      <c r="D14" s="100">
        <v>82.83</v>
      </c>
      <c r="E14" s="151" t="s">
        <v>8</v>
      </c>
      <c r="F14" s="100">
        <v>3.34</v>
      </c>
      <c r="G14" s="100">
        <v>71.02</v>
      </c>
      <c r="H14" s="100">
        <v>26.32</v>
      </c>
      <c r="I14" s="100">
        <v>0</v>
      </c>
      <c r="J14" s="100">
        <v>0.15</v>
      </c>
      <c r="K14" s="100">
        <v>167.45</v>
      </c>
      <c r="L14" s="100">
        <v>27.59</v>
      </c>
      <c r="M14" s="100">
        <v>70.849999999999994</v>
      </c>
      <c r="N14" s="100">
        <v>0</v>
      </c>
      <c r="O14" s="100">
        <v>0</v>
      </c>
      <c r="P14" s="151" t="s">
        <v>8</v>
      </c>
      <c r="Q14" s="151" t="s">
        <v>8</v>
      </c>
      <c r="R14" s="6"/>
      <c r="S14" s="6"/>
      <c r="T14" s="156"/>
      <c r="U14" s="6"/>
    </row>
    <row r="15" spans="1:21" customFormat="1">
      <c r="A15" s="100" t="s">
        <v>916</v>
      </c>
      <c r="B15" s="100">
        <v>56.59</v>
      </c>
      <c r="C15" s="100">
        <v>71.38</v>
      </c>
      <c r="D15" s="100">
        <v>84.02</v>
      </c>
      <c r="E15" s="151" t="s">
        <v>8</v>
      </c>
      <c r="F15" s="100">
        <v>4.3499999999999996</v>
      </c>
      <c r="G15" s="100">
        <v>70.48</v>
      </c>
      <c r="H15" s="100">
        <v>26.32</v>
      </c>
      <c r="I15" s="100">
        <v>0</v>
      </c>
      <c r="J15" s="100">
        <v>0.19</v>
      </c>
      <c r="K15" s="100">
        <v>157.62</v>
      </c>
      <c r="L15" s="100">
        <v>27.08</v>
      </c>
      <c r="M15" s="100">
        <v>76.05</v>
      </c>
      <c r="N15" s="100">
        <v>0</v>
      </c>
      <c r="O15" s="100">
        <v>0</v>
      </c>
      <c r="P15" s="151" t="s">
        <v>8</v>
      </c>
      <c r="Q15" s="151" t="s">
        <v>8</v>
      </c>
      <c r="R15" s="6"/>
      <c r="S15" s="6"/>
      <c r="T15" s="156"/>
      <c r="U15" s="6"/>
    </row>
    <row r="16" spans="1:21" customFormat="1">
      <c r="A16" s="100" t="s">
        <v>917</v>
      </c>
      <c r="B16" s="100">
        <v>56.34</v>
      </c>
      <c r="C16" s="100">
        <v>80.7</v>
      </c>
      <c r="D16" s="100">
        <v>88.69</v>
      </c>
      <c r="E16" s="151" t="s">
        <v>8</v>
      </c>
      <c r="F16" s="100">
        <v>2.16</v>
      </c>
      <c r="G16" s="100">
        <v>70.48</v>
      </c>
      <c r="H16" s="100">
        <v>26.32</v>
      </c>
      <c r="I16" s="100">
        <v>0</v>
      </c>
      <c r="J16" s="100">
        <v>0.37</v>
      </c>
      <c r="K16" s="100">
        <v>167.7</v>
      </c>
      <c r="L16" s="100">
        <v>27.1</v>
      </c>
      <c r="M16" s="100">
        <v>76.41</v>
      </c>
      <c r="N16" s="100">
        <v>0</v>
      </c>
      <c r="O16" s="100">
        <v>0</v>
      </c>
      <c r="P16" s="151" t="s">
        <v>8</v>
      </c>
      <c r="Q16" s="151" t="s">
        <v>8</v>
      </c>
      <c r="R16" s="6"/>
      <c r="S16" s="6"/>
      <c r="T16" s="156"/>
      <c r="U16" s="6"/>
    </row>
    <row r="17" spans="1:21" customFormat="1">
      <c r="A17" s="100" t="s">
        <v>918</v>
      </c>
      <c r="B17" s="100">
        <v>54.86</v>
      </c>
      <c r="C17" s="100">
        <v>88.41</v>
      </c>
      <c r="D17" s="100">
        <v>91.53</v>
      </c>
      <c r="E17" s="100">
        <v>12.07</v>
      </c>
      <c r="F17" s="100">
        <v>3.96</v>
      </c>
      <c r="G17" s="100">
        <v>70.48</v>
      </c>
      <c r="H17" s="100">
        <v>26.32</v>
      </c>
      <c r="I17" s="100">
        <v>0</v>
      </c>
      <c r="J17" s="100">
        <v>0.2</v>
      </c>
      <c r="K17" s="100">
        <v>154.63999999999999</v>
      </c>
      <c r="L17" s="100">
        <v>26.85</v>
      </c>
      <c r="M17" s="100">
        <v>79.099999999999994</v>
      </c>
      <c r="N17" s="100">
        <v>0</v>
      </c>
      <c r="O17" s="100">
        <v>0</v>
      </c>
      <c r="P17" s="151" t="s">
        <v>8</v>
      </c>
      <c r="Q17" s="151" t="s">
        <v>8</v>
      </c>
      <c r="R17" s="6"/>
      <c r="S17" s="6"/>
      <c r="T17" s="156"/>
      <c r="U17" s="6"/>
    </row>
    <row r="18" spans="1:21" customFormat="1">
      <c r="A18" s="100" t="s">
        <v>919</v>
      </c>
      <c r="B18" s="100">
        <v>54.64</v>
      </c>
      <c r="C18" s="100">
        <v>101.96</v>
      </c>
      <c r="D18" s="100">
        <v>98.44</v>
      </c>
      <c r="E18" s="100">
        <v>12.1</v>
      </c>
      <c r="F18" s="100">
        <v>3.01</v>
      </c>
      <c r="G18" s="100">
        <v>67.430000000000007</v>
      </c>
      <c r="H18" s="100">
        <v>24.82</v>
      </c>
      <c r="I18" s="100">
        <v>0</v>
      </c>
      <c r="J18" s="100">
        <v>0.1</v>
      </c>
      <c r="K18" s="100">
        <v>129.79</v>
      </c>
      <c r="L18" s="100">
        <v>26.65</v>
      </c>
      <c r="M18" s="100">
        <v>77.709999999999994</v>
      </c>
      <c r="N18" s="100">
        <v>0</v>
      </c>
      <c r="O18" s="100">
        <v>0</v>
      </c>
      <c r="P18" s="151" t="s">
        <v>8</v>
      </c>
      <c r="Q18" s="151" t="s">
        <v>8</v>
      </c>
      <c r="R18" s="6"/>
      <c r="S18" s="6"/>
      <c r="T18" s="156"/>
      <c r="U18" s="6"/>
    </row>
    <row r="19" spans="1:21" customFormat="1">
      <c r="A19" s="100" t="s">
        <v>920</v>
      </c>
      <c r="B19" s="100">
        <v>54.52</v>
      </c>
      <c r="C19" s="100">
        <v>90.8</v>
      </c>
      <c r="D19" s="100">
        <v>92.51</v>
      </c>
      <c r="E19" s="100">
        <v>13.09</v>
      </c>
      <c r="F19" s="100">
        <v>2.84</v>
      </c>
      <c r="G19" s="100">
        <v>67.33</v>
      </c>
      <c r="H19" s="100">
        <v>24.82</v>
      </c>
      <c r="I19" s="100">
        <v>0</v>
      </c>
      <c r="J19" s="100">
        <v>0.25</v>
      </c>
      <c r="K19" s="100">
        <v>161.41</v>
      </c>
      <c r="L19" s="100">
        <v>26.82</v>
      </c>
      <c r="M19" s="100">
        <v>78.67</v>
      </c>
      <c r="N19" s="100">
        <v>0</v>
      </c>
      <c r="O19" s="100">
        <v>0</v>
      </c>
      <c r="P19" s="151" t="s">
        <v>8</v>
      </c>
      <c r="Q19" s="151" t="s">
        <v>8</v>
      </c>
      <c r="R19" s="6"/>
      <c r="S19" s="6"/>
      <c r="T19" s="156"/>
      <c r="U19" s="6"/>
    </row>
    <row r="20" spans="1:21" customFormat="1">
      <c r="A20" s="100" t="s">
        <v>921</v>
      </c>
      <c r="B20" s="100">
        <v>54.16</v>
      </c>
      <c r="C20" s="100">
        <v>97.42</v>
      </c>
      <c r="D20" s="100">
        <v>95.68</v>
      </c>
      <c r="E20" s="100">
        <v>10.75</v>
      </c>
      <c r="F20" s="100">
        <v>3.75</v>
      </c>
      <c r="G20" s="100">
        <v>67.33</v>
      </c>
      <c r="H20" s="100">
        <v>24.82</v>
      </c>
      <c r="I20" s="100">
        <v>0</v>
      </c>
      <c r="J20" s="100">
        <v>7.0000000000000007E-2</v>
      </c>
      <c r="K20" s="100">
        <v>223.62</v>
      </c>
      <c r="L20" s="100">
        <v>26.49</v>
      </c>
      <c r="M20" s="100">
        <v>78.45</v>
      </c>
      <c r="N20" s="100">
        <v>0</v>
      </c>
      <c r="O20" s="100">
        <v>0</v>
      </c>
      <c r="P20" s="151" t="s">
        <v>8</v>
      </c>
      <c r="Q20" s="151" t="s">
        <v>8</v>
      </c>
      <c r="R20" s="6"/>
      <c r="S20" s="6"/>
      <c r="T20" s="156"/>
      <c r="U20" s="6"/>
    </row>
    <row r="21" spans="1:21" customFormat="1">
      <c r="A21" s="100" t="s">
        <v>922</v>
      </c>
      <c r="B21" s="100">
        <v>54.24</v>
      </c>
      <c r="C21" s="100">
        <v>87.46</v>
      </c>
      <c r="D21" s="100">
        <v>90.54</v>
      </c>
      <c r="E21" s="100">
        <v>12.02</v>
      </c>
      <c r="F21" s="100">
        <v>3.08</v>
      </c>
      <c r="G21" s="100">
        <v>67.33</v>
      </c>
      <c r="H21" s="100">
        <v>24.82</v>
      </c>
      <c r="I21" s="100">
        <v>0</v>
      </c>
      <c r="J21" s="100">
        <v>0.12</v>
      </c>
      <c r="K21" s="100">
        <v>181.21</v>
      </c>
      <c r="L21" s="100">
        <v>26.77</v>
      </c>
      <c r="M21" s="100">
        <v>75.89</v>
      </c>
      <c r="N21" s="100">
        <v>0</v>
      </c>
      <c r="O21" s="100">
        <v>0</v>
      </c>
      <c r="P21" s="151" t="s">
        <v>8</v>
      </c>
      <c r="Q21" s="151" t="s">
        <v>8</v>
      </c>
      <c r="R21" s="6"/>
      <c r="S21" s="6"/>
      <c r="T21" s="156"/>
      <c r="U21" s="6"/>
    </row>
    <row r="22" spans="1:21" customFormat="1">
      <c r="A22" s="100" t="s">
        <v>923</v>
      </c>
      <c r="B22" s="100">
        <v>55.48</v>
      </c>
      <c r="C22" s="100">
        <v>96.07</v>
      </c>
      <c r="D22" s="100">
        <v>96.04</v>
      </c>
      <c r="E22" s="100">
        <v>11.87</v>
      </c>
      <c r="F22" s="100">
        <v>3.76</v>
      </c>
      <c r="G22" s="100">
        <v>64.73</v>
      </c>
      <c r="H22" s="100">
        <v>24.89</v>
      </c>
      <c r="I22" s="100">
        <v>0</v>
      </c>
      <c r="J22" s="100">
        <v>0.26</v>
      </c>
      <c r="K22" s="100">
        <v>171.31</v>
      </c>
      <c r="L22" s="100">
        <v>26.52</v>
      </c>
      <c r="M22" s="100">
        <v>79.260000000000005</v>
      </c>
      <c r="N22" s="100">
        <v>0</v>
      </c>
      <c r="O22" s="100">
        <v>0</v>
      </c>
      <c r="P22" s="151" t="s">
        <v>8</v>
      </c>
      <c r="Q22" s="151" t="s">
        <v>8</v>
      </c>
      <c r="R22" s="6"/>
      <c r="S22" s="6"/>
      <c r="T22" s="156"/>
      <c r="U22" s="6"/>
    </row>
    <row r="23" spans="1:21" customFormat="1">
      <c r="A23" s="100" t="s">
        <v>924</v>
      </c>
      <c r="B23" s="100">
        <v>55.95</v>
      </c>
      <c r="C23" s="100">
        <v>102.02</v>
      </c>
      <c r="D23" s="100">
        <v>99.53</v>
      </c>
      <c r="E23" s="100">
        <v>11.94</v>
      </c>
      <c r="F23" s="100">
        <v>3.68</v>
      </c>
      <c r="G23" s="100">
        <v>64.61</v>
      </c>
      <c r="H23" s="100">
        <v>24.89</v>
      </c>
      <c r="I23" s="100">
        <v>0</v>
      </c>
      <c r="J23" s="100">
        <v>0.13</v>
      </c>
      <c r="K23" s="100">
        <v>128.19</v>
      </c>
      <c r="L23" s="100">
        <v>26.37</v>
      </c>
      <c r="M23" s="100">
        <v>79.38</v>
      </c>
      <c r="N23" s="100">
        <v>0</v>
      </c>
      <c r="O23" s="100">
        <v>0</v>
      </c>
      <c r="P23" s="151" t="s">
        <v>8</v>
      </c>
      <c r="Q23" s="151" t="s">
        <v>8</v>
      </c>
      <c r="R23" s="6"/>
      <c r="S23" s="6"/>
      <c r="T23" s="156"/>
      <c r="U23" s="6"/>
    </row>
    <row r="24" spans="1:21" customFormat="1">
      <c r="A24" s="100" t="s">
        <v>925</v>
      </c>
      <c r="B24" s="100">
        <v>56.3</v>
      </c>
      <c r="C24" s="100">
        <v>104.15</v>
      </c>
      <c r="D24" s="100">
        <v>100.91</v>
      </c>
      <c r="E24" s="100">
        <v>11.7</v>
      </c>
      <c r="F24" s="100">
        <v>3.87</v>
      </c>
      <c r="G24" s="100">
        <v>64.61</v>
      </c>
      <c r="H24" s="100">
        <v>24.89</v>
      </c>
      <c r="I24" s="100">
        <v>0</v>
      </c>
      <c r="J24" s="100">
        <v>0.19</v>
      </c>
      <c r="K24" s="100">
        <v>164.84</v>
      </c>
      <c r="L24" s="100">
        <v>26.13</v>
      </c>
      <c r="M24" s="100">
        <v>83.34</v>
      </c>
      <c r="N24" s="100">
        <v>0</v>
      </c>
      <c r="O24" s="100">
        <v>0</v>
      </c>
      <c r="P24" s="151" t="s">
        <v>8</v>
      </c>
      <c r="Q24" s="151" t="s">
        <v>8</v>
      </c>
      <c r="R24" s="6"/>
      <c r="S24" s="6"/>
      <c r="T24" s="156"/>
      <c r="U24" s="6"/>
    </row>
    <row r="25" spans="1:21" customFormat="1">
      <c r="A25" s="100" t="s">
        <v>926</v>
      </c>
      <c r="B25" s="100">
        <v>56.66</v>
      </c>
      <c r="C25" s="100">
        <v>103.12</v>
      </c>
      <c r="D25" s="100">
        <v>100.67</v>
      </c>
      <c r="E25" s="100">
        <v>11.63</v>
      </c>
      <c r="F25" s="100">
        <v>3.99</v>
      </c>
      <c r="G25" s="100">
        <v>64.61</v>
      </c>
      <c r="H25" s="100">
        <v>24.89</v>
      </c>
      <c r="I25" s="100">
        <v>0</v>
      </c>
      <c r="J25" s="100">
        <v>0.17</v>
      </c>
      <c r="K25" s="100">
        <v>177.5</v>
      </c>
      <c r="L25" s="100">
        <v>26.11</v>
      </c>
      <c r="M25" s="100">
        <v>80.5</v>
      </c>
      <c r="N25" s="100">
        <v>0</v>
      </c>
      <c r="O25" s="100">
        <v>0</v>
      </c>
      <c r="P25" s="151" t="s">
        <v>8</v>
      </c>
      <c r="Q25" s="151" t="s">
        <v>8</v>
      </c>
      <c r="R25" s="6"/>
      <c r="S25" s="6"/>
      <c r="T25" s="156"/>
      <c r="U25" s="6"/>
    </row>
    <row r="26" spans="1:21" customFormat="1">
      <c r="A26" s="100" t="s">
        <v>927</v>
      </c>
      <c r="B26" s="100">
        <v>57.14</v>
      </c>
      <c r="C26" s="100">
        <v>100.51</v>
      </c>
      <c r="D26" s="100">
        <v>99.69</v>
      </c>
      <c r="E26" s="100">
        <v>11.84</v>
      </c>
      <c r="F26" s="100">
        <v>3.9</v>
      </c>
      <c r="G26" s="100">
        <v>58.61</v>
      </c>
      <c r="H26" s="100">
        <v>25.54</v>
      </c>
      <c r="I26" s="100">
        <v>0</v>
      </c>
      <c r="J26" s="100">
        <v>0.16</v>
      </c>
      <c r="K26" s="100">
        <v>189.45</v>
      </c>
      <c r="L26" s="100">
        <v>25.88</v>
      </c>
      <c r="M26" s="100">
        <v>83.36</v>
      </c>
      <c r="N26" s="100">
        <v>0</v>
      </c>
      <c r="O26" s="100">
        <v>0</v>
      </c>
      <c r="P26" s="151" t="s">
        <v>8</v>
      </c>
      <c r="Q26" s="151" t="s">
        <v>8</v>
      </c>
      <c r="R26" s="6"/>
      <c r="S26" s="6"/>
      <c r="T26" s="156"/>
      <c r="U26" s="6"/>
    </row>
    <row r="27" spans="1:21" customFormat="1">
      <c r="A27" s="100" t="s">
        <v>928</v>
      </c>
      <c r="B27" s="100">
        <v>57.6</v>
      </c>
      <c r="C27" s="100">
        <v>98.31</v>
      </c>
      <c r="D27" s="100">
        <v>98.9</v>
      </c>
      <c r="E27" s="100">
        <v>11.93</v>
      </c>
      <c r="F27" s="100">
        <v>3.87</v>
      </c>
      <c r="G27" s="100">
        <v>58.41</v>
      </c>
      <c r="H27" s="100">
        <v>25.54</v>
      </c>
      <c r="I27" s="100">
        <v>0</v>
      </c>
      <c r="J27" s="100">
        <v>0.1</v>
      </c>
      <c r="K27" s="100">
        <v>197.52</v>
      </c>
      <c r="L27" s="100">
        <v>25.63</v>
      </c>
      <c r="M27" s="100">
        <v>84.48</v>
      </c>
      <c r="N27" s="100">
        <v>0</v>
      </c>
      <c r="O27" s="100">
        <v>0</v>
      </c>
      <c r="P27" s="151" t="s">
        <v>8</v>
      </c>
      <c r="Q27" s="151" t="s">
        <v>8</v>
      </c>
      <c r="R27" s="6"/>
      <c r="S27" s="6"/>
      <c r="T27" s="156"/>
      <c r="U27" s="6"/>
    </row>
    <row r="28" spans="1:21" customFormat="1">
      <c r="A28" s="100" t="s">
        <v>929</v>
      </c>
      <c r="B28" s="100">
        <v>58.13</v>
      </c>
      <c r="C28" s="100">
        <v>97.23</v>
      </c>
      <c r="D28" s="100">
        <v>98.77</v>
      </c>
      <c r="E28" s="100">
        <v>12.42</v>
      </c>
      <c r="F28" s="100">
        <v>3.94</v>
      </c>
      <c r="G28" s="100">
        <v>58.41</v>
      </c>
      <c r="H28" s="100">
        <v>25.54</v>
      </c>
      <c r="I28" s="100">
        <v>0</v>
      </c>
      <c r="J28" s="100">
        <v>0.16</v>
      </c>
      <c r="K28" s="100">
        <v>124.97</v>
      </c>
      <c r="L28" s="100">
        <v>25.66</v>
      </c>
      <c r="M28" s="100">
        <v>85.97</v>
      </c>
      <c r="N28" s="100">
        <v>0</v>
      </c>
      <c r="O28" s="100">
        <v>0</v>
      </c>
      <c r="P28" s="151" t="s">
        <v>8</v>
      </c>
      <c r="Q28" s="151" t="s">
        <v>8</v>
      </c>
      <c r="R28" s="6"/>
      <c r="S28" s="6"/>
      <c r="T28" s="156"/>
      <c r="U28" s="6"/>
    </row>
    <row r="29" spans="1:21" customFormat="1">
      <c r="A29" s="100" t="s">
        <v>930</v>
      </c>
      <c r="B29" s="100">
        <v>58.58</v>
      </c>
      <c r="C29" s="100">
        <v>96.96</v>
      </c>
      <c r="D29" s="100">
        <v>98.99</v>
      </c>
      <c r="E29" s="100">
        <v>11.99</v>
      </c>
      <c r="F29" s="100">
        <v>4.01</v>
      </c>
      <c r="G29" s="100">
        <v>58.41</v>
      </c>
      <c r="H29" s="100">
        <v>25.54</v>
      </c>
      <c r="I29" s="100">
        <v>0</v>
      </c>
      <c r="J29" s="100">
        <v>0.3</v>
      </c>
      <c r="K29" s="100">
        <v>160.86000000000001</v>
      </c>
      <c r="L29" s="100">
        <v>25.5</v>
      </c>
      <c r="M29" s="100">
        <v>85.82</v>
      </c>
      <c r="N29" s="100">
        <v>0</v>
      </c>
      <c r="O29" s="100">
        <v>0</v>
      </c>
      <c r="P29" s="151" t="s">
        <v>8</v>
      </c>
      <c r="Q29" s="151" t="s">
        <v>8</v>
      </c>
      <c r="R29" s="6"/>
      <c r="S29" s="6"/>
      <c r="T29" s="156"/>
      <c r="U29" s="6"/>
    </row>
    <row r="30" spans="1:21" customFormat="1">
      <c r="A30" s="100" t="s">
        <v>931</v>
      </c>
      <c r="B30" s="100">
        <v>59.08</v>
      </c>
      <c r="C30" s="100">
        <v>96.71</v>
      </c>
      <c r="D30" s="100">
        <v>99.26</v>
      </c>
      <c r="E30" s="100">
        <v>12.16</v>
      </c>
      <c r="F30" s="100">
        <v>3.9</v>
      </c>
      <c r="G30" s="100">
        <v>53.47</v>
      </c>
      <c r="H30" s="100">
        <v>20.61</v>
      </c>
      <c r="I30" s="100">
        <v>0</v>
      </c>
      <c r="J30" s="100">
        <v>0.23</v>
      </c>
      <c r="K30" s="100">
        <v>167.57</v>
      </c>
      <c r="L30" s="100">
        <v>25.4</v>
      </c>
      <c r="M30" s="100">
        <v>84.56</v>
      </c>
      <c r="N30" s="100">
        <v>0</v>
      </c>
      <c r="O30" s="100">
        <v>0</v>
      </c>
      <c r="P30" s="151" t="s">
        <v>8</v>
      </c>
      <c r="Q30" s="151" t="s">
        <v>8</v>
      </c>
      <c r="R30" s="6"/>
      <c r="S30" s="6"/>
      <c r="T30" s="156"/>
      <c r="U30" s="6"/>
    </row>
    <row r="31" spans="1:21" customFormat="1">
      <c r="A31" s="100" t="s">
        <v>932</v>
      </c>
      <c r="B31" s="100">
        <v>59.57</v>
      </c>
      <c r="C31" s="100">
        <v>96.94</v>
      </c>
      <c r="D31" s="100">
        <v>99.77</v>
      </c>
      <c r="E31" s="100">
        <v>12.24</v>
      </c>
      <c r="F31" s="100">
        <v>3.87</v>
      </c>
      <c r="G31" s="100">
        <v>53.3</v>
      </c>
      <c r="H31" s="100">
        <v>20.61</v>
      </c>
      <c r="I31" s="100">
        <v>0</v>
      </c>
      <c r="J31" s="100">
        <v>0.27</v>
      </c>
      <c r="K31" s="100">
        <v>83.99</v>
      </c>
      <c r="L31" s="100">
        <v>25.4</v>
      </c>
      <c r="M31" s="100">
        <v>85.21</v>
      </c>
      <c r="N31" s="100">
        <v>4.8</v>
      </c>
      <c r="O31" s="100">
        <v>0</v>
      </c>
      <c r="P31" s="151" t="s">
        <v>8</v>
      </c>
      <c r="Q31" s="151" t="s">
        <v>8</v>
      </c>
      <c r="R31" s="6"/>
      <c r="S31" s="6"/>
      <c r="T31" s="156"/>
      <c r="U31" s="6"/>
    </row>
    <row r="32" spans="1:21" customFormat="1">
      <c r="A32" s="100" t="s">
        <v>933</v>
      </c>
      <c r="B32" s="100">
        <v>61.06</v>
      </c>
      <c r="C32" s="100">
        <v>97.9</v>
      </c>
      <c r="D32" s="100">
        <v>101.47</v>
      </c>
      <c r="E32" s="100">
        <v>11.72</v>
      </c>
      <c r="F32" s="100">
        <v>3.85</v>
      </c>
      <c r="G32" s="100">
        <v>53.3</v>
      </c>
      <c r="H32" s="100">
        <v>20.61</v>
      </c>
      <c r="I32" s="100">
        <v>0</v>
      </c>
      <c r="J32" s="100">
        <v>0.1</v>
      </c>
      <c r="K32" s="100">
        <v>121.87</v>
      </c>
      <c r="L32" s="100">
        <v>25.85</v>
      </c>
      <c r="M32" s="100">
        <v>81.45</v>
      </c>
      <c r="N32" s="100">
        <v>12.9</v>
      </c>
      <c r="O32" s="100">
        <v>0</v>
      </c>
      <c r="P32" s="151" t="s">
        <v>8</v>
      </c>
      <c r="Q32" s="151" t="s">
        <v>8</v>
      </c>
      <c r="R32" s="6"/>
      <c r="S32" s="6"/>
      <c r="T32" s="156"/>
      <c r="U32" s="6"/>
    </row>
    <row r="33" spans="1:21" customFormat="1">
      <c r="A33" s="100" t="s">
        <v>934</v>
      </c>
      <c r="B33" s="100">
        <v>64.08</v>
      </c>
      <c r="C33" s="100">
        <v>99.48</v>
      </c>
      <c r="D33" s="100">
        <v>104.72</v>
      </c>
      <c r="E33" s="100">
        <v>11.52</v>
      </c>
      <c r="F33" s="100">
        <v>3.95</v>
      </c>
      <c r="G33" s="100">
        <v>53.3</v>
      </c>
      <c r="H33" s="100">
        <v>20.61</v>
      </c>
      <c r="I33" s="100">
        <v>0</v>
      </c>
      <c r="J33" s="100">
        <v>0.2</v>
      </c>
      <c r="K33" s="100">
        <v>148.19</v>
      </c>
      <c r="L33" s="100">
        <v>25.87</v>
      </c>
      <c r="M33" s="100">
        <v>85.26</v>
      </c>
      <c r="N33" s="100">
        <v>25</v>
      </c>
      <c r="O33" s="100">
        <v>0</v>
      </c>
      <c r="P33" s="151" t="s">
        <v>8</v>
      </c>
      <c r="Q33" s="151" t="s">
        <v>8</v>
      </c>
      <c r="R33" s="6"/>
      <c r="S33" s="6"/>
      <c r="T33" s="156"/>
      <c r="U33" s="6"/>
    </row>
    <row r="34" spans="1:21" customFormat="1">
      <c r="A34" s="100" t="s">
        <v>935</v>
      </c>
      <c r="B34" s="100">
        <v>66.27</v>
      </c>
      <c r="C34" s="100">
        <v>100.63</v>
      </c>
      <c r="D34" s="100">
        <v>107.07</v>
      </c>
      <c r="E34" s="100">
        <v>12.58</v>
      </c>
      <c r="F34" s="100">
        <v>3.84</v>
      </c>
      <c r="G34" s="100">
        <v>55.45</v>
      </c>
      <c r="H34" s="100">
        <v>27.3</v>
      </c>
      <c r="I34" s="100">
        <v>0</v>
      </c>
      <c r="J34" s="100">
        <v>0.19</v>
      </c>
      <c r="K34" s="100">
        <v>161.51</v>
      </c>
      <c r="L34" s="100">
        <v>26.18</v>
      </c>
      <c r="M34" s="100">
        <v>83.05</v>
      </c>
      <c r="N34" s="100">
        <v>40.4</v>
      </c>
      <c r="O34" s="100">
        <v>0</v>
      </c>
      <c r="P34" s="151" t="s">
        <v>8</v>
      </c>
      <c r="Q34" s="151" t="s">
        <v>8</v>
      </c>
      <c r="R34" s="6"/>
      <c r="S34" s="6"/>
      <c r="T34" s="156"/>
      <c r="U34" s="6"/>
    </row>
    <row r="35" spans="1:21" customFormat="1">
      <c r="A35" s="100" t="s">
        <v>936</v>
      </c>
      <c r="B35" s="100">
        <v>68.11</v>
      </c>
      <c r="C35" s="100">
        <v>101.93</v>
      </c>
      <c r="D35" s="100">
        <v>109.23</v>
      </c>
      <c r="E35" s="100">
        <v>12.11</v>
      </c>
      <c r="F35" s="100">
        <v>3.95</v>
      </c>
      <c r="G35" s="100">
        <v>55.52</v>
      </c>
      <c r="H35" s="100">
        <v>27.3</v>
      </c>
      <c r="I35" s="100">
        <v>0</v>
      </c>
      <c r="J35" s="100">
        <v>0.05</v>
      </c>
      <c r="K35" s="100">
        <v>-0.13</v>
      </c>
      <c r="L35" s="100">
        <v>26.59</v>
      </c>
      <c r="M35" s="100">
        <v>83.24</v>
      </c>
      <c r="N35" s="100">
        <v>55.9</v>
      </c>
      <c r="O35" s="100">
        <v>0</v>
      </c>
      <c r="P35" s="151" t="s">
        <v>8</v>
      </c>
      <c r="Q35" s="151" t="s">
        <v>8</v>
      </c>
      <c r="R35" s="6"/>
      <c r="S35" s="6"/>
      <c r="T35" s="156"/>
      <c r="U35" s="6"/>
    </row>
    <row r="36" spans="1:21" customFormat="1">
      <c r="A36" s="100" t="s">
        <v>937</v>
      </c>
      <c r="B36" s="133" t="s">
        <v>4</v>
      </c>
      <c r="C36" s="133" t="s">
        <v>4</v>
      </c>
      <c r="D36" s="133" t="s">
        <v>4</v>
      </c>
      <c r="E36" s="133" t="s">
        <v>4</v>
      </c>
      <c r="F36" s="133" t="s">
        <v>4</v>
      </c>
      <c r="G36" s="133" t="s">
        <v>4</v>
      </c>
      <c r="H36" s="133" t="s">
        <v>4</v>
      </c>
      <c r="I36" s="133" t="s">
        <v>4</v>
      </c>
      <c r="J36" s="133" t="s">
        <v>4</v>
      </c>
      <c r="K36" s="133" t="s">
        <v>4</v>
      </c>
      <c r="L36" s="133" t="s">
        <v>4</v>
      </c>
      <c r="M36" s="133" t="s">
        <v>4</v>
      </c>
      <c r="N36" s="133" t="s">
        <v>4</v>
      </c>
      <c r="O36" s="133" t="s">
        <v>4</v>
      </c>
      <c r="P36" s="133" t="s">
        <v>4</v>
      </c>
      <c r="Q36" s="133" t="s">
        <v>4</v>
      </c>
      <c r="R36" s="6"/>
      <c r="S36" s="6"/>
      <c r="T36" s="156"/>
      <c r="U36" s="6"/>
    </row>
    <row r="37" spans="1:21" customFormat="1">
      <c r="A37" s="100" t="s">
        <v>938</v>
      </c>
      <c r="B37" s="133" t="s">
        <v>4</v>
      </c>
      <c r="C37" s="133" t="s">
        <v>4</v>
      </c>
      <c r="D37" s="133" t="s">
        <v>4</v>
      </c>
      <c r="E37" s="133" t="s">
        <v>4</v>
      </c>
      <c r="F37" s="133" t="s">
        <v>4</v>
      </c>
      <c r="G37" s="133" t="s">
        <v>4</v>
      </c>
      <c r="H37" s="133" t="s">
        <v>4</v>
      </c>
      <c r="I37" s="133" t="s">
        <v>4</v>
      </c>
      <c r="J37" s="133" t="s">
        <v>4</v>
      </c>
      <c r="K37" s="133" t="s">
        <v>4</v>
      </c>
      <c r="L37" s="133" t="s">
        <v>4</v>
      </c>
      <c r="M37" s="133" t="s">
        <v>4</v>
      </c>
      <c r="N37" s="133" t="s">
        <v>4</v>
      </c>
      <c r="O37" s="133" t="s">
        <v>4</v>
      </c>
      <c r="P37" s="133" t="s">
        <v>4</v>
      </c>
      <c r="Q37" s="133" t="s">
        <v>4</v>
      </c>
      <c r="R37" s="6"/>
      <c r="S37" s="6"/>
      <c r="T37" s="156"/>
      <c r="U37" s="6"/>
    </row>
    <row r="38" spans="1:21" customFormat="1">
      <c r="A38" s="100" t="s">
        <v>939</v>
      </c>
      <c r="B38" s="133" t="s">
        <v>4</v>
      </c>
      <c r="C38" s="133" t="s">
        <v>4</v>
      </c>
      <c r="D38" s="133" t="s">
        <v>4</v>
      </c>
      <c r="E38" s="133" t="s">
        <v>4</v>
      </c>
      <c r="F38" s="133" t="s">
        <v>4</v>
      </c>
      <c r="G38" s="133" t="s">
        <v>4</v>
      </c>
      <c r="H38" s="133" t="s">
        <v>4</v>
      </c>
      <c r="I38" s="133" t="s">
        <v>4</v>
      </c>
      <c r="J38" s="133" t="s">
        <v>4</v>
      </c>
      <c r="K38" s="133" t="s">
        <v>4</v>
      </c>
      <c r="L38" s="133" t="s">
        <v>4</v>
      </c>
      <c r="M38" s="133" t="s">
        <v>4</v>
      </c>
      <c r="N38" s="133" t="s">
        <v>4</v>
      </c>
      <c r="O38" s="133" t="s">
        <v>4</v>
      </c>
      <c r="P38" s="133" t="s">
        <v>4</v>
      </c>
      <c r="Q38" s="133" t="s">
        <v>4</v>
      </c>
      <c r="R38" s="6"/>
      <c r="S38" s="6"/>
      <c r="T38" s="156"/>
      <c r="U38" s="6"/>
    </row>
    <row r="39" spans="1:21" customFormat="1">
      <c r="A39" s="100" t="s">
        <v>940</v>
      </c>
      <c r="B39" s="133" t="s">
        <v>4</v>
      </c>
      <c r="C39" s="133" t="s">
        <v>4</v>
      </c>
      <c r="D39" s="133" t="s">
        <v>4</v>
      </c>
      <c r="E39" s="133" t="s">
        <v>4</v>
      </c>
      <c r="F39" s="133" t="s">
        <v>4</v>
      </c>
      <c r="G39" s="133" t="s">
        <v>4</v>
      </c>
      <c r="H39" s="133" t="s">
        <v>4</v>
      </c>
      <c r="I39" s="133" t="s">
        <v>4</v>
      </c>
      <c r="J39" s="133" t="s">
        <v>4</v>
      </c>
      <c r="K39" s="133" t="s">
        <v>4</v>
      </c>
      <c r="L39" s="133" t="s">
        <v>4</v>
      </c>
      <c r="M39" s="133" t="s">
        <v>4</v>
      </c>
      <c r="N39" s="133" t="s">
        <v>4</v>
      </c>
      <c r="O39" s="133" t="s">
        <v>4</v>
      </c>
      <c r="P39" s="133" t="s">
        <v>4</v>
      </c>
      <c r="Q39" s="133" t="s">
        <v>4</v>
      </c>
      <c r="R39" s="6"/>
      <c r="S39" s="6"/>
      <c r="T39" s="156"/>
      <c r="U39" s="6"/>
    </row>
    <row r="40" spans="1:21" customFormat="1">
      <c r="A40" s="100" t="s">
        <v>941</v>
      </c>
      <c r="B40" s="150" t="s">
        <v>21</v>
      </c>
      <c r="C40" s="150" t="s">
        <v>21</v>
      </c>
      <c r="D40" s="150" t="s">
        <v>21</v>
      </c>
      <c r="E40" s="150" t="s">
        <v>21</v>
      </c>
      <c r="F40" s="150" t="s">
        <v>21</v>
      </c>
      <c r="G40" s="100">
        <v>47.98</v>
      </c>
      <c r="H40" s="100">
        <v>22.53</v>
      </c>
      <c r="I40" s="100">
        <v>0</v>
      </c>
      <c r="J40" s="100">
        <v>0.39</v>
      </c>
      <c r="K40" s="100">
        <v>240.25</v>
      </c>
      <c r="L40" s="100">
        <v>30.6</v>
      </c>
      <c r="M40" s="100">
        <v>62.9</v>
      </c>
      <c r="N40" s="100">
        <v>116.6</v>
      </c>
      <c r="O40" s="100">
        <v>0</v>
      </c>
      <c r="P40" s="100">
        <v>1.1200000000000001</v>
      </c>
      <c r="Q40" s="151" t="s">
        <v>8</v>
      </c>
      <c r="R40" s="6"/>
      <c r="S40" s="6"/>
      <c r="T40" s="156"/>
      <c r="U40" s="6"/>
    </row>
    <row r="41" spans="1:21" customFormat="1">
      <c r="A41" s="100" t="s">
        <v>942</v>
      </c>
      <c r="B41" s="100">
        <v>41.52</v>
      </c>
      <c r="C41" s="100">
        <v>44.49</v>
      </c>
      <c r="D41" s="100">
        <v>57.31</v>
      </c>
      <c r="E41" s="100">
        <v>5.56</v>
      </c>
      <c r="F41" s="100">
        <v>2.6</v>
      </c>
      <c r="G41" s="100">
        <v>44.52</v>
      </c>
      <c r="H41" s="100">
        <v>22.53</v>
      </c>
      <c r="I41" s="100">
        <v>0</v>
      </c>
      <c r="J41" s="100">
        <v>0.44</v>
      </c>
      <c r="K41" s="100">
        <v>222.28</v>
      </c>
      <c r="L41" s="100">
        <v>31.37</v>
      </c>
      <c r="M41" s="100">
        <v>58.58</v>
      </c>
      <c r="N41" s="100">
        <v>127.4</v>
      </c>
      <c r="O41" s="100">
        <v>0</v>
      </c>
      <c r="P41" s="100">
        <v>1.18</v>
      </c>
      <c r="Q41" s="151" t="s">
        <v>8</v>
      </c>
      <c r="R41" s="6"/>
      <c r="S41" s="6"/>
      <c r="T41" s="156"/>
      <c r="U41" s="6"/>
    </row>
    <row r="42" spans="1:21" customFormat="1">
      <c r="A42" s="100" t="s">
        <v>943</v>
      </c>
      <c r="B42" s="100">
        <v>69.489999999999995</v>
      </c>
      <c r="C42" s="100">
        <v>73.040000000000006</v>
      </c>
      <c r="D42" s="100">
        <v>95.23</v>
      </c>
      <c r="E42" s="100">
        <v>0</v>
      </c>
      <c r="F42" s="100">
        <v>1.79</v>
      </c>
      <c r="G42" s="100">
        <v>74.03</v>
      </c>
      <c r="H42" s="100">
        <v>18.3</v>
      </c>
      <c r="I42" s="100">
        <v>0</v>
      </c>
      <c r="J42" s="100">
        <v>0.33</v>
      </c>
      <c r="K42" s="100">
        <v>244.32</v>
      </c>
      <c r="L42" s="100">
        <v>31.81</v>
      </c>
      <c r="M42" s="100">
        <v>56.86</v>
      </c>
      <c r="N42" s="100">
        <v>142.19999999999999</v>
      </c>
      <c r="O42" s="100">
        <v>0</v>
      </c>
      <c r="P42" s="100">
        <v>1</v>
      </c>
      <c r="Q42" s="151" t="s">
        <v>8</v>
      </c>
      <c r="R42" s="6"/>
      <c r="S42" s="6"/>
      <c r="T42" s="156"/>
      <c r="U42" s="6"/>
    </row>
    <row r="43" spans="1:21" customFormat="1">
      <c r="A43" s="100" t="s">
        <v>944</v>
      </c>
      <c r="B43" s="100">
        <v>63.18</v>
      </c>
      <c r="C43" s="100">
        <v>62.64</v>
      </c>
      <c r="D43" s="100">
        <v>84.74</v>
      </c>
      <c r="E43" s="100">
        <v>0</v>
      </c>
      <c r="F43" s="100">
        <v>4.92</v>
      </c>
      <c r="G43" s="100">
        <v>75.41</v>
      </c>
      <c r="H43" s="100">
        <v>18.3</v>
      </c>
      <c r="I43" s="100">
        <v>0</v>
      </c>
      <c r="J43" s="100">
        <v>0.65</v>
      </c>
      <c r="K43" s="100">
        <v>263.57</v>
      </c>
      <c r="L43" s="100">
        <v>32.119999999999997</v>
      </c>
      <c r="M43" s="100">
        <v>54.68</v>
      </c>
      <c r="N43" s="100">
        <v>155</v>
      </c>
      <c r="O43" s="100">
        <v>0</v>
      </c>
      <c r="P43" s="100">
        <v>0.86</v>
      </c>
      <c r="Q43" s="151" t="s">
        <v>8</v>
      </c>
      <c r="R43" s="6"/>
      <c r="S43" s="6"/>
      <c r="T43" s="156"/>
      <c r="U43" s="6"/>
    </row>
    <row r="44" spans="1:21" customFormat="1">
      <c r="A44" s="100" t="s">
        <v>945</v>
      </c>
      <c r="B44" s="100">
        <v>56.24</v>
      </c>
      <c r="C44" s="100">
        <v>58.53</v>
      </c>
      <c r="D44" s="100">
        <v>77.03</v>
      </c>
      <c r="E44" s="100">
        <v>0</v>
      </c>
      <c r="F44" s="100">
        <v>6.07</v>
      </c>
      <c r="G44" s="100">
        <v>75.41</v>
      </c>
      <c r="H44" s="100">
        <v>18.3</v>
      </c>
      <c r="I44" s="100">
        <v>0</v>
      </c>
      <c r="J44" s="100">
        <v>0.85</v>
      </c>
      <c r="K44" s="100">
        <v>267.75</v>
      </c>
      <c r="L44" s="100">
        <v>32.56</v>
      </c>
      <c r="M44" s="100">
        <v>52.42</v>
      </c>
      <c r="N44" s="100">
        <v>177.7</v>
      </c>
      <c r="O44" s="100">
        <v>0</v>
      </c>
      <c r="P44" s="100">
        <v>0.77</v>
      </c>
      <c r="Q44" s="151" t="s">
        <v>8</v>
      </c>
      <c r="R44" s="6"/>
      <c r="S44" s="6"/>
      <c r="T44" s="156"/>
      <c r="U44" s="6"/>
    </row>
    <row r="45" spans="1:21" customFormat="1">
      <c r="A45" s="100" t="s">
        <v>946</v>
      </c>
      <c r="B45" s="100">
        <v>52.92</v>
      </c>
      <c r="C45" s="100">
        <v>61.22</v>
      </c>
      <c r="D45" s="100">
        <v>75.78</v>
      </c>
      <c r="E45" s="100">
        <v>0.06</v>
      </c>
      <c r="F45" s="100">
        <v>5.74</v>
      </c>
      <c r="G45" s="100">
        <v>75.41</v>
      </c>
      <c r="H45" s="100">
        <v>18.3</v>
      </c>
      <c r="I45" s="100">
        <v>0</v>
      </c>
      <c r="J45" s="100">
        <v>0.99</v>
      </c>
      <c r="K45" s="100">
        <v>257.97000000000003</v>
      </c>
      <c r="L45" s="100">
        <v>32.799999999999997</v>
      </c>
      <c r="M45" s="100">
        <v>50.97</v>
      </c>
      <c r="N45" s="100">
        <v>255.9</v>
      </c>
      <c r="O45" s="100">
        <v>0</v>
      </c>
      <c r="P45" s="100">
        <v>0.7</v>
      </c>
      <c r="Q45" s="151" t="s">
        <v>8</v>
      </c>
      <c r="R45" s="6"/>
      <c r="S45" s="6"/>
      <c r="T45" s="156"/>
      <c r="U45" s="6"/>
    </row>
    <row r="46" spans="1:21" customFormat="1">
      <c r="A46" s="100" t="s">
        <v>947</v>
      </c>
      <c r="B46" s="100">
        <v>48.23</v>
      </c>
      <c r="C46" s="100">
        <v>69.569999999999993</v>
      </c>
      <c r="D46" s="100">
        <v>76.38</v>
      </c>
      <c r="E46" s="100">
        <v>0.05</v>
      </c>
      <c r="F46" s="100">
        <v>7.54</v>
      </c>
      <c r="G46" s="100">
        <v>62.65</v>
      </c>
      <c r="H46" s="100">
        <v>20.59</v>
      </c>
      <c r="I46" s="100">
        <v>0</v>
      </c>
      <c r="J46" s="100">
        <v>0.76</v>
      </c>
      <c r="K46" s="100">
        <v>275.58999999999997</v>
      </c>
      <c r="L46" s="100">
        <v>33.44</v>
      </c>
      <c r="M46" s="100">
        <v>50.66</v>
      </c>
      <c r="N46" s="100">
        <v>237.9</v>
      </c>
      <c r="O46" s="100">
        <v>0</v>
      </c>
      <c r="P46" s="100">
        <v>0.65</v>
      </c>
      <c r="Q46" s="151" t="s">
        <v>8</v>
      </c>
      <c r="R46" s="6"/>
      <c r="S46" s="6"/>
      <c r="T46" s="156"/>
      <c r="U46" s="6"/>
    </row>
    <row r="47" spans="1:21" customFormat="1">
      <c r="A47" s="100" t="s">
        <v>948</v>
      </c>
      <c r="B47" s="100">
        <v>46.77</v>
      </c>
      <c r="C47" s="100">
        <v>77</v>
      </c>
      <c r="D47" s="100">
        <v>79.09</v>
      </c>
      <c r="E47" s="100">
        <v>0</v>
      </c>
      <c r="F47" s="100">
        <v>5.5</v>
      </c>
      <c r="G47" s="100">
        <v>62.21</v>
      </c>
      <c r="H47" s="100">
        <v>20.59</v>
      </c>
      <c r="I47" s="100">
        <v>0</v>
      </c>
      <c r="J47" s="100">
        <v>0.93</v>
      </c>
      <c r="K47" s="100">
        <v>277.35000000000002</v>
      </c>
      <c r="L47" s="100">
        <v>33.78</v>
      </c>
      <c r="M47" s="100">
        <v>49.04</v>
      </c>
      <c r="N47" s="100">
        <v>362.1</v>
      </c>
      <c r="O47" s="100">
        <v>0</v>
      </c>
      <c r="P47" s="100">
        <v>0.68</v>
      </c>
      <c r="Q47" s="151" t="s">
        <v>8</v>
      </c>
      <c r="R47" s="6"/>
      <c r="S47" s="6"/>
      <c r="T47" s="156"/>
      <c r="U47" s="6"/>
    </row>
    <row r="48" spans="1:21" customFormat="1">
      <c r="A48" s="100" t="s">
        <v>949</v>
      </c>
      <c r="B48" s="100">
        <v>41.2</v>
      </c>
      <c r="C48" s="100">
        <v>186.42</v>
      </c>
      <c r="D48" s="100">
        <v>131.79</v>
      </c>
      <c r="E48" s="100">
        <v>0</v>
      </c>
      <c r="F48" s="100">
        <v>9.9700000000000006</v>
      </c>
      <c r="G48" s="100">
        <v>62.21</v>
      </c>
      <c r="H48" s="100">
        <v>20.59</v>
      </c>
      <c r="I48" s="100">
        <v>0</v>
      </c>
      <c r="J48" s="100">
        <v>0.9</v>
      </c>
      <c r="K48" s="100">
        <v>289.61</v>
      </c>
      <c r="L48" s="100">
        <v>34</v>
      </c>
      <c r="M48" s="100">
        <v>48.44</v>
      </c>
      <c r="N48" s="100">
        <v>306.8</v>
      </c>
      <c r="O48" s="100">
        <v>0</v>
      </c>
      <c r="P48" s="100">
        <v>0.66</v>
      </c>
      <c r="Q48" s="151" t="s">
        <v>8</v>
      </c>
      <c r="R48" s="6"/>
      <c r="S48" s="6"/>
      <c r="T48" s="156"/>
      <c r="U48" s="6"/>
    </row>
    <row r="49" spans="1:21" customFormat="1">
      <c r="A49" s="100" t="s">
        <v>950</v>
      </c>
      <c r="B49" s="100">
        <v>36.840000000000003</v>
      </c>
      <c r="C49" s="100">
        <v>233.44</v>
      </c>
      <c r="D49" s="100">
        <v>152.86000000000001</v>
      </c>
      <c r="E49" s="100">
        <v>11.37</v>
      </c>
      <c r="F49" s="100">
        <v>11.85</v>
      </c>
      <c r="G49" s="100">
        <v>62.21</v>
      </c>
      <c r="H49" s="100">
        <v>20.59</v>
      </c>
      <c r="I49" s="100">
        <v>0</v>
      </c>
      <c r="J49" s="100">
        <v>0.78</v>
      </c>
      <c r="K49" s="100">
        <v>261.51</v>
      </c>
      <c r="L49" s="100">
        <v>34.49</v>
      </c>
      <c r="M49" s="100">
        <v>47.86</v>
      </c>
      <c r="N49" s="100">
        <v>208.4</v>
      </c>
      <c r="O49" s="100">
        <v>0</v>
      </c>
      <c r="P49" s="100">
        <v>0.66</v>
      </c>
      <c r="Q49" s="151" t="s">
        <v>8</v>
      </c>
      <c r="R49" s="6"/>
      <c r="S49" s="6"/>
      <c r="T49" s="156"/>
      <c r="U49" s="6"/>
    </row>
    <row r="50" spans="1:21" customFormat="1">
      <c r="A50" s="100" t="s">
        <v>951</v>
      </c>
      <c r="B50" s="100">
        <v>32.630000000000003</v>
      </c>
      <c r="C50" s="100">
        <v>190.28</v>
      </c>
      <c r="D50" s="100">
        <v>126.93</v>
      </c>
      <c r="E50" s="100">
        <v>17.57</v>
      </c>
      <c r="F50" s="100">
        <v>13.14</v>
      </c>
      <c r="G50" s="100">
        <v>62.21</v>
      </c>
      <c r="H50" s="100">
        <v>24.01</v>
      </c>
      <c r="I50" s="100">
        <v>0</v>
      </c>
      <c r="J50" s="100">
        <v>0.57999999999999996</v>
      </c>
      <c r="K50" s="100">
        <v>272.63</v>
      </c>
      <c r="L50" s="100">
        <v>35.03</v>
      </c>
      <c r="M50" s="100">
        <v>46.38</v>
      </c>
      <c r="N50" s="100">
        <v>234</v>
      </c>
      <c r="O50" s="100">
        <v>0</v>
      </c>
      <c r="P50" s="100">
        <v>0.68</v>
      </c>
      <c r="Q50" s="151" t="s">
        <v>8</v>
      </c>
      <c r="R50" s="6"/>
      <c r="S50" s="6"/>
      <c r="T50" s="156"/>
      <c r="U50" s="6"/>
    </row>
    <row r="51" spans="1:21" customFormat="1">
      <c r="A51" s="100" t="s">
        <v>952</v>
      </c>
      <c r="B51" s="100">
        <v>28.86</v>
      </c>
      <c r="C51" s="100">
        <v>142.12</v>
      </c>
      <c r="D51" s="100">
        <v>98.75</v>
      </c>
      <c r="E51" s="100">
        <v>18.28</v>
      </c>
      <c r="F51" s="100">
        <v>12.81</v>
      </c>
      <c r="G51" s="100">
        <v>62.21</v>
      </c>
      <c r="H51" s="100">
        <v>24.01</v>
      </c>
      <c r="I51" s="100">
        <v>0</v>
      </c>
      <c r="J51" s="100">
        <v>0.27</v>
      </c>
      <c r="K51" s="100">
        <v>270.44</v>
      </c>
      <c r="L51" s="100">
        <v>35.81</v>
      </c>
      <c r="M51" s="100">
        <v>46.24</v>
      </c>
      <c r="N51" s="100">
        <v>596</v>
      </c>
      <c r="O51" s="100">
        <v>0</v>
      </c>
      <c r="P51" s="100">
        <v>0.67</v>
      </c>
      <c r="Q51" s="151" t="s">
        <v>8</v>
      </c>
      <c r="R51" s="6"/>
      <c r="S51" s="6"/>
      <c r="T51" s="156"/>
      <c r="U51" s="6"/>
    </row>
    <row r="52" spans="1:21" customFormat="1">
      <c r="A52" s="100" t="s">
        <v>953</v>
      </c>
      <c r="B52" s="100">
        <v>27.07</v>
      </c>
      <c r="C52" s="100">
        <v>128.88999999999999</v>
      </c>
      <c r="D52" s="100">
        <v>90.4</v>
      </c>
      <c r="E52" s="100">
        <v>14.47</v>
      </c>
      <c r="F52" s="100">
        <v>10.199999999999999</v>
      </c>
      <c r="G52" s="100">
        <v>62.21</v>
      </c>
      <c r="H52" s="100">
        <v>24.01</v>
      </c>
      <c r="I52" s="100">
        <v>0</v>
      </c>
      <c r="J52" s="100">
        <v>0.68</v>
      </c>
      <c r="K52" s="100">
        <v>287.14999999999998</v>
      </c>
      <c r="L52" s="100">
        <v>35.78</v>
      </c>
      <c r="M52" s="100">
        <v>42.75</v>
      </c>
      <c r="N52" s="100">
        <v>742.8</v>
      </c>
      <c r="O52" s="100">
        <v>0</v>
      </c>
      <c r="P52" s="100">
        <v>0.66</v>
      </c>
      <c r="Q52" s="151" t="s">
        <v>8</v>
      </c>
      <c r="R52" s="6"/>
      <c r="S52" s="6"/>
      <c r="T52" s="156"/>
      <c r="U52" s="6"/>
    </row>
    <row r="53" spans="1:21" customFormat="1">
      <c r="A53" s="100" t="s">
        <v>954</v>
      </c>
      <c r="B53" s="100">
        <v>21.41</v>
      </c>
      <c r="C53" s="100">
        <v>145.80000000000001</v>
      </c>
      <c r="D53" s="100">
        <v>94.69</v>
      </c>
      <c r="E53" s="100">
        <v>13.32</v>
      </c>
      <c r="F53" s="100">
        <v>17.350000000000001</v>
      </c>
      <c r="G53" s="100">
        <v>62.21</v>
      </c>
      <c r="H53" s="100">
        <v>24.01</v>
      </c>
      <c r="I53" s="100">
        <v>0</v>
      </c>
      <c r="J53" s="100">
        <v>0.74</v>
      </c>
      <c r="K53" s="100">
        <v>284.14999999999998</v>
      </c>
      <c r="L53" s="100">
        <v>35.85</v>
      </c>
      <c r="M53" s="100">
        <v>40.65</v>
      </c>
      <c r="N53" s="100">
        <v>744.3</v>
      </c>
      <c r="O53" s="100">
        <v>0</v>
      </c>
      <c r="P53" s="100">
        <v>0.56000000000000005</v>
      </c>
      <c r="Q53" s="151" t="s">
        <v>8</v>
      </c>
      <c r="R53" s="6"/>
      <c r="S53" s="6"/>
      <c r="T53" s="156"/>
      <c r="U53" s="6"/>
    </row>
    <row r="54" spans="1:21" customFormat="1">
      <c r="A54" s="100" t="s">
        <v>955</v>
      </c>
      <c r="B54" s="100">
        <v>17.41</v>
      </c>
      <c r="C54" s="100">
        <v>127.57</v>
      </c>
      <c r="D54" s="100">
        <v>81.96</v>
      </c>
      <c r="E54" s="100">
        <v>14.25</v>
      </c>
      <c r="F54" s="100">
        <v>22.16</v>
      </c>
      <c r="G54" s="100">
        <v>67.760000000000005</v>
      </c>
      <c r="H54" s="100">
        <v>26.86</v>
      </c>
      <c r="I54" s="100">
        <v>0</v>
      </c>
      <c r="J54" s="100">
        <v>0.72</v>
      </c>
      <c r="K54" s="100">
        <v>287.68</v>
      </c>
      <c r="L54" s="100">
        <v>36.32</v>
      </c>
      <c r="M54" s="100">
        <v>39.82</v>
      </c>
      <c r="N54" s="100">
        <v>796</v>
      </c>
      <c r="O54" s="100">
        <v>0</v>
      </c>
      <c r="P54" s="100">
        <v>0.46</v>
      </c>
      <c r="Q54" s="151" t="s">
        <v>8</v>
      </c>
      <c r="R54" s="6"/>
      <c r="S54" s="6"/>
      <c r="T54" s="156"/>
      <c r="U54" s="6"/>
    </row>
    <row r="55" spans="1:21" customFormat="1">
      <c r="A55" s="100" t="s">
        <v>956</v>
      </c>
      <c r="B55" s="100">
        <v>14.62</v>
      </c>
      <c r="C55" s="100">
        <v>100.7</v>
      </c>
      <c r="D55" s="100">
        <v>65.69</v>
      </c>
      <c r="E55" s="100">
        <v>14.52</v>
      </c>
      <c r="F55" s="100">
        <v>24.48</v>
      </c>
      <c r="G55" s="100">
        <v>67.95</v>
      </c>
      <c r="H55" s="100">
        <v>26.86</v>
      </c>
      <c r="I55" s="100">
        <v>0</v>
      </c>
      <c r="J55" s="100">
        <v>0.71</v>
      </c>
      <c r="K55" s="100">
        <v>311.95</v>
      </c>
      <c r="L55" s="100">
        <v>36.770000000000003</v>
      </c>
      <c r="M55" s="100">
        <v>39.22</v>
      </c>
      <c r="N55" s="100">
        <v>790.8</v>
      </c>
      <c r="O55" s="100">
        <v>0</v>
      </c>
      <c r="P55" s="100">
        <v>0.38</v>
      </c>
      <c r="Q55" s="151" t="s">
        <v>8</v>
      </c>
      <c r="R55" s="6"/>
      <c r="S55" s="6"/>
      <c r="T55" s="156"/>
      <c r="U55" s="6"/>
    </row>
    <row r="56" spans="1:21" customFormat="1">
      <c r="A56" s="100" t="s">
        <v>957</v>
      </c>
      <c r="B56" s="100">
        <v>12.31</v>
      </c>
      <c r="C56" s="100">
        <v>93</v>
      </c>
      <c r="D56" s="100">
        <v>59.81</v>
      </c>
      <c r="E56" s="100">
        <v>13.44</v>
      </c>
      <c r="F56" s="100">
        <v>24.77</v>
      </c>
      <c r="G56" s="100">
        <v>67.95</v>
      </c>
      <c r="H56" s="100">
        <v>26.86</v>
      </c>
      <c r="I56" s="100">
        <v>0</v>
      </c>
      <c r="J56" s="100">
        <v>0.48</v>
      </c>
      <c r="K56" s="100">
        <v>302.45999999999998</v>
      </c>
      <c r="L56" s="100">
        <v>36.93</v>
      </c>
      <c r="M56" s="100">
        <v>38.159999999999997</v>
      </c>
      <c r="N56" s="100">
        <v>797.7</v>
      </c>
      <c r="O56" s="100">
        <v>0</v>
      </c>
      <c r="P56" s="100">
        <v>0.32</v>
      </c>
      <c r="Q56" s="151" t="s">
        <v>8</v>
      </c>
      <c r="R56" s="6"/>
      <c r="S56" s="6"/>
      <c r="T56" s="156"/>
      <c r="U56" s="6"/>
    </row>
    <row r="57" spans="1:21" customFormat="1">
      <c r="A57" s="100" t="s">
        <v>958</v>
      </c>
      <c r="B57" s="100">
        <v>11.04</v>
      </c>
      <c r="C57" s="100">
        <v>85.81</v>
      </c>
      <c r="D57" s="100">
        <v>55.04</v>
      </c>
      <c r="E57" s="100">
        <v>11.96</v>
      </c>
      <c r="F57" s="100">
        <v>20.329999999999998</v>
      </c>
      <c r="G57" s="100">
        <v>67.95</v>
      </c>
      <c r="H57" s="100">
        <v>26.86</v>
      </c>
      <c r="I57" s="100">
        <v>0</v>
      </c>
      <c r="J57" s="100">
        <v>0.57999999999999996</v>
      </c>
      <c r="K57" s="100">
        <v>289.75</v>
      </c>
      <c r="L57" s="100">
        <v>37.46</v>
      </c>
      <c r="M57" s="100">
        <v>37.369999999999997</v>
      </c>
      <c r="N57" s="100">
        <v>797.9</v>
      </c>
      <c r="O57" s="100">
        <v>0</v>
      </c>
      <c r="P57" s="100">
        <v>0.31</v>
      </c>
      <c r="Q57" s="151" t="s">
        <v>8</v>
      </c>
      <c r="R57" s="6"/>
      <c r="S57" s="6"/>
      <c r="T57" s="156"/>
      <c r="U57" s="6"/>
    </row>
    <row r="58" spans="1:21" customFormat="1">
      <c r="A58" s="100" t="s">
        <v>959</v>
      </c>
      <c r="B58" s="100">
        <v>10.52</v>
      </c>
      <c r="C58" s="100">
        <v>84.11</v>
      </c>
      <c r="D58" s="100">
        <v>53.73</v>
      </c>
      <c r="E58" s="100">
        <v>10.039999999999999</v>
      </c>
      <c r="F58" s="100">
        <v>9.8000000000000007</v>
      </c>
      <c r="G58" s="100">
        <v>59.62</v>
      </c>
      <c r="H58" s="100">
        <v>25.27</v>
      </c>
      <c r="I58" s="100">
        <v>0</v>
      </c>
      <c r="J58" s="100">
        <v>0.47</v>
      </c>
      <c r="K58" s="100">
        <v>251.96</v>
      </c>
      <c r="L58" s="100">
        <v>37.1</v>
      </c>
      <c r="M58" s="100">
        <v>38.380000000000003</v>
      </c>
      <c r="N58" s="100">
        <v>386.9</v>
      </c>
      <c r="O58" s="100">
        <v>0</v>
      </c>
      <c r="P58" s="100">
        <v>0.37</v>
      </c>
      <c r="Q58" s="151" t="s">
        <v>8</v>
      </c>
      <c r="R58" s="6"/>
      <c r="S58" s="6"/>
      <c r="T58" s="156"/>
      <c r="U58" s="6"/>
    </row>
    <row r="59" spans="1:21" customFormat="1">
      <c r="A59" s="100" t="s">
        <v>960</v>
      </c>
      <c r="B59" s="100">
        <v>4.54</v>
      </c>
      <c r="C59" s="100">
        <v>19.89</v>
      </c>
      <c r="D59" s="100">
        <v>15.38</v>
      </c>
      <c r="E59" s="100">
        <v>15.93</v>
      </c>
      <c r="F59" s="100">
        <v>49</v>
      </c>
      <c r="G59" s="100">
        <v>59.34</v>
      </c>
      <c r="H59" s="100">
        <v>25.27</v>
      </c>
      <c r="I59" s="100">
        <v>0</v>
      </c>
      <c r="J59" s="100">
        <v>0.31</v>
      </c>
      <c r="K59" s="100">
        <v>225.29</v>
      </c>
      <c r="L59" s="100">
        <v>37.33</v>
      </c>
      <c r="M59" s="100">
        <v>39.159999999999997</v>
      </c>
      <c r="N59" s="100">
        <v>689.9</v>
      </c>
      <c r="O59" s="100">
        <v>0</v>
      </c>
      <c r="P59" s="100">
        <v>0.39</v>
      </c>
      <c r="Q59" s="151" t="s">
        <v>8</v>
      </c>
      <c r="R59" s="6"/>
      <c r="S59" s="6"/>
      <c r="T59" s="156"/>
      <c r="U59" s="6"/>
    </row>
    <row r="60" spans="1:21" customFormat="1">
      <c r="A60" s="100" t="s">
        <v>961</v>
      </c>
      <c r="B60" s="100">
        <v>4.66</v>
      </c>
      <c r="C60" s="100">
        <v>69.22</v>
      </c>
      <c r="D60" s="100">
        <v>41.26</v>
      </c>
      <c r="E60" s="100">
        <v>18.23</v>
      </c>
      <c r="F60" s="100">
        <v>55.87</v>
      </c>
      <c r="G60" s="100">
        <v>59.34</v>
      </c>
      <c r="H60" s="100">
        <v>25.27</v>
      </c>
      <c r="I60" s="100">
        <v>2.0299999999999998</v>
      </c>
      <c r="J60" s="100">
        <v>0.59</v>
      </c>
      <c r="K60" s="100">
        <v>254.67</v>
      </c>
      <c r="L60" s="100">
        <v>38</v>
      </c>
      <c r="M60" s="100">
        <v>36.67</v>
      </c>
      <c r="N60" s="100">
        <v>821</v>
      </c>
      <c r="O60" s="100">
        <v>0</v>
      </c>
      <c r="P60" s="100">
        <v>0.62</v>
      </c>
      <c r="Q60" s="100">
        <v>0.08</v>
      </c>
      <c r="R60" s="6"/>
      <c r="S60" s="6"/>
      <c r="T60" s="156"/>
      <c r="U60" s="6"/>
    </row>
    <row r="61" spans="1:21" customFormat="1">
      <c r="A61" s="100" t="s">
        <v>962</v>
      </c>
      <c r="B61" s="100">
        <v>4.22</v>
      </c>
      <c r="C61" s="100">
        <v>70.75</v>
      </c>
      <c r="D61" s="100">
        <v>41.69</v>
      </c>
      <c r="E61" s="100">
        <v>14.68</v>
      </c>
      <c r="F61" s="100">
        <v>41.63</v>
      </c>
      <c r="G61" s="100">
        <v>59.34</v>
      </c>
      <c r="H61" s="100">
        <v>25.27</v>
      </c>
      <c r="I61" s="100">
        <v>7.29</v>
      </c>
      <c r="J61" s="100">
        <v>0.45</v>
      </c>
      <c r="K61" s="100">
        <v>267</v>
      </c>
      <c r="L61" s="100">
        <v>38.020000000000003</v>
      </c>
      <c r="M61" s="100">
        <v>34.15</v>
      </c>
      <c r="N61" s="100">
        <v>722.1</v>
      </c>
      <c r="O61" s="100">
        <v>0</v>
      </c>
      <c r="P61" s="100">
        <v>0.62</v>
      </c>
      <c r="Q61" s="100">
        <v>4.5599999999999996</v>
      </c>
      <c r="R61" s="6"/>
      <c r="S61" s="6"/>
      <c r="T61" s="156"/>
      <c r="U61" s="6"/>
    </row>
    <row r="62" spans="1:21" customFormat="1">
      <c r="A62" s="100" t="s">
        <v>963</v>
      </c>
      <c r="B62" s="100">
        <v>4.0599999999999996</v>
      </c>
      <c r="C62" s="100">
        <v>70.05</v>
      </c>
      <c r="D62" s="100">
        <v>41.2</v>
      </c>
      <c r="E62" s="100">
        <v>11.91</v>
      </c>
      <c r="F62" s="100">
        <v>25.53</v>
      </c>
      <c r="G62" s="100">
        <v>47.58</v>
      </c>
      <c r="H62" s="100">
        <v>23.86</v>
      </c>
      <c r="I62" s="100">
        <v>6.43</v>
      </c>
      <c r="J62" s="100">
        <v>0.32</v>
      </c>
      <c r="K62" s="100">
        <v>219.98</v>
      </c>
      <c r="L62" s="100">
        <v>38.049999999999997</v>
      </c>
      <c r="M62" s="100">
        <v>35.53</v>
      </c>
      <c r="N62" s="100">
        <v>516.6</v>
      </c>
      <c r="O62" s="100">
        <v>0</v>
      </c>
      <c r="P62" s="100">
        <v>0.66</v>
      </c>
      <c r="Q62" s="100">
        <v>4.82</v>
      </c>
      <c r="R62" s="6"/>
      <c r="S62" s="6"/>
      <c r="T62" s="156"/>
      <c r="U62" s="6"/>
    </row>
    <row r="63" spans="1:21" customFormat="1">
      <c r="A63" s="100" t="s">
        <v>964</v>
      </c>
      <c r="B63" s="100">
        <v>3.95</v>
      </c>
      <c r="C63" s="100">
        <v>59.78</v>
      </c>
      <c r="D63" s="100">
        <v>35.75</v>
      </c>
      <c r="E63" s="100">
        <v>12.43</v>
      </c>
      <c r="F63" s="100">
        <v>41.93</v>
      </c>
      <c r="G63" s="100">
        <v>47.18</v>
      </c>
      <c r="H63" s="100">
        <v>23.86</v>
      </c>
      <c r="I63" s="100">
        <v>6.14</v>
      </c>
      <c r="J63" s="100">
        <v>0.76</v>
      </c>
      <c r="K63" s="100">
        <v>264.93</v>
      </c>
      <c r="L63" s="100">
        <v>38.159999999999997</v>
      </c>
      <c r="M63" s="100">
        <v>34.299999999999997</v>
      </c>
      <c r="N63" s="100">
        <v>701.9</v>
      </c>
      <c r="O63" s="100">
        <v>0</v>
      </c>
      <c r="P63" s="100">
        <v>0.63</v>
      </c>
      <c r="Q63" s="100">
        <v>4.82</v>
      </c>
      <c r="R63" s="6"/>
      <c r="S63" s="6"/>
      <c r="T63" s="156"/>
      <c r="U63" s="6"/>
    </row>
    <row r="64" spans="1:21" customFormat="1">
      <c r="A64" s="100" t="s">
        <v>965</v>
      </c>
      <c r="B64" s="100">
        <v>4.01</v>
      </c>
      <c r="C64" s="100">
        <v>53.55</v>
      </c>
      <c r="D64" s="100">
        <v>32.549999999999997</v>
      </c>
      <c r="E64" s="100">
        <v>15.96</v>
      </c>
      <c r="F64" s="100">
        <v>39.99</v>
      </c>
      <c r="G64" s="100">
        <v>47.18</v>
      </c>
      <c r="H64" s="100">
        <v>23.86</v>
      </c>
      <c r="I64" s="100">
        <v>6.14</v>
      </c>
      <c r="J64" s="100">
        <v>0.52</v>
      </c>
      <c r="K64" s="100">
        <v>255.53</v>
      </c>
      <c r="L64" s="100">
        <v>38.32</v>
      </c>
      <c r="M64" s="100">
        <v>34.409999999999997</v>
      </c>
      <c r="N64" s="100">
        <v>674.1</v>
      </c>
      <c r="O64" s="100">
        <v>0</v>
      </c>
      <c r="P64" s="100">
        <v>0.61</v>
      </c>
      <c r="Q64" s="100">
        <v>4.6900000000000004</v>
      </c>
      <c r="R64" s="6"/>
      <c r="S64" s="6"/>
      <c r="T64" s="156"/>
      <c r="U64" s="6"/>
    </row>
    <row r="65" spans="1:21" customFormat="1">
      <c r="A65" s="100" t="s">
        <v>966</v>
      </c>
      <c r="B65" s="100">
        <v>4.16</v>
      </c>
      <c r="C65" s="100">
        <v>50.3</v>
      </c>
      <c r="D65" s="100">
        <v>30.97</v>
      </c>
      <c r="E65" s="100">
        <v>17.37</v>
      </c>
      <c r="F65" s="100">
        <v>48.63</v>
      </c>
      <c r="G65" s="100">
        <v>47.18</v>
      </c>
      <c r="H65" s="100">
        <v>23.86</v>
      </c>
      <c r="I65" s="100">
        <v>5.93</v>
      </c>
      <c r="J65" s="100">
        <v>0.37</v>
      </c>
      <c r="K65" s="100">
        <v>256.35000000000002</v>
      </c>
      <c r="L65" s="100">
        <v>38.46</v>
      </c>
      <c r="M65" s="100">
        <v>33.92</v>
      </c>
      <c r="N65" s="100">
        <v>579</v>
      </c>
      <c r="O65" s="100">
        <v>0</v>
      </c>
      <c r="P65" s="100">
        <v>0.6</v>
      </c>
      <c r="Q65" s="100">
        <v>4.6399999999999997</v>
      </c>
      <c r="R65" s="6"/>
      <c r="S65" s="6"/>
      <c r="T65" s="156"/>
      <c r="U65" s="6"/>
    </row>
    <row r="66" spans="1:21" customFormat="1">
      <c r="A66" s="100" t="s">
        <v>967</v>
      </c>
      <c r="B66" s="100">
        <v>4.1399999999999997</v>
      </c>
      <c r="C66" s="100">
        <v>43.7</v>
      </c>
      <c r="D66" s="100">
        <v>27.5</v>
      </c>
      <c r="E66" s="100">
        <v>20.96</v>
      </c>
      <c r="F66" s="100">
        <v>61.36</v>
      </c>
      <c r="G66" s="100">
        <v>47.29</v>
      </c>
      <c r="H66" s="100">
        <v>25.46</v>
      </c>
      <c r="I66" s="100">
        <v>5.95</v>
      </c>
      <c r="J66" s="100">
        <v>0.45</v>
      </c>
      <c r="K66" s="100">
        <v>199.31</v>
      </c>
      <c r="L66" s="100">
        <v>39.29</v>
      </c>
      <c r="M66" s="100">
        <v>33.36</v>
      </c>
      <c r="N66" s="100">
        <v>641</v>
      </c>
      <c r="O66" s="100">
        <v>0</v>
      </c>
      <c r="P66" s="100">
        <v>0.56000000000000005</v>
      </c>
      <c r="Q66" s="100">
        <v>4.42</v>
      </c>
      <c r="R66" s="6"/>
      <c r="S66" s="6"/>
      <c r="T66" s="156"/>
      <c r="U66" s="6"/>
    </row>
    <row r="67" spans="1:21" customFormat="1">
      <c r="A67" s="100" t="s">
        <v>968</v>
      </c>
      <c r="B67" s="100">
        <v>4.1399999999999997</v>
      </c>
      <c r="C67" s="100">
        <v>41.14</v>
      </c>
      <c r="D67" s="100">
        <v>26.17</v>
      </c>
      <c r="E67" s="100">
        <v>18.82</v>
      </c>
      <c r="F67" s="100">
        <v>56.4</v>
      </c>
      <c r="G67" s="100">
        <v>47.29</v>
      </c>
      <c r="H67" s="100">
        <v>25.46</v>
      </c>
      <c r="I67" s="100">
        <v>5.83</v>
      </c>
      <c r="J67" s="100">
        <v>0.46</v>
      </c>
      <c r="K67" s="100">
        <v>228.82</v>
      </c>
      <c r="L67" s="100">
        <v>39.14</v>
      </c>
      <c r="M67" s="100">
        <v>33.26</v>
      </c>
      <c r="N67" s="100">
        <v>637.1</v>
      </c>
      <c r="O67" s="100">
        <v>0</v>
      </c>
      <c r="P67" s="100">
        <v>0.56000000000000005</v>
      </c>
      <c r="Q67" s="100">
        <v>4.28</v>
      </c>
      <c r="R67" s="6"/>
      <c r="S67" s="6"/>
      <c r="T67" s="156"/>
      <c r="U67" s="6"/>
    </row>
    <row r="68" spans="1:21" customFormat="1">
      <c r="A68" s="100" t="s">
        <v>969</v>
      </c>
      <c r="B68" s="100">
        <v>4.1100000000000003</v>
      </c>
      <c r="C68" s="100">
        <v>38.75</v>
      </c>
      <c r="D68" s="100">
        <v>24.89</v>
      </c>
      <c r="E68" s="100">
        <v>18.63</v>
      </c>
      <c r="F68" s="100">
        <v>60.36</v>
      </c>
      <c r="G68" s="100">
        <v>47.29</v>
      </c>
      <c r="H68" s="100">
        <v>25.46</v>
      </c>
      <c r="I68" s="100">
        <v>5.42</v>
      </c>
      <c r="J68" s="100">
        <v>0.39</v>
      </c>
      <c r="K68" s="100">
        <v>219.48</v>
      </c>
      <c r="L68" s="100">
        <v>39.21</v>
      </c>
      <c r="M68" s="100">
        <v>32.28</v>
      </c>
      <c r="N68" s="100">
        <v>615.5</v>
      </c>
      <c r="O68" s="100">
        <v>0</v>
      </c>
      <c r="P68" s="100">
        <v>0.52</v>
      </c>
      <c r="Q68" s="100">
        <v>4.21</v>
      </c>
      <c r="R68" s="6"/>
      <c r="S68" s="6"/>
      <c r="T68" s="156"/>
      <c r="U68" s="6"/>
    </row>
    <row r="69" spans="1:21" customFormat="1">
      <c r="A69" s="100" t="s">
        <v>970</v>
      </c>
      <c r="B69" s="100">
        <v>4.04</v>
      </c>
      <c r="C69" s="100">
        <v>36.4</v>
      </c>
      <c r="D69" s="100">
        <v>23.6</v>
      </c>
      <c r="E69" s="100">
        <v>17.68</v>
      </c>
      <c r="F69" s="100">
        <v>62.6</v>
      </c>
      <c r="G69" s="100">
        <v>47.29</v>
      </c>
      <c r="H69" s="100">
        <v>25.46</v>
      </c>
      <c r="I69" s="100">
        <v>5.44</v>
      </c>
      <c r="J69" s="100">
        <v>0.56999999999999995</v>
      </c>
      <c r="K69" s="100">
        <v>253.03</v>
      </c>
      <c r="L69" s="100">
        <v>38.909999999999997</v>
      </c>
      <c r="M69" s="100">
        <v>31.21</v>
      </c>
      <c r="N69" s="100">
        <v>583.4</v>
      </c>
      <c r="O69" s="100">
        <v>0</v>
      </c>
      <c r="P69" s="100">
        <v>0.46</v>
      </c>
      <c r="Q69" s="100">
        <v>4.1399999999999997</v>
      </c>
      <c r="R69" s="6"/>
      <c r="S69" s="6"/>
      <c r="T69" s="156"/>
      <c r="U69" s="6"/>
    </row>
    <row r="70" spans="1:21" customFormat="1">
      <c r="A70" s="100" t="s">
        <v>971</v>
      </c>
      <c r="B70" s="100">
        <v>4.0199999999999996</v>
      </c>
      <c r="C70" s="100">
        <v>35.130000000000003</v>
      </c>
      <c r="D70" s="100">
        <v>22.93</v>
      </c>
      <c r="E70" s="100">
        <v>14.22</v>
      </c>
      <c r="F70" s="100">
        <v>59.99</v>
      </c>
      <c r="G70" s="100">
        <v>45.54</v>
      </c>
      <c r="H70" s="100">
        <v>23.03</v>
      </c>
      <c r="I70" s="100">
        <v>5.18</v>
      </c>
      <c r="J70" s="100">
        <v>0.31</v>
      </c>
      <c r="K70" s="100">
        <v>199.02</v>
      </c>
      <c r="L70" s="100">
        <v>39.06</v>
      </c>
      <c r="M70" s="100">
        <v>32.270000000000003</v>
      </c>
      <c r="N70" s="100">
        <v>500.4</v>
      </c>
      <c r="O70" s="100">
        <v>0</v>
      </c>
      <c r="P70" s="100">
        <v>0.43</v>
      </c>
      <c r="Q70" s="100">
        <v>4.0599999999999996</v>
      </c>
      <c r="R70" s="6"/>
      <c r="S70" s="6"/>
      <c r="T70" s="156"/>
      <c r="U70" s="6"/>
    </row>
    <row r="71" spans="1:21" customFormat="1">
      <c r="A71" s="100" t="s">
        <v>972</v>
      </c>
      <c r="B71" s="100">
        <v>3.96</v>
      </c>
      <c r="C71" s="100">
        <v>37.85</v>
      </c>
      <c r="D71" s="100">
        <v>24.3</v>
      </c>
      <c r="E71" s="100">
        <v>9.9600000000000009</v>
      </c>
      <c r="F71" s="100">
        <v>27.14</v>
      </c>
      <c r="G71" s="100">
        <v>45.48</v>
      </c>
      <c r="H71" s="100">
        <v>23.03</v>
      </c>
      <c r="I71" s="100">
        <v>4.82</v>
      </c>
      <c r="J71" s="100">
        <v>0.37</v>
      </c>
      <c r="K71" s="100">
        <v>225.24</v>
      </c>
      <c r="L71" s="100">
        <v>39.090000000000003</v>
      </c>
      <c r="M71" s="100">
        <v>31.84</v>
      </c>
      <c r="N71" s="100">
        <v>443.9</v>
      </c>
      <c r="O71" s="100">
        <v>0</v>
      </c>
      <c r="P71" s="100">
        <v>0.46</v>
      </c>
      <c r="Q71" s="100">
        <v>3.98</v>
      </c>
      <c r="R71" s="6"/>
      <c r="S71" s="6"/>
      <c r="T71" s="156"/>
      <c r="U71" s="6"/>
    </row>
    <row r="72" spans="1:21" customFormat="1">
      <c r="A72" s="100" t="s">
        <v>973</v>
      </c>
      <c r="B72" s="100">
        <v>4.29</v>
      </c>
      <c r="C72" s="100">
        <v>46.03</v>
      </c>
      <c r="D72" s="100">
        <v>28.84</v>
      </c>
      <c r="E72" s="100">
        <v>5.35</v>
      </c>
      <c r="F72" s="100">
        <v>12.14</v>
      </c>
      <c r="G72" s="100">
        <v>45.48</v>
      </c>
      <c r="H72" s="100">
        <v>23.03</v>
      </c>
      <c r="I72" s="100">
        <v>4.53</v>
      </c>
      <c r="J72" s="100">
        <v>0.4</v>
      </c>
      <c r="K72" s="100">
        <v>242.04</v>
      </c>
      <c r="L72" s="100">
        <v>38.450000000000003</v>
      </c>
      <c r="M72" s="100">
        <v>32.659999999999997</v>
      </c>
      <c r="N72" s="100">
        <v>367.9</v>
      </c>
      <c r="O72" s="100">
        <v>0</v>
      </c>
      <c r="P72" s="100">
        <v>0.46</v>
      </c>
      <c r="Q72" s="100">
        <v>3.94</v>
      </c>
      <c r="R72" s="6"/>
      <c r="S72" s="6"/>
      <c r="T72" s="156"/>
      <c r="U72" s="6"/>
    </row>
    <row r="73" spans="1:21" customFormat="1">
      <c r="A73" s="100" t="s">
        <v>974</v>
      </c>
      <c r="B73" s="100">
        <v>4.8099999999999996</v>
      </c>
      <c r="C73" s="100">
        <v>49.1</v>
      </c>
      <c r="D73" s="100">
        <v>30.86</v>
      </c>
      <c r="E73" s="100">
        <v>5.13</v>
      </c>
      <c r="F73" s="100">
        <v>10.52</v>
      </c>
      <c r="G73" s="100">
        <v>45.48</v>
      </c>
      <c r="H73" s="100">
        <v>23.03</v>
      </c>
      <c r="I73" s="100">
        <v>5.4</v>
      </c>
      <c r="J73" s="100">
        <v>0.36</v>
      </c>
      <c r="K73" s="100">
        <v>195.96</v>
      </c>
      <c r="L73" s="100">
        <v>38.39</v>
      </c>
      <c r="M73" s="100">
        <v>33.950000000000003</v>
      </c>
      <c r="N73" s="100">
        <v>312.3</v>
      </c>
      <c r="O73" s="100">
        <v>0</v>
      </c>
      <c r="P73" s="100">
        <v>0.46</v>
      </c>
      <c r="Q73" s="100">
        <v>4.01</v>
      </c>
      <c r="R73" s="6"/>
      <c r="S73" s="6"/>
      <c r="T73" s="156"/>
      <c r="U73" s="6"/>
    </row>
    <row r="74" spans="1:21" customFormat="1">
      <c r="A74" s="100" t="s">
        <v>975</v>
      </c>
      <c r="B74" s="100">
        <v>5.32</v>
      </c>
      <c r="C74" s="100">
        <v>51.39</v>
      </c>
      <c r="D74" s="100">
        <v>32.46</v>
      </c>
      <c r="E74" s="100">
        <v>5.52</v>
      </c>
      <c r="F74" s="100">
        <v>8.7899999999999991</v>
      </c>
      <c r="G74" s="100">
        <v>41.71</v>
      </c>
      <c r="H74" s="100">
        <v>21.34</v>
      </c>
      <c r="I74" s="100">
        <v>5.74</v>
      </c>
      <c r="J74" s="100">
        <v>0.28000000000000003</v>
      </c>
      <c r="K74" s="100">
        <v>182.29</v>
      </c>
      <c r="L74" s="100">
        <v>38.049999999999997</v>
      </c>
      <c r="M74" s="100">
        <v>35.04</v>
      </c>
      <c r="N74" s="100">
        <v>236.8</v>
      </c>
      <c r="O74" s="100">
        <v>0</v>
      </c>
      <c r="P74" s="100">
        <v>0.45</v>
      </c>
      <c r="Q74" s="100">
        <v>4.1399999999999997</v>
      </c>
      <c r="R74" s="6"/>
      <c r="S74" s="6"/>
      <c r="T74" s="156"/>
      <c r="U74" s="6"/>
    </row>
    <row r="75" spans="1:21" customFormat="1">
      <c r="A75" s="100" t="s">
        <v>976</v>
      </c>
      <c r="B75" s="100">
        <v>5.61</v>
      </c>
      <c r="C75" s="100">
        <v>50.92</v>
      </c>
      <c r="D75" s="100">
        <v>32.450000000000003</v>
      </c>
      <c r="E75" s="100">
        <v>5.57</v>
      </c>
      <c r="F75" s="100">
        <v>10.64</v>
      </c>
      <c r="G75" s="100">
        <v>41.58</v>
      </c>
      <c r="H75" s="100">
        <v>21.34</v>
      </c>
      <c r="I75" s="100">
        <v>5.72</v>
      </c>
      <c r="J75" s="100">
        <v>0.3</v>
      </c>
      <c r="K75" s="100">
        <v>161.44</v>
      </c>
      <c r="L75" s="100">
        <v>38.17</v>
      </c>
      <c r="M75" s="100">
        <v>35.53</v>
      </c>
      <c r="N75" s="100">
        <v>193.5</v>
      </c>
      <c r="O75" s="100">
        <v>0</v>
      </c>
      <c r="P75" s="100">
        <v>0.42</v>
      </c>
      <c r="Q75" s="100">
        <v>4.18</v>
      </c>
      <c r="R75" s="6"/>
      <c r="S75" s="6"/>
      <c r="T75" s="156"/>
      <c r="U75" s="6"/>
    </row>
    <row r="76" spans="1:21" customFormat="1">
      <c r="A76" s="100" t="s">
        <v>977</v>
      </c>
      <c r="B76" s="100">
        <v>6.11</v>
      </c>
      <c r="C76" s="100">
        <v>58.03</v>
      </c>
      <c r="D76" s="100">
        <v>36.57</v>
      </c>
      <c r="E76" s="100">
        <v>5.71</v>
      </c>
      <c r="F76" s="100">
        <v>6.8</v>
      </c>
      <c r="G76" s="100">
        <v>41.58</v>
      </c>
      <c r="H76" s="100">
        <v>21.34</v>
      </c>
      <c r="I76" s="100">
        <v>5.46</v>
      </c>
      <c r="J76" s="100">
        <v>0.31</v>
      </c>
      <c r="K76" s="100">
        <v>163.01</v>
      </c>
      <c r="L76" s="100">
        <v>37.380000000000003</v>
      </c>
      <c r="M76" s="100">
        <v>37.06</v>
      </c>
      <c r="N76" s="100">
        <v>135.69999999999999</v>
      </c>
      <c r="O76" s="100">
        <v>0</v>
      </c>
      <c r="P76" s="100">
        <v>0.44</v>
      </c>
      <c r="Q76" s="100">
        <v>4.42</v>
      </c>
      <c r="R76" s="6"/>
      <c r="S76" s="6"/>
      <c r="T76" s="156"/>
      <c r="U76" s="6"/>
    </row>
    <row r="77" spans="1:21" customFormat="1">
      <c r="A77" s="100" t="s">
        <v>978</v>
      </c>
      <c r="B77" s="100">
        <v>6.46</v>
      </c>
      <c r="C77" s="100">
        <v>56.77</v>
      </c>
      <c r="D77" s="100">
        <v>36.19</v>
      </c>
      <c r="E77" s="100">
        <v>5.59</v>
      </c>
      <c r="F77" s="100">
        <v>11.72</v>
      </c>
      <c r="G77" s="100">
        <v>41.58</v>
      </c>
      <c r="H77" s="100">
        <v>21.34</v>
      </c>
      <c r="I77" s="100">
        <v>5.41</v>
      </c>
      <c r="J77" s="100">
        <v>0.16</v>
      </c>
      <c r="K77" s="100">
        <v>288.89999999999998</v>
      </c>
      <c r="L77" s="100">
        <v>37.29</v>
      </c>
      <c r="M77" s="100">
        <v>34.46</v>
      </c>
      <c r="N77" s="100">
        <v>113.4</v>
      </c>
      <c r="O77" s="100">
        <v>0</v>
      </c>
      <c r="P77" s="100">
        <v>0.42</v>
      </c>
      <c r="Q77" s="100">
        <v>4.45</v>
      </c>
      <c r="R77" s="6"/>
      <c r="S77" s="6"/>
      <c r="T77" s="156"/>
      <c r="U77" s="6"/>
    </row>
    <row r="78" spans="1:21" customFormat="1">
      <c r="A78" s="100" t="s">
        <v>979</v>
      </c>
      <c r="B78" s="100">
        <v>6.5</v>
      </c>
      <c r="C78" s="100">
        <v>53.06</v>
      </c>
      <c r="D78" s="100">
        <v>34.28</v>
      </c>
      <c r="E78" s="100">
        <v>7.14</v>
      </c>
      <c r="F78" s="100">
        <v>12.1</v>
      </c>
      <c r="G78" s="100">
        <v>37.93</v>
      </c>
      <c r="H78" s="100">
        <v>20.88</v>
      </c>
      <c r="I78" s="100">
        <v>5.39</v>
      </c>
      <c r="J78" s="100">
        <v>0.27</v>
      </c>
      <c r="K78" s="100">
        <v>177.83</v>
      </c>
      <c r="L78" s="100">
        <v>36.79</v>
      </c>
      <c r="M78" s="100">
        <v>38.479999999999997</v>
      </c>
      <c r="N78" s="100">
        <v>77.8</v>
      </c>
      <c r="O78" s="100">
        <v>0</v>
      </c>
      <c r="P78" s="100">
        <v>0.4</v>
      </c>
      <c r="Q78" s="100">
        <v>4.4000000000000004</v>
      </c>
      <c r="R78" s="6"/>
      <c r="S78" s="6"/>
      <c r="T78" s="156"/>
      <c r="U78" s="6"/>
    </row>
    <row r="79" spans="1:21" customFormat="1">
      <c r="A79" s="100" t="s">
        <v>980</v>
      </c>
      <c r="B79" s="100">
        <v>6.5</v>
      </c>
      <c r="C79" s="100">
        <v>53.01</v>
      </c>
      <c r="D79" s="100">
        <v>34.26</v>
      </c>
      <c r="E79" s="100">
        <v>5.42</v>
      </c>
      <c r="F79" s="100">
        <v>12.28</v>
      </c>
      <c r="G79" s="100">
        <v>37.799999999999997</v>
      </c>
      <c r="H79" s="100">
        <v>20.88</v>
      </c>
      <c r="I79" s="100">
        <v>5.16</v>
      </c>
      <c r="J79" s="100">
        <v>0.35</v>
      </c>
      <c r="K79" s="100">
        <v>164.18</v>
      </c>
      <c r="L79" s="100">
        <v>36.14</v>
      </c>
      <c r="M79" s="100">
        <v>44.55</v>
      </c>
      <c r="N79" s="100">
        <v>57.7</v>
      </c>
      <c r="O79" s="100">
        <v>0</v>
      </c>
      <c r="P79" s="100">
        <v>0.39</v>
      </c>
      <c r="Q79" s="100">
        <v>4.3899999999999997</v>
      </c>
      <c r="R79" s="6"/>
      <c r="S79" s="6"/>
      <c r="T79" s="156"/>
      <c r="U79" s="6"/>
    </row>
    <row r="80" spans="1:21" customFormat="1">
      <c r="A80" s="100" t="s">
        <v>981</v>
      </c>
      <c r="B80" s="100">
        <v>6.67</v>
      </c>
      <c r="C80" s="100">
        <v>55.09</v>
      </c>
      <c r="D80" s="100">
        <v>35.479999999999997</v>
      </c>
      <c r="E80" s="100">
        <v>5.32</v>
      </c>
      <c r="F80" s="100">
        <v>8.2799999999999994</v>
      </c>
      <c r="G80" s="100">
        <v>37.799999999999997</v>
      </c>
      <c r="H80" s="100">
        <v>20.88</v>
      </c>
      <c r="I80" s="100">
        <v>5.09</v>
      </c>
      <c r="J80" s="100">
        <v>0.25</v>
      </c>
      <c r="K80" s="100">
        <v>166.31</v>
      </c>
      <c r="L80" s="100">
        <v>35.130000000000003</v>
      </c>
      <c r="M80" s="100">
        <v>46.14</v>
      </c>
      <c r="N80" s="100">
        <v>22.1</v>
      </c>
      <c r="O80" s="100">
        <v>0</v>
      </c>
      <c r="P80" s="100">
        <v>0.39</v>
      </c>
      <c r="Q80" s="100">
        <v>4.3899999999999997</v>
      </c>
      <c r="R80" s="6"/>
      <c r="S80" s="6"/>
      <c r="T80" s="156"/>
      <c r="U80" s="6"/>
    </row>
    <row r="81" spans="1:21" customFormat="1">
      <c r="A81" s="100" t="s">
        <v>982</v>
      </c>
      <c r="B81" s="100">
        <v>7.16</v>
      </c>
      <c r="C81" s="100">
        <v>60.63</v>
      </c>
      <c r="D81" s="100">
        <v>38.770000000000003</v>
      </c>
      <c r="E81" s="100">
        <v>6.46</v>
      </c>
      <c r="F81" s="100">
        <v>9.14</v>
      </c>
      <c r="G81" s="100">
        <v>37.799999999999997</v>
      </c>
      <c r="H81" s="100">
        <v>20.88</v>
      </c>
      <c r="I81" s="100">
        <v>4.91</v>
      </c>
      <c r="J81" s="100">
        <v>0.27</v>
      </c>
      <c r="K81" s="100">
        <v>160.87</v>
      </c>
      <c r="L81" s="100">
        <v>34.549999999999997</v>
      </c>
      <c r="M81" s="100">
        <v>46.67</v>
      </c>
      <c r="N81" s="100">
        <v>4.5999999999999996</v>
      </c>
      <c r="O81" s="100">
        <v>0</v>
      </c>
      <c r="P81" s="100">
        <v>0.4</v>
      </c>
      <c r="Q81" s="100">
        <v>4.74</v>
      </c>
      <c r="R81" s="6"/>
      <c r="S81" s="6"/>
      <c r="T81" s="156"/>
      <c r="U81" s="6"/>
    </row>
    <row r="82" spans="1:21" customFormat="1">
      <c r="A82" s="100" t="s">
        <v>983</v>
      </c>
      <c r="B82" s="100">
        <v>7.41</v>
      </c>
      <c r="C82" s="100">
        <v>57.36</v>
      </c>
      <c r="D82" s="100">
        <v>37.270000000000003</v>
      </c>
      <c r="E82" s="100">
        <v>7.4</v>
      </c>
      <c r="F82" s="100">
        <v>10.08</v>
      </c>
      <c r="G82" s="100">
        <v>36.61</v>
      </c>
      <c r="H82" s="100">
        <v>22.57</v>
      </c>
      <c r="I82" s="100">
        <v>4.9400000000000004</v>
      </c>
      <c r="J82" s="100">
        <v>0.23</v>
      </c>
      <c r="K82" s="100">
        <v>175.92</v>
      </c>
      <c r="L82" s="100">
        <v>33.65</v>
      </c>
      <c r="M82" s="100">
        <v>49.64</v>
      </c>
      <c r="N82" s="100">
        <v>0</v>
      </c>
      <c r="O82" s="100">
        <v>0</v>
      </c>
      <c r="P82" s="100">
        <v>0.4</v>
      </c>
      <c r="Q82" s="100">
        <v>4.63</v>
      </c>
      <c r="R82" s="6"/>
      <c r="S82" s="6"/>
      <c r="T82" s="156"/>
      <c r="U82" s="6"/>
    </row>
    <row r="83" spans="1:21" customFormat="1">
      <c r="A83" s="100" t="s">
        <v>984</v>
      </c>
      <c r="B83" s="100">
        <v>8.3699999999999992</v>
      </c>
      <c r="C83" s="100">
        <v>60.26</v>
      </c>
      <c r="D83" s="100">
        <v>39.549999999999997</v>
      </c>
      <c r="E83" s="100">
        <v>7.2</v>
      </c>
      <c r="F83" s="100">
        <v>4.82</v>
      </c>
      <c r="G83" s="100">
        <v>36.57</v>
      </c>
      <c r="H83" s="100">
        <v>22.57</v>
      </c>
      <c r="I83" s="100">
        <v>4.75</v>
      </c>
      <c r="J83" s="100">
        <v>0.18</v>
      </c>
      <c r="K83" s="100">
        <v>176.74</v>
      </c>
      <c r="L83" s="100">
        <v>32.82</v>
      </c>
      <c r="M83" s="100">
        <v>54.26</v>
      </c>
      <c r="N83" s="100">
        <v>0</v>
      </c>
      <c r="O83" s="100">
        <v>0</v>
      </c>
      <c r="P83" s="100">
        <v>0.39</v>
      </c>
      <c r="Q83" s="100">
        <v>4.6399999999999997</v>
      </c>
      <c r="R83" s="6"/>
      <c r="S83" s="6"/>
      <c r="T83" s="156"/>
      <c r="U83" s="6"/>
    </row>
    <row r="84" spans="1:21" customFormat="1">
      <c r="A84" s="100" t="s">
        <v>985</v>
      </c>
      <c r="B84" s="100">
        <v>8.9</v>
      </c>
      <c r="C84" s="100">
        <v>58.96</v>
      </c>
      <c r="D84" s="100">
        <v>39.29</v>
      </c>
      <c r="E84" s="100">
        <v>6.59</v>
      </c>
      <c r="F84" s="100">
        <v>4.79</v>
      </c>
      <c r="G84" s="100">
        <v>36.57</v>
      </c>
      <c r="H84" s="100">
        <v>22.57</v>
      </c>
      <c r="I84" s="100">
        <v>4.8499999999999996</v>
      </c>
      <c r="J84" s="100">
        <v>0.19</v>
      </c>
      <c r="K84" s="100">
        <v>179.35</v>
      </c>
      <c r="L84" s="100">
        <v>32.19</v>
      </c>
      <c r="M84" s="100">
        <v>61.26</v>
      </c>
      <c r="N84" s="100">
        <v>0</v>
      </c>
      <c r="O84" s="100">
        <v>0</v>
      </c>
      <c r="P84" s="100">
        <v>0.38</v>
      </c>
      <c r="Q84" s="100">
        <v>4.4800000000000004</v>
      </c>
      <c r="R84" s="6"/>
      <c r="S84" s="6"/>
      <c r="T84" s="156"/>
      <c r="U84" s="6"/>
    </row>
    <row r="85" spans="1:21" customFormat="1">
      <c r="A85" s="100" t="s">
        <v>986</v>
      </c>
      <c r="B85" s="100">
        <v>9.4499999999999993</v>
      </c>
      <c r="C85" s="100">
        <v>62.05</v>
      </c>
      <c r="D85" s="100">
        <v>41.34</v>
      </c>
      <c r="E85" s="100">
        <v>6.87</v>
      </c>
      <c r="F85" s="100">
        <v>4.26</v>
      </c>
      <c r="G85" s="100">
        <v>36.57</v>
      </c>
      <c r="H85" s="100">
        <v>22.57</v>
      </c>
      <c r="I85" s="100">
        <v>4.93</v>
      </c>
      <c r="J85" s="100">
        <v>0.26</v>
      </c>
      <c r="K85" s="100">
        <v>169.68</v>
      </c>
      <c r="L85" s="100">
        <v>31.83</v>
      </c>
      <c r="M85" s="100">
        <v>58.27</v>
      </c>
      <c r="N85" s="100">
        <v>0</v>
      </c>
      <c r="O85" s="100">
        <v>0</v>
      </c>
      <c r="P85" s="100">
        <v>0.39</v>
      </c>
      <c r="Q85" s="100">
        <v>4.54</v>
      </c>
      <c r="R85" s="6"/>
      <c r="S85" s="6"/>
      <c r="T85" s="156"/>
      <c r="U85" s="6"/>
    </row>
    <row r="86" spans="1:21" customFormat="1">
      <c r="A86" s="100" t="s">
        <v>987</v>
      </c>
      <c r="B86" s="100">
        <v>9.89</v>
      </c>
      <c r="C86" s="100">
        <v>60.58</v>
      </c>
      <c r="D86" s="100">
        <v>40.93</v>
      </c>
      <c r="E86" s="100">
        <v>7.23</v>
      </c>
      <c r="F86" s="100">
        <v>4.82</v>
      </c>
      <c r="G86" s="100">
        <v>37.39</v>
      </c>
      <c r="H86" s="100">
        <v>21.82</v>
      </c>
      <c r="I86" s="100">
        <v>4.97</v>
      </c>
      <c r="J86" s="100">
        <v>0.16</v>
      </c>
      <c r="K86" s="100">
        <v>187.73</v>
      </c>
      <c r="L86" s="100">
        <v>31.52</v>
      </c>
      <c r="M86" s="100">
        <v>61.19</v>
      </c>
      <c r="N86" s="100">
        <v>0</v>
      </c>
      <c r="O86" s="100">
        <v>0</v>
      </c>
      <c r="P86" s="100">
        <v>0.41</v>
      </c>
      <c r="Q86" s="100">
        <v>4.3899999999999997</v>
      </c>
      <c r="R86" s="6"/>
      <c r="S86" s="6"/>
      <c r="T86" s="156"/>
      <c r="U86" s="6"/>
    </row>
    <row r="87" spans="1:21" customFormat="1">
      <c r="A87" s="100" t="s">
        <v>988</v>
      </c>
      <c r="B87" s="100">
        <v>10.73</v>
      </c>
      <c r="C87" s="100">
        <v>60.44</v>
      </c>
      <c r="D87" s="100">
        <v>41.54</v>
      </c>
      <c r="E87" s="100">
        <v>7.38</v>
      </c>
      <c r="F87" s="100">
        <v>4.28</v>
      </c>
      <c r="G87" s="100">
        <v>37.42</v>
      </c>
      <c r="H87" s="100">
        <v>21.82</v>
      </c>
      <c r="I87" s="100">
        <v>4.9800000000000004</v>
      </c>
      <c r="J87" s="100">
        <v>0.15</v>
      </c>
      <c r="K87" s="100">
        <v>201.34</v>
      </c>
      <c r="L87" s="100">
        <v>31.42</v>
      </c>
      <c r="M87" s="100">
        <v>59.24</v>
      </c>
      <c r="N87" s="100">
        <v>0</v>
      </c>
      <c r="O87" s="100">
        <v>0</v>
      </c>
      <c r="P87" s="100">
        <v>0.42</v>
      </c>
      <c r="Q87" s="100">
        <v>4.37</v>
      </c>
      <c r="R87" s="6"/>
      <c r="S87" s="6"/>
      <c r="T87" s="156"/>
      <c r="U87" s="6"/>
    </row>
    <row r="88" spans="1:21" customFormat="1">
      <c r="A88" s="100" t="s">
        <v>989</v>
      </c>
      <c r="B88" s="100">
        <v>11.36</v>
      </c>
      <c r="C88" s="100">
        <v>60.44</v>
      </c>
      <c r="D88" s="100">
        <v>42.03</v>
      </c>
      <c r="E88" s="100">
        <v>6.74</v>
      </c>
      <c r="F88" s="100">
        <v>3.8</v>
      </c>
      <c r="G88" s="100">
        <v>37.42</v>
      </c>
      <c r="H88" s="100">
        <v>21.82</v>
      </c>
      <c r="I88" s="100">
        <v>5.13</v>
      </c>
      <c r="J88" s="100">
        <v>0.13</v>
      </c>
      <c r="K88" s="100">
        <v>185.76</v>
      </c>
      <c r="L88" s="100">
        <v>31.11</v>
      </c>
      <c r="M88" s="100">
        <v>64.72</v>
      </c>
      <c r="N88" s="100">
        <v>0</v>
      </c>
      <c r="O88" s="100">
        <v>0</v>
      </c>
      <c r="P88" s="100">
        <v>0.44</v>
      </c>
      <c r="Q88" s="100">
        <v>4.3499999999999996</v>
      </c>
      <c r="R88" s="6"/>
      <c r="S88" s="6"/>
      <c r="T88" s="156"/>
      <c r="U88" s="6"/>
    </row>
    <row r="89" spans="1:21" customFormat="1">
      <c r="A89" s="100" t="s">
        <v>990</v>
      </c>
      <c r="B89" s="100">
        <v>12.18</v>
      </c>
      <c r="C89" s="100">
        <v>59.45</v>
      </c>
      <c r="D89" s="100">
        <v>42.18</v>
      </c>
      <c r="E89" s="100">
        <v>7.1</v>
      </c>
      <c r="F89" s="100">
        <v>3.9</v>
      </c>
      <c r="G89" s="100">
        <v>37.42</v>
      </c>
      <c r="H89" s="100">
        <v>21.82</v>
      </c>
      <c r="I89" s="100">
        <v>5.15</v>
      </c>
      <c r="J89" s="100">
        <v>0.13</v>
      </c>
      <c r="K89" s="100">
        <v>196.4</v>
      </c>
      <c r="L89" s="100">
        <v>31.07</v>
      </c>
      <c r="M89" s="100">
        <v>60.19</v>
      </c>
      <c r="N89" s="100">
        <v>0</v>
      </c>
      <c r="O89" s="100">
        <v>0</v>
      </c>
      <c r="P89" s="100">
        <v>0.45</v>
      </c>
      <c r="Q89" s="100">
        <v>4.4400000000000004</v>
      </c>
      <c r="R89" s="6"/>
      <c r="S89" s="6"/>
      <c r="T89" s="156"/>
      <c r="U89" s="6"/>
    </row>
    <row r="90" spans="1:21" customFormat="1">
      <c r="A90" s="100" t="s">
        <v>991</v>
      </c>
      <c r="B90" s="100">
        <v>13.01</v>
      </c>
      <c r="C90" s="100">
        <v>60.69</v>
      </c>
      <c r="D90" s="100">
        <v>43.49</v>
      </c>
      <c r="E90" s="100">
        <v>6.92</v>
      </c>
      <c r="F90" s="100">
        <v>3.71</v>
      </c>
      <c r="G90" s="100">
        <v>38.770000000000003</v>
      </c>
      <c r="H90" s="100">
        <v>17.829999999999998</v>
      </c>
      <c r="I90" s="100">
        <v>5.36</v>
      </c>
      <c r="J90" s="100">
        <v>0.13</v>
      </c>
      <c r="K90" s="100">
        <v>165.35</v>
      </c>
      <c r="L90" s="100">
        <v>30.93</v>
      </c>
      <c r="M90" s="100">
        <v>65.12</v>
      </c>
      <c r="N90" s="100">
        <v>0</v>
      </c>
      <c r="O90" s="100">
        <v>0</v>
      </c>
      <c r="P90" s="100">
        <v>0.47</v>
      </c>
      <c r="Q90" s="100">
        <v>4.4800000000000004</v>
      </c>
      <c r="R90" s="6"/>
      <c r="S90" s="6"/>
      <c r="T90" s="156"/>
      <c r="U90" s="6"/>
    </row>
    <row r="91" spans="1:21" customFormat="1">
      <c r="A91" s="100" t="s">
        <v>992</v>
      </c>
      <c r="B91" s="100">
        <v>14.59</v>
      </c>
      <c r="C91" s="100">
        <v>58.9</v>
      </c>
      <c r="D91" s="100">
        <v>43.82</v>
      </c>
      <c r="E91" s="100">
        <v>6.92</v>
      </c>
      <c r="F91" s="100">
        <v>3.68</v>
      </c>
      <c r="G91" s="100">
        <v>38.82</v>
      </c>
      <c r="H91" s="100">
        <v>17.829999999999998</v>
      </c>
      <c r="I91" s="100">
        <v>5.42</v>
      </c>
      <c r="J91" s="100">
        <v>0.73</v>
      </c>
      <c r="K91" s="100">
        <v>44.29</v>
      </c>
      <c r="L91" s="100">
        <v>31.14</v>
      </c>
      <c r="M91" s="100">
        <v>58.85</v>
      </c>
      <c r="N91" s="100">
        <v>0</v>
      </c>
      <c r="O91" s="100">
        <v>0</v>
      </c>
      <c r="P91" s="100">
        <v>0.48</v>
      </c>
      <c r="Q91" s="100">
        <v>4.53</v>
      </c>
      <c r="R91" s="6"/>
      <c r="S91" s="6"/>
      <c r="T91" s="156"/>
      <c r="U91" s="6"/>
    </row>
    <row r="92" spans="1:21" customFormat="1">
      <c r="A92" s="100" t="s">
        <v>993</v>
      </c>
      <c r="B92" s="100">
        <v>16.309999999999999</v>
      </c>
      <c r="C92" s="100">
        <v>61.6</v>
      </c>
      <c r="D92" s="100">
        <v>46.61</v>
      </c>
      <c r="E92" s="100">
        <v>6.87</v>
      </c>
      <c r="F92" s="100">
        <v>3.53</v>
      </c>
      <c r="G92" s="100">
        <v>38.82</v>
      </c>
      <c r="H92" s="100">
        <v>17.829999999999998</v>
      </c>
      <c r="I92" s="100">
        <v>5.64</v>
      </c>
      <c r="J92" s="100">
        <v>1.1299999999999999</v>
      </c>
      <c r="K92" s="100">
        <v>45.61</v>
      </c>
      <c r="L92" s="100">
        <v>31.68</v>
      </c>
      <c r="M92" s="100">
        <v>50.28</v>
      </c>
      <c r="N92" s="100">
        <v>0</v>
      </c>
      <c r="O92" s="100">
        <v>0</v>
      </c>
      <c r="P92" s="100">
        <v>0.53</v>
      </c>
      <c r="Q92" s="100">
        <v>4.62</v>
      </c>
      <c r="R92" s="6"/>
      <c r="S92" s="6"/>
      <c r="T92" s="156"/>
      <c r="U92" s="6"/>
    </row>
    <row r="93" spans="1:21" customFormat="1">
      <c r="A93" s="100" t="s">
        <v>994</v>
      </c>
      <c r="B93" s="100">
        <v>17.059999999999999</v>
      </c>
      <c r="C93" s="100">
        <v>59.99</v>
      </c>
      <c r="D93" s="100">
        <v>46.38</v>
      </c>
      <c r="E93" s="100">
        <v>6.62</v>
      </c>
      <c r="F93" s="100">
        <v>4.2</v>
      </c>
      <c r="G93" s="100">
        <v>38.82</v>
      </c>
      <c r="H93" s="100">
        <v>17.829999999999998</v>
      </c>
      <c r="I93" s="100">
        <v>5.87</v>
      </c>
      <c r="J93" s="100">
        <v>0.8</v>
      </c>
      <c r="K93" s="100">
        <v>45.66</v>
      </c>
      <c r="L93" s="100">
        <v>31.18</v>
      </c>
      <c r="M93" s="100">
        <v>50.09</v>
      </c>
      <c r="N93" s="100">
        <v>0</v>
      </c>
      <c r="O93" s="100">
        <v>0</v>
      </c>
      <c r="P93" s="100">
        <v>0.54</v>
      </c>
      <c r="Q93" s="100">
        <v>4.62</v>
      </c>
      <c r="R93" s="6"/>
      <c r="S93" s="6"/>
      <c r="T93" s="156"/>
      <c r="U93" s="6"/>
    </row>
    <row r="94" spans="1:21" customFormat="1">
      <c r="A94" s="100" t="s">
        <v>995</v>
      </c>
      <c r="B94" s="100">
        <v>17.5</v>
      </c>
      <c r="C94" s="100">
        <v>63.23</v>
      </c>
      <c r="D94" s="100">
        <v>48.42</v>
      </c>
      <c r="E94" s="100">
        <v>6.65</v>
      </c>
      <c r="F94" s="100">
        <v>3.87</v>
      </c>
      <c r="G94" s="100">
        <v>49.79</v>
      </c>
      <c r="H94" s="100">
        <v>22.66</v>
      </c>
      <c r="I94" s="100">
        <v>6.06</v>
      </c>
      <c r="J94" s="100">
        <v>0.65</v>
      </c>
      <c r="K94" s="100">
        <v>57.45</v>
      </c>
      <c r="L94" s="100">
        <v>30.9</v>
      </c>
      <c r="M94" s="100">
        <v>50.22</v>
      </c>
      <c r="N94" s="100">
        <v>0</v>
      </c>
      <c r="O94" s="100">
        <v>0</v>
      </c>
      <c r="P94" s="100">
        <v>0.54</v>
      </c>
      <c r="Q94" s="100">
        <v>4.74</v>
      </c>
      <c r="R94" s="6"/>
      <c r="S94" s="6"/>
      <c r="T94" s="156"/>
      <c r="U94" s="6"/>
    </row>
    <row r="95" spans="1:21" customFormat="1">
      <c r="A95" s="100" t="s">
        <v>996</v>
      </c>
      <c r="B95" s="100">
        <v>17.510000000000002</v>
      </c>
      <c r="C95" s="100">
        <v>62.85</v>
      </c>
      <c r="D95" s="100">
        <v>48.23</v>
      </c>
      <c r="E95" s="100">
        <v>6.68</v>
      </c>
      <c r="F95" s="100">
        <v>4</v>
      </c>
      <c r="G95" s="100">
        <v>50.17</v>
      </c>
      <c r="H95" s="100">
        <v>22.66</v>
      </c>
      <c r="I95" s="100">
        <v>6.08</v>
      </c>
      <c r="J95" s="100">
        <v>0.38</v>
      </c>
      <c r="K95" s="100">
        <v>79.72</v>
      </c>
      <c r="L95" s="100">
        <v>30.72</v>
      </c>
      <c r="M95" s="100">
        <v>51.03</v>
      </c>
      <c r="N95" s="100">
        <v>0</v>
      </c>
      <c r="O95" s="100">
        <v>0</v>
      </c>
      <c r="P95" s="100">
        <v>0.53</v>
      </c>
      <c r="Q95" s="100">
        <v>4.6900000000000004</v>
      </c>
      <c r="R95" s="6"/>
      <c r="S95" s="6"/>
      <c r="T95" s="156"/>
      <c r="U95" s="6"/>
    </row>
    <row r="96" spans="1:21" customFormat="1">
      <c r="A96" s="100" t="s">
        <v>997</v>
      </c>
      <c r="B96" s="100">
        <v>17.37</v>
      </c>
      <c r="C96" s="100">
        <v>63</v>
      </c>
      <c r="D96" s="100">
        <v>48.2</v>
      </c>
      <c r="E96" s="100">
        <v>6.17</v>
      </c>
      <c r="F96" s="100">
        <v>4.07</v>
      </c>
      <c r="G96" s="100">
        <v>50.17</v>
      </c>
      <c r="H96" s="100">
        <v>22.66</v>
      </c>
      <c r="I96" s="100">
        <v>6.12</v>
      </c>
      <c r="J96" s="100">
        <v>0.68</v>
      </c>
      <c r="K96" s="100">
        <v>63.72</v>
      </c>
      <c r="L96" s="100">
        <v>30.51</v>
      </c>
      <c r="M96" s="100">
        <v>50.88</v>
      </c>
      <c r="N96" s="100">
        <v>0</v>
      </c>
      <c r="O96" s="100">
        <v>0</v>
      </c>
      <c r="P96" s="100">
        <v>0.52</v>
      </c>
      <c r="Q96" s="100">
        <v>4.76</v>
      </c>
      <c r="R96" s="6"/>
      <c r="S96" s="6"/>
      <c r="T96" s="156"/>
      <c r="U96" s="6"/>
    </row>
    <row r="97" spans="1:28" customFormat="1">
      <c r="A97" s="100" t="s">
        <v>998</v>
      </c>
      <c r="B97" s="100">
        <v>17.3</v>
      </c>
      <c r="C97" s="100">
        <v>64.900000000000006</v>
      </c>
      <c r="D97" s="100">
        <v>49.13</v>
      </c>
      <c r="E97" s="100">
        <v>6.53</v>
      </c>
      <c r="F97" s="100">
        <v>3.78</v>
      </c>
      <c r="G97" s="100">
        <v>50.17</v>
      </c>
      <c r="H97" s="100">
        <v>22.66</v>
      </c>
      <c r="I97" s="100">
        <v>6.06</v>
      </c>
      <c r="J97" s="100">
        <v>0.57999999999999996</v>
      </c>
      <c r="K97" s="100">
        <v>52.3</v>
      </c>
      <c r="L97" s="100">
        <v>30.24</v>
      </c>
      <c r="M97" s="100">
        <v>51.91</v>
      </c>
      <c r="N97" s="100">
        <v>0</v>
      </c>
      <c r="O97" s="100">
        <v>0</v>
      </c>
      <c r="P97" s="100">
        <v>0.53</v>
      </c>
      <c r="Q97" s="100">
        <v>4.7300000000000004</v>
      </c>
      <c r="R97" s="6"/>
      <c r="S97" s="6"/>
      <c r="T97" s="156"/>
      <c r="U97" s="6"/>
    </row>
    <row r="98" spans="1:28" customFormat="1">
      <c r="A98" s="100" t="s">
        <v>999</v>
      </c>
      <c r="B98" s="100">
        <v>17.71</v>
      </c>
      <c r="C98" s="100">
        <v>63.86</v>
      </c>
      <c r="D98" s="100">
        <v>48.92</v>
      </c>
      <c r="E98" s="100">
        <v>6.51</v>
      </c>
      <c r="F98" s="100">
        <v>3.78</v>
      </c>
      <c r="G98" s="100">
        <v>56.52</v>
      </c>
      <c r="H98" s="100">
        <v>24.99</v>
      </c>
      <c r="I98" s="100">
        <v>5.89</v>
      </c>
      <c r="J98" s="100">
        <v>0.48</v>
      </c>
      <c r="K98" s="100">
        <v>35.26</v>
      </c>
      <c r="L98" s="100">
        <v>29.86</v>
      </c>
      <c r="M98" s="100">
        <v>53.94</v>
      </c>
      <c r="N98" s="100">
        <v>0</v>
      </c>
      <c r="O98" s="100">
        <v>0</v>
      </c>
      <c r="P98" s="100">
        <v>0.5</v>
      </c>
      <c r="Q98" s="100">
        <v>4.74</v>
      </c>
      <c r="R98" s="6"/>
      <c r="S98" s="6"/>
      <c r="T98" s="156"/>
      <c r="U98" s="6"/>
    </row>
    <row r="99" spans="1:28" customFormat="1">
      <c r="A99" s="100" t="s">
        <v>1000</v>
      </c>
      <c r="B99" s="100">
        <v>18.149999999999999</v>
      </c>
      <c r="C99" s="100">
        <v>65.61</v>
      </c>
      <c r="D99" s="100">
        <v>50.18</v>
      </c>
      <c r="E99" s="100">
        <v>6.29</v>
      </c>
      <c r="F99" s="100">
        <v>3.47</v>
      </c>
      <c r="G99" s="100">
        <v>56.74</v>
      </c>
      <c r="H99" s="100">
        <v>25.04</v>
      </c>
      <c r="I99" s="100">
        <v>5.81</v>
      </c>
      <c r="J99" s="100">
        <v>0.36</v>
      </c>
      <c r="K99" s="100">
        <v>53.76</v>
      </c>
      <c r="L99" s="100">
        <v>29.74</v>
      </c>
      <c r="M99" s="100">
        <v>54.94</v>
      </c>
      <c r="N99" s="100">
        <v>0</v>
      </c>
      <c r="O99" s="100">
        <v>0</v>
      </c>
      <c r="P99" s="100">
        <v>0.49</v>
      </c>
      <c r="Q99" s="100">
        <v>4.8099999999999996</v>
      </c>
      <c r="R99" s="6"/>
      <c r="S99" s="6"/>
      <c r="T99" s="156"/>
      <c r="U99" s="6"/>
    </row>
    <row r="100" spans="1:28" customFormat="1">
      <c r="A100" s="100" t="s">
        <v>1001</v>
      </c>
      <c r="B100" s="100">
        <v>18.760000000000002</v>
      </c>
      <c r="C100" s="100">
        <v>65.12</v>
      </c>
      <c r="D100" s="100">
        <v>50.42</v>
      </c>
      <c r="E100" s="100">
        <v>6.03</v>
      </c>
      <c r="F100" s="100">
        <v>3.46</v>
      </c>
      <c r="G100" s="100">
        <v>56.74</v>
      </c>
      <c r="H100" s="100">
        <v>25.04</v>
      </c>
      <c r="I100" s="100">
        <v>5.63</v>
      </c>
      <c r="J100" s="100">
        <v>0.37</v>
      </c>
      <c r="K100" s="100">
        <v>35.92</v>
      </c>
      <c r="L100" s="100">
        <v>29.5</v>
      </c>
      <c r="M100" s="100">
        <v>54.98</v>
      </c>
      <c r="N100" s="100">
        <v>0</v>
      </c>
      <c r="O100" s="100">
        <v>0</v>
      </c>
      <c r="P100" s="100">
        <v>0.49</v>
      </c>
      <c r="Q100" s="100">
        <v>4.82</v>
      </c>
      <c r="R100" s="6"/>
      <c r="S100" s="6"/>
      <c r="T100" s="156"/>
      <c r="U100" s="6"/>
      <c r="AB100" s="161"/>
    </row>
    <row r="101" spans="1:28" customFormat="1">
      <c r="A101" s="100" t="s">
        <v>1002</v>
      </c>
      <c r="B101" s="100">
        <v>20.010000000000002</v>
      </c>
      <c r="C101" s="100">
        <v>64.7</v>
      </c>
      <c r="D101" s="100">
        <v>51.2</v>
      </c>
      <c r="E101" s="100">
        <v>6.06</v>
      </c>
      <c r="F101" s="100">
        <v>3.7</v>
      </c>
      <c r="G101" s="100">
        <v>56.74</v>
      </c>
      <c r="H101" s="100">
        <v>25.04</v>
      </c>
      <c r="I101" s="100">
        <v>5.41</v>
      </c>
      <c r="J101" s="100">
        <v>0.51</v>
      </c>
      <c r="K101" s="100">
        <v>52.43</v>
      </c>
      <c r="L101" s="100">
        <v>29.31</v>
      </c>
      <c r="M101" s="100">
        <v>55.59</v>
      </c>
      <c r="N101" s="100">
        <v>0</v>
      </c>
      <c r="O101" s="100">
        <v>0</v>
      </c>
      <c r="P101" s="100">
        <v>0.48</v>
      </c>
      <c r="Q101" s="100">
        <v>4.8600000000000003</v>
      </c>
      <c r="R101" s="6"/>
      <c r="S101" s="6"/>
      <c r="T101" s="156"/>
      <c r="U101" s="6"/>
    </row>
    <row r="102" spans="1:28" customFormat="1">
      <c r="A102" s="100" t="s">
        <v>1003</v>
      </c>
      <c r="B102" s="100">
        <v>21.39</v>
      </c>
      <c r="C102" s="100">
        <v>68.48</v>
      </c>
      <c r="D102" s="100">
        <v>54.29</v>
      </c>
      <c r="E102" s="100">
        <v>6.54</v>
      </c>
      <c r="F102" s="100">
        <v>3.24</v>
      </c>
      <c r="G102" s="100">
        <v>60.75</v>
      </c>
      <c r="H102" s="100">
        <v>23.33</v>
      </c>
      <c r="I102" s="100">
        <v>5.38</v>
      </c>
      <c r="J102" s="100">
        <v>0.28000000000000003</v>
      </c>
      <c r="K102" s="100">
        <v>39.32</v>
      </c>
      <c r="L102" s="100">
        <v>29.16</v>
      </c>
      <c r="M102" s="100">
        <v>56.58</v>
      </c>
      <c r="N102" s="100">
        <v>0</v>
      </c>
      <c r="O102" s="100">
        <v>0</v>
      </c>
      <c r="P102" s="100">
        <v>0.48</v>
      </c>
      <c r="Q102" s="100">
        <v>5.0599999999999996</v>
      </c>
      <c r="R102" s="6"/>
      <c r="S102" s="6"/>
      <c r="T102" s="156"/>
      <c r="U102" s="6"/>
    </row>
    <row r="103" spans="1:28" customFormat="1">
      <c r="A103" s="100" t="s">
        <v>1004</v>
      </c>
      <c r="B103" s="100">
        <v>23.16</v>
      </c>
      <c r="C103" s="100">
        <v>64.41</v>
      </c>
      <c r="D103" s="100">
        <v>53.57</v>
      </c>
      <c r="E103" s="100">
        <v>5.68</v>
      </c>
      <c r="F103" s="100">
        <v>3.85</v>
      </c>
      <c r="G103" s="100">
        <v>60.89</v>
      </c>
      <c r="H103" s="100">
        <v>23.33</v>
      </c>
      <c r="I103" s="100">
        <v>5.2</v>
      </c>
      <c r="J103" s="100">
        <v>0.51</v>
      </c>
      <c r="K103" s="100">
        <v>53.15</v>
      </c>
      <c r="L103" s="100">
        <v>29.07</v>
      </c>
      <c r="M103" s="100">
        <v>57.06</v>
      </c>
      <c r="N103" s="100">
        <v>0</v>
      </c>
      <c r="O103" s="100">
        <v>0</v>
      </c>
      <c r="P103" s="100">
        <v>0.46</v>
      </c>
      <c r="Q103" s="100">
        <v>5.03</v>
      </c>
      <c r="R103" s="6"/>
      <c r="S103" s="6"/>
      <c r="T103" s="156"/>
      <c r="U103" s="6"/>
    </row>
    <row r="104" spans="1:28" customFormat="1">
      <c r="A104" s="100" t="s">
        <v>1005</v>
      </c>
      <c r="B104" s="100">
        <v>24.03</v>
      </c>
      <c r="C104" s="100">
        <v>65.98</v>
      </c>
      <c r="D104" s="100">
        <v>55.1</v>
      </c>
      <c r="E104" s="100">
        <v>6.17</v>
      </c>
      <c r="F104" s="100">
        <v>3.5</v>
      </c>
      <c r="G104" s="100">
        <v>60.89</v>
      </c>
      <c r="H104" s="100">
        <v>23.33</v>
      </c>
      <c r="I104" s="100">
        <v>5.14</v>
      </c>
      <c r="J104" s="100">
        <v>0.23</v>
      </c>
      <c r="K104" s="100">
        <v>42.82</v>
      </c>
      <c r="L104" s="100">
        <v>28.81</v>
      </c>
      <c r="M104" s="100">
        <v>59.76</v>
      </c>
      <c r="N104" s="100">
        <v>0</v>
      </c>
      <c r="O104" s="100">
        <v>0</v>
      </c>
      <c r="P104" s="100">
        <v>0.46</v>
      </c>
      <c r="Q104" s="100">
        <v>5.14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3.95</v>
      </c>
      <c r="C106" s="158">
        <f>MIN(C9:C104)</f>
        <v>19.89</v>
      </c>
      <c r="D106" s="158">
        <f t="shared" ref="D106:Q106" si="0">MIN(D9:D104)</f>
        <v>15.38</v>
      </c>
      <c r="E106" s="158">
        <f t="shared" si="0"/>
        <v>0</v>
      </c>
      <c r="F106" s="158">
        <f t="shared" si="0"/>
        <v>1.79</v>
      </c>
      <c r="G106" s="158">
        <f t="shared" si="0"/>
        <v>36.57</v>
      </c>
      <c r="H106" s="158">
        <f t="shared" si="0"/>
        <v>17.829999999999998</v>
      </c>
      <c r="I106" s="158">
        <f t="shared" si="0"/>
        <v>0</v>
      </c>
      <c r="J106" s="158">
        <f t="shared" si="0"/>
        <v>0.05</v>
      </c>
      <c r="K106" s="158">
        <f t="shared" si="0"/>
        <v>-0.13</v>
      </c>
      <c r="L106" s="158">
        <f t="shared" si="0"/>
        <v>25.4</v>
      </c>
      <c r="M106" s="158">
        <f t="shared" si="0"/>
        <v>31.21</v>
      </c>
      <c r="N106" s="158">
        <f t="shared" si="0"/>
        <v>0</v>
      </c>
      <c r="O106" s="158">
        <f t="shared" si="0"/>
        <v>0</v>
      </c>
      <c r="P106" s="158">
        <f t="shared" si="0"/>
        <v>0.31</v>
      </c>
      <c r="Q106" s="158">
        <f t="shared" si="0"/>
        <v>0.08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69.489999999999995</v>
      </c>
      <c r="C107" s="157">
        <f t="shared" ref="C107:Q107" si="1">MAX(C9:C104)</f>
        <v>233.44</v>
      </c>
      <c r="D107" s="157">
        <f t="shared" si="1"/>
        <v>152.86000000000001</v>
      </c>
      <c r="E107" s="157">
        <f t="shared" si="1"/>
        <v>20.96</v>
      </c>
      <c r="F107" s="157">
        <f t="shared" si="1"/>
        <v>62.6</v>
      </c>
      <c r="G107" s="157">
        <f t="shared" si="1"/>
        <v>89.22</v>
      </c>
      <c r="H107" s="157">
        <f t="shared" si="1"/>
        <v>32.229999999999997</v>
      </c>
      <c r="I107" s="157">
        <f t="shared" si="1"/>
        <v>7.29</v>
      </c>
      <c r="J107" s="157">
        <f t="shared" si="1"/>
        <v>1.1299999999999999</v>
      </c>
      <c r="K107" s="157">
        <f t="shared" si="1"/>
        <v>311.95</v>
      </c>
      <c r="L107" s="157">
        <f t="shared" si="1"/>
        <v>39.29</v>
      </c>
      <c r="M107" s="157">
        <f t="shared" si="1"/>
        <v>85.97</v>
      </c>
      <c r="N107" s="157">
        <f t="shared" si="1"/>
        <v>821</v>
      </c>
      <c r="O107" s="157">
        <f t="shared" si="1"/>
        <v>0</v>
      </c>
      <c r="P107" s="157">
        <f t="shared" si="1"/>
        <v>1.18</v>
      </c>
      <c r="Q107" s="157">
        <f t="shared" si="1"/>
        <v>5.14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29.233736263736258</v>
      </c>
      <c r="C108" s="158">
        <f t="shared" ref="C108:Q108" si="2">AVERAGE(C9:C104)</f>
        <v>76.276043956043949</v>
      </c>
      <c r="D108" s="158">
        <f t="shared" si="2"/>
        <v>64.639120879120881</v>
      </c>
      <c r="E108" s="158">
        <f t="shared" si="2"/>
        <v>9.3520000000000003</v>
      </c>
      <c r="F108" s="158">
        <f t="shared" si="2"/>
        <v>12.569890109890107</v>
      </c>
      <c r="G108" s="158">
        <f t="shared" si="2"/>
        <v>55.904239130434782</v>
      </c>
      <c r="H108" s="158">
        <f t="shared" si="2"/>
        <v>23.613804347826068</v>
      </c>
      <c r="I108" s="158">
        <f t="shared" si="2"/>
        <v>2.654130434782608</v>
      </c>
      <c r="J108" s="158">
        <f t="shared" si="2"/>
        <v>0.38445652173913025</v>
      </c>
      <c r="K108" s="158">
        <f t="shared" si="2"/>
        <v>184.19293478260869</v>
      </c>
      <c r="L108" s="158">
        <f t="shared" si="2"/>
        <v>32.050760869565217</v>
      </c>
      <c r="M108" s="158">
        <f t="shared" si="2"/>
        <v>56.038260869565214</v>
      </c>
      <c r="N108" s="158">
        <f t="shared" si="2"/>
        <v>193.07717391304345</v>
      </c>
      <c r="O108" s="158">
        <f t="shared" si="2"/>
        <v>0</v>
      </c>
      <c r="P108" s="158">
        <f t="shared" si="2"/>
        <v>0.5356923076923078</v>
      </c>
      <c r="Q108" s="158">
        <f t="shared" si="2"/>
        <v>4.4273333333333333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22.975353831073065</v>
      </c>
      <c r="C109" s="158">
        <f t="shared" ref="C109:Q109" si="3">STDEV(C9:C104)</f>
        <v>33.502858381508048</v>
      </c>
      <c r="D109" s="158">
        <f t="shared" si="3"/>
        <v>30.04095861942681</v>
      </c>
      <c r="E109" s="158">
        <f t="shared" si="3"/>
        <v>5.0101285032469676</v>
      </c>
      <c r="F109" s="158">
        <f t="shared" si="3"/>
        <v>16.128731195843955</v>
      </c>
      <c r="G109" s="158">
        <f t="shared" si="3"/>
        <v>13.51953362822128</v>
      </c>
      <c r="H109" s="158">
        <f t="shared" si="3"/>
        <v>3.0457896871654224</v>
      </c>
      <c r="I109" s="158">
        <f t="shared" si="3"/>
        <v>2.775138904423303</v>
      </c>
      <c r="J109" s="158">
        <f t="shared" si="3"/>
        <v>0.2386425168240576</v>
      </c>
      <c r="K109" s="158">
        <f t="shared" si="3"/>
        <v>77.689385623424556</v>
      </c>
      <c r="L109" s="158">
        <f t="shared" si="3"/>
        <v>4.6004818748312024</v>
      </c>
      <c r="M109" s="158">
        <f t="shared" si="3"/>
        <v>17.469884958369715</v>
      </c>
      <c r="N109" s="158">
        <f t="shared" si="3"/>
        <v>274.18773872412817</v>
      </c>
      <c r="O109" s="158">
        <f t="shared" si="3"/>
        <v>0</v>
      </c>
      <c r="P109" s="158">
        <f t="shared" si="3"/>
        <v>0.16877286169924854</v>
      </c>
      <c r="Q109" s="158">
        <f t="shared" si="3"/>
        <v>0.7215746669610742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O110" si="4">COUNT(B9:B104)</f>
        <v>91</v>
      </c>
      <c r="C110" s="157">
        <f t="shared" si="4"/>
        <v>91</v>
      </c>
      <c r="D110" s="157">
        <f t="shared" si="4"/>
        <v>91</v>
      </c>
      <c r="E110" s="157">
        <f t="shared" si="4"/>
        <v>85</v>
      </c>
      <c r="F110" s="157">
        <f t="shared" si="4"/>
        <v>91</v>
      </c>
      <c r="G110" s="157">
        <f t="shared" si="4"/>
        <v>92</v>
      </c>
      <c r="H110" s="157">
        <f t="shared" si="4"/>
        <v>92</v>
      </c>
      <c r="I110" s="157">
        <f t="shared" si="4"/>
        <v>92</v>
      </c>
      <c r="J110" s="157">
        <f t="shared" si="4"/>
        <v>92</v>
      </c>
      <c r="K110" s="157">
        <f t="shared" si="4"/>
        <v>92</v>
      </c>
      <c r="L110" s="157">
        <f t="shared" si="4"/>
        <v>92</v>
      </c>
      <c r="M110" s="157">
        <f t="shared" si="4"/>
        <v>92</v>
      </c>
      <c r="N110" s="157">
        <f t="shared" si="4"/>
        <v>92</v>
      </c>
      <c r="O110" s="157">
        <f t="shared" si="4"/>
        <v>92</v>
      </c>
      <c r="P110" s="157">
        <v>92</v>
      </c>
      <c r="Q110" s="157">
        <v>92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&lt;90%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LESS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Q111" sqref="Q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09/05/2023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1006</v>
      </c>
      <c r="B9" s="100">
        <v>24.58</v>
      </c>
      <c r="C9" s="100">
        <v>65.33</v>
      </c>
      <c r="D9" s="100">
        <v>55.44</v>
      </c>
      <c r="E9" s="100">
        <v>5.68</v>
      </c>
      <c r="F9" s="100">
        <v>3.6</v>
      </c>
      <c r="G9" s="100">
        <v>60.38</v>
      </c>
      <c r="H9" s="100">
        <v>27.01</v>
      </c>
      <c r="I9" s="100">
        <v>4.95</v>
      </c>
      <c r="J9" s="100">
        <v>0.08</v>
      </c>
      <c r="K9" s="100">
        <v>342.42</v>
      </c>
      <c r="L9" s="100">
        <v>28.04</v>
      </c>
      <c r="M9" s="100">
        <v>65.489999999999995</v>
      </c>
      <c r="N9" s="100">
        <v>0</v>
      </c>
      <c r="O9" s="100">
        <v>0</v>
      </c>
      <c r="P9" s="100">
        <v>0.44</v>
      </c>
      <c r="Q9" s="100">
        <v>5.13</v>
      </c>
      <c r="R9" s="6"/>
      <c r="S9" s="6"/>
      <c r="T9" s="156"/>
      <c r="U9" s="6"/>
    </row>
    <row r="10" spans="1:21" customFormat="1">
      <c r="A10" s="100" t="s">
        <v>1007</v>
      </c>
      <c r="B10" s="100">
        <v>24.88</v>
      </c>
      <c r="C10" s="100">
        <v>64.39</v>
      </c>
      <c r="D10" s="100">
        <v>55.29</v>
      </c>
      <c r="E10" s="100">
        <v>5.15</v>
      </c>
      <c r="F10" s="100">
        <v>3.56</v>
      </c>
      <c r="G10" s="100">
        <v>60.36</v>
      </c>
      <c r="H10" s="100">
        <v>27.01</v>
      </c>
      <c r="I10" s="100">
        <v>4.9000000000000004</v>
      </c>
      <c r="J10" s="100">
        <v>0.03</v>
      </c>
      <c r="K10" s="100">
        <v>175.7</v>
      </c>
      <c r="L10" s="100">
        <v>28.05</v>
      </c>
      <c r="M10" s="100">
        <v>67.930000000000007</v>
      </c>
      <c r="N10" s="100">
        <v>0</v>
      </c>
      <c r="O10" s="100">
        <v>0</v>
      </c>
      <c r="P10" s="100">
        <v>0.43</v>
      </c>
      <c r="Q10" s="100">
        <v>5.14</v>
      </c>
      <c r="R10" s="6"/>
      <c r="S10" s="6"/>
      <c r="T10" s="156"/>
      <c r="U10" s="6"/>
    </row>
    <row r="11" spans="1:21" customFormat="1">
      <c r="A11" s="100" t="s">
        <v>1008</v>
      </c>
      <c r="B11" s="100">
        <v>25.31</v>
      </c>
      <c r="C11" s="100">
        <v>64.37</v>
      </c>
      <c r="D11" s="100">
        <v>55.38</v>
      </c>
      <c r="E11" s="100">
        <v>5.22</v>
      </c>
      <c r="F11" s="100">
        <v>3.47</v>
      </c>
      <c r="G11" s="100">
        <v>60.36</v>
      </c>
      <c r="H11" s="100">
        <v>27.01</v>
      </c>
      <c r="I11" s="100">
        <v>4.8099999999999996</v>
      </c>
      <c r="J11" s="100">
        <v>0.21</v>
      </c>
      <c r="K11" s="100">
        <v>179.62</v>
      </c>
      <c r="L11" s="100">
        <v>27.7</v>
      </c>
      <c r="M11" s="100">
        <v>71.650000000000006</v>
      </c>
      <c r="N11" s="100">
        <v>0</v>
      </c>
      <c r="O11" s="100">
        <v>0</v>
      </c>
      <c r="P11" s="100">
        <v>0.43</v>
      </c>
      <c r="Q11" s="100">
        <v>5.14</v>
      </c>
      <c r="R11" s="6"/>
      <c r="S11" s="6"/>
      <c r="T11" s="156"/>
      <c r="U11" s="6"/>
    </row>
    <row r="12" spans="1:21" customFormat="1">
      <c r="A12" s="100" t="s">
        <v>1009</v>
      </c>
      <c r="B12" s="100">
        <v>25.43</v>
      </c>
      <c r="C12" s="100">
        <v>62.2</v>
      </c>
      <c r="D12" s="100">
        <v>54.13</v>
      </c>
      <c r="E12" s="100">
        <v>5.08</v>
      </c>
      <c r="F12" s="100">
        <v>3.59</v>
      </c>
      <c r="G12" s="100">
        <v>60.36</v>
      </c>
      <c r="H12" s="100">
        <v>27.01</v>
      </c>
      <c r="I12" s="100">
        <v>4.67</v>
      </c>
      <c r="J12" s="100">
        <v>0.32</v>
      </c>
      <c r="K12" s="100">
        <v>194.11</v>
      </c>
      <c r="L12" s="100">
        <v>27.25</v>
      </c>
      <c r="M12" s="100">
        <v>71.25</v>
      </c>
      <c r="N12" s="100">
        <v>0</v>
      </c>
      <c r="O12" s="100">
        <v>0</v>
      </c>
      <c r="P12" s="100">
        <v>0.42</v>
      </c>
      <c r="Q12" s="100">
        <v>5.05</v>
      </c>
      <c r="R12" s="6"/>
      <c r="S12" s="6"/>
      <c r="T12" s="156"/>
      <c r="U12" s="6"/>
    </row>
    <row r="13" spans="1:21" customFormat="1">
      <c r="A13" s="100" t="s">
        <v>1010</v>
      </c>
      <c r="B13" s="100">
        <v>25.29</v>
      </c>
      <c r="C13" s="100">
        <v>61.47</v>
      </c>
      <c r="D13" s="100">
        <v>53.59</v>
      </c>
      <c r="E13" s="100">
        <v>5.3</v>
      </c>
      <c r="F13" s="100">
        <v>3.62</v>
      </c>
      <c r="G13" s="100">
        <v>55.38</v>
      </c>
      <c r="H13" s="100">
        <v>22.7</v>
      </c>
      <c r="I13" s="100">
        <v>4.6500000000000004</v>
      </c>
      <c r="J13" s="100">
        <v>0.18</v>
      </c>
      <c r="K13" s="100">
        <v>179.43</v>
      </c>
      <c r="L13" s="100">
        <v>27</v>
      </c>
      <c r="M13" s="100">
        <v>74.430000000000007</v>
      </c>
      <c r="N13" s="100">
        <v>0</v>
      </c>
      <c r="O13" s="100">
        <v>0</v>
      </c>
      <c r="P13" s="100">
        <v>0.4</v>
      </c>
      <c r="Q13" s="100">
        <v>5.09</v>
      </c>
      <c r="R13" s="6"/>
      <c r="S13" s="6"/>
      <c r="T13" s="156"/>
      <c r="U13" s="6"/>
    </row>
    <row r="14" spans="1:21" customFormat="1">
      <c r="A14" s="100" t="s">
        <v>1011</v>
      </c>
      <c r="B14" s="100">
        <v>25.1</v>
      </c>
      <c r="C14" s="100">
        <v>61.35</v>
      </c>
      <c r="D14" s="100">
        <v>53.34</v>
      </c>
      <c r="E14" s="100">
        <v>4.71</v>
      </c>
      <c r="F14" s="100">
        <v>3.43</v>
      </c>
      <c r="G14" s="100">
        <v>55.21</v>
      </c>
      <c r="H14" s="100">
        <v>22.65</v>
      </c>
      <c r="I14" s="100">
        <v>4.58</v>
      </c>
      <c r="J14" s="100">
        <v>0.23</v>
      </c>
      <c r="K14" s="100">
        <v>140.5</v>
      </c>
      <c r="L14" s="100">
        <v>26.76</v>
      </c>
      <c r="M14" s="100">
        <v>75</v>
      </c>
      <c r="N14" s="100">
        <v>0</v>
      </c>
      <c r="O14" s="100">
        <v>0</v>
      </c>
      <c r="P14" s="100">
        <v>0.4</v>
      </c>
      <c r="Q14" s="100">
        <v>5.07</v>
      </c>
      <c r="R14" s="6"/>
      <c r="S14" s="6"/>
      <c r="T14" s="156"/>
      <c r="U14" s="6"/>
    </row>
    <row r="15" spans="1:21" customFormat="1">
      <c r="A15" s="100" t="s">
        <v>1012</v>
      </c>
      <c r="B15" s="100">
        <v>24.86</v>
      </c>
      <c r="C15" s="100">
        <v>60.51</v>
      </c>
      <c r="D15" s="100">
        <v>52.75</v>
      </c>
      <c r="E15" s="100">
        <v>5.15</v>
      </c>
      <c r="F15" s="100">
        <v>3.43</v>
      </c>
      <c r="G15" s="100">
        <v>55.21</v>
      </c>
      <c r="H15" s="100">
        <v>22.65</v>
      </c>
      <c r="I15" s="100">
        <v>4.53</v>
      </c>
      <c r="J15" s="100">
        <v>0.11</v>
      </c>
      <c r="K15" s="100">
        <v>181.07</v>
      </c>
      <c r="L15" s="100">
        <v>26.8</v>
      </c>
      <c r="M15" s="100">
        <v>72.95</v>
      </c>
      <c r="N15" s="100">
        <v>0</v>
      </c>
      <c r="O15" s="100">
        <v>0</v>
      </c>
      <c r="P15" s="100">
        <v>0.39</v>
      </c>
      <c r="Q15" s="100">
        <v>4.96</v>
      </c>
      <c r="R15" s="6"/>
      <c r="S15" s="6"/>
      <c r="T15" s="156"/>
      <c r="U15" s="6"/>
    </row>
    <row r="16" spans="1:21" customFormat="1">
      <c r="A16" s="100" t="s">
        <v>1013</v>
      </c>
      <c r="B16" s="100">
        <v>24.67</v>
      </c>
      <c r="C16" s="100">
        <v>59.92</v>
      </c>
      <c r="D16" s="100">
        <v>52.59</v>
      </c>
      <c r="E16" s="100">
        <v>5.46</v>
      </c>
      <c r="F16" s="100">
        <v>3.52</v>
      </c>
      <c r="G16" s="100">
        <v>55.21</v>
      </c>
      <c r="H16" s="100">
        <v>22.65</v>
      </c>
      <c r="I16" s="100">
        <v>4.47</v>
      </c>
      <c r="J16" s="100">
        <v>0.08</v>
      </c>
      <c r="K16" s="100">
        <v>37.76</v>
      </c>
      <c r="L16" s="100">
        <v>26.95</v>
      </c>
      <c r="M16" s="100">
        <v>71.349999999999994</v>
      </c>
      <c r="N16" s="100">
        <v>0</v>
      </c>
      <c r="O16" s="100">
        <v>0</v>
      </c>
      <c r="P16" s="100">
        <v>0.39</v>
      </c>
      <c r="Q16" s="100">
        <v>5.01</v>
      </c>
      <c r="R16" s="6"/>
      <c r="S16" s="6"/>
      <c r="T16" s="156"/>
      <c r="U16" s="6"/>
    </row>
    <row r="17" spans="1:21" customFormat="1">
      <c r="A17" s="100" t="s">
        <v>1014</v>
      </c>
      <c r="B17" s="100">
        <v>24.85</v>
      </c>
      <c r="C17" s="100">
        <v>61.02</v>
      </c>
      <c r="D17" s="100">
        <v>54.36</v>
      </c>
      <c r="E17" s="100">
        <v>6.27</v>
      </c>
      <c r="F17" s="100">
        <v>3.32</v>
      </c>
      <c r="G17" s="100">
        <v>53.67</v>
      </c>
      <c r="H17" s="100">
        <v>22.19</v>
      </c>
      <c r="I17" s="100">
        <v>4.38</v>
      </c>
      <c r="J17" s="100">
        <v>0.17</v>
      </c>
      <c r="K17" s="100">
        <v>186.27</v>
      </c>
      <c r="L17" s="100">
        <v>27.04</v>
      </c>
      <c r="M17" s="100">
        <v>71.88</v>
      </c>
      <c r="N17" s="100">
        <v>0</v>
      </c>
      <c r="O17" s="100">
        <v>0</v>
      </c>
      <c r="P17" s="100">
        <v>0.39</v>
      </c>
      <c r="Q17" s="100">
        <v>5.12</v>
      </c>
      <c r="R17" s="6"/>
      <c r="S17" s="6"/>
      <c r="T17" s="156"/>
      <c r="U17" s="6"/>
    </row>
    <row r="18" spans="1:21" customFormat="1">
      <c r="A18" s="100" t="s">
        <v>1015</v>
      </c>
      <c r="B18" s="100">
        <v>26.34</v>
      </c>
      <c r="C18" s="100">
        <v>61.54</v>
      </c>
      <c r="D18" s="100">
        <v>56.06</v>
      </c>
      <c r="E18" s="100">
        <v>5.92</v>
      </c>
      <c r="F18" s="100">
        <v>3.43</v>
      </c>
      <c r="G18" s="100">
        <v>53.62</v>
      </c>
      <c r="H18" s="100">
        <v>22.19</v>
      </c>
      <c r="I18" s="100">
        <v>4.3600000000000003</v>
      </c>
      <c r="J18" s="100">
        <v>0.05</v>
      </c>
      <c r="K18" s="100">
        <v>55.48</v>
      </c>
      <c r="L18" s="100">
        <v>27.14</v>
      </c>
      <c r="M18" s="100">
        <v>69.56</v>
      </c>
      <c r="N18" s="100">
        <v>0</v>
      </c>
      <c r="O18" s="100">
        <v>0</v>
      </c>
      <c r="P18" s="100">
        <v>0.4</v>
      </c>
      <c r="Q18" s="100">
        <v>5.18</v>
      </c>
      <c r="R18" s="6"/>
      <c r="S18" s="6"/>
      <c r="T18" s="156"/>
      <c r="U18" s="6"/>
    </row>
    <row r="19" spans="1:21" customFormat="1">
      <c r="A19" s="100" t="s">
        <v>1016</v>
      </c>
      <c r="B19" s="100">
        <v>28.13</v>
      </c>
      <c r="C19" s="100">
        <v>60.3</v>
      </c>
      <c r="D19" s="100">
        <v>56.63</v>
      </c>
      <c r="E19" s="100">
        <v>5.93</v>
      </c>
      <c r="F19" s="100">
        <v>3.56</v>
      </c>
      <c r="G19" s="100">
        <v>53.62</v>
      </c>
      <c r="H19" s="100">
        <v>22.19</v>
      </c>
      <c r="I19" s="100">
        <v>4.2699999999999996</v>
      </c>
      <c r="J19" s="100">
        <v>0.37</v>
      </c>
      <c r="K19" s="100">
        <v>48.8</v>
      </c>
      <c r="L19" s="100">
        <v>27.45</v>
      </c>
      <c r="M19" s="100">
        <v>66.77</v>
      </c>
      <c r="N19" s="100">
        <v>0</v>
      </c>
      <c r="O19" s="100">
        <v>0</v>
      </c>
      <c r="P19" s="100">
        <v>0.38</v>
      </c>
      <c r="Q19" s="100">
        <v>5.2</v>
      </c>
      <c r="R19" s="6"/>
      <c r="S19" s="6"/>
      <c r="T19" s="156"/>
      <c r="U19" s="6"/>
    </row>
    <row r="20" spans="1:21" customFormat="1">
      <c r="A20" s="100" t="s">
        <v>1017</v>
      </c>
      <c r="B20" s="100">
        <v>29.65</v>
      </c>
      <c r="C20" s="100">
        <v>60.47</v>
      </c>
      <c r="D20" s="100">
        <v>57.51</v>
      </c>
      <c r="E20" s="100">
        <v>5.3</v>
      </c>
      <c r="F20" s="100">
        <v>3.52</v>
      </c>
      <c r="G20" s="100">
        <v>53.62</v>
      </c>
      <c r="H20" s="100">
        <v>22.19</v>
      </c>
      <c r="I20" s="100">
        <v>4.3099999999999996</v>
      </c>
      <c r="J20" s="100">
        <v>0.34</v>
      </c>
      <c r="K20" s="100">
        <v>59.36</v>
      </c>
      <c r="L20" s="100">
        <v>27.47</v>
      </c>
      <c r="M20" s="100">
        <v>66.44</v>
      </c>
      <c r="N20" s="100">
        <v>0</v>
      </c>
      <c r="O20" s="100">
        <v>0</v>
      </c>
      <c r="P20" s="100">
        <v>0.38</v>
      </c>
      <c r="Q20" s="100">
        <v>5.31</v>
      </c>
      <c r="R20" s="6"/>
      <c r="S20" s="6"/>
      <c r="T20" s="156"/>
      <c r="U20" s="6"/>
    </row>
    <row r="21" spans="1:21" customFormat="1">
      <c r="A21" s="100" t="s">
        <v>1018</v>
      </c>
      <c r="B21" s="100">
        <v>30.64</v>
      </c>
      <c r="C21" s="100">
        <v>61.73</v>
      </c>
      <c r="D21" s="100">
        <v>59.03</v>
      </c>
      <c r="E21" s="100">
        <v>5.69</v>
      </c>
      <c r="F21" s="100">
        <v>3.47</v>
      </c>
      <c r="G21" s="100">
        <v>58</v>
      </c>
      <c r="H21" s="100">
        <v>24.06</v>
      </c>
      <c r="I21" s="100">
        <v>4.33</v>
      </c>
      <c r="J21" s="100">
        <v>0.41</v>
      </c>
      <c r="K21" s="100">
        <v>60.26</v>
      </c>
      <c r="L21" s="100">
        <v>27.54</v>
      </c>
      <c r="M21" s="100">
        <v>65.459999999999994</v>
      </c>
      <c r="N21" s="100">
        <v>0</v>
      </c>
      <c r="O21" s="100">
        <v>0</v>
      </c>
      <c r="P21" s="100">
        <v>0.39</v>
      </c>
      <c r="Q21" s="100">
        <v>5.39</v>
      </c>
      <c r="R21" s="6"/>
      <c r="S21" s="6"/>
      <c r="T21" s="156"/>
      <c r="U21" s="6"/>
    </row>
    <row r="22" spans="1:21" customFormat="1">
      <c r="A22" s="100" t="s">
        <v>1019</v>
      </c>
      <c r="B22" s="100">
        <v>31.71</v>
      </c>
      <c r="C22" s="100">
        <v>60.73</v>
      </c>
      <c r="D22" s="100">
        <v>58.59</v>
      </c>
      <c r="E22" s="100">
        <v>5.67</v>
      </c>
      <c r="F22" s="100">
        <v>3.67</v>
      </c>
      <c r="G22" s="100">
        <v>58.15</v>
      </c>
      <c r="H22" s="100">
        <v>24.06</v>
      </c>
      <c r="I22" s="100">
        <v>4.28</v>
      </c>
      <c r="J22" s="100">
        <v>0.48</v>
      </c>
      <c r="K22" s="100">
        <v>132.25</v>
      </c>
      <c r="L22" s="100">
        <v>27.41</v>
      </c>
      <c r="M22" s="100">
        <v>69.81</v>
      </c>
      <c r="N22" s="100">
        <v>0</v>
      </c>
      <c r="O22" s="100">
        <v>0</v>
      </c>
      <c r="P22" s="100">
        <v>0.38</v>
      </c>
      <c r="Q22" s="100">
        <v>5.34</v>
      </c>
      <c r="R22" s="6"/>
      <c r="S22" s="6"/>
      <c r="T22" s="156"/>
      <c r="U22" s="6"/>
    </row>
    <row r="23" spans="1:21" customFormat="1">
      <c r="A23" s="100" t="s">
        <v>1020</v>
      </c>
      <c r="B23" s="100">
        <v>31.81</v>
      </c>
      <c r="C23" s="100">
        <v>59.52</v>
      </c>
      <c r="D23" s="100">
        <v>57.75</v>
      </c>
      <c r="E23" s="100">
        <v>5.68</v>
      </c>
      <c r="F23" s="100">
        <v>3.69</v>
      </c>
      <c r="G23" s="100">
        <v>58.15</v>
      </c>
      <c r="H23" s="100">
        <v>24.06</v>
      </c>
      <c r="I23" s="100">
        <v>4.58</v>
      </c>
      <c r="J23" s="100">
        <v>0.17</v>
      </c>
      <c r="K23" s="100">
        <v>154.21</v>
      </c>
      <c r="L23" s="100">
        <v>27</v>
      </c>
      <c r="M23" s="100">
        <v>72.97</v>
      </c>
      <c r="N23" s="100">
        <v>0</v>
      </c>
      <c r="O23" s="100">
        <v>0</v>
      </c>
      <c r="P23" s="100">
        <v>0.37</v>
      </c>
      <c r="Q23" s="100">
        <v>5.31</v>
      </c>
      <c r="R23" s="6"/>
      <c r="S23" s="6"/>
      <c r="T23" s="156"/>
      <c r="U23" s="6"/>
    </row>
    <row r="24" spans="1:21" customFormat="1">
      <c r="A24" s="100" t="s">
        <v>1021</v>
      </c>
      <c r="B24" s="100">
        <v>31.55</v>
      </c>
      <c r="C24" s="100">
        <v>59.63</v>
      </c>
      <c r="D24" s="100">
        <v>57.44</v>
      </c>
      <c r="E24" s="100">
        <v>5.48</v>
      </c>
      <c r="F24" s="100">
        <v>3.33</v>
      </c>
      <c r="G24" s="100">
        <v>58.15</v>
      </c>
      <c r="H24" s="100">
        <v>24.06</v>
      </c>
      <c r="I24" s="100">
        <v>4.83</v>
      </c>
      <c r="J24" s="100">
        <v>0.2</v>
      </c>
      <c r="K24" s="100">
        <v>161.57</v>
      </c>
      <c r="L24" s="100">
        <v>26.67</v>
      </c>
      <c r="M24" s="100">
        <v>76.349999999999994</v>
      </c>
      <c r="N24" s="100">
        <v>0</v>
      </c>
      <c r="O24" s="100">
        <v>0</v>
      </c>
      <c r="P24" s="100">
        <v>0.37</v>
      </c>
      <c r="Q24" s="100">
        <v>5.31</v>
      </c>
      <c r="R24" s="6"/>
      <c r="S24" s="6"/>
      <c r="T24" s="156"/>
      <c r="U24" s="6"/>
    </row>
    <row r="25" spans="1:21" customFormat="1">
      <c r="A25" s="100" t="s">
        <v>1022</v>
      </c>
      <c r="B25" s="100">
        <v>31.1</v>
      </c>
      <c r="C25" s="100">
        <v>59.48</v>
      </c>
      <c r="D25" s="100">
        <v>57.31</v>
      </c>
      <c r="E25" s="100">
        <v>5.7</v>
      </c>
      <c r="F25" s="100">
        <v>3.42</v>
      </c>
      <c r="G25" s="100">
        <v>58.74</v>
      </c>
      <c r="H25" s="100">
        <v>25.8</v>
      </c>
      <c r="I25" s="100">
        <v>4.9400000000000004</v>
      </c>
      <c r="J25" s="100">
        <v>0.26</v>
      </c>
      <c r="K25" s="100">
        <v>185.09</v>
      </c>
      <c r="L25" s="100">
        <v>25.99</v>
      </c>
      <c r="M25" s="100">
        <v>80.2</v>
      </c>
      <c r="N25" s="100">
        <v>0</v>
      </c>
      <c r="O25" s="100">
        <v>0</v>
      </c>
      <c r="P25" s="100">
        <v>0.38</v>
      </c>
      <c r="Q25" s="100">
        <v>5.25</v>
      </c>
      <c r="R25" s="6"/>
      <c r="S25" s="6"/>
      <c r="T25" s="156"/>
      <c r="U25" s="6"/>
    </row>
    <row r="26" spans="1:21" customFormat="1">
      <c r="A26" s="100" t="s">
        <v>1023</v>
      </c>
      <c r="B26" s="100">
        <v>31.03</v>
      </c>
      <c r="C26" s="100">
        <v>57.47</v>
      </c>
      <c r="D26" s="100">
        <v>56.29</v>
      </c>
      <c r="E26" s="100">
        <v>5.42</v>
      </c>
      <c r="F26" s="100">
        <v>3.7</v>
      </c>
      <c r="G26" s="100">
        <v>58.76</v>
      </c>
      <c r="H26" s="100">
        <v>25.8</v>
      </c>
      <c r="I26" s="100">
        <v>4.97</v>
      </c>
      <c r="J26" s="100">
        <v>0.27</v>
      </c>
      <c r="K26" s="100">
        <v>201.4</v>
      </c>
      <c r="L26" s="100">
        <v>25.92</v>
      </c>
      <c r="M26" s="100">
        <v>80.34</v>
      </c>
      <c r="N26" s="100">
        <v>0</v>
      </c>
      <c r="O26" s="100">
        <v>0</v>
      </c>
      <c r="P26" s="100">
        <v>0.36</v>
      </c>
      <c r="Q26" s="100">
        <v>5.2</v>
      </c>
      <c r="R26" s="6"/>
      <c r="S26" s="6"/>
      <c r="T26" s="156"/>
      <c r="U26" s="6"/>
    </row>
    <row r="27" spans="1:21" customFormat="1">
      <c r="A27" s="100" t="s">
        <v>1024</v>
      </c>
      <c r="B27" s="100">
        <v>31.07</v>
      </c>
      <c r="C27" s="100">
        <v>57.85</v>
      </c>
      <c r="D27" s="100">
        <v>56.29</v>
      </c>
      <c r="E27" s="100">
        <v>5.53</v>
      </c>
      <c r="F27" s="100">
        <v>3.47</v>
      </c>
      <c r="G27" s="100">
        <v>58.76</v>
      </c>
      <c r="H27" s="100">
        <v>25.8</v>
      </c>
      <c r="I27" s="100">
        <v>4.99</v>
      </c>
      <c r="J27" s="100">
        <v>0.17</v>
      </c>
      <c r="K27" s="100">
        <v>212.42</v>
      </c>
      <c r="L27" s="100">
        <v>25.64</v>
      </c>
      <c r="M27" s="100">
        <v>79.400000000000006</v>
      </c>
      <c r="N27" s="100">
        <v>0</v>
      </c>
      <c r="O27" s="100">
        <v>0</v>
      </c>
      <c r="P27" s="100">
        <v>0.36</v>
      </c>
      <c r="Q27" s="100">
        <v>5.21</v>
      </c>
      <c r="R27" s="6"/>
      <c r="S27" s="6"/>
      <c r="T27" s="156"/>
      <c r="U27" s="6"/>
    </row>
    <row r="28" spans="1:21" customFormat="1">
      <c r="A28" s="100" t="s">
        <v>1025</v>
      </c>
      <c r="B28" s="100">
        <v>30.82</v>
      </c>
      <c r="C28" s="100">
        <v>58.17</v>
      </c>
      <c r="D28" s="100">
        <v>56.23</v>
      </c>
      <c r="E28" s="100">
        <v>5.79</v>
      </c>
      <c r="F28" s="100">
        <v>3.49</v>
      </c>
      <c r="G28" s="100">
        <v>58.76</v>
      </c>
      <c r="H28" s="100">
        <v>25.8</v>
      </c>
      <c r="I28" s="100">
        <v>4.9800000000000004</v>
      </c>
      <c r="J28" s="100">
        <v>0.19</v>
      </c>
      <c r="K28" s="100">
        <v>179.36</v>
      </c>
      <c r="L28" s="100">
        <v>25.64</v>
      </c>
      <c r="M28" s="100">
        <v>80.739999999999995</v>
      </c>
      <c r="N28" s="100">
        <v>0</v>
      </c>
      <c r="O28" s="100">
        <v>0</v>
      </c>
      <c r="P28" s="100">
        <v>0.36</v>
      </c>
      <c r="Q28" s="100">
        <v>5.19</v>
      </c>
      <c r="R28" s="6"/>
      <c r="S28" s="6"/>
      <c r="T28" s="156"/>
      <c r="U28" s="6"/>
    </row>
    <row r="29" spans="1:21" customFormat="1">
      <c r="A29" s="100" t="s">
        <v>1026</v>
      </c>
      <c r="B29" s="100">
        <v>30.54</v>
      </c>
      <c r="C29" s="100">
        <v>57.96</v>
      </c>
      <c r="D29" s="100">
        <v>56.03</v>
      </c>
      <c r="E29" s="100">
        <v>5.45</v>
      </c>
      <c r="F29" s="100">
        <v>3.51</v>
      </c>
      <c r="G29" s="100">
        <v>60.79</v>
      </c>
      <c r="H29" s="100">
        <v>26.31</v>
      </c>
      <c r="I29" s="100">
        <v>4.95</v>
      </c>
      <c r="J29" s="100">
        <v>0.11</v>
      </c>
      <c r="K29" s="100">
        <v>130.28</v>
      </c>
      <c r="L29" s="100">
        <v>25.77</v>
      </c>
      <c r="M29" s="100">
        <v>77.53</v>
      </c>
      <c r="N29" s="100">
        <v>0</v>
      </c>
      <c r="O29" s="100">
        <v>0</v>
      </c>
      <c r="P29" s="100">
        <v>0.36</v>
      </c>
      <c r="Q29" s="100">
        <v>5.2</v>
      </c>
      <c r="R29" s="6"/>
      <c r="S29" s="6"/>
      <c r="T29" s="156"/>
      <c r="U29" s="6"/>
    </row>
    <row r="30" spans="1:21" customFormat="1">
      <c r="A30" s="100" t="s">
        <v>1027</v>
      </c>
      <c r="B30" s="100">
        <v>30.42</v>
      </c>
      <c r="C30" s="100">
        <v>56.76</v>
      </c>
      <c r="D30" s="100">
        <v>55.38</v>
      </c>
      <c r="E30" s="100">
        <v>4.96</v>
      </c>
      <c r="F30" s="100">
        <v>3.62</v>
      </c>
      <c r="G30" s="100">
        <v>60.86</v>
      </c>
      <c r="H30" s="100">
        <v>26.31</v>
      </c>
      <c r="I30" s="100">
        <v>4.8899999999999997</v>
      </c>
      <c r="J30" s="100">
        <v>0.09</v>
      </c>
      <c r="K30" s="100">
        <v>307.55</v>
      </c>
      <c r="L30" s="100">
        <v>25.91</v>
      </c>
      <c r="M30" s="100">
        <v>76.16</v>
      </c>
      <c r="N30" s="100">
        <v>4.4000000000000004</v>
      </c>
      <c r="O30" s="100">
        <v>0</v>
      </c>
      <c r="P30" s="100">
        <v>0.36</v>
      </c>
      <c r="Q30" s="100">
        <v>5.15</v>
      </c>
      <c r="R30" s="6"/>
      <c r="S30" s="6"/>
      <c r="T30" s="156"/>
      <c r="U30" s="6"/>
    </row>
    <row r="31" spans="1:21" customFormat="1">
      <c r="A31" s="100" t="s">
        <v>1028</v>
      </c>
      <c r="B31" s="100">
        <v>30.39</v>
      </c>
      <c r="C31" s="100">
        <v>57.3</v>
      </c>
      <c r="D31" s="100">
        <v>56.05</v>
      </c>
      <c r="E31" s="100">
        <v>5.46</v>
      </c>
      <c r="F31" s="100">
        <v>3.49</v>
      </c>
      <c r="G31" s="100">
        <v>60.86</v>
      </c>
      <c r="H31" s="100">
        <v>26.31</v>
      </c>
      <c r="I31" s="100">
        <v>4.8899999999999997</v>
      </c>
      <c r="J31" s="100">
        <v>0.09</v>
      </c>
      <c r="K31" s="100">
        <v>40.01</v>
      </c>
      <c r="L31" s="100">
        <v>26.15</v>
      </c>
      <c r="M31" s="100">
        <v>74.790000000000006</v>
      </c>
      <c r="N31" s="100">
        <v>14.7</v>
      </c>
      <c r="O31" s="100">
        <v>0</v>
      </c>
      <c r="P31" s="100">
        <v>0.37</v>
      </c>
      <c r="Q31" s="100">
        <v>5.21</v>
      </c>
      <c r="R31" s="6"/>
      <c r="S31" s="6"/>
      <c r="T31" s="156"/>
      <c r="U31" s="6"/>
    </row>
    <row r="32" spans="1:21" customFormat="1">
      <c r="A32" s="100" t="s">
        <v>1029</v>
      </c>
      <c r="B32" s="100">
        <v>30.88</v>
      </c>
      <c r="C32" s="100">
        <v>58.37</v>
      </c>
      <c r="D32" s="100">
        <v>57.65</v>
      </c>
      <c r="E32" s="100">
        <v>5.5</v>
      </c>
      <c r="F32" s="100">
        <v>3.55</v>
      </c>
      <c r="G32" s="100">
        <v>60.86</v>
      </c>
      <c r="H32" s="100">
        <v>26.31</v>
      </c>
      <c r="I32" s="100">
        <v>4.95</v>
      </c>
      <c r="J32" s="100">
        <v>0.6</v>
      </c>
      <c r="K32" s="100">
        <v>46.57</v>
      </c>
      <c r="L32" s="100">
        <v>26.58</v>
      </c>
      <c r="M32" s="100">
        <v>73.150000000000006</v>
      </c>
      <c r="N32" s="100">
        <v>28.5</v>
      </c>
      <c r="O32" s="100">
        <v>0</v>
      </c>
      <c r="P32" s="100">
        <v>0.39</v>
      </c>
      <c r="Q32" s="100">
        <v>5.26</v>
      </c>
      <c r="R32" s="6"/>
      <c r="S32" s="6"/>
      <c r="T32" s="156"/>
      <c r="U32" s="6"/>
    </row>
    <row r="33" spans="1:21" customFormat="1">
      <c r="A33" s="100" t="s">
        <v>1030</v>
      </c>
      <c r="B33" s="100">
        <v>32.18</v>
      </c>
      <c r="C33" s="100">
        <v>58.95</v>
      </c>
      <c r="D33" s="100">
        <v>58.98</v>
      </c>
      <c r="E33" s="100">
        <v>5.09</v>
      </c>
      <c r="F33" s="100">
        <v>3.51</v>
      </c>
      <c r="G33" s="100">
        <v>72.19</v>
      </c>
      <c r="H33" s="100">
        <v>26.37</v>
      </c>
      <c r="I33" s="100">
        <v>4.9800000000000004</v>
      </c>
      <c r="J33" s="100">
        <v>0.55000000000000004</v>
      </c>
      <c r="K33" s="100">
        <v>31.5</v>
      </c>
      <c r="L33" s="100">
        <v>27</v>
      </c>
      <c r="M33" s="100">
        <v>71.06</v>
      </c>
      <c r="N33" s="100">
        <v>43</v>
      </c>
      <c r="O33" s="100">
        <v>0</v>
      </c>
      <c r="P33" s="100">
        <v>0.41</v>
      </c>
      <c r="Q33" s="100">
        <v>5.36</v>
      </c>
      <c r="R33" s="6"/>
      <c r="S33" s="6"/>
      <c r="T33" s="156"/>
      <c r="U33" s="6"/>
    </row>
    <row r="34" spans="1:21" customFormat="1">
      <c r="A34" s="100" t="s">
        <v>1031</v>
      </c>
      <c r="B34" s="100">
        <v>33.46</v>
      </c>
      <c r="C34" s="100">
        <v>57.94</v>
      </c>
      <c r="D34" s="100">
        <v>59.55</v>
      </c>
      <c r="E34" s="100">
        <v>5.31</v>
      </c>
      <c r="F34" s="100">
        <v>3.69</v>
      </c>
      <c r="G34" s="100">
        <v>72.58</v>
      </c>
      <c r="H34" s="100">
        <v>26.37</v>
      </c>
      <c r="I34" s="100">
        <v>5.22</v>
      </c>
      <c r="J34" s="100">
        <v>0.53</v>
      </c>
      <c r="K34" s="100">
        <v>53.14</v>
      </c>
      <c r="L34" s="100">
        <v>27.31</v>
      </c>
      <c r="M34" s="100">
        <v>70.08</v>
      </c>
      <c r="N34" s="100">
        <v>56.5</v>
      </c>
      <c r="O34" s="100">
        <v>0</v>
      </c>
      <c r="P34" s="100">
        <v>0.42</v>
      </c>
      <c r="Q34" s="100">
        <v>5.4</v>
      </c>
      <c r="R34" s="6"/>
      <c r="S34" s="6"/>
      <c r="T34" s="156"/>
      <c r="U34" s="6"/>
    </row>
    <row r="35" spans="1:21" customFormat="1">
      <c r="A35" s="100" t="s">
        <v>1032</v>
      </c>
      <c r="B35" s="100">
        <v>34.82</v>
      </c>
      <c r="C35" s="100">
        <v>58.71</v>
      </c>
      <c r="D35" s="100">
        <v>60.27</v>
      </c>
      <c r="E35" s="100">
        <v>5.55</v>
      </c>
      <c r="F35" s="100">
        <v>3.42</v>
      </c>
      <c r="G35" s="100">
        <v>72.58</v>
      </c>
      <c r="H35" s="100">
        <v>26.37</v>
      </c>
      <c r="I35" s="100">
        <v>5.53</v>
      </c>
      <c r="J35" s="100">
        <v>0.63</v>
      </c>
      <c r="K35" s="100">
        <v>82.28</v>
      </c>
      <c r="L35" s="100">
        <v>27.96</v>
      </c>
      <c r="M35" s="100">
        <v>68.22</v>
      </c>
      <c r="N35" s="100">
        <v>68.599999999999994</v>
      </c>
      <c r="O35" s="100">
        <v>0</v>
      </c>
      <c r="P35" s="100">
        <v>0.45</v>
      </c>
      <c r="Q35" s="100">
        <v>5.45</v>
      </c>
      <c r="R35" s="6"/>
      <c r="S35" s="6"/>
      <c r="T35" s="156"/>
      <c r="U35" s="6"/>
    </row>
    <row r="36" spans="1:21" customFormat="1">
      <c r="A36" s="100" t="s">
        <v>1033</v>
      </c>
      <c r="B36" s="100">
        <v>35.229999999999997</v>
      </c>
      <c r="C36" s="100">
        <v>59.12</v>
      </c>
      <c r="D36" s="100">
        <v>59.93</v>
      </c>
      <c r="E36" s="100">
        <v>5.5</v>
      </c>
      <c r="F36" s="100">
        <v>3.49</v>
      </c>
      <c r="G36" s="100">
        <v>72.58</v>
      </c>
      <c r="H36" s="100">
        <v>26.37</v>
      </c>
      <c r="I36" s="100">
        <v>5.83</v>
      </c>
      <c r="J36" s="100">
        <v>0.25</v>
      </c>
      <c r="K36" s="100">
        <v>127.27</v>
      </c>
      <c r="L36" s="100">
        <v>29.08</v>
      </c>
      <c r="M36" s="100">
        <v>64.42</v>
      </c>
      <c r="N36" s="100">
        <v>79.5</v>
      </c>
      <c r="O36" s="100">
        <v>0</v>
      </c>
      <c r="P36" s="100">
        <v>0.47</v>
      </c>
      <c r="Q36" s="100">
        <v>5.39</v>
      </c>
      <c r="R36" s="6"/>
      <c r="S36" s="6"/>
      <c r="T36" s="156"/>
      <c r="U36" s="6"/>
    </row>
    <row r="37" spans="1:21" customFormat="1">
      <c r="A37" s="100" t="s">
        <v>1034</v>
      </c>
      <c r="B37" s="100">
        <v>34.54</v>
      </c>
      <c r="C37" s="100">
        <v>58.32</v>
      </c>
      <c r="D37" s="100">
        <v>58.73</v>
      </c>
      <c r="E37" s="100">
        <v>5.28</v>
      </c>
      <c r="F37" s="100">
        <v>3.73</v>
      </c>
      <c r="G37" s="100">
        <v>77.37</v>
      </c>
      <c r="H37" s="100">
        <v>29.12</v>
      </c>
      <c r="I37" s="100">
        <v>6.03</v>
      </c>
      <c r="J37" s="100">
        <v>0.19</v>
      </c>
      <c r="K37" s="100">
        <v>116.54</v>
      </c>
      <c r="L37" s="100">
        <v>29.9</v>
      </c>
      <c r="M37" s="100">
        <v>60.84</v>
      </c>
      <c r="N37" s="100">
        <v>90.2</v>
      </c>
      <c r="O37" s="100">
        <v>0</v>
      </c>
      <c r="P37" s="100">
        <v>0.47</v>
      </c>
      <c r="Q37" s="100">
        <v>5.34</v>
      </c>
      <c r="R37" s="6"/>
      <c r="S37" s="6"/>
      <c r="T37" s="156"/>
      <c r="U37" s="6"/>
    </row>
    <row r="38" spans="1:21" customFormat="1">
      <c r="A38" s="100" t="s">
        <v>1035</v>
      </c>
      <c r="B38" s="100">
        <v>33.549999999999997</v>
      </c>
      <c r="C38" s="100">
        <v>58.54</v>
      </c>
      <c r="D38" s="100">
        <v>57.77</v>
      </c>
      <c r="E38" s="100">
        <v>5.42</v>
      </c>
      <c r="F38" s="100">
        <v>3.75</v>
      </c>
      <c r="G38" s="100">
        <v>77.540000000000006</v>
      </c>
      <c r="H38" s="100">
        <v>29.12</v>
      </c>
      <c r="I38" s="100">
        <v>6.14</v>
      </c>
      <c r="J38" s="100">
        <v>0.2</v>
      </c>
      <c r="K38" s="100">
        <v>161.69999999999999</v>
      </c>
      <c r="L38" s="100">
        <v>30.8</v>
      </c>
      <c r="M38" s="100">
        <v>57.45</v>
      </c>
      <c r="N38" s="100">
        <v>98.8</v>
      </c>
      <c r="O38" s="100">
        <v>0</v>
      </c>
      <c r="P38" s="100">
        <v>0.48</v>
      </c>
      <c r="Q38" s="100">
        <v>5.29</v>
      </c>
      <c r="R38" s="6"/>
      <c r="S38" s="6"/>
      <c r="T38" s="156"/>
      <c r="U38" s="6"/>
    </row>
    <row r="39" spans="1:21" customFormat="1">
      <c r="A39" s="100" t="s">
        <v>1036</v>
      </c>
      <c r="B39" s="100">
        <v>32.22</v>
      </c>
      <c r="C39" s="100">
        <v>59.63</v>
      </c>
      <c r="D39" s="100">
        <v>56.93</v>
      </c>
      <c r="E39" s="100">
        <v>5.0599999999999996</v>
      </c>
      <c r="F39" s="100">
        <v>3.77</v>
      </c>
      <c r="G39" s="100">
        <v>77.540000000000006</v>
      </c>
      <c r="H39" s="100">
        <v>29.12</v>
      </c>
      <c r="I39" s="100">
        <v>6.24</v>
      </c>
      <c r="J39" s="100">
        <v>0.28999999999999998</v>
      </c>
      <c r="K39" s="100">
        <v>151.41999999999999</v>
      </c>
      <c r="L39" s="100">
        <v>31.19</v>
      </c>
      <c r="M39" s="100">
        <v>54.43</v>
      </c>
      <c r="N39" s="100">
        <v>108.8</v>
      </c>
      <c r="O39" s="100">
        <v>0</v>
      </c>
      <c r="P39" s="100">
        <v>0.48</v>
      </c>
      <c r="Q39" s="100">
        <v>5.24</v>
      </c>
      <c r="R39" s="6"/>
      <c r="S39" s="6"/>
      <c r="T39" s="156"/>
      <c r="U39" s="6"/>
    </row>
    <row r="40" spans="1:21" customFormat="1">
      <c r="A40" s="100" t="s">
        <v>1037</v>
      </c>
      <c r="B40" s="100">
        <v>30.45</v>
      </c>
      <c r="C40" s="100">
        <v>55.65</v>
      </c>
      <c r="D40" s="100">
        <v>50.53</v>
      </c>
      <c r="E40" s="100">
        <v>5.88</v>
      </c>
      <c r="F40" s="100">
        <v>4.92</v>
      </c>
      <c r="G40" s="100">
        <v>77.540000000000006</v>
      </c>
      <c r="H40" s="100">
        <v>29.12</v>
      </c>
      <c r="I40" s="100">
        <v>6.24</v>
      </c>
      <c r="J40" s="100">
        <v>0.19</v>
      </c>
      <c r="K40" s="100">
        <v>52.55</v>
      </c>
      <c r="L40" s="100">
        <v>31.75</v>
      </c>
      <c r="M40" s="100">
        <v>54.08</v>
      </c>
      <c r="N40" s="100">
        <v>118.6</v>
      </c>
      <c r="O40" s="100">
        <v>0</v>
      </c>
      <c r="P40" s="100">
        <v>0.47</v>
      </c>
      <c r="Q40" s="100">
        <v>5.05</v>
      </c>
      <c r="R40" s="6"/>
      <c r="S40" s="6"/>
      <c r="T40" s="156"/>
      <c r="U40" s="6"/>
    </row>
    <row r="41" spans="1:21" customFormat="1">
      <c r="A41" s="100" t="s">
        <v>1038</v>
      </c>
      <c r="B41" s="100">
        <v>25.07</v>
      </c>
      <c r="C41" s="100">
        <v>54.09</v>
      </c>
      <c r="D41" s="100">
        <v>42</v>
      </c>
      <c r="E41" s="100">
        <v>6.65</v>
      </c>
      <c r="F41" s="100">
        <v>7.99</v>
      </c>
      <c r="G41" s="100">
        <v>79.540000000000006</v>
      </c>
      <c r="H41" s="100">
        <v>29.14</v>
      </c>
      <c r="I41" s="100">
        <v>6.2</v>
      </c>
      <c r="J41" s="100">
        <v>0.24</v>
      </c>
      <c r="K41" s="100">
        <v>169.6</v>
      </c>
      <c r="L41" s="100">
        <v>31.93</v>
      </c>
      <c r="M41" s="100">
        <v>52.61</v>
      </c>
      <c r="N41" s="100">
        <v>132.30000000000001</v>
      </c>
      <c r="O41" s="100">
        <v>0</v>
      </c>
      <c r="P41" s="100">
        <v>0.49</v>
      </c>
      <c r="Q41" s="100">
        <v>4.72</v>
      </c>
      <c r="R41" s="6"/>
      <c r="S41" s="6"/>
      <c r="T41" s="156"/>
      <c r="U41" s="6"/>
    </row>
    <row r="42" spans="1:21" customFormat="1">
      <c r="A42" s="100" t="s">
        <v>1039</v>
      </c>
      <c r="B42" s="100">
        <v>15.45</v>
      </c>
      <c r="C42" s="100">
        <v>54.82</v>
      </c>
      <c r="D42" s="100">
        <v>36.18</v>
      </c>
      <c r="E42" s="100">
        <v>7.36</v>
      </c>
      <c r="F42" s="100">
        <v>12.42</v>
      </c>
      <c r="G42" s="100">
        <v>79.61</v>
      </c>
      <c r="H42" s="100">
        <v>29.14</v>
      </c>
      <c r="I42" s="100">
        <v>5.94</v>
      </c>
      <c r="J42" s="100">
        <v>0.41</v>
      </c>
      <c r="K42" s="100">
        <v>61.98</v>
      </c>
      <c r="L42" s="100">
        <v>32.950000000000003</v>
      </c>
      <c r="M42" s="100">
        <v>49.15</v>
      </c>
      <c r="N42" s="100">
        <v>141.4</v>
      </c>
      <c r="O42" s="100">
        <v>0</v>
      </c>
      <c r="P42" s="100">
        <v>0.49</v>
      </c>
      <c r="Q42" s="100">
        <v>4.34</v>
      </c>
      <c r="R42" s="6"/>
      <c r="S42" s="6"/>
      <c r="T42" s="156"/>
      <c r="U42" s="6"/>
    </row>
    <row r="43" spans="1:21" customFormat="1">
      <c r="A43" s="100" t="s">
        <v>1040</v>
      </c>
      <c r="B43" s="100">
        <v>7.72</v>
      </c>
      <c r="C43" s="100">
        <v>52.23</v>
      </c>
      <c r="D43" s="100">
        <v>32.92</v>
      </c>
      <c r="E43" s="100">
        <v>9.56</v>
      </c>
      <c r="F43" s="100">
        <v>19.38</v>
      </c>
      <c r="G43" s="100">
        <v>79.61</v>
      </c>
      <c r="H43" s="100">
        <v>29.14</v>
      </c>
      <c r="I43" s="100">
        <v>5.47</v>
      </c>
      <c r="J43" s="100">
        <v>0.03</v>
      </c>
      <c r="K43" s="100">
        <v>311.2</v>
      </c>
      <c r="L43" s="100">
        <v>32.86</v>
      </c>
      <c r="M43" s="100">
        <v>49.28</v>
      </c>
      <c r="N43" s="100">
        <v>164.4</v>
      </c>
      <c r="O43" s="100">
        <v>0</v>
      </c>
      <c r="P43" s="100">
        <v>0.55000000000000004</v>
      </c>
      <c r="Q43" s="100">
        <v>4.2699999999999996</v>
      </c>
      <c r="R43" s="6"/>
      <c r="S43" s="6"/>
      <c r="T43" s="156"/>
      <c r="U43" s="6"/>
    </row>
    <row r="44" spans="1:21" customFormat="1">
      <c r="A44" s="100" t="s">
        <v>1041</v>
      </c>
      <c r="B44" s="100">
        <v>5.34</v>
      </c>
      <c r="C44" s="100">
        <v>41.76</v>
      </c>
      <c r="D44" s="100">
        <v>27.43</v>
      </c>
      <c r="E44" s="100">
        <v>17.53</v>
      </c>
      <c r="F44" s="100">
        <v>33.450000000000003</v>
      </c>
      <c r="G44" s="100">
        <v>79.61</v>
      </c>
      <c r="H44" s="100">
        <v>29.14</v>
      </c>
      <c r="I44" s="100">
        <v>5</v>
      </c>
      <c r="J44" s="100">
        <v>0.41</v>
      </c>
      <c r="K44" s="100">
        <v>32.47</v>
      </c>
      <c r="L44" s="100">
        <v>33.08</v>
      </c>
      <c r="M44" s="100">
        <v>49.14</v>
      </c>
      <c r="N44" s="100">
        <v>218.3</v>
      </c>
      <c r="O44" s="100">
        <v>0</v>
      </c>
      <c r="P44" s="100">
        <v>0.63</v>
      </c>
      <c r="Q44" s="100">
        <v>3.99</v>
      </c>
      <c r="R44" s="6"/>
      <c r="S44" s="6"/>
      <c r="T44" s="156"/>
      <c r="U44" s="6"/>
    </row>
    <row r="45" spans="1:21" customFormat="1">
      <c r="A45" s="100" t="s">
        <v>1042</v>
      </c>
      <c r="B45" s="100">
        <v>5.31</v>
      </c>
      <c r="C45" s="100">
        <v>40.549999999999997</v>
      </c>
      <c r="D45" s="100">
        <v>27.97</v>
      </c>
      <c r="E45" s="100">
        <v>39.6</v>
      </c>
      <c r="F45" s="100">
        <v>40.369999999999997</v>
      </c>
      <c r="G45" s="100">
        <v>78.14</v>
      </c>
      <c r="H45" s="100">
        <v>32.340000000000003</v>
      </c>
      <c r="I45" s="100">
        <v>4.87</v>
      </c>
      <c r="J45" s="100">
        <v>0.5</v>
      </c>
      <c r="K45" s="100">
        <v>24.08</v>
      </c>
      <c r="L45" s="100">
        <v>33.51</v>
      </c>
      <c r="M45" s="100">
        <v>48.47</v>
      </c>
      <c r="N45" s="100">
        <v>233.7</v>
      </c>
      <c r="O45" s="100">
        <v>0</v>
      </c>
      <c r="P45" s="100">
        <v>0.72</v>
      </c>
      <c r="Q45" s="100">
        <v>3.87</v>
      </c>
      <c r="R45" s="6"/>
      <c r="S45" s="6"/>
      <c r="T45" s="156"/>
      <c r="U45" s="6"/>
    </row>
    <row r="46" spans="1:21" customFormat="1">
      <c r="A46" s="100" t="s">
        <v>1043</v>
      </c>
      <c r="B46" s="100">
        <v>6.77</v>
      </c>
      <c r="C46" s="100">
        <v>37.770000000000003</v>
      </c>
      <c r="D46" s="100">
        <v>27.05</v>
      </c>
      <c r="E46" s="100">
        <v>58.78</v>
      </c>
      <c r="F46" s="100">
        <v>51.63</v>
      </c>
      <c r="G46" s="100">
        <v>78.09</v>
      </c>
      <c r="H46" s="100">
        <v>32.340000000000003</v>
      </c>
      <c r="I46" s="100">
        <v>5.14</v>
      </c>
      <c r="J46" s="100">
        <v>0.42</v>
      </c>
      <c r="K46" s="100">
        <v>11.83</v>
      </c>
      <c r="L46" s="100">
        <v>34.22</v>
      </c>
      <c r="M46" s="100">
        <v>46.92</v>
      </c>
      <c r="N46" s="100">
        <v>305.5</v>
      </c>
      <c r="O46" s="100">
        <v>0</v>
      </c>
      <c r="P46" s="100">
        <v>0.74</v>
      </c>
      <c r="Q46" s="100">
        <v>3.86</v>
      </c>
      <c r="R46" s="6"/>
      <c r="S46" s="6"/>
      <c r="T46" s="156"/>
      <c r="U46" s="6"/>
    </row>
    <row r="47" spans="1:21" customFormat="1">
      <c r="A47" s="100" t="s">
        <v>1044</v>
      </c>
      <c r="B47" s="100">
        <v>7.44</v>
      </c>
      <c r="C47" s="100">
        <v>43.92</v>
      </c>
      <c r="D47" s="100">
        <v>31.9</v>
      </c>
      <c r="E47" s="100">
        <v>67.040000000000006</v>
      </c>
      <c r="F47" s="100">
        <v>50.33</v>
      </c>
      <c r="G47" s="100">
        <v>78.09</v>
      </c>
      <c r="H47" s="100">
        <v>32.340000000000003</v>
      </c>
      <c r="I47" s="100">
        <v>5.63</v>
      </c>
      <c r="J47" s="100">
        <v>0.1</v>
      </c>
      <c r="K47" s="100">
        <v>45.67</v>
      </c>
      <c r="L47" s="100">
        <v>35.29</v>
      </c>
      <c r="M47" s="100">
        <v>44.92</v>
      </c>
      <c r="N47" s="100">
        <v>304.3</v>
      </c>
      <c r="O47" s="100">
        <v>0</v>
      </c>
      <c r="P47" s="100">
        <v>0.96</v>
      </c>
      <c r="Q47" s="100">
        <v>3.87</v>
      </c>
      <c r="R47" s="6"/>
      <c r="S47" s="6"/>
      <c r="T47" s="156"/>
      <c r="U47" s="6"/>
    </row>
    <row r="48" spans="1:21" customFormat="1">
      <c r="A48" s="100" t="s">
        <v>1045</v>
      </c>
      <c r="B48" s="100">
        <v>9.48</v>
      </c>
      <c r="C48" s="100">
        <v>44.65</v>
      </c>
      <c r="D48" s="100">
        <v>31.89</v>
      </c>
      <c r="E48" s="100">
        <v>17.71</v>
      </c>
      <c r="F48" s="100">
        <v>57.53</v>
      </c>
      <c r="G48" s="100">
        <v>78.09</v>
      </c>
      <c r="H48" s="100">
        <v>32.340000000000003</v>
      </c>
      <c r="I48" s="100">
        <v>0.82</v>
      </c>
      <c r="J48" s="100">
        <v>0.5</v>
      </c>
      <c r="K48" s="100">
        <v>18.87</v>
      </c>
      <c r="L48" s="100">
        <v>35.64</v>
      </c>
      <c r="M48" s="100">
        <v>43.42</v>
      </c>
      <c r="N48" s="100">
        <v>218.6</v>
      </c>
      <c r="O48" s="100">
        <v>0</v>
      </c>
      <c r="P48" s="100">
        <v>1.02</v>
      </c>
      <c r="Q48" s="100">
        <v>3.93</v>
      </c>
      <c r="R48" s="6"/>
      <c r="S48" s="6"/>
      <c r="T48" s="156"/>
      <c r="U48" s="6"/>
    </row>
    <row r="49" spans="1:21" customFormat="1">
      <c r="A49" s="100" t="s">
        <v>1046</v>
      </c>
      <c r="B49" s="100">
        <v>8.99</v>
      </c>
      <c r="C49" s="100">
        <v>43.3</v>
      </c>
      <c r="D49" s="100">
        <v>29.66</v>
      </c>
      <c r="E49" s="100">
        <v>57.35</v>
      </c>
      <c r="F49" s="100">
        <v>50.64</v>
      </c>
      <c r="G49" s="100">
        <v>197.61</v>
      </c>
      <c r="H49" s="100">
        <v>47.06</v>
      </c>
      <c r="I49" s="100">
        <v>0</v>
      </c>
      <c r="J49" s="100">
        <v>0.45</v>
      </c>
      <c r="K49" s="100">
        <v>57.2</v>
      </c>
      <c r="L49" s="100">
        <v>36.06</v>
      </c>
      <c r="M49" s="100">
        <v>42.75</v>
      </c>
      <c r="N49" s="100">
        <v>238.9</v>
      </c>
      <c r="O49" s="100">
        <v>0</v>
      </c>
      <c r="P49" s="100">
        <v>0.96</v>
      </c>
      <c r="Q49" s="100">
        <v>3.92</v>
      </c>
      <c r="R49" s="6"/>
      <c r="S49" s="6"/>
      <c r="T49" s="156"/>
      <c r="U49" s="6"/>
    </row>
    <row r="50" spans="1:21" customFormat="1">
      <c r="A50" s="100" t="s">
        <v>1047</v>
      </c>
      <c r="B50" s="100">
        <v>7.08</v>
      </c>
      <c r="C50" s="100">
        <v>50.62</v>
      </c>
      <c r="D50" s="100">
        <v>33.51</v>
      </c>
      <c r="E50" s="100">
        <v>41.91</v>
      </c>
      <c r="F50" s="100">
        <v>47.81</v>
      </c>
      <c r="G50" s="100">
        <v>201.73</v>
      </c>
      <c r="H50" s="100">
        <v>47.06</v>
      </c>
      <c r="I50" s="100">
        <v>0</v>
      </c>
      <c r="J50" s="100">
        <v>0.68</v>
      </c>
      <c r="K50" s="100">
        <v>33.119999999999997</v>
      </c>
      <c r="L50" s="100">
        <v>36.200000000000003</v>
      </c>
      <c r="M50" s="100">
        <v>42.45</v>
      </c>
      <c r="N50" s="100">
        <v>485.3</v>
      </c>
      <c r="O50" s="100">
        <v>0</v>
      </c>
      <c r="P50" s="100">
        <v>1.27</v>
      </c>
      <c r="Q50" s="100">
        <v>4.16</v>
      </c>
      <c r="R50" s="6"/>
      <c r="S50" s="6"/>
      <c r="T50" s="156"/>
      <c r="U50" s="6"/>
    </row>
    <row r="51" spans="1:21" customFormat="1">
      <c r="A51" s="100" t="s">
        <v>1048</v>
      </c>
      <c r="B51" s="100">
        <v>7.12</v>
      </c>
      <c r="C51" s="100">
        <v>48.39</v>
      </c>
      <c r="D51" s="100">
        <v>32.19</v>
      </c>
      <c r="E51" s="100">
        <v>150.15</v>
      </c>
      <c r="F51" s="100">
        <v>81.05</v>
      </c>
      <c r="G51" s="100">
        <v>201.73</v>
      </c>
      <c r="H51" s="100">
        <v>47.06</v>
      </c>
      <c r="I51" s="100">
        <v>6.16</v>
      </c>
      <c r="J51" s="100">
        <v>0.37</v>
      </c>
      <c r="K51" s="100">
        <v>5.9</v>
      </c>
      <c r="L51" s="100">
        <v>36.82</v>
      </c>
      <c r="M51" s="100">
        <v>40.97</v>
      </c>
      <c r="N51" s="100">
        <v>577.29999999999995</v>
      </c>
      <c r="O51" s="100">
        <v>0</v>
      </c>
      <c r="P51" s="135" t="s">
        <v>12</v>
      </c>
      <c r="Q51" s="100">
        <v>4.25</v>
      </c>
      <c r="R51" s="6"/>
      <c r="S51" s="6"/>
      <c r="T51" s="156"/>
      <c r="U51" s="6"/>
    </row>
    <row r="52" spans="1:21" customFormat="1">
      <c r="A52" s="100" t="s">
        <v>1049</v>
      </c>
      <c r="B52" s="100">
        <v>6.92</v>
      </c>
      <c r="C52" s="100">
        <v>47.96</v>
      </c>
      <c r="D52" s="100">
        <v>30.89</v>
      </c>
      <c r="E52" s="100">
        <v>66.72</v>
      </c>
      <c r="F52" s="100">
        <v>54.59</v>
      </c>
      <c r="G52" s="100">
        <v>201.73</v>
      </c>
      <c r="H52" s="100">
        <v>47.06</v>
      </c>
      <c r="I52" s="100">
        <v>7.82</v>
      </c>
      <c r="J52" s="100">
        <v>0.3</v>
      </c>
      <c r="K52" s="100">
        <v>308.5</v>
      </c>
      <c r="L52" s="100">
        <v>37.11</v>
      </c>
      <c r="M52" s="100">
        <v>40.840000000000003</v>
      </c>
      <c r="N52" s="100">
        <v>559.20000000000005</v>
      </c>
      <c r="O52" s="100">
        <v>0</v>
      </c>
      <c r="P52" s="135" t="s">
        <v>12</v>
      </c>
      <c r="Q52" s="100">
        <v>4.3099999999999996</v>
      </c>
      <c r="R52" s="6"/>
      <c r="S52" s="6"/>
      <c r="T52" s="156"/>
      <c r="U52" s="6"/>
    </row>
    <row r="53" spans="1:21" customFormat="1">
      <c r="A53" s="100" t="s">
        <v>1050</v>
      </c>
      <c r="B53" s="100">
        <v>5.59</v>
      </c>
      <c r="C53" s="100">
        <v>47.83</v>
      </c>
      <c r="D53" s="100">
        <v>29.77</v>
      </c>
      <c r="E53" s="100">
        <v>64.2</v>
      </c>
      <c r="F53" s="100">
        <v>61.98</v>
      </c>
      <c r="G53" s="100">
        <v>233.7</v>
      </c>
      <c r="H53" s="100">
        <v>64.400000000000006</v>
      </c>
      <c r="I53" s="100">
        <v>7.99</v>
      </c>
      <c r="J53" s="100">
        <v>0.02</v>
      </c>
      <c r="K53" s="100">
        <v>265.92</v>
      </c>
      <c r="L53" s="100">
        <v>36.840000000000003</v>
      </c>
      <c r="M53" s="100">
        <v>41.42</v>
      </c>
      <c r="N53" s="100">
        <v>597.5</v>
      </c>
      <c r="O53" s="100">
        <v>0</v>
      </c>
      <c r="P53" s="135" t="s">
        <v>12</v>
      </c>
      <c r="Q53" s="100">
        <v>4.63</v>
      </c>
      <c r="R53" s="6"/>
      <c r="S53" s="6"/>
      <c r="T53" s="156"/>
      <c r="U53" s="6"/>
    </row>
    <row r="54" spans="1:21" customFormat="1">
      <c r="A54" s="100" t="s">
        <v>1051</v>
      </c>
      <c r="B54" s="100">
        <v>4.28</v>
      </c>
      <c r="C54" s="100">
        <v>44.19</v>
      </c>
      <c r="D54" s="100">
        <v>27.7</v>
      </c>
      <c r="E54" s="100">
        <v>67.64</v>
      </c>
      <c r="F54" s="100">
        <v>66.72</v>
      </c>
      <c r="G54" s="100">
        <v>234.8</v>
      </c>
      <c r="H54" s="100">
        <v>64.400000000000006</v>
      </c>
      <c r="I54" s="100">
        <v>8.2899999999999991</v>
      </c>
      <c r="J54" s="100">
        <v>0.6</v>
      </c>
      <c r="K54" s="100">
        <v>259.66000000000003</v>
      </c>
      <c r="L54" s="100">
        <v>37.36</v>
      </c>
      <c r="M54" s="100">
        <v>39.590000000000003</v>
      </c>
      <c r="N54" s="100">
        <v>655</v>
      </c>
      <c r="O54" s="100">
        <v>0</v>
      </c>
      <c r="P54" s="135" t="s">
        <v>12</v>
      </c>
      <c r="Q54" s="100">
        <v>4.57</v>
      </c>
      <c r="R54" s="6"/>
      <c r="S54" s="6"/>
      <c r="T54" s="156"/>
      <c r="U54" s="6"/>
    </row>
    <row r="55" spans="1:21" customFormat="1">
      <c r="A55" s="100" t="s">
        <v>1052</v>
      </c>
      <c r="B55" s="100">
        <v>4.0599999999999996</v>
      </c>
      <c r="C55" s="100">
        <v>38.630000000000003</v>
      </c>
      <c r="D55" s="100">
        <v>24.74</v>
      </c>
      <c r="E55" s="100">
        <v>59.51</v>
      </c>
      <c r="F55" s="100">
        <v>74.13</v>
      </c>
      <c r="G55" s="100">
        <v>234.8</v>
      </c>
      <c r="H55" s="100">
        <v>64.400000000000006</v>
      </c>
      <c r="I55" s="100">
        <v>8.59</v>
      </c>
      <c r="J55" s="100">
        <v>0.35</v>
      </c>
      <c r="K55" s="100">
        <v>269.75</v>
      </c>
      <c r="L55" s="100">
        <v>37.770000000000003</v>
      </c>
      <c r="M55" s="100">
        <v>36.630000000000003</v>
      </c>
      <c r="N55" s="100">
        <v>698.8</v>
      </c>
      <c r="O55" s="100">
        <v>0</v>
      </c>
      <c r="P55" s="135" t="s">
        <v>12</v>
      </c>
      <c r="Q55" s="100">
        <v>4.3600000000000003</v>
      </c>
      <c r="R55" s="6"/>
      <c r="S55" s="6"/>
      <c r="T55" s="156"/>
      <c r="U55" s="6"/>
    </row>
    <row r="56" spans="1:21" customFormat="1">
      <c r="A56" s="100" t="s">
        <v>1053</v>
      </c>
      <c r="B56" s="100">
        <v>4</v>
      </c>
      <c r="C56" s="100">
        <v>36.35</v>
      </c>
      <c r="D56" s="100">
        <v>23.61</v>
      </c>
      <c r="E56" s="100">
        <v>45.59</v>
      </c>
      <c r="F56" s="100">
        <v>72.900000000000006</v>
      </c>
      <c r="G56" s="100">
        <v>234.8</v>
      </c>
      <c r="H56" s="100">
        <v>64.400000000000006</v>
      </c>
      <c r="I56" s="100">
        <v>7.94</v>
      </c>
      <c r="J56" s="100">
        <v>0.63</v>
      </c>
      <c r="K56" s="100">
        <v>288.5</v>
      </c>
      <c r="L56" s="100">
        <v>37.78</v>
      </c>
      <c r="M56" s="100">
        <v>35.08</v>
      </c>
      <c r="N56" s="100">
        <v>714.4</v>
      </c>
      <c r="O56" s="100">
        <v>0</v>
      </c>
      <c r="P56" s="135" t="s">
        <v>12</v>
      </c>
      <c r="Q56" s="100">
        <v>4.17</v>
      </c>
      <c r="R56" s="6"/>
      <c r="S56" s="6"/>
      <c r="T56" s="156"/>
      <c r="U56" s="6"/>
    </row>
    <row r="57" spans="1:21" customFormat="1">
      <c r="A57" s="100" t="s">
        <v>1054</v>
      </c>
      <c r="B57" s="100">
        <v>4.07</v>
      </c>
      <c r="C57" s="100">
        <v>31.87</v>
      </c>
      <c r="D57" s="100">
        <v>21.41</v>
      </c>
      <c r="E57" s="100">
        <v>51.33</v>
      </c>
      <c r="F57" s="100">
        <v>91.71</v>
      </c>
      <c r="G57" s="100">
        <v>104.13</v>
      </c>
      <c r="H57" s="100">
        <v>43.44</v>
      </c>
      <c r="I57" s="100">
        <v>7.12</v>
      </c>
      <c r="J57" s="100">
        <v>0.93</v>
      </c>
      <c r="K57" s="100">
        <v>254.73</v>
      </c>
      <c r="L57" s="100">
        <v>38.4</v>
      </c>
      <c r="M57" s="100">
        <v>34.25</v>
      </c>
      <c r="N57" s="100">
        <v>750.9</v>
      </c>
      <c r="O57" s="100">
        <v>0</v>
      </c>
      <c r="P57" s="135" t="s">
        <v>12</v>
      </c>
      <c r="Q57" s="100">
        <v>4.09</v>
      </c>
      <c r="R57" s="6"/>
      <c r="S57" s="6"/>
      <c r="T57" s="156"/>
      <c r="U57" s="6"/>
    </row>
    <row r="58" spans="1:21" customFormat="1">
      <c r="A58" s="100" t="s">
        <v>1055</v>
      </c>
      <c r="B58" s="100">
        <v>4.24</v>
      </c>
      <c r="C58" s="100">
        <v>29.33</v>
      </c>
      <c r="D58" s="100">
        <v>20.100000000000001</v>
      </c>
      <c r="E58" s="100">
        <v>36.229999999999997</v>
      </c>
      <c r="F58" s="100">
        <v>86.49</v>
      </c>
      <c r="G58" s="100">
        <v>99.62</v>
      </c>
      <c r="H58" s="100">
        <v>43.44</v>
      </c>
      <c r="I58" s="100">
        <v>6.4</v>
      </c>
      <c r="J58" s="100">
        <v>0.46</v>
      </c>
      <c r="K58" s="100">
        <v>259.27</v>
      </c>
      <c r="L58" s="100">
        <v>38.119999999999997</v>
      </c>
      <c r="M58" s="100">
        <v>33.130000000000003</v>
      </c>
      <c r="N58" s="100">
        <v>756.5</v>
      </c>
      <c r="O58" s="100">
        <v>0</v>
      </c>
      <c r="P58" s="135" t="s">
        <v>12</v>
      </c>
      <c r="Q58" s="100">
        <v>3.93</v>
      </c>
      <c r="R58" s="6"/>
      <c r="S58" s="6"/>
      <c r="T58" s="156"/>
      <c r="U58" s="6"/>
    </row>
    <row r="59" spans="1:21" customFormat="1">
      <c r="A59" s="100" t="s">
        <v>1056</v>
      </c>
      <c r="B59" s="100">
        <v>4.2699999999999996</v>
      </c>
      <c r="C59" s="100">
        <v>45.6</v>
      </c>
      <c r="D59" s="100">
        <v>51.57</v>
      </c>
      <c r="E59" s="100">
        <v>44.8</v>
      </c>
      <c r="F59" s="100">
        <v>101.93</v>
      </c>
      <c r="G59" s="100">
        <v>99.62</v>
      </c>
      <c r="H59" s="100">
        <v>43.44</v>
      </c>
      <c r="I59" s="100">
        <v>5.32</v>
      </c>
      <c r="J59" s="100">
        <v>0.95</v>
      </c>
      <c r="K59" s="100">
        <v>264.26</v>
      </c>
      <c r="L59" s="100">
        <v>38.5</v>
      </c>
      <c r="M59" s="100">
        <v>32.15</v>
      </c>
      <c r="N59" s="100">
        <v>726.2</v>
      </c>
      <c r="O59" s="100">
        <v>0</v>
      </c>
      <c r="P59" s="135" t="s">
        <v>12</v>
      </c>
      <c r="Q59" s="100">
        <v>6.23</v>
      </c>
      <c r="R59" s="6"/>
      <c r="S59" s="6"/>
      <c r="T59" s="156"/>
      <c r="U59" s="6"/>
    </row>
    <row r="60" spans="1:21" customFormat="1">
      <c r="A60" s="100" t="s">
        <v>1057</v>
      </c>
      <c r="B60" s="100">
        <v>4.24</v>
      </c>
      <c r="C60" s="100">
        <v>26.97</v>
      </c>
      <c r="D60" s="100">
        <v>18.440000000000001</v>
      </c>
      <c r="E60" s="100">
        <v>41.44</v>
      </c>
      <c r="F60" s="100">
        <v>124.07</v>
      </c>
      <c r="G60" s="100">
        <v>99.62</v>
      </c>
      <c r="H60" s="100">
        <v>43.44</v>
      </c>
      <c r="I60" s="100">
        <v>5.82</v>
      </c>
      <c r="J60" s="100">
        <v>0.59</v>
      </c>
      <c r="K60" s="100">
        <v>283.82</v>
      </c>
      <c r="L60" s="100">
        <v>38.68</v>
      </c>
      <c r="M60" s="100">
        <v>30.99</v>
      </c>
      <c r="N60" s="100">
        <v>626.79999999999995</v>
      </c>
      <c r="O60" s="100">
        <v>0</v>
      </c>
      <c r="P60" s="135" t="s">
        <v>12</v>
      </c>
      <c r="Q60" s="100">
        <v>5.18</v>
      </c>
      <c r="R60" s="6"/>
      <c r="S60" s="6"/>
      <c r="T60" s="156"/>
      <c r="U60" s="6"/>
    </row>
    <row r="61" spans="1:21" customFormat="1">
      <c r="A61" s="100" t="s">
        <v>1058</v>
      </c>
      <c r="B61" s="100">
        <v>3.73</v>
      </c>
      <c r="C61" s="100">
        <v>28.46</v>
      </c>
      <c r="D61" s="100">
        <v>20.5</v>
      </c>
      <c r="E61" s="100">
        <v>42.53</v>
      </c>
      <c r="F61" s="100">
        <v>111.78</v>
      </c>
      <c r="G61" s="100">
        <v>63.83</v>
      </c>
      <c r="H61" s="100">
        <v>33.33</v>
      </c>
      <c r="I61" s="100">
        <v>6.3</v>
      </c>
      <c r="J61" s="100">
        <v>0.79</v>
      </c>
      <c r="K61" s="100">
        <v>37.380000000000003</v>
      </c>
      <c r="L61" s="100">
        <v>37.9</v>
      </c>
      <c r="M61" s="100">
        <v>31.18</v>
      </c>
      <c r="N61" s="100">
        <v>208.3</v>
      </c>
      <c r="O61" s="100">
        <v>0</v>
      </c>
      <c r="P61" s="135" t="s">
        <v>12</v>
      </c>
      <c r="Q61" s="100">
        <v>3.78</v>
      </c>
      <c r="R61" s="6"/>
      <c r="S61" s="6"/>
      <c r="T61" s="156"/>
      <c r="U61" s="6"/>
    </row>
    <row r="62" spans="1:21" customFormat="1">
      <c r="A62" s="100" t="s">
        <v>1059</v>
      </c>
      <c r="B62" s="100">
        <v>5.33</v>
      </c>
      <c r="C62" s="100">
        <v>26.49</v>
      </c>
      <c r="D62" s="100">
        <v>19.66</v>
      </c>
      <c r="E62" s="100">
        <v>34.700000000000003</v>
      </c>
      <c r="F62" s="100">
        <v>112.44</v>
      </c>
      <c r="G62" s="100">
        <v>62.6</v>
      </c>
      <c r="H62" s="100">
        <v>33.33</v>
      </c>
      <c r="I62" s="100">
        <v>4.54</v>
      </c>
      <c r="J62" s="100">
        <v>0.53</v>
      </c>
      <c r="K62" s="100">
        <v>54.34</v>
      </c>
      <c r="L62" s="100">
        <v>38.020000000000003</v>
      </c>
      <c r="M62" s="100">
        <v>31.29</v>
      </c>
      <c r="N62" s="100">
        <v>560.1</v>
      </c>
      <c r="O62" s="100">
        <v>0</v>
      </c>
      <c r="P62" s="100">
        <v>0.44</v>
      </c>
      <c r="Q62" s="100">
        <v>3.43</v>
      </c>
      <c r="R62" s="6"/>
      <c r="S62" s="6"/>
      <c r="T62" s="156"/>
      <c r="U62" s="6"/>
    </row>
    <row r="63" spans="1:21" customFormat="1">
      <c r="A63" s="100" t="s">
        <v>1060</v>
      </c>
      <c r="B63" s="100">
        <v>5.57</v>
      </c>
      <c r="C63" s="100">
        <v>24.45</v>
      </c>
      <c r="D63" s="100">
        <v>17.88</v>
      </c>
      <c r="E63" s="100">
        <v>33.33</v>
      </c>
      <c r="F63" s="100">
        <v>119.1</v>
      </c>
      <c r="G63" s="100">
        <v>62.6</v>
      </c>
      <c r="H63" s="100">
        <v>33.33</v>
      </c>
      <c r="I63" s="100">
        <v>4.2</v>
      </c>
      <c r="J63" s="100">
        <v>0.52</v>
      </c>
      <c r="K63" s="100">
        <v>270.18</v>
      </c>
      <c r="L63" s="100">
        <v>38.9</v>
      </c>
      <c r="M63" s="100">
        <v>31.35</v>
      </c>
      <c r="N63" s="100">
        <v>569</v>
      </c>
      <c r="O63" s="100">
        <v>0</v>
      </c>
      <c r="P63" s="100">
        <v>0.39</v>
      </c>
      <c r="Q63" s="100">
        <v>3.36</v>
      </c>
      <c r="R63" s="6"/>
      <c r="S63" s="6"/>
      <c r="T63" s="156"/>
      <c r="U63" s="6"/>
    </row>
    <row r="64" spans="1:21" customFormat="1">
      <c r="A64" s="100" t="s">
        <v>1061</v>
      </c>
      <c r="B64" s="100">
        <v>4.6900000000000004</v>
      </c>
      <c r="C64" s="100">
        <v>24.88</v>
      </c>
      <c r="D64" s="100">
        <v>18.98</v>
      </c>
      <c r="E64" s="100">
        <v>28.07</v>
      </c>
      <c r="F64" s="100">
        <v>105</v>
      </c>
      <c r="G64" s="100">
        <v>62.6</v>
      </c>
      <c r="H64" s="100">
        <v>33.33</v>
      </c>
      <c r="I64" s="100">
        <v>2.98</v>
      </c>
      <c r="J64" s="100">
        <v>0.48</v>
      </c>
      <c r="K64" s="100">
        <v>308.08</v>
      </c>
      <c r="L64" s="100">
        <v>38.92</v>
      </c>
      <c r="M64" s="100">
        <v>28.26</v>
      </c>
      <c r="N64" s="100">
        <v>679.2</v>
      </c>
      <c r="O64" s="100">
        <v>0</v>
      </c>
      <c r="P64" s="100">
        <v>0.37</v>
      </c>
      <c r="Q64" s="100">
        <v>3.3</v>
      </c>
      <c r="R64" s="6"/>
      <c r="S64" s="6"/>
      <c r="T64" s="156"/>
      <c r="U64" s="6"/>
    </row>
    <row r="65" spans="1:21" customFormat="1">
      <c r="A65" s="100" t="s">
        <v>1062</v>
      </c>
      <c r="B65" s="100">
        <v>5.77</v>
      </c>
      <c r="C65" s="100">
        <v>23.21</v>
      </c>
      <c r="D65" s="100">
        <v>16.82</v>
      </c>
      <c r="E65" s="100">
        <v>18.18</v>
      </c>
      <c r="F65" s="100">
        <v>66.59</v>
      </c>
      <c r="G65" s="100">
        <v>59.35</v>
      </c>
      <c r="H65" s="100">
        <v>33</v>
      </c>
      <c r="I65" s="100">
        <v>2.57</v>
      </c>
      <c r="J65" s="100">
        <v>0.54</v>
      </c>
      <c r="K65" s="100">
        <v>333.74</v>
      </c>
      <c r="L65" s="100">
        <v>39.44</v>
      </c>
      <c r="M65" s="100">
        <v>27.86</v>
      </c>
      <c r="N65" s="100">
        <v>647.29999999999995</v>
      </c>
      <c r="O65" s="100">
        <v>0</v>
      </c>
      <c r="P65" s="100">
        <v>0.4</v>
      </c>
      <c r="Q65" s="100">
        <v>3.14</v>
      </c>
      <c r="R65" s="6"/>
      <c r="S65" s="6"/>
      <c r="T65" s="156"/>
      <c r="U65" s="6"/>
    </row>
    <row r="66" spans="1:21" customFormat="1">
      <c r="A66" s="100" t="s">
        <v>1063</v>
      </c>
      <c r="B66" s="100">
        <v>4.17</v>
      </c>
      <c r="C66" s="100">
        <v>32.1</v>
      </c>
      <c r="D66" s="100">
        <v>22.35</v>
      </c>
      <c r="E66" s="100">
        <v>11.34</v>
      </c>
      <c r="F66" s="100">
        <v>50.56</v>
      </c>
      <c r="G66" s="100">
        <v>59.23</v>
      </c>
      <c r="H66" s="100">
        <v>33</v>
      </c>
      <c r="I66" s="100">
        <v>2.14</v>
      </c>
      <c r="J66" s="100">
        <v>0.25</v>
      </c>
      <c r="K66" s="100">
        <v>288.41000000000003</v>
      </c>
      <c r="L66" s="100">
        <v>39.06</v>
      </c>
      <c r="M66" s="100">
        <v>27.91</v>
      </c>
      <c r="N66" s="100">
        <v>427</v>
      </c>
      <c r="O66" s="100">
        <v>0</v>
      </c>
      <c r="P66" s="100">
        <v>0.41</v>
      </c>
      <c r="Q66" s="100">
        <v>3.16</v>
      </c>
      <c r="R66" s="6"/>
      <c r="S66" s="6"/>
      <c r="T66" s="156"/>
      <c r="U66" s="6"/>
    </row>
    <row r="67" spans="1:21" customFormat="1">
      <c r="A67" s="100" t="s">
        <v>1064</v>
      </c>
      <c r="B67" s="100">
        <v>5.27</v>
      </c>
      <c r="C67" s="100">
        <v>32.97</v>
      </c>
      <c r="D67" s="100">
        <v>22.84</v>
      </c>
      <c r="E67" s="100">
        <v>15.45</v>
      </c>
      <c r="F67" s="100">
        <v>59.98</v>
      </c>
      <c r="G67" s="100">
        <v>59.23</v>
      </c>
      <c r="H67" s="100">
        <v>33</v>
      </c>
      <c r="I67" s="100">
        <v>2.08</v>
      </c>
      <c r="J67" s="100">
        <v>0.39</v>
      </c>
      <c r="K67" s="100">
        <v>37.64</v>
      </c>
      <c r="L67" s="100">
        <v>39.1</v>
      </c>
      <c r="M67" s="100">
        <v>28.42</v>
      </c>
      <c r="N67" s="100">
        <v>478.6</v>
      </c>
      <c r="O67" s="100">
        <v>0</v>
      </c>
      <c r="P67" s="100">
        <v>0.42</v>
      </c>
      <c r="Q67" s="100">
        <v>3.25</v>
      </c>
      <c r="R67" s="6"/>
      <c r="S67" s="6"/>
      <c r="T67" s="156"/>
      <c r="U67" s="6"/>
    </row>
    <row r="68" spans="1:21" customFormat="1">
      <c r="A68" s="100" t="s">
        <v>1065</v>
      </c>
      <c r="B68" s="100">
        <v>5.32</v>
      </c>
      <c r="C68" s="100">
        <v>28.65</v>
      </c>
      <c r="D68" s="100">
        <v>19.96</v>
      </c>
      <c r="E68" s="100">
        <v>18.52</v>
      </c>
      <c r="F68" s="100">
        <v>65.260000000000005</v>
      </c>
      <c r="G68" s="100">
        <v>59.23</v>
      </c>
      <c r="H68" s="100">
        <v>33</v>
      </c>
      <c r="I68" s="100">
        <v>2.4300000000000002</v>
      </c>
      <c r="J68" s="100">
        <v>0.48</v>
      </c>
      <c r="K68" s="100">
        <v>335.42</v>
      </c>
      <c r="L68" s="100">
        <v>38.78</v>
      </c>
      <c r="M68" s="100">
        <v>29.41</v>
      </c>
      <c r="N68" s="100">
        <v>307.3</v>
      </c>
      <c r="O68" s="100">
        <v>0</v>
      </c>
      <c r="P68" s="100">
        <v>0.41</v>
      </c>
      <c r="Q68" s="100">
        <v>3.32</v>
      </c>
      <c r="R68" s="6"/>
      <c r="S68" s="6"/>
      <c r="T68" s="156"/>
      <c r="U68" s="6"/>
    </row>
    <row r="69" spans="1:21" customFormat="1">
      <c r="A69" s="100" t="s">
        <v>1066</v>
      </c>
      <c r="B69" s="100">
        <v>4.54</v>
      </c>
      <c r="C69" s="100">
        <v>27.57</v>
      </c>
      <c r="D69" s="100">
        <v>19.32</v>
      </c>
      <c r="E69" s="100">
        <v>19.100000000000001</v>
      </c>
      <c r="F69" s="100">
        <v>66.680000000000007</v>
      </c>
      <c r="G69" s="100">
        <v>61.88</v>
      </c>
      <c r="H69" s="100">
        <v>28.06</v>
      </c>
      <c r="I69" s="100">
        <v>2.4900000000000002</v>
      </c>
      <c r="J69" s="100">
        <v>7.0000000000000007E-2</v>
      </c>
      <c r="K69" s="100">
        <v>182.57</v>
      </c>
      <c r="L69" s="100">
        <v>37.93</v>
      </c>
      <c r="M69" s="100">
        <v>31.89</v>
      </c>
      <c r="N69" s="100">
        <v>228.6</v>
      </c>
      <c r="O69" s="100">
        <v>0</v>
      </c>
      <c r="P69" s="100">
        <v>0.4</v>
      </c>
      <c r="Q69" s="100">
        <v>3.37</v>
      </c>
      <c r="R69" s="6"/>
      <c r="S69" s="6"/>
      <c r="T69" s="156"/>
      <c r="U69" s="6"/>
    </row>
    <row r="70" spans="1:21" customFormat="1">
      <c r="A70" s="100" t="s">
        <v>1067</v>
      </c>
      <c r="B70" s="100">
        <v>4.45</v>
      </c>
      <c r="C70" s="100">
        <v>28.12</v>
      </c>
      <c r="D70" s="100">
        <v>19.760000000000002</v>
      </c>
      <c r="E70" s="100">
        <v>14.27</v>
      </c>
      <c r="F70" s="100">
        <v>63.96</v>
      </c>
      <c r="G70" s="100">
        <v>61.97</v>
      </c>
      <c r="H70" s="100">
        <v>28.06</v>
      </c>
      <c r="I70" s="100">
        <v>2.2400000000000002</v>
      </c>
      <c r="J70" s="100">
        <v>0.41</v>
      </c>
      <c r="K70" s="100">
        <v>184.73</v>
      </c>
      <c r="L70" s="100">
        <v>37.229999999999997</v>
      </c>
      <c r="M70" s="100">
        <v>36.33</v>
      </c>
      <c r="N70" s="100">
        <v>121.4</v>
      </c>
      <c r="O70" s="100">
        <v>0</v>
      </c>
      <c r="P70" s="100">
        <v>0.41</v>
      </c>
      <c r="Q70" s="100">
        <v>3.4</v>
      </c>
      <c r="R70" s="6"/>
      <c r="S70" s="6"/>
      <c r="T70" s="156"/>
      <c r="U70" s="6"/>
    </row>
    <row r="71" spans="1:21" customFormat="1">
      <c r="A71" s="100" t="s">
        <v>1068</v>
      </c>
      <c r="B71" s="100">
        <v>4.63</v>
      </c>
      <c r="C71" s="100">
        <v>28.93</v>
      </c>
      <c r="D71" s="100">
        <v>20.239999999999998</v>
      </c>
      <c r="E71" s="100">
        <v>14.07</v>
      </c>
      <c r="F71" s="100">
        <v>66.87</v>
      </c>
      <c r="G71" s="100">
        <v>61.97</v>
      </c>
      <c r="H71" s="100">
        <v>28.06</v>
      </c>
      <c r="I71" s="100">
        <v>2.5499999999999998</v>
      </c>
      <c r="J71" s="100">
        <v>0.28999999999999998</v>
      </c>
      <c r="K71" s="100">
        <v>182.13</v>
      </c>
      <c r="L71" s="100">
        <v>36.79</v>
      </c>
      <c r="M71" s="100">
        <v>38.880000000000003</v>
      </c>
      <c r="N71" s="100">
        <v>158.5</v>
      </c>
      <c r="O71" s="100">
        <v>0</v>
      </c>
      <c r="P71" s="100">
        <v>0.43</v>
      </c>
      <c r="Q71" s="100">
        <v>3.42</v>
      </c>
      <c r="R71" s="6"/>
      <c r="S71" s="6"/>
      <c r="T71" s="156"/>
      <c r="U71" s="6"/>
    </row>
    <row r="72" spans="1:21" customFormat="1">
      <c r="A72" s="100" t="s">
        <v>1069</v>
      </c>
      <c r="B72" s="100">
        <v>4.7</v>
      </c>
      <c r="C72" s="100">
        <v>31.02</v>
      </c>
      <c r="D72" s="100">
        <v>21.5</v>
      </c>
      <c r="E72" s="100">
        <v>11.76</v>
      </c>
      <c r="F72" s="100">
        <v>45.9</v>
      </c>
      <c r="G72" s="100">
        <v>61.97</v>
      </c>
      <c r="H72" s="100">
        <v>28.06</v>
      </c>
      <c r="I72" s="100">
        <v>2.9</v>
      </c>
      <c r="J72" s="100">
        <v>0.25</v>
      </c>
      <c r="K72" s="100">
        <v>223.44</v>
      </c>
      <c r="L72" s="100">
        <v>37.21</v>
      </c>
      <c r="M72" s="100">
        <v>36.869999999999997</v>
      </c>
      <c r="N72" s="100">
        <v>245.8</v>
      </c>
      <c r="O72" s="100">
        <v>0</v>
      </c>
      <c r="P72" s="100">
        <v>0.43</v>
      </c>
      <c r="Q72" s="100">
        <v>3.43</v>
      </c>
      <c r="R72" s="6"/>
      <c r="S72" s="6"/>
      <c r="T72" s="156"/>
      <c r="U72" s="6"/>
    </row>
    <row r="73" spans="1:21" customFormat="1">
      <c r="A73" s="100" t="s">
        <v>1070</v>
      </c>
      <c r="B73" s="100">
        <v>4.92</v>
      </c>
      <c r="C73" s="100">
        <v>35.229999999999997</v>
      </c>
      <c r="D73" s="100">
        <v>24.05</v>
      </c>
      <c r="E73" s="100">
        <v>6.84</v>
      </c>
      <c r="F73" s="100">
        <v>38.49</v>
      </c>
      <c r="G73" s="100">
        <v>58.31</v>
      </c>
      <c r="H73" s="100">
        <v>27.14</v>
      </c>
      <c r="I73" s="100">
        <v>2.95</v>
      </c>
      <c r="J73" s="100">
        <v>0.45</v>
      </c>
      <c r="K73" s="100">
        <v>251.92</v>
      </c>
      <c r="L73" s="100">
        <v>35.83</v>
      </c>
      <c r="M73" s="100">
        <v>36.51</v>
      </c>
      <c r="N73" s="100">
        <v>79</v>
      </c>
      <c r="O73" s="100">
        <v>0</v>
      </c>
      <c r="P73" s="100">
        <v>0.42</v>
      </c>
      <c r="Q73" s="100">
        <v>3.49</v>
      </c>
      <c r="R73" s="6"/>
      <c r="S73" s="6"/>
      <c r="T73" s="156"/>
      <c r="U73" s="6"/>
    </row>
    <row r="74" spans="1:21" customFormat="1">
      <c r="A74" s="100" t="s">
        <v>1071</v>
      </c>
      <c r="B74" s="100">
        <v>5.35</v>
      </c>
      <c r="C74" s="100">
        <v>32.03</v>
      </c>
      <c r="D74" s="100">
        <v>22.26</v>
      </c>
      <c r="E74" s="100">
        <v>8.19</v>
      </c>
      <c r="F74" s="100">
        <v>55.72</v>
      </c>
      <c r="G74" s="100">
        <v>58.19</v>
      </c>
      <c r="H74" s="100">
        <v>27.14</v>
      </c>
      <c r="I74" s="100">
        <v>3.16</v>
      </c>
      <c r="J74" s="100">
        <v>0.59</v>
      </c>
      <c r="K74" s="100">
        <v>204.86</v>
      </c>
      <c r="L74" s="100">
        <v>35.549999999999997</v>
      </c>
      <c r="M74" s="100">
        <v>39.53</v>
      </c>
      <c r="N74" s="100">
        <v>103.3</v>
      </c>
      <c r="O74" s="100">
        <v>0</v>
      </c>
      <c r="P74" s="100">
        <v>0.39</v>
      </c>
      <c r="Q74" s="100">
        <v>3.48</v>
      </c>
      <c r="R74" s="6"/>
      <c r="S74" s="6"/>
      <c r="T74" s="156"/>
      <c r="U74" s="6"/>
    </row>
    <row r="75" spans="1:21" customFormat="1">
      <c r="A75" s="100" t="s">
        <v>1072</v>
      </c>
      <c r="B75" s="100">
        <v>5.21</v>
      </c>
      <c r="C75" s="100">
        <v>34.22</v>
      </c>
      <c r="D75" s="100">
        <v>23.46</v>
      </c>
      <c r="E75" s="100">
        <v>8.4700000000000006</v>
      </c>
      <c r="F75" s="100">
        <v>51.77</v>
      </c>
      <c r="G75" s="100">
        <v>58.19</v>
      </c>
      <c r="H75" s="100">
        <v>27.14</v>
      </c>
      <c r="I75" s="100">
        <v>3.22</v>
      </c>
      <c r="J75" s="100">
        <v>0.19</v>
      </c>
      <c r="K75" s="100">
        <v>184.44</v>
      </c>
      <c r="L75" s="100">
        <v>35.92</v>
      </c>
      <c r="M75" s="100">
        <v>40.909999999999997</v>
      </c>
      <c r="N75" s="100">
        <v>157.80000000000001</v>
      </c>
      <c r="O75" s="100">
        <v>0</v>
      </c>
      <c r="P75" s="100">
        <v>0.43</v>
      </c>
      <c r="Q75" s="100">
        <v>3.58</v>
      </c>
      <c r="R75" s="6"/>
      <c r="S75" s="6"/>
      <c r="T75" s="156"/>
      <c r="U75" s="6"/>
    </row>
    <row r="76" spans="1:21" customFormat="1">
      <c r="A76" s="100" t="s">
        <v>1073</v>
      </c>
      <c r="B76" s="100">
        <v>5.28</v>
      </c>
      <c r="C76" s="100">
        <v>32.729999999999997</v>
      </c>
      <c r="D76" s="100">
        <v>22.67</v>
      </c>
      <c r="E76" s="100">
        <v>10.52</v>
      </c>
      <c r="F76" s="100">
        <v>61.58</v>
      </c>
      <c r="G76" s="100">
        <v>58.19</v>
      </c>
      <c r="H76" s="100">
        <v>27.14</v>
      </c>
      <c r="I76" s="100">
        <v>3</v>
      </c>
      <c r="J76" s="100">
        <v>0.2</v>
      </c>
      <c r="K76" s="100">
        <v>229.58</v>
      </c>
      <c r="L76" s="100">
        <v>36.229999999999997</v>
      </c>
      <c r="M76" s="100">
        <v>39.44</v>
      </c>
      <c r="N76" s="100">
        <v>107.9</v>
      </c>
      <c r="O76" s="100">
        <v>0</v>
      </c>
      <c r="P76" s="100">
        <v>0.44</v>
      </c>
      <c r="Q76" s="100">
        <v>3.58</v>
      </c>
      <c r="R76" s="6"/>
      <c r="S76" s="6"/>
      <c r="T76" s="156"/>
      <c r="U76" s="6"/>
    </row>
    <row r="77" spans="1:21" customFormat="1">
      <c r="A77" s="100" t="s">
        <v>1074</v>
      </c>
      <c r="B77" s="100">
        <v>5.26</v>
      </c>
      <c r="C77" s="100">
        <v>30.45</v>
      </c>
      <c r="D77" s="100">
        <v>21.4</v>
      </c>
      <c r="E77" s="100">
        <v>12.74</v>
      </c>
      <c r="F77" s="100">
        <v>65.09</v>
      </c>
      <c r="G77" s="100">
        <v>39.64</v>
      </c>
      <c r="H77" s="100">
        <v>26.1</v>
      </c>
      <c r="I77" s="100">
        <v>3.09</v>
      </c>
      <c r="J77" s="100">
        <v>0.12</v>
      </c>
      <c r="K77" s="100">
        <v>174.14</v>
      </c>
      <c r="L77" s="100">
        <v>36.11</v>
      </c>
      <c r="M77" s="100">
        <v>39.03</v>
      </c>
      <c r="N77" s="100">
        <v>74.900000000000006</v>
      </c>
      <c r="O77" s="100">
        <v>0</v>
      </c>
      <c r="P77" s="100">
        <v>0.48</v>
      </c>
      <c r="Q77" s="100">
        <v>3.57</v>
      </c>
      <c r="R77" s="6"/>
      <c r="S77" s="6"/>
      <c r="T77" s="156"/>
      <c r="U77" s="6"/>
    </row>
    <row r="78" spans="1:21" customFormat="1">
      <c r="A78" s="100" t="s">
        <v>1075</v>
      </c>
      <c r="B78" s="100">
        <v>5.16</v>
      </c>
      <c r="C78" s="100">
        <v>29.29</v>
      </c>
      <c r="D78" s="100">
        <v>20.79</v>
      </c>
      <c r="E78" s="100">
        <v>12.24</v>
      </c>
      <c r="F78" s="100">
        <v>68.22</v>
      </c>
      <c r="G78" s="100">
        <v>39</v>
      </c>
      <c r="H78" s="100">
        <v>26.1</v>
      </c>
      <c r="I78" s="100">
        <v>3.15</v>
      </c>
      <c r="J78" s="100">
        <v>0.21</v>
      </c>
      <c r="K78" s="100">
        <v>185.17</v>
      </c>
      <c r="L78" s="100">
        <v>35.74</v>
      </c>
      <c r="M78" s="100">
        <v>38.049999999999997</v>
      </c>
      <c r="N78" s="100">
        <v>32.799999999999997</v>
      </c>
      <c r="O78" s="100">
        <v>0</v>
      </c>
      <c r="P78" s="100">
        <v>0.46</v>
      </c>
      <c r="Q78" s="100">
        <v>3.57</v>
      </c>
      <c r="R78" s="6"/>
      <c r="S78" s="6"/>
      <c r="T78" s="156"/>
      <c r="U78" s="6"/>
    </row>
    <row r="79" spans="1:21" customFormat="1">
      <c r="A79" s="100" t="s">
        <v>1076</v>
      </c>
      <c r="B79" s="100">
        <v>5.16</v>
      </c>
      <c r="C79" s="100">
        <v>43.97</v>
      </c>
      <c r="D79" s="100">
        <v>29.54</v>
      </c>
      <c r="E79" s="100">
        <v>7.44</v>
      </c>
      <c r="F79" s="100">
        <v>14.97</v>
      </c>
      <c r="G79" s="100">
        <v>39</v>
      </c>
      <c r="H79" s="100">
        <v>26.1</v>
      </c>
      <c r="I79" s="100">
        <v>3.62</v>
      </c>
      <c r="J79" s="100">
        <v>0.19</v>
      </c>
      <c r="K79" s="100">
        <v>224.26</v>
      </c>
      <c r="L79" s="100">
        <v>34.96</v>
      </c>
      <c r="M79" s="100">
        <v>40.14</v>
      </c>
      <c r="N79" s="100">
        <v>9.9</v>
      </c>
      <c r="O79" s="100">
        <v>0</v>
      </c>
      <c r="P79" s="100">
        <v>0.47</v>
      </c>
      <c r="Q79" s="100">
        <v>3.63</v>
      </c>
      <c r="R79" s="6"/>
      <c r="S79" s="6"/>
      <c r="T79" s="156"/>
      <c r="U79" s="6"/>
    </row>
    <row r="80" spans="1:21" customFormat="1">
      <c r="A80" s="100" t="s">
        <v>1077</v>
      </c>
      <c r="B80" s="100">
        <v>6.51</v>
      </c>
      <c r="C80" s="100">
        <v>58.86</v>
      </c>
      <c r="D80" s="100">
        <v>38.020000000000003</v>
      </c>
      <c r="E80" s="100">
        <v>7.91</v>
      </c>
      <c r="F80" s="100">
        <v>5.12</v>
      </c>
      <c r="G80" s="100">
        <v>39</v>
      </c>
      <c r="H80" s="100">
        <v>26.1</v>
      </c>
      <c r="I80" s="100">
        <v>3.39</v>
      </c>
      <c r="J80" s="100">
        <v>0.22</v>
      </c>
      <c r="K80" s="100">
        <v>195.81</v>
      </c>
      <c r="L80" s="100">
        <v>34.32</v>
      </c>
      <c r="M80" s="100">
        <v>44.61</v>
      </c>
      <c r="N80" s="100">
        <v>2.2999999999999998</v>
      </c>
      <c r="O80" s="100">
        <v>0</v>
      </c>
      <c r="P80" s="100">
        <v>0.52</v>
      </c>
      <c r="Q80" s="100">
        <v>3.92</v>
      </c>
      <c r="R80" s="6"/>
      <c r="S80" s="6"/>
      <c r="T80" s="156"/>
      <c r="U80" s="6"/>
    </row>
    <row r="81" spans="1:21" customFormat="1">
      <c r="A81" s="100" t="s">
        <v>1078</v>
      </c>
      <c r="B81" s="100">
        <v>7.37</v>
      </c>
      <c r="C81" s="100">
        <v>64.66</v>
      </c>
      <c r="D81" s="100">
        <v>41.88</v>
      </c>
      <c r="E81" s="100">
        <v>9.8000000000000007</v>
      </c>
      <c r="F81" s="100">
        <v>4.26</v>
      </c>
      <c r="G81" s="100">
        <v>41.25</v>
      </c>
      <c r="H81" s="100">
        <v>25.05</v>
      </c>
      <c r="I81" s="100">
        <v>4.08</v>
      </c>
      <c r="J81" s="100">
        <v>0.19</v>
      </c>
      <c r="K81" s="100">
        <v>171.65</v>
      </c>
      <c r="L81" s="100">
        <v>33.409999999999997</v>
      </c>
      <c r="M81" s="100">
        <v>47.68</v>
      </c>
      <c r="N81" s="100">
        <v>0</v>
      </c>
      <c r="O81" s="100">
        <v>0</v>
      </c>
      <c r="P81" s="100">
        <v>0.57999999999999996</v>
      </c>
      <c r="Q81" s="100">
        <v>4.13</v>
      </c>
      <c r="R81" s="6"/>
      <c r="S81" s="6"/>
      <c r="T81" s="156"/>
      <c r="U81" s="6"/>
    </row>
    <row r="82" spans="1:21" customFormat="1">
      <c r="A82" s="100" t="s">
        <v>1079</v>
      </c>
      <c r="B82" s="100">
        <v>8.41</v>
      </c>
      <c r="C82" s="100">
        <v>67.77</v>
      </c>
      <c r="D82" s="100">
        <v>44.64</v>
      </c>
      <c r="E82" s="100">
        <v>11.01</v>
      </c>
      <c r="F82" s="100">
        <v>4.24</v>
      </c>
      <c r="G82" s="100">
        <v>41.33</v>
      </c>
      <c r="H82" s="100">
        <v>25.05</v>
      </c>
      <c r="I82" s="100">
        <v>4.46</v>
      </c>
      <c r="J82" s="100">
        <v>0.15</v>
      </c>
      <c r="K82" s="100">
        <v>171.02</v>
      </c>
      <c r="L82" s="100">
        <v>33.11</v>
      </c>
      <c r="M82" s="100">
        <v>50.76</v>
      </c>
      <c r="N82" s="100">
        <v>0</v>
      </c>
      <c r="O82" s="100">
        <v>0</v>
      </c>
      <c r="P82" s="100">
        <v>0.61</v>
      </c>
      <c r="Q82" s="100">
        <v>4.2699999999999996</v>
      </c>
      <c r="R82" s="6"/>
      <c r="S82" s="6"/>
      <c r="T82" s="156"/>
      <c r="U82" s="6"/>
    </row>
    <row r="83" spans="1:21" customFormat="1">
      <c r="A83" s="100" t="s">
        <v>1080</v>
      </c>
      <c r="B83" s="100">
        <v>9.83</v>
      </c>
      <c r="C83" s="100">
        <v>70.459999999999994</v>
      </c>
      <c r="D83" s="100">
        <v>47.21</v>
      </c>
      <c r="E83" s="100">
        <v>11.68</v>
      </c>
      <c r="F83" s="100">
        <v>4.34</v>
      </c>
      <c r="G83" s="100">
        <v>41.33</v>
      </c>
      <c r="H83" s="100">
        <v>25.05</v>
      </c>
      <c r="I83" s="100">
        <v>4.53</v>
      </c>
      <c r="J83" s="100">
        <v>0.27</v>
      </c>
      <c r="K83" s="100">
        <v>197.82</v>
      </c>
      <c r="L83" s="100">
        <v>32.39</v>
      </c>
      <c r="M83" s="100">
        <v>58.86</v>
      </c>
      <c r="N83" s="100">
        <v>0</v>
      </c>
      <c r="O83" s="100">
        <v>0</v>
      </c>
      <c r="P83" s="100">
        <v>0.66</v>
      </c>
      <c r="Q83" s="100">
        <v>4.38</v>
      </c>
      <c r="R83" s="6"/>
      <c r="S83" s="6"/>
      <c r="T83" s="156"/>
      <c r="U83" s="6"/>
    </row>
    <row r="84" spans="1:21" customFormat="1">
      <c r="A84" s="100" t="s">
        <v>1081</v>
      </c>
      <c r="B84" s="100">
        <v>11.27</v>
      </c>
      <c r="C84" s="100">
        <v>73.37</v>
      </c>
      <c r="D84" s="100">
        <v>50</v>
      </c>
      <c r="E84" s="100">
        <v>12.25</v>
      </c>
      <c r="F84" s="100">
        <v>4.4000000000000004</v>
      </c>
      <c r="G84" s="100">
        <v>41.33</v>
      </c>
      <c r="H84" s="100">
        <v>25.05</v>
      </c>
      <c r="I84" s="100">
        <v>4.75</v>
      </c>
      <c r="J84" s="100">
        <v>0.23</v>
      </c>
      <c r="K84" s="100">
        <v>300.97000000000003</v>
      </c>
      <c r="L84" s="100">
        <v>32.159999999999997</v>
      </c>
      <c r="M84" s="100">
        <v>50.2</v>
      </c>
      <c r="N84" s="100">
        <v>0</v>
      </c>
      <c r="O84" s="100">
        <v>0</v>
      </c>
      <c r="P84" s="100">
        <v>0.71</v>
      </c>
      <c r="Q84" s="100">
        <v>4.59</v>
      </c>
      <c r="R84" s="6"/>
      <c r="S84" s="6"/>
      <c r="T84" s="156"/>
      <c r="U84" s="6"/>
    </row>
    <row r="85" spans="1:21" customFormat="1">
      <c r="A85" s="100" t="s">
        <v>1082</v>
      </c>
      <c r="B85" s="100">
        <v>12.86</v>
      </c>
      <c r="C85" s="100">
        <v>75.760000000000005</v>
      </c>
      <c r="D85" s="100">
        <v>51.86</v>
      </c>
      <c r="E85" s="100">
        <v>12.06</v>
      </c>
      <c r="F85" s="100">
        <v>5.64</v>
      </c>
      <c r="G85" s="100">
        <v>82.96</v>
      </c>
      <c r="H85" s="100">
        <v>28.28</v>
      </c>
      <c r="I85" s="100">
        <v>5.05</v>
      </c>
      <c r="J85" s="100">
        <v>2.37</v>
      </c>
      <c r="K85" s="100">
        <v>306.77999999999997</v>
      </c>
      <c r="L85" s="100">
        <v>30.72</v>
      </c>
      <c r="M85" s="100">
        <v>49.99</v>
      </c>
      <c r="N85" s="100">
        <v>0</v>
      </c>
      <c r="O85" s="100">
        <v>0</v>
      </c>
      <c r="P85" s="100">
        <v>0.74</v>
      </c>
      <c r="Q85" s="100">
        <v>4.71</v>
      </c>
      <c r="R85" s="6"/>
      <c r="S85" s="6"/>
      <c r="T85" s="156"/>
      <c r="U85" s="6"/>
    </row>
    <row r="86" spans="1:21" customFormat="1">
      <c r="A86" s="100" t="s">
        <v>1083</v>
      </c>
      <c r="B86" s="100">
        <v>13.62</v>
      </c>
      <c r="C86" s="100">
        <v>76.87</v>
      </c>
      <c r="D86" s="100">
        <v>52.37</v>
      </c>
      <c r="E86" s="100">
        <v>11.74</v>
      </c>
      <c r="F86" s="100">
        <v>6.82</v>
      </c>
      <c r="G86" s="100">
        <v>84.4</v>
      </c>
      <c r="H86" s="100">
        <v>28.28</v>
      </c>
      <c r="I86" s="100">
        <v>0</v>
      </c>
      <c r="J86" s="100">
        <v>3.59</v>
      </c>
      <c r="K86" s="100">
        <v>305.7</v>
      </c>
      <c r="L86" s="100">
        <v>29.61</v>
      </c>
      <c r="M86" s="100">
        <v>55.18</v>
      </c>
      <c r="N86" s="100">
        <v>0</v>
      </c>
      <c r="O86" s="100">
        <v>0</v>
      </c>
      <c r="P86" s="100">
        <v>0.74</v>
      </c>
      <c r="Q86" s="100">
        <v>4.87</v>
      </c>
      <c r="R86" s="6"/>
      <c r="S86" s="6"/>
      <c r="T86" s="156"/>
      <c r="U86" s="6"/>
    </row>
    <row r="87" spans="1:21" customFormat="1">
      <c r="A87" s="100" t="s">
        <v>1084</v>
      </c>
      <c r="B87" s="100">
        <v>13.54</v>
      </c>
      <c r="C87" s="100">
        <v>77.069999999999993</v>
      </c>
      <c r="D87" s="100">
        <v>52.6</v>
      </c>
      <c r="E87" s="100">
        <v>10.67</v>
      </c>
      <c r="F87" s="100">
        <v>7.31</v>
      </c>
      <c r="G87" s="100">
        <v>84.4</v>
      </c>
      <c r="H87" s="100">
        <v>28.28</v>
      </c>
      <c r="I87" s="100">
        <v>0</v>
      </c>
      <c r="J87" s="100">
        <v>2.88</v>
      </c>
      <c r="K87" s="100">
        <v>312.14</v>
      </c>
      <c r="L87" s="100">
        <v>28.35</v>
      </c>
      <c r="M87" s="100">
        <v>61.56</v>
      </c>
      <c r="N87" s="100">
        <v>0</v>
      </c>
      <c r="O87" s="100">
        <v>0</v>
      </c>
      <c r="P87" s="100">
        <v>0.75</v>
      </c>
      <c r="Q87" s="100">
        <v>5.12</v>
      </c>
      <c r="R87" s="6"/>
      <c r="S87" s="6"/>
      <c r="T87" s="156"/>
      <c r="U87" s="6"/>
    </row>
    <row r="88" spans="1:21" customFormat="1">
      <c r="A88" s="100" t="s">
        <v>1085</v>
      </c>
      <c r="B88" s="100">
        <v>13.7</v>
      </c>
      <c r="C88" s="100">
        <v>79.91</v>
      </c>
      <c r="D88" s="100">
        <v>56.06</v>
      </c>
      <c r="E88" s="100">
        <v>10.19</v>
      </c>
      <c r="F88" s="100">
        <v>6.02</v>
      </c>
      <c r="G88" s="100">
        <v>84.4</v>
      </c>
      <c r="H88" s="100">
        <v>28.28</v>
      </c>
      <c r="I88" s="100">
        <v>0</v>
      </c>
      <c r="J88" s="100">
        <v>2.0099999999999998</v>
      </c>
      <c r="K88" s="100">
        <v>346.16</v>
      </c>
      <c r="L88" s="100">
        <v>27.66</v>
      </c>
      <c r="M88" s="100">
        <v>65.13</v>
      </c>
      <c r="N88" s="100">
        <v>0</v>
      </c>
      <c r="O88" s="100">
        <v>0</v>
      </c>
      <c r="P88" s="100">
        <v>0.76</v>
      </c>
      <c r="Q88" s="100">
        <v>5.29</v>
      </c>
      <c r="R88" s="6"/>
      <c r="S88" s="6"/>
      <c r="T88" s="156"/>
      <c r="U88" s="6"/>
    </row>
    <row r="89" spans="1:21" customFormat="1">
      <c r="A89" s="100" t="s">
        <v>1086</v>
      </c>
      <c r="B89" s="100">
        <v>14.44</v>
      </c>
      <c r="C89" s="100">
        <v>88.34</v>
      </c>
      <c r="D89" s="100">
        <v>60.07</v>
      </c>
      <c r="E89" s="100">
        <v>10.039999999999999</v>
      </c>
      <c r="F89" s="100">
        <v>5.28</v>
      </c>
      <c r="G89" s="100">
        <v>89.27</v>
      </c>
      <c r="H89" s="100">
        <v>21.28</v>
      </c>
      <c r="I89" s="100">
        <v>0</v>
      </c>
      <c r="J89" s="100">
        <v>1.27</v>
      </c>
      <c r="K89" s="100">
        <v>1.24</v>
      </c>
      <c r="L89" s="100">
        <v>27.69</v>
      </c>
      <c r="M89" s="100">
        <v>65.84</v>
      </c>
      <c r="N89" s="100">
        <v>0</v>
      </c>
      <c r="O89" s="100">
        <v>0</v>
      </c>
      <c r="P89" s="100">
        <v>0.76</v>
      </c>
      <c r="Q89" s="100">
        <v>5.55</v>
      </c>
      <c r="R89" s="6"/>
      <c r="S89" s="6"/>
      <c r="T89" s="156"/>
      <c r="U89" s="6"/>
    </row>
    <row r="90" spans="1:21" customFormat="1">
      <c r="A90" s="100" t="s">
        <v>1087</v>
      </c>
      <c r="B90" s="100">
        <v>15.66</v>
      </c>
      <c r="C90" s="147" t="s">
        <v>14</v>
      </c>
      <c r="D90" s="147" t="s">
        <v>14</v>
      </c>
      <c r="E90" s="147" t="s">
        <v>14</v>
      </c>
      <c r="F90" s="147" t="s">
        <v>14</v>
      </c>
      <c r="G90" s="147" t="s">
        <v>14</v>
      </c>
      <c r="H90" s="147" t="s">
        <v>14</v>
      </c>
      <c r="I90" s="100">
        <v>0</v>
      </c>
      <c r="J90" s="100">
        <v>0.75</v>
      </c>
      <c r="K90" s="147" t="s">
        <v>14</v>
      </c>
      <c r="L90" s="147" t="s">
        <v>14</v>
      </c>
      <c r="M90" s="147" t="s">
        <v>14</v>
      </c>
      <c r="N90" s="147" t="s">
        <v>14</v>
      </c>
      <c r="O90" s="147" t="s">
        <v>14</v>
      </c>
      <c r="P90" s="147" t="s">
        <v>14</v>
      </c>
      <c r="Q90" s="147" t="s">
        <v>14</v>
      </c>
      <c r="R90" s="6"/>
      <c r="S90" s="6"/>
      <c r="T90" s="156"/>
      <c r="U90" s="6"/>
    </row>
    <row r="91" spans="1:21" customFormat="1">
      <c r="A91" s="100" t="s">
        <v>1088</v>
      </c>
      <c r="B91" s="133" t="s">
        <v>4</v>
      </c>
      <c r="C91" s="133" t="s">
        <v>4</v>
      </c>
      <c r="D91" s="133" t="s">
        <v>4</v>
      </c>
      <c r="E91" s="133" t="s">
        <v>4</v>
      </c>
      <c r="F91" s="133" t="s">
        <v>4</v>
      </c>
      <c r="G91" s="133" t="s">
        <v>4</v>
      </c>
      <c r="H91" s="133" t="s">
        <v>4</v>
      </c>
      <c r="I91" s="133" t="s">
        <v>4</v>
      </c>
      <c r="J91" s="133" t="s">
        <v>4</v>
      </c>
      <c r="K91" s="133" t="s">
        <v>4</v>
      </c>
      <c r="L91" s="133" t="s">
        <v>4</v>
      </c>
      <c r="M91" s="133" t="s">
        <v>4</v>
      </c>
      <c r="N91" s="133" t="s">
        <v>4</v>
      </c>
      <c r="O91" s="133" t="s">
        <v>4</v>
      </c>
      <c r="P91" s="133" t="s">
        <v>4</v>
      </c>
      <c r="Q91" s="133" t="s">
        <v>4</v>
      </c>
      <c r="R91" s="6"/>
      <c r="S91" s="6"/>
      <c r="T91" s="156"/>
      <c r="U91" s="6"/>
    </row>
    <row r="92" spans="1:21" customFormat="1">
      <c r="A92" s="100" t="s">
        <v>1089</v>
      </c>
      <c r="B92" s="133" t="s">
        <v>4</v>
      </c>
      <c r="C92" s="133" t="s">
        <v>4</v>
      </c>
      <c r="D92" s="133" t="s">
        <v>4</v>
      </c>
      <c r="E92" s="133" t="s">
        <v>4</v>
      </c>
      <c r="F92" s="133" t="s">
        <v>4</v>
      </c>
      <c r="G92" s="133" t="s">
        <v>4</v>
      </c>
      <c r="H92" s="133" t="s">
        <v>4</v>
      </c>
      <c r="I92" s="133" t="s">
        <v>4</v>
      </c>
      <c r="J92" s="133" t="s">
        <v>4</v>
      </c>
      <c r="K92" s="133" t="s">
        <v>4</v>
      </c>
      <c r="L92" s="133" t="s">
        <v>4</v>
      </c>
      <c r="M92" s="133" t="s">
        <v>4</v>
      </c>
      <c r="N92" s="133" t="s">
        <v>4</v>
      </c>
      <c r="O92" s="133" t="s">
        <v>4</v>
      </c>
      <c r="P92" s="133" t="s">
        <v>4</v>
      </c>
      <c r="Q92" s="133" t="s">
        <v>4</v>
      </c>
      <c r="R92" s="6"/>
      <c r="S92" s="6"/>
      <c r="T92" s="156"/>
      <c r="U92" s="6"/>
    </row>
    <row r="93" spans="1:21" customFormat="1">
      <c r="A93" s="100" t="s">
        <v>1090</v>
      </c>
      <c r="B93" s="133" t="s">
        <v>4</v>
      </c>
      <c r="C93" s="133" t="s">
        <v>4</v>
      </c>
      <c r="D93" s="133" t="s">
        <v>4</v>
      </c>
      <c r="E93" s="133" t="s">
        <v>4</v>
      </c>
      <c r="F93" s="133" t="s">
        <v>4</v>
      </c>
      <c r="G93" s="133" t="s">
        <v>4</v>
      </c>
      <c r="H93" s="133" t="s">
        <v>4</v>
      </c>
      <c r="I93" s="133" t="s">
        <v>4</v>
      </c>
      <c r="J93" s="133" t="s">
        <v>4</v>
      </c>
      <c r="K93" s="133" t="s">
        <v>4</v>
      </c>
      <c r="L93" s="133" t="s">
        <v>4</v>
      </c>
      <c r="M93" s="133" t="s">
        <v>4</v>
      </c>
      <c r="N93" s="133" t="s">
        <v>4</v>
      </c>
      <c r="O93" s="133" t="s">
        <v>4</v>
      </c>
      <c r="P93" s="133" t="s">
        <v>4</v>
      </c>
      <c r="Q93" s="133" t="s">
        <v>4</v>
      </c>
      <c r="R93" s="6"/>
      <c r="S93" s="6"/>
      <c r="T93" s="156"/>
      <c r="U93" s="6"/>
    </row>
    <row r="94" spans="1:21" customFormat="1">
      <c r="A94" s="100" t="s">
        <v>1091</v>
      </c>
      <c r="B94" s="150" t="s">
        <v>21</v>
      </c>
      <c r="C94" s="150" t="s">
        <v>21</v>
      </c>
      <c r="D94" s="150" t="s">
        <v>21</v>
      </c>
      <c r="E94" s="150" t="s">
        <v>21</v>
      </c>
      <c r="F94" s="150" t="s">
        <v>21</v>
      </c>
      <c r="G94" s="100">
        <v>80.81</v>
      </c>
      <c r="H94" s="100">
        <v>19.89</v>
      </c>
      <c r="I94" s="150" t="s">
        <v>21</v>
      </c>
      <c r="J94" s="100">
        <v>0.39</v>
      </c>
      <c r="K94" s="100">
        <v>260.45</v>
      </c>
      <c r="L94" s="100">
        <v>28.27</v>
      </c>
      <c r="M94" s="100">
        <v>63.56</v>
      </c>
      <c r="N94" s="100">
        <v>0</v>
      </c>
      <c r="O94" s="100">
        <v>0</v>
      </c>
      <c r="P94" s="150" t="s">
        <v>21</v>
      </c>
      <c r="Q94" s="150" t="s">
        <v>21</v>
      </c>
      <c r="R94" s="6"/>
      <c r="S94" s="6"/>
      <c r="T94" s="156"/>
      <c r="U94" s="6"/>
    </row>
    <row r="95" spans="1:21" customFormat="1">
      <c r="A95" s="100" t="s">
        <v>1092</v>
      </c>
      <c r="B95" s="100">
        <v>23.11</v>
      </c>
      <c r="C95" s="100">
        <v>4.43</v>
      </c>
      <c r="D95" s="100">
        <v>54.78</v>
      </c>
      <c r="E95" s="100">
        <v>8.42</v>
      </c>
      <c r="F95" s="100">
        <v>1.44</v>
      </c>
      <c r="G95" s="100">
        <v>16.100000000000001</v>
      </c>
      <c r="H95" s="100">
        <v>19.89</v>
      </c>
      <c r="I95" s="100">
        <v>0</v>
      </c>
      <c r="J95" s="100">
        <v>0.39</v>
      </c>
      <c r="K95" s="100">
        <v>209.46</v>
      </c>
      <c r="L95" s="100">
        <v>28.48</v>
      </c>
      <c r="M95" s="100">
        <v>61.07</v>
      </c>
      <c r="N95" s="100">
        <v>0</v>
      </c>
      <c r="O95" s="100">
        <v>0</v>
      </c>
      <c r="P95" s="100">
        <v>0.65</v>
      </c>
      <c r="Q95" s="151" t="s">
        <v>8</v>
      </c>
      <c r="R95" s="6"/>
      <c r="S95" s="6"/>
      <c r="T95" s="156"/>
      <c r="U95" s="6"/>
    </row>
    <row r="96" spans="1:21" customFormat="1">
      <c r="A96" s="100" t="s">
        <v>1093</v>
      </c>
      <c r="B96" s="100">
        <v>23.11</v>
      </c>
      <c r="C96" s="100">
        <v>82.81</v>
      </c>
      <c r="D96" s="100">
        <v>65.260000000000005</v>
      </c>
      <c r="E96" s="100">
        <v>0.61</v>
      </c>
      <c r="F96" s="100">
        <v>1</v>
      </c>
      <c r="G96" s="100">
        <v>16.100000000000001</v>
      </c>
      <c r="H96" s="100">
        <v>19.89</v>
      </c>
      <c r="I96" s="100">
        <v>0</v>
      </c>
      <c r="J96" s="100">
        <v>0.28000000000000003</v>
      </c>
      <c r="K96" s="100">
        <v>217.78</v>
      </c>
      <c r="L96" s="100">
        <v>28.35</v>
      </c>
      <c r="M96" s="100">
        <v>60.84</v>
      </c>
      <c r="N96" s="100">
        <v>0</v>
      </c>
      <c r="O96" s="100">
        <v>0</v>
      </c>
      <c r="P96" s="100">
        <v>0.63</v>
      </c>
      <c r="Q96" s="151" t="s">
        <v>8</v>
      </c>
      <c r="R96" s="6"/>
      <c r="S96" s="6"/>
      <c r="T96" s="156"/>
      <c r="U96" s="6"/>
    </row>
    <row r="97" spans="1:28" customFormat="1">
      <c r="A97" s="100" t="s">
        <v>1094</v>
      </c>
      <c r="B97" s="100">
        <v>25.74</v>
      </c>
      <c r="C97" s="100">
        <v>84.67</v>
      </c>
      <c r="D97" s="100">
        <v>65.319999999999993</v>
      </c>
      <c r="E97" s="100">
        <v>0</v>
      </c>
      <c r="F97" s="100">
        <v>3.02</v>
      </c>
      <c r="G97" s="100">
        <v>12.88</v>
      </c>
      <c r="H97" s="100">
        <v>17.329999999999998</v>
      </c>
      <c r="I97" s="100">
        <v>0</v>
      </c>
      <c r="J97" s="100">
        <v>0.11</v>
      </c>
      <c r="K97" s="100">
        <v>-7.0000000000000007E-2</v>
      </c>
      <c r="L97" s="100">
        <v>28.16</v>
      </c>
      <c r="M97" s="100">
        <v>61.74</v>
      </c>
      <c r="N97" s="100">
        <v>0</v>
      </c>
      <c r="O97" s="100">
        <v>0</v>
      </c>
      <c r="P97" s="100">
        <v>0.62</v>
      </c>
      <c r="Q97" s="151" t="s">
        <v>8</v>
      </c>
      <c r="R97" s="6"/>
      <c r="S97" s="6"/>
      <c r="T97" s="156"/>
      <c r="U97" s="6"/>
    </row>
    <row r="98" spans="1:28" customFormat="1">
      <c r="A98" s="100" t="s">
        <v>1095</v>
      </c>
      <c r="B98" s="133" t="s">
        <v>4</v>
      </c>
      <c r="C98" s="133" t="s">
        <v>4</v>
      </c>
      <c r="D98" s="133" t="s">
        <v>4</v>
      </c>
      <c r="E98" s="133" t="s">
        <v>4</v>
      </c>
      <c r="F98" s="133" t="s">
        <v>4</v>
      </c>
      <c r="G98" s="133" t="s">
        <v>4</v>
      </c>
      <c r="H98" s="133" t="s">
        <v>4</v>
      </c>
      <c r="I98" s="133" t="s">
        <v>4</v>
      </c>
      <c r="J98" s="133" t="s">
        <v>4</v>
      </c>
      <c r="K98" s="133" t="s">
        <v>4</v>
      </c>
      <c r="L98" s="133" t="s">
        <v>4</v>
      </c>
      <c r="M98" s="133" t="s">
        <v>4</v>
      </c>
      <c r="N98" s="133" t="s">
        <v>4</v>
      </c>
      <c r="O98" s="133" t="s">
        <v>4</v>
      </c>
      <c r="P98" s="133" t="s">
        <v>4</v>
      </c>
      <c r="Q98" s="133" t="s">
        <v>4</v>
      </c>
      <c r="R98" s="6"/>
      <c r="S98" s="6"/>
      <c r="T98" s="156"/>
      <c r="U98" s="6"/>
    </row>
    <row r="99" spans="1:28" customFormat="1">
      <c r="A99" s="100" t="s">
        <v>1096</v>
      </c>
      <c r="B99" s="133" t="s">
        <v>4</v>
      </c>
      <c r="C99" s="133" t="s">
        <v>4</v>
      </c>
      <c r="D99" s="133" t="s">
        <v>4</v>
      </c>
      <c r="E99" s="133" t="s">
        <v>4</v>
      </c>
      <c r="F99" s="133" t="s">
        <v>4</v>
      </c>
      <c r="G99" s="133" t="s">
        <v>4</v>
      </c>
      <c r="H99" s="133" t="s">
        <v>4</v>
      </c>
      <c r="I99" s="133" t="s">
        <v>4</v>
      </c>
      <c r="J99" s="133" t="s">
        <v>4</v>
      </c>
      <c r="K99" s="133" t="s">
        <v>4</v>
      </c>
      <c r="L99" s="133" t="s">
        <v>4</v>
      </c>
      <c r="M99" s="133" t="s">
        <v>4</v>
      </c>
      <c r="N99" s="133" t="s">
        <v>4</v>
      </c>
      <c r="O99" s="133" t="s">
        <v>4</v>
      </c>
      <c r="P99" s="133" t="s">
        <v>4</v>
      </c>
      <c r="Q99" s="133" t="s">
        <v>4</v>
      </c>
      <c r="R99" s="6"/>
      <c r="S99" s="6"/>
      <c r="T99" s="156"/>
      <c r="U99" s="6"/>
    </row>
    <row r="100" spans="1:28" customFormat="1">
      <c r="A100" s="100" t="s">
        <v>1097</v>
      </c>
      <c r="B100" s="150" t="s">
        <v>21</v>
      </c>
      <c r="C100" s="150" t="s">
        <v>21</v>
      </c>
      <c r="D100" s="150" t="s">
        <v>21</v>
      </c>
      <c r="E100" s="150" t="s">
        <v>21</v>
      </c>
      <c r="F100" s="150" t="s">
        <v>21</v>
      </c>
      <c r="G100" s="100">
        <v>12.77</v>
      </c>
      <c r="H100" s="100">
        <v>17.329999999999998</v>
      </c>
      <c r="I100" s="100">
        <v>0</v>
      </c>
      <c r="J100" s="100">
        <v>0.11</v>
      </c>
      <c r="K100" s="100">
        <v>186.18</v>
      </c>
      <c r="L100" s="100">
        <v>27.44</v>
      </c>
      <c r="M100" s="100">
        <v>67.28</v>
      </c>
      <c r="N100" s="100">
        <v>0</v>
      </c>
      <c r="O100" s="100">
        <v>0</v>
      </c>
      <c r="P100" s="150" t="s">
        <v>21</v>
      </c>
      <c r="Q100" s="151" t="s">
        <v>8</v>
      </c>
      <c r="R100" s="6"/>
      <c r="S100" s="6"/>
      <c r="T100" s="156"/>
      <c r="U100" s="6"/>
      <c r="AB100" s="161"/>
    </row>
    <row r="101" spans="1:28" customFormat="1">
      <c r="A101" s="100" t="s">
        <v>1098</v>
      </c>
      <c r="B101" s="100">
        <v>30.36</v>
      </c>
      <c r="C101" s="100">
        <v>51.71</v>
      </c>
      <c r="D101" s="100">
        <v>52.69</v>
      </c>
      <c r="E101" s="100">
        <v>4</v>
      </c>
      <c r="F101" s="100">
        <v>1.4</v>
      </c>
      <c r="G101" s="100">
        <v>12.77</v>
      </c>
      <c r="H101" s="100">
        <v>17.329999999999998</v>
      </c>
      <c r="I101" s="100">
        <v>0</v>
      </c>
      <c r="J101" s="100">
        <v>0.24</v>
      </c>
      <c r="K101" s="100">
        <v>225.91</v>
      </c>
      <c r="L101" s="100">
        <v>27.31</v>
      </c>
      <c r="M101" s="100">
        <v>66.930000000000007</v>
      </c>
      <c r="N101" s="100">
        <v>0</v>
      </c>
      <c r="O101" s="100">
        <v>0</v>
      </c>
      <c r="P101" s="100">
        <v>0.6</v>
      </c>
      <c r="Q101" s="151" t="s">
        <v>8</v>
      </c>
      <c r="R101" s="6"/>
      <c r="S101" s="6"/>
      <c r="T101" s="156"/>
      <c r="U101" s="6"/>
    </row>
    <row r="102" spans="1:28" customFormat="1">
      <c r="A102" s="100" t="s">
        <v>1099</v>
      </c>
      <c r="B102" s="133" t="s">
        <v>4</v>
      </c>
      <c r="C102" s="133" t="s">
        <v>4</v>
      </c>
      <c r="D102" s="133" t="s">
        <v>4</v>
      </c>
      <c r="E102" s="133" t="s">
        <v>4</v>
      </c>
      <c r="F102" s="133" t="s">
        <v>4</v>
      </c>
      <c r="G102" s="133" t="s">
        <v>4</v>
      </c>
      <c r="H102" s="133" t="s">
        <v>4</v>
      </c>
      <c r="I102" s="133" t="s">
        <v>4</v>
      </c>
      <c r="J102" s="133" t="s">
        <v>4</v>
      </c>
      <c r="K102" s="133" t="s">
        <v>4</v>
      </c>
      <c r="L102" s="133" t="s">
        <v>4</v>
      </c>
      <c r="M102" s="133" t="s">
        <v>4</v>
      </c>
      <c r="N102" s="133" t="s">
        <v>4</v>
      </c>
      <c r="O102" s="133" t="s">
        <v>4</v>
      </c>
      <c r="P102" s="133" t="s">
        <v>4</v>
      </c>
      <c r="Q102" s="133" t="s">
        <v>4</v>
      </c>
      <c r="R102" s="6"/>
      <c r="S102" s="6"/>
      <c r="T102" s="156"/>
      <c r="U102" s="6"/>
    </row>
    <row r="103" spans="1:28" customFormat="1">
      <c r="A103" s="100" t="s">
        <v>1100</v>
      </c>
      <c r="B103" s="133" t="s">
        <v>4</v>
      </c>
      <c r="C103" s="133" t="s">
        <v>4</v>
      </c>
      <c r="D103" s="133" t="s">
        <v>4</v>
      </c>
      <c r="E103" s="133" t="s">
        <v>4</v>
      </c>
      <c r="F103" s="133" t="s">
        <v>4</v>
      </c>
      <c r="G103" s="133" t="s">
        <v>4</v>
      </c>
      <c r="H103" s="133" t="s">
        <v>4</v>
      </c>
      <c r="I103" s="133" t="s">
        <v>4</v>
      </c>
      <c r="J103" s="133" t="s">
        <v>4</v>
      </c>
      <c r="K103" s="133" t="s">
        <v>4</v>
      </c>
      <c r="L103" s="133" t="s">
        <v>4</v>
      </c>
      <c r="M103" s="133" t="s">
        <v>4</v>
      </c>
      <c r="N103" s="133" t="s">
        <v>4</v>
      </c>
      <c r="O103" s="133" t="s">
        <v>4</v>
      </c>
      <c r="P103" s="133" t="s">
        <v>4</v>
      </c>
      <c r="Q103" s="133" t="s">
        <v>4</v>
      </c>
      <c r="R103" s="6"/>
      <c r="S103" s="6"/>
      <c r="T103" s="156"/>
      <c r="U103" s="6"/>
    </row>
    <row r="104" spans="1:28" customFormat="1">
      <c r="A104" s="100" t="s">
        <v>1101</v>
      </c>
      <c r="B104" s="133" t="s">
        <v>4</v>
      </c>
      <c r="C104" s="133" t="s">
        <v>4</v>
      </c>
      <c r="D104" s="133" t="s">
        <v>4</v>
      </c>
      <c r="E104" s="133" t="s">
        <v>4</v>
      </c>
      <c r="F104" s="133" t="s">
        <v>4</v>
      </c>
      <c r="G104" s="133" t="s">
        <v>4</v>
      </c>
      <c r="H104" s="133" t="s">
        <v>4</v>
      </c>
      <c r="I104" s="133" t="s">
        <v>4</v>
      </c>
      <c r="J104" s="133" t="s">
        <v>4</v>
      </c>
      <c r="K104" s="133" t="s">
        <v>4</v>
      </c>
      <c r="L104" s="133" t="s">
        <v>4</v>
      </c>
      <c r="M104" s="133" t="s">
        <v>4</v>
      </c>
      <c r="N104" s="133" t="s">
        <v>4</v>
      </c>
      <c r="O104" s="133" t="s">
        <v>4</v>
      </c>
      <c r="P104" s="133" t="s">
        <v>4</v>
      </c>
      <c r="Q104" s="133" t="s">
        <v>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3.73</v>
      </c>
      <c r="C106" s="158">
        <f>MIN(C9:C104)</f>
        <v>4.43</v>
      </c>
      <c r="D106" s="158">
        <f t="shared" ref="D106:Q106" si="0">MIN(D9:D104)</f>
        <v>16.82</v>
      </c>
      <c r="E106" s="158">
        <f t="shared" si="0"/>
        <v>0</v>
      </c>
      <c r="F106" s="158">
        <f t="shared" si="0"/>
        <v>1</v>
      </c>
      <c r="G106" s="158">
        <f t="shared" si="0"/>
        <v>12.77</v>
      </c>
      <c r="H106" s="158">
        <f t="shared" si="0"/>
        <v>17.329999999999998</v>
      </c>
      <c r="I106" s="158">
        <f t="shared" si="0"/>
        <v>0</v>
      </c>
      <c r="J106" s="158">
        <f t="shared" si="0"/>
        <v>0.02</v>
      </c>
      <c r="K106" s="158">
        <f t="shared" si="0"/>
        <v>-7.0000000000000007E-2</v>
      </c>
      <c r="L106" s="158">
        <f t="shared" si="0"/>
        <v>25.64</v>
      </c>
      <c r="M106" s="158">
        <f t="shared" si="0"/>
        <v>27.86</v>
      </c>
      <c r="N106" s="158">
        <f t="shared" si="0"/>
        <v>0</v>
      </c>
      <c r="O106" s="158">
        <f t="shared" si="0"/>
        <v>0</v>
      </c>
      <c r="P106" s="158">
        <f t="shared" si="0"/>
        <v>0.36</v>
      </c>
      <c r="Q106" s="158">
        <f t="shared" si="0"/>
        <v>3.14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35.229999999999997</v>
      </c>
      <c r="C107" s="157">
        <f t="shared" ref="C107:Q107" si="1">MAX(C9:C104)</f>
        <v>88.34</v>
      </c>
      <c r="D107" s="157">
        <f t="shared" si="1"/>
        <v>65.319999999999993</v>
      </c>
      <c r="E107" s="157">
        <f t="shared" si="1"/>
        <v>150.15</v>
      </c>
      <c r="F107" s="157">
        <f t="shared" si="1"/>
        <v>124.07</v>
      </c>
      <c r="G107" s="157">
        <f t="shared" si="1"/>
        <v>234.8</v>
      </c>
      <c r="H107" s="157">
        <f t="shared" si="1"/>
        <v>64.400000000000006</v>
      </c>
      <c r="I107" s="157">
        <f t="shared" si="1"/>
        <v>8.59</v>
      </c>
      <c r="J107" s="157">
        <f t="shared" si="1"/>
        <v>3.59</v>
      </c>
      <c r="K107" s="157">
        <f t="shared" si="1"/>
        <v>346.16</v>
      </c>
      <c r="L107" s="157">
        <f t="shared" si="1"/>
        <v>39.44</v>
      </c>
      <c r="M107" s="157">
        <f t="shared" si="1"/>
        <v>80.739999999999995</v>
      </c>
      <c r="N107" s="157">
        <f t="shared" si="1"/>
        <v>756.5</v>
      </c>
      <c r="O107" s="157">
        <f t="shared" si="1"/>
        <v>0</v>
      </c>
      <c r="P107" s="157">
        <f t="shared" si="1"/>
        <v>1.27</v>
      </c>
      <c r="Q107" s="157">
        <f t="shared" si="1"/>
        <v>6.23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16.49976744186046</v>
      </c>
      <c r="C108" s="158">
        <f t="shared" ref="C108:Q108" si="2">AVERAGE(C9:C104)</f>
        <v>50.670470588235283</v>
      </c>
      <c r="D108" s="158">
        <f t="shared" si="2"/>
        <v>41.664352941176489</v>
      </c>
      <c r="E108" s="158">
        <f t="shared" si="2"/>
        <v>18.515647058823529</v>
      </c>
      <c r="F108" s="158">
        <f t="shared" si="2"/>
        <v>31.201294117647056</v>
      </c>
      <c r="G108" s="158">
        <f t="shared" si="2"/>
        <v>76.212758620689684</v>
      </c>
      <c r="H108" s="158">
        <f t="shared" si="2"/>
        <v>30.073448275862066</v>
      </c>
      <c r="I108" s="158">
        <f t="shared" si="2"/>
        <v>4.0811494252873555</v>
      </c>
      <c r="J108" s="158">
        <f t="shared" si="2"/>
        <v>0.44750000000000012</v>
      </c>
      <c r="K108" s="158">
        <f t="shared" si="2"/>
        <v>171.21436781609194</v>
      </c>
      <c r="L108" s="158">
        <f t="shared" si="2"/>
        <v>32.011839080459765</v>
      </c>
      <c r="M108" s="158">
        <f t="shared" si="2"/>
        <v>53.687701149425294</v>
      </c>
      <c r="N108" s="158">
        <f t="shared" si="2"/>
        <v>172.59655172413787</v>
      </c>
      <c r="O108" s="158">
        <f t="shared" si="2"/>
        <v>0</v>
      </c>
      <c r="P108" s="158">
        <f t="shared" si="2"/>
        <v>0.50959459459459466</v>
      </c>
      <c r="Q108" s="158">
        <f t="shared" si="2"/>
        <v>4.5145679012345683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11.505088488219085</v>
      </c>
      <c r="C109" s="158">
        <f t="shared" ref="C109:Q109" si="3">STDEV(C9:C104)</f>
        <v>16.747644461655103</v>
      </c>
      <c r="D109" s="158">
        <f t="shared" si="3"/>
        <v>15.932674232760846</v>
      </c>
      <c r="E109" s="158">
        <f t="shared" si="3"/>
        <v>23.132746653415214</v>
      </c>
      <c r="F109" s="158">
        <f t="shared" si="3"/>
        <v>35.436945671762082</v>
      </c>
      <c r="G109" s="158">
        <f t="shared" si="3"/>
        <v>49.076748809358499</v>
      </c>
      <c r="H109" s="158">
        <f t="shared" si="3"/>
        <v>10.014338537478341</v>
      </c>
      <c r="I109" s="158">
        <f t="shared" si="3"/>
        <v>2.1651528896482128</v>
      </c>
      <c r="J109" s="158">
        <f t="shared" si="3"/>
        <v>0.56011544376568245</v>
      </c>
      <c r="K109" s="158">
        <f t="shared" si="3"/>
        <v>99.583783536733833</v>
      </c>
      <c r="L109" s="158">
        <f t="shared" si="3"/>
        <v>4.6751066468959221</v>
      </c>
      <c r="M109" s="158">
        <f t="shared" si="3"/>
        <v>16.250476536923212</v>
      </c>
      <c r="N109" s="158">
        <f t="shared" si="3"/>
        <v>239.40776174410044</v>
      </c>
      <c r="O109" s="158">
        <f t="shared" si="3"/>
        <v>0</v>
      </c>
      <c r="P109" s="158">
        <f t="shared" si="3"/>
        <v>0.1786819259335225</v>
      </c>
      <c r="Q109" s="158">
        <f t="shared" si="3"/>
        <v>0.77738511913772457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O110" si="4">COUNT(B9:B104)</f>
        <v>86</v>
      </c>
      <c r="C110" s="157">
        <f t="shared" si="4"/>
        <v>85</v>
      </c>
      <c r="D110" s="157">
        <f t="shared" si="4"/>
        <v>85</v>
      </c>
      <c r="E110" s="157">
        <f t="shared" si="4"/>
        <v>85</v>
      </c>
      <c r="F110" s="157">
        <f t="shared" si="4"/>
        <v>85</v>
      </c>
      <c r="G110" s="157">
        <f t="shared" si="4"/>
        <v>87</v>
      </c>
      <c r="H110" s="157">
        <f t="shared" si="4"/>
        <v>87</v>
      </c>
      <c r="I110" s="157">
        <f t="shared" si="4"/>
        <v>87</v>
      </c>
      <c r="J110" s="157">
        <f t="shared" si="4"/>
        <v>88</v>
      </c>
      <c r="K110" s="157">
        <f t="shared" si="4"/>
        <v>87</v>
      </c>
      <c r="L110" s="157">
        <f t="shared" si="4"/>
        <v>87</v>
      </c>
      <c r="M110" s="157">
        <f t="shared" si="4"/>
        <v>87</v>
      </c>
      <c r="N110" s="157">
        <f t="shared" si="4"/>
        <v>87</v>
      </c>
      <c r="O110" s="157">
        <f t="shared" si="4"/>
        <v>87</v>
      </c>
      <c r="P110" s="157">
        <v>85</v>
      </c>
      <c r="Q110" s="157">
        <v>86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B110" sqref="B110:E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45056.010416666664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0">
        <v>45056.010416666664</v>
      </c>
      <c r="B9" s="133" t="s">
        <v>4</v>
      </c>
      <c r="C9" s="133" t="s">
        <v>4</v>
      </c>
      <c r="D9" s="133" t="s">
        <v>4</v>
      </c>
      <c r="E9" s="133" t="s">
        <v>4</v>
      </c>
      <c r="F9" s="133" t="s">
        <v>4</v>
      </c>
      <c r="G9" s="133" t="s">
        <v>4</v>
      </c>
      <c r="H9" s="133" t="s">
        <v>4</v>
      </c>
      <c r="I9" s="133" t="s">
        <v>4</v>
      </c>
      <c r="J9" s="133" t="s">
        <v>4</v>
      </c>
      <c r="K9" s="133" t="s">
        <v>4</v>
      </c>
      <c r="L9" s="133" t="s">
        <v>4</v>
      </c>
      <c r="M9" s="133" t="s">
        <v>4</v>
      </c>
      <c r="N9" s="133" t="s">
        <v>4</v>
      </c>
      <c r="O9" s="133" t="s">
        <v>4</v>
      </c>
      <c r="P9" s="133" t="s">
        <v>4</v>
      </c>
      <c r="Q9" s="133" t="s">
        <v>4</v>
      </c>
    </row>
    <row r="10" spans="1:21" customFormat="1">
      <c r="A10" s="100" t="s">
        <v>1103</v>
      </c>
      <c r="B10" s="133" t="s">
        <v>4</v>
      </c>
      <c r="C10" s="133" t="s">
        <v>4</v>
      </c>
      <c r="D10" s="133" t="s">
        <v>4</v>
      </c>
      <c r="E10" s="133" t="s">
        <v>4</v>
      </c>
      <c r="F10" s="133" t="s">
        <v>4</v>
      </c>
      <c r="G10" s="133" t="s">
        <v>4</v>
      </c>
      <c r="H10" s="133" t="s">
        <v>4</v>
      </c>
      <c r="I10" s="133" t="s">
        <v>4</v>
      </c>
      <c r="J10" s="133" t="s">
        <v>4</v>
      </c>
      <c r="K10" s="133" t="s">
        <v>4</v>
      </c>
      <c r="L10" s="133" t="s">
        <v>4</v>
      </c>
      <c r="M10" s="133" t="s">
        <v>4</v>
      </c>
      <c r="N10" s="133" t="s">
        <v>4</v>
      </c>
      <c r="O10" s="133" t="s">
        <v>4</v>
      </c>
      <c r="P10" s="133" t="s">
        <v>4</v>
      </c>
      <c r="Q10" s="133" t="s">
        <v>4</v>
      </c>
    </row>
    <row r="11" spans="1:21" customFormat="1">
      <c r="A11" s="100" t="s">
        <v>1104</v>
      </c>
      <c r="B11" s="133" t="s">
        <v>4</v>
      </c>
      <c r="C11" s="133" t="s">
        <v>4</v>
      </c>
      <c r="D11" s="133" t="s">
        <v>4</v>
      </c>
      <c r="E11" s="133" t="s">
        <v>4</v>
      </c>
      <c r="F11" s="133" t="s">
        <v>4</v>
      </c>
      <c r="G11" s="133" t="s">
        <v>4</v>
      </c>
      <c r="H11" s="133" t="s">
        <v>4</v>
      </c>
      <c r="I11" s="133" t="s">
        <v>4</v>
      </c>
      <c r="J11" s="133" t="s">
        <v>4</v>
      </c>
      <c r="K11" s="133" t="s">
        <v>4</v>
      </c>
      <c r="L11" s="133" t="s">
        <v>4</v>
      </c>
      <c r="M11" s="133" t="s">
        <v>4</v>
      </c>
      <c r="N11" s="133" t="s">
        <v>4</v>
      </c>
      <c r="O11" s="133" t="s">
        <v>4</v>
      </c>
      <c r="P11" s="133" t="s">
        <v>4</v>
      </c>
      <c r="Q11" s="133" t="s">
        <v>4</v>
      </c>
    </row>
    <row r="12" spans="1:21" customFormat="1">
      <c r="A12" s="100" t="s">
        <v>1105</v>
      </c>
      <c r="B12" s="133" t="s">
        <v>4</v>
      </c>
      <c r="C12" s="133" t="s">
        <v>4</v>
      </c>
      <c r="D12" s="133" t="s">
        <v>4</v>
      </c>
      <c r="E12" s="133" t="s">
        <v>4</v>
      </c>
      <c r="F12" s="133" t="s">
        <v>4</v>
      </c>
      <c r="G12" s="133" t="s">
        <v>4</v>
      </c>
      <c r="H12" s="133" t="s">
        <v>4</v>
      </c>
      <c r="I12" s="133" t="s">
        <v>4</v>
      </c>
      <c r="J12" s="133" t="s">
        <v>4</v>
      </c>
      <c r="K12" s="133" t="s">
        <v>4</v>
      </c>
      <c r="L12" s="133" t="s">
        <v>4</v>
      </c>
      <c r="M12" s="133" t="s">
        <v>4</v>
      </c>
      <c r="N12" s="133" t="s">
        <v>4</v>
      </c>
      <c r="O12" s="133" t="s">
        <v>4</v>
      </c>
      <c r="P12" s="133" t="s">
        <v>4</v>
      </c>
      <c r="Q12" s="133" t="s">
        <v>4</v>
      </c>
    </row>
    <row r="13" spans="1:21" customFormat="1">
      <c r="A13" s="100" t="s">
        <v>1106</v>
      </c>
      <c r="B13" s="150" t="s">
        <v>21</v>
      </c>
      <c r="C13" s="150" t="s">
        <v>21</v>
      </c>
      <c r="D13" s="150" t="s">
        <v>21</v>
      </c>
      <c r="E13" s="150" t="s">
        <v>21</v>
      </c>
      <c r="F13" s="150" t="s">
        <v>21</v>
      </c>
      <c r="G13" s="100">
        <v>16.86</v>
      </c>
      <c r="H13" s="100">
        <v>11.96</v>
      </c>
      <c r="I13" s="100">
        <v>0</v>
      </c>
      <c r="J13" s="100">
        <v>0.16</v>
      </c>
      <c r="K13" s="100">
        <v>162.99</v>
      </c>
      <c r="L13" s="100">
        <v>26.48</v>
      </c>
      <c r="M13" s="100">
        <v>70.23</v>
      </c>
      <c r="N13" s="100">
        <v>0</v>
      </c>
      <c r="O13" s="100">
        <v>0</v>
      </c>
      <c r="P13" s="100">
        <v>0.31</v>
      </c>
      <c r="Q13" s="150" t="s">
        <v>21</v>
      </c>
    </row>
    <row r="14" spans="1:21" customFormat="1">
      <c r="A14" s="100" t="s">
        <v>1107</v>
      </c>
      <c r="B14" s="100">
        <v>41.2</v>
      </c>
      <c r="C14" s="100">
        <v>36.42</v>
      </c>
      <c r="D14" s="100">
        <v>53.42</v>
      </c>
      <c r="E14" s="151" t="s">
        <v>8</v>
      </c>
      <c r="F14" s="150" t="s">
        <v>21</v>
      </c>
      <c r="G14" s="100">
        <v>2.4300000000000002</v>
      </c>
      <c r="H14" s="100">
        <v>1.21</v>
      </c>
      <c r="I14" s="100">
        <v>0</v>
      </c>
      <c r="J14" s="100">
        <v>0.18</v>
      </c>
      <c r="K14" s="100">
        <v>214.21</v>
      </c>
      <c r="L14" s="100">
        <v>26.68</v>
      </c>
      <c r="M14" s="100">
        <v>67.209999999999994</v>
      </c>
      <c r="N14" s="100">
        <v>0</v>
      </c>
      <c r="O14" s="100">
        <v>0</v>
      </c>
      <c r="P14" s="100">
        <v>0.4</v>
      </c>
      <c r="Q14" s="150" t="s">
        <v>21</v>
      </c>
    </row>
    <row r="15" spans="1:21" customFormat="1">
      <c r="A15" s="100" t="s">
        <v>1108</v>
      </c>
      <c r="B15" s="100">
        <v>41.92</v>
      </c>
      <c r="C15" s="100">
        <v>39.75</v>
      </c>
      <c r="D15" s="100">
        <v>55.74</v>
      </c>
      <c r="E15" s="151" t="s">
        <v>8</v>
      </c>
      <c r="F15" s="100">
        <v>1.29</v>
      </c>
      <c r="G15" s="151" t="s">
        <v>8</v>
      </c>
      <c r="H15" s="151" t="s">
        <v>8</v>
      </c>
      <c r="I15" s="100">
        <v>0</v>
      </c>
      <c r="J15" s="100">
        <v>0.23</v>
      </c>
      <c r="K15" s="100">
        <v>228.47</v>
      </c>
      <c r="L15" s="100">
        <v>26.75</v>
      </c>
      <c r="M15" s="100">
        <v>65.39</v>
      </c>
      <c r="N15" s="100">
        <v>0</v>
      </c>
      <c r="O15" s="100">
        <v>0</v>
      </c>
      <c r="P15" s="100">
        <v>0.3</v>
      </c>
      <c r="Q15" s="100">
        <v>4.72</v>
      </c>
    </row>
    <row r="16" spans="1:21" customFormat="1">
      <c r="A16" s="100" t="s">
        <v>1109</v>
      </c>
      <c r="B16" s="100">
        <v>40.25</v>
      </c>
      <c r="C16" s="100">
        <v>44.12</v>
      </c>
      <c r="D16" s="100">
        <v>56.68</v>
      </c>
      <c r="E16" s="151" t="s">
        <v>8</v>
      </c>
      <c r="F16" s="100">
        <v>3.18</v>
      </c>
      <c r="G16" s="151" t="s">
        <v>8</v>
      </c>
      <c r="H16" s="151" t="s">
        <v>8</v>
      </c>
      <c r="I16" s="100">
        <v>0</v>
      </c>
      <c r="J16" s="100">
        <v>0.17</v>
      </c>
      <c r="K16" s="100">
        <v>233.24</v>
      </c>
      <c r="L16" s="100">
        <v>26.65</v>
      </c>
      <c r="M16" s="100">
        <v>66.849999999999994</v>
      </c>
      <c r="N16" s="100">
        <v>0</v>
      </c>
      <c r="O16" s="100">
        <v>0</v>
      </c>
      <c r="P16" s="100">
        <v>0.28000000000000003</v>
      </c>
      <c r="Q16" s="100">
        <v>4.72</v>
      </c>
    </row>
    <row r="17" spans="1:17" customFormat="1">
      <c r="A17" s="100" t="s">
        <v>1110</v>
      </c>
      <c r="B17" s="100">
        <v>39.24</v>
      </c>
      <c r="C17" s="100">
        <v>45.27</v>
      </c>
      <c r="D17" s="100">
        <v>56.47</v>
      </c>
      <c r="E17" s="151" t="s">
        <v>8</v>
      </c>
      <c r="F17" s="100">
        <v>3.88</v>
      </c>
      <c r="G17" s="151" t="s">
        <v>8</v>
      </c>
      <c r="H17" s="151" t="s">
        <v>8</v>
      </c>
      <c r="I17" s="100">
        <v>0</v>
      </c>
      <c r="J17" s="100">
        <v>0.17</v>
      </c>
      <c r="K17" s="100">
        <v>209.3</v>
      </c>
      <c r="L17" s="100">
        <v>26.38</v>
      </c>
      <c r="M17" s="100">
        <v>68.319999999999993</v>
      </c>
      <c r="N17" s="100">
        <v>0</v>
      </c>
      <c r="O17" s="100">
        <v>0</v>
      </c>
      <c r="P17" s="100">
        <v>0.26</v>
      </c>
      <c r="Q17" s="100">
        <v>4.55</v>
      </c>
    </row>
    <row r="18" spans="1:17" customFormat="1">
      <c r="A18" s="100" t="s">
        <v>1111</v>
      </c>
      <c r="B18" s="100">
        <v>38.130000000000003</v>
      </c>
      <c r="C18" s="100">
        <v>46.02</v>
      </c>
      <c r="D18" s="100">
        <v>55.97</v>
      </c>
      <c r="E18" s="151" t="s">
        <v>8</v>
      </c>
      <c r="F18" s="100">
        <v>4.24</v>
      </c>
      <c r="G18" s="100">
        <v>22.41</v>
      </c>
      <c r="H18" s="100">
        <v>9.5399999999999991</v>
      </c>
      <c r="I18" s="100">
        <v>0</v>
      </c>
      <c r="J18" s="100">
        <v>-0.26</v>
      </c>
      <c r="K18" s="100">
        <v>0.12</v>
      </c>
      <c r="L18" s="100">
        <v>26.32</v>
      </c>
      <c r="M18" s="100">
        <v>68.650000000000006</v>
      </c>
      <c r="N18" s="100">
        <v>0</v>
      </c>
      <c r="O18" s="100">
        <v>0</v>
      </c>
      <c r="P18" s="100">
        <v>0.25</v>
      </c>
      <c r="Q18" s="100">
        <v>4.45</v>
      </c>
    </row>
    <row r="19" spans="1:17" customFormat="1">
      <c r="A19" s="100" t="s">
        <v>1112</v>
      </c>
      <c r="B19" s="100">
        <v>38.32</v>
      </c>
      <c r="C19" s="100">
        <v>49.09</v>
      </c>
      <c r="D19" s="100">
        <v>57.73</v>
      </c>
      <c r="E19" s="151" t="s">
        <v>8</v>
      </c>
      <c r="F19" s="100">
        <v>3.83</v>
      </c>
      <c r="G19" s="100">
        <v>23.19</v>
      </c>
      <c r="H19" s="100">
        <v>9.5399999999999991</v>
      </c>
      <c r="I19" s="100">
        <v>0</v>
      </c>
      <c r="J19" s="100">
        <v>0.56999999999999995</v>
      </c>
      <c r="K19" s="100">
        <v>253.35</v>
      </c>
      <c r="L19" s="100">
        <v>26.66</v>
      </c>
      <c r="M19" s="100">
        <v>66.19</v>
      </c>
      <c r="N19" s="100">
        <v>0</v>
      </c>
      <c r="O19" s="100">
        <v>0</v>
      </c>
      <c r="P19" s="100">
        <v>0.24</v>
      </c>
      <c r="Q19" s="151" t="s">
        <v>8</v>
      </c>
    </row>
    <row r="20" spans="1:17" customFormat="1">
      <c r="A20" s="100" t="s">
        <v>1113</v>
      </c>
      <c r="B20" s="100">
        <v>37.659999999999997</v>
      </c>
      <c r="C20" s="100">
        <v>48.62</v>
      </c>
      <c r="D20" s="100">
        <v>56.96</v>
      </c>
      <c r="E20" s="151" t="s">
        <v>8</v>
      </c>
      <c r="F20" s="100">
        <v>4.42</v>
      </c>
      <c r="G20" s="100">
        <v>23.19</v>
      </c>
      <c r="H20" s="100">
        <v>9.5399999999999991</v>
      </c>
      <c r="I20" s="100">
        <v>0</v>
      </c>
      <c r="J20" s="100">
        <v>0.22</v>
      </c>
      <c r="K20" s="100">
        <v>255.9</v>
      </c>
      <c r="L20" s="100">
        <v>26.73</v>
      </c>
      <c r="M20" s="100">
        <v>66.430000000000007</v>
      </c>
      <c r="N20" s="100">
        <v>0</v>
      </c>
      <c r="O20" s="100">
        <v>0</v>
      </c>
      <c r="P20" s="100">
        <v>0.25</v>
      </c>
      <c r="Q20" s="100">
        <v>4.37</v>
      </c>
    </row>
    <row r="21" spans="1:17" customFormat="1">
      <c r="A21" s="100" t="s">
        <v>1114</v>
      </c>
      <c r="B21" s="100">
        <v>36.99</v>
      </c>
      <c r="C21" s="100">
        <v>50.18</v>
      </c>
      <c r="D21" s="100">
        <v>57.23</v>
      </c>
      <c r="E21" s="151" t="s">
        <v>8</v>
      </c>
      <c r="F21" s="100">
        <v>4.59</v>
      </c>
      <c r="G21" s="100">
        <v>23.19</v>
      </c>
      <c r="H21" s="100">
        <v>9.5399999999999991</v>
      </c>
      <c r="I21" s="100">
        <v>4.07</v>
      </c>
      <c r="J21" s="100">
        <v>0.28000000000000003</v>
      </c>
      <c r="K21" s="100">
        <v>218.13</v>
      </c>
      <c r="L21" s="100">
        <v>26.75</v>
      </c>
      <c r="M21" s="100">
        <v>67.349999999999994</v>
      </c>
      <c r="N21" s="100">
        <v>0</v>
      </c>
      <c r="O21" s="100">
        <v>0</v>
      </c>
      <c r="P21" s="100">
        <v>0.25</v>
      </c>
      <c r="Q21" s="100">
        <v>4.29</v>
      </c>
    </row>
    <row r="22" spans="1:17" customFormat="1">
      <c r="A22" s="100" t="s">
        <v>1115</v>
      </c>
      <c r="B22" s="100">
        <v>36.130000000000003</v>
      </c>
      <c r="C22" s="100">
        <v>51.26</v>
      </c>
      <c r="D22" s="100">
        <v>57.11</v>
      </c>
      <c r="E22" s="151" t="s">
        <v>8</v>
      </c>
      <c r="F22" s="100">
        <v>4.49</v>
      </c>
      <c r="G22" s="100">
        <v>20.34</v>
      </c>
      <c r="H22" s="100">
        <v>12.21</v>
      </c>
      <c r="I22" s="100">
        <v>4.68</v>
      </c>
      <c r="J22" s="100">
        <v>0.32</v>
      </c>
      <c r="K22" s="100">
        <v>228.75</v>
      </c>
      <c r="L22" s="100">
        <v>26.74</v>
      </c>
      <c r="M22" s="100">
        <v>68.19</v>
      </c>
      <c r="N22" s="100">
        <v>0</v>
      </c>
      <c r="O22" s="100">
        <v>0</v>
      </c>
      <c r="P22" s="100">
        <v>0.25</v>
      </c>
      <c r="Q22" s="100">
        <v>4.2699999999999996</v>
      </c>
    </row>
    <row r="23" spans="1:17" customFormat="1">
      <c r="A23" s="100" t="s">
        <v>1116</v>
      </c>
      <c r="B23" s="100">
        <v>35.85</v>
      </c>
      <c r="C23" s="100">
        <v>51.99</v>
      </c>
      <c r="D23" s="100">
        <v>57.26</v>
      </c>
      <c r="E23" s="151" t="s">
        <v>8</v>
      </c>
      <c r="F23" s="100">
        <v>4.0199999999999996</v>
      </c>
      <c r="G23" s="100">
        <v>20.239999999999998</v>
      </c>
      <c r="H23" s="100">
        <v>12.21</v>
      </c>
      <c r="I23" s="100">
        <v>4.54</v>
      </c>
      <c r="J23" s="100">
        <v>0.19</v>
      </c>
      <c r="K23" s="100">
        <v>220.36</v>
      </c>
      <c r="L23" s="100">
        <v>26.31</v>
      </c>
      <c r="M23" s="100">
        <v>71.349999999999994</v>
      </c>
      <c r="N23" s="100">
        <v>0</v>
      </c>
      <c r="O23" s="100">
        <v>0</v>
      </c>
      <c r="P23" s="100">
        <v>0.25</v>
      </c>
      <c r="Q23" s="100">
        <v>4.28</v>
      </c>
    </row>
    <row r="24" spans="1:17" customFormat="1">
      <c r="A24" s="100" t="s">
        <v>1117</v>
      </c>
      <c r="B24" s="100">
        <v>35.29</v>
      </c>
      <c r="C24" s="100">
        <v>53.09</v>
      </c>
      <c r="D24" s="100">
        <v>57.39</v>
      </c>
      <c r="E24" s="151" t="s">
        <v>8</v>
      </c>
      <c r="F24" s="100">
        <v>3.84</v>
      </c>
      <c r="G24" s="100">
        <v>20.239999999999998</v>
      </c>
      <c r="H24" s="100">
        <v>12.21</v>
      </c>
      <c r="I24" s="100">
        <v>4.5599999999999996</v>
      </c>
      <c r="J24" s="100">
        <v>0.31</v>
      </c>
      <c r="K24" s="100">
        <v>237.44</v>
      </c>
      <c r="L24" s="100">
        <v>26.19</v>
      </c>
      <c r="M24" s="100">
        <v>71.73</v>
      </c>
      <c r="N24" s="100">
        <v>0</v>
      </c>
      <c r="O24" s="100">
        <v>0</v>
      </c>
      <c r="P24" s="100">
        <v>0.26</v>
      </c>
      <c r="Q24" s="100">
        <v>4.2699999999999996</v>
      </c>
    </row>
    <row r="25" spans="1:17" customFormat="1">
      <c r="A25" s="100" t="s">
        <v>1118</v>
      </c>
      <c r="B25" s="100">
        <v>34.56</v>
      </c>
      <c r="C25" s="100">
        <v>52.71</v>
      </c>
      <c r="D25" s="100">
        <v>56.6</v>
      </c>
      <c r="E25" s="151" t="s">
        <v>8</v>
      </c>
      <c r="F25" s="100">
        <v>4.08</v>
      </c>
      <c r="G25" s="100">
        <v>20.239999999999998</v>
      </c>
      <c r="H25" s="100">
        <v>12.21</v>
      </c>
      <c r="I25" s="100">
        <v>4.59</v>
      </c>
      <c r="J25" s="100">
        <v>0.32</v>
      </c>
      <c r="K25" s="100">
        <v>222.15</v>
      </c>
      <c r="L25" s="100">
        <v>26.28</v>
      </c>
      <c r="M25" s="100">
        <v>70.819999999999993</v>
      </c>
      <c r="N25" s="100">
        <v>0</v>
      </c>
      <c r="O25" s="100">
        <v>0</v>
      </c>
      <c r="P25" s="100">
        <v>0.25</v>
      </c>
      <c r="Q25" s="100">
        <v>4.1900000000000004</v>
      </c>
    </row>
    <row r="26" spans="1:17" customFormat="1">
      <c r="A26" s="100" t="s">
        <v>1119</v>
      </c>
      <c r="B26" s="100">
        <v>33.950000000000003</v>
      </c>
      <c r="C26" s="100">
        <v>53.15</v>
      </c>
      <c r="D26" s="100">
        <v>56.35</v>
      </c>
      <c r="E26" s="151" t="s">
        <v>8</v>
      </c>
      <c r="F26" s="100">
        <v>4.1399999999999997</v>
      </c>
      <c r="G26" s="100">
        <v>28.31</v>
      </c>
      <c r="H26" s="100">
        <v>12.43</v>
      </c>
      <c r="I26" s="100">
        <v>4.54</v>
      </c>
      <c r="J26" s="100">
        <v>0.21</v>
      </c>
      <c r="K26" s="100">
        <v>224.01</v>
      </c>
      <c r="L26" s="100">
        <v>26.11</v>
      </c>
      <c r="M26" s="100">
        <v>71.290000000000006</v>
      </c>
      <c r="N26" s="100">
        <v>0</v>
      </c>
      <c r="O26" s="100">
        <v>0</v>
      </c>
      <c r="P26" s="100">
        <v>0.25</v>
      </c>
      <c r="Q26" s="100">
        <v>4.17</v>
      </c>
    </row>
    <row r="27" spans="1:17" customFormat="1">
      <c r="A27" s="100" t="s">
        <v>1120</v>
      </c>
      <c r="B27" s="100">
        <v>33.58</v>
      </c>
      <c r="C27" s="100">
        <v>52.8</v>
      </c>
      <c r="D27" s="100">
        <v>55.86</v>
      </c>
      <c r="E27" s="151" t="s">
        <v>8</v>
      </c>
      <c r="F27" s="100">
        <v>4.32</v>
      </c>
      <c r="G27" s="100">
        <v>28.58</v>
      </c>
      <c r="H27" s="100">
        <v>12.43</v>
      </c>
      <c r="I27" s="100">
        <v>4.4800000000000004</v>
      </c>
      <c r="J27" s="100">
        <v>0.32</v>
      </c>
      <c r="K27" s="100">
        <v>291.61</v>
      </c>
      <c r="L27" s="100">
        <v>26.38</v>
      </c>
      <c r="M27" s="100">
        <v>68.73</v>
      </c>
      <c r="N27" s="100">
        <v>0</v>
      </c>
      <c r="O27" s="100">
        <v>0</v>
      </c>
      <c r="P27" s="100">
        <v>0.24</v>
      </c>
      <c r="Q27" s="100">
        <v>4.13</v>
      </c>
    </row>
    <row r="28" spans="1:17" customFormat="1">
      <c r="A28" s="100" t="s">
        <v>1121</v>
      </c>
      <c r="B28" s="100">
        <v>33.18</v>
      </c>
      <c r="C28" s="100">
        <v>52.62</v>
      </c>
      <c r="D28" s="100">
        <v>55.45</v>
      </c>
      <c r="E28" s="151" t="s">
        <v>8</v>
      </c>
      <c r="F28" s="100">
        <v>4.4000000000000004</v>
      </c>
      <c r="G28" s="100">
        <v>28.58</v>
      </c>
      <c r="H28" s="100">
        <v>12.43</v>
      </c>
      <c r="I28" s="100">
        <v>4.46</v>
      </c>
      <c r="J28" s="100">
        <v>0.17</v>
      </c>
      <c r="K28" s="100">
        <v>9.3000000000000007</v>
      </c>
      <c r="L28" s="100">
        <v>26.58</v>
      </c>
      <c r="M28" s="100">
        <v>67.61</v>
      </c>
      <c r="N28" s="100">
        <v>0</v>
      </c>
      <c r="O28" s="100">
        <v>0</v>
      </c>
      <c r="P28" s="100">
        <v>0.24</v>
      </c>
      <c r="Q28" s="100">
        <v>4.12</v>
      </c>
    </row>
    <row r="29" spans="1:17" customFormat="1">
      <c r="A29" s="100" t="s">
        <v>1122</v>
      </c>
      <c r="B29" s="100">
        <v>32.81</v>
      </c>
      <c r="C29" s="100">
        <v>53.93</v>
      </c>
      <c r="D29" s="100">
        <v>55.84</v>
      </c>
      <c r="E29" s="151" t="s">
        <v>8</v>
      </c>
      <c r="F29" s="100">
        <v>4.62</v>
      </c>
      <c r="G29" s="100">
        <v>28.58</v>
      </c>
      <c r="H29" s="100">
        <v>12.43</v>
      </c>
      <c r="I29" s="100">
        <v>4.41</v>
      </c>
      <c r="J29" s="100">
        <v>0.36</v>
      </c>
      <c r="K29" s="100">
        <v>0.2</v>
      </c>
      <c r="L29" s="100">
        <v>26.54</v>
      </c>
      <c r="M29" s="100">
        <v>68.31</v>
      </c>
      <c r="N29" s="100">
        <v>0</v>
      </c>
      <c r="O29" s="100">
        <v>0</v>
      </c>
      <c r="P29" s="100">
        <v>0.25</v>
      </c>
      <c r="Q29" s="100">
        <v>4.1399999999999997</v>
      </c>
    </row>
    <row r="30" spans="1:17" customFormat="1">
      <c r="A30" s="100" t="s">
        <v>1123</v>
      </c>
      <c r="B30" s="100">
        <v>32.76</v>
      </c>
      <c r="C30" s="100">
        <v>54.12</v>
      </c>
      <c r="D30" s="100">
        <v>55.9</v>
      </c>
      <c r="E30" s="151" t="s">
        <v>8</v>
      </c>
      <c r="F30" s="100">
        <v>4.5999999999999996</v>
      </c>
      <c r="G30" s="100">
        <v>31.64</v>
      </c>
      <c r="H30" s="100">
        <v>11.6</v>
      </c>
      <c r="I30" s="100">
        <v>4.3899999999999997</v>
      </c>
      <c r="J30" s="100">
        <v>0.54</v>
      </c>
      <c r="K30" s="100">
        <v>40.58</v>
      </c>
      <c r="L30" s="100">
        <v>26.2</v>
      </c>
      <c r="M30" s="100">
        <v>70.81</v>
      </c>
      <c r="N30" s="100">
        <v>0.1</v>
      </c>
      <c r="O30" s="100">
        <v>0</v>
      </c>
      <c r="P30" s="100">
        <v>0.25</v>
      </c>
      <c r="Q30" s="100">
        <v>4.13</v>
      </c>
    </row>
    <row r="31" spans="1:17" customFormat="1">
      <c r="A31" s="100" t="s">
        <v>1124</v>
      </c>
      <c r="B31" s="100">
        <v>33.409999999999997</v>
      </c>
      <c r="C31" s="100">
        <v>53.7</v>
      </c>
      <c r="D31" s="100">
        <v>56.2</v>
      </c>
      <c r="E31" s="151" t="s">
        <v>8</v>
      </c>
      <c r="F31" s="100">
        <v>4.1399999999999997</v>
      </c>
      <c r="G31" s="100">
        <v>31.75</v>
      </c>
      <c r="H31" s="100">
        <v>11.6</v>
      </c>
      <c r="I31" s="100">
        <v>4.4400000000000004</v>
      </c>
      <c r="J31" s="100">
        <v>0.48</v>
      </c>
      <c r="K31" s="100">
        <v>48.21</v>
      </c>
      <c r="L31" s="100">
        <v>25.75</v>
      </c>
      <c r="M31" s="100">
        <v>74.28</v>
      </c>
      <c r="N31" s="100">
        <v>10.4</v>
      </c>
      <c r="O31" s="100">
        <v>0</v>
      </c>
      <c r="P31" s="100">
        <v>0.26</v>
      </c>
      <c r="Q31" s="100">
        <v>4.13</v>
      </c>
    </row>
    <row r="32" spans="1:17" customFormat="1">
      <c r="A32" s="100" t="s">
        <v>1125</v>
      </c>
      <c r="B32" s="100">
        <v>34.229999999999997</v>
      </c>
      <c r="C32" s="100">
        <v>54.46</v>
      </c>
      <c r="D32" s="100">
        <v>57.25</v>
      </c>
      <c r="E32" s="151" t="s">
        <v>8</v>
      </c>
      <c r="F32" s="100">
        <v>3.85</v>
      </c>
      <c r="G32" s="100">
        <v>31.75</v>
      </c>
      <c r="H32" s="100">
        <v>11.6</v>
      </c>
      <c r="I32" s="100">
        <v>4.54</v>
      </c>
      <c r="J32" s="100">
        <v>0.56000000000000005</v>
      </c>
      <c r="K32" s="100">
        <v>56.73</v>
      </c>
      <c r="L32" s="100">
        <v>25.72</v>
      </c>
      <c r="M32" s="100">
        <v>75.05</v>
      </c>
      <c r="N32" s="100">
        <v>23.4</v>
      </c>
      <c r="O32" s="100">
        <v>0</v>
      </c>
      <c r="P32" s="100">
        <v>0.28000000000000003</v>
      </c>
      <c r="Q32" s="100">
        <v>4.16</v>
      </c>
    </row>
    <row r="33" spans="1:17" customFormat="1">
      <c r="A33" s="100" t="s">
        <v>1126</v>
      </c>
      <c r="B33" s="100">
        <v>34.299999999999997</v>
      </c>
      <c r="C33" s="100">
        <v>58.43</v>
      </c>
      <c r="D33" s="100">
        <v>59.38</v>
      </c>
      <c r="E33" s="151" t="s">
        <v>8</v>
      </c>
      <c r="F33" s="100">
        <v>3.34</v>
      </c>
      <c r="G33" s="100">
        <v>31.75</v>
      </c>
      <c r="H33" s="100">
        <v>11.6</v>
      </c>
      <c r="I33" s="100">
        <v>4.68</v>
      </c>
      <c r="J33" s="100">
        <v>0.09</v>
      </c>
      <c r="K33" s="100">
        <v>39.96</v>
      </c>
      <c r="L33" s="100">
        <v>25.94</v>
      </c>
      <c r="M33" s="100">
        <v>74.69</v>
      </c>
      <c r="N33" s="100">
        <v>35.799999999999997</v>
      </c>
      <c r="O33" s="100">
        <v>0</v>
      </c>
      <c r="P33" s="100">
        <v>0.33</v>
      </c>
      <c r="Q33" s="100">
        <v>4.25</v>
      </c>
    </row>
    <row r="34" spans="1:17" customFormat="1">
      <c r="A34" s="100" t="s">
        <v>1127</v>
      </c>
      <c r="B34" s="100">
        <v>34.51</v>
      </c>
      <c r="C34" s="100">
        <v>61.1</v>
      </c>
      <c r="D34" s="100">
        <v>60.95</v>
      </c>
      <c r="E34" s="151" t="s">
        <v>8</v>
      </c>
      <c r="F34" s="100">
        <v>3.61</v>
      </c>
      <c r="G34" s="100">
        <v>63.93</v>
      </c>
      <c r="H34" s="100">
        <v>17.96</v>
      </c>
      <c r="I34" s="100">
        <v>4.9000000000000004</v>
      </c>
      <c r="J34" s="100">
        <v>0.22</v>
      </c>
      <c r="K34" s="100">
        <v>96.18</v>
      </c>
      <c r="L34" s="100">
        <v>26.22</v>
      </c>
      <c r="M34" s="100">
        <v>74.08</v>
      </c>
      <c r="N34" s="100">
        <v>45.1</v>
      </c>
      <c r="O34" s="100">
        <v>0</v>
      </c>
      <c r="P34" s="100">
        <v>0.38</v>
      </c>
      <c r="Q34" s="100">
        <v>4.32</v>
      </c>
    </row>
    <row r="35" spans="1:17" customFormat="1">
      <c r="A35" s="100" t="s">
        <v>1128</v>
      </c>
      <c r="B35" s="100">
        <v>34.85</v>
      </c>
      <c r="C35" s="100">
        <v>63.5</v>
      </c>
      <c r="D35" s="100">
        <v>62.48</v>
      </c>
      <c r="E35" s="151" t="s">
        <v>8</v>
      </c>
      <c r="F35" s="100">
        <v>3.85</v>
      </c>
      <c r="G35" s="100">
        <v>65.040000000000006</v>
      </c>
      <c r="H35" s="100">
        <v>17.96</v>
      </c>
      <c r="I35" s="100">
        <v>5.22</v>
      </c>
      <c r="J35" s="100">
        <v>0.18</v>
      </c>
      <c r="K35" s="100">
        <v>168.83</v>
      </c>
      <c r="L35" s="100">
        <v>26.53</v>
      </c>
      <c r="M35" s="100">
        <v>75.34</v>
      </c>
      <c r="N35" s="100">
        <v>60.8</v>
      </c>
      <c r="O35" s="100">
        <v>0</v>
      </c>
      <c r="P35" s="100">
        <v>0.42</v>
      </c>
      <c r="Q35" s="100">
        <v>4.41</v>
      </c>
    </row>
    <row r="36" spans="1:17" customFormat="1">
      <c r="A36" s="100" t="s">
        <v>1129</v>
      </c>
      <c r="B36" s="100">
        <v>34.57</v>
      </c>
      <c r="C36" s="100">
        <v>65.88</v>
      </c>
      <c r="D36" s="100">
        <v>63.49</v>
      </c>
      <c r="E36" s="151" t="s">
        <v>8</v>
      </c>
      <c r="F36" s="100">
        <v>4.05</v>
      </c>
      <c r="G36" s="100">
        <v>65.040000000000006</v>
      </c>
      <c r="H36" s="100">
        <v>17.96</v>
      </c>
      <c r="I36" s="100">
        <v>5.56</v>
      </c>
      <c r="J36" s="100">
        <v>0.25</v>
      </c>
      <c r="K36" s="100">
        <v>181.67</v>
      </c>
      <c r="L36" s="100">
        <v>27.22</v>
      </c>
      <c r="M36" s="100">
        <v>72.59</v>
      </c>
      <c r="N36" s="100">
        <v>80.3</v>
      </c>
      <c r="O36" s="100">
        <v>0</v>
      </c>
      <c r="P36" s="100">
        <v>0.44</v>
      </c>
      <c r="Q36" s="100">
        <v>4.5</v>
      </c>
    </row>
    <row r="37" spans="1:17" customFormat="1">
      <c r="A37" s="100" t="s">
        <v>1130</v>
      </c>
      <c r="B37" s="100">
        <v>34.15</v>
      </c>
      <c r="C37" s="100">
        <v>68.52</v>
      </c>
      <c r="D37" s="100">
        <v>64.540000000000006</v>
      </c>
      <c r="E37" s="151" t="s">
        <v>8</v>
      </c>
      <c r="F37" s="100">
        <v>4.07</v>
      </c>
      <c r="G37" s="100">
        <v>65.040000000000006</v>
      </c>
      <c r="H37" s="100">
        <v>17.96</v>
      </c>
      <c r="I37" s="100">
        <v>5.89</v>
      </c>
      <c r="J37" s="100">
        <v>0.33</v>
      </c>
      <c r="K37" s="100">
        <v>264.44</v>
      </c>
      <c r="L37" s="100">
        <v>28.15</v>
      </c>
      <c r="M37" s="100">
        <v>70.209999999999994</v>
      </c>
      <c r="N37" s="100">
        <v>93.2</v>
      </c>
      <c r="O37" s="100">
        <v>0</v>
      </c>
      <c r="P37" s="100">
        <v>0.49</v>
      </c>
      <c r="Q37" s="100">
        <v>4.5999999999999996</v>
      </c>
    </row>
    <row r="38" spans="1:17" customFormat="1">
      <c r="A38" s="100" t="s">
        <v>1131</v>
      </c>
      <c r="B38" s="100">
        <v>33.68</v>
      </c>
      <c r="C38" s="100">
        <v>71.89</v>
      </c>
      <c r="D38" s="100">
        <v>65.92</v>
      </c>
      <c r="E38" s="151" t="s">
        <v>8</v>
      </c>
      <c r="F38" s="100">
        <v>4.18</v>
      </c>
      <c r="G38" s="100">
        <v>68.94</v>
      </c>
      <c r="H38" s="100">
        <v>23.31</v>
      </c>
      <c r="I38" s="100">
        <v>6.21</v>
      </c>
      <c r="J38" s="100">
        <v>0.89</v>
      </c>
      <c r="K38" s="100">
        <v>309.08</v>
      </c>
      <c r="L38" s="100">
        <v>29.4</v>
      </c>
      <c r="M38" s="100">
        <v>62.01</v>
      </c>
      <c r="N38" s="100">
        <v>106.4</v>
      </c>
      <c r="O38" s="100">
        <v>0</v>
      </c>
      <c r="P38" s="100">
        <v>0.53</v>
      </c>
      <c r="Q38" s="100">
        <v>4.7699999999999996</v>
      </c>
    </row>
    <row r="39" spans="1:17" customFormat="1">
      <c r="A39" s="100" t="s">
        <v>1132</v>
      </c>
      <c r="B39" s="100">
        <v>33.369999999999997</v>
      </c>
      <c r="C39" s="100">
        <v>75.62</v>
      </c>
      <c r="D39" s="100">
        <v>67.62</v>
      </c>
      <c r="E39" s="151" t="s">
        <v>8</v>
      </c>
      <c r="F39" s="100">
        <v>4.5</v>
      </c>
      <c r="G39" s="100">
        <v>69.08</v>
      </c>
      <c r="H39" s="100">
        <v>23.31</v>
      </c>
      <c r="I39" s="100">
        <v>2.79</v>
      </c>
      <c r="J39" s="100">
        <v>0.88</v>
      </c>
      <c r="K39" s="100">
        <v>325.97000000000003</v>
      </c>
      <c r="L39" s="100">
        <v>29.84</v>
      </c>
      <c r="M39" s="100">
        <v>59.46</v>
      </c>
      <c r="N39" s="100">
        <v>119.7</v>
      </c>
      <c r="O39" s="100">
        <v>0</v>
      </c>
      <c r="P39" s="100">
        <v>0.55000000000000004</v>
      </c>
      <c r="Q39" s="100">
        <v>4.92</v>
      </c>
    </row>
    <row r="40" spans="1:17" customFormat="1">
      <c r="A40" s="100" t="s">
        <v>1133</v>
      </c>
      <c r="B40" s="100">
        <v>33.14</v>
      </c>
      <c r="C40" s="100">
        <v>78.760000000000005</v>
      </c>
      <c r="D40" s="100">
        <v>69.510000000000005</v>
      </c>
      <c r="E40" s="151" t="s">
        <v>8</v>
      </c>
      <c r="F40" s="100">
        <v>4.62</v>
      </c>
      <c r="G40" s="100">
        <v>69.08</v>
      </c>
      <c r="H40" s="100">
        <v>23.31</v>
      </c>
      <c r="I40" s="100">
        <v>0</v>
      </c>
      <c r="J40" s="100">
        <v>0.81</v>
      </c>
      <c r="K40" s="100">
        <v>300.19</v>
      </c>
      <c r="L40" s="100">
        <v>30.47</v>
      </c>
      <c r="M40" s="100">
        <v>57.28</v>
      </c>
      <c r="N40" s="100">
        <v>128.80000000000001</v>
      </c>
      <c r="O40" s="100">
        <v>0</v>
      </c>
      <c r="P40" s="100">
        <v>0.57999999999999996</v>
      </c>
      <c r="Q40" s="100">
        <v>5.17</v>
      </c>
    </row>
    <row r="41" spans="1:17" customFormat="1">
      <c r="A41" s="100" t="s">
        <v>1134</v>
      </c>
      <c r="B41" s="100">
        <v>33.049999999999997</v>
      </c>
      <c r="C41" s="100">
        <v>84.05</v>
      </c>
      <c r="D41" s="100">
        <v>71.760000000000005</v>
      </c>
      <c r="E41" s="151" t="s">
        <v>8</v>
      </c>
      <c r="F41" s="100">
        <v>4.82</v>
      </c>
      <c r="G41" s="100">
        <v>69.08</v>
      </c>
      <c r="H41" s="100">
        <v>23.31</v>
      </c>
      <c r="I41" s="100">
        <v>0</v>
      </c>
      <c r="J41" s="100">
        <v>0.59</v>
      </c>
      <c r="K41" s="100">
        <v>299.81</v>
      </c>
      <c r="L41" s="100">
        <v>30.92</v>
      </c>
      <c r="M41" s="100">
        <v>55.74</v>
      </c>
      <c r="N41" s="100">
        <v>139.5</v>
      </c>
      <c r="O41" s="100">
        <v>0</v>
      </c>
      <c r="P41" s="100">
        <v>0.62</v>
      </c>
      <c r="Q41" s="100">
        <v>5.29</v>
      </c>
    </row>
    <row r="42" spans="1:17" customFormat="1">
      <c r="A42" s="100" t="s">
        <v>1135</v>
      </c>
      <c r="B42" s="100">
        <v>33.159999999999997</v>
      </c>
      <c r="C42" s="100">
        <v>88.68</v>
      </c>
      <c r="D42" s="100">
        <v>74.28</v>
      </c>
      <c r="E42" s="151" t="s">
        <v>8</v>
      </c>
      <c r="F42" s="100">
        <v>4.63</v>
      </c>
      <c r="G42" s="100">
        <v>65.150000000000006</v>
      </c>
      <c r="H42" s="100">
        <v>22.72</v>
      </c>
      <c r="I42" s="100">
        <v>0</v>
      </c>
      <c r="J42" s="100">
        <v>-0.44</v>
      </c>
      <c r="K42" s="100">
        <v>0.33</v>
      </c>
      <c r="L42" s="100">
        <v>31.99</v>
      </c>
      <c r="M42" s="100">
        <v>52.62</v>
      </c>
      <c r="N42" s="100">
        <v>155.9</v>
      </c>
      <c r="O42" s="100">
        <v>0</v>
      </c>
      <c r="P42" s="100">
        <v>0.65</v>
      </c>
      <c r="Q42" s="100">
        <v>5.51</v>
      </c>
    </row>
    <row r="43" spans="1:17" customFormat="1">
      <c r="A43" s="100" t="s">
        <v>1136</v>
      </c>
      <c r="B43" s="133" t="s">
        <v>4</v>
      </c>
      <c r="C43" s="133" t="s">
        <v>4</v>
      </c>
      <c r="D43" s="133" t="s">
        <v>4</v>
      </c>
      <c r="E43" s="133" t="s">
        <v>4</v>
      </c>
      <c r="F43" s="133" t="s">
        <v>4</v>
      </c>
      <c r="G43" s="133" t="s">
        <v>4</v>
      </c>
      <c r="H43" s="133" t="s">
        <v>4</v>
      </c>
      <c r="I43" s="133" t="s">
        <v>4</v>
      </c>
      <c r="J43" s="133" t="s">
        <v>4</v>
      </c>
      <c r="K43" s="133" t="s">
        <v>4</v>
      </c>
      <c r="L43" s="133" t="s">
        <v>4</v>
      </c>
      <c r="M43" s="133" t="s">
        <v>4</v>
      </c>
      <c r="N43" s="133" t="s">
        <v>4</v>
      </c>
      <c r="O43" s="133" t="s">
        <v>4</v>
      </c>
      <c r="P43" s="133" t="s">
        <v>4</v>
      </c>
      <c r="Q43" s="133" t="s">
        <v>4</v>
      </c>
    </row>
    <row r="44" spans="1:17" customFormat="1">
      <c r="A44" s="100" t="s">
        <v>1137</v>
      </c>
      <c r="B44" s="133" t="s">
        <v>4</v>
      </c>
      <c r="C44" s="133" t="s">
        <v>4</v>
      </c>
      <c r="D44" s="133" t="s">
        <v>4</v>
      </c>
      <c r="E44" s="133" t="s">
        <v>4</v>
      </c>
      <c r="F44" s="133" t="s">
        <v>4</v>
      </c>
      <c r="G44" s="133" t="s">
        <v>4</v>
      </c>
      <c r="H44" s="133" t="s">
        <v>4</v>
      </c>
      <c r="I44" s="133" t="s">
        <v>4</v>
      </c>
      <c r="J44" s="133" t="s">
        <v>4</v>
      </c>
      <c r="K44" s="133" t="s">
        <v>4</v>
      </c>
      <c r="L44" s="133" t="s">
        <v>4</v>
      </c>
      <c r="M44" s="133" t="s">
        <v>4</v>
      </c>
      <c r="N44" s="133" t="s">
        <v>4</v>
      </c>
      <c r="O44" s="133" t="s">
        <v>4</v>
      </c>
      <c r="P44" s="133" t="s">
        <v>4</v>
      </c>
      <c r="Q44" s="133" t="s">
        <v>4</v>
      </c>
    </row>
    <row r="45" spans="1:17" customFormat="1">
      <c r="A45" s="100" t="s">
        <v>1138</v>
      </c>
      <c r="B45" s="133" t="s">
        <v>4</v>
      </c>
      <c r="C45" s="133" t="s">
        <v>4</v>
      </c>
      <c r="D45" s="133" t="s">
        <v>4</v>
      </c>
      <c r="E45" s="133" t="s">
        <v>4</v>
      </c>
      <c r="F45" s="133" t="s">
        <v>4</v>
      </c>
      <c r="G45" s="133" t="s">
        <v>4</v>
      </c>
      <c r="H45" s="133" t="s">
        <v>4</v>
      </c>
      <c r="I45" s="133" t="s">
        <v>4</v>
      </c>
      <c r="J45" s="133" t="s">
        <v>4</v>
      </c>
      <c r="K45" s="133" t="s">
        <v>4</v>
      </c>
      <c r="L45" s="133" t="s">
        <v>4</v>
      </c>
      <c r="M45" s="133" t="s">
        <v>4</v>
      </c>
      <c r="N45" s="133" t="s">
        <v>4</v>
      </c>
      <c r="O45" s="133" t="s">
        <v>4</v>
      </c>
      <c r="P45" s="133" t="s">
        <v>4</v>
      </c>
      <c r="Q45" s="133" t="s">
        <v>4</v>
      </c>
    </row>
    <row r="46" spans="1:17" customFormat="1">
      <c r="A46" s="100" t="s">
        <v>1139</v>
      </c>
      <c r="B46" s="133" t="s">
        <v>4</v>
      </c>
      <c r="C46" s="133" t="s">
        <v>4</v>
      </c>
      <c r="D46" s="133" t="s">
        <v>4</v>
      </c>
      <c r="E46" s="133" t="s">
        <v>4</v>
      </c>
      <c r="F46" s="133" t="s">
        <v>4</v>
      </c>
      <c r="G46" s="133" t="s">
        <v>4</v>
      </c>
      <c r="H46" s="133" t="s">
        <v>4</v>
      </c>
      <c r="I46" s="133" t="s">
        <v>4</v>
      </c>
      <c r="J46" s="133" t="s">
        <v>4</v>
      </c>
      <c r="K46" s="133" t="s">
        <v>4</v>
      </c>
      <c r="L46" s="133" t="s">
        <v>4</v>
      </c>
      <c r="M46" s="133" t="s">
        <v>4</v>
      </c>
      <c r="N46" s="133" t="s">
        <v>4</v>
      </c>
      <c r="O46" s="133" t="s">
        <v>4</v>
      </c>
      <c r="P46" s="133" t="s">
        <v>4</v>
      </c>
      <c r="Q46" s="133" t="s">
        <v>4</v>
      </c>
    </row>
    <row r="47" spans="1:17" customFormat="1">
      <c r="A47" s="100" t="s">
        <v>1140</v>
      </c>
      <c r="B47" s="133" t="s">
        <v>4</v>
      </c>
      <c r="C47" s="133" t="s">
        <v>4</v>
      </c>
      <c r="D47" s="133" t="s">
        <v>4</v>
      </c>
      <c r="E47" s="133" t="s">
        <v>4</v>
      </c>
      <c r="F47" s="133" t="s">
        <v>4</v>
      </c>
      <c r="G47" s="133" t="s">
        <v>4</v>
      </c>
      <c r="H47" s="133" t="s">
        <v>4</v>
      </c>
      <c r="I47" s="133" t="s">
        <v>4</v>
      </c>
      <c r="J47" s="133" t="s">
        <v>4</v>
      </c>
      <c r="K47" s="133" t="s">
        <v>4</v>
      </c>
      <c r="L47" s="133" t="s">
        <v>4</v>
      </c>
      <c r="M47" s="133" t="s">
        <v>4</v>
      </c>
      <c r="N47" s="133" t="s">
        <v>4</v>
      </c>
      <c r="O47" s="133" t="s">
        <v>4</v>
      </c>
      <c r="P47" s="133" t="s">
        <v>4</v>
      </c>
      <c r="Q47" s="133" t="s">
        <v>4</v>
      </c>
    </row>
    <row r="48" spans="1:17" customFormat="1">
      <c r="A48" s="100" t="s">
        <v>1141</v>
      </c>
      <c r="B48" s="133" t="s">
        <v>4</v>
      </c>
      <c r="C48" s="133" t="s">
        <v>4</v>
      </c>
      <c r="D48" s="133" t="s">
        <v>4</v>
      </c>
      <c r="E48" s="133" t="s">
        <v>4</v>
      </c>
      <c r="F48" s="133" t="s">
        <v>4</v>
      </c>
      <c r="G48" s="133" t="s">
        <v>4</v>
      </c>
      <c r="H48" s="133" t="s">
        <v>4</v>
      </c>
      <c r="I48" s="133" t="s">
        <v>4</v>
      </c>
      <c r="J48" s="133" t="s">
        <v>4</v>
      </c>
      <c r="K48" s="133" t="s">
        <v>4</v>
      </c>
      <c r="L48" s="133" t="s">
        <v>4</v>
      </c>
      <c r="M48" s="133" t="s">
        <v>4</v>
      </c>
      <c r="N48" s="133" t="s">
        <v>4</v>
      </c>
      <c r="O48" s="133" t="s">
        <v>4</v>
      </c>
      <c r="P48" s="133" t="s">
        <v>4</v>
      </c>
      <c r="Q48" s="133" t="s">
        <v>4</v>
      </c>
    </row>
    <row r="49" spans="1:17" customFormat="1">
      <c r="A49" s="100" t="s">
        <v>1142</v>
      </c>
      <c r="B49" s="133" t="s">
        <v>4</v>
      </c>
      <c r="C49" s="133" t="s">
        <v>4</v>
      </c>
      <c r="D49" s="133" t="s">
        <v>4</v>
      </c>
      <c r="E49" s="133" t="s">
        <v>4</v>
      </c>
      <c r="F49" s="133" t="s">
        <v>4</v>
      </c>
      <c r="G49" s="133" t="s">
        <v>4</v>
      </c>
      <c r="H49" s="133" t="s">
        <v>4</v>
      </c>
      <c r="I49" s="133" t="s">
        <v>4</v>
      </c>
      <c r="J49" s="133" t="s">
        <v>4</v>
      </c>
      <c r="K49" s="133" t="s">
        <v>4</v>
      </c>
      <c r="L49" s="133" t="s">
        <v>4</v>
      </c>
      <c r="M49" s="133" t="s">
        <v>4</v>
      </c>
      <c r="N49" s="133" t="s">
        <v>4</v>
      </c>
      <c r="O49" s="133" t="s">
        <v>4</v>
      </c>
      <c r="P49" s="133" t="s">
        <v>4</v>
      </c>
      <c r="Q49" s="133" t="s">
        <v>4</v>
      </c>
    </row>
    <row r="50" spans="1:17" customFormat="1">
      <c r="A50" s="100" t="s">
        <v>1143</v>
      </c>
      <c r="B50" s="133" t="s">
        <v>4</v>
      </c>
      <c r="C50" s="133" t="s">
        <v>4</v>
      </c>
      <c r="D50" s="133" t="s">
        <v>4</v>
      </c>
      <c r="E50" s="133" t="s">
        <v>4</v>
      </c>
      <c r="F50" s="133" t="s">
        <v>4</v>
      </c>
      <c r="G50" s="133" t="s">
        <v>4</v>
      </c>
      <c r="H50" s="133" t="s">
        <v>4</v>
      </c>
      <c r="I50" s="133" t="s">
        <v>4</v>
      </c>
      <c r="J50" s="133" t="s">
        <v>4</v>
      </c>
      <c r="K50" s="133" t="s">
        <v>4</v>
      </c>
      <c r="L50" s="133" t="s">
        <v>4</v>
      </c>
      <c r="M50" s="133" t="s">
        <v>4</v>
      </c>
      <c r="N50" s="133" t="s">
        <v>4</v>
      </c>
      <c r="O50" s="133" t="s">
        <v>4</v>
      </c>
      <c r="P50" s="133" t="s">
        <v>4</v>
      </c>
      <c r="Q50" s="133" t="s">
        <v>4</v>
      </c>
    </row>
    <row r="51" spans="1:17" customFormat="1">
      <c r="A51" s="100" t="s">
        <v>1144</v>
      </c>
      <c r="B51" s="150" t="s">
        <v>21</v>
      </c>
      <c r="C51" s="150" t="s">
        <v>21</v>
      </c>
      <c r="D51" s="150" t="s">
        <v>21</v>
      </c>
      <c r="E51" s="150" t="s">
        <v>21</v>
      </c>
      <c r="F51" s="150" t="s">
        <v>21</v>
      </c>
      <c r="G51" s="100">
        <v>84.03</v>
      </c>
      <c r="H51" s="100">
        <v>27.93</v>
      </c>
      <c r="I51" s="150" t="s">
        <v>21</v>
      </c>
      <c r="J51" s="100">
        <v>0.65</v>
      </c>
      <c r="K51" s="100">
        <v>50.24</v>
      </c>
      <c r="L51" s="100">
        <v>36.130000000000003</v>
      </c>
      <c r="M51" s="100">
        <v>40.9</v>
      </c>
      <c r="N51" s="100">
        <v>635</v>
      </c>
      <c r="O51" s="100">
        <v>0</v>
      </c>
      <c r="P51" s="100">
        <v>0.6</v>
      </c>
      <c r="Q51" s="150" t="s">
        <v>21</v>
      </c>
    </row>
    <row r="52" spans="1:17" customFormat="1">
      <c r="A52" s="100" t="s">
        <v>1145</v>
      </c>
      <c r="B52" s="100">
        <v>6</v>
      </c>
      <c r="C52" s="100">
        <v>54.64</v>
      </c>
      <c r="D52" s="100">
        <v>34.71</v>
      </c>
      <c r="E52" s="100">
        <v>8.31</v>
      </c>
      <c r="F52" s="100">
        <v>25.35</v>
      </c>
      <c r="G52" s="100">
        <v>84.03</v>
      </c>
      <c r="H52" s="100">
        <v>27.93</v>
      </c>
      <c r="I52" s="150" t="s">
        <v>21</v>
      </c>
      <c r="J52" s="100">
        <v>0.88</v>
      </c>
      <c r="K52" s="100">
        <v>296.83999999999997</v>
      </c>
      <c r="L52" s="100">
        <v>36.369999999999997</v>
      </c>
      <c r="M52" s="100">
        <v>40.98</v>
      </c>
      <c r="N52" s="100">
        <v>681.5</v>
      </c>
      <c r="O52" s="100">
        <v>0</v>
      </c>
      <c r="P52" s="100">
        <v>0.53</v>
      </c>
      <c r="Q52" s="150" t="s">
        <v>21</v>
      </c>
    </row>
    <row r="53" spans="1:17" customFormat="1">
      <c r="A53" s="100" t="s">
        <v>1146</v>
      </c>
      <c r="B53" s="100">
        <v>4.3600000000000003</v>
      </c>
      <c r="C53" s="100">
        <v>48.87</v>
      </c>
      <c r="D53" s="100">
        <v>30.38</v>
      </c>
      <c r="E53" s="100">
        <v>2.99</v>
      </c>
      <c r="F53" s="100">
        <v>40.76</v>
      </c>
      <c r="G53" s="100">
        <v>84.03</v>
      </c>
      <c r="H53" s="100">
        <v>27.93</v>
      </c>
      <c r="I53" s="100">
        <v>5.0599999999999996</v>
      </c>
      <c r="J53" s="100">
        <v>0.42</v>
      </c>
      <c r="K53" s="100">
        <v>301.83</v>
      </c>
      <c r="L53" s="100">
        <v>36.68</v>
      </c>
      <c r="M53" s="100">
        <v>39.96</v>
      </c>
      <c r="N53" s="100">
        <v>686</v>
      </c>
      <c r="O53" s="100">
        <v>0</v>
      </c>
      <c r="P53" s="100">
        <v>0.41</v>
      </c>
      <c r="Q53" s="150" t="s">
        <v>21</v>
      </c>
    </row>
    <row r="54" spans="1:17" customFormat="1">
      <c r="A54" s="100" t="s">
        <v>1147</v>
      </c>
      <c r="B54" s="100">
        <v>2.9</v>
      </c>
      <c r="C54" s="100">
        <v>46.3</v>
      </c>
      <c r="D54" s="100">
        <v>27.86</v>
      </c>
      <c r="E54" s="151" t="s">
        <v>8</v>
      </c>
      <c r="F54" s="100">
        <v>45.63</v>
      </c>
      <c r="G54" s="100">
        <v>76.989999999999995</v>
      </c>
      <c r="H54" s="100">
        <v>29</v>
      </c>
      <c r="I54" s="100">
        <v>6.33</v>
      </c>
      <c r="J54" s="100">
        <v>0.59</v>
      </c>
      <c r="K54" s="100">
        <v>351.39</v>
      </c>
      <c r="L54" s="100">
        <v>36.78</v>
      </c>
      <c r="M54" s="100">
        <v>38.92</v>
      </c>
      <c r="N54" s="100">
        <v>727.6</v>
      </c>
      <c r="O54" s="100">
        <v>0</v>
      </c>
      <c r="P54" s="100">
        <v>0.35</v>
      </c>
      <c r="Q54" s="100">
        <v>4.63</v>
      </c>
    </row>
    <row r="55" spans="1:17" customFormat="1">
      <c r="A55" s="100" t="s">
        <v>1148</v>
      </c>
      <c r="B55" s="100">
        <v>3.52</v>
      </c>
      <c r="C55" s="100">
        <v>43.11</v>
      </c>
      <c r="D55" s="100">
        <v>26.7</v>
      </c>
      <c r="E55" s="100">
        <v>6.38</v>
      </c>
      <c r="F55" s="100">
        <v>51.76</v>
      </c>
      <c r="G55" s="100">
        <v>76.739999999999995</v>
      </c>
      <c r="H55" s="100">
        <v>29</v>
      </c>
      <c r="I55" s="100">
        <v>5.83</v>
      </c>
      <c r="J55" s="100">
        <v>0.24</v>
      </c>
      <c r="K55" s="100">
        <v>294.10000000000002</v>
      </c>
      <c r="L55" s="100">
        <v>37.58</v>
      </c>
      <c r="M55" s="100">
        <v>38.61</v>
      </c>
      <c r="N55" s="100">
        <v>788.8</v>
      </c>
      <c r="O55" s="100">
        <v>0</v>
      </c>
      <c r="P55" s="100">
        <v>0.28999999999999998</v>
      </c>
      <c r="Q55" s="100">
        <v>4.6100000000000003</v>
      </c>
    </row>
    <row r="56" spans="1:17" customFormat="1">
      <c r="A56" s="100" t="s">
        <v>1149</v>
      </c>
      <c r="B56" s="100">
        <v>4.62</v>
      </c>
      <c r="C56" s="100">
        <v>44.88</v>
      </c>
      <c r="D56" s="100">
        <v>28.5</v>
      </c>
      <c r="E56" s="100">
        <v>16.09</v>
      </c>
      <c r="F56" s="100">
        <v>35.29</v>
      </c>
      <c r="G56" s="100">
        <v>76.739999999999995</v>
      </c>
      <c r="H56" s="100">
        <v>29</v>
      </c>
      <c r="I56" s="100">
        <v>5.39</v>
      </c>
      <c r="J56" s="100">
        <v>0.45</v>
      </c>
      <c r="K56" s="100">
        <v>331.71</v>
      </c>
      <c r="L56" s="100">
        <v>37.75</v>
      </c>
      <c r="M56" s="100">
        <v>36.49</v>
      </c>
      <c r="N56" s="100">
        <v>833</v>
      </c>
      <c r="O56" s="100">
        <v>0</v>
      </c>
      <c r="P56" s="100">
        <v>0.27</v>
      </c>
      <c r="Q56" s="100">
        <v>4.43</v>
      </c>
    </row>
    <row r="57" spans="1:17" customFormat="1">
      <c r="A57" s="100" t="s">
        <v>1150</v>
      </c>
      <c r="B57" s="100">
        <v>6.23</v>
      </c>
      <c r="C57" s="100">
        <v>41.61</v>
      </c>
      <c r="D57" s="100">
        <v>28.09</v>
      </c>
      <c r="E57" s="100">
        <v>23.87</v>
      </c>
      <c r="F57" s="100">
        <v>57.34</v>
      </c>
      <c r="G57" s="100">
        <v>76.739999999999995</v>
      </c>
      <c r="H57" s="100">
        <v>29</v>
      </c>
      <c r="I57" s="100">
        <v>5.21</v>
      </c>
      <c r="J57" s="100">
        <v>1.06</v>
      </c>
      <c r="K57" s="100">
        <v>304.13</v>
      </c>
      <c r="L57" s="100">
        <v>37.83</v>
      </c>
      <c r="M57" s="100">
        <v>34.020000000000003</v>
      </c>
      <c r="N57" s="100">
        <v>846.6</v>
      </c>
      <c r="O57" s="100">
        <v>0</v>
      </c>
      <c r="P57" s="100">
        <v>0.2</v>
      </c>
      <c r="Q57" s="100">
        <v>4.3</v>
      </c>
    </row>
    <row r="58" spans="1:17" customFormat="1">
      <c r="A58" s="100" t="s">
        <v>1151</v>
      </c>
      <c r="B58" s="100">
        <v>6.24</v>
      </c>
      <c r="C58" s="100">
        <v>38.020000000000003</v>
      </c>
      <c r="D58" s="100">
        <v>26.22</v>
      </c>
      <c r="E58" s="100">
        <v>25.79</v>
      </c>
      <c r="F58" s="100">
        <v>57.6</v>
      </c>
      <c r="G58" s="100">
        <v>70.41</v>
      </c>
      <c r="H58" s="100">
        <v>27.86</v>
      </c>
      <c r="I58" s="100">
        <v>5.13</v>
      </c>
      <c r="J58" s="100">
        <v>0.72</v>
      </c>
      <c r="K58" s="100">
        <v>341.09</v>
      </c>
      <c r="L58" s="100">
        <v>38.18</v>
      </c>
      <c r="M58" s="100">
        <v>33.729999999999997</v>
      </c>
      <c r="N58" s="100">
        <v>838.1</v>
      </c>
      <c r="O58" s="100">
        <v>0</v>
      </c>
      <c r="P58" s="100">
        <v>0.18</v>
      </c>
      <c r="Q58" s="100">
        <v>4.2300000000000004</v>
      </c>
    </row>
    <row r="59" spans="1:17" customFormat="1">
      <c r="A59" s="100" t="s">
        <v>1152</v>
      </c>
      <c r="B59" s="100">
        <v>4.68</v>
      </c>
      <c r="C59" s="100">
        <v>35.799999999999997</v>
      </c>
      <c r="D59" s="100">
        <v>23.8</v>
      </c>
      <c r="E59" s="100">
        <v>40.369999999999997</v>
      </c>
      <c r="F59" s="100">
        <v>74.09</v>
      </c>
      <c r="G59" s="100">
        <v>70.11</v>
      </c>
      <c r="H59" s="100">
        <v>27.86</v>
      </c>
      <c r="I59" s="100">
        <v>4.83</v>
      </c>
      <c r="J59" s="100">
        <v>0.66</v>
      </c>
      <c r="K59" s="100">
        <v>266.32</v>
      </c>
      <c r="L59" s="100">
        <v>38.340000000000003</v>
      </c>
      <c r="M59" s="100">
        <v>33.020000000000003</v>
      </c>
      <c r="N59" s="100">
        <v>807.9</v>
      </c>
      <c r="O59" s="100">
        <v>0</v>
      </c>
      <c r="P59" s="100">
        <v>0.34</v>
      </c>
      <c r="Q59" s="100">
        <v>4.18</v>
      </c>
    </row>
    <row r="60" spans="1:17" customFormat="1">
      <c r="A60" s="100" t="s">
        <v>1153</v>
      </c>
      <c r="B60" s="100">
        <v>4.16</v>
      </c>
      <c r="C60" s="100">
        <v>33.75</v>
      </c>
      <c r="D60" s="100">
        <v>22.32</v>
      </c>
      <c r="E60" s="100">
        <v>39.950000000000003</v>
      </c>
      <c r="F60" s="100">
        <v>72.69</v>
      </c>
      <c r="G60" s="100">
        <v>70.11</v>
      </c>
      <c r="H60" s="100">
        <v>27.86</v>
      </c>
      <c r="I60" s="100">
        <v>4.55</v>
      </c>
      <c r="J60" s="100">
        <v>0.57999999999999996</v>
      </c>
      <c r="K60" s="100">
        <v>301.92</v>
      </c>
      <c r="L60" s="100">
        <v>38.54</v>
      </c>
      <c r="M60" s="100">
        <v>32.770000000000003</v>
      </c>
      <c r="N60" s="100">
        <v>710.1</v>
      </c>
      <c r="O60" s="100">
        <v>0</v>
      </c>
      <c r="P60" s="100">
        <v>0.48</v>
      </c>
      <c r="Q60" s="100">
        <v>4.0199999999999996</v>
      </c>
    </row>
    <row r="61" spans="1:17" customFormat="1">
      <c r="A61" s="100" t="s">
        <v>1154</v>
      </c>
      <c r="B61" s="100">
        <v>4.6500000000000004</v>
      </c>
      <c r="C61" s="100">
        <v>34.299999999999997</v>
      </c>
      <c r="D61" s="100">
        <v>23</v>
      </c>
      <c r="E61" s="100">
        <v>32.14</v>
      </c>
      <c r="F61" s="100">
        <v>80.77</v>
      </c>
      <c r="G61" s="100">
        <v>70.11</v>
      </c>
      <c r="H61" s="100">
        <v>27.86</v>
      </c>
      <c r="I61" s="100">
        <v>4.22</v>
      </c>
      <c r="J61" s="100">
        <v>0.36</v>
      </c>
      <c r="K61" s="100">
        <v>331.39</v>
      </c>
      <c r="L61" s="100">
        <v>38.51</v>
      </c>
      <c r="M61" s="100">
        <v>32.24</v>
      </c>
      <c r="N61" s="100">
        <v>628</v>
      </c>
      <c r="O61" s="100">
        <v>0</v>
      </c>
      <c r="P61" s="100">
        <v>0.47</v>
      </c>
      <c r="Q61" s="100">
        <v>3.94</v>
      </c>
    </row>
    <row r="62" spans="1:17" customFormat="1">
      <c r="A62" s="100" t="s">
        <v>1155</v>
      </c>
      <c r="B62" s="100">
        <v>4.8899999999999997</v>
      </c>
      <c r="C62" s="100">
        <v>34.200000000000003</v>
      </c>
      <c r="D62" s="100">
        <v>23.14</v>
      </c>
      <c r="E62" s="100">
        <v>28.91</v>
      </c>
      <c r="F62" s="100">
        <v>61.59</v>
      </c>
      <c r="G62" s="100">
        <v>70.319999999999993</v>
      </c>
      <c r="H62" s="100">
        <v>21.26</v>
      </c>
      <c r="I62" s="100">
        <v>4.01</v>
      </c>
      <c r="J62" s="100">
        <v>0.7</v>
      </c>
      <c r="K62" s="100">
        <v>323.07</v>
      </c>
      <c r="L62" s="100">
        <v>38.81</v>
      </c>
      <c r="M62" s="100">
        <v>31.76</v>
      </c>
      <c r="N62" s="100">
        <v>752.1</v>
      </c>
      <c r="O62" s="100">
        <v>0</v>
      </c>
      <c r="P62" s="100">
        <v>0.45</v>
      </c>
      <c r="Q62" s="100">
        <v>3.84</v>
      </c>
    </row>
    <row r="63" spans="1:17" customFormat="1">
      <c r="A63" s="100" t="s">
        <v>1156</v>
      </c>
      <c r="B63" s="100">
        <v>4.4000000000000004</v>
      </c>
      <c r="C63" s="100">
        <v>39.56</v>
      </c>
      <c r="D63" s="100">
        <v>25.54</v>
      </c>
      <c r="E63" s="100">
        <v>13.91</v>
      </c>
      <c r="F63" s="100">
        <v>42.02</v>
      </c>
      <c r="G63" s="100">
        <v>70.33</v>
      </c>
      <c r="H63" s="100">
        <v>21.26</v>
      </c>
      <c r="I63" s="100">
        <v>3.68</v>
      </c>
      <c r="J63" s="100">
        <v>0.66</v>
      </c>
      <c r="K63" s="100">
        <v>341.03</v>
      </c>
      <c r="L63" s="100">
        <v>38.79</v>
      </c>
      <c r="M63" s="100">
        <v>32.01</v>
      </c>
      <c r="N63" s="100">
        <v>647.4</v>
      </c>
      <c r="O63" s="100">
        <v>0</v>
      </c>
      <c r="P63" s="100">
        <v>0.47</v>
      </c>
      <c r="Q63" s="100">
        <v>3.85</v>
      </c>
    </row>
    <row r="64" spans="1:17" customFormat="1">
      <c r="A64" s="100" t="s">
        <v>1157</v>
      </c>
      <c r="B64" s="100">
        <v>4.5999999999999996</v>
      </c>
      <c r="C64" s="100">
        <v>38.159999999999997</v>
      </c>
      <c r="D64" s="100">
        <v>24.98</v>
      </c>
      <c r="E64" s="100">
        <v>13.04</v>
      </c>
      <c r="F64" s="100">
        <v>40.14</v>
      </c>
      <c r="G64" s="100">
        <v>70.33</v>
      </c>
      <c r="H64" s="100">
        <v>21.26</v>
      </c>
      <c r="I64" s="100">
        <v>3.4</v>
      </c>
      <c r="J64" s="100">
        <v>0.54</v>
      </c>
      <c r="K64" s="100">
        <v>48.66</v>
      </c>
      <c r="L64" s="100">
        <v>38.85</v>
      </c>
      <c r="M64" s="100">
        <v>31.84</v>
      </c>
      <c r="N64" s="100">
        <v>382</v>
      </c>
      <c r="O64" s="100">
        <v>0</v>
      </c>
      <c r="P64" s="100">
        <v>0.47</v>
      </c>
      <c r="Q64" s="100">
        <v>3.88</v>
      </c>
    </row>
    <row r="65" spans="1:17" customFormat="1">
      <c r="A65" s="100" t="s">
        <v>1158</v>
      </c>
      <c r="B65" s="100">
        <v>5.64</v>
      </c>
      <c r="C65" s="100">
        <v>38.78</v>
      </c>
      <c r="D65" s="100">
        <v>26.14</v>
      </c>
      <c r="E65" s="100">
        <v>12.89</v>
      </c>
      <c r="F65" s="100">
        <v>40.700000000000003</v>
      </c>
      <c r="G65" s="100">
        <v>70.33</v>
      </c>
      <c r="H65" s="100">
        <v>21.26</v>
      </c>
      <c r="I65" s="100">
        <v>3.59</v>
      </c>
      <c r="J65" s="100">
        <v>0.45</v>
      </c>
      <c r="K65" s="100">
        <v>5.61</v>
      </c>
      <c r="L65" s="100">
        <v>38.36</v>
      </c>
      <c r="M65" s="100">
        <v>31.9</v>
      </c>
      <c r="N65" s="100">
        <v>485.1</v>
      </c>
      <c r="O65" s="100">
        <v>0</v>
      </c>
      <c r="P65" s="100">
        <v>0.5</v>
      </c>
      <c r="Q65" s="100">
        <v>3.92</v>
      </c>
    </row>
    <row r="66" spans="1:17" customFormat="1">
      <c r="A66" s="100" t="s">
        <v>1159</v>
      </c>
      <c r="B66" s="100">
        <v>8.0399999999999991</v>
      </c>
      <c r="C66" s="100">
        <v>37.19</v>
      </c>
      <c r="D66" s="100">
        <v>27.23</v>
      </c>
      <c r="E66" s="100">
        <v>13.72</v>
      </c>
      <c r="F66" s="100">
        <v>53.23</v>
      </c>
      <c r="G66" s="100">
        <v>62.15</v>
      </c>
      <c r="H66" s="100">
        <v>21.51</v>
      </c>
      <c r="I66" s="100">
        <v>3.64</v>
      </c>
      <c r="J66" s="100">
        <v>0.82</v>
      </c>
      <c r="K66" s="100">
        <v>20.170000000000002</v>
      </c>
      <c r="L66" s="100">
        <v>37.71</v>
      </c>
      <c r="M66" s="100">
        <v>31.55</v>
      </c>
      <c r="N66" s="100">
        <v>215.4</v>
      </c>
      <c r="O66" s="100">
        <v>0</v>
      </c>
      <c r="P66" s="100">
        <v>0.51</v>
      </c>
      <c r="Q66" s="100">
        <v>3.9</v>
      </c>
    </row>
    <row r="67" spans="1:17" customFormat="1">
      <c r="A67" s="100" t="s">
        <v>1160</v>
      </c>
      <c r="B67" s="100">
        <v>7.32</v>
      </c>
      <c r="C67" s="100">
        <v>36.520000000000003</v>
      </c>
      <c r="D67" s="100">
        <v>26.3</v>
      </c>
      <c r="E67" s="100">
        <v>21.22</v>
      </c>
      <c r="F67" s="100">
        <v>76</v>
      </c>
      <c r="G67" s="100">
        <v>61.87</v>
      </c>
      <c r="H67" s="100">
        <v>21.51</v>
      </c>
      <c r="I67" s="100">
        <v>3.61</v>
      </c>
      <c r="J67" s="100">
        <v>0.61</v>
      </c>
      <c r="K67" s="100">
        <v>31.98</v>
      </c>
      <c r="L67" s="100">
        <v>38.340000000000003</v>
      </c>
      <c r="M67" s="100">
        <v>30.61</v>
      </c>
      <c r="N67" s="100">
        <v>520.9</v>
      </c>
      <c r="O67" s="100">
        <v>0</v>
      </c>
      <c r="P67" s="100">
        <v>0.49</v>
      </c>
      <c r="Q67" s="100">
        <v>3.9</v>
      </c>
    </row>
    <row r="68" spans="1:17" customFormat="1">
      <c r="A68" s="100" t="s">
        <v>1161</v>
      </c>
      <c r="B68" s="100">
        <v>5.51</v>
      </c>
      <c r="C68" s="100">
        <v>35.5</v>
      </c>
      <c r="D68" s="100">
        <v>24.32</v>
      </c>
      <c r="E68" s="100">
        <v>19.62</v>
      </c>
      <c r="F68" s="100">
        <v>78.7</v>
      </c>
      <c r="G68" s="100">
        <v>61.87</v>
      </c>
      <c r="H68" s="100">
        <v>21.51</v>
      </c>
      <c r="I68" s="100">
        <v>3.24</v>
      </c>
      <c r="J68" s="100">
        <v>0.42</v>
      </c>
      <c r="K68" s="100">
        <v>9</v>
      </c>
      <c r="L68" s="100">
        <v>38.229999999999997</v>
      </c>
      <c r="M68" s="100">
        <v>28.3</v>
      </c>
      <c r="N68" s="100">
        <v>253.4</v>
      </c>
      <c r="O68" s="100">
        <v>0</v>
      </c>
      <c r="P68" s="100">
        <v>0.47</v>
      </c>
      <c r="Q68" s="100">
        <v>3.88</v>
      </c>
    </row>
    <row r="69" spans="1:17" customFormat="1">
      <c r="A69" s="100" t="s">
        <v>1162</v>
      </c>
      <c r="B69" s="100">
        <v>5.88</v>
      </c>
      <c r="C69" s="100">
        <v>41.46</v>
      </c>
      <c r="D69" s="100">
        <v>27.72</v>
      </c>
      <c r="E69" s="100">
        <v>11.16</v>
      </c>
      <c r="F69" s="100">
        <v>38.75</v>
      </c>
      <c r="G69" s="100">
        <v>61.87</v>
      </c>
      <c r="H69" s="100">
        <v>21.51</v>
      </c>
      <c r="I69" s="100">
        <v>2.62</v>
      </c>
      <c r="J69" s="100">
        <v>0.8</v>
      </c>
      <c r="K69" s="100">
        <v>43.67</v>
      </c>
      <c r="L69" s="100">
        <v>37.909999999999997</v>
      </c>
      <c r="M69" s="100">
        <v>25.63</v>
      </c>
      <c r="N69" s="100">
        <v>333</v>
      </c>
      <c r="O69" s="100">
        <v>0</v>
      </c>
      <c r="P69" s="100">
        <v>0.49</v>
      </c>
      <c r="Q69" s="100">
        <v>3.85</v>
      </c>
    </row>
    <row r="70" spans="1:17" customFormat="1">
      <c r="A70" s="100" t="s">
        <v>1163</v>
      </c>
      <c r="B70" s="100">
        <v>7.24</v>
      </c>
      <c r="C70" s="100">
        <v>44.68</v>
      </c>
      <c r="D70" s="100">
        <v>30.5</v>
      </c>
      <c r="E70" s="100">
        <v>8.56</v>
      </c>
      <c r="F70" s="100">
        <v>37.090000000000003</v>
      </c>
      <c r="G70" s="100">
        <v>55.1</v>
      </c>
      <c r="H70" s="100">
        <v>20.64</v>
      </c>
      <c r="I70" s="100">
        <v>2.36</v>
      </c>
      <c r="J70" s="100">
        <v>0.89</v>
      </c>
      <c r="K70" s="100">
        <v>36.75</v>
      </c>
      <c r="L70" s="100">
        <v>38.340000000000003</v>
      </c>
      <c r="M70" s="100">
        <v>22.45</v>
      </c>
      <c r="N70" s="100">
        <v>392.7</v>
      </c>
      <c r="O70" s="100">
        <v>0</v>
      </c>
      <c r="P70" s="100">
        <v>0.51</v>
      </c>
      <c r="Q70" s="100">
        <v>3.93</v>
      </c>
    </row>
    <row r="71" spans="1:17" customFormat="1">
      <c r="A71" s="100" t="s">
        <v>1164</v>
      </c>
      <c r="B71" s="100">
        <v>6.74</v>
      </c>
      <c r="C71" s="100">
        <v>44.29</v>
      </c>
      <c r="D71" s="100">
        <v>29.9</v>
      </c>
      <c r="E71" s="100">
        <v>7.2</v>
      </c>
      <c r="F71" s="100">
        <v>41.65</v>
      </c>
      <c r="G71" s="100">
        <v>54.87</v>
      </c>
      <c r="H71" s="100">
        <v>20.64</v>
      </c>
      <c r="I71" s="100">
        <v>2.5</v>
      </c>
      <c r="J71" s="100">
        <v>0.48</v>
      </c>
      <c r="K71" s="100">
        <v>347.61</v>
      </c>
      <c r="L71" s="100">
        <v>38.44</v>
      </c>
      <c r="M71" s="100">
        <v>19.02</v>
      </c>
      <c r="N71" s="100">
        <v>315.2</v>
      </c>
      <c r="O71" s="100">
        <v>0</v>
      </c>
      <c r="P71" s="100">
        <v>0.48</v>
      </c>
      <c r="Q71" s="100">
        <v>3.99</v>
      </c>
    </row>
    <row r="72" spans="1:17" customFormat="1">
      <c r="A72" s="100" t="s">
        <v>1165</v>
      </c>
      <c r="B72" s="100">
        <v>6.81</v>
      </c>
      <c r="C72" s="100">
        <v>42.56</v>
      </c>
      <c r="D72" s="100">
        <v>29.05</v>
      </c>
      <c r="E72" s="100">
        <v>12.46</v>
      </c>
      <c r="F72" s="100">
        <v>60.92</v>
      </c>
      <c r="G72" s="100">
        <v>54.87</v>
      </c>
      <c r="H72" s="100">
        <v>20.64</v>
      </c>
      <c r="I72" s="100">
        <v>2.62</v>
      </c>
      <c r="J72" s="100">
        <v>0.35</v>
      </c>
      <c r="K72" s="100">
        <v>6.51</v>
      </c>
      <c r="L72" s="100">
        <v>38.9</v>
      </c>
      <c r="M72" s="100">
        <v>18.059999999999999</v>
      </c>
      <c r="N72" s="100">
        <v>378.4</v>
      </c>
      <c r="O72" s="100">
        <v>0</v>
      </c>
      <c r="P72" s="100">
        <v>0.46</v>
      </c>
      <c r="Q72" s="100">
        <v>3.96</v>
      </c>
    </row>
    <row r="73" spans="1:17" customFormat="1">
      <c r="A73" s="100" t="s">
        <v>1166</v>
      </c>
      <c r="B73" s="100">
        <v>7.15</v>
      </c>
      <c r="C73" s="100">
        <v>42.57</v>
      </c>
      <c r="D73" s="100">
        <v>29.33</v>
      </c>
      <c r="E73" s="100">
        <v>22.56</v>
      </c>
      <c r="F73" s="100">
        <v>61.99</v>
      </c>
      <c r="G73" s="100">
        <v>54.87</v>
      </c>
      <c r="H73" s="100">
        <v>20.64</v>
      </c>
      <c r="I73" s="100">
        <v>2.41</v>
      </c>
      <c r="J73" s="100">
        <v>0.33</v>
      </c>
      <c r="K73" s="100">
        <v>7.97</v>
      </c>
      <c r="L73" s="100">
        <v>39.200000000000003</v>
      </c>
      <c r="M73" s="100">
        <v>18.8</v>
      </c>
      <c r="N73" s="100">
        <v>338.7</v>
      </c>
      <c r="O73" s="100">
        <v>0</v>
      </c>
      <c r="P73" s="100">
        <v>0.51</v>
      </c>
      <c r="Q73" s="100">
        <v>3.86</v>
      </c>
    </row>
    <row r="74" spans="1:17" customFormat="1">
      <c r="A74" s="100" t="s">
        <v>1167</v>
      </c>
      <c r="B74" s="100">
        <v>6.63</v>
      </c>
      <c r="C74" s="100">
        <v>44.69</v>
      </c>
      <c r="D74" s="100">
        <v>30.02</v>
      </c>
      <c r="E74" s="100">
        <v>19.04</v>
      </c>
      <c r="F74" s="100">
        <v>47.62</v>
      </c>
      <c r="G74" s="100">
        <v>56.29</v>
      </c>
      <c r="H74" s="100">
        <v>15.4</v>
      </c>
      <c r="I74" s="100">
        <v>2.17</v>
      </c>
      <c r="J74" s="100">
        <v>0.43</v>
      </c>
      <c r="K74" s="100">
        <v>53.11</v>
      </c>
      <c r="L74" s="100">
        <v>39.46</v>
      </c>
      <c r="M74" s="100">
        <v>18.59</v>
      </c>
      <c r="N74" s="100">
        <v>314.39999999999998</v>
      </c>
      <c r="O74" s="100">
        <v>0</v>
      </c>
      <c r="P74" s="100">
        <v>0.49</v>
      </c>
      <c r="Q74" s="100">
        <v>3.8</v>
      </c>
    </row>
    <row r="75" spans="1:17" customFormat="1">
      <c r="A75" s="100" t="s">
        <v>1168</v>
      </c>
      <c r="B75" s="100">
        <v>7.48</v>
      </c>
      <c r="C75" s="100">
        <v>48.43</v>
      </c>
      <c r="D75" s="100">
        <v>32.65</v>
      </c>
      <c r="E75" s="100">
        <v>13.23</v>
      </c>
      <c r="F75" s="100">
        <v>42.58</v>
      </c>
      <c r="G75" s="100">
        <v>56.34</v>
      </c>
      <c r="H75" s="100">
        <v>15.4</v>
      </c>
      <c r="I75" s="100">
        <v>2.3199999999999998</v>
      </c>
      <c r="J75" s="100">
        <v>0.39</v>
      </c>
      <c r="K75" s="100">
        <v>51.95</v>
      </c>
      <c r="L75" s="100">
        <v>39.450000000000003</v>
      </c>
      <c r="M75" s="100">
        <v>19.59</v>
      </c>
      <c r="N75" s="100">
        <v>260.39999999999998</v>
      </c>
      <c r="O75" s="100">
        <v>0</v>
      </c>
      <c r="P75" s="100">
        <v>0.51</v>
      </c>
      <c r="Q75" s="100">
        <v>3.78</v>
      </c>
    </row>
    <row r="76" spans="1:17" customFormat="1">
      <c r="A76" s="100" t="s">
        <v>1169</v>
      </c>
      <c r="B76" s="100">
        <v>7.38</v>
      </c>
      <c r="C76" s="100">
        <v>49.33</v>
      </c>
      <c r="D76" s="100">
        <v>33.04</v>
      </c>
      <c r="E76" s="100">
        <v>10.34</v>
      </c>
      <c r="F76" s="100">
        <v>35.869999999999997</v>
      </c>
      <c r="G76" s="100">
        <v>56.34</v>
      </c>
      <c r="H76" s="100">
        <v>15.4</v>
      </c>
      <c r="I76" s="100">
        <v>2.56</v>
      </c>
      <c r="J76" s="100">
        <v>0.15</v>
      </c>
      <c r="K76" s="100">
        <v>66.36</v>
      </c>
      <c r="L76" s="100">
        <v>38.880000000000003</v>
      </c>
      <c r="M76" s="100">
        <v>20.57</v>
      </c>
      <c r="N76" s="100">
        <v>181.6</v>
      </c>
      <c r="O76" s="100">
        <v>0</v>
      </c>
      <c r="P76" s="100">
        <v>0.47</v>
      </c>
      <c r="Q76" s="100">
        <v>3.84</v>
      </c>
    </row>
    <row r="77" spans="1:17" customFormat="1">
      <c r="A77" s="100" t="s">
        <v>1170</v>
      </c>
      <c r="B77" s="100">
        <v>11.52</v>
      </c>
      <c r="C77" s="100">
        <v>54.58</v>
      </c>
      <c r="D77" s="100">
        <v>39.1</v>
      </c>
      <c r="E77" s="100">
        <v>8.57</v>
      </c>
      <c r="F77" s="100">
        <v>27.12</v>
      </c>
      <c r="G77" s="100">
        <v>56.34</v>
      </c>
      <c r="H77" s="100">
        <v>15.4</v>
      </c>
      <c r="I77" s="100">
        <v>2.58</v>
      </c>
      <c r="J77" s="100">
        <v>0.36</v>
      </c>
      <c r="K77" s="100">
        <v>62.69</v>
      </c>
      <c r="L77" s="100">
        <v>38.43</v>
      </c>
      <c r="M77" s="100">
        <v>18.920000000000002</v>
      </c>
      <c r="N77" s="100">
        <v>126.2</v>
      </c>
      <c r="O77" s="100">
        <v>0</v>
      </c>
      <c r="P77" s="100">
        <v>0.59</v>
      </c>
      <c r="Q77" s="100">
        <v>3.92</v>
      </c>
    </row>
    <row r="78" spans="1:17" customFormat="1">
      <c r="A78" s="100" t="s">
        <v>1171</v>
      </c>
      <c r="B78" s="100">
        <v>16.71</v>
      </c>
      <c r="C78" s="100">
        <v>64.12</v>
      </c>
      <c r="D78" s="100">
        <v>48.25</v>
      </c>
      <c r="E78" s="100">
        <v>5.23</v>
      </c>
      <c r="F78" s="100">
        <v>17.75</v>
      </c>
      <c r="G78" s="100">
        <v>64.459999999999994</v>
      </c>
      <c r="H78" s="100">
        <v>20.36</v>
      </c>
      <c r="I78" s="100">
        <v>2.71</v>
      </c>
      <c r="J78" s="100">
        <v>0.23</v>
      </c>
      <c r="K78" s="100">
        <v>30.66</v>
      </c>
      <c r="L78" s="100">
        <v>37.85</v>
      </c>
      <c r="M78" s="100">
        <v>20.5</v>
      </c>
      <c r="N78" s="100">
        <v>74.8</v>
      </c>
      <c r="O78" s="100">
        <v>0</v>
      </c>
      <c r="P78" s="100">
        <v>0.66</v>
      </c>
      <c r="Q78" s="100">
        <v>4</v>
      </c>
    </row>
    <row r="79" spans="1:17" customFormat="1">
      <c r="A79" s="100" t="s">
        <v>1172</v>
      </c>
      <c r="B79" s="100">
        <v>12.22</v>
      </c>
      <c r="C79" s="100">
        <v>57.35</v>
      </c>
      <c r="D79" s="100">
        <v>41.12</v>
      </c>
      <c r="E79" s="100">
        <v>3.06</v>
      </c>
      <c r="F79" s="100">
        <v>20.440000000000001</v>
      </c>
      <c r="G79" s="100">
        <v>64.739999999999995</v>
      </c>
      <c r="H79" s="100">
        <v>20.36</v>
      </c>
      <c r="I79" s="100">
        <v>3.13</v>
      </c>
      <c r="J79" s="100">
        <v>0.24</v>
      </c>
      <c r="K79" s="100">
        <v>147.91</v>
      </c>
      <c r="L79" s="100">
        <v>36.700000000000003</v>
      </c>
      <c r="M79" s="100">
        <v>26.62</v>
      </c>
      <c r="N79" s="100">
        <v>48.8</v>
      </c>
      <c r="O79" s="100">
        <v>0</v>
      </c>
      <c r="P79" s="100">
        <v>0.62</v>
      </c>
      <c r="Q79" s="100">
        <v>4.1100000000000003</v>
      </c>
    </row>
    <row r="80" spans="1:17" customFormat="1">
      <c r="A80" s="100" t="s">
        <v>1173</v>
      </c>
      <c r="B80" s="100">
        <v>8.39</v>
      </c>
      <c r="C80" s="100">
        <v>51.7</v>
      </c>
      <c r="D80" s="100">
        <v>35.090000000000003</v>
      </c>
      <c r="E80" s="100">
        <v>2.72</v>
      </c>
      <c r="F80" s="100">
        <v>27.83</v>
      </c>
      <c r="G80" s="100">
        <v>64.739999999999995</v>
      </c>
      <c r="H80" s="100">
        <v>20.36</v>
      </c>
      <c r="I80" s="100">
        <v>3.49</v>
      </c>
      <c r="J80" s="100">
        <v>0.24</v>
      </c>
      <c r="K80" s="100">
        <v>161.81</v>
      </c>
      <c r="L80" s="100">
        <v>35.159999999999997</v>
      </c>
      <c r="M80" s="100">
        <v>34.799999999999997</v>
      </c>
      <c r="N80" s="100">
        <v>24.3</v>
      </c>
      <c r="O80" s="100">
        <v>0</v>
      </c>
      <c r="P80" s="100">
        <v>0.57999999999999996</v>
      </c>
      <c r="Q80" s="100">
        <v>4.18</v>
      </c>
    </row>
    <row r="81" spans="1:17" customFormat="1">
      <c r="A81" s="100" t="s">
        <v>1174</v>
      </c>
      <c r="B81" s="100">
        <v>7.7</v>
      </c>
      <c r="C81" s="100">
        <v>46.24</v>
      </c>
      <c r="D81" s="100">
        <v>31.68</v>
      </c>
      <c r="E81" s="100">
        <v>9.5399999999999991</v>
      </c>
      <c r="F81" s="100">
        <v>27.91</v>
      </c>
      <c r="G81" s="100">
        <v>64.739999999999995</v>
      </c>
      <c r="H81" s="100">
        <v>20.36</v>
      </c>
      <c r="I81" s="100">
        <v>3.46</v>
      </c>
      <c r="J81" s="100">
        <v>0.2</v>
      </c>
      <c r="K81" s="100">
        <v>188.97</v>
      </c>
      <c r="L81" s="100">
        <v>33.659999999999997</v>
      </c>
      <c r="M81" s="100">
        <v>38.549999999999997</v>
      </c>
      <c r="N81" s="100">
        <v>7.7</v>
      </c>
      <c r="O81" s="100">
        <v>0</v>
      </c>
      <c r="P81" s="100">
        <v>0.56999999999999995</v>
      </c>
      <c r="Q81" s="100">
        <v>4.18</v>
      </c>
    </row>
    <row r="82" spans="1:17" customFormat="1">
      <c r="A82" s="100" t="s">
        <v>1175</v>
      </c>
      <c r="B82" s="100">
        <v>7.76</v>
      </c>
      <c r="C82" s="100">
        <v>45.59</v>
      </c>
      <c r="D82" s="100">
        <v>31.39</v>
      </c>
      <c r="E82" s="100">
        <v>12.04</v>
      </c>
      <c r="F82" s="100">
        <v>30</v>
      </c>
      <c r="G82" s="100">
        <v>74.540000000000006</v>
      </c>
      <c r="H82" s="100">
        <v>26.98</v>
      </c>
      <c r="I82" s="100">
        <v>4.03</v>
      </c>
      <c r="J82" s="100">
        <v>0.2</v>
      </c>
      <c r="K82" s="100">
        <v>193.64</v>
      </c>
      <c r="L82" s="100">
        <v>33.06</v>
      </c>
      <c r="M82" s="100">
        <v>42.1</v>
      </c>
      <c r="N82" s="100">
        <v>0</v>
      </c>
      <c r="O82" s="100">
        <v>0</v>
      </c>
      <c r="P82" s="100">
        <v>0.6</v>
      </c>
      <c r="Q82" s="100">
        <v>4.33</v>
      </c>
    </row>
    <row r="83" spans="1:17" customFormat="1">
      <c r="A83" s="100" t="s">
        <v>1176</v>
      </c>
      <c r="B83" s="100">
        <v>7.67</v>
      </c>
      <c r="C83" s="100">
        <v>41.44</v>
      </c>
      <c r="D83" s="100">
        <v>29.15</v>
      </c>
      <c r="E83" s="100">
        <v>13.03</v>
      </c>
      <c r="F83" s="100">
        <v>35.65</v>
      </c>
      <c r="G83" s="100">
        <v>74.88</v>
      </c>
      <c r="H83" s="100">
        <v>26.98</v>
      </c>
      <c r="I83" s="100">
        <v>4.57</v>
      </c>
      <c r="J83" s="100">
        <v>0.17</v>
      </c>
      <c r="K83" s="100">
        <v>215.41</v>
      </c>
      <c r="L83" s="100">
        <v>32.61</v>
      </c>
      <c r="M83" s="100">
        <v>45.71</v>
      </c>
      <c r="N83" s="100">
        <v>0</v>
      </c>
      <c r="O83" s="100">
        <v>0</v>
      </c>
      <c r="P83" s="100">
        <v>0.59</v>
      </c>
      <c r="Q83" s="100">
        <v>4.3099999999999996</v>
      </c>
    </row>
    <row r="84" spans="1:17" customFormat="1">
      <c r="A84" s="100" t="s">
        <v>1177</v>
      </c>
      <c r="B84" s="100">
        <v>7.34</v>
      </c>
      <c r="C84" s="100">
        <v>37.450000000000003</v>
      </c>
      <c r="D84" s="100">
        <v>26.8</v>
      </c>
      <c r="E84" s="100">
        <v>14.34</v>
      </c>
      <c r="F84" s="100">
        <v>38.119999999999997</v>
      </c>
      <c r="G84" s="100">
        <v>74.88</v>
      </c>
      <c r="H84" s="100">
        <v>26.98</v>
      </c>
      <c r="I84" s="100">
        <v>4.1900000000000004</v>
      </c>
      <c r="J84" s="100">
        <v>0.18</v>
      </c>
      <c r="K84" s="100">
        <v>167.66</v>
      </c>
      <c r="L84" s="100">
        <v>32.36</v>
      </c>
      <c r="M84" s="100">
        <v>49.17</v>
      </c>
      <c r="N84" s="100">
        <v>0</v>
      </c>
      <c r="O84" s="100">
        <v>0</v>
      </c>
      <c r="P84" s="100">
        <v>0.57999999999999996</v>
      </c>
      <c r="Q84" s="100">
        <v>4.25</v>
      </c>
    </row>
    <row r="85" spans="1:17" customFormat="1">
      <c r="A85" s="100" t="s">
        <v>1178</v>
      </c>
      <c r="B85" s="100">
        <v>7.69</v>
      </c>
      <c r="C85" s="100">
        <v>38.31</v>
      </c>
      <c r="D85" s="100">
        <v>27.53</v>
      </c>
      <c r="E85" s="100">
        <v>12.85</v>
      </c>
      <c r="F85" s="100">
        <v>32.049999999999997</v>
      </c>
      <c r="G85" s="100">
        <v>74.88</v>
      </c>
      <c r="H85" s="100">
        <v>26.98</v>
      </c>
      <c r="I85" s="100">
        <v>4.1100000000000003</v>
      </c>
      <c r="J85" s="100">
        <v>0.28000000000000003</v>
      </c>
      <c r="K85" s="100">
        <v>168.13</v>
      </c>
      <c r="L85" s="100">
        <v>31.64</v>
      </c>
      <c r="M85" s="100">
        <v>51.98</v>
      </c>
      <c r="N85" s="100">
        <v>0</v>
      </c>
      <c r="O85" s="100">
        <v>0</v>
      </c>
      <c r="P85" s="100">
        <v>0.6</v>
      </c>
      <c r="Q85" s="100">
        <v>4.22</v>
      </c>
    </row>
    <row r="86" spans="1:17" customFormat="1">
      <c r="A86" s="100" t="s">
        <v>1179</v>
      </c>
      <c r="B86" s="100">
        <v>8.7899999999999991</v>
      </c>
      <c r="C86" s="100">
        <v>42.93</v>
      </c>
      <c r="D86" s="100">
        <v>30.83</v>
      </c>
      <c r="E86" s="100">
        <v>10.38</v>
      </c>
      <c r="F86" s="100">
        <v>21.09</v>
      </c>
      <c r="G86" s="100">
        <v>66.709999999999994</v>
      </c>
      <c r="H86" s="100">
        <v>25.08</v>
      </c>
      <c r="I86" s="100">
        <v>4.13</v>
      </c>
      <c r="J86" s="100">
        <v>0.19</v>
      </c>
      <c r="K86" s="100">
        <v>159.65</v>
      </c>
      <c r="L86" s="100">
        <v>31.14</v>
      </c>
      <c r="M86" s="100">
        <v>53.97</v>
      </c>
      <c r="N86" s="100">
        <v>0</v>
      </c>
      <c r="O86" s="100">
        <v>0</v>
      </c>
      <c r="P86" s="100">
        <v>0.61</v>
      </c>
      <c r="Q86" s="100">
        <v>4.26</v>
      </c>
    </row>
    <row r="87" spans="1:17" customFormat="1">
      <c r="A87" s="100" t="s">
        <v>1180</v>
      </c>
      <c r="B87" s="100">
        <v>9.0500000000000007</v>
      </c>
      <c r="C87" s="100">
        <v>43.55</v>
      </c>
      <c r="D87" s="100">
        <v>31.36</v>
      </c>
      <c r="E87" s="100">
        <v>11.76</v>
      </c>
      <c r="F87" s="100">
        <v>25.73</v>
      </c>
      <c r="G87" s="100">
        <v>66.430000000000007</v>
      </c>
      <c r="H87" s="100">
        <v>25.08</v>
      </c>
      <c r="I87" s="100">
        <v>4.43</v>
      </c>
      <c r="J87" s="100">
        <v>0.24</v>
      </c>
      <c r="K87" s="100">
        <v>161.77000000000001</v>
      </c>
      <c r="L87" s="100">
        <v>30.81</v>
      </c>
      <c r="M87" s="100">
        <v>57.9</v>
      </c>
      <c r="N87" s="100">
        <v>0</v>
      </c>
      <c r="O87" s="100">
        <v>0</v>
      </c>
      <c r="P87" s="100">
        <v>0.65</v>
      </c>
      <c r="Q87" s="100">
        <v>4.37</v>
      </c>
    </row>
    <row r="88" spans="1:17" customFormat="1">
      <c r="A88" s="100" t="s">
        <v>1181</v>
      </c>
      <c r="B88" s="100">
        <v>8.9499999999999993</v>
      </c>
      <c r="C88" s="100">
        <v>39.19</v>
      </c>
      <c r="D88" s="100">
        <v>29</v>
      </c>
      <c r="E88" s="100">
        <v>11.25</v>
      </c>
      <c r="F88" s="100">
        <v>29.05</v>
      </c>
      <c r="G88" s="100">
        <v>66.430000000000007</v>
      </c>
      <c r="H88" s="100">
        <v>25.08</v>
      </c>
      <c r="I88" s="100">
        <v>4.55</v>
      </c>
      <c r="J88" s="100">
        <v>0.23</v>
      </c>
      <c r="K88" s="100">
        <v>165.4</v>
      </c>
      <c r="L88" s="100">
        <v>30.33</v>
      </c>
      <c r="M88" s="100">
        <v>59.63</v>
      </c>
      <c r="N88" s="100">
        <v>0</v>
      </c>
      <c r="O88" s="100">
        <v>0</v>
      </c>
      <c r="P88" s="100">
        <v>0.66</v>
      </c>
      <c r="Q88" s="100">
        <v>4.2699999999999996</v>
      </c>
    </row>
    <row r="89" spans="1:17" customFormat="1">
      <c r="A89" s="100" t="s">
        <v>1182</v>
      </c>
      <c r="B89" s="100">
        <v>10.66</v>
      </c>
      <c r="C89" s="100">
        <v>42.9</v>
      </c>
      <c r="D89" s="100">
        <v>32.31</v>
      </c>
      <c r="E89" s="100">
        <v>9.56</v>
      </c>
      <c r="F89" s="100">
        <v>19.89</v>
      </c>
      <c r="G89" s="100">
        <v>66.430000000000007</v>
      </c>
      <c r="H89" s="100">
        <v>25.08</v>
      </c>
      <c r="I89" s="100">
        <v>4.74</v>
      </c>
      <c r="J89" s="100">
        <v>0.22</v>
      </c>
      <c r="K89" s="100">
        <v>171.8</v>
      </c>
      <c r="L89" s="100">
        <v>30.27</v>
      </c>
      <c r="M89" s="100">
        <v>58.76</v>
      </c>
      <c r="N89" s="100">
        <v>0</v>
      </c>
      <c r="O89" s="100">
        <v>0</v>
      </c>
      <c r="P89" s="100">
        <v>0.64</v>
      </c>
      <c r="Q89" s="100">
        <v>4.2300000000000004</v>
      </c>
    </row>
    <row r="90" spans="1:17" customFormat="1">
      <c r="A90" s="100" t="s">
        <v>1183</v>
      </c>
      <c r="B90" s="100">
        <v>9.36</v>
      </c>
      <c r="C90" s="100">
        <v>39.119999999999997</v>
      </c>
      <c r="D90" s="100">
        <v>29.3</v>
      </c>
      <c r="E90" s="100">
        <v>11.69</v>
      </c>
      <c r="F90" s="100">
        <v>32.04</v>
      </c>
      <c r="G90" s="100">
        <v>63.1</v>
      </c>
      <c r="H90" s="100">
        <v>24.43</v>
      </c>
      <c r="I90" s="100">
        <v>4.87</v>
      </c>
      <c r="J90" s="100">
        <v>0.19</v>
      </c>
      <c r="K90" s="100">
        <v>168.3</v>
      </c>
      <c r="L90" s="100">
        <v>30.14</v>
      </c>
      <c r="M90" s="100">
        <v>58.15</v>
      </c>
      <c r="N90" s="100">
        <v>0</v>
      </c>
      <c r="O90" s="100">
        <v>0</v>
      </c>
      <c r="P90" s="100">
        <v>0.64</v>
      </c>
      <c r="Q90" s="100">
        <v>4.3</v>
      </c>
    </row>
    <row r="91" spans="1:17" customFormat="1">
      <c r="A91" s="100" t="s">
        <v>1184</v>
      </c>
      <c r="B91" s="100">
        <v>10.23</v>
      </c>
      <c r="C91" s="100">
        <v>40.549999999999997</v>
      </c>
      <c r="D91" s="100">
        <v>30.74</v>
      </c>
      <c r="E91" s="100">
        <v>9.8000000000000007</v>
      </c>
      <c r="F91" s="100">
        <v>21.53</v>
      </c>
      <c r="G91" s="100">
        <v>62.99</v>
      </c>
      <c r="H91" s="100">
        <v>24.43</v>
      </c>
      <c r="I91" s="100">
        <v>4.78</v>
      </c>
      <c r="J91" s="100">
        <v>0.13</v>
      </c>
      <c r="K91" s="100">
        <v>176.65</v>
      </c>
      <c r="L91" s="100">
        <v>29.98</v>
      </c>
      <c r="M91" s="100">
        <v>60.88</v>
      </c>
      <c r="N91" s="100">
        <v>0</v>
      </c>
      <c r="O91" s="100">
        <v>0</v>
      </c>
      <c r="P91" s="100">
        <v>0.64</v>
      </c>
      <c r="Q91" s="100">
        <v>4.29</v>
      </c>
    </row>
    <row r="92" spans="1:17" customFormat="1">
      <c r="A92" s="100" t="s">
        <v>1185</v>
      </c>
      <c r="B92" s="100">
        <v>12.94</v>
      </c>
      <c r="C92" s="100">
        <v>46.65</v>
      </c>
      <c r="D92" s="100">
        <v>36.1</v>
      </c>
      <c r="E92" s="100">
        <v>10.46</v>
      </c>
      <c r="F92" s="100">
        <v>15.55</v>
      </c>
      <c r="G92" s="100">
        <v>62.99</v>
      </c>
      <c r="H92" s="100">
        <v>24.43</v>
      </c>
      <c r="I92" s="100">
        <v>4.63</v>
      </c>
      <c r="J92" s="100">
        <v>0.24</v>
      </c>
      <c r="K92" s="100">
        <v>168.19</v>
      </c>
      <c r="L92" s="100">
        <v>29.91</v>
      </c>
      <c r="M92" s="100">
        <v>60.85</v>
      </c>
      <c r="N92" s="100">
        <v>0</v>
      </c>
      <c r="O92" s="100">
        <v>0</v>
      </c>
      <c r="P92" s="100">
        <v>0.7</v>
      </c>
      <c r="Q92" s="100">
        <v>4.3499999999999996</v>
      </c>
    </row>
    <row r="93" spans="1:17" customFormat="1">
      <c r="A93" s="100" t="s">
        <v>1186</v>
      </c>
      <c r="B93" s="100">
        <v>10.85</v>
      </c>
      <c r="C93" s="100">
        <v>38.53</v>
      </c>
      <c r="D93" s="100">
        <v>30.18</v>
      </c>
      <c r="E93" s="100">
        <v>10</v>
      </c>
      <c r="F93" s="100">
        <v>20.22</v>
      </c>
      <c r="G93" s="100">
        <v>62.99</v>
      </c>
      <c r="H93" s="100">
        <v>24.43</v>
      </c>
      <c r="I93" s="100">
        <v>4.78</v>
      </c>
      <c r="J93" s="100">
        <v>0.23</v>
      </c>
      <c r="K93" s="100">
        <v>164.21</v>
      </c>
      <c r="L93" s="100">
        <v>29.31</v>
      </c>
      <c r="M93" s="100">
        <v>63.93</v>
      </c>
      <c r="N93" s="100">
        <v>0</v>
      </c>
      <c r="O93" s="100">
        <v>0</v>
      </c>
      <c r="P93" s="100">
        <v>0.65</v>
      </c>
      <c r="Q93" s="100">
        <v>4.2699999999999996</v>
      </c>
    </row>
    <row r="94" spans="1:17" customFormat="1">
      <c r="A94" s="100" t="s">
        <v>1187</v>
      </c>
      <c r="B94" s="100">
        <v>11.84</v>
      </c>
      <c r="C94" s="100">
        <v>43.76</v>
      </c>
      <c r="D94" s="100">
        <v>33.71</v>
      </c>
      <c r="E94" s="100">
        <v>8.6</v>
      </c>
      <c r="F94" s="100">
        <v>13.31</v>
      </c>
      <c r="G94" s="100">
        <v>59.43</v>
      </c>
      <c r="H94" s="100">
        <v>25.95</v>
      </c>
      <c r="I94" s="100">
        <v>4.93</v>
      </c>
      <c r="J94" s="100">
        <v>0.2</v>
      </c>
      <c r="K94" s="100">
        <v>154.21</v>
      </c>
      <c r="L94" s="100">
        <v>28.98</v>
      </c>
      <c r="M94" s="100">
        <v>65.459999999999994</v>
      </c>
      <c r="N94" s="100">
        <v>0</v>
      </c>
      <c r="O94" s="100">
        <v>0</v>
      </c>
      <c r="P94" s="100">
        <v>0.66</v>
      </c>
      <c r="Q94" s="100">
        <v>4.34</v>
      </c>
    </row>
    <row r="95" spans="1:17" customFormat="1">
      <c r="A95" s="100" t="s">
        <v>1188</v>
      </c>
      <c r="B95" s="100">
        <v>15.66</v>
      </c>
      <c r="C95" s="100">
        <v>43.73</v>
      </c>
      <c r="D95" s="100">
        <v>36.76</v>
      </c>
      <c r="E95" s="100">
        <v>10.029999999999999</v>
      </c>
      <c r="F95" s="100">
        <v>18.04</v>
      </c>
      <c r="G95" s="100">
        <v>59.3</v>
      </c>
      <c r="H95" s="100">
        <v>25.95</v>
      </c>
      <c r="I95" s="100">
        <v>4.99</v>
      </c>
      <c r="J95" s="100">
        <v>0.11</v>
      </c>
      <c r="K95" s="100">
        <v>156.6</v>
      </c>
      <c r="L95" s="100">
        <v>28.88</v>
      </c>
      <c r="M95" s="100">
        <v>62.51</v>
      </c>
      <c r="N95" s="100">
        <v>0</v>
      </c>
      <c r="O95" s="100">
        <v>0</v>
      </c>
      <c r="P95" s="100">
        <v>0.71</v>
      </c>
      <c r="Q95" s="100">
        <v>4.38</v>
      </c>
    </row>
    <row r="96" spans="1:17" customFormat="1">
      <c r="A96" s="100" t="s">
        <v>1189</v>
      </c>
      <c r="B96" s="100">
        <v>46.88</v>
      </c>
      <c r="C96" s="100">
        <v>59.17</v>
      </c>
      <c r="D96" s="100">
        <v>69.86</v>
      </c>
      <c r="E96" s="100">
        <v>10.28</v>
      </c>
      <c r="F96" s="100">
        <v>5.66</v>
      </c>
      <c r="G96" s="100">
        <v>59.3</v>
      </c>
      <c r="H96" s="100">
        <v>25.95</v>
      </c>
      <c r="I96" s="100">
        <v>5.16</v>
      </c>
      <c r="J96" s="100">
        <v>0.04</v>
      </c>
      <c r="K96" s="100">
        <v>290.02999999999997</v>
      </c>
      <c r="L96" s="100">
        <v>29.27</v>
      </c>
      <c r="M96" s="100">
        <v>59.7</v>
      </c>
      <c r="N96" s="100">
        <v>0</v>
      </c>
      <c r="O96" s="100">
        <v>0</v>
      </c>
      <c r="P96" s="100">
        <v>0.99</v>
      </c>
      <c r="Q96" s="100">
        <v>4.3899999999999997</v>
      </c>
    </row>
    <row r="97" spans="1:22" customFormat="1">
      <c r="A97" s="100" t="s">
        <v>1190</v>
      </c>
      <c r="B97" s="100">
        <v>37.58</v>
      </c>
      <c r="C97" s="100">
        <v>56.65</v>
      </c>
      <c r="D97" s="100">
        <v>61.09</v>
      </c>
      <c r="E97" s="100">
        <v>8.68</v>
      </c>
      <c r="F97" s="100">
        <v>4.1100000000000003</v>
      </c>
      <c r="G97" s="100">
        <v>59.3</v>
      </c>
      <c r="H97" s="100">
        <v>25.95</v>
      </c>
      <c r="I97" s="100">
        <v>5.89</v>
      </c>
      <c r="J97" s="100">
        <v>0.09</v>
      </c>
      <c r="K97" s="100">
        <v>81.290000000000006</v>
      </c>
      <c r="L97" s="100">
        <v>29.45</v>
      </c>
      <c r="M97" s="100">
        <v>60.32</v>
      </c>
      <c r="N97" s="100">
        <v>0</v>
      </c>
      <c r="O97" s="100">
        <v>0</v>
      </c>
      <c r="P97" s="100">
        <v>0.9</v>
      </c>
      <c r="Q97" s="100">
        <v>4.62</v>
      </c>
    </row>
    <row r="98" spans="1:22" customFormat="1">
      <c r="A98" s="100" t="s">
        <v>1191</v>
      </c>
      <c r="B98" s="100">
        <v>32.17</v>
      </c>
      <c r="C98" s="100">
        <v>52.46</v>
      </c>
      <c r="D98" s="100">
        <v>54.55</v>
      </c>
      <c r="E98" s="100">
        <v>8.6300000000000008</v>
      </c>
      <c r="F98" s="100">
        <v>3.71</v>
      </c>
      <c r="G98" s="100">
        <v>71.260000000000005</v>
      </c>
      <c r="H98" s="100">
        <v>26.07</v>
      </c>
      <c r="I98" s="100">
        <v>6.72</v>
      </c>
      <c r="J98" s="100">
        <v>0.26</v>
      </c>
      <c r="K98" s="100">
        <v>175.79</v>
      </c>
      <c r="L98" s="100">
        <v>28.71</v>
      </c>
      <c r="M98" s="100">
        <v>69.400000000000006</v>
      </c>
      <c r="N98" s="100">
        <v>0</v>
      </c>
      <c r="O98" s="100">
        <v>0</v>
      </c>
      <c r="P98" s="100">
        <v>0.87</v>
      </c>
      <c r="Q98" s="100">
        <v>4.8600000000000003</v>
      </c>
    </row>
    <row r="99" spans="1:22" customFormat="1">
      <c r="A99" s="100" t="s">
        <v>1192</v>
      </c>
      <c r="B99" s="100">
        <v>26.75</v>
      </c>
      <c r="C99" s="100">
        <v>50.4</v>
      </c>
      <c r="D99" s="100">
        <v>49.13</v>
      </c>
      <c r="E99" s="100">
        <v>7.42</v>
      </c>
      <c r="F99" s="100">
        <v>4.16</v>
      </c>
      <c r="G99" s="100">
        <v>71.67</v>
      </c>
      <c r="H99" s="100">
        <v>26.07</v>
      </c>
      <c r="I99" s="100">
        <v>7.13</v>
      </c>
      <c r="J99" s="100">
        <v>0.25</v>
      </c>
      <c r="K99" s="100">
        <v>177.2</v>
      </c>
      <c r="L99" s="100">
        <v>27.96</v>
      </c>
      <c r="M99" s="100">
        <v>68.97</v>
      </c>
      <c r="N99" s="100">
        <v>0</v>
      </c>
      <c r="O99" s="100">
        <v>0</v>
      </c>
      <c r="P99" s="100">
        <v>0.79</v>
      </c>
      <c r="Q99" s="100">
        <v>4.92</v>
      </c>
    </row>
    <row r="100" spans="1:22" customFormat="1">
      <c r="A100" s="100" t="s">
        <v>1193</v>
      </c>
      <c r="B100" s="100">
        <v>28.31</v>
      </c>
      <c r="C100" s="100">
        <v>52.54</v>
      </c>
      <c r="D100" s="100">
        <v>51.5</v>
      </c>
      <c r="E100" s="100">
        <v>7.76</v>
      </c>
      <c r="F100" s="100">
        <v>3.96</v>
      </c>
      <c r="G100" s="100">
        <v>71.67</v>
      </c>
      <c r="H100" s="100">
        <v>26.07</v>
      </c>
      <c r="I100" s="100">
        <v>6.99</v>
      </c>
      <c r="J100" s="100">
        <v>0.3</v>
      </c>
      <c r="K100" s="100">
        <v>83.69</v>
      </c>
      <c r="L100" s="100">
        <v>27.93</v>
      </c>
      <c r="M100" s="100">
        <v>69.3</v>
      </c>
      <c r="N100" s="100">
        <v>0</v>
      </c>
      <c r="O100" s="100">
        <v>0</v>
      </c>
      <c r="P100" s="100">
        <v>0.86</v>
      </c>
      <c r="Q100" s="100">
        <v>5.0599999999999996</v>
      </c>
    </row>
    <row r="101" spans="1:22" customFormat="1">
      <c r="A101" s="100" t="s">
        <v>1194</v>
      </c>
      <c r="B101" s="100">
        <v>34.19</v>
      </c>
      <c r="C101" s="100">
        <v>51.91</v>
      </c>
      <c r="D101" s="100">
        <v>55.89</v>
      </c>
      <c r="E101" s="100">
        <v>9.2100000000000009</v>
      </c>
      <c r="F101" s="100">
        <v>4.3</v>
      </c>
      <c r="G101" s="100">
        <v>71.67</v>
      </c>
      <c r="H101" s="100">
        <v>26.07</v>
      </c>
      <c r="I101" s="100">
        <v>6.42</v>
      </c>
      <c r="J101" s="100">
        <v>0.56000000000000005</v>
      </c>
      <c r="K101" s="100">
        <v>66.88</v>
      </c>
      <c r="L101" s="100">
        <v>29.28</v>
      </c>
      <c r="M101" s="100">
        <v>55.79</v>
      </c>
      <c r="N101" s="100">
        <v>0</v>
      </c>
      <c r="O101" s="100">
        <v>0</v>
      </c>
      <c r="P101" s="100">
        <v>0.91</v>
      </c>
      <c r="Q101" s="100">
        <v>5.0999999999999996</v>
      </c>
    </row>
    <row r="102" spans="1:22" customFormat="1">
      <c r="A102" s="100" t="s">
        <v>1195</v>
      </c>
      <c r="B102" s="100">
        <v>38.130000000000003</v>
      </c>
      <c r="C102" s="100">
        <v>55.7</v>
      </c>
      <c r="D102" s="100">
        <v>61.03</v>
      </c>
      <c r="E102" s="100">
        <v>18.63</v>
      </c>
      <c r="F102" s="100">
        <v>4.34</v>
      </c>
      <c r="G102" s="100">
        <v>82.53</v>
      </c>
      <c r="H102" s="100">
        <v>24.79</v>
      </c>
      <c r="I102" s="100">
        <v>6.9</v>
      </c>
      <c r="J102" s="100">
        <v>0.22</v>
      </c>
      <c r="K102" s="100">
        <v>70.28</v>
      </c>
      <c r="L102" s="100">
        <v>29.56</v>
      </c>
      <c r="M102" s="100">
        <v>54.42</v>
      </c>
      <c r="N102" s="100">
        <v>0</v>
      </c>
      <c r="O102" s="100">
        <v>0</v>
      </c>
      <c r="P102" s="100">
        <v>1.1100000000000001</v>
      </c>
      <c r="Q102" s="100">
        <v>5.23</v>
      </c>
    </row>
    <row r="103" spans="1:22" customFormat="1">
      <c r="A103" s="100" t="s">
        <v>1196</v>
      </c>
      <c r="B103" s="100">
        <v>36.47</v>
      </c>
      <c r="C103" s="100">
        <v>54.32</v>
      </c>
      <c r="D103" s="100">
        <v>58.98</v>
      </c>
      <c r="E103" s="100">
        <v>18.72</v>
      </c>
      <c r="F103" s="100">
        <v>4.3</v>
      </c>
      <c r="G103" s="100">
        <v>82.91</v>
      </c>
      <c r="H103" s="100">
        <v>24.79</v>
      </c>
      <c r="I103" s="100">
        <v>8.9700000000000006</v>
      </c>
      <c r="J103" s="100">
        <v>0.18</v>
      </c>
      <c r="K103" s="100">
        <v>170.18</v>
      </c>
      <c r="L103" s="100">
        <v>28.72</v>
      </c>
      <c r="M103" s="100">
        <v>59.59</v>
      </c>
      <c r="N103" s="100">
        <v>0</v>
      </c>
      <c r="O103" s="100">
        <v>0</v>
      </c>
      <c r="P103" s="100">
        <v>1.03</v>
      </c>
      <c r="Q103" s="100">
        <v>5.26</v>
      </c>
    </row>
    <row r="104" spans="1:22" customFormat="1">
      <c r="A104" s="100" t="s">
        <v>1197</v>
      </c>
      <c r="B104" s="100">
        <v>35.380000000000003</v>
      </c>
      <c r="C104" s="100">
        <v>56.3</v>
      </c>
      <c r="D104" s="100">
        <v>59.14</v>
      </c>
      <c r="E104" s="100">
        <v>9.9600000000000009</v>
      </c>
      <c r="F104" s="100">
        <v>3.9</v>
      </c>
      <c r="G104" s="100">
        <v>82.91</v>
      </c>
      <c r="H104" s="100">
        <v>24.79</v>
      </c>
      <c r="I104" s="100">
        <v>11.01</v>
      </c>
      <c r="J104" s="100">
        <v>0.2</v>
      </c>
      <c r="K104" s="100">
        <v>132.59</v>
      </c>
      <c r="L104" s="100">
        <v>28.04</v>
      </c>
      <c r="M104" s="100">
        <v>64.03</v>
      </c>
      <c r="N104" s="100">
        <v>0</v>
      </c>
      <c r="O104" s="100">
        <v>0</v>
      </c>
      <c r="P104" s="100">
        <v>0.96</v>
      </c>
      <c r="Q104" s="100">
        <v>5.44</v>
      </c>
    </row>
    <row r="106" spans="1:22">
      <c r="A106" s="157" t="s">
        <v>48</v>
      </c>
      <c r="B106" s="158">
        <f>MIN(B9:B104)</f>
        <v>2.9</v>
      </c>
      <c r="C106" s="158">
        <f>MIN(C9:C104)</f>
        <v>33.75</v>
      </c>
      <c r="D106" s="158">
        <f t="shared" ref="D106:Q106" si="0">MIN(D9:D104)</f>
        <v>22.32</v>
      </c>
      <c r="E106" s="158">
        <f t="shared" si="0"/>
        <v>2.72</v>
      </c>
      <c r="F106" s="158">
        <f t="shared" si="0"/>
        <v>1.29</v>
      </c>
      <c r="G106" s="158">
        <f t="shared" si="0"/>
        <v>2.4300000000000002</v>
      </c>
      <c r="H106" s="158">
        <f t="shared" si="0"/>
        <v>1.21</v>
      </c>
      <c r="I106" s="158">
        <f t="shared" si="0"/>
        <v>0</v>
      </c>
      <c r="J106" s="158">
        <f t="shared" si="0"/>
        <v>-0.44</v>
      </c>
      <c r="K106" s="158">
        <f t="shared" si="0"/>
        <v>0.12</v>
      </c>
      <c r="L106" s="158">
        <f t="shared" si="0"/>
        <v>25.72</v>
      </c>
      <c r="M106" s="158">
        <f t="shared" si="0"/>
        <v>18.059999999999999</v>
      </c>
      <c r="N106" s="158">
        <f t="shared" si="0"/>
        <v>0</v>
      </c>
      <c r="O106" s="158">
        <f t="shared" si="0"/>
        <v>0</v>
      </c>
      <c r="P106" s="158">
        <f t="shared" si="0"/>
        <v>0.18</v>
      </c>
      <c r="Q106" s="158">
        <f t="shared" si="0"/>
        <v>3.78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46.88</v>
      </c>
      <c r="C107" s="157">
        <f t="shared" ref="C107:Q107" si="1">MAX(C9:C104)</f>
        <v>88.68</v>
      </c>
      <c r="D107" s="157">
        <f t="shared" si="1"/>
        <v>74.28</v>
      </c>
      <c r="E107" s="157">
        <f t="shared" si="1"/>
        <v>40.369999999999997</v>
      </c>
      <c r="F107" s="157">
        <f t="shared" si="1"/>
        <v>80.77</v>
      </c>
      <c r="G107" s="157">
        <f t="shared" si="1"/>
        <v>84.03</v>
      </c>
      <c r="H107" s="157">
        <f t="shared" si="1"/>
        <v>29</v>
      </c>
      <c r="I107" s="157">
        <f t="shared" si="1"/>
        <v>11.01</v>
      </c>
      <c r="J107" s="157">
        <f t="shared" si="1"/>
        <v>1.06</v>
      </c>
      <c r="K107" s="157">
        <f t="shared" si="1"/>
        <v>351.39</v>
      </c>
      <c r="L107" s="157">
        <f t="shared" si="1"/>
        <v>39.46</v>
      </c>
      <c r="M107" s="157">
        <f t="shared" si="1"/>
        <v>75.34</v>
      </c>
      <c r="N107" s="157">
        <f t="shared" si="1"/>
        <v>846.6</v>
      </c>
      <c r="O107" s="157">
        <f t="shared" si="1"/>
        <v>0</v>
      </c>
      <c r="P107" s="157">
        <f t="shared" si="1"/>
        <v>1.1100000000000001</v>
      </c>
      <c r="Q107" s="157">
        <f t="shared" si="1"/>
        <v>5.51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20.518292682926841</v>
      </c>
      <c r="C108" s="158">
        <f t="shared" ref="C108:Q108" si="2">AVERAGE(C9:C104)</f>
        <v>49.342317073170733</v>
      </c>
      <c r="D108" s="158">
        <f t="shared" si="2"/>
        <v>43.589634146341481</v>
      </c>
      <c r="E108" s="158">
        <f t="shared" si="2"/>
        <v>13.614423076923078</v>
      </c>
      <c r="F108" s="158">
        <f t="shared" si="2"/>
        <v>23.77148148148148</v>
      </c>
      <c r="G108" s="158">
        <f t="shared" si="2"/>
        <v>57.971111111111085</v>
      </c>
      <c r="H108" s="158">
        <f t="shared" si="2"/>
        <v>20.745802469135796</v>
      </c>
      <c r="I108" s="158">
        <f t="shared" si="2"/>
        <v>3.9575609756097578</v>
      </c>
      <c r="J108" s="158">
        <f t="shared" si="2"/>
        <v>0.35845238095238091</v>
      </c>
      <c r="K108" s="158">
        <f t="shared" si="2"/>
        <v>168.3036904761905</v>
      </c>
      <c r="L108" s="158">
        <f t="shared" si="2"/>
        <v>31.87357142857142</v>
      </c>
      <c r="M108" s="158">
        <f t="shared" si="2"/>
        <v>51.345714285714308</v>
      </c>
      <c r="N108" s="158">
        <f t="shared" si="2"/>
        <v>181.36309523809524</v>
      </c>
      <c r="O108" s="158">
        <f t="shared" si="2"/>
        <v>0</v>
      </c>
      <c r="P108" s="158">
        <f t="shared" si="2"/>
        <v>0.50095238095238082</v>
      </c>
      <c r="Q108" s="158">
        <f t="shared" si="2"/>
        <v>4.3434615384615398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14.273358399901689</v>
      </c>
      <c r="C109" s="158">
        <f t="shared" ref="C109:Q109" si="3">STDEV(C9:C104)</f>
        <v>11.181128424112419</v>
      </c>
      <c r="D109" s="158">
        <f t="shared" si="3"/>
        <v>15.578560088544723</v>
      </c>
      <c r="E109" s="158">
        <f t="shared" si="3"/>
        <v>8.1736123517279502</v>
      </c>
      <c r="F109" s="158">
        <f t="shared" si="3"/>
        <v>22.612832259090823</v>
      </c>
      <c r="G109" s="158">
        <f t="shared" si="3"/>
        <v>19.806383945586834</v>
      </c>
      <c r="H109" s="158">
        <f t="shared" si="3"/>
        <v>6.3529843113684725</v>
      </c>
      <c r="I109" s="158">
        <f t="shared" si="3"/>
        <v>2.1091900973137605</v>
      </c>
      <c r="J109" s="158">
        <f t="shared" si="3"/>
        <v>0.25526973236034678</v>
      </c>
      <c r="K109" s="158">
        <f t="shared" si="3"/>
        <v>107.07460074532393</v>
      </c>
      <c r="L109" s="158">
        <f t="shared" si="3"/>
        <v>4.9604145383654386</v>
      </c>
      <c r="M109" s="158">
        <f t="shared" si="3"/>
        <v>18.29677602028999</v>
      </c>
      <c r="N109" s="158">
        <f t="shared" si="3"/>
        <v>270.97721274389215</v>
      </c>
      <c r="O109" s="158">
        <f t="shared" si="3"/>
        <v>0</v>
      </c>
      <c r="P109" s="158">
        <f t="shared" si="3"/>
        <v>0.21159531190071099</v>
      </c>
      <c r="Q109" s="158">
        <f t="shared" si="3"/>
        <v>0.41159754307155122</v>
      </c>
      <c r="R109" s="158"/>
      <c r="S109" s="158"/>
      <c r="T109" s="158"/>
      <c r="U109" s="158"/>
    </row>
    <row r="110" spans="1:22">
      <c r="A110" s="157" t="s">
        <v>52</v>
      </c>
      <c r="B110" s="157">
        <v>82</v>
      </c>
      <c r="C110" s="157">
        <v>82</v>
      </c>
      <c r="D110" s="157">
        <v>82</v>
      </c>
      <c r="E110" s="157">
        <v>82</v>
      </c>
      <c r="F110" s="157">
        <v>83</v>
      </c>
      <c r="G110" s="157">
        <v>84</v>
      </c>
      <c r="H110" s="157">
        <v>84</v>
      </c>
      <c r="I110" s="157">
        <v>82</v>
      </c>
      <c r="J110" s="157">
        <v>84</v>
      </c>
      <c r="K110" s="157">
        <v>84</v>
      </c>
      <c r="L110" s="157">
        <v>84</v>
      </c>
      <c r="M110" s="157">
        <v>84</v>
      </c>
      <c r="N110" s="157">
        <v>84</v>
      </c>
      <c r="O110" s="157">
        <v>84</v>
      </c>
      <c r="P110" s="157">
        <v>84</v>
      </c>
      <c r="Q110" s="157">
        <v>79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&lt;90%</v>
      </c>
      <c r="C111" s="132" t="str">
        <f t="shared" ref="C111:Q111" si="4">IF(C110&gt;=87,"&gt;90%",IF(C110&lt;=87,"&lt;90%"))</f>
        <v>&lt;90%</v>
      </c>
      <c r="D111" s="132" t="str">
        <f t="shared" si="4"/>
        <v>&lt;90%</v>
      </c>
      <c r="E111" s="132" t="str">
        <f t="shared" si="4"/>
        <v>&lt;90%</v>
      </c>
      <c r="F111" s="132" t="str">
        <f t="shared" si="4"/>
        <v>&lt;90%</v>
      </c>
      <c r="G111" s="132" t="str">
        <f t="shared" si="4"/>
        <v>&lt;90%</v>
      </c>
      <c r="H111" s="132" t="str">
        <f t="shared" si="4"/>
        <v>&lt;90%</v>
      </c>
      <c r="I111" s="132" t="str">
        <f t="shared" si="4"/>
        <v>&lt;90%</v>
      </c>
      <c r="J111" s="132" t="str">
        <f t="shared" si="4"/>
        <v>&lt;90%</v>
      </c>
      <c r="K111" s="132" t="str">
        <f t="shared" si="4"/>
        <v>&lt;90%</v>
      </c>
      <c r="L111" s="132" t="str">
        <f t="shared" si="4"/>
        <v>&lt;90%</v>
      </c>
      <c r="M111" s="132" t="str">
        <f t="shared" si="4"/>
        <v>&lt;90%</v>
      </c>
      <c r="N111" s="132" t="str">
        <f t="shared" si="4"/>
        <v>&lt;90%</v>
      </c>
      <c r="O111" s="132" t="str">
        <f t="shared" si="4"/>
        <v>&lt;90%</v>
      </c>
      <c r="P111" s="132" t="str">
        <f t="shared" si="4"/>
        <v>&lt;90%</v>
      </c>
      <c r="Q111" s="132" t="str">
        <f t="shared" si="4"/>
        <v>&lt;90%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LESS</v>
      </c>
      <c r="C112" s="132" t="str">
        <f t="shared" ref="C112:Q112" si="5">IF(C110&gt;=87,"OK",IF(C110&lt;=87,"LESS"))</f>
        <v>LESS</v>
      </c>
      <c r="D112" s="132" t="str">
        <f t="shared" si="5"/>
        <v>LESS</v>
      </c>
      <c r="E112" s="132" t="str">
        <f t="shared" si="5"/>
        <v>LESS</v>
      </c>
      <c r="F112" s="132" t="str">
        <f t="shared" si="5"/>
        <v>LESS</v>
      </c>
      <c r="G112" s="132" t="str">
        <f t="shared" si="5"/>
        <v>LESS</v>
      </c>
      <c r="H112" s="132" t="str">
        <f t="shared" si="5"/>
        <v>LESS</v>
      </c>
      <c r="I112" s="132" t="str">
        <f t="shared" si="5"/>
        <v>LESS</v>
      </c>
      <c r="J112" s="132" t="str">
        <f t="shared" si="5"/>
        <v>LESS</v>
      </c>
      <c r="K112" s="132" t="str">
        <f t="shared" si="5"/>
        <v>LESS</v>
      </c>
      <c r="L112" s="132" t="str">
        <f t="shared" si="5"/>
        <v>LESS</v>
      </c>
      <c r="M112" s="132" t="str">
        <f t="shared" si="5"/>
        <v>LESS</v>
      </c>
      <c r="N112" s="132" t="str">
        <f t="shared" si="5"/>
        <v>LESS</v>
      </c>
      <c r="O112" s="132" t="str">
        <f t="shared" si="5"/>
        <v>LESS</v>
      </c>
      <c r="P112" s="132" t="str">
        <f t="shared" si="5"/>
        <v>LESS</v>
      </c>
      <c r="Q112" s="132" t="str">
        <f t="shared" si="5"/>
        <v>LESS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11/05/2023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1198</v>
      </c>
      <c r="B9" s="100">
        <v>36.43</v>
      </c>
      <c r="C9" s="100">
        <v>51.21</v>
      </c>
      <c r="D9" s="100">
        <v>57.32</v>
      </c>
      <c r="E9" s="100">
        <v>10.050000000000001</v>
      </c>
      <c r="F9" s="100">
        <v>3.98</v>
      </c>
      <c r="G9" s="100">
        <v>82.91</v>
      </c>
      <c r="H9" s="100">
        <v>24.79</v>
      </c>
      <c r="I9" s="100">
        <v>10.27</v>
      </c>
      <c r="J9" s="100">
        <v>0.23</v>
      </c>
      <c r="K9" s="100">
        <v>168.65</v>
      </c>
      <c r="L9" s="100">
        <v>27.24</v>
      </c>
      <c r="M9" s="100">
        <v>70.55</v>
      </c>
      <c r="N9" s="100">
        <v>0</v>
      </c>
      <c r="O9" s="100">
        <v>0</v>
      </c>
      <c r="P9" s="100">
        <v>1.01</v>
      </c>
      <c r="Q9" s="100">
        <v>5.52</v>
      </c>
    </row>
    <row r="10" spans="1:21" customFormat="1">
      <c r="A10" s="100" t="s">
        <v>1199</v>
      </c>
      <c r="B10" s="100">
        <v>38.71</v>
      </c>
      <c r="C10" s="100">
        <v>55.3</v>
      </c>
      <c r="D10" s="100">
        <v>61.28</v>
      </c>
      <c r="E10" s="100">
        <v>8.82</v>
      </c>
      <c r="F10" s="100">
        <v>3.98</v>
      </c>
      <c r="G10" s="100">
        <v>120.2</v>
      </c>
      <c r="H10" s="100">
        <v>35.96</v>
      </c>
      <c r="I10" s="100">
        <v>9.36</v>
      </c>
      <c r="J10" s="100">
        <v>0.16</v>
      </c>
      <c r="K10" s="100">
        <v>134.52000000000001</v>
      </c>
      <c r="L10" s="100">
        <v>26.98</v>
      </c>
      <c r="M10" s="100">
        <v>67.319999999999993</v>
      </c>
      <c r="N10" s="100">
        <v>0</v>
      </c>
      <c r="O10" s="100">
        <v>0</v>
      </c>
      <c r="P10" s="100">
        <v>1.02</v>
      </c>
      <c r="Q10" s="100">
        <v>5.59</v>
      </c>
    </row>
    <row r="11" spans="1:21" customFormat="1">
      <c r="A11" s="100" t="s">
        <v>1200</v>
      </c>
      <c r="B11" s="100">
        <v>48.27</v>
      </c>
      <c r="C11" s="100">
        <v>56.01</v>
      </c>
      <c r="D11" s="100">
        <v>69.319999999999993</v>
      </c>
      <c r="E11" s="100">
        <v>12.33</v>
      </c>
      <c r="F11" s="100">
        <v>3.98</v>
      </c>
      <c r="G11" s="100">
        <v>121.49</v>
      </c>
      <c r="H11" s="100">
        <v>35.96</v>
      </c>
      <c r="I11" s="100">
        <v>9.56</v>
      </c>
      <c r="J11" s="100">
        <v>0.2</v>
      </c>
      <c r="K11" s="100">
        <v>181.92</v>
      </c>
      <c r="L11" s="100">
        <v>26.91</v>
      </c>
      <c r="M11" s="100">
        <v>67.349999999999994</v>
      </c>
      <c r="N11" s="100">
        <v>0</v>
      </c>
      <c r="O11" s="100">
        <v>0</v>
      </c>
      <c r="P11" s="100">
        <v>1.1000000000000001</v>
      </c>
      <c r="Q11" s="100">
        <v>5.67</v>
      </c>
    </row>
    <row r="12" spans="1:21" customFormat="1">
      <c r="A12" s="100" t="s">
        <v>1201</v>
      </c>
      <c r="B12" s="100">
        <v>42.7</v>
      </c>
      <c r="C12" s="100">
        <v>56.53</v>
      </c>
      <c r="D12" s="100">
        <v>65.12</v>
      </c>
      <c r="E12" s="100">
        <v>7.14</v>
      </c>
      <c r="F12" s="100">
        <v>4</v>
      </c>
      <c r="G12" s="100">
        <v>121.49</v>
      </c>
      <c r="H12" s="100">
        <v>35.96</v>
      </c>
      <c r="I12" s="100">
        <v>9.75</v>
      </c>
      <c r="J12" s="100">
        <v>0.16</v>
      </c>
      <c r="K12" s="100">
        <v>182.92</v>
      </c>
      <c r="L12" s="100">
        <v>26.05</v>
      </c>
      <c r="M12" s="100">
        <v>73.12</v>
      </c>
      <c r="N12" s="100">
        <v>0</v>
      </c>
      <c r="O12" s="100">
        <v>0</v>
      </c>
      <c r="P12" s="100">
        <v>1.02</v>
      </c>
      <c r="Q12" s="100">
        <v>5.82</v>
      </c>
    </row>
    <row r="13" spans="1:21" customFormat="1">
      <c r="A13" s="100" t="s">
        <v>1202</v>
      </c>
      <c r="B13" s="100">
        <v>41.11</v>
      </c>
      <c r="C13" s="100">
        <v>55.27</v>
      </c>
      <c r="D13" s="100">
        <v>63.2</v>
      </c>
      <c r="E13" s="100">
        <v>8.16</v>
      </c>
      <c r="F13" s="100">
        <v>4.2</v>
      </c>
      <c r="G13" s="100">
        <v>121.49</v>
      </c>
      <c r="H13" s="100">
        <v>35.96</v>
      </c>
      <c r="I13" s="100">
        <v>9.7899999999999991</v>
      </c>
      <c r="J13" s="100">
        <v>0.15</v>
      </c>
      <c r="K13" s="100">
        <v>241.08</v>
      </c>
      <c r="L13" s="100">
        <v>25.91</v>
      </c>
      <c r="M13" s="100">
        <v>71.25</v>
      </c>
      <c r="N13" s="100">
        <v>0</v>
      </c>
      <c r="O13" s="100">
        <v>0</v>
      </c>
      <c r="P13" s="100">
        <v>1.05</v>
      </c>
      <c r="Q13" s="100">
        <v>5.84</v>
      </c>
    </row>
    <row r="14" spans="1:21" customFormat="1">
      <c r="A14" s="100" t="s">
        <v>1203</v>
      </c>
      <c r="B14" s="100">
        <v>40.14</v>
      </c>
      <c r="C14" s="100">
        <v>53.61</v>
      </c>
      <c r="D14" s="100">
        <v>61.55</v>
      </c>
      <c r="E14" s="100">
        <v>8.44</v>
      </c>
      <c r="F14" s="100">
        <v>4.22</v>
      </c>
      <c r="G14" s="100">
        <v>133.68</v>
      </c>
      <c r="H14" s="100">
        <v>40.22</v>
      </c>
      <c r="I14" s="100">
        <v>9.3699999999999992</v>
      </c>
      <c r="J14" s="100">
        <v>0.17</v>
      </c>
      <c r="K14" s="100">
        <v>148.34</v>
      </c>
      <c r="L14" s="100">
        <v>26.08</v>
      </c>
      <c r="M14" s="100">
        <v>71.67</v>
      </c>
      <c r="N14" s="100">
        <v>0</v>
      </c>
      <c r="O14" s="100">
        <v>0</v>
      </c>
      <c r="P14" s="100">
        <v>1.05</v>
      </c>
      <c r="Q14" s="100">
        <v>5.78</v>
      </c>
    </row>
    <row r="15" spans="1:21" customFormat="1">
      <c r="A15" s="100" t="s">
        <v>1204</v>
      </c>
      <c r="B15" s="100">
        <v>57</v>
      </c>
      <c r="C15" s="100">
        <v>56.4</v>
      </c>
      <c r="D15" s="100">
        <v>76.53</v>
      </c>
      <c r="E15" s="100">
        <v>8.77</v>
      </c>
      <c r="F15" s="100">
        <v>4.12</v>
      </c>
      <c r="G15" s="100">
        <v>134.1</v>
      </c>
      <c r="H15" s="100">
        <v>40.22</v>
      </c>
      <c r="I15" s="100">
        <v>9.75</v>
      </c>
      <c r="J15" s="100">
        <v>0.12</v>
      </c>
      <c r="K15" s="100">
        <v>138.78</v>
      </c>
      <c r="L15" s="100">
        <v>26.01</v>
      </c>
      <c r="M15" s="100">
        <v>72.73</v>
      </c>
      <c r="N15" s="100">
        <v>0</v>
      </c>
      <c r="O15" s="100">
        <v>0</v>
      </c>
      <c r="P15" s="100">
        <v>1.1200000000000001</v>
      </c>
      <c r="Q15" s="100">
        <v>5.86</v>
      </c>
    </row>
    <row r="16" spans="1:21" customFormat="1">
      <c r="A16" s="100" t="s">
        <v>1205</v>
      </c>
      <c r="B16" s="100">
        <v>48.99</v>
      </c>
      <c r="C16" s="100">
        <v>55.58</v>
      </c>
      <c r="D16" s="100">
        <v>69.67</v>
      </c>
      <c r="E16" s="100">
        <v>6.94</v>
      </c>
      <c r="F16" s="100">
        <v>4.08</v>
      </c>
      <c r="G16" s="100">
        <v>134.1</v>
      </c>
      <c r="H16" s="100">
        <v>40.22</v>
      </c>
      <c r="I16" s="100">
        <v>10.17</v>
      </c>
      <c r="J16" s="100">
        <v>0.23</v>
      </c>
      <c r="K16" s="100">
        <v>166.18</v>
      </c>
      <c r="L16" s="100">
        <v>25.46</v>
      </c>
      <c r="M16" s="100">
        <v>76.650000000000006</v>
      </c>
      <c r="N16" s="100">
        <v>0</v>
      </c>
      <c r="O16" s="100">
        <v>0</v>
      </c>
      <c r="P16" s="100">
        <v>1.06</v>
      </c>
      <c r="Q16" s="100">
        <v>5.99</v>
      </c>
    </row>
    <row r="17" spans="1:17" customFormat="1">
      <c r="A17" s="100" t="s">
        <v>1206</v>
      </c>
      <c r="B17" s="100">
        <v>48.75</v>
      </c>
      <c r="C17" s="100">
        <v>53.32</v>
      </c>
      <c r="D17" s="100">
        <v>68.31</v>
      </c>
      <c r="E17" s="100">
        <v>9.76</v>
      </c>
      <c r="F17" s="100">
        <v>4.25</v>
      </c>
      <c r="G17" s="100">
        <v>134.1</v>
      </c>
      <c r="H17" s="100">
        <v>40.22</v>
      </c>
      <c r="I17" s="100">
        <v>10.17</v>
      </c>
      <c r="J17" s="100">
        <v>0.33</v>
      </c>
      <c r="K17" s="100">
        <v>53.14</v>
      </c>
      <c r="L17" s="100">
        <v>25.83</v>
      </c>
      <c r="M17" s="100">
        <v>69.790000000000006</v>
      </c>
      <c r="N17" s="100">
        <v>0</v>
      </c>
      <c r="O17" s="100">
        <v>0</v>
      </c>
      <c r="P17" s="100">
        <v>1.1000000000000001</v>
      </c>
      <c r="Q17" s="100">
        <v>6.01</v>
      </c>
    </row>
    <row r="18" spans="1:17" customFormat="1">
      <c r="A18" s="100" t="s">
        <v>1207</v>
      </c>
      <c r="B18" s="100">
        <v>48.84</v>
      </c>
      <c r="C18" s="100">
        <v>53.93</v>
      </c>
      <c r="D18" s="100">
        <v>68.7</v>
      </c>
      <c r="E18" s="100">
        <v>13.58</v>
      </c>
      <c r="F18" s="100">
        <v>4.07</v>
      </c>
      <c r="G18" s="100">
        <v>148.80000000000001</v>
      </c>
      <c r="H18" s="100">
        <v>41.35</v>
      </c>
      <c r="I18" s="100">
        <v>10.11</v>
      </c>
      <c r="J18" s="100">
        <v>0.31</v>
      </c>
      <c r="K18" s="100">
        <v>68.41</v>
      </c>
      <c r="L18" s="100">
        <v>26.75</v>
      </c>
      <c r="M18" s="100">
        <v>63.73</v>
      </c>
      <c r="N18" s="100">
        <v>0</v>
      </c>
      <c r="O18" s="100">
        <v>0</v>
      </c>
      <c r="P18" s="100">
        <v>1.08</v>
      </c>
      <c r="Q18" s="100">
        <v>6.09</v>
      </c>
    </row>
    <row r="19" spans="1:17" customFormat="1">
      <c r="A19" s="100" t="s">
        <v>1208</v>
      </c>
      <c r="B19" s="100">
        <v>49.04</v>
      </c>
      <c r="C19" s="100">
        <v>56.78</v>
      </c>
      <c r="D19" s="100">
        <v>70.34</v>
      </c>
      <c r="E19" s="100">
        <v>15.78</v>
      </c>
      <c r="F19" s="100">
        <v>3.79</v>
      </c>
      <c r="G19" s="100">
        <v>149.30000000000001</v>
      </c>
      <c r="H19" s="100">
        <v>41.35</v>
      </c>
      <c r="I19" s="100">
        <v>10.52</v>
      </c>
      <c r="J19" s="100">
        <v>0.27</v>
      </c>
      <c r="K19" s="100">
        <v>56</v>
      </c>
      <c r="L19" s="100">
        <v>26.48</v>
      </c>
      <c r="M19" s="100">
        <v>61.77</v>
      </c>
      <c r="N19" s="100">
        <v>0</v>
      </c>
      <c r="O19" s="100">
        <v>0</v>
      </c>
      <c r="P19" s="100">
        <v>1.1499999999999999</v>
      </c>
      <c r="Q19" s="100">
        <v>6.23</v>
      </c>
    </row>
    <row r="20" spans="1:17" customFormat="1">
      <c r="A20" s="100" t="s">
        <v>1209</v>
      </c>
      <c r="B20" s="100">
        <v>50.26</v>
      </c>
      <c r="C20" s="100">
        <v>53.51</v>
      </c>
      <c r="D20" s="100">
        <v>69.62</v>
      </c>
      <c r="E20" s="100">
        <v>14.33</v>
      </c>
      <c r="F20" s="100">
        <v>4.37</v>
      </c>
      <c r="G20" s="100">
        <v>149.30000000000001</v>
      </c>
      <c r="H20" s="100">
        <v>41.35</v>
      </c>
      <c r="I20" s="100">
        <v>10.87</v>
      </c>
      <c r="J20" s="100">
        <v>0.15</v>
      </c>
      <c r="K20" s="100">
        <v>101.5</v>
      </c>
      <c r="L20" s="100">
        <v>26.21</v>
      </c>
      <c r="M20" s="100">
        <v>64.39</v>
      </c>
      <c r="N20" s="100">
        <v>0</v>
      </c>
      <c r="O20" s="100">
        <v>0</v>
      </c>
      <c r="P20" s="100">
        <v>1.1000000000000001</v>
      </c>
      <c r="Q20" s="100">
        <v>6.2</v>
      </c>
    </row>
    <row r="21" spans="1:17" customFormat="1">
      <c r="A21" s="100" t="s">
        <v>1210</v>
      </c>
      <c r="B21" s="100">
        <v>50.7</v>
      </c>
      <c r="C21" s="100">
        <v>57.36</v>
      </c>
      <c r="D21" s="100">
        <v>71.98</v>
      </c>
      <c r="E21" s="100">
        <v>9.6999999999999993</v>
      </c>
      <c r="F21" s="100">
        <v>4.32</v>
      </c>
      <c r="G21" s="100">
        <v>149.30000000000001</v>
      </c>
      <c r="H21" s="100">
        <v>41.35</v>
      </c>
      <c r="I21" s="100">
        <v>10.73</v>
      </c>
      <c r="J21" s="100">
        <v>0.59</v>
      </c>
      <c r="K21" s="100">
        <v>61.93</v>
      </c>
      <c r="L21" s="100">
        <v>26.62</v>
      </c>
      <c r="M21" s="100">
        <v>46.83</v>
      </c>
      <c r="N21" s="100">
        <v>0</v>
      </c>
      <c r="O21" s="100">
        <v>0</v>
      </c>
      <c r="P21" s="100">
        <v>1.0900000000000001</v>
      </c>
      <c r="Q21" s="100">
        <v>6.35</v>
      </c>
    </row>
    <row r="22" spans="1:17" customFormat="1">
      <c r="A22" s="100" t="s">
        <v>1211</v>
      </c>
      <c r="B22" s="100">
        <v>48.82</v>
      </c>
      <c r="C22" s="100">
        <v>53.46</v>
      </c>
      <c r="D22" s="100">
        <v>68.430000000000007</v>
      </c>
      <c r="E22" s="100">
        <v>10.83</v>
      </c>
      <c r="F22" s="100">
        <v>6.67</v>
      </c>
      <c r="G22" s="100">
        <v>155.32</v>
      </c>
      <c r="H22" s="100">
        <v>42.93</v>
      </c>
      <c r="I22" s="100">
        <v>10.68</v>
      </c>
      <c r="J22" s="100">
        <v>0.64</v>
      </c>
      <c r="K22" s="100">
        <v>61.45</v>
      </c>
      <c r="L22" s="100">
        <v>27.15</v>
      </c>
      <c r="M22" s="100">
        <v>41.08</v>
      </c>
      <c r="N22" s="100">
        <v>0</v>
      </c>
      <c r="O22" s="100">
        <v>0</v>
      </c>
      <c r="P22" s="100">
        <v>1.07</v>
      </c>
      <c r="Q22" s="100">
        <v>6.27</v>
      </c>
    </row>
    <row r="23" spans="1:17" customFormat="1">
      <c r="A23" s="100" t="s">
        <v>1212</v>
      </c>
      <c r="B23" s="100">
        <v>49.97</v>
      </c>
      <c r="C23" s="100">
        <v>58.11</v>
      </c>
      <c r="D23" s="100">
        <v>71.790000000000006</v>
      </c>
      <c r="E23" s="100">
        <v>7.96</v>
      </c>
      <c r="F23" s="100">
        <v>4.55</v>
      </c>
      <c r="G23" s="100">
        <v>155.52000000000001</v>
      </c>
      <c r="H23" s="100">
        <v>42.93</v>
      </c>
      <c r="I23" s="100">
        <v>10.44</v>
      </c>
      <c r="J23" s="100">
        <v>0.5</v>
      </c>
      <c r="K23" s="100">
        <v>64.86</v>
      </c>
      <c r="L23" s="100">
        <v>26.86</v>
      </c>
      <c r="M23" s="100">
        <v>42.08</v>
      </c>
      <c r="N23" s="100">
        <v>0</v>
      </c>
      <c r="O23" s="100">
        <v>0</v>
      </c>
      <c r="P23" s="100">
        <v>1.08</v>
      </c>
      <c r="Q23" s="100">
        <v>6.33</v>
      </c>
    </row>
    <row r="24" spans="1:17" customFormat="1">
      <c r="A24" s="100" t="s">
        <v>1213</v>
      </c>
      <c r="B24" s="100">
        <v>50.46</v>
      </c>
      <c r="C24" s="100">
        <v>55.62</v>
      </c>
      <c r="D24" s="100">
        <v>70.87</v>
      </c>
      <c r="E24" s="100">
        <v>8.25</v>
      </c>
      <c r="F24" s="100">
        <v>4.63</v>
      </c>
      <c r="G24" s="100">
        <v>155.52000000000001</v>
      </c>
      <c r="H24" s="100">
        <v>42.93</v>
      </c>
      <c r="I24" s="100">
        <v>10.35</v>
      </c>
      <c r="J24" s="100">
        <v>0.44</v>
      </c>
      <c r="K24" s="100">
        <v>60.75</v>
      </c>
      <c r="L24" s="100">
        <v>26.54</v>
      </c>
      <c r="M24" s="100">
        <v>42.51</v>
      </c>
      <c r="N24" s="100">
        <v>0</v>
      </c>
      <c r="O24" s="100">
        <v>0</v>
      </c>
      <c r="P24" s="100">
        <v>1.06</v>
      </c>
      <c r="Q24" s="100">
        <v>6.23</v>
      </c>
    </row>
    <row r="25" spans="1:17" customFormat="1">
      <c r="A25" s="100" t="s">
        <v>1214</v>
      </c>
      <c r="B25" s="100">
        <v>51.47</v>
      </c>
      <c r="C25" s="100">
        <v>57.41</v>
      </c>
      <c r="D25" s="100">
        <v>72.62</v>
      </c>
      <c r="E25" s="100">
        <v>8.1</v>
      </c>
      <c r="F25" s="100">
        <v>3.97</v>
      </c>
      <c r="G25" s="100">
        <v>155.52000000000001</v>
      </c>
      <c r="H25" s="100">
        <v>42.93</v>
      </c>
      <c r="I25" s="100">
        <v>10.4</v>
      </c>
      <c r="J25" s="100">
        <v>0.13</v>
      </c>
      <c r="K25" s="100">
        <v>100.8</v>
      </c>
      <c r="L25" s="100">
        <v>25.87</v>
      </c>
      <c r="M25" s="100">
        <v>50.73</v>
      </c>
      <c r="N25" s="100">
        <v>0</v>
      </c>
      <c r="O25" s="100">
        <v>0</v>
      </c>
      <c r="P25" s="100">
        <v>1.04</v>
      </c>
      <c r="Q25" s="100">
        <v>6.28</v>
      </c>
    </row>
    <row r="26" spans="1:17" customFormat="1">
      <c r="A26" s="100" t="s">
        <v>1215</v>
      </c>
      <c r="B26" s="100">
        <v>52.13</v>
      </c>
      <c r="C26" s="100">
        <v>57.19</v>
      </c>
      <c r="D26" s="100">
        <v>73.03</v>
      </c>
      <c r="E26" s="100">
        <v>7.61</v>
      </c>
      <c r="F26" s="100">
        <v>3.96</v>
      </c>
      <c r="G26" s="100">
        <v>120.84</v>
      </c>
      <c r="H26" s="100">
        <v>35.75</v>
      </c>
      <c r="I26" s="100">
        <v>10.31</v>
      </c>
      <c r="J26" s="100">
        <v>0.15</v>
      </c>
      <c r="K26" s="100">
        <v>158.74</v>
      </c>
      <c r="L26" s="100">
        <v>25.06</v>
      </c>
      <c r="M26" s="100">
        <v>56.41</v>
      </c>
      <c r="N26" s="100">
        <v>0</v>
      </c>
      <c r="O26" s="100">
        <v>0</v>
      </c>
      <c r="P26" s="100">
        <v>1.04</v>
      </c>
      <c r="Q26" s="100">
        <v>6.29</v>
      </c>
    </row>
    <row r="27" spans="1:17" customFormat="1">
      <c r="A27" s="100" t="s">
        <v>1216</v>
      </c>
      <c r="B27" s="100">
        <v>52.84</v>
      </c>
      <c r="C27" s="100">
        <v>57.28</v>
      </c>
      <c r="D27" s="100">
        <v>73.650000000000006</v>
      </c>
      <c r="E27" s="100">
        <v>7.41</v>
      </c>
      <c r="F27" s="100">
        <v>3.91</v>
      </c>
      <c r="G27" s="100">
        <v>119.64</v>
      </c>
      <c r="H27" s="100">
        <v>35.75</v>
      </c>
      <c r="I27" s="100">
        <v>10.210000000000001</v>
      </c>
      <c r="J27" s="100">
        <v>0.19</v>
      </c>
      <c r="K27" s="100">
        <v>167.69</v>
      </c>
      <c r="L27" s="100">
        <v>24.25</v>
      </c>
      <c r="M27" s="100">
        <v>57.59</v>
      </c>
      <c r="N27" s="100">
        <v>0</v>
      </c>
      <c r="O27" s="100">
        <v>0</v>
      </c>
      <c r="P27" s="100">
        <v>1.03</v>
      </c>
      <c r="Q27" s="100">
        <v>6.34</v>
      </c>
    </row>
    <row r="28" spans="1:17" customFormat="1">
      <c r="A28" s="100" t="s">
        <v>1217</v>
      </c>
      <c r="B28" s="100">
        <v>52.57</v>
      </c>
      <c r="C28" s="100">
        <v>58.05</v>
      </c>
      <c r="D28" s="100">
        <v>73.84</v>
      </c>
      <c r="E28" s="100">
        <v>7.4</v>
      </c>
      <c r="F28" s="100">
        <v>3.84</v>
      </c>
      <c r="G28" s="100">
        <v>119.64</v>
      </c>
      <c r="H28" s="100">
        <v>35.75</v>
      </c>
      <c r="I28" s="100">
        <v>10.07</v>
      </c>
      <c r="J28" s="100">
        <v>0.23</v>
      </c>
      <c r="K28" s="100">
        <v>200.72</v>
      </c>
      <c r="L28" s="100">
        <v>23.23</v>
      </c>
      <c r="M28" s="100">
        <v>66.37</v>
      </c>
      <c r="N28" s="100">
        <v>0</v>
      </c>
      <c r="O28" s="100">
        <v>0</v>
      </c>
      <c r="P28" s="100">
        <v>1.03</v>
      </c>
      <c r="Q28" s="100">
        <v>6.34</v>
      </c>
    </row>
    <row r="29" spans="1:17" customFormat="1">
      <c r="A29" s="100" t="s">
        <v>1218</v>
      </c>
      <c r="B29" s="100">
        <v>52.61</v>
      </c>
      <c r="C29" s="100">
        <v>55.86</v>
      </c>
      <c r="D29" s="100">
        <v>72.72</v>
      </c>
      <c r="E29" s="100">
        <v>7.33</v>
      </c>
      <c r="F29" s="100">
        <v>4.09</v>
      </c>
      <c r="G29" s="100">
        <v>119.64</v>
      </c>
      <c r="H29" s="100">
        <v>35.75</v>
      </c>
      <c r="I29" s="100">
        <v>10.1</v>
      </c>
      <c r="J29" s="100">
        <v>0.16</v>
      </c>
      <c r="K29" s="100">
        <v>119.49</v>
      </c>
      <c r="L29" s="100">
        <v>23.25</v>
      </c>
      <c r="M29" s="100">
        <v>60.72</v>
      </c>
      <c r="N29" s="100">
        <v>0</v>
      </c>
      <c r="O29" s="100">
        <v>0</v>
      </c>
      <c r="P29" s="100">
        <v>1</v>
      </c>
      <c r="Q29" s="100">
        <v>6.29</v>
      </c>
    </row>
    <row r="30" spans="1:17" customFormat="1">
      <c r="A30" s="100" t="s">
        <v>1219</v>
      </c>
      <c r="B30" s="100">
        <v>53.51</v>
      </c>
      <c r="C30" s="100">
        <v>59.46</v>
      </c>
      <c r="D30" s="100">
        <v>75.33</v>
      </c>
      <c r="E30" s="100">
        <v>7.21</v>
      </c>
      <c r="F30" s="100">
        <v>3.43</v>
      </c>
      <c r="G30" s="100">
        <v>89.99</v>
      </c>
      <c r="H30" s="100">
        <v>28.41</v>
      </c>
      <c r="I30" s="100">
        <v>9.99</v>
      </c>
      <c r="J30" s="100">
        <v>0.08</v>
      </c>
      <c r="K30" s="100">
        <v>147.46</v>
      </c>
      <c r="L30" s="100">
        <v>23.69</v>
      </c>
      <c r="M30" s="100">
        <v>58.53</v>
      </c>
      <c r="N30" s="100">
        <v>0</v>
      </c>
      <c r="O30" s="100">
        <v>0</v>
      </c>
      <c r="P30" s="100">
        <v>1.01</v>
      </c>
      <c r="Q30" s="100">
        <v>6.4</v>
      </c>
    </row>
    <row r="31" spans="1:17" customFormat="1">
      <c r="A31" s="100" t="s">
        <v>1220</v>
      </c>
      <c r="B31" s="100">
        <v>56.62</v>
      </c>
      <c r="C31" s="100">
        <v>56.77</v>
      </c>
      <c r="D31" s="100">
        <v>76.41</v>
      </c>
      <c r="E31" s="100">
        <v>7.56</v>
      </c>
      <c r="F31" s="100">
        <v>4.09</v>
      </c>
      <c r="G31" s="100">
        <v>88.96</v>
      </c>
      <c r="H31" s="100">
        <v>28.41</v>
      </c>
      <c r="I31" s="100">
        <v>9.93</v>
      </c>
      <c r="J31" s="100">
        <v>0.19</v>
      </c>
      <c r="K31" s="100">
        <v>169.56</v>
      </c>
      <c r="L31" s="100">
        <v>23.24</v>
      </c>
      <c r="M31" s="100">
        <v>64.89</v>
      </c>
      <c r="N31" s="100">
        <v>4.2</v>
      </c>
      <c r="O31" s="100">
        <v>0</v>
      </c>
      <c r="P31" s="100">
        <v>0.99</v>
      </c>
      <c r="Q31" s="100">
        <v>6.48</v>
      </c>
    </row>
    <row r="32" spans="1:17" customFormat="1">
      <c r="A32" s="100" t="s">
        <v>1221</v>
      </c>
      <c r="B32" s="100">
        <v>57.63</v>
      </c>
      <c r="C32" s="100">
        <v>58.69</v>
      </c>
      <c r="D32" s="100">
        <v>78.22</v>
      </c>
      <c r="E32" s="100">
        <v>7.5</v>
      </c>
      <c r="F32" s="100">
        <v>3.64</v>
      </c>
      <c r="G32" s="100">
        <v>88.96</v>
      </c>
      <c r="H32" s="100">
        <v>28.41</v>
      </c>
      <c r="I32" s="100">
        <v>9.8800000000000008</v>
      </c>
      <c r="J32" s="100">
        <v>0.24</v>
      </c>
      <c r="K32" s="100">
        <v>161.66</v>
      </c>
      <c r="L32" s="100">
        <v>23.03</v>
      </c>
      <c r="M32" s="100">
        <v>68.569999999999993</v>
      </c>
      <c r="N32" s="100">
        <v>16.899999999999999</v>
      </c>
      <c r="O32" s="100">
        <v>0</v>
      </c>
      <c r="P32" s="100">
        <v>0.99</v>
      </c>
      <c r="Q32" s="100">
        <v>6.57</v>
      </c>
    </row>
    <row r="33" spans="1:17" customFormat="1">
      <c r="A33" s="100" t="s">
        <v>1222</v>
      </c>
      <c r="B33" s="100">
        <v>58.53</v>
      </c>
      <c r="C33" s="100">
        <v>55.52</v>
      </c>
      <c r="D33" s="100">
        <v>77.290000000000006</v>
      </c>
      <c r="E33" s="100">
        <v>7.05</v>
      </c>
      <c r="F33" s="100">
        <v>4.25</v>
      </c>
      <c r="G33" s="100">
        <v>88.96</v>
      </c>
      <c r="H33" s="100">
        <v>28.41</v>
      </c>
      <c r="I33" s="100">
        <v>9.8000000000000007</v>
      </c>
      <c r="J33" s="100">
        <v>0.23</v>
      </c>
      <c r="K33" s="100">
        <v>158.72999999999999</v>
      </c>
      <c r="L33" s="100">
        <v>23.21</v>
      </c>
      <c r="M33" s="100">
        <v>68.099999999999994</v>
      </c>
      <c r="N33" s="100">
        <v>28.6</v>
      </c>
      <c r="O33" s="100">
        <v>0</v>
      </c>
      <c r="P33" s="100">
        <v>0.97</v>
      </c>
      <c r="Q33" s="100">
        <v>6.56</v>
      </c>
    </row>
    <row r="34" spans="1:17" customFormat="1">
      <c r="A34" s="100" t="s">
        <v>1223</v>
      </c>
      <c r="B34" s="100">
        <v>58.21</v>
      </c>
      <c r="C34" s="100">
        <v>60.7</v>
      </c>
      <c r="D34" s="100">
        <v>79.739999999999995</v>
      </c>
      <c r="E34" s="100">
        <v>6.79</v>
      </c>
      <c r="F34" s="100">
        <v>3.45</v>
      </c>
      <c r="G34" s="100">
        <v>86.6</v>
      </c>
      <c r="H34" s="100">
        <v>30.69</v>
      </c>
      <c r="I34" s="100">
        <v>9.6999999999999993</v>
      </c>
      <c r="J34" s="100">
        <v>0.33</v>
      </c>
      <c r="K34" s="100">
        <v>168.95</v>
      </c>
      <c r="L34" s="100">
        <v>23.76</v>
      </c>
      <c r="M34" s="100">
        <v>70.41</v>
      </c>
      <c r="N34" s="100">
        <v>39.4</v>
      </c>
      <c r="O34" s="100">
        <v>0</v>
      </c>
      <c r="P34" s="100">
        <v>0.98</v>
      </c>
      <c r="Q34" s="100">
        <v>6.69</v>
      </c>
    </row>
    <row r="35" spans="1:17" customFormat="1">
      <c r="A35" s="100" t="s">
        <v>1224</v>
      </c>
      <c r="B35" s="100">
        <v>58.45</v>
      </c>
      <c r="C35" s="100">
        <v>58.22</v>
      </c>
      <c r="D35" s="100">
        <v>78.64</v>
      </c>
      <c r="E35" s="100">
        <v>7.21</v>
      </c>
      <c r="F35" s="100">
        <v>3.83</v>
      </c>
      <c r="G35" s="100">
        <v>86.48</v>
      </c>
      <c r="H35" s="100">
        <v>30.69</v>
      </c>
      <c r="I35" s="100">
        <v>9.6</v>
      </c>
      <c r="J35" s="100">
        <v>0.35</v>
      </c>
      <c r="K35" s="100">
        <v>170.78</v>
      </c>
      <c r="L35" s="100">
        <v>24.66</v>
      </c>
      <c r="M35" s="100">
        <v>64.040000000000006</v>
      </c>
      <c r="N35" s="100">
        <v>48.4</v>
      </c>
      <c r="O35" s="100">
        <v>0</v>
      </c>
      <c r="P35" s="100">
        <v>0.97</v>
      </c>
      <c r="Q35" s="100">
        <v>6.63</v>
      </c>
    </row>
    <row r="36" spans="1:17" customFormat="1">
      <c r="A36" s="100" t="s">
        <v>1225</v>
      </c>
      <c r="B36" s="100">
        <v>57.61</v>
      </c>
      <c r="C36" s="100">
        <v>59.56</v>
      </c>
      <c r="D36" s="100">
        <v>78.67</v>
      </c>
      <c r="E36" s="100">
        <v>7.37</v>
      </c>
      <c r="F36" s="100">
        <v>3.55</v>
      </c>
      <c r="G36" s="100">
        <v>86.48</v>
      </c>
      <c r="H36" s="100">
        <v>30.69</v>
      </c>
      <c r="I36" s="100">
        <v>9.57</v>
      </c>
      <c r="J36" s="100">
        <v>0.08</v>
      </c>
      <c r="K36" s="100">
        <v>116.68</v>
      </c>
      <c r="L36" s="100">
        <v>25.89</v>
      </c>
      <c r="M36" s="100">
        <v>55.53</v>
      </c>
      <c r="N36" s="100">
        <v>56.6</v>
      </c>
      <c r="O36" s="100">
        <v>0</v>
      </c>
      <c r="P36" s="100">
        <v>0.97</v>
      </c>
      <c r="Q36" s="100">
        <v>6.6</v>
      </c>
    </row>
    <row r="37" spans="1:17" customFormat="1">
      <c r="A37" s="100" t="s">
        <v>1226</v>
      </c>
      <c r="B37" s="100">
        <v>57.22</v>
      </c>
      <c r="C37" s="100">
        <v>54.13</v>
      </c>
      <c r="D37" s="100">
        <v>75.52</v>
      </c>
      <c r="E37" s="100">
        <v>6.75</v>
      </c>
      <c r="F37" s="100">
        <v>4.45</v>
      </c>
      <c r="G37" s="100">
        <v>86.48</v>
      </c>
      <c r="H37" s="100">
        <v>30.69</v>
      </c>
      <c r="I37" s="100">
        <v>9.59</v>
      </c>
      <c r="J37" s="100">
        <v>7.0000000000000007E-2</v>
      </c>
      <c r="K37" s="100">
        <v>147.30000000000001</v>
      </c>
      <c r="L37" s="100">
        <v>28.19</v>
      </c>
      <c r="M37" s="100">
        <v>44.77</v>
      </c>
      <c r="N37" s="100">
        <v>63.7</v>
      </c>
      <c r="O37" s="100">
        <v>0</v>
      </c>
      <c r="P37" s="100">
        <v>0.94</v>
      </c>
      <c r="Q37" s="100">
        <v>6.47</v>
      </c>
    </row>
    <row r="38" spans="1:17" customFormat="1">
      <c r="A38" s="100" t="s">
        <v>1227</v>
      </c>
      <c r="B38" s="100">
        <v>56.06</v>
      </c>
      <c r="C38" s="100">
        <v>57.05</v>
      </c>
      <c r="D38" s="100">
        <v>76.11</v>
      </c>
      <c r="E38" s="100">
        <v>7.04</v>
      </c>
      <c r="F38" s="100">
        <v>3.77</v>
      </c>
      <c r="G38" s="100">
        <v>78.709999999999994</v>
      </c>
      <c r="H38" s="100">
        <v>28.81</v>
      </c>
      <c r="I38" s="100">
        <v>9.5500000000000007</v>
      </c>
      <c r="J38" s="100">
        <v>0.09</v>
      </c>
      <c r="K38" s="100">
        <v>18.850000000000001</v>
      </c>
      <c r="L38" s="100">
        <v>29.2</v>
      </c>
      <c r="M38" s="100">
        <v>41.57</v>
      </c>
      <c r="N38" s="100">
        <v>72.5</v>
      </c>
      <c r="O38" s="100">
        <v>0</v>
      </c>
      <c r="P38" s="100">
        <v>0.94</v>
      </c>
      <c r="Q38" s="100">
        <v>6.47</v>
      </c>
    </row>
    <row r="39" spans="1:17" customFormat="1">
      <c r="A39" s="100" t="s">
        <v>1228</v>
      </c>
      <c r="B39" s="100">
        <v>54.53</v>
      </c>
      <c r="C39" s="100">
        <v>59</v>
      </c>
      <c r="D39" s="100">
        <v>75.900000000000006</v>
      </c>
      <c r="E39" s="100">
        <v>9.36</v>
      </c>
      <c r="F39" s="100">
        <v>4.26</v>
      </c>
      <c r="G39" s="100">
        <v>78.44</v>
      </c>
      <c r="H39" s="100">
        <v>28.81</v>
      </c>
      <c r="I39" s="100">
        <v>9.43</v>
      </c>
      <c r="J39" s="100">
        <v>0.22</v>
      </c>
      <c r="K39" s="100">
        <v>20.16</v>
      </c>
      <c r="L39" s="100">
        <v>30.17</v>
      </c>
      <c r="M39" s="100">
        <v>37.79</v>
      </c>
      <c r="N39" s="100">
        <v>80.5</v>
      </c>
      <c r="O39" s="100">
        <v>0</v>
      </c>
      <c r="P39" s="100">
        <v>0.94</v>
      </c>
      <c r="Q39" s="100">
        <v>6.53</v>
      </c>
    </row>
    <row r="40" spans="1:17" customFormat="1">
      <c r="A40" s="100" t="s">
        <v>1229</v>
      </c>
      <c r="B40" s="100">
        <v>50.87</v>
      </c>
      <c r="C40" s="100">
        <v>52.98</v>
      </c>
      <c r="D40" s="100">
        <v>69.83</v>
      </c>
      <c r="E40" s="100">
        <v>12.31</v>
      </c>
      <c r="F40" s="100">
        <v>7.74</v>
      </c>
      <c r="G40" s="100">
        <v>78.44</v>
      </c>
      <c r="H40" s="100">
        <v>28.81</v>
      </c>
      <c r="I40" s="100">
        <v>9.42</v>
      </c>
      <c r="J40" s="100">
        <v>0.34</v>
      </c>
      <c r="K40" s="100">
        <v>11.47</v>
      </c>
      <c r="L40" s="100">
        <v>30.67</v>
      </c>
      <c r="M40" s="100">
        <v>34.65</v>
      </c>
      <c r="N40" s="100">
        <v>89</v>
      </c>
      <c r="O40" s="100">
        <v>0</v>
      </c>
      <c r="P40" s="100">
        <v>0.9</v>
      </c>
      <c r="Q40" s="100">
        <v>6.37</v>
      </c>
    </row>
    <row r="41" spans="1:17" customFormat="1">
      <c r="A41" s="100" t="s">
        <v>1230</v>
      </c>
      <c r="B41" s="100">
        <v>48.97</v>
      </c>
      <c r="C41" s="100">
        <v>57.61</v>
      </c>
      <c r="D41" s="100">
        <v>70.72</v>
      </c>
      <c r="E41" s="100">
        <v>9.2100000000000009</v>
      </c>
      <c r="F41" s="100">
        <v>7.38</v>
      </c>
      <c r="G41" s="100">
        <v>78.44</v>
      </c>
      <c r="H41" s="100">
        <v>28.81</v>
      </c>
      <c r="I41" s="100">
        <v>9.4600000000000009</v>
      </c>
      <c r="J41" s="100">
        <v>0.45</v>
      </c>
      <c r="K41" s="100">
        <v>36.06</v>
      </c>
      <c r="L41" s="100">
        <v>31.4</v>
      </c>
      <c r="M41" s="100">
        <v>32.1</v>
      </c>
      <c r="N41" s="100">
        <v>94.5</v>
      </c>
      <c r="O41" s="100">
        <v>0</v>
      </c>
      <c r="P41" s="100">
        <v>0.93</v>
      </c>
      <c r="Q41" s="100">
        <v>6.38</v>
      </c>
    </row>
    <row r="42" spans="1:17" customFormat="1">
      <c r="A42" s="100" t="s">
        <v>1231</v>
      </c>
      <c r="B42" s="100">
        <v>44.71</v>
      </c>
      <c r="C42" s="100">
        <v>56.09</v>
      </c>
      <c r="D42" s="100">
        <v>66.510000000000005</v>
      </c>
      <c r="E42" s="100">
        <v>13.81</v>
      </c>
      <c r="F42" s="100">
        <v>12.45</v>
      </c>
      <c r="G42" s="100">
        <v>79.75</v>
      </c>
      <c r="H42" s="100">
        <v>25.74</v>
      </c>
      <c r="I42" s="100">
        <v>9.4</v>
      </c>
      <c r="J42" s="100">
        <v>0.74</v>
      </c>
      <c r="K42" s="100">
        <v>58.55</v>
      </c>
      <c r="L42" s="100">
        <v>32.08</v>
      </c>
      <c r="M42" s="100">
        <v>28.32</v>
      </c>
      <c r="N42" s="100">
        <v>104.1</v>
      </c>
      <c r="O42" s="100">
        <v>0</v>
      </c>
      <c r="P42" s="100">
        <v>0.92</v>
      </c>
      <c r="Q42" s="100">
        <v>6.41</v>
      </c>
    </row>
    <row r="43" spans="1:17" customFormat="1">
      <c r="A43" s="100" t="s">
        <v>1232</v>
      </c>
      <c r="B43" s="100">
        <v>43.56</v>
      </c>
      <c r="C43" s="100">
        <v>54.27</v>
      </c>
      <c r="D43" s="100">
        <v>64.64</v>
      </c>
      <c r="E43" s="100">
        <v>15.27</v>
      </c>
      <c r="F43" s="100">
        <v>12.41</v>
      </c>
      <c r="G43" s="100">
        <v>79.790000000000006</v>
      </c>
      <c r="H43" s="100">
        <v>25.74</v>
      </c>
      <c r="I43" s="100">
        <v>9.24</v>
      </c>
      <c r="J43" s="100">
        <v>0.91</v>
      </c>
      <c r="K43" s="100">
        <v>58.41</v>
      </c>
      <c r="L43" s="100">
        <v>32.5</v>
      </c>
      <c r="M43" s="100">
        <v>25.75</v>
      </c>
      <c r="N43" s="100">
        <v>116.1</v>
      </c>
      <c r="O43" s="100">
        <v>0</v>
      </c>
      <c r="P43" s="100">
        <v>0.89</v>
      </c>
      <c r="Q43" s="100">
        <v>6.23</v>
      </c>
    </row>
    <row r="44" spans="1:17" customFormat="1">
      <c r="A44" s="100" t="s">
        <v>1233</v>
      </c>
      <c r="B44" s="100">
        <v>41.82</v>
      </c>
      <c r="C44" s="100">
        <v>53.75</v>
      </c>
      <c r="D44" s="100">
        <v>62.97</v>
      </c>
      <c r="E44" s="100">
        <v>14.88</v>
      </c>
      <c r="F44" s="100">
        <v>12.62</v>
      </c>
      <c r="G44" s="100">
        <v>79.790000000000006</v>
      </c>
      <c r="H44" s="100">
        <v>25.74</v>
      </c>
      <c r="I44" s="100">
        <v>9.17</v>
      </c>
      <c r="J44" s="100">
        <v>0.96</v>
      </c>
      <c r="K44" s="100">
        <v>57.8</v>
      </c>
      <c r="L44" s="100">
        <v>33.31</v>
      </c>
      <c r="M44" s="100">
        <v>25.43</v>
      </c>
      <c r="N44" s="100">
        <v>126.1</v>
      </c>
      <c r="O44" s="100">
        <v>0</v>
      </c>
      <c r="P44" s="100">
        <v>0.88</v>
      </c>
      <c r="Q44" s="100">
        <v>6.08</v>
      </c>
    </row>
    <row r="45" spans="1:17" customFormat="1">
      <c r="A45" s="100" t="s">
        <v>1234</v>
      </c>
      <c r="B45" s="100">
        <v>37.17</v>
      </c>
      <c r="C45" s="100">
        <v>54.8</v>
      </c>
      <c r="D45" s="100">
        <v>59.79</v>
      </c>
      <c r="E45" s="100">
        <v>16.829999999999998</v>
      </c>
      <c r="F45" s="100">
        <v>15.36</v>
      </c>
      <c r="G45" s="100">
        <v>79.790000000000006</v>
      </c>
      <c r="H45" s="100">
        <v>25.74</v>
      </c>
      <c r="I45" s="100">
        <v>9.1199999999999992</v>
      </c>
      <c r="J45" s="100">
        <v>0.79</v>
      </c>
      <c r="K45" s="100">
        <v>61.33</v>
      </c>
      <c r="L45" s="100">
        <v>34.04</v>
      </c>
      <c r="M45" s="100">
        <v>24.25</v>
      </c>
      <c r="N45" s="100">
        <v>164.3</v>
      </c>
      <c r="O45" s="100">
        <v>0</v>
      </c>
      <c r="P45" s="100">
        <v>0.87</v>
      </c>
      <c r="Q45" s="100">
        <v>5.97</v>
      </c>
    </row>
    <row r="46" spans="1:17" customFormat="1">
      <c r="A46" s="100" t="s">
        <v>1235</v>
      </c>
      <c r="B46" s="100">
        <v>37.29</v>
      </c>
      <c r="C46" s="100">
        <v>61.99</v>
      </c>
      <c r="D46" s="100">
        <v>63.64</v>
      </c>
      <c r="E46" s="100">
        <v>12.26</v>
      </c>
      <c r="F46" s="100">
        <v>8.6199999999999992</v>
      </c>
      <c r="G46" s="100">
        <v>93.11</v>
      </c>
      <c r="H46" s="100">
        <v>28.77</v>
      </c>
      <c r="I46" s="100">
        <v>8.98</v>
      </c>
      <c r="J46" s="100">
        <v>0.43</v>
      </c>
      <c r="K46" s="100">
        <v>127.06</v>
      </c>
      <c r="L46" s="100">
        <v>35.5</v>
      </c>
      <c r="M46" s="100">
        <v>21.72</v>
      </c>
      <c r="N46" s="100">
        <v>197.6</v>
      </c>
      <c r="O46" s="100">
        <v>0</v>
      </c>
      <c r="P46" s="100">
        <v>0.9</v>
      </c>
      <c r="Q46" s="100">
        <v>5.96</v>
      </c>
    </row>
    <row r="47" spans="1:17" customFormat="1">
      <c r="A47" s="100" t="s">
        <v>1236</v>
      </c>
      <c r="B47" s="100">
        <v>34.65</v>
      </c>
      <c r="C47" s="100">
        <v>60.57</v>
      </c>
      <c r="D47" s="100">
        <v>60.78</v>
      </c>
      <c r="E47" s="100">
        <v>16.350000000000001</v>
      </c>
      <c r="F47" s="100">
        <v>13.04</v>
      </c>
      <c r="G47" s="100">
        <v>93.57</v>
      </c>
      <c r="H47" s="100">
        <v>28.77</v>
      </c>
      <c r="I47" s="100">
        <v>9.01</v>
      </c>
      <c r="J47" s="100">
        <v>0.9</v>
      </c>
      <c r="K47" s="100">
        <v>67.27</v>
      </c>
      <c r="L47" s="100">
        <v>35.659999999999997</v>
      </c>
      <c r="M47" s="100">
        <v>20.6</v>
      </c>
      <c r="N47" s="100">
        <v>225.1</v>
      </c>
      <c r="O47" s="100">
        <v>0</v>
      </c>
      <c r="P47" s="100">
        <v>0.89</v>
      </c>
      <c r="Q47" s="100">
        <v>5.9</v>
      </c>
    </row>
    <row r="48" spans="1:17" customFormat="1">
      <c r="A48" s="100" t="s">
        <v>1237</v>
      </c>
      <c r="B48" s="100">
        <v>31.85</v>
      </c>
      <c r="C48" s="100">
        <v>60.24</v>
      </c>
      <c r="D48" s="100">
        <v>58.37</v>
      </c>
      <c r="E48" s="100">
        <v>15.8</v>
      </c>
      <c r="F48" s="100">
        <v>14.93</v>
      </c>
      <c r="G48" s="100">
        <v>93.57</v>
      </c>
      <c r="H48" s="100">
        <v>28.77</v>
      </c>
      <c r="I48" s="100">
        <v>9.11</v>
      </c>
      <c r="J48" s="100">
        <v>0.76</v>
      </c>
      <c r="K48" s="100">
        <v>64.41</v>
      </c>
      <c r="L48" s="100">
        <v>35.950000000000003</v>
      </c>
      <c r="M48" s="100">
        <v>20.329999999999998</v>
      </c>
      <c r="N48" s="100">
        <v>262.7</v>
      </c>
      <c r="O48" s="100">
        <v>0</v>
      </c>
      <c r="P48" s="100">
        <v>0.88</v>
      </c>
      <c r="Q48" s="100">
        <v>5.79</v>
      </c>
    </row>
    <row r="49" spans="1:17" customFormat="1">
      <c r="A49" s="100" t="s">
        <v>1238</v>
      </c>
      <c r="B49" s="100">
        <v>29.79</v>
      </c>
      <c r="C49" s="100">
        <v>60.53</v>
      </c>
      <c r="D49" s="100">
        <v>56.87</v>
      </c>
      <c r="E49" s="100">
        <v>13.78</v>
      </c>
      <c r="F49" s="100">
        <v>16.72</v>
      </c>
      <c r="G49" s="100">
        <v>93.57</v>
      </c>
      <c r="H49" s="100">
        <v>28.77</v>
      </c>
      <c r="I49" s="100">
        <v>8.9499999999999993</v>
      </c>
      <c r="J49" s="100">
        <v>0.75</v>
      </c>
      <c r="K49" s="100">
        <v>72.08</v>
      </c>
      <c r="L49" s="100">
        <v>36.869999999999997</v>
      </c>
      <c r="M49" s="100">
        <v>17.260000000000002</v>
      </c>
      <c r="N49" s="100">
        <v>157.6</v>
      </c>
      <c r="O49" s="100">
        <v>0</v>
      </c>
      <c r="P49" s="100">
        <v>0.86</v>
      </c>
      <c r="Q49" s="100">
        <v>5.67</v>
      </c>
    </row>
    <row r="50" spans="1:17" customFormat="1">
      <c r="A50" s="100" t="s">
        <v>1239</v>
      </c>
      <c r="B50" s="100">
        <v>28.44</v>
      </c>
      <c r="C50" s="100">
        <v>61.62</v>
      </c>
      <c r="D50" s="100">
        <v>56.35</v>
      </c>
      <c r="E50" s="100">
        <v>16.93</v>
      </c>
      <c r="F50" s="100">
        <v>15.88</v>
      </c>
      <c r="G50" s="100">
        <v>81.64</v>
      </c>
      <c r="H50" s="100">
        <v>27.83</v>
      </c>
      <c r="I50" s="100">
        <v>8.6300000000000008</v>
      </c>
      <c r="J50" s="100">
        <v>0.75</v>
      </c>
      <c r="K50" s="100">
        <v>74.92</v>
      </c>
      <c r="L50" s="100">
        <v>37.159999999999997</v>
      </c>
      <c r="M50" s="100">
        <v>14.95</v>
      </c>
      <c r="N50" s="100">
        <v>157.69999999999999</v>
      </c>
      <c r="O50" s="100">
        <v>0</v>
      </c>
      <c r="P50" s="100">
        <v>0.85</v>
      </c>
      <c r="Q50" s="100">
        <v>5.55</v>
      </c>
    </row>
    <row r="51" spans="1:17" customFormat="1">
      <c r="A51" s="100" t="s">
        <v>1240</v>
      </c>
      <c r="B51" s="100">
        <v>26.76</v>
      </c>
      <c r="C51" s="100">
        <v>63.66</v>
      </c>
      <c r="D51" s="100">
        <v>56.07</v>
      </c>
      <c r="E51" s="100">
        <v>16.72</v>
      </c>
      <c r="F51" s="100">
        <v>15.29</v>
      </c>
      <c r="G51" s="100">
        <v>81.23</v>
      </c>
      <c r="H51" s="100">
        <v>27.83</v>
      </c>
      <c r="I51" s="100">
        <v>8.3800000000000008</v>
      </c>
      <c r="J51" s="100">
        <v>0.88</v>
      </c>
      <c r="K51" s="100">
        <v>65.7</v>
      </c>
      <c r="L51" s="100">
        <v>37.79</v>
      </c>
      <c r="M51" s="100">
        <v>13.73</v>
      </c>
      <c r="N51" s="100">
        <v>465.6</v>
      </c>
      <c r="O51" s="100">
        <v>0</v>
      </c>
      <c r="P51" s="100">
        <v>0.85</v>
      </c>
      <c r="Q51" s="100">
        <v>5.48</v>
      </c>
    </row>
    <row r="52" spans="1:17" customFormat="1">
      <c r="A52" s="100" t="s">
        <v>1241</v>
      </c>
      <c r="B52" s="100">
        <v>23.58</v>
      </c>
      <c r="C52" s="100">
        <v>55.84</v>
      </c>
      <c r="D52" s="100">
        <v>49.44</v>
      </c>
      <c r="E52" s="100">
        <v>24.93</v>
      </c>
      <c r="F52" s="100">
        <v>27.25</v>
      </c>
      <c r="G52" s="100">
        <v>81.23</v>
      </c>
      <c r="H52" s="100">
        <v>27.83</v>
      </c>
      <c r="I52" s="100">
        <v>8.48</v>
      </c>
      <c r="J52" s="100">
        <v>1.24</v>
      </c>
      <c r="K52" s="100">
        <v>58.86</v>
      </c>
      <c r="L52" s="100">
        <v>37.75</v>
      </c>
      <c r="M52" s="100">
        <v>13.09</v>
      </c>
      <c r="N52" s="100">
        <v>810.9</v>
      </c>
      <c r="O52" s="100">
        <v>0</v>
      </c>
      <c r="P52" s="100">
        <v>0.81</v>
      </c>
      <c r="Q52" s="100">
        <v>5.38</v>
      </c>
    </row>
    <row r="53" spans="1:17" customFormat="1">
      <c r="A53" s="100" t="s">
        <v>1242</v>
      </c>
      <c r="B53" s="100">
        <v>20.170000000000002</v>
      </c>
      <c r="C53" s="100">
        <v>55.26</v>
      </c>
      <c r="D53" s="100">
        <v>46.4</v>
      </c>
      <c r="E53" s="100">
        <v>33.200000000000003</v>
      </c>
      <c r="F53" s="100">
        <v>35.130000000000003</v>
      </c>
      <c r="G53" s="100">
        <v>81.23</v>
      </c>
      <c r="H53" s="100">
        <v>27.83</v>
      </c>
      <c r="I53" s="100">
        <v>8.34</v>
      </c>
      <c r="J53" s="100">
        <v>0.88</v>
      </c>
      <c r="K53" s="100">
        <v>59.41</v>
      </c>
      <c r="L53" s="100">
        <v>38.47</v>
      </c>
      <c r="M53" s="100">
        <v>12.49</v>
      </c>
      <c r="N53" s="100">
        <v>793.5</v>
      </c>
      <c r="O53" s="100">
        <v>0</v>
      </c>
      <c r="P53" s="100">
        <v>0.75</v>
      </c>
      <c r="Q53" s="100">
        <v>5.19</v>
      </c>
    </row>
    <row r="54" spans="1:17" customFormat="1">
      <c r="A54" s="100" t="s">
        <v>1243</v>
      </c>
      <c r="B54" s="100">
        <v>18.29</v>
      </c>
      <c r="C54" s="100">
        <v>56.84</v>
      </c>
      <c r="D54" s="100">
        <v>45.71</v>
      </c>
      <c r="E54" s="100">
        <v>32.46</v>
      </c>
      <c r="F54" s="100">
        <v>36.9</v>
      </c>
      <c r="G54" s="100">
        <v>83.4</v>
      </c>
      <c r="H54" s="100">
        <v>26.91</v>
      </c>
      <c r="I54" s="100">
        <v>7.78</v>
      </c>
      <c r="J54" s="100">
        <v>0.81</v>
      </c>
      <c r="K54" s="100">
        <v>53.39</v>
      </c>
      <c r="L54" s="100">
        <v>39.020000000000003</v>
      </c>
      <c r="M54" s="100">
        <v>12.62</v>
      </c>
      <c r="N54" s="100">
        <v>840.4</v>
      </c>
      <c r="O54" s="100">
        <v>0</v>
      </c>
      <c r="P54" s="100">
        <v>0.73</v>
      </c>
      <c r="Q54" s="100">
        <v>5.1100000000000003</v>
      </c>
    </row>
    <row r="55" spans="1:17" customFormat="1">
      <c r="A55" s="100" t="s">
        <v>1244</v>
      </c>
      <c r="B55" s="100">
        <v>17.55</v>
      </c>
      <c r="C55" s="100">
        <v>61.06</v>
      </c>
      <c r="D55" s="100">
        <v>47.32</v>
      </c>
      <c r="E55" s="100">
        <v>31.55</v>
      </c>
      <c r="F55" s="100">
        <v>35.619999999999997</v>
      </c>
      <c r="G55" s="100">
        <v>83.48</v>
      </c>
      <c r="H55" s="100">
        <v>26.91</v>
      </c>
      <c r="I55" s="100">
        <v>7.28</v>
      </c>
      <c r="J55" s="100">
        <v>1.04</v>
      </c>
      <c r="K55" s="100">
        <v>51.02</v>
      </c>
      <c r="L55" s="100">
        <v>39.090000000000003</v>
      </c>
      <c r="M55" s="100">
        <v>12.52</v>
      </c>
      <c r="N55" s="100">
        <v>861.7</v>
      </c>
      <c r="O55" s="100">
        <v>0</v>
      </c>
      <c r="P55" s="100">
        <v>0.72</v>
      </c>
      <c r="Q55" s="100">
        <v>5.03</v>
      </c>
    </row>
    <row r="56" spans="1:17" customFormat="1">
      <c r="A56" s="100" t="s">
        <v>1245</v>
      </c>
      <c r="B56" s="100">
        <v>16.39</v>
      </c>
      <c r="C56" s="100">
        <v>59.1</v>
      </c>
      <c r="D56" s="100">
        <v>45.38</v>
      </c>
      <c r="E56" s="100">
        <v>26.66</v>
      </c>
      <c r="F56" s="100">
        <v>38.630000000000003</v>
      </c>
      <c r="G56" s="100">
        <v>83.48</v>
      </c>
      <c r="H56" s="100">
        <v>26.91</v>
      </c>
      <c r="I56" s="100">
        <v>6.89</v>
      </c>
      <c r="J56" s="100">
        <v>0.89</v>
      </c>
      <c r="K56" s="100">
        <v>53.4</v>
      </c>
      <c r="L56" s="100">
        <v>39.04</v>
      </c>
      <c r="M56" s="100">
        <v>10.210000000000001</v>
      </c>
      <c r="N56" s="100">
        <v>870.8</v>
      </c>
      <c r="O56" s="100">
        <v>0</v>
      </c>
      <c r="P56" s="100">
        <v>0.71</v>
      </c>
      <c r="Q56" s="100">
        <v>4.97</v>
      </c>
    </row>
    <row r="57" spans="1:17" customFormat="1">
      <c r="A57" s="100" t="s">
        <v>1246</v>
      </c>
      <c r="B57" s="100">
        <v>15.35</v>
      </c>
      <c r="C57" s="100">
        <v>57.73</v>
      </c>
      <c r="D57" s="100">
        <v>43.82</v>
      </c>
      <c r="E57" s="100">
        <v>23.5</v>
      </c>
      <c r="F57" s="100">
        <v>33.229999999999997</v>
      </c>
      <c r="G57" s="100">
        <v>83.48</v>
      </c>
      <c r="H57" s="100">
        <v>26.91</v>
      </c>
      <c r="I57" s="100">
        <v>6.85</v>
      </c>
      <c r="J57" s="100">
        <v>0.87</v>
      </c>
      <c r="K57" s="100">
        <v>53.56</v>
      </c>
      <c r="L57" s="100">
        <v>39.57</v>
      </c>
      <c r="M57" s="100">
        <v>11.11</v>
      </c>
      <c r="N57" s="100">
        <v>837.4</v>
      </c>
      <c r="O57" s="100">
        <v>0</v>
      </c>
      <c r="P57" s="100">
        <v>0.71</v>
      </c>
      <c r="Q57" s="100">
        <v>4.87</v>
      </c>
    </row>
    <row r="58" spans="1:17" customFormat="1">
      <c r="A58" s="100" t="s">
        <v>1247</v>
      </c>
      <c r="B58" s="100">
        <v>12.85</v>
      </c>
      <c r="C58" s="100">
        <v>54.65</v>
      </c>
      <c r="D58" s="100">
        <v>40.21</v>
      </c>
      <c r="E58" s="100">
        <v>29.61</v>
      </c>
      <c r="F58" s="100">
        <v>46.53</v>
      </c>
      <c r="G58" s="100">
        <v>78.69</v>
      </c>
      <c r="H58" s="100">
        <v>23.35</v>
      </c>
      <c r="I58" s="100">
        <v>6.88</v>
      </c>
      <c r="J58" s="100">
        <v>1.08</v>
      </c>
      <c r="K58" s="100">
        <v>52.99</v>
      </c>
      <c r="L58" s="100">
        <v>39.56</v>
      </c>
      <c r="M58" s="100">
        <v>10.46</v>
      </c>
      <c r="N58" s="100">
        <v>862.8</v>
      </c>
      <c r="O58" s="100">
        <v>0</v>
      </c>
      <c r="P58" s="100">
        <v>0.66</v>
      </c>
      <c r="Q58" s="100">
        <v>4.8</v>
      </c>
    </row>
    <row r="59" spans="1:17" customFormat="1">
      <c r="A59" s="100" t="s">
        <v>1248</v>
      </c>
      <c r="B59" s="100">
        <v>13.91</v>
      </c>
      <c r="C59" s="100">
        <v>58.36</v>
      </c>
      <c r="D59" s="100">
        <v>43</v>
      </c>
      <c r="E59" s="100">
        <v>29.02</v>
      </c>
      <c r="F59" s="100">
        <v>37.78</v>
      </c>
      <c r="G59" s="100">
        <v>78.52</v>
      </c>
      <c r="H59" s="100">
        <v>23.35</v>
      </c>
      <c r="I59" s="100">
        <v>6.53</v>
      </c>
      <c r="J59" s="100">
        <v>0.48</v>
      </c>
      <c r="K59" s="100">
        <v>66.260000000000005</v>
      </c>
      <c r="L59" s="100">
        <v>40.049999999999997</v>
      </c>
      <c r="M59" s="100">
        <v>10.01</v>
      </c>
      <c r="N59" s="100">
        <v>818.2</v>
      </c>
      <c r="O59" s="100">
        <v>0</v>
      </c>
      <c r="P59" s="100">
        <v>0.65</v>
      </c>
      <c r="Q59" s="100">
        <v>4.7699999999999996</v>
      </c>
    </row>
    <row r="60" spans="1:17" customFormat="1">
      <c r="A60" s="100" t="s">
        <v>1249</v>
      </c>
      <c r="B60" s="100">
        <v>12.62</v>
      </c>
      <c r="C60" s="100">
        <v>58.05</v>
      </c>
      <c r="D60" s="100">
        <v>41.8</v>
      </c>
      <c r="E60" s="100">
        <v>27.86</v>
      </c>
      <c r="F60" s="100">
        <v>32.74</v>
      </c>
      <c r="G60" s="100">
        <v>78.52</v>
      </c>
      <c r="H60" s="100">
        <v>23.35</v>
      </c>
      <c r="I60" s="100">
        <v>6.16</v>
      </c>
      <c r="J60" s="100">
        <v>0.98</v>
      </c>
      <c r="K60" s="100">
        <v>64.290000000000006</v>
      </c>
      <c r="L60" s="100">
        <v>39.799999999999997</v>
      </c>
      <c r="M60" s="100">
        <v>8.74</v>
      </c>
      <c r="N60" s="100">
        <v>790.8</v>
      </c>
      <c r="O60" s="100">
        <v>0</v>
      </c>
      <c r="P60" s="100">
        <v>0.64</v>
      </c>
      <c r="Q60" s="100">
        <v>4.7</v>
      </c>
    </row>
    <row r="61" spans="1:17" customFormat="1">
      <c r="A61" s="100" t="s">
        <v>1250</v>
      </c>
      <c r="B61" s="100">
        <v>12.07</v>
      </c>
      <c r="C61" s="100">
        <v>57.68</v>
      </c>
      <c r="D61" s="100">
        <v>41.17</v>
      </c>
      <c r="E61" s="100">
        <v>27.74</v>
      </c>
      <c r="F61" s="100">
        <v>39.67</v>
      </c>
      <c r="G61" s="100">
        <v>78.52</v>
      </c>
      <c r="H61" s="100">
        <v>23.35</v>
      </c>
      <c r="I61" s="100">
        <v>6.25</v>
      </c>
      <c r="J61" s="100">
        <v>0.71</v>
      </c>
      <c r="K61" s="100">
        <v>59.98</v>
      </c>
      <c r="L61" s="100">
        <v>40.18</v>
      </c>
      <c r="M61" s="100">
        <v>8.5500000000000007</v>
      </c>
      <c r="N61" s="100">
        <v>830.4</v>
      </c>
      <c r="O61" s="100">
        <v>0</v>
      </c>
      <c r="P61" s="100">
        <v>0.62</v>
      </c>
      <c r="Q61" s="100">
        <v>4.62</v>
      </c>
    </row>
    <row r="62" spans="1:17" customFormat="1">
      <c r="A62" s="100" t="s">
        <v>1251</v>
      </c>
      <c r="B62" s="100">
        <v>11.32</v>
      </c>
      <c r="C62" s="100">
        <v>55.24</v>
      </c>
      <c r="D62" s="100">
        <v>39.29</v>
      </c>
      <c r="E62" s="100">
        <v>19.8</v>
      </c>
      <c r="F62" s="100">
        <v>40.299999999999997</v>
      </c>
      <c r="G62" s="100">
        <v>67.3</v>
      </c>
      <c r="H62" s="100">
        <v>19.88</v>
      </c>
      <c r="I62" s="100">
        <v>6.29</v>
      </c>
      <c r="J62" s="100">
        <v>0.83</v>
      </c>
      <c r="K62" s="100">
        <v>36.36</v>
      </c>
      <c r="L62" s="100">
        <v>40.520000000000003</v>
      </c>
      <c r="M62" s="100">
        <v>7.5</v>
      </c>
      <c r="N62" s="100">
        <v>819.5</v>
      </c>
      <c r="O62" s="100">
        <v>0</v>
      </c>
      <c r="P62" s="100">
        <v>0.59</v>
      </c>
      <c r="Q62" s="100">
        <v>4.5999999999999996</v>
      </c>
    </row>
    <row r="63" spans="1:17" customFormat="1">
      <c r="A63" s="100" t="s">
        <v>1252</v>
      </c>
      <c r="B63" s="100">
        <v>10.63</v>
      </c>
      <c r="C63" s="100">
        <v>53.29</v>
      </c>
      <c r="D63" s="100">
        <v>37.72</v>
      </c>
      <c r="E63" s="100">
        <v>15.15</v>
      </c>
      <c r="F63" s="100">
        <v>34.78</v>
      </c>
      <c r="G63" s="100">
        <v>66.91</v>
      </c>
      <c r="H63" s="100">
        <v>19.88</v>
      </c>
      <c r="I63" s="100">
        <v>5.98</v>
      </c>
      <c r="J63" s="100">
        <v>0.75</v>
      </c>
      <c r="K63" s="100">
        <v>54.81</v>
      </c>
      <c r="L63" s="100">
        <v>40.909999999999997</v>
      </c>
      <c r="M63" s="100">
        <v>7.58</v>
      </c>
      <c r="N63" s="100">
        <v>692.5</v>
      </c>
      <c r="O63" s="100">
        <v>0</v>
      </c>
      <c r="P63" s="100">
        <v>0.61</v>
      </c>
      <c r="Q63" s="100">
        <v>4.55</v>
      </c>
    </row>
    <row r="64" spans="1:17" customFormat="1">
      <c r="A64" s="100" t="s">
        <v>1253</v>
      </c>
      <c r="B64" s="100">
        <v>10.1</v>
      </c>
      <c r="C64" s="100">
        <v>54.15</v>
      </c>
      <c r="D64" s="100">
        <v>37.74</v>
      </c>
      <c r="E64" s="100">
        <v>14.31</v>
      </c>
      <c r="F64" s="100">
        <v>36.11</v>
      </c>
      <c r="G64" s="100">
        <v>66.91</v>
      </c>
      <c r="H64" s="100">
        <v>19.88</v>
      </c>
      <c r="I64" s="100">
        <v>5.85</v>
      </c>
      <c r="J64" s="100">
        <v>0.88</v>
      </c>
      <c r="K64" s="100">
        <v>46.37</v>
      </c>
      <c r="L64" s="100">
        <v>40.19</v>
      </c>
      <c r="M64" s="100">
        <v>7</v>
      </c>
      <c r="N64" s="100">
        <v>731.2</v>
      </c>
      <c r="O64" s="100">
        <v>0</v>
      </c>
      <c r="P64" s="100">
        <v>0.59</v>
      </c>
      <c r="Q64" s="100">
        <v>4.5</v>
      </c>
    </row>
    <row r="65" spans="1:17" customFormat="1">
      <c r="A65" s="100" t="s">
        <v>1254</v>
      </c>
      <c r="B65" s="100">
        <v>9.65</v>
      </c>
      <c r="C65" s="100">
        <v>53.24</v>
      </c>
      <c r="D65" s="100">
        <v>36.909999999999997</v>
      </c>
      <c r="E65" s="100">
        <v>14.07</v>
      </c>
      <c r="F65" s="100">
        <v>43.29</v>
      </c>
      <c r="G65" s="100">
        <v>66.91</v>
      </c>
      <c r="H65" s="100">
        <v>19.88</v>
      </c>
      <c r="I65" s="100">
        <v>5.84</v>
      </c>
      <c r="J65" s="100">
        <v>1.0900000000000001</v>
      </c>
      <c r="K65" s="100">
        <v>35.54</v>
      </c>
      <c r="L65" s="100">
        <v>40.06</v>
      </c>
      <c r="M65" s="100">
        <v>7.22</v>
      </c>
      <c r="N65" s="100">
        <v>730</v>
      </c>
      <c r="O65" s="100">
        <v>0</v>
      </c>
      <c r="P65" s="100">
        <v>0.56999999999999995</v>
      </c>
      <c r="Q65" s="100">
        <v>4.4400000000000004</v>
      </c>
    </row>
    <row r="66" spans="1:17" customFormat="1">
      <c r="A66" s="100" t="s">
        <v>1255</v>
      </c>
      <c r="B66" s="100">
        <v>9.2100000000000009</v>
      </c>
      <c r="C66" s="100">
        <v>52.34</v>
      </c>
      <c r="D66" s="100">
        <v>36.08</v>
      </c>
      <c r="E66" s="100">
        <v>16.52</v>
      </c>
      <c r="F66" s="100">
        <v>38.58</v>
      </c>
      <c r="G66" s="100">
        <v>58.66</v>
      </c>
      <c r="H66" s="100">
        <v>17.670000000000002</v>
      </c>
      <c r="I66" s="100">
        <v>5.87</v>
      </c>
      <c r="J66" s="100">
        <v>1.1000000000000001</v>
      </c>
      <c r="K66" s="100">
        <v>46.07</v>
      </c>
      <c r="L66" s="100">
        <v>40.22</v>
      </c>
      <c r="M66" s="100">
        <v>6.9</v>
      </c>
      <c r="N66" s="100">
        <v>678.9</v>
      </c>
      <c r="O66" s="100">
        <v>0</v>
      </c>
      <c r="P66" s="100">
        <v>0.56999999999999995</v>
      </c>
      <c r="Q66" s="100">
        <v>4.41</v>
      </c>
    </row>
    <row r="67" spans="1:17" customFormat="1">
      <c r="A67" s="100" t="s">
        <v>1256</v>
      </c>
      <c r="B67" s="100">
        <v>8.94</v>
      </c>
      <c r="C67" s="100">
        <v>52.56</v>
      </c>
      <c r="D67" s="100">
        <v>35.979999999999997</v>
      </c>
      <c r="E67" s="100">
        <v>13.01</v>
      </c>
      <c r="F67" s="100">
        <v>34.85</v>
      </c>
      <c r="G67" s="100">
        <v>58.38</v>
      </c>
      <c r="H67" s="100">
        <v>17.670000000000002</v>
      </c>
      <c r="I67" s="100">
        <v>5.63</v>
      </c>
      <c r="J67" s="100">
        <v>1.29</v>
      </c>
      <c r="K67" s="100">
        <v>45.26</v>
      </c>
      <c r="L67" s="100">
        <v>40.090000000000003</v>
      </c>
      <c r="M67" s="100">
        <v>6.93</v>
      </c>
      <c r="N67" s="100">
        <v>686.4</v>
      </c>
      <c r="O67" s="100">
        <v>0</v>
      </c>
      <c r="P67" s="100">
        <v>0.56000000000000005</v>
      </c>
      <c r="Q67" s="100">
        <v>4.4000000000000004</v>
      </c>
    </row>
    <row r="68" spans="1:17" customFormat="1">
      <c r="A68" s="100" t="s">
        <v>1257</v>
      </c>
      <c r="B68" s="100">
        <v>8.7200000000000006</v>
      </c>
      <c r="C68" s="100">
        <v>52.75</v>
      </c>
      <c r="D68" s="100">
        <v>35.9</v>
      </c>
      <c r="E68" s="100">
        <v>11.06</v>
      </c>
      <c r="F68" s="100">
        <v>34.29</v>
      </c>
      <c r="G68" s="100">
        <v>58.38</v>
      </c>
      <c r="H68" s="100">
        <v>17.670000000000002</v>
      </c>
      <c r="I68" s="100">
        <v>5.46</v>
      </c>
      <c r="J68" s="100">
        <v>0.64</v>
      </c>
      <c r="K68" s="100">
        <v>11.1</v>
      </c>
      <c r="L68" s="100">
        <v>40.159999999999997</v>
      </c>
      <c r="M68" s="100">
        <v>6.42</v>
      </c>
      <c r="N68" s="100">
        <v>698.9</v>
      </c>
      <c r="O68" s="100">
        <v>0</v>
      </c>
      <c r="P68" s="100">
        <v>0.55000000000000004</v>
      </c>
      <c r="Q68" s="100">
        <v>4.3600000000000003</v>
      </c>
    </row>
    <row r="69" spans="1:17" customFormat="1">
      <c r="A69" s="100" t="s">
        <v>1258</v>
      </c>
      <c r="B69" s="100">
        <v>9.7899999999999991</v>
      </c>
      <c r="C69" s="100">
        <v>54.04</v>
      </c>
      <c r="D69" s="100">
        <v>37.43</v>
      </c>
      <c r="E69" s="100">
        <v>11.09</v>
      </c>
      <c r="F69" s="100">
        <v>33.61</v>
      </c>
      <c r="G69" s="100">
        <v>58.38</v>
      </c>
      <c r="H69" s="100">
        <v>17.670000000000002</v>
      </c>
      <c r="I69" s="100">
        <v>5.74</v>
      </c>
      <c r="J69" s="100">
        <v>1.1100000000000001</v>
      </c>
      <c r="K69" s="100">
        <v>27.02</v>
      </c>
      <c r="L69" s="100">
        <v>40.18</v>
      </c>
      <c r="M69" s="100">
        <v>6.8</v>
      </c>
      <c r="N69" s="100">
        <v>606.6</v>
      </c>
      <c r="O69" s="100">
        <v>0</v>
      </c>
      <c r="P69" s="100">
        <v>0.54</v>
      </c>
      <c r="Q69" s="100">
        <v>4.3099999999999996</v>
      </c>
    </row>
    <row r="70" spans="1:17" customFormat="1">
      <c r="A70" s="100" t="s">
        <v>1259</v>
      </c>
      <c r="B70" s="100">
        <v>10.07</v>
      </c>
      <c r="C70" s="100">
        <v>52.62</v>
      </c>
      <c r="D70" s="100">
        <v>36.92</v>
      </c>
      <c r="E70" s="100">
        <v>9.4499999999999993</v>
      </c>
      <c r="F70" s="100">
        <v>25.09</v>
      </c>
      <c r="G70" s="100">
        <v>50.99</v>
      </c>
      <c r="H70" s="100">
        <v>18.690000000000001</v>
      </c>
      <c r="I70" s="100">
        <v>5.63</v>
      </c>
      <c r="J70" s="100">
        <v>1.18</v>
      </c>
      <c r="K70" s="100">
        <v>27.02</v>
      </c>
      <c r="L70" s="100">
        <v>39.86</v>
      </c>
      <c r="M70" s="100">
        <v>6.13</v>
      </c>
      <c r="N70" s="100">
        <v>588</v>
      </c>
      <c r="O70" s="100">
        <v>0</v>
      </c>
      <c r="P70" s="100">
        <v>0.55000000000000004</v>
      </c>
      <c r="Q70" s="100">
        <v>4.3099999999999996</v>
      </c>
    </row>
    <row r="71" spans="1:17" customFormat="1">
      <c r="A71" s="100" t="s">
        <v>1260</v>
      </c>
      <c r="B71" s="100">
        <v>9.36</v>
      </c>
      <c r="C71" s="100">
        <v>57.27</v>
      </c>
      <c r="D71" s="100">
        <v>38.79</v>
      </c>
      <c r="E71" s="100">
        <v>8.86</v>
      </c>
      <c r="F71" s="100">
        <v>26.8</v>
      </c>
      <c r="G71" s="100">
        <v>50.74</v>
      </c>
      <c r="H71" s="100">
        <v>18.690000000000001</v>
      </c>
      <c r="I71" s="100">
        <v>5.38</v>
      </c>
      <c r="J71" s="100">
        <v>1.08</v>
      </c>
      <c r="K71" s="100">
        <v>36.79</v>
      </c>
      <c r="L71" s="100">
        <v>39.729999999999997</v>
      </c>
      <c r="M71" s="100">
        <v>6.18</v>
      </c>
      <c r="N71" s="100">
        <v>531.6</v>
      </c>
      <c r="O71" s="100">
        <v>0</v>
      </c>
      <c r="P71" s="100">
        <v>0.56000000000000005</v>
      </c>
      <c r="Q71" s="100">
        <v>4.3600000000000003</v>
      </c>
    </row>
    <row r="72" spans="1:17" customFormat="1">
      <c r="A72" s="100" t="s">
        <v>1261</v>
      </c>
      <c r="B72" s="100">
        <v>9.14</v>
      </c>
      <c r="C72" s="100">
        <v>55.49</v>
      </c>
      <c r="D72" s="100">
        <v>37.67</v>
      </c>
      <c r="E72" s="100">
        <v>11.99</v>
      </c>
      <c r="F72" s="100">
        <v>35.21</v>
      </c>
      <c r="G72" s="100">
        <v>50.74</v>
      </c>
      <c r="H72" s="100">
        <v>18.690000000000001</v>
      </c>
      <c r="I72" s="100">
        <v>5.46</v>
      </c>
      <c r="J72" s="100">
        <v>0.81</v>
      </c>
      <c r="K72" s="100">
        <v>29.93</v>
      </c>
      <c r="L72" s="100">
        <v>39.92</v>
      </c>
      <c r="M72" s="100">
        <v>7.05</v>
      </c>
      <c r="N72" s="100">
        <v>460.9</v>
      </c>
      <c r="O72" s="100">
        <v>0</v>
      </c>
      <c r="P72" s="100">
        <v>0.52</v>
      </c>
      <c r="Q72" s="100">
        <v>4.34</v>
      </c>
    </row>
    <row r="73" spans="1:17" customFormat="1">
      <c r="A73" s="100" t="s">
        <v>1262</v>
      </c>
      <c r="B73" s="100">
        <v>9.14</v>
      </c>
      <c r="C73" s="100">
        <v>57.21</v>
      </c>
      <c r="D73" s="100">
        <v>38.57</v>
      </c>
      <c r="E73" s="100">
        <v>11.08</v>
      </c>
      <c r="F73" s="100">
        <v>39.049999999999997</v>
      </c>
      <c r="G73" s="100">
        <v>50.74</v>
      </c>
      <c r="H73" s="100">
        <v>18.690000000000001</v>
      </c>
      <c r="I73" s="100">
        <v>5.41</v>
      </c>
      <c r="J73" s="100">
        <v>0.59</v>
      </c>
      <c r="K73" s="100">
        <v>18.239999999999998</v>
      </c>
      <c r="L73" s="100">
        <v>39.76</v>
      </c>
      <c r="M73" s="100">
        <v>7.11</v>
      </c>
      <c r="N73" s="100">
        <v>397.4</v>
      </c>
      <c r="O73" s="100">
        <v>0</v>
      </c>
      <c r="P73" s="100">
        <v>0.51</v>
      </c>
      <c r="Q73" s="100">
        <v>4.3499999999999996</v>
      </c>
    </row>
    <row r="74" spans="1:17" customFormat="1">
      <c r="A74" s="100" t="s">
        <v>1263</v>
      </c>
      <c r="B74" s="100">
        <v>12.47</v>
      </c>
      <c r="C74" s="100">
        <v>64.260000000000005</v>
      </c>
      <c r="D74" s="100">
        <v>44.92</v>
      </c>
      <c r="E74" s="100">
        <v>12.92</v>
      </c>
      <c r="F74" s="100">
        <v>30.38</v>
      </c>
      <c r="G74" s="100">
        <v>52.16</v>
      </c>
      <c r="H74" s="100">
        <v>16.920000000000002</v>
      </c>
      <c r="I74" s="100">
        <v>4.99</v>
      </c>
      <c r="J74" s="100">
        <v>0.49</v>
      </c>
      <c r="K74" s="100">
        <v>48.79</v>
      </c>
      <c r="L74" s="100">
        <v>39.880000000000003</v>
      </c>
      <c r="M74" s="100">
        <v>9.6199999999999992</v>
      </c>
      <c r="N74" s="100">
        <v>324.2</v>
      </c>
      <c r="O74" s="100">
        <v>0</v>
      </c>
      <c r="P74" s="100">
        <v>0.55000000000000004</v>
      </c>
      <c r="Q74" s="100">
        <v>4.4000000000000004</v>
      </c>
    </row>
    <row r="75" spans="1:17" customFormat="1">
      <c r="A75" s="100" t="s">
        <v>1264</v>
      </c>
      <c r="B75" s="100">
        <v>12.32</v>
      </c>
      <c r="C75" s="100">
        <v>61.67</v>
      </c>
      <c r="D75" s="100">
        <v>43.45</v>
      </c>
      <c r="E75" s="100">
        <v>12.96</v>
      </c>
      <c r="F75" s="100">
        <v>31.49</v>
      </c>
      <c r="G75" s="100">
        <v>52.21</v>
      </c>
      <c r="H75" s="100">
        <v>16.920000000000002</v>
      </c>
      <c r="I75" s="100">
        <v>4.67</v>
      </c>
      <c r="J75" s="100">
        <v>0.61</v>
      </c>
      <c r="K75" s="100">
        <v>53.68</v>
      </c>
      <c r="L75" s="100">
        <v>39.47</v>
      </c>
      <c r="M75" s="100">
        <v>8.9600000000000009</v>
      </c>
      <c r="N75" s="100">
        <v>298.39999999999998</v>
      </c>
      <c r="O75" s="100">
        <v>0</v>
      </c>
      <c r="P75" s="100">
        <v>0.54</v>
      </c>
      <c r="Q75" s="100">
        <v>4.46</v>
      </c>
    </row>
    <row r="76" spans="1:17" customFormat="1">
      <c r="A76" s="100" t="s">
        <v>1265</v>
      </c>
      <c r="B76" s="100">
        <v>12.4</v>
      </c>
      <c r="C76" s="100">
        <v>62.45</v>
      </c>
      <c r="D76" s="100">
        <v>43.92</v>
      </c>
      <c r="E76" s="100">
        <v>12.3</v>
      </c>
      <c r="F76" s="100">
        <v>35.369999999999997</v>
      </c>
      <c r="G76" s="100">
        <v>52.21</v>
      </c>
      <c r="H76" s="100">
        <v>16.920000000000002</v>
      </c>
      <c r="I76" s="100">
        <v>4.46</v>
      </c>
      <c r="J76" s="100">
        <v>0.52</v>
      </c>
      <c r="K76" s="100">
        <v>52.96</v>
      </c>
      <c r="L76" s="100">
        <v>39.04</v>
      </c>
      <c r="M76" s="100">
        <v>10.14</v>
      </c>
      <c r="N76" s="100">
        <v>245.7</v>
      </c>
      <c r="O76" s="100">
        <v>0</v>
      </c>
      <c r="P76" s="100">
        <v>0.56000000000000005</v>
      </c>
      <c r="Q76" s="100">
        <v>4.4800000000000004</v>
      </c>
    </row>
    <row r="77" spans="1:17" customFormat="1">
      <c r="A77" s="100" t="s">
        <v>1266</v>
      </c>
      <c r="B77" s="100">
        <v>11.57</v>
      </c>
      <c r="C77" s="100">
        <v>61.47</v>
      </c>
      <c r="D77" s="100">
        <v>42.75</v>
      </c>
      <c r="E77" s="100">
        <v>10.38</v>
      </c>
      <c r="F77" s="100">
        <v>33.619999999999997</v>
      </c>
      <c r="G77" s="100">
        <v>52.21</v>
      </c>
      <c r="H77" s="100">
        <v>16.920000000000002</v>
      </c>
      <c r="I77" s="100">
        <v>4.47</v>
      </c>
      <c r="J77" s="100">
        <v>0.26</v>
      </c>
      <c r="K77" s="100">
        <v>71.77</v>
      </c>
      <c r="L77" s="100">
        <v>39.18</v>
      </c>
      <c r="M77" s="100">
        <v>11.56</v>
      </c>
      <c r="N77" s="100">
        <v>161.19999999999999</v>
      </c>
      <c r="O77" s="100">
        <v>0</v>
      </c>
      <c r="P77" s="100">
        <v>0.62</v>
      </c>
      <c r="Q77" s="100">
        <v>4.51</v>
      </c>
    </row>
    <row r="78" spans="1:17" customFormat="1">
      <c r="A78" s="100" t="s">
        <v>1267</v>
      </c>
      <c r="B78" s="100">
        <v>15.28</v>
      </c>
      <c r="C78" s="100">
        <v>70.28</v>
      </c>
      <c r="D78" s="100">
        <v>50.32</v>
      </c>
      <c r="E78" s="100">
        <v>11.04</v>
      </c>
      <c r="F78" s="100">
        <v>25.38</v>
      </c>
      <c r="G78" s="100">
        <v>54.4</v>
      </c>
      <c r="H78" s="100">
        <v>15.79</v>
      </c>
      <c r="I78" s="100">
        <v>4.4400000000000004</v>
      </c>
      <c r="J78" s="100">
        <v>0.14000000000000001</v>
      </c>
      <c r="K78" s="100">
        <v>115.31</v>
      </c>
      <c r="L78" s="100">
        <v>38.36</v>
      </c>
      <c r="M78" s="100">
        <v>15.44</v>
      </c>
      <c r="N78" s="100">
        <v>89.1</v>
      </c>
      <c r="O78" s="100">
        <v>0</v>
      </c>
      <c r="P78" s="100">
        <v>0.66</v>
      </c>
      <c r="Q78" s="100">
        <v>4.54</v>
      </c>
    </row>
    <row r="79" spans="1:17" customFormat="1">
      <c r="A79" s="100" t="s">
        <v>1268</v>
      </c>
      <c r="B79" s="100">
        <v>11.07</v>
      </c>
      <c r="C79" s="100">
        <v>65.569999999999993</v>
      </c>
      <c r="D79" s="100">
        <v>44.48</v>
      </c>
      <c r="E79" s="100">
        <v>10.17</v>
      </c>
      <c r="F79" s="100">
        <v>25.05</v>
      </c>
      <c r="G79" s="100">
        <v>54.47</v>
      </c>
      <c r="H79" s="100">
        <v>15.79</v>
      </c>
      <c r="I79" s="100">
        <v>4.6100000000000003</v>
      </c>
      <c r="J79" s="100">
        <v>0.24</v>
      </c>
      <c r="K79" s="100">
        <v>162.1</v>
      </c>
      <c r="L79" s="100">
        <v>36.880000000000003</v>
      </c>
      <c r="M79" s="100">
        <v>18.96</v>
      </c>
      <c r="N79" s="100">
        <v>60.6</v>
      </c>
      <c r="O79" s="100">
        <v>0</v>
      </c>
      <c r="P79" s="100">
        <v>0.65</v>
      </c>
      <c r="Q79" s="100">
        <v>4.55</v>
      </c>
    </row>
    <row r="80" spans="1:17" customFormat="1">
      <c r="A80" s="100" t="s">
        <v>1269</v>
      </c>
      <c r="B80" s="100">
        <v>9.66</v>
      </c>
      <c r="C80" s="100">
        <v>58.61</v>
      </c>
      <c r="D80" s="100">
        <v>39.72</v>
      </c>
      <c r="E80" s="100">
        <v>9.86</v>
      </c>
      <c r="F80" s="100">
        <v>34.71</v>
      </c>
      <c r="G80" s="100">
        <v>54.47</v>
      </c>
      <c r="H80" s="100">
        <v>15.79</v>
      </c>
      <c r="I80" s="100">
        <v>4.7300000000000004</v>
      </c>
      <c r="J80" s="100">
        <v>0.24</v>
      </c>
      <c r="K80" s="100">
        <v>164.17</v>
      </c>
      <c r="L80" s="100">
        <v>35.36</v>
      </c>
      <c r="M80" s="100">
        <v>25.1</v>
      </c>
      <c r="N80" s="100">
        <v>27.2</v>
      </c>
      <c r="O80" s="100">
        <v>0</v>
      </c>
      <c r="P80" s="100">
        <v>0.57999999999999996</v>
      </c>
      <c r="Q80" s="100">
        <v>4.59</v>
      </c>
    </row>
    <row r="81" spans="1:17" customFormat="1">
      <c r="A81" s="100" t="s">
        <v>1270</v>
      </c>
      <c r="B81" s="100">
        <v>9.2100000000000009</v>
      </c>
      <c r="C81" s="100">
        <v>52.07</v>
      </c>
      <c r="D81" s="100">
        <v>35.94</v>
      </c>
      <c r="E81" s="100">
        <v>11.22</v>
      </c>
      <c r="F81" s="100">
        <v>39.549999999999997</v>
      </c>
      <c r="G81" s="100">
        <v>54.47</v>
      </c>
      <c r="H81" s="100">
        <v>15.79</v>
      </c>
      <c r="I81" s="100">
        <v>4.5999999999999996</v>
      </c>
      <c r="J81" s="100">
        <v>0.24</v>
      </c>
      <c r="K81" s="100">
        <v>166.62</v>
      </c>
      <c r="L81" s="100">
        <v>33.94</v>
      </c>
      <c r="M81" s="100">
        <v>27.37</v>
      </c>
      <c r="N81" s="100">
        <v>7.1</v>
      </c>
      <c r="O81" s="100">
        <v>0</v>
      </c>
      <c r="P81" s="100">
        <v>0.56999999999999995</v>
      </c>
      <c r="Q81" s="100">
        <v>4.59</v>
      </c>
    </row>
    <row r="82" spans="1:17" customFormat="1">
      <c r="A82" s="100" t="s">
        <v>1271</v>
      </c>
      <c r="B82" s="100">
        <v>9</v>
      </c>
      <c r="C82" s="100">
        <v>47.71</v>
      </c>
      <c r="D82" s="100">
        <v>33.49</v>
      </c>
      <c r="E82" s="100">
        <v>12.11</v>
      </c>
      <c r="F82" s="100">
        <v>36.57</v>
      </c>
      <c r="G82" s="100">
        <v>58.78</v>
      </c>
      <c r="H82" s="100">
        <v>16.43</v>
      </c>
      <c r="I82" s="100">
        <v>4.46</v>
      </c>
      <c r="J82" s="100">
        <v>0.2</v>
      </c>
      <c r="K82" s="100">
        <v>162.65</v>
      </c>
      <c r="L82" s="100">
        <v>32.590000000000003</v>
      </c>
      <c r="M82" s="100">
        <v>33.15</v>
      </c>
      <c r="N82" s="100">
        <v>0</v>
      </c>
      <c r="O82" s="100">
        <v>0</v>
      </c>
      <c r="P82" s="100">
        <v>0.56000000000000005</v>
      </c>
      <c r="Q82" s="100">
        <v>4.5999999999999996</v>
      </c>
    </row>
    <row r="83" spans="1:17" customFormat="1">
      <c r="A83" s="100" t="s">
        <v>1272</v>
      </c>
      <c r="B83" s="100">
        <v>10.75</v>
      </c>
      <c r="C83" s="100">
        <v>54.02</v>
      </c>
      <c r="D83" s="100">
        <v>38.19</v>
      </c>
      <c r="E83" s="100">
        <v>11.22</v>
      </c>
      <c r="F83" s="100">
        <v>24.91</v>
      </c>
      <c r="G83" s="100">
        <v>58.93</v>
      </c>
      <c r="H83" s="100">
        <v>16.43</v>
      </c>
      <c r="I83" s="100">
        <v>4.34</v>
      </c>
      <c r="J83" s="100">
        <v>0.19</v>
      </c>
      <c r="K83" s="100">
        <v>167.43</v>
      </c>
      <c r="L83" s="100">
        <v>31.75</v>
      </c>
      <c r="M83" s="100">
        <v>33.74</v>
      </c>
      <c r="N83" s="100">
        <v>0</v>
      </c>
      <c r="O83" s="100">
        <v>0</v>
      </c>
      <c r="P83" s="100">
        <v>0.59</v>
      </c>
      <c r="Q83" s="100">
        <v>4.6100000000000003</v>
      </c>
    </row>
    <row r="84" spans="1:17" customFormat="1">
      <c r="A84" s="100" t="s">
        <v>1273</v>
      </c>
      <c r="B84" s="100">
        <v>10.53</v>
      </c>
      <c r="C84" s="100">
        <v>54.27</v>
      </c>
      <c r="D84" s="100">
        <v>38.15</v>
      </c>
      <c r="E84" s="100">
        <v>11.36</v>
      </c>
      <c r="F84" s="100">
        <v>27.44</v>
      </c>
      <c r="G84" s="100">
        <v>58.93</v>
      </c>
      <c r="H84" s="100">
        <v>16.43</v>
      </c>
      <c r="I84" s="100">
        <v>4.47</v>
      </c>
      <c r="J84" s="100">
        <v>0.15</v>
      </c>
      <c r="K84" s="100">
        <v>178.92</v>
      </c>
      <c r="L84" s="100">
        <v>31.06</v>
      </c>
      <c r="M84" s="100">
        <v>35.799999999999997</v>
      </c>
      <c r="N84" s="100">
        <v>0</v>
      </c>
      <c r="O84" s="100">
        <v>0</v>
      </c>
      <c r="P84" s="100">
        <v>0.6</v>
      </c>
      <c r="Q84" s="100">
        <v>4.63</v>
      </c>
    </row>
    <row r="85" spans="1:17" customFormat="1">
      <c r="A85" s="100" t="s">
        <v>1274</v>
      </c>
      <c r="B85" s="100">
        <v>10.61</v>
      </c>
      <c r="C85" s="100">
        <v>52.43</v>
      </c>
      <c r="D85" s="100">
        <v>37.26</v>
      </c>
      <c r="E85" s="100">
        <v>10.94</v>
      </c>
      <c r="F85" s="100">
        <v>22.08</v>
      </c>
      <c r="G85" s="100">
        <v>58.93</v>
      </c>
      <c r="H85" s="100">
        <v>16.43</v>
      </c>
      <c r="I85" s="100">
        <v>4.87</v>
      </c>
      <c r="J85" s="100">
        <v>0.23</v>
      </c>
      <c r="K85" s="100">
        <v>171.42</v>
      </c>
      <c r="L85" s="100">
        <v>30.58</v>
      </c>
      <c r="M85" s="100">
        <v>35.92</v>
      </c>
      <c r="N85" s="100">
        <v>0</v>
      </c>
      <c r="O85" s="100">
        <v>0</v>
      </c>
      <c r="P85" s="100">
        <v>0.61</v>
      </c>
      <c r="Q85" s="100">
        <v>4.58</v>
      </c>
    </row>
    <row r="86" spans="1:17" customFormat="1">
      <c r="A86" s="100" t="s">
        <v>1275</v>
      </c>
      <c r="B86" s="100">
        <v>12.15</v>
      </c>
      <c r="C86" s="100">
        <v>61.38</v>
      </c>
      <c r="D86" s="100">
        <v>43.16</v>
      </c>
      <c r="E86" s="100">
        <v>9.84</v>
      </c>
      <c r="F86" s="100">
        <v>13.64</v>
      </c>
      <c r="G86" s="100">
        <v>53.08</v>
      </c>
      <c r="H86" s="100">
        <v>13.74</v>
      </c>
      <c r="I86" s="100">
        <v>4.96</v>
      </c>
      <c r="J86" s="100">
        <v>0.26</v>
      </c>
      <c r="K86" s="100">
        <v>168.05</v>
      </c>
      <c r="L86" s="100">
        <v>29.86</v>
      </c>
      <c r="M86" s="100">
        <v>38.57</v>
      </c>
      <c r="N86" s="100">
        <v>0</v>
      </c>
      <c r="O86" s="100">
        <v>0</v>
      </c>
      <c r="P86" s="100">
        <v>0.66</v>
      </c>
      <c r="Q86" s="100">
        <v>4.67</v>
      </c>
    </row>
    <row r="87" spans="1:17" customFormat="1">
      <c r="A87" s="100" t="s">
        <v>1276</v>
      </c>
      <c r="B87" s="100">
        <v>12.16</v>
      </c>
      <c r="C87" s="100">
        <v>58.14</v>
      </c>
      <c r="D87" s="100">
        <v>41.48</v>
      </c>
      <c r="E87" s="100">
        <v>9.67</v>
      </c>
      <c r="F87" s="100">
        <v>13.1</v>
      </c>
      <c r="G87" s="100">
        <v>52.88</v>
      </c>
      <c r="H87" s="100">
        <v>13.74</v>
      </c>
      <c r="I87" s="100">
        <v>5.3</v>
      </c>
      <c r="J87" s="100">
        <v>0.21</v>
      </c>
      <c r="K87" s="100">
        <v>163.69999999999999</v>
      </c>
      <c r="L87" s="100">
        <v>29.52</v>
      </c>
      <c r="M87" s="100">
        <v>43.06</v>
      </c>
      <c r="N87" s="100">
        <v>0</v>
      </c>
      <c r="O87" s="100">
        <v>0</v>
      </c>
      <c r="P87" s="100">
        <v>0.7</v>
      </c>
      <c r="Q87" s="100">
        <v>4.63</v>
      </c>
    </row>
    <row r="88" spans="1:17" customFormat="1">
      <c r="A88" s="100" t="s">
        <v>1277</v>
      </c>
      <c r="B88" s="100">
        <v>13.39</v>
      </c>
      <c r="C88" s="100">
        <v>61.6</v>
      </c>
      <c r="D88" s="100">
        <v>44.27</v>
      </c>
      <c r="E88" s="100">
        <v>9.2799999999999994</v>
      </c>
      <c r="F88" s="100">
        <v>7.51</v>
      </c>
      <c r="G88" s="100">
        <v>52.88</v>
      </c>
      <c r="H88" s="100">
        <v>13.74</v>
      </c>
      <c r="I88" s="100">
        <v>5.81</v>
      </c>
      <c r="J88" s="100">
        <v>0.26</v>
      </c>
      <c r="K88" s="100">
        <v>157.38</v>
      </c>
      <c r="L88" s="100">
        <v>29.17</v>
      </c>
      <c r="M88" s="100">
        <v>43.77</v>
      </c>
      <c r="N88" s="100">
        <v>0</v>
      </c>
      <c r="O88" s="100">
        <v>0</v>
      </c>
      <c r="P88" s="100">
        <v>0.68</v>
      </c>
      <c r="Q88" s="100">
        <v>4.6900000000000004</v>
      </c>
    </row>
    <row r="89" spans="1:17" customFormat="1">
      <c r="A89" s="100" t="s">
        <v>1278</v>
      </c>
      <c r="B89" s="100">
        <v>13.76</v>
      </c>
      <c r="C89" s="100">
        <v>59.18</v>
      </c>
      <c r="D89" s="100">
        <v>43.3</v>
      </c>
      <c r="E89" s="100">
        <v>10.02</v>
      </c>
      <c r="F89" s="100">
        <v>9.17</v>
      </c>
      <c r="G89" s="100">
        <v>52.88</v>
      </c>
      <c r="H89" s="100">
        <v>13.74</v>
      </c>
      <c r="I89" s="100">
        <v>5.9</v>
      </c>
      <c r="J89" s="100">
        <v>0.25</v>
      </c>
      <c r="K89" s="100">
        <v>146.28</v>
      </c>
      <c r="L89" s="100">
        <v>28.87</v>
      </c>
      <c r="M89" s="100">
        <v>44.1</v>
      </c>
      <c r="N89" s="100">
        <v>0</v>
      </c>
      <c r="O89" s="100">
        <v>0</v>
      </c>
      <c r="P89" s="100">
        <v>0.71</v>
      </c>
      <c r="Q89" s="100">
        <v>4.74</v>
      </c>
    </row>
    <row r="90" spans="1:17" customFormat="1">
      <c r="A90" s="100" t="s">
        <v>1279</v>
      </c>
      <c r="B90" s="100">
        <v>17.260000000000002</v>
      </c>
      <c r="C90" s="100">
        <v>62.81</v>
      </c>
      <c r="D90" s="100">
        <v>48.01</v>
      </c>
      <c r="E90" s="100">
        <v>9.94</v>
      </c>
      <c r="F90" s="100">
        <v>6.94</v>
      </c>
      <c r="G90" s="100">
        <v>53.07</v>
      </c>
      <c r="H90" s="100">
        <v>16.22</v>
      </c>
      <c r="I90" s="100">
        <v>6.02</v>
      </c>
      <c r="J90" s="100">
        <v>0.22</v>
      </c>
      <c r="K90" s="100">
        <v>141.87</v>
      </c>
      <c r="L90" s="100">
        <v>28.85</v>
      </c>
      <c r="M90" s="100">
        <v>40.68</v>
      </c>
      <c r="N90" s="100">
        <v>0</v>
      </c>
      <c r="O90" s="100">
        <v>0</v>
      </c>
      <c r="P90" s="100">
        <v>0.77</v>
      </c>
      <c r="Q90" s="100">
        <v>4.78</v>
      </c>
    </row>
    <row r="91" spans="1:17" customFormat="1">
      <c r="A91" s="100" t="s">
        <v>1280</v>
      </c>
      <c r="B91" s="100">
        <v>19.149999999999999</v>
      </c>
      <c r="C91" s="100">
        <v>62</v>
      </c>
      <c r="D91" s="100">
        <v>49.1</v>
      </c>
      <c r="E91" s="100">
        <v>9.58</v>
      </c>
      <c r="F91" s="100">
        <v>5.46</v>
      </c>
      <c r="G91" s="100">
        <v>53.07</v>
      </c>
      <c r="H91" s="100">
        <v>16.22</v>
      </c>
      <c r="I91" s="100">
        <v>6.24</v>
      </c>
      <c r="J91" s="100">
        <v>0.27</v>
      </c>
      <c r="K91" s="100">
        <v>152.01</v>
      </c>
      <c r="L91" s="100">
        <v>28.42</v>
      </c>
      <c r="M91" s="100">
        <v>48.18</v>
      </c>
      <c r="N91" s="100">
        <v>0</v>
      </c>
      <c r="O91" s="100">
        <v>0</v>
      </c>
      <c r="P91" s="100">
        <v>0.79</v>
      </c>
      <c r="Q91" s="100">
        <v>4.82</v>
      </c>
    </row>
    <row r="92" spans="1:17" customFormat="1">
      <c r="A92" s="100" t="s">
        <v>1281</v>
      </c>
      <c r="B92" s="100">
        <v>41.32</v>
      </c>
      <c r="C92" s="100">
        <v>70.400000000000006</v>
      </c>
      <c r="D92" s="100">
        <v>72.09</v>
      </c>
      <c r="E92" s="100">
        <v>10.16</v>
      </c>
      <c r="F92" s="100">
        <v>4.0199999999999996</v>
      </c>
      <c r="G92" s="100">
        <v>53.07</v>
      </c>
      <c r="H92" s="100">
        <v>16.22</v>
      </c>
      <c r="I92" s="100">
        <v>6.5</v>
      </c>
      <c r="J92" s="100">
        <v>0.12</v>
      </c>
      <c r="K92" s="100">
        <v>210.97</v>
      </c>
      <c r="L92" s="100">
        <v>28.43</v>
      </c>
      <c r="M92" s="100">
        <v>40.18</v>
      </c>
      <c r="N92" s="100">
        <v>0</v>
      </c>
      <c r="O92" s="100">
        <v>0</v>
      </c>
      <c r="P92" s="100">
        <v>0.99</v>
      </c>
      <c r="Q92" s="100">
        <v>4.96</v>
      </c>
    </row>
    <row r="93" spans="1:17" customFormat="1">
      <c r="A93" s="100" t="s">
        <v>1282</v>
      </c>
      <c r="B93" s="100">
        <v>42.5</v>
      </c>
      <c r="C93" s="100">
        <v>66.5</v>
      </c>
      <c r="D93" s="100">
        <v>70.180000000000007</v>
      </c>
      <c r="E93" s="100">
        <v>10.31</v>
      </c>
      <c r="F93" s="100">
        <v>4.16</v>
      </c>
      <c r="G93" s="100">
        <v>53.07</v>
      </c>
      <c r="H93" s="100">
        <v>16.22</v>
      </c>
      <c r="I93" s="100">
        <v>6.93</v>
      </c>
      <c r="J93" s="100">
        <v>0.27</v>
      </c>
      <c r="K93" s="100">
        <v>181.81</v>
      </c>
      <c r="L93" s="100">
        <v>28.18</v>
      </c>
      <c r="M93" s="100">
        <v>43.48</v>
      </c>
      <c r="N93" s="100">
        <v>0</v>
      </c>
      <c r="O93" s="100">
        <v>0</v>
      </c>
      <c r="P93" s="100">
        <v>1</v>
      </c>
      <c r="Q93" s="100">
        <v>5.15</v>
      </c>
    </row>
    <row r="94" spans="1:17" customFormat="1">
      <c r="A94" s="100" t="s">
        <v>1283</v>
      </c>
      <c r="B94" s="100">
        <v>34.119999999999997</v>
      </c>
      <c r="C94" s="100">
        <v>64.58</v>
      </c>
      <c r="D94" s="100">
        <v>62.46</v>
      </c>
      <c r="E94" s="100">
        <v>9.1300000000000008</v>
      </c>
      <c r="F94" s="100">
        <v>3.82</v>
      </c>
      <c r="G94" s="100">
        <v>73.69</v>
      </c>
      <c r="H94" s="100">
        <v>20.96</v>
      </c>
      <c r="I94" s="100">
        <v>7.77</v>
      </c>
      <c r="J94" s="100">
        <v>0.21</v>
      </c>
      <c r="K94" s="100">
        <v>108.84</v>
      </c>
      <c r="L94" s="100">
        <v>27.44</v>
      </c>
      <c r="M94" s="100">
        <v>47.81</v>
      </c>
      <c r="N94" s="100">
        <v>0</v>
      </c>
      <c r="O94" s="100">
        <v>0</v>
      </c>
      <c r="P94" s="100">
        <v>0.87</v>
      </c>
      <c r="Q94" s="100">
        <v>5.32</v>
      </c>
    </row>
    <row r="95" spans="1:17" customFormat="1">
      <c r="A95" s="100" t="s">
        <v>1284</v>
      </c>
      <c r="B95" s="100">
        <v>54.92</v>
      </c>
      <c r="C95" s="100">
        <v>72.31</v>
      </c>
      <c r="D95" s="100">
        <v>83.17</v>
      </c>
      <c r="E95" s="100">
        <v>10.89</v>
      </c>
      <c r="F95" s="100">
        <v>3.14</v>
      </c>
      <c r="G95" s="100">
        <v>74.400000000000006</v>
      </c>
      <c r="H95" s="100">
        <v>20.96</v>
      </c>
      <c r="I95" s="100">
        <v>8.0399999999999991</v>
      </c>
      <c r="J95" s="100">
        <v>0.14000000000000001</v>
      </c>
      <c r="K95" s="100">
        <v>107.45</v>
      </c>
      <c r="L95" s="100">
        <v>27.8</v>
      </c>
      <c r="M95" s="100">
        <v>47.31</v>
      </c>
      <c r="N95" s="100">
        <v>0</v>
      </c>
      <c r="O95" s="100">
        <v>0</v>
      </c>
      <c r="P95" s="100">
        <v>1.17</v>
      </c>
      <c r="Q95" s="100">
        <v>5.67</v>
      </c>
    </row>
    <row r="96" spans="1:17" customFormat="1">
      <c r="A96" s="100" t="s">
        <v>1285</v>
      </c>
      <c r="B96" s="100">
        <v>58.2</v>
      </c>
      <c r="C96" s="100">
        <v>66.72</v>
      </c>
      <c r="D96" s="100">
        <v>82.89</v>
      </c>
      <c r="E96" s="100">
        <v>11.17</v>
      </c>
      <c r="F96" s="100">
        <v>3.96</v>
      </c>
      <c r="G96" s="100">
        <v>74.400000000000006</v>
      </c>
      <c r="H96" s="100">
        <v>20.96</v>
      </c>
      <c r="I96" s="100">
        <v>7.83</v>
      </c>
      <c r="J96" s="100">
        <v>0.21</v>
      </c>
      <c r="K96" s="100">
        <v>155.54</v>
      </c>
      <c r="L96" s="100">
        <v>27.64</v>
      </c>
      <c r="M96" s="100">
        <v>51.24</v>
      </c>
      <c r="N96" s="100">
        <v>0</v>
      </c>
      <c r="O96" s="100">
        <v>0</v>
      </c>
      <c r="P96" s="100">
        <v>1.1200000000000001</v>
      </c>
      <c r="Q96" s="100">
        <v>5.78</v>
      </c>
    </row>
    <row r="97" spans="1:22" customFormat="1">
      <c r="A97" s="100" t="s">
        <v>1286</v>
      </c>
      <c r="B97" s="100">
        <v>50.53</v>
      </c>
      <c r="C97" s="100">
        <v>71.42</v>
      </c>
      <c r="D97" s="100">
        <v>79.239999999999995</v>
      </c>
      <c r="E97" s="100">
        <v>9.64</v>
      </c>
      <c r="F97" s="100">
        <v>3.33</v>
      </c>
      <c r="G97" s="100">
        <v>74.400000000000006</v>
      </c>
      <c r="H97" s="100">
        <v>20.96</v>
      </c>
      <c r="I97" s="100">
        <v>8.9499999999999993</v>
      </c>
      <c r="J97" s="100">
        <v>0.2</v>
      </c>
      <c r="K97" s="100">
        <v>153.94999999999999</v>
      </c>
      <c r="L97" s="100">
        <v>26.89</v>
      </c>
      <c r="M97" s="100">
        <v>53.28</v>
      </c>
      <c r="N97" s="100">
        <v>0</v>
      </c>
      <c r="O97" s="100">
        <v>0</v>
      </c>
      <c r="P97" s="100">
        <v>1.02</v>
      </c>
      <c r="Q97" s="100">
        <v>6.06</v>
      </c>
    </row>
    <row r="98" spans="1:22" customFormat="1">
      <c r="A98" s="100" t="s">
        <v>1287</v>
      </c>
      <c r="B98" s="100">
        <v>52.61</v>
      </c>
      <c r="C98" s="100">
        <v>67.86</v>
      </c>
      <c r="D98" s="100">
        <v>79</v>
      </c>
      <c r="E98" s="100">
        <v>10.02</v>
      </c>
      <c r="F98" s="100">
        <v>3.46</v>
      </c>
      <c r="G98" s="100">
        <v>175.49</v>
      </c>
      <c r="H98" s="100">
        <v>28.41</v>
      </c>
      <c r="I98" s="100">
        <v>9.19</v>
      </c>
      <c r="J98" s="100">
        <v>0.28000000000000003</v>
      </c>
      <c r="K98" s="100">
        <v>165.08</v>
      </c>
      <c r="L98" s="100">
        <v>26.58</v>
      </c>
      <c r="M98" s="100">
        <v>55.97</v>
      </c>
      <c r="N98" s="100">
        <v>0</v>
      </c>
      <c r="O98" s="100">
        <v>0</v>
      </c>
      <c r="P98" s="100">
        <v>1.04</v>
      </c>
      <c r="Q98" s="100">
        <v>6.29</v>
      </c>
    </row>
    <row r="99" spans="1:22" customFormat="1">
      <c r="A99" s="100" t="s">
        <v>1288</v>
      </c>
      <c r="B99" s="100">
        <v>50.13</v>
      </c>
      <c r="C99" s="100">
        <v>69.739999999999995</v>
      </c>
      <c r="D99" s="100">
        <v>77.98</v>
      </c>
      <c r="E99" s="100">
        <v>9.2799999999999994</v>
      </c>
      <c r="F99" s="100">
        <v>3.2</v>
      </c>
      <c r="G99" s="100">
        <v>178.98</v>
      </c>
      <c r="H99" s="100">
        <v>28.41</v>
      </c>
      <c r="I99" s="100">
        <v>8.7100000000000009</v>
      </c>
      <c r="J99" s="100">
        <v>0.25</v>
      </c>
      <c r="K99" s="100">
        <v>176.14</v>
      </c>
      <c r="L99" s="100">
        <v>25.94</v>
      </c>
      <c r="M99" s="100">
        <v>57.38</v>
      </c>
      <c r="N99" s="100">
        <v>0</v>
      </c>
      <c r="O99" s="100">
        <v>0</v>
      </c>
      <c r="P99" s="100">
        <v>1.03</v>
      </c>
      <c r="Q99" s="100">
        <v>6.42</v>
      </c>
    </row>
    <row r="100" spans="1:22" customFormat="1">
      <c r="A100" s="100" t="s">
        <v>1289</v>
      </c>
      <c r="B100" s="100">
        <v>51.82</v>
      </c>
      <c r="C100" s="100">
        <v>68.27</v>
      </c>
      <c r="D100" s="100">
        <v>78.58</v>
      </c>
      <c r="E100" s="100">
        <v>10.25</v>
      </c>
      <c r="F100" s="100">
        <v>3.58</v>
      </c>
      <c r="G100" s="100">
        <v>178.98</v>
      </c>
      <c r="H100" s="100">
        <v>28.41</v>
      </c>
      <c r="I100" s="100">
        <v>8.98</v>
      </c>
      <c r="J100" s="100">
        <v>0.17</v>
      </c>
      <c r="K100" s="100">
        <v>218.51</v>
      </c>
      <c r="L100" s="100">
        <v>25.54</v>
      </c>
      <c r="M100" s="100">
        <v>55.58</v>
      </c>
      <c r="N100" s="100">
        <v>0</v>
      </c>
      <c r="O100" s="100">
        <v>0</v>
      </c>
      <c r="P100" s="100">
        <v>1.05</v>
      </c>
      <c r="Q100" s="100">
        <v>6.58</v>
      </c>
    </row>
    <row r="101" spans="1:22" customFormat="1">
      <c r="A101" s="100" t="s">
        <v>1290</v>
      </c>
      <c r="B101" s="100">
        <v>53.32</v>
      </c>
      <c r="C101" s="100">
        <v>68.62</v>
      </c>
      <c r="D101" s="100">
        <v>79.959999999999994</v>
      </c>
      <c r="E101" s="100">
        <v>9.43</v>
      </c>
      <c r="F101" s="100">
        <v>3.34</v>
      </c>
      <c r="G101" s="100">
        <v>178.98</v>
      </c>
      <c r="H101" s="100">
        <v>28.41</v>
      </c>
      <c r="I101" s="100">
        <v>8.7899999999999991</v>
      </c>
      <c r="J101" s="100">
        <v>0.19</v>
      </c>
      <c r="K101" s="100">
        <v>190.61</v>
      </c>
      <c r="L101" s="100">
        <v>25.04</v>
      </c>
      <c r="M101" s="100">
        <v>62.03</v>
      </c>
      <c r="N101" s="100">
        <v>0</v>
      </c>
      <c r="O101" s="100">
        <v>0</v>
      </c>
      <c r="P101" s="100">
        <v>1.06</v>
      </c>
      <c r="Q101" s="100">
        <v>6.62</v>
      </c>
    </row>
    <row r="102" spans="1:22" customFormat="1">
      <c r="A102" s="100" t="s">
        <v>1291</v>
      </c>
      <c r="B102" s="100">
        <v>56.9</v>
      </c>
      <c r="C102" s="100">
        <v>67.349999999999994</v>
      </c>
      <c r="D102" s="100">
        <v>82.17</v>
      </c>
      <c r="E102" s="100">
        <v>9.98</v>
      </c>
      <c r="F102" s="100">
        <v>3.56</v>
      </c>
      <c r="G102" s="100">
        <v>119.88</v>
      </c>
      <c r="H102" s="100">
        <v>34.61</v>
      </c>
      <c r="I102" s="100">
        <v>8.81</v>
      </c>
      <c r="J102" s="100">
        <v>0.16</v>
      </c>
      <c r="K102" s="100">
        <v>144.58000000000001</v>
      </c>
      <c r="L102" s="100">
        <v>24.92</v>
      </c>
      <c r="M102" s="100">
        <v>63.41</v>
      </c>
      <c r="N102" s="100">
        <v>0</v>
      </c>
      <c r="O102" s="100">
        <v>0</v>
      </c>
      <c r="P102" s="100">
        <v>1.07</v>
      </c>
      <c r="Q102" s="100">
        <v>6.73</v>
      </c>
    </row>
    <row r="103" spans="1:22" customFormat="1">
      <c r="A103" s="100" t="s">
        <v>1292</v>
      </c>
      <c r="B103" s="100">
        <v>59.01</v>
      </c>
      <c r="C103" s="100">
        <v>68.38</v>
      </c>
      <c r="D103" s="100">
        <v>84.4</v>
      </c>
      <c r="E103" s="100">
        <v>10.09</v>
      </c>
      <c r="F103" s="100">
        <v>3.35</v>
      </c>
      <c r="G103" s="100">
        <v>117.84</v>
      </c>
      <c r="H103" s="100">
        <v>34.61</v>
      </c>
      <c r="I103" s="100">
        <v>8.9</v>
      </c>
      <c r="J103" s="100">
        <v>0.15</v>
      </c>
      <c r="K103" s="100">
        <v>172.84</v>
      </c>
      <c r="L103" s="100">
        <v>25.42</v>
      </c>
      <c r="M103" s="100">
        <v>60.41</v>
      </c>
      <c r="N103" s="100">
        <v>0</v>
      </c>
      <c r="O103" s="100">
        <v>0</v>
      </c>
      <c r="P103" s="100">
        <v>1.08</v>
      </c>
      <c r="Q103" s="100">
        <v>6.81</v>
      </c>
    </row>
    <row r="104" spans="1:22" customFormat="1">
      <c r="A104" s="100" t="s">
        <v>1293</v>
      </c>
      <c r="B104" s="100">
        <v>60.94</v>
      </c>
      <c r="C104" s="100">
        <v>66.760000000000005</v>
      </c>
      <c r="D104" s="100">
        <v>85.1</v>
      </c>
      <c r="E104" s="100">
        <v>9.4</v>
      </c>
      <c r="F104" s="100">
        <v>3.75</v>
      </c>
      <c r="G104" s="100">
        <v>117.84</v>
      </c>
      <c r="H104" s="100">
        <v>34.61</v>
      </c>
      <c r="I104" s="100">
        <v>9.0399999999999991</v>
      </c>
      <c r="J104" s="100">
        <v>0.24</v>
      </c>
      <c r="K104" s="100">
        <v>179.31</v>
      </c>
      <c r="L104" s="100">
        <v>25.19</v>
      </c>
      <c r="M104" s="100">
        <v>63.09</v>
      </c>
      <c r="N104" s="100">
        <v>0</v>
      </c>
      <c r="O104" s="100">
        <v>0</v>
      </c>
      <c r="P104" s="100">
        <v>1.0900000000000001</v>
      </c>
      <c r="Q104" s="100">
        <v>6.94</v>
      </c>
    </row>
    <row r="106" spans="1:22">
      <c r="A106" s="157" t="s">
        <v>48</v>
      </c>
      <c r="B106" s="158">
        <f>MIN(B9:B104)</f>
        <v>8.7200000000000006</v>
      </c>
      <c r="C106" s="158">
        <f>MIN(C9:C104)</f>
        <v>47.71</v>
      </c>
      <c r="D106" s="158">
        <f t="shared" ref="D106:Q106" si="0">MIN(D9:D104)</f>
        <v>33.49</v>
      </c>
      <c r="E106" s="158">
        <f t="shared" si="0"/>
        <v>6.75</v>
      </c>
      <c r="F106" s="158">
        <f t="shared" si="0"/>
        <v>3.14</v>
      </c>
      <c r="G106" s="158">
        <f t="shared" si="0"/>
        <v>50.74</v>
      </c>
      <c r="H106" s="158">
        <f t="shared" si="0"/>
        <v>13.74</v>
      </c>
      <c r="I106" s="158">
        <f t="shared" si="0"/>
        <v>4.34</v>
      </c>
      <c r="J106" s="158">
        <f t="shared" si="0"/>
        <v>7.0000000000000007E-2</v>
      </c>
      <c r="K106" s="158">
        <f t="shared" si="0"/>
        <v>11.1</v>
      </c>
      <c r="L106" s="158">
        <f t="shared" si="0"/>
        <v>23.03</v>
      </c>
      <c r="M106" s="158">
        <f t="shared" si="0"/>
        <v>6.13</v>
      </c>
      <c r="N106" s="158">
        <f t="shared" si="0"/>
        <v>0</v>
      </c>
      <c r="O106" s="158">
        <f t="shared" si="0"/>
        <v>0</v>
      </c>
      <c r="P106" s="158">
        <f t="shared" si="0"/>
        <v>0.51</v>
      </c>
      <c r="Q106" s="158">
        <f t="shared" si="0"/>
        <v>4.3099999999999996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60.94</v>
      </c>
      <c r="C107" s="157">
        <f t="shared" ref="C107:Q107" si="1">MAX(C9:C104)</f>
        <v>72.31</v>
      </c>
      <c r="D107" s="157">
        <f t="shared" si="1"/>
        <v>85.1</v>
      </c>
      <c r="E107" s="157">
        <f t="shared" si="1"/>
        <v>33.200000000000003</v>
      </c>
      <c r="F107" s="157">
        <f t="shared" si="1"/>
        <v>46.53</v>
      </c>
      <c r="G107" s="157">
        <f t="shared" si="1"/>
        <v>178.98</v>
      </c>
      <c r="H107" s="157">
        <f t="shared" si="1"/>
        <v>42.93</v>
      </c>
      <c r="I107" s="157">
        <f t="shared" si="1"/>
        <v>10.87</v>
      </c>
      <c r="J107" s="157">
        <f t="shared" si="1"/>
        <v>1.29</v>
      </c>
      <c r="K107" s="157">
        <f t="shared" si="1"/>
        <v>241.08</v>
      </c>
      <c r="L107" s="157">
        <f t="shared" si="1"/>
        <v>40.909999999999997</v>
      </c>
      <c r="M107" s="157">
        <f t="shared" si="1"/>
        <v>76.650000000000006</v>
      </c>
      <c r="N107" s="157">
        <f t="shared" si="1"/>
        <v>870.8</v>
      </c>
      <c r="O107" s="157">
        <f t="shared" si="1"/>
        <v>0</v>
      </c>
      <c r="P107" s="157">
        <f t="shared" si="1"/>
        <v>1.17</v>
      </c>
      <c r="Q107" s="157">
        <f t="shared" si="1"/>
        <v>6.94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33.374687500000029</v>
      </c>
      <c r="C108" s="158">
        <f t="shared" ref="C108:Q108" si="2">AVERAGE(C9:C104)</f>
        <v>58.63125000000003</v>
      </c>
      <c r="D108" s="158">
        <f t="shared" si="2"/>
        <v>58.756666666666668</v>
      </c>
      <c r="E108" s="158">
        <f t="shared" si="2"/>
        <v>12.647500000000003</v>
      </c>
      <c r="F108" s="158">
        <f t="shared" si="2"/>
        <v>15.985624999999997</v>
      </c>
      <c r="G108" s="158">
        <f t="shared" si="2"/>
        <v>90.013437499999938</v>
      </c>
      <c r="H108" s="158">
        <f t="shared" si="2"/>
        <v>26.399374999999981</v>
      </c>
      <c r="I108" s="158">
        <f t="shared" si="2"/>
        <v>7.8817708333333352</v>
      </c>
      <c r="J108" s="158">
        <f t="shared" si="2"/>
        <v>0.45781250000000012</v>
      </c>
      <c r="K108" s="158">
        <f t="shared" si="2"/>
        <v>106.99447916666669</v>
      </c>
      <c r="L108" s="158">
        <f t="shared" si="2"/>
        <v>31.610729166666669</v>
      </c>
      <c r="M108" s="158">
        <f t="shared" si="2"/>
        <v>37.144166666666656</v>
      </c>
      <c r="N108" s="158">
        <f t="shared" si="2"/>
        <v>205.453125</v>
      </c>
      <c r="O108" s="158">
        <f t="shared" si="2"/>
        <v>0</v>
      </c>
      <c r="P108" s="158">
        <f t="shared" si="2"/>
        <v>0.84718750000000009</v>
      </c>
      <c r="Q108" s="158">
        <f t="shared" si="2"/>
        <v>5.5112499999999995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19.027946812552148</v>
      </c>
      <c r="C109" s="158">
        <f t="shared" ref="C109:Q109" si="3">STDEV(C9:C104)</f>
        <v>5.2273401206389956</v>
      </c>
      <c r="D109" s="158">
        <f t="shared" si="3"/>
        <v>16.154018282355171</v>
      </c>
      <c r="E109" s="158">
        <f t="shared" si="3"/>
        <v>6.2136162875109111</v>
      </c>
      <c r="F109" s="158">
        <f t="shared" si="3"/>
        <v>14.108109262891482</v>
      </c>
      <c r="G109" s="158">
        <f t="shared" si="3"/>
        <v>35.658472495198261</v>
      </c>
      <c r="H109" s="158">
        <f t="shared" si="3"/>
        <v>8.5623847898511833</v>
      </c>
      <c r="I109" s="158">
        <f t="shared" si="3"/>
        <v>2.0589481191754473</v>
      </c>
      <c r="J109" s="158">
        <f t="shared" si="3"/>
        <v>0.33900536597212538</v>
      </c>
      <c r="K109" s="158">
        <f t="shared" si="3"/>
        <v>59.617824954936459</v>
      </c>
      <c r="L109" s="158">
        <f t="shared" si="3"/>
        <v>6.0616564081187825</v>
      </c>
      <c r="M109" s="158">
        <f t="shared" si="3"/>
        <v>22.883896874010588</v>
      </c>
      <c r="N109" s="158">
        <f t="shared" si="3"/>
        <v>302.6921583506479</v>
      </c>
      <c r="O109" s="158">
        <f t="shared" si="3"/>
        <v>0</v>
      </c>
      <c r="P109" s="158">
        <f t="shared" si="3"/>
        <v>0.20299703459073437</v>
      </c>
      <c r="Q109" s="158">
        <f t="shared" si="3"/>
        <v>0.83098451439115129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12/05/2023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1294</v>
      </c>
      <c r="B9" s="100">
        <v>62.42</v>
      </c>
      <c r="C9" s="100">
        <v>69.42</v>
      </c>
      <c r="D9" s="100">
        <v>87.68</v>
      </c>
      <c r="E9" s="100">
        <v>9.6999999999999993</v>
      </c>
      <c r="F9" s="100">
        <v>3.52</v>
      </c>
      <c r="G9" s="100">
        <v>117.84</v>
      </c>
      <c r="H9" s="100">
        <v>34.61</v>
      </c>
      <c r="I9" s="100">
        <v>9.19</v>
      </c>
      <c r="J9" s="100">
        <v>0.2</v>
      </c>
      <c r="K9" s="100">
        <v>162.97</v>
      </c>
      <c r="L9" s="100">
        <v>24.8</v>
      </c>
      <c r="M9" s="100">
        <v>60.63</v>
      </c>
      <c r="N9" s="100">
        <v>0</v>
      </c>
      <c r="O9" s="100">
        <v>0</v>
      </c>
      <c r="P9" s="100">
        <v>1.1100000000000001</v>
      </c>
      <c r="Q9" s="100">
        <v>7.01</v>
      </c>
    </row>
    <row r="10" spans="1:21" customFormat="1">
      <c r="A10" s="100" t="s">
        <v>1295</v>
      </c>
      <c r="B10" s="100">
        <v>63.22</v>
      </c>
      <c r="C10" s="100">
        <v>66.959999999999994</v>
      </c>
      <c r="D10" s="100">
        <v>87.03</v>
      </c>
      <c r="E10" s="100">
        <v>10.050000000000001</v>
      </c>
      <c r="F10" s="100">
        <v>3.59</v>
      </c>
      <c r="G10" s="100">
        <v>132.5</v>
      </c>
      <c r="H10" s="100">
        <v>32.44</v>
      </c>
      <c r="I10" s="100">
        <v>9.33</v>
      </c>
      <c r="J10" s="100">
        <v>0.21</v>
      </c>
      <c r="K10" s="100">
        <v>172.27</v>
      </c>
      <c r="L10" s="100">
        <v>24.66</v>
      </c>
      <c r="M10" s="100">
        <v>64.209999999999994</v>
      </c>
      <c r="N10" s="100">
        <v>0</v>
      </c>
      <c r="O10" s="100">
        <v>0</v>
      </c>
      <c r="P10" s="100">
        <v>1.1200000000000001</v>
      </c>
      <c r="Q10" s="100">
        <v>7.11</v>
      </c>
    </row>
    <row r="11" spans="1:21" customFormat="1">
      <c r="A11" s="100" t="s">
        <v>1296</v>
      </c>
      <c r="B11" s="100">
        <v>63.56</v>
      </c>
      <c r="C11" s="100">
        <v>69.290000000000006</v>
      </c>
      <c r="D11" s="100">
        <v>88.52</v>
      </c>
      <c r="E11" s="100">
        <v>10.3</v>
      </c>
      <c r="F11" s="100">
        <v>3.1</v>
      </c>
      <c r="G11" s="100">
        <v>133.01</v>
      </c>
      <c r="H11" s="100">
        <v>32.44</v>
      </c>
      <c r="I11" s="100">
        <v>9.48</v>
      </c>
      <c r="J11" s="100">
        <v>0.14000000000000001</v>
      </c>
      <c r="K11" s="100">
        <v>170.7</v>
      </c>
      <c r="L11" s="100">
        <v>24.13</v>
      </c>
      <c r="M11" s="100">
        <v>66.38</v>
      </c>
      <c r="N11" s="100">
        <v>0</v>
      </c>
      <c r="O11" s="100">
        <v>0</v>
      </c>
      <c r="P11" s="100">
        <v>1.1399999999999999</v>
      </c>
      <c r="Q11" s="100">
        <v>7.17</v>
      </c>
    </row>
    <row r="12" spans="1:21" customFormat="1">
      <c r="A12" s="100" t="s">
        <v>1297</v>
      </c>
      <c r="B12" s="100">
        <v>64.459999999999994</v>
      </c>
      <c r="C12" s="100">
        <v>65.84</v>
      </c>
      <c r="D12" s="100">
        <v>87.44</v>
      </c>
      <c r="E12" s="100">
        <v>10.119999999999999</v>
      </c>
      <c r="F12" s="100">
        <v>3.92</v>
      </c>
      <c r="G12" s="100">
        <v>133.01</v>
      </c>
      <c r="H12" s="100">
        <v>32.44</v>
      </c>
      <c r="I12" s="100">
        <v>9.6300000000000008</v>
      </c>
      <c r="J12" s="100">
        <v>0.16</v>
      </c>
      <c r="K12" s="100">
        <v>171.7</v>
      </c>
      <c r="L12" s="100">
        <v>24.16</v>
      </c>
      <c r="M12" s="100">
        <v>60.9</v>
      </c>
      <c r="N12" s="100">
        <v>0</v>
      </c>
      <c r="O12" s="100">
        <v>0</v>
      </c>
      <c r="P12" s="100">
        <v>1.1299999999999999</v>
      </c>
      <c r="Q12" s="100">
        <v>7.12</v>
      </c>
    </row>
    <row r="13" spans="1:21" customFormat="1">
      <c r="A13" s="100" t="s">
        <v>1298</v>
      </c>
      <c r="B13" s="100">
        <v>63.92</v>
      </c>
      <c r="C13" s="100">
        <v>68.41</v>
      </c>
      <c r="D13" s="100">
        <v>88.35</v>
      </c>
      <c r="E13" s="100">
        <v>10.5</v>
      </c>
      <c r="F13" s="100">
        <v>3.35</v>
      </c>
      <c r="G13" s="100">
        <v>133.01</v>
      </c>
      <c r="H13" s="100">
        <v>32.44</v>
      </c>
      <c r="I13" s="100">
        <v>9.73</v>
      </c>
      <c r="J13" s="100">
        <v>0.18</v>
      </c>
      <c r="K13" s="100">
        <v>215.92</v>
      </c>
      <c r="L13" s="100">
        <v>23.94</v>
      </c>
      <c r="M13" s="100">
        <v>61.95</v>
      </c>
      <c r="N13" s="100">
        <v>0</v>
      </c>
      <c r="O13" s="100">
        <v>0</v>
      </c>
      <c r="P13" s="100">
        <v>1.1499999999999999</v>
      </c>
      <c r="Q13" s="100">
        <v>7.14</v>
      </c>
    </row>
    <row r="14" spans="1:21" customFormat="1">
      <c r="A14" s="100" t="s">
        <v>1299</v>
      </c>
      <c r="B14" s="100">
        <v>64.39</v>
      </c>
      <c r="C14" s="100">
        <v>64.94</v>
      </c>
      <c r="D14" s="100">
        <v>86.91</v>
      </c>
      <c r="E14" s="100">
        <v>10.220000000000001</v>
      </c>
      <c r="F14" s="100">
        <v>3.86</v>
      </c>
      <c r="G14" s="100">
        <v>100.02</v>
      </c>
      <c r="H14" s="100">
        <v>30.12</v>
      </c>
      <c r="I14" s="100">
        <v>9.84</v>
      </c>
      <c r="J14" s="100">
        <v>0.12</v>
      </c>
      <c r="K14" s="100">
        <v>147.44</v>
      </c>
      <c r="L14" s="100">
        <v>23.66</v>
      </c>
      <c r="M14" s="100">
        <v>65.33</v>
      </c>
      <c r="N14" s="100">
        <v>0</v>
      </c>
      <c r="O14" s="100">
        <v>0</v>
      </c>
      <c r="P14" s="100">
        <v>1.1399999999999999</v>
      </c>
      <c r="Q14" s="100">
        <v>7.09</v>
      </c>
    </row>
    <row r="15" spans="1:21" customFormat="1">
      <c r="A15" s="100" t="s">
        <v>1300</v>
      </c>
      <c r="B15" s="100">
        <v>64.84</v>
      </c>
      <c r="C15" s="100">
        <v>65.97</v>
      </c>
      <c r="D15" s="100">
        <v>87.82</v>
      </c>
      <c r="E15" s="100">
        <v>9.67</v>
      </c>
      <c r="F15" s="100">
        <v>3.52</v>
      </c>
      <c r="G15" s="100">
        <v>98.88</v>
      </c>
      <c r="H15" s="100">
        <v>30.12</v>
      </c>
      <c r="I15" s="100">
        <v>9.93</v>
      </c>
      <c r="J15" s="100">
        <v>0.12</v>
      </c>
      <c r="K15" s="100">
        <v>177.7</v>
      </c>
      <c r="L15" s="100">
        <v>23.77</v>
      </c>
      <c r="M15" s="100">
        <v>62.15</v>
      </c>
      <c r="N15" s="100">
        <v>0</v>
      </c>
      <c r="O15" s="100">
        <v>0</v>
      </c>
      <c r="P15" s="100">
        <v>1.1399999999999999</v>
      </c>
      <c r="Q15" s="100">
        <v>7.13</v>
      </c>
    </row>
    <row r="16" spans="1:21" customFormat="1">
      <c r="A16" s="100" t="s">
        <v>1301</v>
      </c>
      <c r="B16" s="100">
        <v>66.709999999999994</v>
      </c>
      <c r="C16" s="100">
        <v>64.78</v>
      </c>
      <c r="D16" s="100">
        <v>88.69</v>
      </c>
      <c r="E16" s="100">
        <v>9.77</v>
      </c>
      <c r="F16" s="100">
        <v>3.73</v>
      </c>
      <c r="G16" s="100">
        <v>98.88</v>
      </c>
      <c r="H16" s="100">
        <v>30.12</v>
      </c>
      <c r="I16" s="100">
        <v>9.9600000000000009</v>
      </c>
      <c r="J16" s="100">
        <v>0.2</v>
      </c>
      <c r="K16" s="100">
        <v>151.63</v>
      </c>
      <c r="L16" s="100">
        <v>23.57</v>
      </c>
      <c r="M16" s="100">
        <v>65.09</v>
      </c>
      <c r="N16" s="100">
        <v>0</v>
      </c>
      <c r="O16" s="100">
        <v>0</v>
      </c>
      <c r="P16" s="100">
        <v>1.1499999999999999</v>
      </c>
      <c r="Q16" s="100">
        <v>7.24</v>
      </c>
    </row>
    <row r="17" spans="1:17" customFormat="1">
      <c r="A17" s="100" t="s">
        <v>1302</v>
      </c>
      <c r="B17" s="100">
        <v>66.930000000000007</v>
      </c>
      <c r="C17" s="100">
        <v>67.69</v>
      </c>
      <c r="D17" s="100">
        <v>90.39</v>
      </c>
      <c r="E17" s="100">
        <v>7.88</v>
      </c>
      <c r="F17" s="100">
        <v>3.22</v>
      </c>
      <c r="G17" s="100">
        <v>98.88</v>
      </c>
      <c r="H17" s="100">
        <v>30.12</v>
      </c>
      <c r="I17" s="100">
        <v>10.08</v>
      </c>
      <c r="J17" s="100">
        <v>0.13</v>
      </c>
      <c r="K17" s="100">
        <v>229.14</v>
      </c>
      <c r="L17" s="100">
        <v>23.41</v>
      </c>
      <c r="M17" s="100">
        <v>64.02</v>
      </c>
      <c r="N17" s="100">
        <v>0</v>
      </c>
      <c r="O17" s="100">
        <v>0</v>
      </c>
      <c r="P17" s="100">
        <v>1.17</v>
      </c>
      <c r="Q17" s="100">
        <v>7.29</v>
      </c>
    </row>
    <row r="18" spans="1:17" customFormat="1">
      <c r="A18" s="100" t="s">
        <v>1303</v>
      </c>
      <c r="B18" s="100">
        <v>68.739999999999995</v>
      </c>
      <c r="C18" s="100">
        <v>64.819999999999993</v>
      </c>
      <c r="D18" s="100">
        <v>90.34</v>
      </c>
      <c r="E18" s="100">
        <v>9.1</v>
      </c>
      <c r="F18" s="100">
        <v>3.79</v>
      </c>
      <c r="G18" s="100">
        <v>103.11</v>
      </c>
      <c r="H18" s="100">
        <v>31.78</v>
      </c>
      <c r="I18" s="100">
        <v>10.18</v>
      </c>
      <c r="J18" s="100">
        <v>0.21</v>
      </c>
      <c r="K18" s="100">
        <v>151.94</v>
      </c>
      <c r="L18" s="100">
        <v>23.52</v>
      </c>
      <c r="M18" s="100">
        <v>65.3</v>
      </c>
      <c r="N18" s="100">
        <v>0</v>
      </c>
      <c r="O18" s="100">
        <v>0</v>
      </c>
      <c r="P18" s="100">
        <v>1.1599999999999999</v>
      </c>
      <c r="Q18" s="100">
        <v>7.35</v>
      </c>
    </row>
    <row r="19" spans="1:17" customFormat="1">
      <c r="A19" s="100" t="s">
        <v>1304</v>
      </c>
      <c r="B19" s="100">
        <v>69.739999999999995</v>
      </c>
      <c r="C19" s="100">
        <v>68.73</v>
      </c>
      <c r="D19" s="100">
        <v>93.18</v>
      </c>
      <c r="E19" s="100">
        <v>9.16</v>
      </c>
      <c r="F19" s="100">
        <v>3.23</v>
      </c>
      <c r="G19" s="100">
        <v>103.26</v>
      </c>
      <c r="H19" s="100">
        <v>31.78</v>
      </c>
      <c r="I19" s="100">
        <v>10.25</v>
      </c>
      <c r="J19" s="100">
        <v>0.18</v>
      </c>
      <c r="K19" s="100">
        <v>158.11000000000001</v>
      </c>
      <c r="L19" s="100">
        <v>23.29</v>
      </c>
      <c r="M19" s="100">
        <v>65.290000000000006</v>
      </c>
      <c r="N19" s="100">
        <v>0</v>
      </c>
      <c r="O19" s="100">
        <v>0</v>
      </c>
      <c r="P19" s="100">
        <v>1.18</v>
      </c>
      <c r="Q19" s="100">
        <v>7.47</v>
      </c>
    </row>
    <row r="20" spans="1:17" customFormat="1">
      <c r="A20" s="100" t="s">
        <v>1305</v>
      </c>
      <c r="B20" s="100">
        <v>71.25</v>
      </c>
      <c r="C20" s="100">
        <v>65.959999999999994</v>
      </c>
      <c r="D20" s="100">
        <v>92.95</v>
      </c>
      <c r="E20" s="100">
        <v>9.25</v>
      </c>
      <c r="F20" s="100">
        <v>3.56</v>
      </c>
      <c r="G20" s="100">
        <v>103.26</v>
      </c>
      <c r="H20" s="100">
        <v>31.78</v>
      </c>
      <c r="I20" s="100">
        <v>10.4</v>
      </c>
      <c r="J20" s="100">
        <v>0.05</v>
      </c>
      <c r="K20" s="100">
        <v>238.12</v>
      </c>
      <c r="L20" s="100">
        <v>23.24</v>
      </c>
      <c r="M20" s="100">
        <v>65.23</v>
      </c>
      <c r="N20" s="100">
        <v>0</v>
      </c>
      <c r="O20" s="100">
        <v>0</v>
      </c>
      <c r="P20" s="100">
        <v>1.18</v>
      </c>
      <c r="Q20" s="100">
        <v>7.43</v>
      </c>
    </row>
    <row r="21" spans="1:17" customFormat="1">
      <c r="A21" s="100" t="s">
        <v>1306</v>
      </c>
      <c r="B21" s="100">
        <v>73.260000000000005</v>
      </c>
      <c r="C21" s="100">
        <v>65.63</v>
      </c>
      <c r="D21" s="100">
        <v>94.39</v>
      </c>
      <c r="E21" s="100">
        <v>9.23</v>
      </c>
      <c r="F21" s="100">
        <v>3.65</v>
      </c>
      <c r="G21" s="100">
        <v>103.26</v>
      </c>
      <c r="H21" s="100">
        <v>31.78</v>
      </c>
      <c r="I21" s="100">
        <v>10.51</v>
      </c>
      <c r="J21" s="100">
        <v>0.15</v>
      </c>
      <c r="K21" s="100">
        <v>147.86000000000001</v>
      </c>
      <c r="L21" s="100">
        <v>23.01</v>
      </c>
      <c r="M21" s="100">
        <v>70.13</v>
      </c>
      <c r="N21" s="100">
        <v>0</v>
      </c>
      <c r="O21" s="100">
        <v>0</v>
      </c>
      <c r="P21" s="100">
        <v>1.18</v>
      </c>
      <c r="Q21" s="100">
        <v>7.56</v>
      </c>
    </row>
    <row r="22" spans="1:17" customFormat="1">
      <c r="A22" s="100" t="s">
        <v>1307</v>
      </c>
      <c r="B22" s="100">
        <v>74.86</v>
      </c>
      <c r="C22" s="100">
        <v>65.849999999999994</v>
      </c>
      <c r="D22" s="100">
        <v>95.79</v>
      </c>
      <c r="E22" s="100">
        <v>9.42</v>
      </c>
      <c r="F22" s="100">
        <v>3.7</v>
      </c>
      <c r="G22" s="100">
        <v>106.5</v>
      </c>
      <c r="H22" s="100">
        <v>31.87</v>
      </c>
      <c r="I22" s="100">
        <v>10.62</v>
      </c>
      <c r="J22" s="100">
        <v>0.28000000000000003</v>
      </c>
      <c r="K22" s="100">
        <v>88.52</v>
      </c>
      <c r="L22" s="100">
        <v>23.42</v>
      </c>
      <c r="M22" s="100">
        <v>64.739999999999995</v>
      </c>
      <c r="N22" s="100">
        <v>0</v>
      </c>
      <c r="O22" s="100">
        <v>0</v>
      </c>
      <c r="P22" s="100">
        <v>1.19</v>
      </c>
      <c r="Q22" s="100">
        <v>7.61</v>
      </c>
    </row>
    <row r="23" spans="1:17" customFormat="1">
      <c r="A23" s="100" t="s">
        <v>1308</v>
      </c>
      <c r="B23" s="100">
        <v>77.5</v>
      </c>
      <c r="C23" s="100">
        <v>64.62</v>
      </c>
      <c r="D23" s="100">
        <v>97.26</v>
      </c>
      <c r="E23" s="100">
        <v>9.65</v>
      </c>
      <c r="F23" s="100">
        <v>3.93</v>
      </c>
      <c r="G23" s="100">
        <v>106.62</v>
      </c>
      <c r="H23" s="100">
        <v>31.87</v>
      </c>
      <c r="I23" s="100">
        <v>10.76</v>
      </c>
      <c r="J23" s="100">
        <v>0.19</v>
      </c>
      <c r="K23" s="100">
        <v>156.84</v>
      </c>
      <c r="L23" s="100">
        <v>23.29</v>
      </c>
      <c r="M23" s="100">
        <v>68.180000000000007</v>
      </c>
      <c r="N23" s="100">
        <v>0</v>
      </c>
      <c r="O23" s="100">
        <v>0</v>
      </c>
      <c r="P23" s="100">
        <v>1.2</v>
      </c>
      <c r="Q23" s="100">
        <v>7.72</v>
      </c>
    </row>
    <row r="24" spans="1:17" customFormat="1">
      <c r="A24" s="100" t="s">
        <v>1309</v>
      </c>
      <c r="B24" s="100">
        <v>78.83</v>
      </c>
      <c r="C24" s="100">
        <v>67.17</v>
      </c>
      <c r="D24" s="100">
        <v>99.66</v>
      </c>
      <c r="E24" s="100">
        <v>9.75</v>
      </c>
      <c r="F24" s="100">
        <v>3.2</v>
      </c>
      <c r="G24" s="100">
        <v>106.62</v>
      </c>
      <c r="H24" s="100">
        <v>31.87</v>
      </c>
      <c r="I24" s="100">
        <v>10.95</v>
      </c>
      <c r="J24" s="100">
        <v>0.09</v>
      </c>
      <c r="K24" s="100">
        <v>207.11</v>
      </c>
      <c r="L24" s="100">
        <v>22.94</v>
      </c>
      <c r="M24" s="100">
        <v>68.05</v>
      </c>
      <c r="N24" s="100">
        <v>0</v>
      </c>
      <c r="O24" s="100">
        <v>0</v>
      </c>
      <c r="P24" s="100">
        <v>1.22</v>
      </c>
      <c r="Q24" s="100">
        <v>7.84</v>
      </c>
    </row>
    <row r="25" spans="1:17" customFormat="1">
      <c r="A25" s="100" t="s">
        <v>1310</v>
      </c>
      <c r="B25" s="100">
        <v>81.900000000000006</v>
      </c>
      <c r="C25" s="100">
        <v>64.86</v>
      </c>
      <c r="D25" s="100">
        <v>100.92</v>
      </c>
      <c r="E25" s="100">
        <v>10.06</v>
      </c>
      <c r="F25" s="100">
        <v>3.61</v>
      </c>
      <c r="G25" s="100">
        <v>106.62</v>
      </c>
      <c r="H25" s="100">
        <v>31.87</v>
      </c>
      <c r="I25" s="100">
        <v>11.2</v>
      </c>
      <c r="J25" s="100">
        <v>0.2</v>
      </c>
      <c r="K25" s="100">
        <v>186.09</v>
      </c>
      <c r="L25" s="100">
        <v>22.65</v>
      </c>
      <c r="M25" s="100">
        <v>70.39</v>
      </c>
      <c r="N25" s="100">
        <v>0</v>
      </c>
      <c r="O25" s="100">
        <v>0</v>
      </c>
      <c r="P25" s="100">
        <v>1.24</v>
      </c>
      <c r="Q25" s="100">
        <v>7.94</v>
      </c>
    </row>
    <row r="26" spans="1:17" customFormat="1">
      <c r="A26" s="100" t="s">
        <v>1311</v>
      </c>
      <c r="B26" s="100">
        <v>83.46</v>
      </c>
      <c r="C26" s="100">
        <v>68.48</v>
      </c>
      <c r="D26" s="100">
        <v>104.06</v>
      </c>
      <c r="E26" s="100">
        <v>10.15</v>
      </c>
      <c r="F26" s="100">
        <v>3.17</v>
      </c>
      <c r="G26" s="100">
        <v>158.69999999999999</v>
      </c>
      <c r="H26" s="100">
        <v>38.76</v>
      </c>
      <c r="I26" s="100">
        <v>11.49</v>
      </c>
      <c r="J26" s="100">
        <v>0.21</v>
      </c>
      <c r="K26" s="100">
        <v>157.41</v>
      </c>
      <c r="L26" s="100">
        <v>22.22</v>
      </c>
      <c r="M26" s="100">
        <v>72.55</v>
      </c>
      <c r="N26" s="100">
        <v>0</v>
      </c>
      <c r="O26" s="100">
        <v>0</v>
      </c>
      <c r="P26" s="100">
        <v>1.26</v>
      </c>
      <c r="Q26" s="100">
        <v>8.1</v>
      </c>
    </row>
    <row r="27" spans="1:17" customFormat="1">
      <c r="A27" s="100" t="s">
        <v>1312</v>
      </c>
      <c r="B27" s="100">
        <v>85.39</v>
      </c>
      <c r="C27" s="100">
        <v>63.6</v>
      </c>
      <c r="D27" s="100">
        <v>103.05</v>
      </c>
      <c r="E27" s="100">
        <v>9.93</v>
      </c>
      <c r="F27" s="100">
        <v>3.92</v>
      </c>
      <c r="G27" s="100">
        <v>160.5</v>
      </c>
      <c r="H27" s="100">
        <v>38.76</v>
      </c>
      <c r="I27" s="100">
        <v>11.89</v>
      </c>
      <c r="J27" s="100">
        <v>0.24</v>
      </c>
      <c r="K27" s="100">
        <v>201.47</v>
      </c>
      <c r="L27" s="100">
        <v>21.82</v>
      </c>
      <c r="M27" s="100">
        <v>73.28</v>
      </c>
      <c r="N27" s="100">
        <v>0</v>
      </c>
      <c r="O27" s="100">
        <v>0</v>
      </c>
      <c r="P27" s="100">
        <v>1.25</v>
      </c>
      <c r="Q27" s="100">
        <v>8.07</v>
      </c>
    </row>
    <row r="28" spans="1:17" customFormat="1">
      <c r="A28" s="100" t="s">
        <v>1313</v>
      </c>
      <c r="B28" s="100">
        <v>85.84</v>
      </c>
      <c r="C28" s="100">
        <v>66.83</v>
      </c>
      <c r="D28" s="100">
        <v>105.1</v>
      </c>
      <c r="E28" s="100">
        <v>9.98</v>
      </c>
      <c r="F28" s="100">
        <v>3.44</v>
      </c>
      <c r="G28" s="100">
        <v>160.5</v>
      </c>
      <c r="H28" s="100">
        <v>38.76</v>
      </c>
      <c r="I28" s="100">
        <v>12.24</v>
      </c>
      <c r="J28" s="100">
        <v>0.12</v>
      </c>
      <c r="K28" s="100">
        <v>154.15</v>
      </c>
      <c r="L28" s="100">
        <v>21.99</v>
      </c>
      <c r="M28" s="100">
        <v>72.39</v>
      </c>
      <c r="N28" s="100">
        <v>0</v>
      </c>
      <c r="O28" s="100">
        <v>0</v>
      </c>
      <c r="P28" s="100">
        <v>1.27</v>
      </c>
      <c r="Q28" s="100">
        <v>8.17</v>
      </c>
    </row>
    <row r="29" spans="1:17" customFormat="1">
      <c r="A29" s="100" t="s">
        <v>1314</v>
      </c>
      <c r="B29" s="100">
        <v>87.43</v>
      </c>
      <c r="C29" s="100">
        <v>63.61</v>
      </c>
      <c r="D29" s="100">
        <v>104.7</v>
      </c>
      <c r="E29" s="100">
        <v>10.029999999999999</v>
      </c>
      <c r="F29" s="100">
        <v>3.79</v>
      </c>
      <c r="G29" s="100">
        <v>160.5</v>
      </c>
      <c r="H29" s="100">
        <v>38.76</v>
      </c>
      <c r="I29" s="100">
        <v>12.52</v>
      </c>
      <c r="J29" s="100">
        <v>0.14000000000000001</v>
      </c>
      <c r="K29" s="100">
        <v>181.68</v>
      </c>
      <c r="L29" s="100">
        <v>21.49</v>
      </c>
      <c r="M29" s="100">
        <v>74.599999999999994</v>
      </c>
      <c r="N29" s="100">
        <v>0</v>
      </c>
      <c r="O29" s="100">
        <v>0</v>
      </c>
      <c r="P29" s="100">
        <v>1.27</v>
      </c>
      <c r="Q29" s="100">
        <v>8.15</v>
      </c>
    </row>
    <row r="30" spans="1:17" customFormat="1">
      <c r="A30" s="100" t="s">
        <v>1315</v>
      </c>
      <c r="B30" s="100">
        <v>88.03</v>
      </c>
      <c r="C30" s="100">
        <v>66.39</v>
      </c>
      <c r="D30" s="100">
        <v>106.63</v>
      </c>
      <c r="E30" s="100">
        <v>10.02</v>
      </c>
      <c r="F30" s="100">
        <v>3.38</v>
      </c>
      <c r="G30" s="100">
        <v>156.57</v>
      </c>
      <c r="H30" s="100">
        <v>40.54</v>
      </c>
      <c r="I30" s="100">
        <v>12.86</v>
      </c>
      <c r="J30" s="100">
        <v>0.17</v>
      </c>
      <c r="K30" s="100">
        <v>170.55</v>
      </c>
      <c r="L30" s="100">
        <v>21.52</v>
      </c>
      <c r="M30" s="100">
        <v>74.819999999999993</v>
      </c>
      <c r="N30" s="100">
        <v>0</v>
      </c>
      <c r="O30" s="100">
        <v>0</v>
      </c>
      <c r="P30" s="100">
        <v>1.29</v>
      </c>
      <c r="Q30" s="100">
        <v>8.32</v>
      </c>
    </row>
    <row r="31" spans="1:17" customFormat="1">
      <c r="A31" s="100" t="s">
        <v>1316</v>
      </c>
      <c r="B31" s="100">
        <v>88.86</v>
      </c>
      <c r="C31" s="100">
        <v>65.16</v>
      </c>
      <c r="D31" s="100">
        <v>106.66</v>
      </c>
      <c r="E31" s="100">
        <v>10.18</v>
      </c>
      <c r="F31" s="100">
        <v>3.37</v>
      </c>
      <c r="G31" s="100">
        <v>156.43</v>
      </c>
      <c r="H31" s="100">
        <v>40.54</v>
      </c>
      <c r="I31" s="100">
        <v>13.25</v>
      </c>
      <c r="J31" s="100">
        <v>0.14000000000000001</v>
      </c>
      <c r="K31" s="100">
        <v>186.01</v>
      </c>
      <c r="L31" s="100">
        <v>21.21</v>
      </c>
      <c r="M31" s="100">
        <v>77.209999999999994</v>
      </c>
      <c r="N31" s="100">
        <v>2.1</v>
      </c>
      <c r="O31" s="100">
        <v>0</v>
      </c>
      <c r="P31" s="100">
        <v>1.3</v>
      </c>
      <c r="Q31" s="100">
        <v>8.3000000000000007</v>
      </c>
    </row>
    <row r="32" spans="1:17" customFormat="1">
      <c r="A32" s="100" t="s">
        <v>1317</v>
      </c>
      <c r="B32" s="100">
        <v>90.35</v>
      </c>
      <c r="C32" s="100">
        <v>62.49</v>
      </c>
      <c r="D32" s="100">
        <v>106.46</v>
      </c>
      <c r="E32" s="100">
        <v>10.45</v>
      </c>
      <c r="F32" s="100">
        <v>3.84</v>
      </c>
      <c r="G32" s="100">
        <v>156.43</v>
      </c>
      <c r="H32" s="100">
        <v>40.54</v>
      </c>
      <c r="I32" s="100">
        <v>13.58</v>
      </c>
      <c r="J32" s="100">
        <v>0.16</v>
      </c>
      <c r="K32" s="100">
        <v>172.32</v>
      </c>
      <c r="L32" s="100">
        <v>21.42</v>
      </c>
      <c r="M32" s="100">
        <v>76.489999999999995</v>
      </c>
      <c r="N32" s="100">
        <v>10.6</v>
      </c>
      <c r="O32" s="100">
        <v>0</v>
      </c>
      <c r="P32" s="100">
        <v>1.3</v>
      </c>
      <c r="Q32" s="100">
        <v>8.3000000000000007</v>
      </c>
    </row>
    <row r="33" spans="1:17" customFormat="1">
      <c r="A33" s="100" t="s">
        <v>1318</v>
      </c>
      <c r="B33" s="100">
        <v>90.64</v>
      </c>
      <c r="C33" s="100">
        <v>64.81</v>
      </c>
      <c r="D33" s="100">
        <v>107.9</v>
      </c>
      <c r="E33" s="100">
        <v>9.8699999999999992</v>
      </c>
      <c r="F33" s="100">
        <v>3.42</v>
      </c>
      <c r="G33" s="100">
        <v>156.43</v>
      </c>
      <c r="H33" s="100">
        <v>40.54</v>
      </c>
      <c r="I33" s="100">
        <v>13.88</v>
      </c>
      <c r="J33" s="100">
        <v>0.19</v>
      </c>
      <c r="K33" s="100">
        <v>149.94999999999999</v>
      </c>
      <c r="L33" s="100">
        <v>22.22</v>
      </c>
      <c r="M33" s="100">
        <v>70.34</v>
      </c>
      <c r="N33" s="100">
        <v>23.5</v>
      </c>
      <c r="O33" s="100">
        <v>0</v>
      </c>
      <c r="P33" s="100">
        <v>1.33</v>
      </c>
      <c r="Q33" s="100">
        <v>8.3699999999999992</v>
      </c>
    </row>
    <row r="34" spans="1:17" customFormat="1">
      <c r="A34" s="100" t="s">
        <v>1319</v>
      </c>
      <c r="B34" s="100">
        <v>91.58</v>
      </c>
      <c r="C34" s="100">
        <v>63.55</v>
      </c>
      <c r="D34" s="100">
        <v>107.99</v>
      </c>
      <c r="E34" s="100">
        <v>9.6999999999999993</v>
      </c>
      <c r="F34" s="100">
        <v>3.61</v>
      </c>
      <c r="G34" s="100">
        <v>168.94</v>
      </c>
      <c r="H34" s="100">
        <v>42.61</v>
      </c>
      <c r="I34" s="100">
        <v>14.26</v>
      </c>
      <c r="J34" s="100">
        <v>0.12</v>
      </c>
      <c r="K34" s="100">
        <v>233.1</v>
      </c>
      <c r="L34" s="100">
        <v>22.97</v>
      </c>
      <c r="M34" s="100">
        <v>66.48</v>
      </c>
      <c r="N34" s="100">
        <v>37.799999999999997</v>
      </c>
      <c r="O34" s="100">
        <v>0</v>
      </c>
      <c r="P34" s="100">
        <v>1.33</v>
      </c>
      <c r="Q34" s="100">
        <v>8.41</v>
      </c>
    </row>
    <row r="35" spans="1:17" customFormat="1">
      <c r="A35" s="100" t="s">
        <v>1320</v>
      </c>
      <c r="B35" s="100">
        <v>91.97</v>
      </c>
      <c r="C35" s="100">
        <v>64.94</v>
      </c>
      <c r="D35" s="100">
        <v>109.03</v>
      </c>
      <c r="E35" s="100">
        <v>10.130000000000001</v>
      </c>
      <c r="F35" s="100">
        <v>3.4</v>
      </c>
      <c r="G35" s="100">
        <v>169.37</v>
      </c>
      <c r="H35" s="100">
        <v>42.61</v>
      </c>
      <c r="I35" s="100">
        <v>14.63</v>
      </c>
      <c r="J35" s="100">
        <v>0.18</v>
      </c>
      <c r="K35" s="100">
        <v>186.72</v>
      </c>
      <c r="L35" s="100">
        <v>23.81</v>
      </c>
      <c r="M35" s="100">
        <v>68.03</v>
      </c>
      <c r="N35" s="100">
        <v>49.6</v>
      </c>
      <c r="O35" s="100">
        <v>0</v>
      </c>
      <c r="P35" s="100">
        <v>1.34</v>
      </c>
      <c r="Q35" s="100">
        <v>8.49</v>
      </c>
    </row>
    <row r="36" spans="1:17" customFormat="1">
      <c r="A36" s="100" t="s">
        <v>1321</v>
      </c>
      <c r="B36" s="100">
        <v>91.95</v>
      </c>
      <c r="C36" s="100">
        <v>63.87</v>
      </c>
      <c r="D36" s="100">
        <v>108.46</v>
      </c>
      <c r="E36" s="100">
        <v>10.210000000000001</v>
      </c>
      <c r="F36" s="100">
        <v>3.68</v>
      </c>
      <c r="G36" s="100">
        <v>169.37</v>
      </c>
      <c r="H36" s="100">
        <v>42.61</v>
      </c>
      <c r="I36" s="100">
        <v>14.9</v>
      </c>
      <c r="J36" s="100">
        <v>0.23</v>
      </c>
      <c r="K36" s="100">
        <v>349.77</v>
      </c>
      <c r="L36" s="100">
        <v>25.13</v>
      </c>
      <c r="M36" s="100">
        <v>53.19</v>
      </c>
      <c r="N36" s="100">
        <v>62.1</v>
      </c>
      <c r="O36" s="100">
        <v>0</v>
      </c>
      <c r="P36" s="100">
        <v>1.36</v>
      </c>
      <c r="Q36" s="100">
        <v>8.42</v>
      </c>
    </row>
    <row r="37" spans="1:17" customFormat="1">
      <c r="A37" s="100" t="s">
        <v>1322</v>
      </c>
      <c r="B37" s="100">
        <v>89.6</v>
      </c>
      <c r="C37" s="100">
        <v>62.81</v>
      </c>
      <c r="D37" s="100">
        <v>106.02</v>
      </c>
      <c r="E37" s="100">
        <v>10.54</v>
      </c>
      <c r="F37" s="100">
        <v>3.95</v>
      </c>
      <c r="G37" s="100">
        <v>169.37</v>
      </c>
      <c r="H37" s="100">
        <v>42.61</v>
      </c>
      <c r="I37" s="100">
        <v>15.09</v>
      </c>
      <c r="J37" s="100">
        <v>0.24</v>
      </c>
      <c r="K37" s="100">
        <v>17.88</v>
      </c>
      <c r="L37" s="100">
        <v>26.92</v>
      </c>
      <c r="M37" s="100">
        <v>45.64</v>
      </c>
      <c r="N37" s="100">
        <v>61.2</v>
      </c>
      <c r="O37" s="100">
        <v>0</v>
      </c>
      <c r="P37" s="100">
        <v>1.37</v>
      </c>
      <c r="Q37" s="100">
        <v>8.43</v>
      </c>
    </row>
    <row r="38" spans="1:17" customFormat="1">
      <c r="A38" s="100" t="s">
        <v>1323</v>
      </c>
      <c r="B38" s="100">
        <v>86.91</v>
      </c>
      <c r="C38" s="100">
        <v>64.13</v>
      </c>
      <c r="D38" s="100">
        <v>104.56</v>
      </c>
      <c r="E38" s="100">
        <v>10.5</v>
      </c>
      <c r="F38" s="100">
        <v>3.85</v>
      </c>
      <c r="G38" s="100">
        <v>174.51</v>
      </c>
      <c r="H38" s="100">
        <v>45.57</v>
      </c>
      <c r="I38" s="100">
        <v>15.25</v>
      </c>
      <c r="J38" s="100">
        <v>0.73</v>
      </c>
      <c r="K38" s="100">
        <v>46.42</v>
      </c>
      <c r="L38" s="100">
        <v>27.82</v>
      </c>
      <c r="M38" s="100">
        <v>38.72</v>
      </c>
      <c r="N38" s="100">
        <v>75.599999999999994</v>
      </c>
      <c r="O38" s="100">
        <v>0</v>
      </c>
      <c r="P38" s="100">
        <v>1.38</v>
      </c>
      <c r="Q38" s="100">
        <v>8.39</v>
      </c>
    </row>
    <row r="39" spans="1:17" customFormat="1">
      <c r="A39" s="100" t="s">
        <v>1324</v>
      </c>
      <c r="B39" s="100">
        <v>85.01</v>
      </c>
      <c r="C39" s="100">
        <v>64.510000000000005</v>
      </c>
      <c r="D39" s="100">
        <v>103.23</v>
      </c>
      <c r="E39" s="100">
        <v>12.63</v>
      </c>
      <c r="F39" s="100">
        <v>4.37</v>
      </c>
      <c r="G39" s="100">
        <v>174.68</v>
      </c>
      <c r="H39" s="100">
        <v>45.57</v>
      </c>
      <c r="I39" s="100">
        <v>15.4</v>
      </c>
      <c r="J39" s="100">
        <v>0.71</v>
      </c>
      <c r="K39" s="100">
        <v>43.57</v>
      </c>
      <c r="L39" s="100">
        <v>28.59</v>
      </c>
      <c r="M39" s="100">
        <v>38.21</v>
      </c>
      <c r="N39" s="100">
        <v>83.1</v>
      </c>
      <c r="O39" s="100">
        <v>0</v>
      </c>
      <c r="P39" s="100">
        <v>1.37</v>
      </c>
      <c r="Q39" s="100">
        <v>8.33</v>
      </c>
    </row>
    <row r="40" spans="1:17" customFormat="1">
      <c r="A40" s="100" t="s">
        <v>1325</v>
      </c>
      <c r="B40" s="100">
        <v>82.89</v>
      </c>
      <c r="C40" s="100">
        <v>64.28</v>
      </c>
      <c r="D40" s="100">
        <v>101.41</v>
      </c>
      <c r="E40" s="100">
        <v>11.26</v>
      </c>
      <c r="F40" s="100">
        <v>4.3899999999999997</v>
      </c>
      <c r="G40" s="100">
        <v>174.68</v>
      </c>
      <c r="H40" s="100">
        <v>45.57</v>
      </c>
      <c r="I40" s="100">
        <v>15.45</v>
      </c>
      <c r="J40" s="100">
        <v>0.87</v>
      </c>
      <c r="K40" s="100">
        <v>49.99</v>
      </c>
      <c r="L40" s="100">
        <v>29.66</v>
      </c>
      <c r="M40" s="100">
        <v>35</v>
      </c>
      <c r="N40" s="100">
        <v>95</v>
      </c>
      <c r="O40" s="100">
        <v>0</v>
      </c>
      <c r="P40" s="100">
        <v>1.36</v>
      </c>
      <c r="Q40" s="100">
        <v>8.18</v>
      </c>
    </row>
    <row r="41" spans="1:17" customFormat="1">
      <c r="A41" s="100" t="s">
        <v>1326</v>
      </c>
      <c r="B41" s="100">
        <v>73.59</v>
      </c>
      <c r="C41" s="100">
        <v>63.71</v>
      </c>
      <c r="D41" s="100">
        <v>93.65</v>
      </c>
      <c r="E41" s="100">
        <v>13.96</v>
      </c>
      <c r="F41" s="100">
        <v>7.44</v>
      </c>
      <c r="G41" s="100">
        <v>174.68</v>
      </c>
      <c r="H41" s="100">
        <v>45.57</v>
      </c>
      <c r="I41" s="100">
        <v>15.28</v>
      </c>
      <c r="J41" s="100">
        <v>0.66</v>
      </c>
      <c r="K41" s="100">
        <v>42.17</v>
      </c>
      <c r="L41" s="100">
        <v>30.92</v>
      </c>
      <c r="M41" s="100">
        <v>29.86</v>
      </c>
      <c r="N41" s="100">
        <v>102.4</v>
      </c>
      <c r="O41" s="100">
        <v>0</v>
      </c>
      <c r="P41" s="100">
        <v>1.32</v>
      </c>
      <c r="Q41" s="100">
        <v>8.14</v>
      </c>
    </row>
    <row r="42" spans="1:17" customFormat="1">
      <c r="A42" s="100" t="s">
        <v>1327</v>
      </c>
      <c r="B42" s="100">
        <v>68.680000000000007</v>
      </c>
      <c r="C42" s="100">
        <v>60.43</v>
      </c>
      <c r="D42" s="100">
        <v>88</v>
      </c>
      <c r="E42" s="100">
        <v>17.34</v>
      </c>
      <c r="F42" s="100">
        <v>12.01</v>
      </c>
      <c r="G42" s="100">
        <v>145.34</v>
      </c>
      <c r="H42" s="100">
        <v>44.5</v>
      </c>
      <c r="I42" s="100">
        <v>14.94</v>
      </c>
      <c r="J42" s="100">
        <v>0.62</v>
      </c>
      <c r="K42" s="100">
        <v>58.06</v>
      </c>
      <c r="L42" s="100">
        <v>31.99</v>
      </c>
      <c r="M42" s="100">
        <v>26.39</v>
      </c>
      <c r="N42" s="100">
        <v>109</v>
      </c>
      <c r="O42" s="100">
        <v>0</v>
      </c>
      <c r="P42" s="100">
        <v>1.24</v>
      </c>
      <c r="Q42" s="100">
        <v>7.9</v>
      </c>
    </row>
    <row r="43" spans="1:17" customFormat="1">
      <c r="A43" s="100" t="s">
        <v>1328</v>
      </c>
      <c r="B43" s="100">
        <v>73.31</v>
      </c>
      <c r="C43" s="100">
        <v>67.78</v>
      </c>
      <c r="D43" s="100">
        <v>95.56</v>
      </c>
      <c r="E43" s="100">
        <v>12.7</v>
      </c>
      <c r="F43" s="100">
        <v>5.34</v>
      </c>
      <c r="G43" s="100">
        <v>144.33000000000001</v>
      </c>
      <c r="H43" s="100">
        <v>44.5</v>
      </c>
      <c r="I43" s="100">
        <v>14.12</v>
      </c>
      <c r="J43" s="100">
        <v>0.71</v>
      </c>
      <c r="K43" s="100">
        <v>58.74</v>
      </c>
      <c r="L43" s="100">
        <v>32.76</v>
      </c>
      <c r="M43" s="100">
        <v>26.85</v>
      </c>
      <c r="N43" s="100">
        <v>121.7</v>
      </c>
      <c r="O43" s="100">
        <v>0</v>
      </c>
      <c r="P43" s="100">
        <v>1.29</v>
      </c>
      <c r="Q43" s="100">
        <v>7.82</v>
      </c>
    </row>
    <row r="44" spans="1:17" customFormat="1">
      <c r="A44" s="100" t="s">
        <v>1329</v>
      </c>
      <c r="B44" s="100">
        <v>66.959999999999994</v>
      </c>
      <c r="C44" s="100">
        <v>69.44</v>
      </c>
      <c r="D44" s="100">
        <v>91.33</v>
      </c>
      <c r="E44" s="100">
        <v>14.81</v>
      </c>
      <c r="F44" s="100">
        <v>7.66</v>
      </c>
      <c r="G44" s="100">
        <v>144.33000000000001</v>
      </c>
      <c r="H44" s="100">
        <v>44.5</v>
      </c>
      <c r="I44" s="100">
        <v>13.68</v>
      </c>
      <c r="J44" s="100">
        <v>0.91</v>
      </c>
      <c r="K44" s="100">
        <v>58.04</v>
      </c>
      <c r="L44" s="100">
        <v>33.17</v>
      </c>
      <c r="M44" s="100">
        <v>25.19</v>
      </c>
      <c r="N44" s="100">
        <v>131.30000000000001</v>
      </c>
      <c r="O44" s="100">
        <v>0</v>
      </c>
      <c r="P44" s="100">
        <v>1.27</v>
      </c>
      <c r="Q44" s="100">
        <v>7.77</v>
      </c>
    </row>
    <row r="45" spans="1:17" customFormat="1">
      <c r="A45" s="100" t="s">
        <v>1330</v>
      </c>
      <c r="B45" s="100">
        <v>61.81</v>
      </c>
      <c r="C45" s="100">
        <v>67.59</v>
      </c>
      <c r="D45" s="100">
        <v>86.23</v>
      </c>
      <c r="E45" s="100">
        <v>18.559999999999999</v>
      </c>
      <c r="F45" s="100">
        <v>12.98</v>
      </c>
      <c r="G45" s="100">
        <v>144.33000000000001</v>
      </c>
      <c r="H45" s="100">
        <v>44.5</v>
      </c>
      <c r="I45" s="100">
        <v>13.84</v>
      </c>
      <c r="J45" s="100">
        <v>0.86</v>
      </c>
      <c r="K45" s="100">
        <v>56.33</v>
      </c>
      <c r="L45" s="100">
        <v>33.869999999999997</v>
      </c>
      <c r="M45" s="100">
        <v>22.77</v>
      </c>
      <c r="N45" s="100">
        <v>143.80000000000001</v>
      </c>
      <c r="O45" s="100">
        <v>0</v>
      </c>
      <c r="P45" s="100">
        <v>1.24</v>
      </c>
      <c r="Q45" s="100">
        <v>7.55</v>
      </c>
    </row>
    <row r="46" spans="1:17" customFormat="1">
      <c r="A46" s="100" t="s">
        <v>1331</v>
      </c>
      <c r="B46" s="100">
        <v>56.48</v>
      </c>
      <c r="C46" s="100">
        <v>65.5</v>
      </c>
      <c r="D46" s="100">
        <v>80.87</v>
      </c>
      <c r="E46" s="100">
        <v>21.22</v>
      </c>
      <c r="F46" s="100">
        <v>17.13</v>
      </c>
      <c r="G46" s="100">
        <v>122.35</v>
      </c>
      <c r="H46" s="100">
        <v>40.99</v>
      </c>
      <c r="I46" s="100">
        <v>13.49</v>
      </c>
      <c r="J46" s="100">
        <v>0.53</v>
      </c>
      <c r="K46" s="100">
        <v>52.54</v>
      </c>
      <c r="L46" s="100">
        <v>34.520000000000003</v>
      </c>
      <c r="M46" s="100">
        <v>22.08</v>
      </c>
      <c r="N46" s="100">
        <v>178.7</v>
      </c>
      <c r="O46" s="100">
        <v>0</v>
      </c>
      <c r="P46" s="100">
        <v>1.19</v>
      </c>
      <c r="Q46" s="100">
        <v>7.4</v>
      </c>
    </row>
    <row r="47" spans="1:17" customFormat="1">
      <c r="A47" s="100" t="s">
        <v>1332</v>
      </c>
      <c r="B47" s="100">
        <v>55.16</v>
      </c>
      <c r="C47" s="100">
        <v>66.88</v>
      </c>
      <c r="D47" s="100">
        <v>80.52</v>
      </c>
      <c r="E47" s="100">
        <v>17.88</v>
      </c>
      <c r="F47" s="100">
        <v>13.85</v>
      </c>
      <c r="G47" s="100">
        <v>121.59</v>
      </c>
      <c r="H47" s="100">
        <v>40.99</v>
      </c>
      <c r="I47" s="100">
        <v>13.07</v>
      </c>
      <c r="J47" s="100">
        <v>0.41</v>
      </c>
      <c r="K47" s="100">
        <v>72.680000000000007</v>
      </c>
      <c r="L47" s="100">
        <v>35.58</v>
      </c>
      <c r="M47" s="100">
        <v>20.149999999999999</v>
      </c>
      <c r="N47" s="100">
        <v>168.5</v>
      </c>
      <c r="O47" s="100">
        <v>0</v>
      </c>
      <c r="P47" s="100">
        <v>1.19</v>
      </c>
      <c r="Q47" s="100">
        <v>7.25</v>
      </c>
    </row>
    <row r="48" spans="1:17" customFormat="1">
      <c r="A48" s="100" t="s">
        <v>1333</v>
      </c>
      <c r="B48" s="100">
        <v>51.26</v>
      </c>
      <c r="C48" s="100">
        <v>68.739999999999995</v>
      </c>
      <c r="D48" s="100">
        <v>78.37</v>
      </c>
      <c r="E48" s="100">
        <v>14.21</v>
      </c>
      <c r="F48" s="100">
        <v>12.63</v>
      </c>
      <c r="G48" s="100">
        <v>121.59</v>
      </c>
      <c r="H48" s="100">
        <v>40.99</v>
      </c>
      <c r="I48" s="100">
        <v>12.75</v>
      </c>
      <c r="J48" s="100">
        <v>0.28999999999999998</v>
      </c>
      <c r="K48" s="100">
        <v>140.18</v>
      </c>
      <c r="L48" s="100">
        <v>36.01</v>
      </c>
      <c r="M48" s="100">
        <v>17.170000000000002</v>
      </c>
      <c r="N48" s="100">
        <v>231.8</v>
      </c>
      <c r="O48" s="100">
        <v>0</v>
      </c>
      <c r="P48" s="100">
        <v>1.18</v>
      </c>
      <c r="Q48" s="100">
        <v>7.09</v>
      </c>
    </row>
    <row r="49" spans="1:17" customFormat="1">
      <c r="A49" s="100" t="s">
        <v>1334</v>
      </c>
      <c r="B49" s="100">
        <v>45.4</v>
      </c>
      <c r="C49" s="100">
        <v>65.150000000000006</v>
      </c>
      <c r="D49" s="100">
        <v>71.790000000000006</v>
      </c>
      <c r="E49" s="100">
        <v>21.44</v>
      </c>
      <c r="F49" s="100">
        <v>22.36</v>
      </c>
      <c r="G49" s="100">
        <v>121.59</v>
      </c>
      <c r="H49" s="100">
        <v>40.99</v>
      </c>
      <c r="I49" s="100">
        <v>12.8</v>
      </c>
      <c r="J49" s="100">
        <v>0.85</v>
      </c>
      <c r="K49" s="100">
        <v>63.34</v>
      </c>
      <c r="L49" s="100">
        <v>36.43</v>
      </c>
      <c r="M49" s="100">
        <v>18.37</v>
      </c>
      <c r="N49" s="100">
        <v>160.6</v>
      </c>
      <c r="O49" s="100">
        <v>0</v>
      </c>
      <c r="P49" s="100">
        <v>1.1399999999999999</v>
      </c>
      <c r="Q49" s="100">
        <v>6.87</v>
      </c>
    </row>
    <row r="50" spans="1:17" customFormat="1">
      <c r="A50" s="100" t="s">
        <v>1335</v>
      </c>
      <c r="B50" s="100">
        <v>41.79</v>
      </c>
      <c r="C50" s="100">
        <v>66.98</v>
      </c>
      <c r="D50" s="100">
        <v>69.86</v>
      </c>
      <c r="E50" s="100">
        <v>26.66</v>
      </c>
      <c r="F50" s="100">
        <v>22.72</v>
      </c>
      <c r="G50" s="100">
        <v>95.56</v>
      </c>
      <c r="H50" s="100">
        <v>37.57</v>
      </c>
      <c r="I50" s="100">
        <v>12.52</v>
      </c>
      <c r="J50" s="100">
        <v>0.9</v>
      </c>
      <c r="K50" s="100">
        <v>56.7</v>
      </c>
      <c r="L50" s="100">
        <v>36.56</v>
      </c>
      <c r="M50" s="100">
        <v>18.5</v>
      </c>
      <c r="N50" s="100">
        <v>185.3</v>
      </c>
      <c r="O50" s="100">
        <v>0</v>
      </c>
      <c r="P50" s="100">
        <v>1.1200000000000001</v>
      </c>
      <c r="Q50" s="100">
        <v>6.68</v>
      </c>
    </row>
    <row r="51" spans="1:17" customFormat="1">
      <c r="A51" s="100" t="s">
        <v>1336</v>
      </c>
      <c r="B51" s="100">
        <v>37.770000000000003</v>
      </c>
      <c r="C51" s="100">
        <v>65</v>
      </c>
      <c r="D51" s="100">
        <v>65.599999999999994</v>
      </c>
      <c r="E51" s="100">
        <v>25.24</v>
      </c>
      <c r="F51" s="100">
        <v>22.24</v>
      </c>
      <c r="G51" s="100">
        <v>94.66</v>
      </c>
      <c r="H51" s="100">
        <v>37.57</v>
      </c>
      <c r="I51" s="100">
        <v>11.98</v>
      </c>
      <c r="J51" s="100">
        <v>0.7</v>
      </c>
      <c r="K51" s="100">
        <v>62.85</v>
      </c>
      <c r="L51" s="100">
        <v>37.07</v>
      </c>
      <c r="M51" s="100">
        <v>18.27</v>
      </c>
      <c r="N51" s="100">
        <v>400.8</v>
      </c>
      <c r="O51" s="100">
        <v>0</v>
      </c>
      <c r="P51" s="100">
        <v>1.1100000000000001</v>
      </c>
      <c r="Q51" s="100">
        <v>6.51</v>
      </c>
    </row>
    <row r="52" spans="1:17" customFormat="1">
      <c r="A52" s="100" t="s">
        <v>1337</v>
      </c>
      <c r="B52" s="100">
        <v>35.520000000000003</v>
      </c>
      <c r="C52" s="100">
        <v>62.6</v>
      </c>
      <c r="D52" s="100">
        <v>62.55</v>
      </c>
      <c r="E52" s="100">
        <v>20.72</v>
      </c>
      <c r="F52" s="100">
        <v>24.83</v>
      </c>
      <c r="G52" s="100">
        <v>94.66</v>
      </c>
      <c r="H52" s="100">
        <v>37.57</v>
      </c>
      <c r="I52" s="100">
        <v>11.59</v>
      </c>
      <c r="J52" s="100">
        <v>0.49</v>
      </c>
      <c r="K52" s="100">
        <v>76.13</v>
      </c>
      <c r="L52" s="100">
        <v>37.58</v>
      </c>
      <c r="M52" s="100">
        <v>16.93</v>
      </c>
      <c r="N52" s="100">
        <v>705.8</v>
      </c>
      <c r="O52" s="100">
        <v>0</v>
      </c>
      <c r="P52" s="100">
        <v>1.06</v>
      </c>
      <c r="Q52" s="100">
        <v>6.31</v>
      </c>
    </row>
    <row r="53" spans="1:17" customFormat="1">
      <c r="A53" s="100" t="s">
        <v>1338</v>
      </c>
      <c r="B53" s="100">
        <v>30.54</v>
      </c>
      <c r="C53" s="100">
        <v>61.7</v>
      </c>
      <c r="D53" s="100">
        <v>58.08</v>
      </c>
      <c r="E53" s="100">
        <v>26.44</v>
      </c>
      <c r="F53" s="100">
        <v>35.49</v>
      </c>
      <c r="G53" s="100">
        <v>94.66</v>
      </c>
      <c r="H53" s="100">
        <v>37.57</v>
      </c>
      <c r="I53" s="100">
        <v>11.49</v>
      </c>
      <c r="J53" s="100">
        <v>0.48</v>
      </c>
      <c r="K53" s="100">
        <v>76.400000000000006</v>
      </c>
      <c r="L53" s="100">
        <v>37.869999999999997</v>
      </c>
      <c r="M53" s="100">
        <v>16.72</v>
      </c>
      <c r="N53" s="100">
        <v>704.1</v>
      </c>
      <c r="O53" s="100">
        <v>0</v>
      </c>
      <c r="P53" s="100">
        <v>1.01</v>
      </c>
      <c r="Q53" s="100">
        <v>6.08</v>
      </c>
    </row>
    <row r="54" spans="1:17" customFormat="1">
      <c r="A54" s="100" t="s">
        <v>1339</v>
      </c>
      <c r="B54" s="100">
        <v>26.44</v>
      </c>
      <c r="C54" s="100">
        <v>62.51</v>
      </c>
      <c r="D54" s="100">
        <v>55.21</v>
      </c>
      <c r="E54" s="100">
        <v>27.68</v>
      </c>
      <c r="F54" s="100">
        <v>37.340000000000003</v>
      </c>
      <c r="G54" s="100">
        <v>78.36</v>
      </c>
      <c r="H54" s="100">
        <v>36.82</v>
      </c>
      <c r="I54" s="100">
        <v>11.12</v>
      </c>
      <c r="J54" s="100">
        <v>0.51</v>
      </c>
      <c r="K54" s="100">
        <v>76.349999999999994</v>
      </c>
      <c r="L54" s="100">
        <v>38.29</v>
      </c>
      <c r="M54" s="100">
        <v>16.28</v>
      </c>
      <c r="N54" s="100">
        <v>792.1</v>
      </c>
      <c r="O54" s="100">
        <v>0</v>
      </c>
      <c r="P54" s="100">
        <v>0.98</v>
      </c>
      <c r="Q54" s="100">
        <v>5.91</v>
      </c>
    </row>
    <row r="55" spans="1:17" customFormat="1">
      <c r="A55" s="100" t="s">
        <v>1340</v>
      </c>
      <c r="B55" s="100">
        <v>23.01</v>
      </c>
      <c r="C55" s="100">
        <v>60.23</v>
      </c>
      <c r="D55" s="100">
        <v>51.27</v>
      </c>
      <c r="E55" s="100">
        <v>27.54</v>
      </c>
      <c r="F55" s="100">
        <v>44.3</v>
      </c>
      <c r="G55" s="100">
        <v>77.790000000000006</v>
      </c>
      <c r="H55" s="100">
        <v>36.82</v>
      </c>
      <c r="I55" s="100">
        <v>10.38</v>
      </c>
      <c r="J55" s="100">
        <v>0.32</v>
      </c>
      <c r="K55" s="100">
        <v>148.53</v>
      </c>
      <c r="L55" s="100">
        <v>38.76</v>
      </c>
      <c r="M55" s="100">
        <v>14.24</v>
      </c>
      <c r="N55" s="100">
        <v>801.4</v>
      </c>
      <c r="O55" s="100">
        <v>0</v>
      </c>
      <c r="P55" s="100">
        <v>0.93</v>
      </c>
      <c r="Q55" s="100">
        <v>5.76</v>
      </c>
    </row>
    <row r="56" spans="1:17" customFormat="1">
      <c r="A56" s="100" t="s">
        <v>1341</v>
      </c>
      <c r="B56" s="100">
        <v>21.32</v>
      </c>
      <c r="C56" s="100">
        <v>61.48</v>
      </c>
      <c r="D56" s="100">
        <v>50.57</v>
      </c>
      <c r="E56" s="100">
        <v>33.22</v>
      </c>
      <c r="F56" s="100">
        <v>43.61</v>
      </c>
      <c r="G56" s="100">
        <v>77.790000000000006</v>
      </c>
      <c r="H56" s="100">
        <v>36.82</v>
      </c>
      <c r="I56" s="100">
        <v>10.07</v>
      </c>
      <c r="J56" s="100">
        <v>0.82</v>
      </c>
      <c r="K56" s="100">
        <v>56.25</v>
      </c>
      <c r="L56" s="100">
        <v>38.44</v>
      </c>
      <c r="M56" s="100">
        <v>15.23</v>
      </c>
      <c r="N56" s="100">
        <v>847.7</v>
      </c>
      <c r="O56" s="100">
        <v>0</v>
      </c>
      <c r="P56" s="100">
        <v>0.94</v>
      </c>
      <c r="Q56" s="100">
        <v>5.54</v>
      </c>
    </row>
    <row r="57" spans="1:17" customFormat="1">
      <c r="A57" s="100" t="s">
        <v>1342</v>
      </c>
      <c r="B57" s="100">
        <v>17.93</v>
      </c>
      <c r="C57" s="100">
        <v>60.58</v>
      </c>
      <c r="D57" s="100">
        <v>47.38</v>
      </c>
      <c r="E57" s="100">
        <v>35.31</v>
      </c>
      <c r="F57" s="100">
        <v>50.02</v>
      </c>
      <c r="G57" s="100">
        <v>77.790000000000006</v>
      </c>
      <c r="H57" s="100">
        <v>36.82</v>
      </c>
      <c r="I57" s="100">
        <v>9.7799999999999994</v>
      </c>
      <c r="J57" s="100">
        <v>0.61</v>
      </c>
      <c r="K57" s="100">
        <v>51.28</v>
      </c>
      <c r="L57" s="100">
        <v>39</v>
      </c>
      <c r="M57" s="100">
        <v>15.23</v>
      </c>
      <c r="N57" s="100">
        <v>858.4</v>
      </c>
      <c r="O57" s="100">
        <v>0</v>
      </c>
      <c r="P57" s="100">
        <v>0.9</v>
      </c>
      <c r="Q57" s="100">
        <v>5.42</v>
      </c>
    </row>
    <row r="58" spans="1:17" customFormat="1">
      <c r="A58" s="100" t="s">
        <v>1343</v>
      </c>
      <c r="B58" s="100">
        <v>15.99</v>
      </c>
      <c r="C58" s="100">
        <v>58.77</v>
      </c>
      <c r="D58" s="100">
        <v>44.87</v>
      </c>
      <c r="E58" s="100">
        <v>31.82</v>
      </c>
      <c r="F58" s="100">
        <v>51.66</v>
      </c>
      <c r="G58" s="100">
        <v>66.03</v>
      </c>
      <c r="H58" s="100">
        <v>31.58</v>
      </c>
      <c r="I58" s="100">
        <v>9.2899999999999991</v>
      </c>
      <c r="J58" s="100">
        <v>0.43</v>
      </c>
      <c r="K58" s="100">
        <v>93.47</v>
      </c>
      <c r="L58" s="100">
        <v>39.31</v>
      </c>
      <c r="M58" s="100">
        <v>14.01</v>
      </c>
      <c r="N58" s="100">
        <v>859</v>
      </c>
      <c r="O58" s="100">
        <v>0</v>
      </c>
      <c r="P58" s="100">
        <v>0.87</v>
      </c>
      <c r="Q58" s="100">
        <v>5.32</v>
      </c>
    </row>
    <row r="59" spans="1:17" customFormat="1">
      <c r="A59" s="100" t="s">
        <v>1344</v>
      </c>
      <c r="B59" s="100">
        <v>14.54</v>
      </c>
      <c r="C59" s="100">
        <v>58.07</v>
      </c>
      <c r="D59" s="100">
        <v>43.35</v>
      </c>
      <c r="E59" s="100">
        <v>28.85</v>
      </c>
      <c r="F59" s="100">
        <v>50.88</v>
      </c>
      <c r="G59" s="100">
        <v>65.62</v>
      </c>
      <c r="H59" s="100">
        <v>31.58</v>
      </c>
      <c r="I59" s="100">
        <v>8.6999999999999993</v>
      </c>
      <c r="J59" s="100">
        <v>0.56000000000000005</v>
      </c>
      <c r="K59" s="100">
        <v>55.71</v>
      </c>
      <c r="L59" s="100">
        <v>39.89</v>
      </c>
      <c r="M59" s="100">
        <v>12.78</v>
      </c>
      <c r="N59" s="100">
        <v>848.8</v>
      </c>
      <c r="O59" s="100">
        <v>0</v>
      </c>
      <c r="P59" s="100">
        <v>0.86</v>
      </c>
      <c r="Q59" s="100">
        <v>5.19</v>
      </c>
    </row>
    <row r="60" spans="1:17" customFormat="1">
      <c r="A60" s="100" t="s">
        <v>1345</v>
      </c>
      <c r="B60" s="100">
        <v>13.48</v>
      </c>
      <c r="C60" s="100">
        <v>60.49</v>
      </c>
      <c r="D60" s="100">
        <v>43.76</v>
      </c>
      <c r="E60" s="100">
        <v>28.38</v>
      </c>
      <c r="F60" s="100">
        <v>46.08</v>
      </c>
      <c r="G60" s="100">
        <v>65.62</v>
      </c>
      <c r="H60" s="100">
        <v>31.58</v>
      </c>
      <c r="I60" s="100">
        <v>8.58</v>
      </c>
      <c r="J60" s="100">
        <v>0.32</v>
      </c>
      <c r="K60" s="100">
        <v>12.37</v>
      </c>
      <c r="L60" s="100">
        <v>39.57</v>
      </c>
      <c r="M60" s="100">
        <v>12.64</v>
      </c>
      <c r="N60" s="100">
        <v>698.3</v>
      </c>
      <c r="O60" s="100">
        <v>0</v>
      </c>
      <c r="P60" s="100">
        <v>0.85</v>
      </c>
      <c r="Q60" s="100">
        <v>5.04</v>
      </c>
    </row>
    <row r="61" spans="1:17" customFormat="1">
      <c r="A61" s="100" t="s">
        <v>1346</v>
      </c>
      <c r="B61" s="100">
        <v>12.18</v>
      </c>
      <c r="C61" s="100">
        <v>60.53</v>
      </c>
      <c r="D61" s="100">
        <v>42.74</v>
      </c>
      <c r="E61" s="100">
        <v>24.47</v>
      </c>
      <c r="F61" s="100">
        <v>44.02</v>
      </c>
      <c r="G61" s="100">
        <v>65.62</v>
      </c>
      <c r="H61" s="100">
        <v>31.58</v>
      </c>
      <c r="I61" s="100">
        <v>8.67</v>
      </c>
      <c r="J61" s="100">
        <v>0.36</v>
      </c>
      <c r="K61" s="100">
        <v>252.83</v>
      </c>
      <c r="L61" s="100">
        <v>39.71</v>
      </c>
      <c r="M61" s="100">
        <v>12.33</v>
      </c>
      <c r="N61" s="100">
        <v>758.3</v>
      </c>
      <c r="O61" s="100">
        <v>0</v>
      </c>
      <c r="P61" s="100">
        <v>0.83</v>
      </c>
      <c r="Q61" s="100">
        <v>4.92</v>
      </c>
    </row>
    <row r="62" spans="1:17" customFormat="1">
      <c r="A62" s="100" t="s">
        <v>1347</v>
      </c>
      <c r="B62" s="100">
        <v>10.34</v>
      </c>
      <c r="C62" s="100">
        <v>57.94</v>
      </c>
      <c r="D62" s="100">
        <v>39.909999999999997</v>
      </c>
      <c r="E62" s="100">
        <v>27.1</v>
      </c>
      <c r="F62" s="100">
        <v>53.23</v>
      </c>
      <c r="G62" s="100">
        <v>56.82</v>
      </c>
      <c r="H62" s="100">
        <v>27.29</v>
      </c>
      <c r="I62" s="100">
        <v>8.6199999999999992</v>
      </c>
      <c r="J62" s="100">
        <v>0.52</v>
      </c>
      <c r="K62" s="100">
        <v>312.58</v>
      </c>
      <c r="L62" s="100">
        <v>39.64</v>
      </c>
      <c r="M62" s="100">
        <v>12</v>
      </c>
      <c r="N62" s="100">
        <v>686.9</v>
      </c>
      <c r="O62" s="100">
        <v>0</v>
      </c>
      <c r="P62" s="100">
        <v>0.81</v>
      </c>
      <c r="Q62" s="100">
        <v>4.8099999999999996</v>
      </c>
    </row>
    <row r="63" spans="1:17" customFormat="1">
      <c r="A63" s="100" t="s">
        <v>1348</v>
      </c>
      <c r="B63" s="100">
        <v>9.4600000000000009</v>
      </c>
      <c r="C63" s="100">
        <v>58.08</v>
      </c>
      <c r="D63" s="100">
        <v>39.28</v>
      </c>
      <c r="E63" s="100">
        <v>23</v>
      </c>
      <c r="F63" s="100">
        <v>45.65</v>
      </c>
      <c r="G63" s="100">
        <v>56.51</v>
      </c>
      <c r="H63" s="100">
        <v>27.29</v>
      </c>
      <c r="I63" s="100">
        <v>8.43</v>
      </c>
      <c r="J63" s="100">
        <v>0.2</v>
      </c>
      <c r="K63" s="100">
        <v>188.08</v>
      </c>
      <c r="L63" s="100">
        <v>40.01</v>
      </c>
      <c r="M63" s="100">
        <v>13.19</v>
      </c>
      <c r="N63" s="100">
        <v>631.9</v>
      </c>
      <c r="O63" s="100">
        <v>0</v>
      </c>
      <c r="P63" s="100">
        <v>0.79</v>
      </c>
      <c r="Q63" s="100">
        <v>4.7</v>
      </c>
    </row>
    <row r="64" spans="1:17" customFormat="1">
      <c r="A64" s="100" t="s">
        <v>1349</v>
      </c>
      <c r="B64" s="100">
        <v>8.26</v>
      </c>
      <c r="C64" s="100">
        <v>55.96</v>
      </c>
      <c r="D64" s="100">
        <v>37.21</v>
      </c>
      <c r="E64" s="100">
        <v>23.99</v>
      </c>
      <c r="F64" s="100">
        <v>51</v>
      </c>
      <c r="G64" s="100">
        <v>56.51</v>
      </c>
      <c r="H64" s="100">
        <v>27.29</v>
      </c>
      <c r="I64" s="100">
        <v>8.25</v>
      </c>
      <c r="J64" s="100">
        <v>0.36</v>
      </c>
      <c r="K64" s="100">
        <v>317.27</v>
      </c>
      <c r="L64" s="100">
        <v>40.450000000000003</v>
      </c>
      <c r="M64" s="100">
        <v>12.06</v>
      </c>
      <c r="N64" s="100">
        <v>714.9</v>
      </c>
      <c r="O64" s="100">
        <v>0</v>
      </c>
      <c r="P64" s="100">
        <v>0.76</v>
      </c>
      <c r="Q64" s="100">
        <v>4.63</v>
      </c>
    </row>
    <row r="65" spans="1:17" customFormat="1">
      <c r="A65" s="100" t="s">
        <v>1350</v>
      </c>
      <c r="B65" s="100">
        <v>8.4</v>
      </c>
      <c r="C65" s="100">
        <v>60.32</v>
      </c>
      <c r="D65" s="100">
        <v>39.61</v>
      </c>
      <c r="E65" s="100">
        <v>18.760000000000002</v>
      </c>
      <c r="F65" s="100">
        <v>30.75</v>
      </c>
      <c r="G65" s="100">
        <v>56.51</v>
      </c>
      <c r="H65" s="100">
        <v>27.29</v>
      </c>
      <c r="I65" s="100">
        <v>8.17</v>
      </c>
      <c r="J65" s="100">
        <v>0.91</v>
      </c>
      <c r="K65" s="100">
        <v>317.77999999999997</v>
      </c>
      <c r="L65" s="100">
        <v>39.75</v>
      </c>
      <c r="M65" s="100">
        <v>7.75</v>
      </c>
      <c r="N65" s="100">
        <v>549.20000000000005</v>
      </c>
      <c r="O65" s="100">
        <v>0</v>
      </c>
      <c r="P65" s="100">
        <v>0.68</v>
      </c>
      <c r="Q65" s="100">
        <v>4.57</v>
      </c>
    </row>
    <row r="66" spans="1:17" customFormat="1">
      <c r="A66" s="100" t="s">
        <v>1351</v>
      </c>
      <c r="B66" s="100">
        <v>7.91</v>
      </c>
      <c r="C66" s="100">
        <v>56.72</v>
      </c>
      <c r="D66" s="100">
        <v>37.33</v>
      </c>
      <c r="E66" s="100">
        <v>16.05</v>
      </c>
      <c r="F66" s="100">
        <v>26.31</v>
      </c>
      <c r="G66" s="100">
        <v>51.81</v>
      </c>
      <c r="H66" s="100">
        <v>24.83</v>
      </c>
      <c r="I66" s="100">
        <v>7.98</v>
      </c>
      <c r="J66" s="100">
        <v>1.19</v>
      </c>
      <c r="K66" s="100">
        <v>307.52</v>
      </c>
      <c r="L66" s="100">
        <v>39.33</v>
      </c>
      <c r="M66" s="100">
        <v>8.2799999999999994</v>
      </c>
      <c r="N66" s="100">
        <v>538.29999999999995</v>
      </c>
      <c r="O66" s="100">
        <v>0</v>
      </c>
      <c r="P66" s="100">
        <v>0.71</v>
      </c>
      <c r="Q66" s="100">
        <v>4.5</v>
      </c>
    </row>
    <row r="67" spans="1:17" customFormat="1">
      <c r="A67" s="100" t="s">
        <v>1352</v>
      </c>
      <c r="B67" s="100">
        <v>7.78</v>
      </c>
      <c r="C67" s="100">
        <v>58.2</v>
      </c>
      <c r="D67" s="100">
        <v>38</v>
      </c>
      <c r="E67" s="100">
        <v>17.190000000000001</v>
      </c>
      <c r="F67" s="100">
        <v>34.340000000000003</v>
      </c>
      <c r="G67" s="100">
        <v>51.65</v>
      </c>
      <c r="H67" s="100">
        <v>24.83</v>
      </c>
      <c r="I67" s="100">
        <v>7.85</v>
      </c>
      <c r="J67" s="100">
        <v>1.04</v>
      </c>
      <c r="K67" s="100">
        <v>309.98</v>
      </c>
      <c r="L67" s="100">
        <v>39.19</v>
      </c>
      <c r="M67" s="100">
        <v>8.98</v>
      </c>
      <c r="N67" s="100">
        <v>516.70000000000005</v>
      </c>
      <c r="O67" s="100">
        <v>0</v>
      </c>
      <c r="P67" s="100">
        <v>0.68</v>
      </c>
      <c r="Q67" s="100">
        <v>4.45</v>
      </c>
    </row>
    <row r="68" spans="1:17" customFormat="1">
      <c r="A68" s="100" t="s">
        <v>1353</v>
      </c>
      <c r="B68" s="100">
        <v>7.67</v>
      </c>
      <c r="C68" s="100">
        <v>58.61</v>
      </c>
      <c r="D68" s="100">
        <v>38.130000000000003</v>
      </c>
      <c r="E68" s="100">
        <v>20.99</v>
      </c>
      <c r="F68" s="100">
        <v>46.92</v>
      </c>
      <c r="G68" s="100">
        <v>51.65</v>
      </c>
      <c r="H68" s="100">
        <v>24.83</v>
      </c>
      <c r="I68" s="100">
        <v>7.73</v>
      </c>
      <c r="J68" s="100">
        <v>0.64</v>
      </c>
      <c r="K68" s="100">
        <v>3.01</v>
      </c>
      <c r="L68" s="100">
        <v>39.17</v>
      </c>
      <c r="M68" s="100">
        <v>9.75</v>
      </c>
      <c r="N68" s="100">
        <v>404.5</v>
      </c>
      <c r="O68" s="100">
        <v>0</v>
      </c>
      <c r="P68" s="100">
        <v>0.63</v>
      </c>
      <c r="Q68" s="100">
        <v>4.41</v>
      </c>
    </row>
    <row r="69" spans="1:17" customFormat="1">
      <c r="A69" s="100" t="s">
        <v>1354</v>
      </c>
      <c r="B69" s="100">
        <v>7.65</v>
      </c>
      <c r="C69" s="100">
        <v>56.95</v>
      </c>
      <c r="D69" s="100">
        <v>37.24</v>
      </c>
      <c r="E69" s="100">
        <v>22.04</v>
      </c>
      <c r="F69" s="100">
        <v>51.26</v>
      </c>
      <c r="G69" s="100">
        <v>51.65</v>
      </c>
      <c r="H69" s="100">
        <v>24.83</v>
      </c>
      <c r="I69" s="100">
        <v>7.78</v>
      </c>
      <c r="J69" s="100">
        <v>0.53</v>
      </c>
      <c r="K69" s="100">
        <v>23.97</v>
      </c>
      <c r="L69" s="100">
        <v>39.14</v>
      </c>
      <c r="M69" s="100">
        <v>10.45</v>
      </c>
      <c r="N69" s="100">
        <v>451.2</v>
      </c>
      <c r="O69" s="100">
        <v>0</v>
      </c>
      <c r="P69" s="100">
        <v>0.62</v>
      </c>
      <c r="Q69" s="100">
        <v>4.41</v>
      </c>
    </row>
    <row r="70" spans="1:17" customFormat="1">
      <c r="A70" s="100" t="s">
        <v>1355</v>
      </c>
      <c r="B70" s="100">
        <v>7.95</v>
      </c>
      <c r="C70" s="100">
        <v>57.44</v>
      </c>
      <c r="D70" s="100">
        <v>37.74</v>
      </c>
      <c r="E70" s="100">
        <v>23.9</v>
      </c>
      <c r="F70" s="100">
        <v>48.26</v>
      </c>
      <c r="G70" s="100">
        <v>54.68</v>
      </c>
      <c r="H70" s="100">
        <v>24.83</v>
      </c>
      <c r="I70" s="100">
        <v>7.18</v>
      </c>
      <c r="J70" s="100">
        <v>0.67</v>
      </c>
      <c r="K70" s="100">
        <v>51.47</v>
      </c>
      <c r="L70" s="100">
        <v>39.880000000000003</v>
      </c>
      <c r="M70" s="100">
        <v>9.23</v>
      </c>
      <c r="N70" s="100">
        <v>569.4</v>
      </c>
      <c r="O70" s="100">
        <v>0</v>
      </c>
      <c r="P70" s="100">
        <v>0.62</v>
      </c>
      <c r="Q70" s="100">
        <v>4.41</v>
      </c>
    </row>
    <row r="71" spans="1:17" customFormat="1">
      <c r="A71" s="100" t="s">
        <v>1356</v>
      </c>
      <c r="B71" s="100">
        <v>7.53</v>
      </c>
      <c r="C71" s="100">
        <v>60.54</v>
      </c>
      <c r="D71" s="100">
        <v>39.020000000000003</v>
      </c>
      <c r="E71" s="100">
        <v>21.49</v>
      </c>
      <c r="F71" s="100">
        <v>37.229999999999997</v>
      </c>
      <c r="G71" s="100">
        <v>54.78</v>
      </c>
      <c r="H71" s="100">
        <v>24.83</v>
      </c>
      <c r="I71" s="100">
        <v>6.47</v>
      </c>
      <c r="J71" s="100">
        <v>0.7</v>
      </c>
      <c r="K71" s="100">
        <v>35.340000000000003</v>
      </c>
      <c r="L71" s="100">
        <v>40.03</v>
      </c>
      <c r="M71" s="100">
        <v>9.52</v>
      </c>
      <c r="N71" s="100">
        <v>483.7</v>
      </c>
      <c r="O71" s="100">
        <v>0</v>
      </c>
      <c r="P71" s="100">
        <v>0.63</v>
      </c>
      <c r="Q71" s="100">
        <v>4.46</v>
      </c>
    </row>
    <row r="72" spans="1:17" customFormat="1">
      <c r="A72" s="100" t="s">
        <v>1357</v>
      </c>
      <c r="B72" s="100">
        <v>7.88</v>
      </c>
      <c r="C72" s="100">
        <v>67.760000000000005</v>
      </c>
      <c r="D72" s="100">
        <v>43.29</v>
      </c>
      <c r="E72" s="100">
        <v>25.02</v>
      </c>
      <c r="F72" s="100">
        <v>42.2</v>
      </c>
      <c r="G72" s="100">
        <v>54.78</v>
      </c>
      <c r="H72" s="100">
        <v>24.83</v>
      </c>
      <c r="I72" s="100">
        <v>6.75</v>
      </c>
      <c r="J72" s="100">
        <v>0.99</v>
      </c>
      <c r="K72" s="100">
        <v>47.46</v>
      </c>
      <c r="L72" s="100">
        <v>39.72</v>
      </c>
      <c r="M72" s="100">
        <v>9.36</v>
      </c>
      <c r="N72" s="100">
        <v>397.9</v>
      </c>
      <c r="O72" s="100">
        <v>0</v>
      </c>
      <c r="P72" s="100">
        <v>0.64</v>
      </c>
      <c r="Q72" s="100">
        <v>4.59</v>
      </c>
    </row>
    <row r="73" spans="1:17" customFormat="1">
      <c r="A73" s="100" t="s">
        <v>1358</v>
      </c>
      <c r="B73" s="100">
        <v>7.79</v>
      </c>
      <c r="C73" s="100">
        <v>61.74</v>
      </c>
      <c r="D73" s="100">
        <v>39.85</v>
      </c>
      <c r="E73" s="100">
        <v>20.83</v>
      </c>
      <c r="F73" s="100">
        <v>53.53</v>
      </c>
      <c r="G73" s="100">
        <v>54.78</v>
      </c>
      <c r="H73" s="100">
        <v>24.83</v>
      </c>
      <c r="I73" s="100">
        <v>6.72</v>
      </c>
      <c r="J73" s="100">
        <v>0.71</v>
      </c>
      <c r="K73" s="100">
        <v>25.49</v>
      </c>
      <c r="L73" s="100">
        <v>39.46</v>
      </c>
      <c r="M73" s="100">
        <v>9.99</v>
      </c>
      <c r="N73" s="100">
        <v>380.8</v>
      </c>
      <c r="O73" s="100">
        <v>0</v>
      </c>
      <c r="P73" s="100">
        <v>0.61</v>
      </c>
      <c r="Q73" s="100">
        <v>4.54</v>
      </c>
    </row>
    <row r="74" spans="1:17" customFormat="1">
      <c r="A74" s="100" t="s">
        <v>1359</v>
      </c>
      <c r="B74" s="100">
        <v>7.33</v>
      </c>
      <c r="C74" s="100">
        <v>59.62</v>
      </c>
      <c r="D74" s="100">
        <v>38.380000000000003</v>
      </c>
      <c r="E74" s="100">
        <v>20.47</v>
      </c>
      <c r="F74" s="100">
        <v>48.44</v>
      </c>
      <c r="G74" s="100">
        <v>59</v>
      </c>
      <c r="H74" s="100">
        <v>22.39</v>
      </c>
      <c r="I74" s="100">
        <v>6.3</v>
      </c>
      <c r="J74" s="100">
        <v>0.67</v>
      </c>
      <c r="K74" s="100">
        <v>304.36</v>
      </c>
      <c r="L74" s="100">
        <v>39.35</v>
      </c>
      <c r="M74" s="100">
        <v>9.4</v>
      </c>
      <c r="N74" s="100">
        <v>296.2</v>
      </c>
      <c r="O74" s="100">
        <v>0</v>
      </c>
      <c r="P74" s="100">
        <v>0.59</v>
      </c>
      <c r="Q74" s="100">
        <v>4.47</v>
      </c>
    </row>
    <row r="75" spans="1:17" customFormat="1">
      <c r="A75" s="100" t="s">
        <v>1360</v>
      </c>
      <c r="B75" s="100">
        <v>8.4499999999999993</v>
      </c>
      <c r="C75" s="100">
        <v>59.49</v>
      </c>
      <c r="D75" s="100">
        <v>39.520000000000003</v>
      </c>
      <c r="E75" s="100">
        <v>27.28</v>
      </c>
      <c r="F75" s="100">
        <v>55.67</v>
      </c>
      <c r="G75" s="100">
        <v>59.14</v>
      </c>
      <c r="H75" s="100">
        <v>22.31</v>
      </c>
      <c r="I75" s="100">
        <v>6.26</v>
      </c>
      <c r="J75" s="100">
        <v>0.81</v>
      </c>
      <c r="K75" s="100">
        <v>52.42</v>
      </c>
      <c r="L75" s="100">
        <v>38.92</v>
      </c>
      <c r="M75" s="100">
        <v>11.32</v>
      </c>
      <c r="N75" s="100">
        <v>208.3</v>
      </c>
      <c r="O75" s="100">
        <v>0</v>
      </c>
      <c r="P75" s="100">
        <v>0.57999999999999996</v>
      </c>
      <c r="Q75" s="100">
        <v>4.38</v>
      </c>
    </row>
    <row r="76" spans="1:17" customFormat="1">
      <c r="A76" s="100" t="s">
        <v>1361</v>
      </c>
      <c r="B76" s="100">
        <v>7.45</v>
      </c>
      <c r="C76" s="100">
        <v>61.85</v>
      </c>
      <c r="D76" s="100">
        <v>39.64</v>
      </c>
      <c r="E76" s="100">
        <v>25.77</v>
      </c>
      <c r="F76" s="100">
        <v>48.82</v>
      </c>
      <c r="G76" s="100">
        <v>59.14</v>
      </c>
      <c r="H76" s="100">
        <v>22.31</v>
      </c>
      <c r="I76" s="100">
        <v>5.68</v>
      </c>
      <c r="J76" s="100">
        <v>0.74</v>
      </c>
      <c r="K76" s="100">
        <v>48.95</v>
      </c>
      <c r="L76" s="100">
        <v>38.19</v>
      </c>
      <c r="M76" s="100">
        <v>11.87</v>
      </c>
      <c r="N76" s="100">
        <v>152.30000000000001</v>
      </c>
      <c r="O76" s="100">
        <v>0</v>
      </c>
      <c r="P76" s="100">
        <v>0.61</v>
      </c>
      <c r="Q76" s="100">
        <v>4.42</v>
      </c>
    </row>
    <row r="77" spans="1:17" customFormat="1">
      <c r="A77" s="100" t="s">
        <v>1362</v>
      </c>
      <c r="B77" s="100">
        <v>11.95</v>
      </c>
      <c r="C77" s="100">
        <v>70.05</v>
      </c>
      <c r="D77" s="100">
        <v>49.49</v>
      </c>
      <c r="E77" s="100">
        <v>28.59</v>
      </c>
      <c r="F77" s="100">
        <v>41.04</v>
      </c>
      <c r="G77" s="100">
        <v>59.14</v>
      </c>
      <c r="H77" s="100">
        <v>22.31</v>
      </c>
      <c r="I77" s="100">
        <v>5.37</v>
      </c>
      <c r="J77" s="100">
        <v>0.44</v>
      </c>
      <c r="K77" s="100">
        <v>52.57</v>
      </c>
      <c r="L77" s="100">
        <v>38.01</v>
      </c>
      <c r="M77" s="100">
        <v>13.19</v>
      </c>
      <c r="N77" s="100">
        <v>119.6</v>
      </c>
      <c r="O77" s="100">
        <v>0</v>
      </c>
      <c r="P77" s="100">
        <v>0.68</v>
      </c>
      <c r="Q77" s="100">
        <v>4.51</v>
      </c>
    </row>
    <row r="78" spans="1:17" customFormat="1">
      <c r="A78" s="100" t="s">
        <v>1363</v>
      </c>
      <c r="B78" s="100">
        <v>12.01</v>
      </c>
      <c r="C78" s="100">
        <v>77.72</v>
      </c>
      <c r="D78" s="100">
        <v>52.03</v>
      </c>
      <c r="E78" s="100">
        <v>30.22</v>
      </c>
      <c r="F78" s="100">
        <v>31.49</v>
      </c>
      <c r="G78" s="100">
        <v>70.78</v>
      </c>
      <c r="H78" s="100">
        <v>23.57</v>
      </c>
      <c r="I78" s="100">
        <v>5.46</v>
      </c>
      <c r="J78" s="100">
        <v>0.21</v>
      </c>
      <c r="K78" s="100">
        <v>76.87</v>
      </c>
      <c r="L78" s="100">
        <v>37.39</v>
      </c>
      <c r="M78" s="100">
        <v>15.85</v>
      </c>
      <c r="N78" s="100">
        <v>66.400000000000006</v>
      </c>
      <c r="O78" s="100">
        <v>0</v>
      </c>
      <c r="P78" s="100">
        <v>0.71</v>
      </c>
      <c r="Q78" s="100">
        <v>4.57</v>
      </c>
    </row>
    <row r="79" spans="1:17" customFormat="1">
      <c r="A79" s="100" t="s">
        <v>1364</v>
      </c>
      <c r="B79" s="100">
        <v>10.55</v>
      </c>
      <c r="C79" s="100">
        <v>75.14</v>
      </c>
      <c r="D79" s="100">
        <v>49.92</v>
      </c>
      <c r="E79" s="100">
        <v>28.88</v>
      </c>
      <c r="F79" s="100">
        <v>32.729999999999997</v>
      </c>
      <c r="G79" s="100">
        <v>71.180000000000007</v>
      </c>
      <c r="H79" s="100">
        <v>23.57</v>
      </c>
      <c r="I79" s="100">
        <v>5.54</v>
      </c>
      <c r="J79" s="100">
        <v>0.14000000000000001</v>
      </c>
      <c r="K79" s="100">
        <v>143.56</v>
      </c>
      <c r="L79" s="100">
        <v>36.54</v>
      </c>
      <c r="M79" s="100">
        <v>19.21</v>
      </c>
      <c r="N79" s="100">
        <v>58.8</v>
      </c>
      <c r="O79" s="100">
        <v>0</v>
      </c>
      <c r="P79" s="100">
        <v>0.79</v>
      </c>
      <c r="Q79" s="100">
        <v>4.63</v>
      </c>
    </row>
    <row r="80" spans="1:17" customFormat="1">
      <c r="A80" s="100" t="s">
        <v>1365</v>
      </c>
      <c r="B80" s="100">
        <v>9.39</v>
      </c>
      <c r="C80" s="100">
        <v>71.739999999999995</v>
      </c>
      <c r="D80" s="100">
        <v>46.59</v>
      </c>
      <c r="E80" s="100">
        <v>27.05</v>
      </c>
      <c r="F80" s="100">
        <v>32.76</v>
      </c>
      <c r="G80" s="100">
        <v>71.180000000000007</v>
      </c>
      <c r="H80" s="100">
        <v>23.57</v>
      </c>
      <c r="I80" s="100">
        <v>5.69</v>
      </c>
      <c r="J80" s="100">
        <v>0.33</v>
      </c>
      <c r="K80" s="100">
        <v>152.47999999999999</v>
      </c>
      <c r="L80" s="100">
        <v>35.49</v>
      </c>
      <c r="M80" s="100">
        <v>23.83</v>
      </c>
      <c r="N80" s="100">
        <v>45.7</v>
      </c>
      <c r="O80" s="100">
        <v>0</v>
      </c>
      <c r="P80" s="100">
        <v>0.75</v>
      </c>
      <c r="Q80" s="100">
        <v>4.66</v>
      </c>
    </row>
    <row r="81" spans="1:17" customFormat="1">
      <c r="A81" s="100" t="s">
        <v>1366</v>
      </c>
      <c r="B81" s="100">
        <v>8.17</v>
      </c>
      <c r="C81" s="100">
        <v>67.7</v>
      </c>
      <c r="D81" s="100">
        <v>43.28</v>
      </c>
      <c r="E81" s="100">
        <v>16.309999999999999</v>
      </c>
      <c r="F81" s="100">
        <v>30.82</v>
      </c>
      <c r="G81" s="100">
        <v>71.180000000000007</v>
      </c>
      <c r="H81" s="100">
        <v>23.57</v>
      </c>
      <c r="I81" s="100">
        <v>5.92</v>
      </c>
      <c r="J81" s="100">
        <v>0.3</v>
      </c>
      <c r="K81" s="100">
        <v>164.41</v>
      </c>
      <c r="L81" s="100">
        <v>34.25</v>
      </c>
      <c r="M81" s="100">
        <v>28.15</v>
      </c>
      <c r="N81" s="100">
        <v>18.8</v>
      </c>
      <c r="O81" s="100">
        <v>0</v>
      </c>
      <c r="P81" s="100">
        <v>0.73</v>
      </c>
      <c r="Q81" s="100">
        <v>4.6900000000000004</v>
      </c>
    </row>
    <row r="82" spans="1:17" customFormat="1">
      <c r="A82" s="100" t="s">
        <v>1367</v>
      </c>
      <c r="B82" s="100">
        <v>8.61</v>
      </c>
      <c r="C82" s="100">
        <v>66.959999999999994</v>
      </c>
      <c r="D82" s="100">
        <v>43.24</v>
      </c>
      <c r="E82" s="100">
        <v>20.52</v>
      </c>
      <c r="F82" s="100">
        <v>26.6</v>
      </c>
      <c r="G82" s="100">
        <v>92.56</v>
      </c>
      <c r="H82" s="100">
        <v>26.44</v>
      </c>
      <c r="I82" s="100">
        <v>5.91</v>
      </c>
      <c r="J82" s="100">
        <v>0.26</v>
      </c>
      <c r="K82" s="100">
        <v>166.17</v>
      </c>
      <c r="L82" s="100">
        <v>33.020000000000003</v>
      </c>
      <c r="M82" s="100">
        <v>29.67</v>
      </c>
      <c r="N82" s="100">
        <v>1</v>
      </c>
      <c r="O82" s="100">
        <v>0</v>
      </c>
      <c r="P82" s="100">
        <v>0.76</v>
      </c>
      <c r="Q82" s="100">
        <v>4.79</v>
      </c>
    </row>
    <row r="83" spans="1:17" customFormat="1">
      <c r="A83" s="100" t="s">
        <v>1368</v>
      </c>
      <c r="B83" s="100">
        <v>8.8699999999999992</v>
      </c>
      <c r="C83" s="100">
        <v>61.11</v>
      </c>
      <c r="D83" s="100">
        <v>40.39</v>
      </c>
      <c r="E83" s="100">
        <v>17.87</v>
      </c>
      <c r="F83" s="100">
        <v>31.04</v>
      </c>
      <c r="G83" s="100">
        <v>93.3</v>
      </c>
      <c r="H83" s="100">
        <v>26.44</v>
      </c>
      <c r="I83" s="100">
        <v>6</v>
      </c>
      <c r="J83" s="100">
        <v>0.21</v>
      </c>
      <c r="K83" s="100">
        <v>143.43</v>
      </c>
      <c r="L83" s="100">
        <v>32.270000000000003</v>
      </c>
      <c r="M83" s="100">
        <v>34.299999999999997</v>
      </c>
      <c r="N83" s="100">
        <v>0</v>
      </c>
      <c r="O83" s="100">
        <v>0</v>
      </c>
      <c r="P83" s="100">
        <v>0.7</v>
      </c>
      <c r="Q83" s="100">
        <v>4.8</v>
      </c>
    </row>
    <row r="84" spans="1:17" customFormat="1">
      <c r="A84" s="100" t="s">
        <v>1369</v>
      </c>
      <c r="B84" s="100">
        <v>8.7899999999999991</v>
      </c>
      <c r="C84" s="100">
        <v>55.51</v>
      </c>
      <c r="D84" s="100">
        <v>37.4</v>
      </c>
      <c r="E84" s="100">
        <v>19.690000000000001</v>
      </c>
      <c r="F84" s="100">
        <v>36.68</v>
      </c>
      <c r="G84" s="100">
        <v>93.3</v>
      </c>
      <c r="H84" s="100">
        <v>26.44</v>
      </c>
      <c r="I84" s="100">
        <v>6.15</v>
      </c>
      <c r="J84" s="100">
        <v>0.21</v>
      </c>
      <c r="K84" s="100">
        <v>175.19</v>
      </c>
      <c r="L84" s="100">
        <v>31.67</v>
      </c>
      <c r="M84" s="100">
        <v>33.19</v>
      </c>
      <c r="N84" s="100">
        <v>0</v>
      </c>
      <c r="O84" s="100">
        <v>0</v>
      </c>
      <c r="P84" s="100">
        <v>0.69</v>
      </c>
      <c r="Q84" s="100">
        <v>4.71</v>
      </c>
    </row>
    <row r="85" spans="1:17" customFormat="1">
      <c r="A85" s="100" t="s">
        <v>1370</v>
      </c>
      <c r="B85" s="100">
        <v>8.7799999999999994</v>
      </c>
      <c r="C85" s="100">
        <v>53.5</v>
      </c>
      <c r="D85" s="100">
        <v>36.340000000000003</v>
      </c>
      <c r="E85" s="100">
        <v>19.23</v>
      </c>
      <c r="F85" s="100">
        <v>33.65</v>
      </c>
      <c r="G85" s="100">
        <v>93.3</v>
      </c>
      <c r="H85" s="100">
        <v>26.44</v>
      </c>
      <c r="I85" s="100">
        <v>6.1</v>
      </c>
      <c r="J85" s="100">
        <v>0.24</v>
      </c>
      <c r="K85" s="100">
        <v>143.01</v>
      </c>
      <c r="L85" s="100">
        <v>31.33</v>
      </c>
      <c r="M85" s="100">
        <v>33.78</v>
      </c>
      <c r="N85" s="100">
        <v>0</v>
      </c>
      <c r="O85" s="100">
        <v>0</v>
      </c>
      <c r="P85" s="100">
        <v>0.69</v>
      </c>
      <c r="Q85" s="100">
        <v>4.66</v>
      </c>
    </row>
    <row r="86" spans="1:17" customFormat="1">
      <c r="A86" s="100" t="s">
        <v>1371</v>
      </c>
      <c r="B86" s="100">
        <v>9.66</v>
      </c>
      <c r="C86" s="100">
        <v>57.39</v>
      </c>
      <c r="D86" s="100">
        <v>39.08</v>
      </c>
      <c r="E86" s="100">
        <v>17.45</v>
      </c>
      <c r="F86" s="100">
        <v>25.08</v>
      </c>
      <c r="G86" s="100">
        <v>89.9</v>
      </c>
      <c r="H86" s="100">
        <v>24.6</v>
      </c>
      <c r="I86" s="100">
        <v>6.16</v>
      </c>
      <c r="J86" s="100">
        <v>0.22</v>
      </c>
      <c r="K86" s="100">
        <v>168.47</v>
      </c>
      <c r="L86" s="100">
        <v>30.88</v>
      </c>
      <c r="M86" s="100">
        <v>32.229999999999997</v>
      </c>
      <c r="N86" s="100">
        <v>0</v>
      </c>
      <c r="O86" s="100">
        <v>0</v>
      </c>
      <c r="P86" s="100">
        <v>0.7</v>
      </c>
      <c r="Q86" s="100">
        <v>4.6500000000000004</v>
      </c>
    </row>
    <row r="87" spans="1:17" customFormat="1">
      <c r="A87" s="100" t="s">
        <v>1372</v>
      </c>
      <c r="B87" s="100">
        <v>10.199999999999999</v>
      </c>
      <c r="C87" s="100">
        <v>61.5</v>
      </c>
      <c r="D87" s="100">
        <v>41.66</v>
      </c>
      <c r="E87" s="100">
        <v>15.93</v>
      </c>
      <c r="F87" s="100">
        <v>20.28</v>
      </c>
      <c r="G87" s="100">
        <v>89.78</v>
      </c>
      <c r="H87" s="100">
        <v>24.6</v>
      </c>
      <c r="I87" s="100">
        <v>6.24</v>
      </c>
      <c r="J87" s="100">
        <v>0.24</v>
      </c>
      <c r="K87" s="100">
        <v>233</v>
      </c>
      <c r="L87" s="100">
        <v>30.57</v>
      </c>
      <c r="M87" s="100">
        <v>35</v>
      </c>
      <c r="N87" s="100">
        <v>0</v>
      </c>
      <c r="O87" s="100">
        <v>0</v>
      </c>
      <c r="P87" s="100">
        <v>0.72</v>
      </c>
      <c r="Q87" s="100">
        <v>4.75</v>
      </c>
    </row>
    <row r="88" spans="1:17" customFormat="1">
      <c r="A88" s="100" t="s">
        <v>1373</v>
      </c>
      <c r="B88" s="100">
        <v>9.8000000000000007</v>
      </c>
      <c r="C88" s="100">
        <v>56.64</v>
      </c>
      <c r="D88" s="100">
        <v>38.799999999999997</v>
      </c>
      <c r="E88" s="100">
        <v>16.02</v>
      </c>
      <c r="F88" s="100">
        <v>22.47</v>
      </c>
      <c r="G88" s="100">
        <v>89.78</v>
      </c>
      <c r="H88" s="100">
        <v>24.6</v>
      </c>
      <c r="I88" s="100">
        <v>6.33</v>
      </c>
      <c r="J88" s="100">
        <v>0.21</v>
      </c>
      <c r="K88" s="100">
        <v>146.87</v>
      </c>
      <c r="L88" s="100">
        <v>30.16</v>
      </c>
      <c r="M88" s="100">
        <v>37.04</v>
      </c>
      <c r="N88" s="100">
        <v>0</v>
      </c>
      <c r="O88" s="100">
        <v>0</v>
      </c>
      <c r="P88" s="100">
        <v>0.75</v>
      </c>
      <c r="Q88" s="100">
        <v>4.66</v>
      </c>
    </row>
    <row r="89" spans="1:17" customFormat="1">
      <c r="A89" s="100" t="s">
        <v>1374</v>
      </c>
      <c r="B89" s="100">
        <v>10.91</v>
      </c>
      <c r="C89" s="100">
        <v>62.38</v>
      </c>
      <c r="D89" s="100">
        <v>42.69</v>
      </c>
      <c r="E89" s="100">
        <v>14.45</v>
      </c>
      <c r="F89" s="100">
        <v>16.190000000000001</v>
      </c>
      <c r="G89" s="100">
        <v>89.78</v>
      </c>
      <c r="H89" s="100">
        <v>24.6</v>
      </c>
      <c r="I89" s="100">
        <v>6.51</v>
      </c>
      <c r="J89" s="100">
        <v>0.19</v>
      </c>
      <c r="K89" s="100">
        <v>165.6</v>
      </c>
      <c r="L89" s="100">
        <v>29.9</v>
      </c>
      <c r="M89" s="100">
        <v>37.32</v>
      </c>
      <c r="N89" s="100">
        <v>0</v>
      </c>
      <c r="O89" s="100">
        <v>0</v>
      </c>
      <c r="P89" s="100">
        <v>0.75</v>
      </c>
      <c r="Q89" s="100">
        <v>4.7</v>
      </c>
    </row>
    <row r="90" spans="1:17" customFormat="1">
      <c r="A90" s="100" t="s">
        <v>1375</v>
      </c>
      <c r="B90" s="100">
        <v>10.86</v>
      </c>
      <c r="C90" s="100">
        <v>60.46</v>
      </c>
      <c r="D90" s="100">
        <v>41.65</v>
      </c>
      <c r="E90" s="100">
        <v>15.68</v>
      </c>
      <c r="F90" s="100">
        <v>18.39</v>
      </c>
      <c r="G90" s="100">
        <v>72.73</v>
      </c>
      <c r="H90" s="100">
        <v>24.61</v>
      </c>
      <c r="I90" s="100">
        <v>6.8</v>
      </c>
      <c r="J90" s="100">
        <v>0.17</v>
      </c>
      <c r="K90" s="100">
        <v>214.21</v>
      </c>
      <c r="L90" s="100">
        <v>29.48</v>
      </c>
      <c r="M90" s="100">
        <v>36.46</v>
      </c>
      <c r="N90" s="100">
        <v>0</v>
      </c>
      <c r="O90" s="100">
        <v>0</v>
      </c>
      <c r="P90" s="100">
        <v>0.75</v>
      </c>
      <c r="Q90" s="100">
        <v>4.76</v>
      </c>
    </row>
    <row r="91" spans="1:17" customFormat="1">
      <c r="A91" s="100" t="s">
        <v>1376</v>
      </c>
      <c r="B91" s="100">
        <v>11.72</v>
      </c>
      <c r="C91" s="100">
        <v>64.430000000000007</v>
      </c>
      <c r="D91" s="100">
        <v>44.42</v>
      </c>
      <c r="E91" s="100">
        <v>11.89</v>
      </c>
      <c r="F91" s="100">
        <v>10.1</v>
      </c>
      <c r="G91" s="100">
        <v>72.14</v>
      </c>
      <c r="H91" s="100">
        <v>24.61</v>
      </c>
      <c r="I91" s="100">
        <v>6.94</v>
      </c>
      <c r="J91" s="100">
        <v>0.19</v>
      </c>
      <c r="K91" s="100">
        <v>181.86</v>
      </c>
      <c r="L91" s="100">
        <v>29.01</v>
      </c>
      <c r="M91" s="100">
        <v>44.28</v>
      </c>
      <c r="N91" s="100">
        <v>0</v>
      </c>
      <c r="O91" s="100">
        <v>0</v>
      </c>
      <c r="P91" s="100">
        <v>0.81</v>
      </c>
      <c r="Q91" s="100">
        <v>4.8</v>
      </c>
    </row>
    <row r="92" spans="1:17" customFormat="1">
      <c r="A92" s="100" t="s">
        <v>1377</v>
      </c>
      <c r="B92" s="100">
        <v>12.57</v>
      </c>
      <c r="C92" s="100">
        <v>62.74</v>
      </c>
      <c r="D92" s="100">
        <v>44.21</v>
      </c>
      <c r="E92" s="100">
        <v>10.61</v>
      </c>
      <c r="F92" s="100">
        <v>7.72</v>
      </c>
      <c r="G92" s="100">
        <v>72.14</v>
      </c>
      <c r="H92" s="100">
        <v>24.61</v>
      </c>
      <c r="I92" s="100">
        <v>7.04</v>
      </c>
      <c r="J92" s="100">
        <v>0.17</v>
      </c>
      <c r="K92" s="100">
        <v>165.7</v>
      </c>
      <c r="L92" s="100">
        <v>28.49</v>
      </c>
      <c r="M92" s="100">
        <v>47.19</v>
      </c>
      <c r="N92" s="100">
        <v>0</v>
      </c>
      <c r="O92" s="100">
        <v>0</v>
      </c>
      <c r="P92" s="100">
        <v>0.84</v>
      </c>
      <c r="Q92" s="100">
        <v>4.7300000000000004</v>
      </c>
    </row>
    <row r="93" spans="1:17" customFormat="1">
      <c r="A93" s="100" t="s">
        <v>1378</v>
      </c>
      <c r="B93" s="100">
        <v>12.98</v>
      </c>
      <c r="C93" s="100">
        <v>63.53</v>
      </c>
      <c r="D93" s="100">
        <v>44.95</v>
      </c>
      <c r="E93" s="100">
        <v>11.36</v>
      </c>
      <c r="F93" s="100">
        <v>7.75</v>
      </c>
      <c r="G93" s="100">
        <v>72.14</v>
      </c>
      <c r="H93" s="100">
        <v>24.61</v>
      </c>
      <c r="I93" s="100">
        <v>7.42</v>
      </c>
      <c r="J93" s="100">
        <v>0.19</v>
      </c>
      <c r="K93" s="100">
        <v>157.87</v>
      </c>
      <c r="L93" s="100">
        <v>28.63</v>
      </c>
      <c r="M93" s="100">
        <v>42.56</v>
      </c>
      <c r="N93" s="100">
        <v>0</v>
      </c>
      <c r="O93" s="100">
        <v>0</v>
      </c>
      <c r="P93" s="100">
        <v>0.86</v>
      </c>
      <c r="Q93" s="100">
        <v>4.71</v>
      </c>
    </row>
    <row r="94" spans="1:17" customFormat="1">
      <c r="A94" s="100" t="s">
        <v>1379</v>
      </c>
      <c r="B94" s="100">
        <v>13.18</v>
      </c>
      <c r="C94" s="100">
        <v>64.709999999999994</v>
      </c>
      <c r="D94" s="100">
        <v>45.73</v>
      </c>
      <c r="E94" s="100">
        <v>12</v>
      </c>
      <c r="F94" s="100">
        <v>11.09</v>
      </c>
      <c r="G94" s="100">
        <v>83.66</v>
      </c>
      <c r="H94" s="100">
        <v>26.32</v>
      </c>
      <c r="I94" s="100">
        <v>7.91</v>
      </c>
      <c r="J94" s="100">
        <v>0.25</v>
      </c>
      <c r="K94" s="100">
        <v>159.09</v>
      </c>
      <c r="L94" s="100">
        <v>28.63</v>
      </c>
      <c r="M94" s="100">
        <v>42.76</v>
      </c>
      <c r="N94" s="100">
        <v>0</v>
      </c>
      <c r="O94" s="100">
        <v>0</v>
      </c>
      <c r="P94" s="100">
        <v>0.87</v>
      </c>
      <c r="Q94" s="100">
        <v>4.8499999999999996</v>
      </c>
    </row>
    <row r="95" spans="1:17" customFormat="1">
      <c r="A95" s="100" t="s">
        <v>1380</v>
      </c>
      <c r="B95" s="100">
        <v>14.84</v>
      </c>
      <c r="C95" s="100">
        <v>64.760000000000005</v>
      </c>
      <c r="D95" s="100">
        <v>47.08</v>
      </c>
      <c r="E95" s="100">
        <v>9.82</v>
      </c>
      <c r="F95" s="100">
        <v>7.79</v>
      </c>
      <c r="G95" s="100">
        <v>84.06</v>
      </c>
      <c r="H95" s="100">
        <v>26.32</v>
      </c>
      <c r="I95" s="100">
        <v>8.31</v>
      </c>
      <c r="J95" s="100">
        <v>0.18</v>
      </c>
      <c r="K95" s="100">
        <v>165.9</v>
      </c>
      <c r="L95" s="100">
        <v>27.94</v>
      </c>
      <c r="M95" s="100">
        <v>45.78</v>
      </c>
      <c r="N95" s="100">
        <v>0</v>
      </c>
      <c r="O95" s="100">
        <v>0</v>
      </c>
      <c r="P95" s="100">
        <v>0.84</v>
      </c>
      <c r="Q95" s="100">
        <v>4.83</v>
      </c>
    </row>
    <row r="96" spans="1:17" customFormat="1">
      <c r="A96" s="100" t="s">
        <v>1381</v>
      </c>
      <c r="B96" s="100">
        <v>15.04</v>
      </c>
      <c r="C96" s="100">
        <v>65.010000000000005</v>
      </c>
      <c r="D96" s="100">
        <v>47.38</v>
      </c>
      <c r="E96" s="100">
        <v>10.94</v>
      </c>
      <c r="F96" s="100">
        <v>9.35</v>
      </c>
      <c r="G96" s="100">
        <v>84.06</v>
      </c>
      <c r="H96" s="100">
        <v>26.32</v>
      </c>
      <c r="I96" s="100">
        <v>8.16</v>
      </c>
      <c r="J96" s="100">
        <v>0.18</v>
      </c>
      <c r="K96" s="100">
        <v>218.16</v>
      </c>
      <c r="L96" s="100">
        <v>27.73</v>
      </c>
      <c r="M96" s="100">
        <v>43.01</v>
      </c>
      <c r="N96" s="100">
        <v>0</v>
      </c>
      <c r="O96" s="100">
        <v>0</v>
      </c>
      <c r="P96" s="100">
        <v>0.87</v>
      </c>
      <c r="Q96" s="100">
        <v>4.93</v>
      </c>
    </row>
    <row r="97" spans="1:22" customFormat="1">
      <c r="A97" s="100" t="s">
        <v>1382</v>
      </c>
      <c r="B97" s="100">
        <v>16.27</v>
      </c>
      <c r="C97" s="100">
        <v>67.3</v>
      </c>
      <c r="D97" s="100">
        <v>49.56</v>
      </c>
      <c r="E97" s="100">
        <v>9.32</v>
      </c>
      <c r="F97" s="100">
        <v>5.83</v>
      </c>
      <c r="G97" s="100">
        <v>84.06</v>
      </c>
      <c r="H97" s="100">
        <v>26.32</v>
      </c>
      <c r="I97" s="100">
        <v>8.08</v>
      </c>
      <c r="J97" s="100">
        <v>0.24</v>
      </c>
      <c r="K97" s="100">
        <v>163.01</v>
      </c>
      <c r="L97" s="100">
        <v>27.24</v>
      </c>
      <c r="M97" s="100">
        <v>51.21</v>
      </c>
      <c r="N97" s="100">
        <v>0</v>
      </c>
      <c r="O97" s="100">
        <v>0</v>
      </c>
      <c r="P97" s="100">
        <v>0.87</v>
      </c>
      <c r="Q97" s="100">
        <v>4.95</v>
      </c>
    </row>
    <row r="98" spans="1:22" customFormat="1">
      <c r="A98" s="100" t="s">
        <v>1383</v>
      </c>
      <c r="B98" s="100">
        <v>16.27</v>
      </c>
      <c r="C98" s="100">
        <v>63.64</v>
      </c>
      <c r="D98" s="100">
        <v>47.65</v>
      </c>
      <c r="E98" s="100">
        <v>10.29</v>
      </c>
      <c r="F98" s="100">
        <v>7.55</v>
      </c>
      <c r="G98" s="100">
        <v>80.33</v>
      </c>
      <c r="H98" s="100">
        <v>28.2</v>
      </c>
      <c r="I98" s="100">
        <v>8.19</v>
      </c>
      <c r="J98" s="100">
        <v>0.19</v>
      </c>
      <c r="K98" s="100">
        <v>165.73</v>
      </c>
      <c r="L98" s="100">
        <v>27.15</v>
      </c>
      <c r="M98" s="100">
        <v>49.52</v>
      </c>
      <c r="N98" s="100">
        <v>0</v>
      </c>
      <c r="O98" s="100">
        <v>0</v>
      </c>
      <c r="P98" s="100">
        <v>0.88</v>
      </c>
      <c r="Q98" s="100">
        <v>4.95</v>
      </c>
    </row>
    <row r="99" spans="1:22" customFormat="1">
      <c r="A99" s="100" t="s">
        <v>1384</v>
      </c>
      <c r="B99" s="100">
        <v>17.440000000000001</v>
      </c>
      <c r="C99" s="100">
        <v>65.84</v>
      </c>
      <c r="D99" s="100">
        <v>49.74</v>
      </c>
      <c r="E99" s="100">
        <v>9.26</v>
      </c>
      <c r="F99" s="100">
        <v>5.69</v>
      </c>
      <c r="G99" s="100">
        <v>80.2</v>
      </c>
      <c r="H99" s="100">
        <v>28.2</v>
      </c>
      <c r="I99" s="100">
        <v>8.24</v>
      </c>
      <c r="J99" s="100">
        <v>0.19</v>
      </c>
      <c r="K99" s="100">
        <v>154.24</v>
      </c>
      <c r="L99" s="100">
        <v>27.18</v>
      </c>
      <c r="M99" s="100">
        <v>48.38</v>
      </c>
      <c r="N99" s="100">
        <v>0</v>
      </c>
      <c r="O99" s="100">
        <v>0</v>
      </c>
      <c r="P99" s="100">
        <v>0.88</v>
      </c>
      <c r="Q99" s="100">
        <v>4.95</v>
      </c>
    </row>
    <row r="100" spans="1:22" customFormat="1">
      <c r="A100" s="100" t="s">
        <v>1385</v>
      </c>
      <c r="B100" s="100">
        <v>17.510000000000002</v>
      </c>
      <c r="C100" s="100">
        <v>64.260000000000005</v>
      </c>
      <c r="D100" s="100">
        <v>48.96</v>
      </c>
      <c r="E100" s="100">
        <v>10.33</v>
      </c>
      <c r="F100" s="100">
        <v>6.77</v>
      </c>
      <c r="G100" s="100">
        <v>80.2</v>
      </c>
      <c r="H100" s="100">
        <v>28.2</v>
      </c>
      <c r="I100" s="100">
        <v>8.31</v>
      </c>
      <c r="J100" s="100">
        <v>0.18</v>
      </c>
      <c r="K100" s="100">
        <v>166.96</v>
      </c>
      <c r="L100" s="100">
        <v>27.05</v>
      </c>
      <c r="M100" s="100">
        <v>46.11</v>
      </c>
      <c r="N100" s="100">
        <v>0</v>
      </c>
      <c r="O100" s="100">
        <v>0</v>
      </c>
      <c r="P100" s="100">
        <v>0.89</v>
      </c>
      <c r="Q100" s="100">
        <v>5</v>
      </c>
    </row>
    <row r="101" spans="1:22" customFormat="1">
      <c r="A101" s="100" t="s">
        <v>1386</v>
      </c>
      <c r="B101" s="100">
        <v>18.489999999999998</v>
      </c>
      <c r="C101" s="100">
        <v>65.959999999999994</v>
      </c>
      <c r="D101" s="100">
        <v>50.64</v>
      </c>
      <c r="E101" s="100">
        <v>9.09</v>
      </c>
      <c r="F101" s="100">
        <v>6.73</v>
      </c>
      <c r="G101" s="100">
        <v>80.2</v>
      </c>
      <c r="H101" s="100">
        <v>28.2</v>
      </c>
      <c r="I101" s="100">
        <v>8.49</v>
      </c>
      <c r="J101" s="100">
        <v>0.23</v>
      </c>
      <c r="K101" s="100">
        <v>154.15</v>
      </c>
      <c r="L101" s="100">
        <v>26.96</v>
      </c>
      <c r="M101" s="100">
        <v>44.18</v>
      </c>
      <c r="N101" s="100">
        <v>0</v>
      </c>
      <c r="O101" s="100">
        <v>0</v>
      </c>
      <c r="P101" s="100">
        <v>0.89</v>
      </c>
      <c r="Q101" s="100">
        <v>5.0199999999999996</v>
      </c>
    </row>
    <row r="102" spans="1:22" customFormat="1">
      <c r="A102" s="100" t="s">
        <v>1387</v>
      </c>
      <c r="B102" s="100">
        <v>18.77</v>
      </c>
      <c r="C102" s="100">
        <v>65.09</v>
      </c>
      <c r="D102" s="100">
        <v>50.41</v>
      </c>
      <c r="E102" s="100">
        <v>9.68</v>
      </c>
      <c r="F102" s="100">
        <v>7.92</v>
      </c>
      <c r="G102" s="100">
        <v>82.4</v>
      </c>
      <c r="H102" s="100">
        <v>28.3</v>
      </c>
      <c r="I102" s="100">
        <v>8.64</v>
      </c>
      <c r="J102" s="100">
        <v>0.23</v>
      </c>
      <c r="K102" s="100">
        <v>164.29</v>
      </c>
      <c r="L102" s="100">
        <v>26.64</v>
      </c>
      <c r="M102" s="100">
        <v>44.24</v>
      </c>
      <c r="N102" s="100">
        <v>0</v>
      </c>
      <c r="O102" s="100">
        <v>0</v>
      </c>
      <c r="P102" s="100">
        <v>0.89</v>
      </c>
      <c r="Q102" s="100">
        <v>5.09</v>
      </c>
    </row>
    <row r="103" spans="1:22" customFormat="1">
      <c r="A103" s="100" t="s">
        <v>1388</v>
      </c>
      <c r="B103" s="100">
        <v>20.059999999999999</v>
      </c>
      <c r="C103" s="100">
        <v>69.760000000000005</v>
      </c>
      <c r="D103" s="100">
        <v>53.89</v>
      </c>
      <c r="E103" s="100">
        <v>9.0299999999999994</v>
      </c>
      <c r="F103" s="100">
        <v>4.42</v>
      </c>
      <c r="G103" s="100">
        <v>82.47</v>
      </c>
      <c r="H103" s="100">
        <v>28.3</v>
      </c>
      <c r="I103" s="100">
        <v>8.51</v>
      </c>
      <c r="J103" s="100">
        <v>0.14000000000000001</v>
      </c>
      <c r="K103" s="100">
        <v>180.12</v>
      </c>
      <c r="L103" s="100">
        <v>26.23</v>
      </c>
      <c r="M103" s="100">
        <v>47.36</v>
      </c>
      <c r="N103" s="100">
        <v>0</v>
      </c>
      <c r="O103" s="100">
        <v>0</v>
      </c>
      <c r="P103" s="100">
        <v>0.9</v>
      </c>
      <c r="Q103" s="100">
        <v>5.14</v>
      </c>
    </row>
    <row r="104" spans="1:22" customFormat="1">
      <c r="A104" s="100" t="s">
        <v>1389</v>
      </c>
      <c r="B104" s="100">
        <v>20.79</v>
      </c>
      <c r="C104" s="100">
        <v>66.61</v>
      </c>
      <c r="D104" s="100">
        <v>52.82</v>
      </c>
      <c r="E104" s="100">
        <v>8.42</v>
      </c>
      <c r="F104" s="100">
        <v>4.3600000000000003</v>
      </c>
      <c r="G104" s="100">
        <v>82.47</v>
      </c>
      <c r="H104" s="100">
        <v>28.3</v>
      </c>
      <c r="I104" s="100">
        <v>8.5500000000000007</v>
      </c>
      <c r="J104" s="100">
        <v>0.25</v>
      </c>
      <c r="K104" s="100">
        <v>153.61000000000001</v>
      </c>
      <c r="L104" s="100">
        <v>25.84</v>
      </c>
      <c r="M104" s="100">
        <v>51.13</v>
      </c>
      <c r="N104" s="100">
        <v>0</v>
      </c>
      <c r="O104" s="100">
        <v>0</v>
      </c>
      <c r="P104" s="100">
        <v>0.89</v>
      </c>
      <c r="Q104" s="100">
        <v>5.08</v>
      </c>
    </row>
    <row r="106" spans="1:22">
      <c r="A106" s="157" t="s">
        <v>48</v>
      </c>
      <c r="B106" s="158">
        <f>MIN(B9:B104)</f>
        <v>7.33</v>
      </c>
      <c r="C106" s="158">
        <f>MIN(C9:C104)</f>
        <v>53.5</v>
      </c>
      <c r="D106" s="158">
        <f t="shared" ref="D106:Q106" si="0">MIN(D9:D104)</f>
        <v>36.340000000000003</v>
      </c>
      <c r="E106" s="158">
        <f t="shared" si="0"/>
        <v>7.88</v>
      </c>
      <c r="F106" s="158">
        <f t="shared" si="0"/>
        <v>3.1</v>
      </c>
      <c r="G106" s="158">
        <f t="shared" si="0"/>
        <v>51.65</v>
      </c>
      <c r="H106" s="158">
        <f t="shared" si="0"/>
        <v>22.31</v>
      </c>
      <c r="I106" s="158">
        <f t="shared" si="0"/>
        <v>5.37</v>
      </c>
      <c r="J106" s="158">
        <f t="shared" si="0"/>
        <v>0.05</v>
      </c>
      <c r="K106" s="158">
        <f t="shared" si="0"/>
        <v>3.01</v>
      </c>
      <c r="L106" s="158">
        <f t="shared" si="0"/>
        <v>21.21</v>
      </c>
      <c r="M106" s="158">
        <f t="shared" si="0"/>
        <v>7.75</v>
      </c>
      <c r="N106" s="158">
        <f t="shared" si="0"/>
        <v>0</v>
      </c>
      <c r="O106" s="158">
        <f t="shared" si="0"/>
        <v>0</v>
      </c>
      <c r="P106" s="158">
        <f t="shared" si="0"/>
        <v>0.57999999999999996</v>
      </c>
      <c r="Q106" s="158">
        <f t="shared" si="0"/>
        <v>4.38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91.97</v>
      </c>
      <c r="C107" s="157">
        <f t="shared" ref="C107:Q107" si="1">MAX(C9:C104)</f>
        <v>77.72</v>
      </c>
      <c r="D107" s="157">
        <f t="shared" si="1"/>
        <v>109.03</v>
      </c>
      <c r="E107" s="157">
        <f t="shared" si="1"/>
        <v>35.31</v>
      </c>
      <c r="F107" s="157">
        <f t="shared" si="1"/>
        <v>55.67</v>
      </c>
      <c r="G107" s="157">
        <f t="shared" si="1"/>
        <v>174.68</v>
      </c>
      <c r="H107" s="157">
        <f t="shared" si="1"/>
        <v>45.57</v>
      </c>
      <c r="I107" s="157">
        <f t="shared" si="1"/>
        <v>15.45</v>
      </c>
      <c r="J107" s="157">
        <f t="shared" si="1"/>
        <v>1.19</v>
      </c>
      <c r="K107" s="157">
        <f t="shared" si="1"/>
        <v>349.77</v>
      </c>
      <c r="L107" s="157">
        <f t="shared" si="1"/>
        <v>40.450000000000003</v>
      </c>
      <c r="M107" s="157">
        <f t="shared" si="1"/>
        <v>77.209999999999994</v>
      </c>
      <c r="N107" s="157">
        <f t="shared" si="1"/>
        <v>859</v>
      </c>
      <c r="O107" s="157">
        <f t="shared" si="1"/>
        <v>0</v>
      </c>
      <c r="P107" s="157">
        <f t="shared" si="1"/>
        <v>1.38</v>
      </c>
      <c r="Q107" s="157">
        <f t="shared" si="1"/>
        <v>8.49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39.853437499999998</v>
      </c>
      <c r="C108" s="158">
        <f t="shared" ref="C108:Q108" si="2">AVERAGE(C9:C104)</f>
        <v>63.929375000000022</v>
      </c>
      <c r="D108" s="158">
        <f t="shared" si="2"/>
        <v>66.753020833333323</v>
      </c>
      <c r="E108" s="158">
        <f t="shared" si="2"/>
        <v>16.3715625</v>
      </c>
      <c r="F108" s="158">
        <f t="shared" si="2"/>
        <v>19.547395833333329</v>
      </c>
      <c r="G108" s="158">
        <f t="shared" si="2"/>
        <v>100.46229166666666</v>
      </c>
      <c r="H108" s="158">
        <f t="shared" si="2"/>
        <v>32.001979166666658</v>
      </c>
      <c r="I108" s="158">
        <f t="shared" si="2"/>
        <v>9.7292708333333291</v>
      </c>
      <c r="J108" s="158">
        <f t="shared" si="2"/>
        <v>0.37979166666666658</v>
      </c>
      <c r="K108" s="158">
        <f t="shared" si="2"/>
        <v>142.68968750000002</v>
      </c>
      <c r="L108" s="158">
        <f t="shared" si="2"/>
        <v>30.890208333333337</v>
      </c>
      <c r="M108" s="158">
        <f t="shared" si="2"/>
        <v>37.989479166666683</v>
      </c>
      <c r="N108" s="158">
        <f t="shared" si="2"/>
        <v>183.34270833333332</v>
      </c>
      <c r="O108" s="158">
        <f t="shared" si="2"/>
        <v>0</v>
      </c>
      <c r="P108" s="158">
        <f t="shared" si="2"/>
        <v>0.98343750000000041</v>
      </c>
      <c r="Q108" s="158">
        <f t="shared" si="2"/>
        <v>6.1295833333333372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31.599263310137818</v>
      </c>
      <c r="C109" s="158">
        <f t="shared" ref="C109:Q109" si="3">STDEV(C9:C104)</f>
        <v>4.1975794560048154</v>
      </c>
      <c r="D109" s="158">
        <f t="shared" si="3"/>
        <v>26.171895618242782</v>
      </c>
      <c r="E109" s="158">
        <f t="shared" si="3"/>
        <v>7.3307656422310998</v>
      </c>
      <c r="F109" s="158">
        <f t="shared" si="3"/>
        <v>17.632617875600033</v>
      </c>
      <c r="G109" s="158">
        <f t="shared" si="3"/>
        <v>37.330439631941609</v>
      </c>
      <c r="H109" s="158">
        <f t="shared" si="3"/>
        <v>7.1057537279072935</v>
      </c>
      <c r="I109" s="158">
        <f t="shared" si="3"/>
        <v>2.8913745573931453</v>
      </c>
      <c r="J109" s="158">
        <f t="shared" si="3"/>
        <v>0.269736632434664</v>
      </c>
      <c r="K109" s="158">
        <f t="shared" si="3"/>
        <v>78.761769479108736</v>
      </c>
      <c r="L109" s="158">
        <f t="shared" si="3"/>
        <v>6.5115314682033851</v>
      </c>
      <c r="M109" s="158">
        <f t="shared" si="3"/>
        <v>22.492129447748987</v>
      </c>
      <c r="N109" s="158">
        <f t="shared" si="3"/>
        <v>273.47592321418512</v>
      </c>
      <c r="O109" s="158">
        <f t="shared" si="3"/>
        <v>0</v>
      </c>
      <c r="P109" s="158">
        <f t="shared" si="3"/>
        <v>0.24527890945014458</v>
      </c>
      <c r="Q109" s="158">
        <f t="shared" si="3"/>
        <v>1.4927494355024697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17"/>
  <sheetViews>
    <sheetView zoomScale="85" zoomScaleNormal="85" workbookViewId="0">
      <pane xSplit="1" ySplit="8" topLeftCell="B63" activePane="bottomRight" state="frozen"/>
      <selection pane="topRight"/>
      <selection pane="bottomLeft"/>
      <selection pane="bottomRight" activeCell="C110" sqref="B110:H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13/05/2023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1390</v>
      </c>
      <c r="B9" s="100">
        <v>21.64</v>
      </c>
      <c r="C9" s="100">
        <v>67.02</v>
      </c>
      <c r="D9" s="100">
        <v>53.72</v>
      </c>
      <c r="E9" s="100">
        <v>9.33</v>
      </c>
      <c r="F9" s="100">
        <v>4.07</v>
      </c>
      <c r="G9" s="100">
        <v>82.47</v>
      </c>
      <c r="H9" s="100">
        <v>28.3</v>
      </c>
      <c r="I9" s="100">
        <v>8.6199999999999992</v>
      </c>
      <c r="J9" s="100">
        <v>0.18</v>
      </c>
      <c r="K9" s="100">
        <v>174.59</v>
      </c>
      <c r="L9" s="100">
        <v>25.67</v>
      </c>
      <c r="M9" s="100">
        <v>51.11</v>
      </c>
      <c r="N9" s="100">
        <v>0</v>
      </c>
      <c r="O9" s="100">
        <v>0</v>
      </c>
      <c r="P9" s="100">
        <v>0.9</v>
      </c>
      <c r="Q9" s="100">
        <v>5.21</v>
      </c>
    </row>
    <row r="10" spans="1:21" customFormat="1">
      <c r="A10" s="100" t="s">
        <v>1391</v>
      </c>
      <c r="B10" s="100">
        <v>23.19</v>
      </c>
      <c r="C10" s="100">
        <v>67.86</v>
      </c>
      <c r="D10" s="100">
        <v>55.4</v>
      </c>
      <c r="E10" s="100">
        <v>9.08</v>
      </c>
      <c r="F10" s="100">
        <v>4.47</v>
      </c>
      <c r="G10" s="100">
        <v>71.52</v>
      </c>
      <c r="H10" s="100">
        <v>28.29</v>
      </c>
      <c r="I10" s="100">
        <v>8.67</v>
      </c>
      <c r="J10" s="100">
        <v>0.21</v>
      </c>
      <c r="K10" s="100">
        <v>117.07</v>
      </c>
      <c r="L10" s="100">
        <v>25.8</v>
      </c>
      <c r="M10" s="100">
        <v>48.36</v>
      </c>
      <c r="N10" s="100">
        <v>0</v>
      </c>
      <c r="O10" s="100">
        <v>0</v>
      </c>
      <c r="P10" s="100">
        <v>0.9</v>
      </c>
      <c r="Q10" s="100">
        <v>5.17</v>
      </c>
    </row>
    <row r="11" spans="1:21" customFormat="1">
      <c r="A11" s="100" t="s">
        <v>1392</v>
      </c>
      <c r="B11" s="100">
        <v>38.4</v>
      </c>
      <c r="C11" s="100">
        <v>68.760000000000005</v>
      </c>
      <c r="D11" s="100">
        <v>68.069999999999993</v>
      </c>
      <c r="E11" s="100">
        <v>10.39</v>
      </c>
      <c r="F11" s="100">
        <v>3.8</v>
      </c>
      <c r="G11" s="100">
        <v>71.14</v>
      </c>
      <c r="H11" s="100">
        <v>28.29</v>
      </c>
      <c r="I11" s="100">
        <v>8.69</v>
      </c>
      <c r="J11" s="100">
        <v>0.25</v>
      </c>
      <c r="K11" s="100">
        <v>82.84</v>
      </c>
      <c r="L11" s="100">
        <v>26.44</v>
      </c>
      <c r="M11" s="100">
        <v>41.57</v>
      </c>
      <c r="N11" s="100">
        <v>0</v>
      </c>
      <c r="O11" s="100">
        <v>0</v>
      </c>
      <c r="P11" s="100">
        <v>0.92</v>
      </c>
      <c r="Q11" s="100">
        <v>5.33</v>
      </c>
    </row>
    <row r="12" spans="1:21" customFormat="1">
      <c r="A12" s="100" t="s">
        <v>1393</v>
      </c>
      <c r="B12" s="100">
        <v>30.9</v>
      </c>
      <c r="C12" s="100">
        <v>70.81</v>
      </c>
      <c r="D12" s="100">
        <v>63.13</v>
      </c>
      <c r="E12" s="100">
        <v>9.7799999999999994</v>
      </c>
      <c r="F12" s="100">
        <v>3.46</v>
      </c>
      <c r="G12" s="100">
        <v>71.14</v>
      </c>
      <c r="H12" s="100">
        <v>28.29</v>
      </c>
      <c r="I12" s="100">
        <v>8.6999999999999993</v>
      </c>
      <c r="J12" s="100">
        <v>0.2</v>
      </c>
      <c r="K12" s="100">
        <v>90.08</v>
      </c>
      <c r="L12" s="100">
        <v>26.68</v>
      </c>
      <c r="M12" s="100">
        <v>43.66</v>
      </c>
      <c r="N12" s="100">
        <v>0</v>
      </c>
      <c r="O12" s="100">
        <v>0</v>
      </c>
      <c r="P12" s="100">
        <v>0.92</v>
      </c>
      <c r="Q12" s="100">
        <v>5.51</v>
      </c>
    </row>
    <row r="13" spans="1:21" customFormat="1">
      <c r="A13" s="100" t="s">
        <v>1394</v>
      </c>
      <c r="B13" s="100">
        <v>33.49</v>
      </c>
      <c r="C13" s="100">
        <v>68.42</v>
      </c>
      <c r="D13" s="100">
        <v>63.96</v>
      </c>
      <c r="E13" s="100">
        <v>9.16</v>
      </c>
      <c r="F13" s="100">
        <v>3.83</v>
      </c>
      <c r="G13" s="100">
        <v>71.14</v>
      </c>
      <c r="H13" s="100">
        <v>28.29</v>
      </c>
      <c r="I13" s="100">
        <v>8.7799999999999994</v>
      </c>
      <c r="J13" s="100">
        <v>0.31</v>
      </c>
      <c r="K13" s="100">
        <v>77.03</v>
      </c>
      <c r="L13" s="100">
        <v>26.33</v>
      </c>
      <c r="M13" s="100">
        <v>45.76</v>
      </c>
      <c r="N13" s="100">
        <v>0</v>
      </c>
      <c r="O13" s="100">
        <v>0</v>
      </c>
      <c r="P13" s="100">
        <v>0.92</v>
      </c>
      <c r="Q13" s="100">
        <v>5.66</v>
      </c>
    </row>
    <row r="14" spans="1:21" customFormat="1">
      <c r="A14" s="100" t="s">
        <v>1395</v>
      </c>
      <c r="B14" s="100">
        <v>34.270000000000003</v>
      </c>
      <c r="C14" s="100">
        <v>69.930000000000007</v>
      </c>
      <c r="D14" s="100">
        <v>65.37</v>
      </c>
      <c r="E14" s="100">
        <v>9.4</v>
      </c>
      <c r="F14" s="100">
        <v>3.6</v>
      </c>
      <c r="G14" s="100">
        <v>75.680000000000007</v>
      </c>
      <c r="H14" s="100">
        <v>30.14</v>
      </c>
      <c r="I14" s="100">
        <v>8.77</v>
      </c>
      <c r="J14" s="100">
        <v>0.13</v>
      </c>
      <c r="K14" s="100">
        <v>19.260000000000002</v>
      </c>
      <c r="L14" s="100">
        <v>26.47</v>
      </c>
      <c r="M14" s="100">
        <v>44.24</v>
      </c>
      <c r="N14" s="100">
        <v>0</v>
      </c>
      <c r="O14" s="100">
        <v>0</v>
      </c>
      <c r="P14" s="100">
        <v>0.92</v>
      </c>
      <c r="Q14" s="100">
        <v>5.76</v>
      </c>
    </row>
    <row r="15" spans="1:21" customFormat="1">
      <c r="A15" s="100" t="s">
        <v>1396</v>
      </c>
      <c r="B15" s="100">
        <v>36.380000000000003</v>
      </c>
      <c r="C15" s="100">
        <v>68.989999999999995</v>
      </c>
      <c r="D15" s="100">
        <v>66.569999999999993</v>
      </c>
      <c r="E15" s="100">
        <v>9.4600000000000009</v>
      </c>
      <c r="F15" s="100">
        <v>3.79</v>
      </c>
      <c r="G15" s="100">
        <v>75.83</v>
      </c>
      <c r="H15" s="100">
        <v>30.14</v>
      </c>
      <c r="I15" s="100">
        <v>8.7799999999999994</v>
      </c>
      <c r="J15" s="100">
        <v>0.14000000000000001</v>
      </c>
      <c r="K15" s="100">
        <v>133.97</v>
      </c>
      <c r="L15" s="100">
        <v>25.94</v>
      </c>
      <c r="M15" s="100">
        <v>47.45</v>
      </c>
      <c r="N15" s="100">
        <v>0</v>
      </c>
      <c r="O15" s="100">
        <v>0</v>
      </c>
      <c r="P15" s="100">
        <v>0.93</v>
      </c>
      <c r="Q15" s="100">
        <v>5.87</v>
      </c>
    </row>
    <row r="16" spans="1:21" customFormat="1">
      <c r="A16" s="100" t="s">
        <v>1397</v>
      </c>
      <c r="B16" s="100">
        <v>38.36</v>
      </c>
      <c r="C16" s="100">
        <v>70.78</v>
      </c>
      <c r="D16" s="100">
        <v>69.099999999999994</v>
      </c>
      <c r="E16" s="100">
        <v>9.06</v>
      </c>
      <c r="F16" s="100">
        <v>3.46</v>
      </c>
      <c r="G16" s="100">
        <v>75.83</v>
      </c>
      <c r="H16" s="100">
        <v>30.14</v>
      </c>
      <c r="I16" s="100">
        <v>8.8800000000000008</v>
      </c>
      <c r="J16" s="100">
        <v>0.05</v>
      </c>
      <c r="K16" s="100">
        <v>211.57</v>
      </c>
      <c r="L16" s="100">
        <v>25.58</v>
      </c>
      <c r="M16" s="100">
        <v>48.7</v>
      </c>
      <c r="N16" s="100">
        <v>0</v>
      </c>
      <c r="O16" s="100">
        <v>0</v>
      </c>
      <c r="P16" s="100">
        <v>0.94</v>
      </c>
      <c r="Q16" s="100">
        <v>5.99</v>
      </c>
    </row>
    <row r="17" spans="1:17" customFormat="1">
      <c r="A17" s="100" t="s">
        <v>1398</v>
      </c>
      <c r="B17" s="100">
        <v>40.9</v>
      </c>
      <c r="C17" s="100">
        <v>69.13</v>
      </c>
      <c r="D17" s="100">
        <v>70.27</v>
      </c>
      <c r="E17" s="100">
        <v>7.09</v>
      </c>
      <c r="F17" s="100">
        <v>3.84</v>
      </c>
      <c r="G17" s="100">
        <v>75.83</v>
      </c>
      <c r="H17" s="100">
        <v>30.14</v>
      </c>
      <c r="I17" s="100">
        <v>8.9700000000000006</v>
      </c>
      <c r="J17" s="100">
        <v>0.17</v>
      </c>
      <c r="K17" s="100">
        <v>168.61</v>
      </c>
      <c r="L17" s="100">
        <v>25.25</v>
      </c>
      <c r="M17" s="100">
        <v>52.21</v>
      </c>
      <c r="N17" s="100">
        <v>0</v>
      </c>
      <c r="O17" s="100">
        <v>0</v>
      </c>
      <c r="P17" s="100">
        <v>0.95</v>
      </c>
      <c r="Q17" s="100">
        <v>6.14</v>
      </c>
    </row>
    <row r="18" spans="1:17" customFormat="1">
      <c r="A18" s="100" t="s">
        <v>1399</v>
      </c>
      <c r="B18" s="100">
        <v>42.14</v>
      </c>
      <c r="C18" s="100">
        <v>71.94</v>
      </c>
      <c r="D18" s="100">
        <v>72.73</v>
      </c>
      <c r="E18" s="100">
        <v>8.2799999999999994</v>
      </c>
      <c r="F18" s="100">
        <v>3.44</v>
      </c>
      <c r="G18" s="100">
        <v>97.28</v>
      </c>
      <c r="H18" s="100">
        <v>31.7</v>
      </c>
      <c r="I18" s="100">
        <v>9.08</v>
      </c>
      <c r="J18" s="100">
        <v>0.22</v>
      </c>
      <c r="K18" s="100">
        <v>180.03</v>
      </c>
      <c r="L18" s="100">
        <v>23.93</v>
      </c>
      <c r="M18" s="100">
        <v>60.06</v>
      </c>
      <c r="N18" s="100">
        <v>0</v>
      </c>
      <c r="O18" s="100">
        <v>0</v>
      </c>
      <c r="P18" s="100">
        <v>0.96</v>
      </c>
      <c r="Q18" s="100">
        <v>6.22</v>
      </c>
    </row>
    <row r="19" spans="1:17" customFormat="1">
      <c r="A19" s="100" t="s">
        <v>1400</v>
      </c>
      <c r="B19" s="100">
        <v>43.07</v>
      </c>
      <c r="C19" s="100">
        <v>70.13</v>
      </c>
      <c r="D19" s="100">
        <v>72.53</v>
      </c>
      <c r="E19" s="100">
        <v>8.2200000000000006</v>
      </c>
      <c r="F19" s="100">
        <v>3.73</v>
      </c>
      <c r="G19" s="100">
        <v>98.02</v>
      </c>
      <c r="H19" s="100">
        <v>31.7</v>
      </c>
      <c r="I19" s="100">
        <v>9.24</v>
      </c>
      <c r="J19" s="100">
        <v>0.13</v>
      </c>
      <c r="K19" s="100">
        <v>193.88</v>
      </c>
      <c r="L19" s="100">
        <v>23.68</v>
      </c>
      <c r="M19" s="100">
        <v>60.85</v>
      </c>
      <c r="N19" s="100">
        <v>0</v>
      </c>
      <c r="O19" s="100">
        <v>0</v>
      </c>
      <c r="P19" s="100">
        <v>0.96</v>
      </c>
      <c r="Q19" s="100">
        <v>6.23</v>
      </c>
    </row>
    <row r="20" spans="1:17" customFormat="1">
      <c r="A20" s="100" t="s">
        <v>1401</v>
      </c>
      <c r="B20" s="100">
        <v>43.8</v>
      </c>
      <c r="C20" s="100">
        <v>71.14</v>
      </c>
      <c r="D20" s="100">
        <v>73.64</v>
      </c>
      <c r="E20" s="100">
        <v>8.6999999999999993</v>
      </c>
      <c r="F20" s="100">
        <v>3.56</v>
      </c>
      <c r="G20" s="100">
        <v>98.02</v>
      </c>
      <c r="H20" s="100">
        <v>31.7</v>
      </c>
      <c r="I20" s="100">
        <v>9.32</v>
      </c>
      <c r="J20" s="100">
        <v>0.15</v>
      </c>
      <c r="K20" s="100">
        <v>160.96</v>
      </c>
      <c r="L20" s="100">
        <v>23.8</v>
      </c>
      <c r="M20" s="100">
        <v>60.62</v>
      </c>
      <c r="N20" s="100">
        <v>0</v>
      </c>
      <c r="O20" s="100">
        <v>0</v>
      </c>
      <c r="P20" s="100">
        <v>0.97</v>
      </c>
      <c r="Q20" s="100">
        <v>6.3</v>
      </c>
    </row>
    <row r="21" spans="1:17" customFormat="1">
      <c r="A21" s="100" t="s">
        <v>1402</v>
      </c>
      <c r="B21" s="100">
        <v>44.65</v>
      </c>
      <c r="C21" s="100">
        <v>69.89</v>
      </c>
      <c r="D21" s="100">
        <v>73.67</v>
      </c>
      <c r="E21" s="100">
        <v>8.33</v>
      </c>
      <c r="F21" s="100">
        <v>3.52</v>
      </c>
      <c r="G21" s="100">
        <v>98.02</v>
      </c>
      <c r="H21" s="100">
        <v>31.7</v>
      </c>
      <c r="I21" s="100">
        <v>9.3699999999999992</v>
      </c>
      <c r="J21" s="100">
        <v>0.25</v>
      </c>
      <c r="K21" s="100">
        <v>157.86000000000001</v>
      </c>
      <c r="L21" s="100">
        <v>23.63</v>
      </c>
      <c r="M21" s="100">
        <v>62.48</v>
      </c>
      <c r="N21" s="100">
        <v>0</v>
      </c>
      <c r="O21" s="100">
        <v>0</v>
      </c>
      <c r="P21" s="100">
        <v>0.98</v>
      </c>
      <c r="Q21" s="100">
        <v>6.29</v>
      </c>
    </row>
    <row r="22" spans="1:17" customFormat="1">
      <c r="A22" s="100" t="s">
        <v>1403</v>
      </c>
      <c r="B22" s="100">
        <v>45.65</v>
      </c>
      <c r="C22" s="100">
        <v>69</v>
      </c>
      <c r="D22" s="100">
        <v>74.010000000000005</v>
      </c>
      <c r="E22" s="100">
        <v>8.33</v>
      </c>
      <c r="F22" s="100">
        <v>3.61</v>
      </c>
      <c r="G22" s="100">
        <v>117.54</v>
      </c>
      <c r="H22" s="100">
        <v>33.97</v>
      </c>
      <c r="I22" s="100">
        <v>9.43</v>
      </c>
      <c r="J22" s="100">
        <v>0.1</v>
      </c>
      <c r="K22" s="100">
        <v>110.48</v>
      </c>
      <c r="L22" s="100">
        <v>23.58</v>
      </c>
      <c r="M22" s="100">
        <v>60.96</v>
      </c>
      <c r="N22" s="100">
        <v>0</v>
      </c>
      <c r="O22" s="100">
        <v>0</v>
      </c>
      <c r="P22" s="100">
        <v>0.98</v>
      </c>
      <c r="Q22" s="100">
        <v>6.35</v>
      </c>
    </row>
    <row r="23" spans="1:17" customFormat="1">
      <c r="A23" s="100" t="s">
        <v>1404</v>
      </c>
      <c r="B23" s="100">
        <v>48.52</v>
      </c>
      <c r="C23" s="100">
        <v>71.680000000000007</v>
      </c>
      <c r="D23" s="100">
        <v>77.709999999999994</v>
      </c>
      <c r="E23" s="100">
        <v>9.6999999999999993</v>
      </c>
      <c r="F23" s="100">
        <v>3.64</v>
      </c>
      <c r="G23" s="100">
        <v>118.21</v>
      </c>
      <c r="H23" s="100">
        <v>33.97</v>
      </c>
      <c r="I23" s="100">
        <v>9.48</v>
      </c>
      <c r="J23" s="100">
        <v>7.0000000000000007E-2</v>
      </c>
      <c r="K23" s="100">
        <v>66.540000000000006</v>
      </c>
      <c r="L23" s="100">
        <v>24.42</v>
      </c>
      <c r="M23" s="100">
        <v>50.77</v>
      </c>
      <c r="N23" s="100">
        <v>0</v>
      </c>
      <c r="O23" s="100">
        <v>0</v>
      </c>
      <c r="P23" s="100">
        <v>1.03</v>
      </c>
      <c r="Q23" s="100">
        <v>6.46</v>
      </c>
    </row>
    <row r="24" spans="1:17" customFormat="1">
      <c r="A24" s="100" t="s">
        <v>1405</v>
      </c>
      <c r="B24" s="100">
        <v>50.17</v>
      </c>
      <c r="C24" s="100">
        <v>69.95</v>
      </c>
      <c r="D24" s="100">
        <v>78.13</v>
      </c>
      <c r="E24" s="100">
        <v>9.85</v>
      </c>
      <c r="F24" s="100">
        <v>3.74</v>
      </c>
      <c r="G24" s="100">
        <v>118.21</v>
      </c>
      <c r="H24" s="100">
        <v>33.97</v>
      </c>
      <c r="I24" s="100">
        <v>9.69</v>
      </c>
      <c r="J24" s="100">
        <v>0.44</v>
      </c>
      <c r="K24" s="100">
        <v>70.3</v>
      </c>
      <c r="L24" s="100">
        <v>25.31</v>
      </c>
      <c r="M24" s="100">
        <v>45.89</v>
      </c>
      <c r="N24" s="100">
        <v>0</v>
      </c>
      <c r="O24" s="100">
        <v>0</v>
      </c>
      <c r="P24" s="100">
        <v>1.05</v>
      </c>
      <c r="Q24" s="100">
        <v>6.58</v>
      </c>
    </row>
    <row r="25" spans="1:17" customFormat="1">
      <c r="A25" s="100" t="s">
        <v>1406</v>
      </c>
      <c r="B25" s="100">
        <v>51.73</v>
      </c>
      <c r="C25" s="100">
        <v>69.73</v>
      </c>
      <c r="D25" s="100">
        <v>79.27</v>
      </c>
      <c r="E25" s="100">
        <v>9.83</v>
      </c>
      <c r="F25" s="100">
        <v>3.47</v>
      </c>
      <c r="G25" s="100">
        <v>118.21</v>
      </c>
      <c r="H25" s="100">
        <v>33.97</v>
      </c>
      <c r="I25" s="100">
        <v>9.9700000000000006</v>
      </c>
      <c r="J25" s="100">
        <v>0.41</v>
      </c>
      <c r="K25" s="100">
        <v>77.010000000000005</v>
      </c>
      <c r="L25" s="100">
        <v>25.31</v>
      </c>
      <c r="M25" s="100">
        <v>46.51</v>
      </c>
      <c r="N25" s="100">
        <v>0</v>
      </c>
      <c r="O25" s="100">
        <v>0</v>
      </c>
      <c r="P25" s="100">
        <v>1.08</v>
      </c>
      <c r="Q25" s="100">
        <v>6.68</v>
      </c>
    </row>
    <row r="26" spans="1:17" customFormat="1">
      <c r="A26" s="100" t="s">
        <v>1407</v>
      </c>
      <c r="B26" s="100">
        <v>53.07</v>
      </c>
      <c r="C26" s="100">
        <v>69.73</v>
      </c>
      <c r="D26" s="100">
        <v>80.34</v>
      </c>
      <c r="E26" s="100">
        <v>9.33</v>
      </c>
      <c r="F26" s="100">
        <v>3.51</v>
      </c>
      <c r="G26" s="100">
        <v>118.21</v>
      </c>
      <c r="H26" s="100">
        <v>54.77</v>
      </c>
      <c r="I26" s="100">
        <v>10.16</v>
      </c>
      <c r="J26" s="100">
        <v>0.2</v>
      </c>
      <c r="K26" s="100">
        <v>76.2</v>
      </c>
      <c r="L26" s="100">
        <v>24.94</v>
      </c>
      <c r="M26" s="100">
        <v>47.62</v>
      </c>
      <c r="N26" s="100">
        <v>0</v>
      </c>
      <c r="O26" s="100">
        <v>0</v>
      </c>
      <c r="P26" s="100">
        <v>1.0900000000000001</v>
      </c>
      <c r="Q26" s="100">
        <v>6.74</v>
      </c>
    </row>
    <row r="27" spans="1:17" customFormat="1">
      <c r="A27" s="100" t="s">
        <v>1408</v>
      </c>
      <c r="B27" s="100">
        <v>53.91</v>
      </c>
      <c r="C27" s="100">
        <v>70.28</v>
      </c>
      <c r="D27" s="100">
        <v>81.3</v>
      </c>
      <c r="E27" s="100">
        <v>9.2100000000000009</v>
      </c>
      <c r="F27" s="100">
        <v>3.59</v>
      </c>
      <c r="G27" s="100">
        <v>320.94</v>
      </c>
      <c r="H27" s="100">
        <v>54.77</v>
      </c>
      <c r="I27" s="100">
        <v>10.36</v>
      </c>
      <c r="J27" s="100">
        <v>0.15</v>
      </c>
      <c r="K27" s="100">
        <v>127.83</v>
      </c>
      <c r="L27" s="100">
        <v>24.41</v>
      </c>
      <c r="M27" s="100">
        <v>52.52</v>
      </c>
      <c r="N27" s="100">
        <v>0</v>
      </c>
      <c r="O27" s="100">
        <v>0</v>
      </c>
      <c r="P27" s="100">
        <v>1.1100000000000001</v>
      </c>
      <c r="Q27" s="100">
        <v>6.73</v>
      </c>
    </row>
    <row r="28" spans="1:17" customFormat="1">
      <c r="A28" s="100" t="s">
        <v>1409</v>
      </c>
      <c r="B28" s="100">
        <v>54.65</v>
      </c>
      <c r="C28" s="100">
        <v>67.63</v>
      </c>
      <c r="D28" s="100">
        <v>80.510000000000005</v>
      </c>
      <c r="E28" s="100">
        <v>8.7200000000000006</v>
      </c>
      <c r="F28" s="100">
        <v>3.83</v>
      </c>
      <c r="G28" s="100">
        <v>320.94</v>
      </c>
      <c r="H28" s="100">
        <v>54.77</v>
      </c>
      <c r="I28" s="100">
        <v>10.52</v>
      </c>
      <c r="J28" s="100">
        <v>0.27</v>
      </c>
      <c r="K28" s="100">
        <v>168.21</v>
      </c>
      <c r="L28" s="100">
        <v>23.22</v>
      </c>
      <c r="M28" s="100">
        <v>61.8</v>
      </c>
      <c r="N28" s="100">
        <v>0</v>
      </c>
      <c r="O28" s="100">
        <v>0</v>
      </c>
      <c r="P28" s="100">
        <v>1.1100000000000001</v>
      </c>
      <c r="Q28" s="100">
        <v>6.74</v>
      </c>
    </row>
    <row r="29" spans="1:17" customFormat="1">
      <c r="A29" s="100" t="s">
        <v>1410</v>
      </c>
      <c r="B29" s="100">
        <v>54.53</v>
      </c>
      <c r="C29" s="100">
        <v>69.13</v>
      </c>
      <c r="D29" s="100">
        <v>81.2</v>
      </c>
      <c r="E29" s="100">
        <v>9.1300000000000008</v>
      </c>
      <c r="F29" s="100">
        <v>3.57</v>
      </c>
      <c r="G29" s="100">
        <v>320.94</v>
      </c>
      <c r="H29" s="100">
        <v>54.77</v>
      </c>
      <c r="I29" s="100">
        <v>10.58</v>
      </c>
      <c r="J29" s="100">
        <v>0.19</v>
      </c>
      <c r="K29" s="100">
        <v>155.12</v>
      </c>
      <c r="L29" s="100">
        <v>22.48</v>
      </c>
      <c r="M29" s="100">
        <v>62.34</v>
      </c>
      <c r="N29" s="100">
        <v>0</v>
      </c>
      <c r="O29" s="100">
        <v>0</v>
      </c>
      <c r="P29" s="100">
        <v>1.1299999999999999</v>
      </c>
      <c r="Q29" s="100">
        <v>6.78</v>
      </c>
    </row>
    <row r="30" spans="1:17" customFormat="1">
      <c r="A30" s="100" t="s">
        <v>1411</v>
      </c>
      <c r="B30" s="100">
        <v>54.24</v>
      </c>
      <c r="C30" s="100">
        <v>68.930000000000007</v>
      </c>
      <c r="D30" s="100">
        <v>80.86</v>
      </c>
      <c r="E30" s="100">
        <v>8.9</v>
      </c>
      <c r="F30" s="100">
        <v>3.47</v>
      </c>
      <c r="G30" s="100">
        <v>199.07</v>
      </c>
      <c r="H30" s="100">
        <v>59.75</v>
      </c>
      <c r="I30" s="100">
        <v>10.68</v>
      </c>
      <c r="J30" s="100">
        <v>0.15</v>
      </c>
      <c r="K30" s="100">
        <v>192.84</v>
      </c>
      <c r="L30" s="100">
        <v>22.26</v>
      </c>
      <c r="M30" s="100">
        <v>62.49</v>
      </c>
      <c r="N30" s="100">
        <v>0</v>
      </c>
      <c r="O30" s="100">
        <v>0</v>
      </c>
      <c r="P30" s="100">
        <v>1.1399999999999999</v>
      </c>
      <c r="Q30" s="100">
        <v>6.76</v>
      </c>
    </row>
    <row r="31" spans="1:17" customFormat="1">
      <c r="A31" s="100" t="s">
        <v>1412</v>
      </c>
      <c r="B31" s="100">
        <v>54.32</v>
      </c>
      <c r="C31" s="100">
        <v>68.11</v>
      </c>
      <c r="D31" s="100">
        <v>80.5</v>
      </c>
      <c r="E31" s="100">
        <v>9.1</v>
      </c>
      <c r="F31" s="100">
        <v>3.58</v>
      </c>
      <c r="G31" s="100">
        <v>199.07</v>
      </c>
      <c r="H31" s="100">
        <v>59.75</v>
      </c>
      <c r="I31" s="100">
        <v>10.76</v>
      </c>
      <c r="J31" s="100">
        <v>0.15</v>
      </c>
      <c r="K31" s="100">
        <v>152.41</v>
      </c>
      <c r="L31" s="100">
        <v>22.36</v>
      </c>
      <c r="M31" s="100">
        <v>63.02</v>
      </c>
      <c r="N31" s="100">
        <v>7.5</v>
      </c>
      <c r="O31" s="100">
        <v>0</v>
      </c>
      <c r="P31" s="100">
        <v>1.1499999999999999</v>
      </c>
      <c r="Q31" s="100">
        <v>6.74</v>
      </c>
    </row>
    <row r="32" spans="1:17" customFormat="1">
      <c r="A32" s="100" t="s">
        <v>1413</v>
      </c>
      <c r="B32" s="100">
        <v>54.8</v>
      </c>
      <c r="C32" s="100">
        <v>66.55</v>
      </c>
      <c r="D32" s="100">
        <v>80.069999999999993</v>
      </c>
      <c r="E32" s="100">
        <v>9.01</v>
      </c>
      <c r="F32" s="100">
        <v>3.84</v>
      </c>
      <c r="G32" s="100">
        <v>199.07</v>
      </c>
      <c r="H32" s="100">
        <v>59.75</v>
      </c>
      <c r="I32" s="100">
        <v>10.82</v>
      </c>
      <c r="J32" s="100">
        <v>0.2</v>
      </c>
      <c r="K32" s="100">
        <v>340.22</v>
      </c>
      <c r="L32" s="100">
        <v>22.88</v>
      </c>
      <c r="M32" s="100">
        <v>59.81</v>
      </c>
      <c r="N32" s="100">
        <v>20</v>
      </c>
      <c r="O32" s="100">
        <v>0</v>
      </c>
      <c r="P32" s="100">
        <v>1.1599999999999999</v>
      </c>
      <c r="Q32" s="100">
        <v>6.74</v>
      </c>
    </row>
    <row r="33" spans="1:17" customFormat="1">
      <c r="A33" s="100" t="s">
        <v>1414</v>
      </c>
      <c r="B33" s="100">
        <v>56.09</v>
      </c>
      <c r="C33" s="100">
        <v>69.709999999999994</v>
      </c>
      <c r="D33" s="100">
        <v>82.75</v>
      </c>
      <c r="E33" s="100">
        <v>9.31</v>
      </c>
      <c r="F33" s="100">
        <v>3.32</v>
      </c>
      <c r="G33" s="100">
        <v>199.07</v>
      </c>
      <c r="H33" s="100">
        <v>59.75</v>
      </c>
      <c r="I33" s="100">
        <v>10.97</v>
      </c>
      <c r="J33" s="100">
        <v>0.26</v>
      </c>
      <c r="K33" s="100">
        <v>23.73</v>
      </c>
      <c r="L33" s="100">
        <v>24.02</v>
      </c>
      <c r="M33" s="100">
        <v>51.73</v>
      </c>
      <c r="N33" s="100">
        <v>33.299999999999997</v>
      </c>
      <c r="O33" s="100">
        <v>0</v>
      </c>
      <c r="P33" s="100">
        <v>1.18</v>
      </c>
      <c r="Q33" s="100">
        <v>6.85</v>
      </c>
    </row>
    <row r="34" spans="1:17" customFormat="1">
      <c r="A34" s="100" t="s">
        <v>1415</v>
      </c>
      <c r="B34" s="100">
        <v>57.5</v>
      </c>
      <c r="C34" s="100">
        <v>67.06</v>
      </c>
      <c r="D34" s="100">
        <v>82.5</v>
      </c>
      <c r="E34" s="100">
        <v>8.9600000000000009</v>
      </c>
      <c r="F34" s="100">
        <v>3.73</v>
      </c>
      <c r="G34" s="100">
        <v>202.24</v>
      </c>
      <c r="H34" s="100">
        <v>62.63</v>
      </c>
      <c r="I34" s="100">
        <v>11.09</v>
      </c>
      <c r="J34" s="100">
        <v>0.44</v>
      </c>
      <c r="K34" s="100">
        <v>62.35</v>
      </c>
      <c r="L34" s="100">
        <v>24.95</v>
      </c>
      <c r="M34" s="100">
        <v>46.39</v>
      </c>
      <c r="N34" s="100">
        <v>54.4</v>
      </c>
      <c r="O34" s="100">
        <v>0</v>
      </c>
      <c r="P34" s="100">
        <v>1.19</v>
      </c>
      <c r="Q34" s="100">
        <v>6.92</v>
      </c>
    </row>
    <row r="35" spans="1:17" customFormat="1">
      <c r="A35" s="100" t="s">
        <v>1416</v>
      </c>
      <c r="B35" s="100">
        <v>57.4</v>
      </c>
      <c r="C35" s="100">
        <v>69.42</v>
      </c>
      <c r="D35" s="100">
        <v>83.65</v>
      </c>
      <c r="E35" s="100">
        <v>9.3699999999999992</v>
      </c>
      <c r="F35" s="100">
        <v>3.81</v>
      </c>
      <c r="G35" s="100">
        <v>202.35</v>
      </c>
      <c r="H35" s="100">
        <v>62.63</v>
      </c>
      <c r="I35" s="100">
        <v>11.28</v>
      </c>
      <c r="J35" s="100">
        <v>0.63</v>
      </c>
      <c r="K35" s="100">
        <v>33.700000000000003</v>
      </c>
      <c r="L35" s="100">
        <v>26.29</v>
      </c>
      <c r="M35" s="100">
        <v>39.869999999999997</v>
      </c>
      <c r="N35" s="100">
        <v>75.400000000000006</v>
      </c>
      <c r="O35" s="100">
        <v>0</v>
      </c>
      <c r="P35" s="100">
        <v>1.2</v>
      </c>
      <c r="Q35" s="100">
        <v>6.97</v>
      </c>
    </row>
    <row r="36" spans="1:17" customFormat="1">
      <c r="A36" s="100" t="s">
        <v>1417</v>
      </c>
      <c r="B36" s="100">
        <v>57.2</v>
      </c>
      <c r="C36" s="100">
        <v>67.900000000000006</v>
      </c>
      <c r="D36" s="100">
        <v>82.7</v>
      </c>
      <c r="E36" s="100">
        <v>9.1</v>
      </c>
      <c r="F36" s="100">
        <v>4.0199999999999996</v>
      </c>
      <c r="G36" s="100">
        <v>202.35</v>
      </c>
      <c r="H36" s="100">
        <v>62.63</v>
      </c>
      <c r="I36" s="100">
        <v>11.5</v>
      </c>
      <c r="J36" s="100">
        <v>0.72</v>
      </c>
      <c r="K36" s="100">
        <v>42.9</v>
      </c>
      <c r="L36" s="100">
        <v>27.13</v>
      </c>
      <c r="M36" s="100">
        <v>36.659999999999997</v>
      </c>
      <c r="N36" s="100">
        <v>78.400000000000006</v>
      </c>
      <c r="O36" s="100">
        <v>0</v>
      </c>
      <c r="P36" s="100">
        <v>1.2</v>
      </c>
      <c r="Q36" s="100">
        <v>6.92</v>
      </c>
    </row>
    <row r="37" spans="1:17" customFormat="1">
      <c r="A37" s="100" t="s">
        <v>1418</v>
      </c>
      <c r="B37" s="100">
        <v>55.63</v>
      </c>
      <c r="C37" s="100">
        <v>66.75</v>
      </c>
      <c r="D37" s="100">
        <v>80.84</v>
      </c>
      <c r="E37" s="100">
        <v>9.6300000000000008</v>
      </c>
      <c r="F37" s="100">
        <v>4.43</v>
      </c>
      <c r="G37" s="100">
        <v>202.35</v>
      </c>
      <c r="H37" s="100">
        <v>62.63</v>
      </c>
      <c r="I37" s="100">
        <v>11.62</v>
      </c>
      <c r="J37" s="100">
        <v>0.64</v>
      </c>
      <c r="K37" s="100">
        <v>44.49</v>
      </c>
      <c r="L37" s="100">
        <v>27.76</v>
      </c>
      <c r="M37" s="100">
        <v>37.74</v>
      </c>
      <c r="N37" s="100">
        <v>81</v>
      </c>
      <c r="O37" s="100">
        <v>0</v>
      </c>
      <c r="P37" s="100">
        <v>1.18</v>
      </c>
      <c r="Q37" s="100">
        <v>6.87</v>
      </c>
    </row>
    <row r="38" spans="1:17" customFormat="1">
      <c r="A38" s="100" t="s">
        <v>1419</v>
      </c>
      <c r="B38" s="100">
        <v>54.34</v>
      </c>
      <c r="C38" s="100">
        <v>66.97</v>
      </c>
      <c r="D38" s="100">
        <v>79.92</v>
      </c>
      <c r="E38" s="100">
        <v>9.5399999999999991</v>
      </c>
      <c r="F38" s="100">
        <v>4.5199999999999996</v>
      </c>
      <c r="G38" s="100">
        <v>131.35</v>
      </c>
      <c r="H38" s="100">
        <v>57.96</v>
      </c>
      <c r="I38" s="100">
        <v>11.66</v>
      </c>
      <c r="J38" s="100">
        <v>0.77</v>
      </c>
      <c r="K38" s="100">
        <v>36.19</v>
      </c>
      <c r="L38" s="100">
        <v>28.31</v>
      </c>
      <c r="M38" s="100">
        <v>35.630000000000003</v>
      </c>
      <c r="N38" s="100">
        <v>84.4</v>
      </c>
      <c r="O38" s="100">
        <v>0</v>
      </c>
      <c r="P38" s="100">
        <v>1.18</v>
      </c>
      <c r="Q38" s="100">
        <v>6.83</v>
      </c>
    </row>
    <row r="39" spans="1:17" customFormat="1">
      <c r="A39" s="100" t="s">
        <v>1420</v>
      </c>
      <c r="B39" s="100">
        <v>53.16</v>
      </c>
      <c r="C39" s="100">
        <v>66.760000000000005</v>
      </c>
      <c r="D39" s="100">
        <v>78.87</v>
      </c>
      <c r="E39" s="100">
        <v>10.72</v>
      </c>
      <c r="F39" s="100">
        <v>5.47</v>
      </c>
      <c r="G39" s="100">
        <v>128.9</v>
      </c>
      <c r="H39" s="100">
        <v>57.96</v>
      </c>
      <c r="I39" s="100">
        <v>11.66</v>
      </c>
      <c r="J39" s="100">
        <v>0.83</v>
      </c>
      <c r="K39" s="100">
        <v>36.54</v>
      </c>
      <c r="L39" s="100">
        <v>29.15</v>
      </c>
      <c r="M39" s="100">
        <v>32.47</v>
      </c>
      <c r="N39" s="100">
        <v>99.6</v>
      </c>
      <c r="O39" s="100">
        <v>0</v>
      </c>
      <c r="P39" s="100">
        <v>1.1599999999999999</v>
      </c>
      <c r="Q39" s="100">
        <v>6.84</v>
      </c>
    </row>
    <row r="40" spans="1:17" customFormat="1">
      <c r="A40" s="100" t="s">
        <v>1421</v>
      </c>
      <c r="B40" s="100">
        <v>51.03</v>
      </c>
      <c r="C40" s="100">
        <v>68.58</v>
      </c>
      <c r="D40" s="100">
        <v>78.099999999999994</v>
      </c>
      <c r="E40" s="100">
        <v>10.14</v>
      </c>
      <c r="F40" s="100">
        <v>5.61</v>
      </c>
      <c r="G40" s="100">
        <v>128.9</v>
      </c>
      <c r="H40" s="100">
        <v>57.96</v>
      </c>
      <c r="I40" s="100">
        <v>11.57</v>
      </c>
      <c r="J40" s="100">
        <v>0.89</v>
      </c>
      <c r="K40" s="100">
        <v>46.82</v>
      </c>
      <c r="L40" s="100">
        <v>30.07</v>
      </c>
      <c r="M40" s="100">
        <v>29.61</v>
      </c>
      <c r="N40" s="100">
        <v>118</v>
      </c>
      <c r="O40" s="100">
        <v>0</v>
      </c>
      <c r="P40" s="100">
        <v>1.1599999999999999</v>
      </c>
      <c r="Q40" s="100">
        <v>6.76</v>
      </c>
    </row>
    <row r="41" spans="1:17" customFormat="1">
      <c r="A41" s="100" t="s">
        <v>1422</v>
      </c>
      <c r="B41" s="100">
        <v>48.12</v>
      </c>
      <c r="C41" s="100">
        <v>66.819999999999993</v>
      </c>
      <c r="D41" s="100">
        <v>74.849999999999994</v>
      </c>
      <c r="E41" s="100">
        <v>11.45</v>
      </c>
      <c r="F41" s="100">
        <v>7.1</v>
      </c>
      <c r="G41" s="100">
        <v>128.9</v>
      </c>
      <c r="H41" s="100">
        <v>57.96</v>
      </c>
      <c r="I41" s="100">
        <v>11.47</v>
      </c>
      <c r="J41" s="100">
        <v>1.04</v>
      </c>
      <c r="K41" s="100">
        <v>64.81</v>
      </c>
      <c r="L41" s="100">
        <v>30.67</v>
      </c>
      <c r="M41" s="100">
        <v>27.75</v>
      </c>
      <c r="N41" s="100">
        <v>133.9</v>
      </c>
      <c r="O41" s="100">
        <v>0</v>
      </c>
      <c r="P41" s="100">
        <v>1.1299999999999999</v>
      </c>
      <c r="Q41" s="100">
        <v>6.67</v>
      </c>
    </row>
    <row r="42" spans="1:17" customFormat="1">
      <c r="A42" s="100" t="s">
        <v>1423</v>
      </c>
      <c r="B42" s="100">
        <v>45.32</v>
      </c>
      <c r="C42" s="100">
        <v>67.78</v>
      </c>
      <c r="D42" s="100">
        <v>73.11</v>
      </c>
      <c r="E42" s="100">
        <v>11.18</v>
      </c>
      <c r="F42" s="100">
        <v>8.01</v>
      </c>
      <c r="G42" s="100">
        <v>94.75</v>
      </c>
      <c r="H42" s="100">
        <v>48.76</v>
      </c>
      <c r="I42" s="100">
        <v>11.31</v>
      </c>
      <c r="J42" s="100">
        <v>1.1499999999999999</v>
      </c>
      <c r="K42" s="100">
        <v>57.32</v>
      </c>
      <c r="L42" s="100">
        <v>31.29</v>
      </c>
      <c r="M42" s="100">
        <v>27.63</v>
      </c>
      <c r="N42" s="100">
        <v>143.4</v>
      </c>
      <c r="O42" s="100">
        <v>0</v>
      </c>
      <c r="P42" s="100">
        <v>1.1200000000000001</v>
      </c>
      <c r="Q42" s="100">
        <v>6.56</v>
      </c>
    </row>
    <row r="43" spans="1:17" customFormat="1">
      <c r="A43" s="100" t="s">
        <v>1424</v>
      </c>
      <c r="B43" s="100">
        <v>43.92</v>
      </c>
      <c r="C43" s="100">
        <v>65.930000000000007</v>
      </c>
      <c r="D43" s="100">
        <v>71.02</v>
      </c>
      <c r="E43" s="100">
        <v>12.09</v>
      </c>
      <c r="F43" s="100">
        <v>8.75</v>
      </c>
      <c r="G43" s="100">
        <v>93.57</v>
      </c>
      <c r="H43" s="100">
        <v>48.76</v>
      </c>
      <c r="I43" s="100">
        <v>11.04</v>
      </c>
      <c r="J43" s="100">
        <v>0.89</v>
      </c>
      <c r="K43" s="100">
        <v>58.55</v>
      </c>
      <c r="L43" s="100">
        <v>31.79</v>
      </c>
      <c r="M43" s="100">
        <v>27.86</v>
      </c>
      <c r="N43" s="100">
        <v>150.30000000000001</v>
      </c>
      <c r="O43" s="100">
        <v>0</v>
      </c>
      <c r="P43" s="100">
        <v>1.1100000000000001</v>
      </c>
      <c r="Q43" s="100">
        <v>6.51</v>
      </c>
    </row>
    <row r="44" spans="1:17" customFormat="1">
      <c r="A44" s="100" t="s">
        <v>1425</v>
      </c>
      <c r="B44" s="100">
        <v>41.31</v>
      </c>
      <c r="C44" s="100">
        <v>63.01</v>
      </c>
      <c r="D44" s="100">
        <v>67.400000000000006</v>
      </c>
      <c r="E44" s="100">
        <v>12.31</v>
      </c>
      <c r="F44" s="100">
        <v>11.67</v>
      </c>
      <c r="G44" s="100">
        <v>93.57</v>
      </c>
      <c r="H44" s="100">
        <v>48.76</v>
      </c>
      <c r="I44" s="100">
        <v>10.87</v>
      </c>
      <c r="J44" s="100">
        <v>1.23</v>
      </c>
      <c r="K44" s="100">
        <v>56.33</v>
      </c>
      <c r="L44" s="100">
        <v>32.090000000000003</v>
      </c>
      <c r="M44" s="100">
        <v>29.74</v>
      </c>
      <c r="N44" s="100">
        <v>156.5</v>
      </c>
      <c r="O44" s="100">
        <v>0</v>
      </c>
      <c r="P44" s="100">
        <v>1.08</v>
      </c>
      <c r="Q44" s="100">
        <v>6.32</v>
      </c>
    </row>
    <row r="45" spans="1:17" customFormat="1">
      <c r="A45" s="100" t="s">
        <v>1426</v>
      </c>
      <c r="B45" s="100">
        <v>37.53</v>
      </c>
      <c r="C45" s="100">
        <v>63.77</v>
      </c>
      <c r="D45" s="100">
        <v>64.77</v>
      </c>
      <c r="E45" s="100">
        <v>12.74</v>
      </c>
      <c r="F45" s="100">
        <v>14.59</v>
      </c>
      <c r="G45" s="100">
        <v>93.57</v>
      </c>
      <c r="H45" s="100">
        <v>48.76</v>
      </c>
      <c r="I45" s="100">
        <v>10.74</v>
      </c>
      <c r="J45" s="100">
        <v>0.99</v>
      </c>
      <c r="K45" s="100">
        <v>57.58</v>
      </c>
      <c r="L45" s="100">
        <v>32.450000000000003</v>
      </c>
      <c r="M45" s="100">
        <v>31.6</v>
      </c>
      <c r="N45" s="100">
        <v>181.2</v>
      </c>
      <c r="O45" s="100">
        <v>0</v>
      </c>
      <c r="P45" s="100">
        <v>1.05</v>
      </c>
      <c r="Q45" s="100">
        <v>6.18</v>
      </c>
    </row>
    <row r="46" spans="1:17" customFormat="1">
      <c r="A46" s="100" t="s">
        <v>1427</v>
      </c>
      <c r="B46" s="100">
        <v>33.46</v>
      </c>
      <c r="C46" s="100">
        <v>60.41</v>
      </c>
      <c r="D46" s="100">
        <v>59.75</v>
      </c>
      <c r="E46" s="100">
        <v>13.01</v>
      </c>
      <c r="F46" s="100">
        <v>17.670000000000002</v>
      </c>
      <c r="G46" s="100">
        <v>118.92</v>
      </c>
      <c r="H46" s="100">
        <v>47.22</v>
      </c>
      <c r="I46" s="100">
        <v>10.44</v>
      </c>
      <c r="J46" s="100">
        <v>0.81</v>
      </c>
      <c r="K46" s="100">
        <v>63.99</v>
      </c>
      <c r="L46" s="100">
        <v>32.96</v>
      </c>
      <c r="M46" s="100">
        <v>30.96</v>
      </c>
      <c r="N46" s="100">
        <v>214.1</v>
      </c>
      <c r="O46" s="100">
        <v>0</v>
      </c>
      <c r="P46" s="100">
        <v>1.02</v>
      </c>
      <c r="Q46" s="100">
        <v>6.03</v>
      </c>
    </row>
    <row r="47" spans="1:17" customFormat="1">
      <c r="A47" s="100" t="s">
        <v>1428</v>
      </c>
      <c r="B47" s="100">
        <v>31.41</v>
      </c>
      <c r="C47" s="100">
        <v>61.03</v>
      </c>
      <c r="D47" s="100">
        <v>58.43</v>
      </c>
      <c r="E47" s="100">
        <v>12.26</v>
      </c>
      <c r="F47" s="100">
        <v>16.489999999999998</v>
      </c>
      <c r="G47" s="100">
        <v>119.79</v>
      </c>
      <c r="H47" s="100">
        <v>47.22</v>
      </c>
      <c r="I47" s="100">
        <v>10.18</v>
      </c>
      <c r="J47" s="100">
        <v>0.86</v>
      </c>
      <c r="K47" s="100">
        <v>59.31</v>
      </c>
      <c r="L47" s="100">
        <v>33.08</v>
      </c>
      <c r="M47" s="100">
        <v>31.05</v>
      </c>
      <c r="N47" s="100">
        <v>188.5</v>
      </c>
      <c r="O47" s="100">
        <v>0</v>
      </c>
      <c r="P47" s="100">
        <v>1.01</v>
      </c>
      <c r="Q47" s="100">
        <v>5.85</v>
      </c>
    </row>
    <row r="48" spans="1:17" customFormat="1">
      <c r="A48" s="100" t="s">
        <v>1429</v>
      </c>
      <c r="B48" s="100">
        <v>29.84</v>
      </c>
      <c r="C48" s="100">
        <v>69.77</v>
      </c>
      <c r="D48" s="100">
        <v>61.73</v>
      </c>
      <c r="E48" s="100">
        <v>11.26</v>
      </c>
      <c r="F48" s="100">
        <v>13.24</v>
      </c>
      <c r="G48" s="100">
        <v>119.79</v>
      </c>
      <c r="H48" s="100">
        <v>47.22</v>
      </c>
      <c r="I48" s="100">
        <v>10.02</v>
      </c>
      <c r="J48" s="100">
        <v>1</v>
      </c>
      <c r="K48" s="100">
        <v>60.11</v>
      </c>
      <c r="L48" s="100">
        <v>33.869999999999997</v>
      </c>
      <c r="M48" s="100">
        <v>27.65</v>
      </c>
      <c r="N48" s="100">
        <v>256.2</v>
      </c>
      <c r="O48" s="100">
        <v>0</v>
      </c>
      <c r="P48" s="100">
        <v>1.04</v>
      </c>
      <c r="Q48" s="100">
        <v>5.85</v>
      </c>
    </row>
    <row r="49" spans="1:17" customFormat="1">
      <c r="A49" s="100" t="s">
        <v>1430</v>
      </c>
      <c r="B49" s="100">
        <v>25.03</v>
      </c>
      <c r="C49" s="100">
        <v>66.430000000000007</v>
      </c>
      <c r="D49" s="100">
        <v>56.14</v>
      </c>
      <c r="E49" s="100">
        <v>10.39</v>
      </c>
      <c r="F49" s="100">
        <v>22.53</v>
      </c>
      <c r="G49" s="100">
        <v>119.79</v>
      </c>
      <c r="H49" s="100">
        <v>47.22</v>
      </c>
      <c r="I49" s="100">
        <v>10</v>
      </c>
      <c r="J49" s="100">
        <v>0.89</v>
      </c>
      <c r="K49" s="100">
        <v>56.86</v>
      </c>
      <c r="L49" s="100">
        <v>34.78</v>
      </c>
      <c r="M49" s="100">
        <v>25.93</v>
      </c>
      <c r="N49" s="100">
        <v>232.5</v>
      </c>
      <c r="O49" s="100">
        <v>0</v>
      </c>
      <c r="P49" s="100">
        <v>1.01</v>
      </c>
      <c r="Q49" s="100">
        <v>5.81</v>
      </c>
    </row>
    <row r="50" spans="1:17" customFormat="1">
      <c r="A50" s="100" t="s">
        <v>1431</v>
      </c>
      <c r="B50" s="100">
        <v>12.87</v>
      </c>
      <c r="C50" s="100">
        <v>61.5</v>
      </c>
      <c r="D50" s="100">
        <v>43.81</v>
      </c>
      <c r="E50" s="135" t="s">
        <v>12</v>
      </c>
      <c r="F50" s="100">
        <v>38.86</v>
      </c>
      <c r="G50" s="135" t="s">
        <v>12</v>
      </c>
      <c r="H50" s="135" t="s">
        <v>12</v>
      </c>
      <c r="I50" s="100">
        <v>9.94</v>
      </c>
      <c r="J50" s="100">
        <v>0.61</v>
      </c>
      <c r="K50" s="100">
        <v>72.599999999999994</v>
      </c>
      <c r="L50" s="100">
        <v>34.93</v>
      </c>
      <c r="M50" s="100">
        <v>25.98</v>
      </c>
      <c r="N50" s="100">
        <v>233.5</v>
      </c>
      <c r="O50" s="100">
        <v>0</v>
      </c>
      <c r="P50" s="100">
        <v>0.91</v>
      </c>
      <c r="Q50" s="100">
        <v>5.5</v>
      </c>
    </row>
    <row r="51" spans="1:17" customFormat="1">
      <c r="A51" s="100" t="s">
        <v>1432</v>
      </c>
      <c r="B51" s="100">
        <v>8.07</v>
      </c>
      <c r="C51" s="100">
        <v>59.58</v>
      </c>
      <c r="D51" s="100">
        <v>38.950000000000003</v>
      </c>
      <c r="E51" s="135" t="s">
        <v>12</v>
      </c>
      <c r="F51" s="100">
        <v>44.69</v>
      </c>
      <c r="G51" s="135" t="s">
        <v>12</v>
      </c>
      <c r="H51" s="135" t="s">
        <v>12</v>
      </c>
      <c r="I51" s="100">
        <v>9.24</v>
      </c>
      <c r="J51" s="100">
        <v>0.74</v>
      </c>
      <c r="K51" s="100">
        <v>62.66</v>
      </c>
      <c r="L51" s="100">
        <v>35.770000000000003</v>
      </c>
      <c r="M51" s="100">
        <v>25.54</v>
      </c>
      <c r="N51" s="100">
        <v>367.8</v>
      </c>
      <c r="O51" s="100">
        <v>0</v>
      </c>
      <c r="P51" s="100">
        <v>0.85</v>
      </c>
      <c r="Q51" s="100">
        <v>5.0599999999999996</v>
      </c>
    </row>
    <row r="52" spans="1:17" customFormat="1">
      <c r="A52" s="100" t="s">
        <v>1433</v>
      </c>
      <c r="B52" s="100">
        <v>5.43</v>
      </c>
      <c r="C52" s="100">
        <v>52.04</v>
      </c>
      <c r="D52" s="100">
        <v>32.89</v>
      </c>
      <c r="E52" s="135" t="s">
        <v>12</v>
      </c>
      <c r="F52" s="100">
        <v>46.94</v>
      </c>
      <c r="G52" s="135" t="s">
        <v>12</v>
      </c>
      <c r="H52" s="135" t="s">
        <v>12</v>
      </c>
      <c r="I52" s="100">
        <v>8.19</v>
      </c>
      <c r="J52" s="100">
        <v>0.67</v>
      </c>
      <c r="K52" s="100">
        <v>47.43</v>
      </c>
      <c r="L52" s="100">
        <v>36.58</v>
      </c>
      <c r="M52" s="100">
        <v>24.59</v>
      </c>
      <c r="N52" s="100">
        <v>678.5</v>
      </c>
      <c r="O52" s="100">
        <v>0</v>
      </c>
      <c r="P52" s="100">
        <v>0.81</v>
      </c>
      <c r="Q52" s="100">
        <v>4.7300000000000004</v>
      </c>
    </row>
    <row r="53" spans="1:17" customFormat="1">
      <c r="A53" s="100" t="s">
        <v>1434</v>
      </c>
      <c r="B53" s="100">
        <v>5.87</v>
      </c>
      <c r="C53" s="100">
        <v>47.55</v>
      </c>
      <c r="D53" s="100">
        <v>30.9</v>
      </c>
      <c r="E53" s="135" t="s">
        <v>12</v>
      </c>
      <c r="F53" s="100">
        <v>70.599999999999994</v>
      </c>
      <c r="G53" s="135" t="s">
        <v>12</v>
      </c>
      <c r="H53" s="135" t="s">
        <v>12</v>
      </c>
      <c r="I53" s="100">
        <v>8.11</v>
      </c>
      <c r="J53" s="100">
        <v>0.47</v>
      </c>
      <c r="K53" s="100">
        <v>36</v>
      </c>
      <c r="L53" s="100">
        <v>36.26</v>
      </c>
      <c r="M53" s="100">
        <v>23.99</v>
      </c>
      <c r="N53" s="100">
        <v>624.70000000000005</v>
      </c>
      <c r="O53" s="100">
        <v>0</v>
      </c>
      <c r="P53" s="100">
        <v>0.73</v>
      </c>
      <c r="Q53" s="100">
        <v>4.58</v>
      </c>
    </row>
    <row r="54" spans="1:17" customFormat="1">
      <c r="A54" s="100" t="s">
        <v>1435</v>
      </c>
      <c r="B54" s="100">
        <v>6.09</v>
      </c>
      <c r="C54" s="100">
        <v>47.01</v>
      </c>
      <c r="D54" s="100">
        <v>30.8</v>
      </c>
      <c r="E54" s="135" t="s">
        <v>12</v>
      </c>
      <c r="F54" s="100">
        <v>58.83</v>
      </c>
      <c r="G54" s="135" t="s">
        <v>12</v>
      </c>
      <c r="H54" s="135" t="s">
        <v>12</v>
      </c>
      <c r="I54" s="100">
        <v>10.119999999999999</v>
      </c>
      <c r="J54" s="100">
        <v>0.87</v>
      </c>
      <c r="K54" s="100">
        <v>60.66</v>
      </c>
      <c r="L54" s="100">
        <v>36.99</v>
      </c>
      <c r="M54" s="100">
        <v>23.43</v>
      </c>
      <c r="N54" s="100">
        <v>754.9</v>
      </c>
      <c r="O54" s="100">
        <v>0</v>
      </c>
      <c r="P54" s="100">
        <v>0.73</v>
      </c>
      <c r="Q54" s="100">
        <v>4.53</v>
      </c>
    </row>
    <row r="55" spans="1:17" customFormat="1">
      <c r="A55" s="100" t="s">
        <v>1436</v>
      </c>
      <c r="B55" s="100">
        <v>4.66</v>
      </c>
      <c r="C55" s="100">
        <v>40.78</v>
      </c>
      <c r="D55" s="100">
        <v>26.39</v>
      </c>
      <c r="E55" s="135" t="s">
        <v>12</v>
      </c>
      <c r="F55" s="100">
        <v>93.99</v>
      </c>
      <c r="G55" s="135" t="s">
        <v>12</v>
      </c>
      <c r="H55" s="135" t="s">
        <v>12</v>
      </c>
      <c r="I55" s="100">
        <v>13.97</v>
      </c>
      <c r="J55" s="100">
        <v>0.41</v>
      </c>
      <c r="K55" s="100">
        <v>330.16</v>
      </c>
      <c r="L55" s="100">
        <v>37.42</v>
      </c>
      <c r="M55" s="100">
        <v>21.8</v>
      </c>
      <c r="N55" s="100">
        <v>771.4</v>
      </c>
      <c r="O55" s="100">
        <v>0</v>
      </c>
      <c r="P55" s="100">
        <v>0.66</v>
      </c>
      <c r="Q55" s="100">
        <v>4.4400000000000004</v>
      </c>
    </row>
    <row r="56" spans="1:17" customFormat="1">
      <c r="A56" s="100" t="s">
        <v>1437</v>
      </c>
      <c r="B56" s="100">
        <v>4.1500000000000004</v>
      </c>
      <c r="C56" s="100">
        <v>36.619999999999997</v>
      </c>
      <c r="D56" s="100">
        <v>23.81</v>
      </c>
      <c r="E56" s="135" t="s">
        <v>12</v>
      </c>
      <c r="F56" s="100">
        <v>92.63</v>
      </c>
      <c r="G56" s="135" t="s">
        <v>12</v>
      </c>
      <c r="H56" s="135" t="s">
        <v>12</v>
      </c>
      <c r="I56" s="100">
        <v>17.899999999999999</v>
      </c>
      <c r="J56" s="100">
        <v>0.23</v>
      </c>
      <c r="K56" s="100">
        <v>309.22000000000003</v>
      </c>
      <c r="L56" s="100">
        <v>37.479999999999997</v>
      </c>
      <c r="M56" s="100">
        <v>20.5</v>
      </c>
      <c r="N56" s="100">
        <v>652.1</v>
      </c>
      <c r="O56" s="100">
        <v>0</v>
      </c>
      <c r="P56" s="100">
        <v>0.62</v>
      </c>
      <c r="Q56" s="100">
        <v>4.34</v>
      </c>
    </row>
    <row r="57" spans="1:17" customFormat="1">
      <c r="A57" s="100" t="s">
        <v>1438</v>
      </c>
      <c r="B57" s="135" t="s">
        <v>12</v>
      </c>
      <c r="C57" s="135" t="s">
        <v>12</v>
      </c>
      <c r="D57" s="135" t="s">
        <v>12</v>
      </c>
      <c r="E57" s="100">
        <v>29.48</v>
      </c>
      <c r="F57" s="100">
        <v>99.82</v>
      </c>
      <c r="G57" s="100">
        <v>93.39</v>
      </c>
      <c r="H57" s="100">
        <v>15.66</v>
      </c>
      <c r="I57" s="100">
        <v>20.81</v>
      </c>
      <c r="J57" s="100">
        <v>0.19</v>
      </c>
      <c r="K57" s="100">
        <v>170.52</v>
      </c>
      <c r="L57" s="100">
        <v>38.14</v>
      </c>
      <c r="M57" s="100">
        <v>20.3</v>
      </c>
      <c r="N57" s="100">
        <v>774.1</v>
      </c>
      <c r="O57" s="100">
        <v>0</v>
      </c>
      <c r="P57" s="100">
        <v>0.59</v>
      </c>
      <c r="Q57" s="100">
        <v>4.43</v>
      </c>
    </row>
    <row r="58" spans="1:17" customFormat="1">
      <c r="A58" s="100" t="s">
        <v>1439</v>
      </c>
      <c r="B58" s="135" t="s">
        <v>12</v>
      </c>
      <c r="C58" s="135" t="s">
        <v>12</v>
      </c>
      <c r="D58" s="135" t="s">
        <v>12</v>
      </c>
      <c r="E58" s="100">
        <v>33.06</v>
      </c>
      <c r="F58" s="100">
        <v>89.51</v>
      </c>
      <c r="G58" s="100">
        <v>93.39</v>
      </c>
      <c r="H58" s="100">
        <v>15.66</v>
      </c>
      <c r="I58" s="100">
        <v>19.29</v>
      </c>
      <c r="J58" s="100">
        <v>0.37</v>
      </c>
      <c r="K58" s="100">
        <v>44.69</v>
      </c>
      <c r="L58" s="100">
        <v>38.770000000000003</v>
      </c>
      <c r="M58" s="100">
        <v>19.03</v>
      </c>
      <c r="N58" s="100">
        <v>764.3</v>
      </c>
      <c r="O58" s="100">
        <v>0</v>
      </c>
      <c r="P58" s="100">
        <v>0.57999999999999996</v>
      </c>
      <c r="Q58" s="100">
        <v>4.33</v>
      </c>
    </row>
    <row r="59" spans="1:17" customFormat="1">
      <c r="A59" s="100" t="s">
        <v>1440</v>
      </c>
      <c r="B59" s="135" t="s">
        <v>12</v>
      </c>
      <c r="C59" s="135" t="s">
        <v>12</v>
      </c>
      <c r="D59" s="135" t="s">
        <v>12</v>
      </c>
      <c r="E59" s="100">
        <v>25.8</v>
      </c>
      <c r="F59" s="100">
        <v>76.16</v>
      </c>
      <c r="G59" s="100">
        <v>93.39</v>
      </c>
      <c r="H59" s="100">
        <v>15.66</v>
      </c>
      <c r="I59" s="100">
        <v>14.69</v>
      </c>
      <c r="J59" s="100">
        <v>0.85</v>
      </c>
      <c r="K59" s="100">
        <v>51.47</v>
      </c>
      <c r="L59" s="100">
        <v>38.799999999999997</v>
      </c>
      <c r="M59" s="100">
        <v>17.100000000000001</v>
      </c>
      <c r="N59" s="100">
        <v>687.8</v>
      </c>
      <c r="O59" s="100">
        <v>0</v>
      </c>
      <c r="P59" s="100">
        <v>0.56000000000000005</v>
      </c>
      <c r="Q59" s="100">
        <v>4.32</v>
      </c>
    </row>
    <row r="60" spans="1:17" customFormat="1">
      <c r="A60" s="100" t="s">
        <v>1441</v>
      </c>
      <c r="B60" s="135" t="s">
        <v>12</v>
      </c>
      <c r="C60" s="135" t="s">
        <v>12</v>
      </c>
      <c r="D60" s="135" t="s">
        <v>12</v>
      </c>
      <c r="E60" s="100">
        <v>41.94</v>
      </c>
      <c r="F60" s="100">
        <v>82.49</v>
      </c>
      <c r="G60" s="100">
        <v>93.39</v>
      </c>
      <c r="H60" s="100">
        <v>15.66</v>
      </c>
      <c r="I60" s="100">
        <v>16.73</v>
      </c>
      <c r="J60" s="100">
        <v>0.44</v>
      </c>
      <c r="K60" s="100">
        <v>22.38</v>
      </c>
      <c r="L60" s="100">
        <v>38.92</v>
      </c>
      <c r="M60" s="100">
        <v>17.21</v>
      </c>
      <c r="N60" s="100">
        <v>658.7</v>
      </c>
      <c r="O60" s="100">
        <v>0</v>
      </c>
      <c r="P60" s="100">
        <v>0.53</v>
      </c>
      <c r="Q60" s="100">
        <v>4.3099999999999996</v>
      </c>
    </row>
    <row r="61" spans="1:17" customFormat="1">
      <c r="A61" s="100" t="s">
        <v>1442</v>
      </c>
      <c r="B61" s="135" t="s">
        <v>12</v>
      </c>
      <c r="C61" s="135" t="s">
        <v>12</v>
      </c>
      <c r="D61" s="135" t="s">
        <v>12</v>
      </c>
      <c r="E61" s="100">
        <v>37.99</v>
      </c>
      <c r="F61" s="100">
        <v>82.21</v>
      </c>
      <c r="G61" s="100">
        <v>83.23</v>
      </c>
      <c r="H61" s="100">
        <v>19.23</v>
      </c>
      <c r="I61" s="100">
        <v>22.2</v>
      </c>
      <c r="J61" s="100">
        <v>1.02</v>
      </c>
      <c r="K61" s="100">
        <v>35.630000000000003</v>
      </c>
      <c r="L61" s="100">
        <v>39.020000000000003</v>
      </c>
      <c r="M61" s="100">
        <v>15.65</v>
      </c>
      <c r="N61" s="100">
        <v>756.2</v>
      </c>
      <c r="O61" s="100">
        <v>0</v>
      </c>
      <c r="P61" s="100">
        <v>0.52</v>
      </c>
      <c r="Q61" s="100">
        <v>4.21</v>
      </c>
    </row>
    <row r="62" spans="1:17" customFormat="1">
      <c r="A62" s="100" t="s">
        <v>1443</v>
      </c>
      <c r="B62" s="100">
        <v>3.86</v>
      </c>
      <c r="C62" s="100">
        <v>42.57</v>
      </c>
      <c r="D62" s="100">
        <v>24.29</v>
      </c>
      <c r="E62" s="100">
        <v>35.5</v>
      </c>
      <c r="F62" s="100">
        <v>90.04</v>
      </c>
      <c r="G62" s="100">
        <v>82.76</v>
      </c>
      <c r="H62" s="100">
        <v>19.23</v>
      </c>
      <c r="I62" s="100">
        <v>20.89</v>
      </c>
      <c r="J62" s="100">
        <v>0.9</v>
      </c>
      <c r="K62" s="100">
        <v>30.55</v>
      </c>
      <c r="L62" s="100">
        <v>39.130000000000003</v>
      </c>
      <c r="M62" s="100">
        <v>15.99</v>
      </c>
      <c r="N62" s="100">
        <v>673.2</v>
      </c>
      <c r="O62" s="100">
        <v>0</v>
      </c>
      <c r="P62" s="100">
        <v>0.52</v>
      </c>
      <c r="Q62" s="100">
        <v>4.12</v>
      </c>
    </row>
    <row r="63" spans="1:17" customFormat="1">
      <c r="A63" s="100" t="s">
        <v>1444</v>
      </c>
      <c r="B63" s="100">
        <v>3.42</v>
      </c>
      <c r="C63" s="100">
        <v>45.41</v>
      </c>
      <c r="D63" s="100">
        <v>25.42</v>
      </c>
      <c r="E63" s="100">
        <v>42.79</v>
      </c>
      <c r="F63" s="100">
        <v>79.819999999999993</v>
      </c>
      <c r="G63" s="100">
        <v>82.76</v>
      </c>
      <c r="H63" s="100">
        <v>19.23</v>
      </c>
      <c r="I63" s="100">
        <v>16.190000000000001</v>
      </c>
      <c r="J63" s="100">
        <v>0.89</v>
      </c>
      <c r="K63" s="100">
        <v>317.92</v>
      </c>
      <c r="L63" s="100">
        <v>39.49</v>
      </c>
      <c r="M63" s="100">
        <v>16.55</v>
      </c>
      <c r="N63" s="100">
        <v>655.29999999999995</v>
      </c>
      <c r="O63" s="100">
        <v>0</v>
      </c>
      <c r="P63" s="100">
        <v>0.55000000000000004</v>
      </c>
      <c r="Q63" s="100">
        <v>4.13</v>
      </c>
    </row>
    <row r="64" spans="1:17" customFormat="1">
      <c r="A64" s="100" t="s">
        <v>1445</v>
      </c>
      <c r="B64" s="100">
        <v>2.3199999999999998</v>
      </c>
      <c r="C64" s="100">
        <v>43.07</v>
      </c>
      <c r="D64" s="100">
        <v>23.32</v>
      </c>
      <c r="E64" s="100">
        <v>22</v>
      </c>
      <c r="F64" s="100">
        <v>51.65</v>
      </c>
      <c r="G64" s="100">
        <v>82.76</v>
      </c>
      <c r="H64" s="100">
        <v>19.23</v>
      </c>
      <c r="I64" s="100">
        <v>12.81</v>
      </c>
      <c r="J64" s="100">
        <v>0.89</v>
      </c>
      <c r="K64" s="100">
        <v>344.89</v>
      </c>
      <c r="L64" s="100">
        <v>39.26</v>
      </c>
      <c r="M64" s="100">
        <v>15.05</v>
      </c>
      <c r="N64" s="100">
        <v>660.1</v>
      </c>
      <c r="O64" s="100">
        <v>0</v>
      </c>
      <c r="P64" s="100">
        <v>0.54</v>
      </c>
      <c r="Q64" s="100">
        <v>4.13</v>
      </c>
    </row>
    <row r="65" spans="1:17" customFormat="1">
      <c r="A65" s="100" t="s">
        <v>1446</v>
      </c>
      <c r="B65" s="100">
        <v>3.34</v>
      </c>
      <c r="C65" s="100">
        <v>46.42</v>
      </c>
      <c r="D65" s="100">
        <v>25.89</v>
      </c>
      <c r="E65" s="100">
        <v>23.45</v>
      </c>
      <c r="F65" s="100">
        <v>40.72</v>
      </c>
      <c r="G65" s="100">
        <v>79.930000000000007</v>
      </c>
      <c r="H65" s="100">
        <v>20.54</v>
      </c>
      <c r="I65" s="100">
        <v>11.05</v>
      </c>
      <c r="J65" s="100">
        <v>0.78</v>
      </c>
      <c r="K65" s="100">
        <v>29.33</v>
      </c>
      <c r="L65" s="100">
        <v>39.6</v>
      </c>
      <c r="M65" s="100">
        <v>14.65</v>
      </c>
      <c r="N65" s="100">
        <v>627.29999999999995</v>
      </c>
      <c r="O65" s="100">
        <v>0</v>
      </c>
      <c r="P65" s="100">
        <v>0.52</v>
      </c>
      <c r="Q65" s="100">
        <v>4.17</v>
      </c>
    </row>
    <row r="66" spans="1:17" customFormat="1">
      <c r="A66" s="100" t="s">
        <v>1447</v>
      </c>
      <c r="B66" s="100">
        <v>3.54</v>
      </c>
      <c r="C66" s="100">
        <v>49.27</v>
      </c>
      <c r="D66" s="100">
        <v>27.54</v>
      </c>
      <c r="E66" s="100">
        <v>15.98</v>
      </c>
      <c r="F66" s="100">
        <v>37.049999999999997</v>
      </c>
      <c r="G66" s="100">
        <v>79.8</v>
      </c>
      <c r="H66" s="100">
        <v>20.54</v>
      </c>
      <c r="I66" s="100">
        <v>11.81</v>
      </c>
      <c r="J66" s="100">
        <v>1.44</v>
      </c>
      <c r="K66" s="100">
        <v>38.07</v>
      </c>
      <c r="L66" s="100">
        <v>39.26</v>
      </c>
      <c r="M66" s="100">
        <v>13.71</v>
      </c>
      <c r="N66" s="100">
        <v>653.4</v>
      </c>
      <c r="O66" s="100">
        <v>0</v>
      </c>
      <c r="P66" s="100">
        <v>0.54</v>
      </c>
      <c r="Q66" s="100">
        <v>4.2</v>
      </c>
    </row>
    <row r="67" spans="1:17" customFormat="1">
      <c r="A67" s="100" t="s">
        <v>1448</v>
      </c>
      <c r="B67" s="100">
        <v>3.78</v>
      </c>
      <c r="C67" s="100">
        <v>48.31</v>
      </c>
      <c r="D67" s="100">
        <v>27.23</v>
      </c>
      <c r="E67" s="100">
        <v>9.06</v>
      </c>
      <c r="F67" s="100">
        <v>28.59</v>
      </c>
      <c r="G67" s="100">
        <v>79.8</v>
      </c>
      <c r="H67" s="100">
        <v>20.54</v>
      </c>
      <c r="I67" s="100">
        <v>11.33</v>
      </c>
      <c r="J67" s="100">
        <v>1.91</v>
      </c>
      <c r="K67" s="100">
        <v>41.32</v>
      </c>
      <c r="L67" s="100">
        <v>39.29</v>
      </c>
      <c r="M67" s="100">
        <v>10.96</v>
      </c>
      <c r="N67" s="100">
        <v>620.29999999999995</v>
      </c>
      <c r="O67" s="100">
        <v>0</v>
      </c>
      <c r="P67" s="100">
        <v>0.52</v>
      </c>
      <c r="Q67" s="100">
        <v>4.26</v>
      </c>
    </row>
    <row r="68" spans="1:17" customFormat="1">
      <c r="A68" s="100" t="s">
        <v>1449</v>
      </c>
      <c r="B68" s="100">
        <v>4.17</v>
      </c>
      <c r="C68" s="100">
        <v>49.65</v>
      </c>
      <c r="D68" s="100">
        <v>28.24</v>
      </c>
      <c r="E68" s="100">
        <v>10.36</v>
      </c>
      <c r="F68" s="100">
        <v>39.909999999999997</v>
      </c>
      <c r="G68" s="100">
        <v>79.8</v>
      </c>
      <c r="H68" s="100">
        <v>20.54</v>
      </c>
      <c r="I68" s="100">
        <v>11.44</v>
      </c>
      <c r="J68" s="100">
        <v>1.26</v>
      </c>
      <c r="K68" s="100">
        <v>34.67</v>
      </c>
      <c r="L68" s="100">
        <v>39.53</v>
      </c>
      <c r="M68" s="100">
        <v>12.36</v>
      </c>
      <c r="N68" s="100">
        <v>591.6</v>
      </c>
      <c r="O68" s="100">
        <v>0</v>
      </c>
      <c r="P68" s="100">
        <v>0.52</v>
      </c>
      <c r="Q68" s="100">
        <v>4.29</v>
      </c>
    </row>
    <row r="69" spans="1:17" customFormat="1">
      <c r="A69" s="100" t="s">
        <v>1450</v>
      </c>
      <c r="B69" s="100">
        <v>4.16</v>
      </c>
      <c r="C69" s="100">
        <v>49.44</v>
      </c>
      <c r="D69" s="100">
        <v>28.13</v>
      </c>
      <c r="E69" s="100">
        <v>11.76</v>
      </c>
      <c r="F69" s="100">
        <v>37.53</v>
      </c>
      <c r="G69" s="100">
        <v>73.260000000000005</v>
      </c>
      <c r="H69" s="100">
        <v>22.58</v>
      </c>
      <c r="I69" s="100">
        <v>11.08</v>
      </c>
      <c r="J69" s="100">
        <v>0.72</v>
      </c>
      <c r="K69" s="100">
        <v>4.58</v>
      </c>
      <c r="L69" s="100">
        <v>39.51</v>
      </c>
      <c r="M69" s="100">
        <v>12.98</v>
      </c>
      <c r="N69" s="100">
        <v>511.5</v>
      </c>
      <c r="O69" s="100">
        <v>0</v>
      </c>
      <c r="P69" s="100">
        <v>0.53</v>
      </c>
      <c r="Q69" s="100">
        <v>4.33</v>
      </c>
    </row>
    <row r="70" spans="1:17" customFormat="1">
      <c r="A70" s="100" t="s">
        <v>1451</v>
      </c>
      <c r="B70" s="100">
        <v>3.98</v>
      </c>
      <c r="C70" s="100">
        <v>46.89</v>
      </c>
      <c r="D70" s="100">
        <v>26.64</v>
      </c>
      <c r="E70" s="100">
        <v>16.57</v>
      </c>
      <c r="F70" s="100">
        <v>46.14</v>
      </c>
      <c r="G70" s="100">
        <v>72.95</v>
      </c>
      <c r="H70" s="100">
        <v>22.58</v>
      </c>
      <c r="I70" s="100">
        <v>10.6</v>
      </c>
      <c r="J70" s="100">
        <v>1.35</v>
      </c>
      <c r="K70" s="100">
        <v>46.42</v>
      </c>
      <c r="L70" s="100">
        <v>39.43</v>
      </c>
      <c r="M70" s="100">
        <v>13.12</v>
      </c>
      <c r="N70" s="100">
        <v>506.1</v>
      </c>
      <c r="O70" s="100">
        <v>0</v>
      </c>
      <c r="P70" s="100">
        <v>0.52</v>
      </c>
      <c r="Q70" s="100">
        <v>4.3499999999999996</v>
      </c>
    </row>
    <row r="71" spans="1:17" customFormat="1">
      <c r="A71" s="100" t="s">
        <v>1452</v>
      </c>
      <c r="B71" s="100">
        <v>3.02</v>
      </c>
      <c r="C71" s="100">
        <v>42.35</v>
      </c>
      <c r="D71" s="100">
        <v>23.5</v>
      </c>
      <c r="E71" s="100">
        <v>21.34</v>
      </c>
      <c r="F71" s="100">
        <v>71.67</v>
      </c>
      <c r="G71" s="100">
        <v>72.95</v>
      </c>
      <c r="H71" s="100">
        <v>22.58</v>
      </c>
      <c r="I71" s="100">
        <v>10.42</v>
      </c>
      <c r="J71" s="100">
        <v>1.17</v>
      </c>
      <c r="K71" s="100">
        <v>25.22</v>
      </c>
      <c r="L71" s="100">
        <v>39.31</v>
      </c>
      <c r="M71" s="100">
        <v>13.2</v>
      </c>
      <c r="N71" s="100">
        <v>408.8</v>
      </c>
      <c r="O71" s="100">
        <v>0</v>
      </c>
      <c r="P71" s="100">
        <v>0.49</v>
      </c>
      <c r="Q71" s="100">
        <v>4.22</v>
      </c>
    </row>
    <row r="72" spans="1:17" customFormat="1">
      <c r="A72" s="100" t="s">
        <v>1453</v>
      </c>
      <c r="B72" s="100">
        <v>2.97</v>
      </c>
      <c r="C72" s="100">
        <v>44.92</v>
      </c>
      <c r="D72" s="100">
        <v>24.8</v>
      </c>
      <c r="E72" s="100">
        <v>30.46</v>
      </c>
      <c r="F72" s="100">
        <v>89.16</v>
      </c>
      <c r="G72" s="100">
        <v>72.95</v>
      </c>
      <c r="H72" s="100">
        <v>22.58</v>
      </c>
      <c r="I72" s="100">
        <v>8.99</v>
      </c>
      <c r="J72" s="100">
        <v>0.99</v>
      </c>
      <c r="K72" s="100">
        <v>40.090000000000003</v>
      </c>
      <c r="L72" s="100">
        <v>39.08</v>
      </c>
      <c r="M72" s="100">
        <v>13.88</v>
      </c>
      <c r="N72" s="100">
        <v>385.1</v>
      </c>
      <c r="O72" s="100">
        <v>0</v>
      </c>
      <c r="P72" s="100">
        <v>0.52</v>
      </c>
      <c r="Q72" s="100">
        <v>4.1500000000000004</v>
      </c>
    </row>
    <row r="73" spans="1:17" customFormat="1">
      <c r="A73" s="100" t="s">
        <v>1454</v>
      </c>
      <c r="B73" s="100">
        <v>2.64</v>
      </c>
      <c r="C73" s="100">
        <v>45.5</v>
      </c>
      <c r="D73" s="100">
        <v>24.85</v>
      </c>
      <c r="E73" s="100">
        <v>31.28</v>
      </c>
      <c r="F73" s="100">
        <v>85.05</v>
      </c>
      <c r="G73" s="100">
        <v>72.319999999999993</v>
      </c>
      <c r="H73" s="100">
        <v>19.579999999999998</v>
      </c>
      <c r="I73" s="100">
        <v>6.75</v>
      </c>
      <c r="J73" s="100">
        <v>0.45</v>
      </c>
      <c r="K73" s="100">
        <v>331.3</v>
      </c>
      <c r="L73" s="100">
        <v>39.380000000000003</v>
      </c>
      <c r="M73" s="100">
        <v>14.38</v>
      </c>
      <c r="N73" s="100">
        <v>343.8</v>
      </c>
      <c r="O73" s="100">
        <v>0</v>
      </c>
      <c r="P73" s="100">
        <v>0.53</v>
      </c>
      <c r="Q73" s="100">
        <v>4.17</v>
      </c>
    </row>
    <row r="74" spans="1:17" customFormat="1">
      <c r="A74" s="100" t="s">
        <v>1455</v>
      </c>
      <c r="B74" s="100">
        <v>3.62</v>
      </c>
      <c r="C74" s="100">
        <v>50.19</v>
      </c>
      <c r="D74" s="100">
        <v>28.08</v>
      </c>
      <c r="E74" s="100">
        <v>23.59</v>
      </c>
      <c r="F74" s="100">
        <v>49.03</v>
      </c>
      <c r="G74" s="100">
        <v>72.290000000000006</v>
      </c>
      <c r="H74" s="100">
        <v>19.579999999999998</v>
      </c>
      <c r="I74" s="100">
        <v>5.5</v>
      </c>
      <c r="J74" s="100">
        <v>0.48</v>
      </c>
      <c r="K74" s="100">
        <v>338.6</v>
      </c>
      <c r="L74" s="100">
        <v>39.299999999999997</v>
      </c>
      <c r="M74" s="100">
        <v>14.79</v>
      </c>
      <c r="N74" s="100">
        <v>313.89999999999998</v>
      </c>
      <c r="O74" s="100">
        <v>0</v>
      </c>
      <c r="P74" s="100">
        <v>0.54</v>
      </c>
      <c r="Q74" s="100">
        <v>4.18</v>
      </c>
    </row>
    <row r="75" spans="1:17" customFormat="1">
      <c r="A75" s="100" t="s">
        <v>1456</v>
      </c>
      <c r="B75" s="100">
        <v>4.17</v>
      </c>
      <c r="C75" s="100">
        <v>51.83</v>
      </c>
      <c r="D75" s="100">
        <v>29.38</v>
      </c>
      <c r="E75" s="100">
        <v>34.44</v>
      </c>
      <c r="F75" s="100">
        <v>76.459999999999994</v>
      </c>
      <c r="G75" s="100">
        <v>72.290000000000006</v>
      </c>
      <c r="H75" s="100">
        <v>19.579999999999998</v>
      </c>
      <c r="I75" s="100">
        <v>4.83</v>
      </c>
      <c r="J75" s="100">
        <v>0.61</v>
      </c>
      <c r="K75" s="100">
        <v>49.52</v>
      </c>
      <c r="L75" s="100">
        <v>39.29</v>
      </c>
      <c r="M75" s="100">
        <v>15.37</v>
      </c>
      <c r="N75" s="100">
        <v>227.4</v>
      </c>
      <c r="O75" s="100">
        <v>0</v>
      </c>
      <c r="P75" s="100">
        <v>0.57999999999999996</v>
      </c>
      <c r="Q75" s="100">
        <v>4.24</v>
      </c>
    </row>
    <row r="76" spans="1:17" customFormat="1">
      <c r="A76" s="100" t="s">
        <v>1457</v>
      </c>
      <c r="B76" s="100">
        <v>2.82</v>
      </c>
      <c r="C76" s="100">
        <v>45.89</v>
      </c>
      <c r="D76" s="100">
        <v>25.2</v>
      </c>
      <c r="E76" s="100">
        <v>47.86</v>
      </c>
      <c r="F76" s="100">
        <v>107.65</v>
      </c>
      <c r="G76" s="100">
        <v>72.290000000000006</v>
      </c>
      <c r="H76" s="100">
        <v>19.579999999999998</v>
      </c>
      <c r="I76" s="100">
        <v>4.99</v>
      </c>
      <c r="J76" s="100">
        <v>0.34</v>
      </c>
      <c r="K76" s="100">
        <v>8.76</v>
      </c>
      <c r="L76" s="100">
        <v>38.76</v>
      </c>
      <c r="M76" s="100">
        <v>15.1</v>
      </c>
      <c r="N76" s="100">
        <v>126.6</v>
      </c>
      <c r="O76" s="100">
        <v>0</v>
      </c>
      <c r="P76" s="100">
        <v>0.62</v>
      </c>
      <c r="Q76" s="100">
        <v>4.26</v>
      </c>
    </row>
    <row r="77" spans="1:17" customFormat="1">
      <c r="A77" s="100" t="s">
        <v>1458</v>
      </c>
      <c r="B77" s="100">
        <v>6.13</v>
      </c>
      <c r="C77" s="100">
        <v>67.28</v>
      </c>
      <c r="D77" s="100">
        <v>39.03</v>
      </c>
      <c r="E77" s="100">
        <v>44.95</v>
      </c>
      <c r="F77" s="100">
        <v>68.77</v>
      </c>
      <c r="G77" s="100">
        <v>67.11</v>
      </c>
      <c r="H77" s="100">
        <v>21.42</v>
      </c>
      <c r="I77" s="100">
        <v>4.3600000000000003</v>
      </c>
      <c r="J77" s="100">
        <v>0.32</v>
      </c>
      <c r="K77" s="100">
        <v>43.31</v>
      </c>
      <c r="L77" s="100">
        <v>38.06</v>
      </c>
      <c r="M77" s="100">
        <v>17.29</v>
      </c>
      <c r="N77" s="100">
        <v>81.2</v>
      </c>
      <c r="O77" s="100">
        <v>0</v>
      </c>
      <c r="P77" s="100">
        <v>0.73</v>
      </c>
      <c r="Q77" s="100">
        <v>4.3600000000000003</v>
      </c>
    </row>
    <row r="78" spans="1:17" customFormat="1">
      <c r="A78" s="100" t="s">
        <v>1459</v>
      </c>
      <c r="B78" s="100">
        <v>2.81</v>
      </c>
      <c r="C78" s="100">
        <v>63.98</v>
      </c>
      <c r="D78" s="100">
        <v>34.630000000000003</v>
      </c>
      <c r="E78" s="100">
        <v>28.06</v>
      </c>
      <c r="F78" s="100">
        <v>52.76</v>
      </c>
      <c r="G78" s="100">
        <v>66.930000000000007</v>
      </c>
      <c r="H78" s="100">
        <v>21.42</v>
      </c>
      <c r="I78" s="100">
        <v>3.91</v>
      </c>
      <c r="J78" s="100">
        <v>0.2</v>
      </c>
      <c r="K78" s="100">
        <v>136.25</v>
      </c>
      <c r="L78" s="100">
        <v>37.15</v>
      </c>
      <c r="M78" s="100">
        <v>22.57</v>
      </c>
      <c r="N78" s="100">
        <v>71.599999999999994</v>
      </c>
      <c r="O78" s="100">
        <v>0</v>
      </c>
      <c r="P78" s="100">
        <v>0.69</v>
      </c>
      <c r="Q78" s="100">
        <v>4.57</v>
      </c>
    </row>
    <row r="79" spans="1:17" customFormat="1">
      <c r="A79" s="100" t="s">
        <v>1460</v>
      </c>
      <c r="B79" s="100">
        <v>2.58</v>
      </c>
      <c r="C79" s="100">
        <v>62.44</v>
      </c>
      <c r="D79" s="100">
        <v>33.65</v>
      </c>
      <c r="E79" s="100">
        <v>21.52</v>
      </c>
      <c r="F79" s="100">
        <v>53.52</v>
      </c>
      <c r="G79" s="100">
        <v>66.930000000000007</v>
      </c>
      <c r="H79" s="100">
        <v>21.42</v>
      </c>
      <c r="I79" s="100">
        <v>4.4000000000000004</v>
      </c>
      <c r="J79" s="100">
        <v>0.25</v>
      </c>
      <c r="K79" s="100">
        <v>153.59</v>
      </c>
      <c r="L79" s="100">
        <v>36.25</v>
      </c>
      <c r="M79" s="100">
        <v>25.07</v>
      </c>
      <c r="N79" s="100">
        <v>49.4</v>
      </c>
      <c r="O79" s="100">
        <v>0</v>
      </c>
      <c r="P79" s="100">
        <v>0.67</v>
      </c>
      <c r="Q79" s="100">
        <v>4.63</v>
      </c>
    </row>
    <row r="80" spans="1:17" customFormat="1">
      <c r="A80" s="100" t="s">
        <v>1461</v>
      </c>
      <c r="B80" s="100">
        <v>3.01</v>
      </c>
      <c r="C80" s="100">
        <v>68.42</v>
      </c>
      <c r="D80" s="100">
        <v>37.119999999999997</v>
      </c>
      <c r="E80" s="100">
        <v>19.239999999999998</v>
      </c>
      <c r="F80" s="100">
        <v>35.79</v>
      </c>
      <c r="G80" s="100">
        <v>66.930000000000007</v>
      </c>
      <c r="H80" s="100">
        <v>21.42</v>
      </c>
      <c r="I80" s="100">
        <v>4.82</v>
      </c>
      <c r="J80" s="100">
        <v>0.25</v>
      </c>
      <c r="K80" s="100">
        <v>164.05</v>
      </c>
      <c r="L80" s="100">
        <v>35.22</v>
      </c>
      <c r="M80" s="100">
        <v>28.98</v>
      </c>
      <c r="N80" s="100">
        <v>32.5</v>
      </c>
      <c r="O80" s="100">
        <v>0</v>
      </c>
      <c r="P80" s="100">
        <v>0.73</v>
      </c>
      <c r="Q80" s="100">
        <v>4.63</v>
      </c>
    </row>
    <row r="81" spans="1:17" customFormat="1">
      <c r="A81" s="100" t="s">
        <v>1462</v>
      </c>
      <c r="B81" s="100">
        <v>3.11</v>
      </c>
      <c r="C81" s="100">
        <v>69.87</v>
      </c>
      <c r="D81" s="100">
        <v>37.950000000000003</v>
      </c>
      <c r="E81" s="100">
        <v>10.95</v>
      </c>
      <c r="F81" s="100">
        <v>32.72</v>
      </c>
      <c r="G81" s="100">
        <v>72.27</v>
      </c>
      <c r="H81" s="100">
        <v>21.63</v>
      </c>
      <c r="I81" s="100">
        <v>5</v>
      </c>
      <c r="J81" s="100">
        <v>0.23</v>
      </c>
      <c r="K81" s="100">
        <v>163.31</v>
      </c>
      <c r="L81" s="100">
        <v>34.369999999999997</v>
      </c>
      <c r="M81" s="100">
        <v>30.59</v>
      </c>
      <c r="N81" s="100">
        <v>13.6</v>
      </c>
      <c r="O81" s="100">
        <v>0</v>
      </c>
      <c r="P81" s="100">
        <v>0.75</v>
      </c>
      <c r="Q81" s="100">
        <v>4.7300000000000004</v>
      </c>
    </row>
    <row r="82" spans="1:17" customFormat="1">
      <c r="A82" s="100" t="s">
        <v>1463</v>
      </c>
      <c r="B82" s="100">
        <v>3.2</v>
      </c>
      <c r="C82" s="100">
        <v>56.62</v>
      </c>
      <c r="D82" s="100">
        <v>31.11</v>
      </c>
      <c r="E82" s="100">
        <v>13.74</v>
      </c>
      <c r="F82" s="100">
        <v>30.19</v>
      </c>
      <c r="G82" s="100">
        <v>72.45</v>
      </c>
      <c r="H82" s="100">
        <v>21.63</v>
      </c>
      <c r="I82" s="100">
        <v>5.24</v>
      </c>
      <c r="J82" s="100">
        <v>0.23</v>
      </c>
      <c r="K82" s="100">
        <v>164.44</v>
      </c>
      <c r="L82" s="100">
        <v>33.32</v>
      </c>
      <c r="M82" s="100">
        <v>38.119999999999997</v>
      </c>
      <c r="N82" s="100">
        <v>0.2</v>
      </c>
      <c r="O82" s="100">
        <v>0</v>
      </c>
      <c r="P82" s="100">
        <v>0.74</v>
      </c>
      <c r="Q82" s="100">
        <v>4.72</v>
      </c>
    </row>
    <row r="83" spans="1:17" customFormat="1">
      <c r="A83" s="100" t="s">
        <v>1464</v>
      </c>
      <c r="B83" s="100">
        <v>3.71</v>
      </c>
      <c r="C83" s="100">
        <v>52.68</v>
      </c>
      <c r="D83" s="100">
        <v>29.45</v>
      </c>
      <c r="E83" s="100">
        <v>11.36</v>
      </c>
      <c r="F83" s="100">
        <v>31.48</v>
      </c>
      <c r="G83" s="100">
        <v>72.45</v>
      </c>
      <c r="H83" s="100">
        <v>21.63</v>
      </c>
      <c r="I83" s="100">
        <v>5.52</v>
      </c>
      <c r="J83" s="100">
        <v>0.24</v>
      </c>
      <c r="K83" s="100">
        <v>159.38999999999999</v>
      </c>
      <c r="L83" s="100">
        <v>32.51</v>
      </c>
      <c r="M83" s="100">
        <v>41.72</v>
      </c>
      <c r="N83" s="100">
        <v>0</v>
      </c>
      <c r="O83" s="100">
        <v>0</v>
      </c>
      <c r="P83" s="100">
        <v>0.74</v>
      </c>
      <c r="Q83" s="100">
        <v>4.74</v>
      </c>
    </row>
    <row r="84" spans="1:17" customFormat="1">
      <c r="A84" s="100" t="s">
        <v>1465</v>
      </c>
      <c r="B84" s="100">
        <v>4.1900000000000004</v>
      </c>
      <c r="C84" s="100">
        <v>53.76</v>
      </c>
      <c r="D84" s="100">
        <v>30.4</v>
      </c>
      <c r="E84" s="100">
        <v>10.66</v>
      </c>
      <c r="F84" s="100">
        <v>28.28</v>
      </c>
      <c r="G84" s="100">
        <v>72.45</v>
      </c>
      <c r="H84" s="100">
        <v>21.63</v>
      </c>
      <c r="I84" s="100">
        <v>5.62</v>
      </c>
      <c r="J84" s="100">
        <v>0.2</v>
      </c>
      <c r="K84" s="100">
        <v>162.41999999999999</v>
      </c>
      <c r="L84" s="100">
        <v>31.88</v>
      </c>
      <c r="M84" s="100">
        <v>39.57</v>
      </c>
      <c r="N84" s="100">
        <v>0</v>
      </c>
      <c r="O84" s="100">
        <v>0</v>
      </c>
      <c r="P84" s="100">
        <v>0.78</v>
      </c>
      <c r="Q84" s="100">
        <v>4.7</v>
      </c>
    </row>
    <row r="85" spans="1:17" customFormat="1">
      <c r="A85" s="100" t="s">
        <v>1466</v>
      </c>
      <c r="B85" s="100">
        <v>4.55</v>
      </c>
      <c r="C85" s="100">
        <v>54.9</v>
      </c>
      <c r="D85" s="100">
        <v>31.28</v>
      </c>
      <c r="E85" s="100">
        <v>11.77</v>
      </c>
      <c r="F85" s="100">
        <v>30.07</v>
      </c>
      <c r="G85" s="100">
        <v>77.83</v>
      </c>
      <c r="H85" s="100">
        <v>23.77</v>
      </c>
      <c r="I85" s="100">
        <v>5.7</v>
      </c>
      <c r="J85" s="100">
        <v>0.24</v>
      </c>
      <c r="K85" s="100">
        <v>158.69999999999999</v>
      </c>
      <c r="L85" s="100">
        <v>31.65</v>
      </c>
      <c r="M85" s="100">
        <v>38.799999999999997</v>
      </c>
      <c r="N85" s="100">
        <v>0</v>
      </c>
      <c r="O85" s="100">
        <v>0</v>
      </c>
      <c r="P85" s="100">
        <v>0.82</v>
      </c>
      <c r="Q85" s="100">
        <v>4.7</v>
      </c>
    </row>
    <row r="86" spans="1:17" customFormat="1">
      <c r="A86" s="100" t="s">
        <v>1467</v>
      </c>
      <c r="B86" s="100">
        <v>5.0199999999999996</v>
      </c>
      <c r="C86" s="100">
        <v>55.64</v>
      </c>
      <c r="D86" s="100">
        <v>32.049999999999997</v>
      </c>
      <c r="E86" s="100">
        <v>10.220000000000001</v>
      </c>
      <c r="F86" s="100">
        <v>25.24</v>
      </c>
      <c r="G86" s="100">
        <v>78.08</v>
      </c>
      <c r="H86" s="100">
        <v>23.77</v>
      </c>
      <c r="I86" s="100">
        <v>6.01</v>
      </c>
      <c r="J86" s="100">
        <v>0.2</v>
      </c>
      <c r="K86" s="100">
        <v>177.95</v>
      </c>
      <c r="L86" s="100">
        <v>30.98</v>
      </c>
      <c r="M86" s="100">
        <v>38.75</v>
      </c>
      <c r="N86" s="100">
        <v>0</v>
      </c>
      <c r="O86" s="100">
        <v>0</v>
      </c>
      <c r="P86" s="100">
        <v>0.79</v>
      </c>
      <c r="Q86" s="100">
        <v>4.71</v>
      </c>
    </row>
    <row r="87" spans="1:17" customFormat="1">
      <c r="A87" s="100" t="s">
        <v>1468</v>
      </c>
      <c r="B87" s="100">
        <v>5.31</v>
      </c>
      <c r="C87" s="100">
        <v>55.64</v>
      </c>
      <c r="D87" s="100">
        <v>32.28</v>
      </c>
      <c r="E87" s="100">
        <v>9.44</v>
      </c>
      <c r="F87" s="100">
        <v>17.899999999999999</v>
      </c>
      <c r="G87" s="100">
        <v>78.08</v>
      </c>
      <c r="H87" s="100">
        <v>23.77</v>
      </c>
      <c r="I87" s="100">
        <v>6.27</v>
      </c>
      <c r="J87" s="100">
        <v>0.19</v>
      </c>
      <c r="K87" s="100">
        <v>163.16999999999999</v>
      </c>
      <c r="L87" s="100">
        <v>30.51</v>
      </c>
      <c r="M87" s="100">
        <v>41.8</v>
      </c>
      <c r="N87" s="100">
        <v>0</v>
      </c>
      <c r="O87" s="100">
        <v>0</v>
      </c>
      <c r="P87" s="100">
        <v>0.8</v>
      </c>
      <c r="Q87" s="100">
        <v>4.72</v>
      </c>
    </row>
    <row r="88" spans="1:17" customFormat="1">
      <c r="A88" s="100" t="s">
        <v>1469</v>
      </c>
      <c r="B88" s="100">
        <v>5.79</v>
      </c>
      <c r="C88" s="100">
        <v>56.16</v>
      </c>
      <c r="D88" s="100">
        <v>32.94</v>
      </c>
      <c r="E88" s="100">
        <v>7.9</v>
      </c>
      <c r="F88" s="100">
        <v>16.57</v>
      </c>
      <c r="G88" s="100">
        <v>78.08</v>
      </c>
      <c r="H88" s="100">
        <v>23.77</v>
      </c>
      <c r="I88" s="100">
        <v>6.38</v>
      </c>
      <c r="J88" s="100">
        <v>0.16</v>
      </c>
      <c r="K88" s="100">
        <v>198.35</v>
      </c>
      <c r="L88" s="100">
        <v>30</v>
      </c>
      <c r="M88" s="100">
        <v>43.94</v>
      </c>
      <c r="N88" s="100">
        <v>0</v>
      </c>
      <c r="O88" s="100">
        <v>0</v>
      </c>
      <c r="P88" s="100">
        <v>0.8</v>
      </c>
      <c r="Q88" s="100">
        <v>4.74</v>
      </c>
    </row>
    <row r="89" spans="1:17" customFormat="1">
      <c r="A89" s="100" t="s">
        <v>1470</v>
      </c>
      <c r="B89" s="100">
        <v>6.15</v>
      </c>
      <c r="C89" s="100">
        <v>55.77</v>
      </c>
      <c r="D89" s="100">
        <v>33.03</v>
      </c>
      <c r="E89" s="100">
        <v>8.66</v>
      </c>
      <c r="F89" s="100">
        <v>16.850000000000001</v>
      </c>
      <c r="G89" s="100">
        <v>80.319999999999993</v>
      </c>
      <c r="H89" s="100">
        <v>26.12</v>
      </c>
      <c r="I89" s="100">
        <v>6.45</v>
      </c>
      <c r="J89" s="100">
        <v>0.19</v>
      </c>
      <c r="K89" s="100">
        <v>218.67</v>
      </c>
      <c r="L89" s="100">
        <v>29.7</v>
      </c>
      <c r="M89" s="100">
        <v>43.84</v>
      </c>
      <c r="N89" s="100">
        <v>0</v>
      </c>
      <c r="O89" s="100">
        <v>0</v>
      </c>
      <c r="P89" s="100">
        <v>0.8</v>
      </c>
      <c r="Q89" s="100">
        <v>4.76</v>
      </c>
    </row>
    <row r="90" spans="1:17" customFormat="1">
      <c r="A90" s="100" t="s">
        <v>1471</v>
      </c>
      <c r="B90" s="100">
        <v>6.98</v>
      </c>
      <c r="C90" s="100">
        <v>57.73</v>
      </c>
      <c r="D90" s="100">
        <v>34.71</v>
      </c>
      <c r="E90" s="100">
        <v>6.93</v>
      </c>
      <c r="F90" s="100">
        <v>10.6</v>
      </c>
      <c r="G90" s="100">
        <v>80.400000000000006</v>
      </c>
      <c r="H90" s="100">
        <v>26.12</v>
      </c>
      <c r="I90" s="100">
        <v>6.34</v>
      </c>
      <c r="J90" s="100">
        <v>0.19</v>
      </c>
      <c r="K90" s="100">
        <v>155.09</v>
      </c>
      <c r="L90" s="100">
        <v>29.35</v>
      </c>
      <c r="M90" s="100">
        <v>49.54</v>
      </c>
      <c r="N90" s="100">
        <v>0</v>
      </c>
      <c r="O90" s="100">
        <v>0</v>
      </c>
      <c r="P90" s="100">
        <v>0.82</v>
      </c>
      <c r="Q90" s="100">
        <v>4.74</v>
      </c>
    </row>
    <row r="91" spans="1:17" customFormat="1">
      <c r="A91" s="100" t="s">
        <v>1472</v>
      </c>
      <c r="B91" s="100">
        <v>7.91</v>
      </c>
      <c r="C91" s="100">
        <v>59.44</v>
      </c>
      <c r="D91" s="100">
        <v>36.35</v>
      </c>
      <c r="E91" s="100">
        <v>6.52</v>
      </c>
      <c r="F91" s="100">
        <v>8.48</v>
      </c>
      <c r="G91" s="100">
        <v>80.400000000000006</v>
      </c>
      <c r="H91" s="100">
        <v>26.12</v>
      </c>
      <c r="I91" s="100">
        <v>6.4</v>
      </c>
      <c r="J91" s="100">
        <v>0.21</v>
      </c>
      <c r="K91" s="100">
        <v>181.53</v>
      </c>
      <c r="L91" s="100">
        <v>29.13</v>
      </c>
      <c r="M91" s="100">
        <v>50.55</v>
      </c>
      <c r="N91" s="100">
        <v>0</v>
      </c>
      <c r="O91" s="100">
        <v>0</v>
      </c>
      <c r="P91" s="100">
        <v>0.85</v>
      </c>
      <c r="Q91" s="100">
        <v>4.8099999999999996</v>
      </c>
    </row>
    <row r="92" spans="1:17" customFormat="1">
      <c r="A92" s="100" t="s">
        <v>1473</v>
      </c>
      <c r="B92" s="100">
        <v>8.4499999999999993</v>
      </c>
      <c r="C92" s="100">
        <v>59.43</v>
      </c>
      <c r="D92" s="100">
        <v>36.78</v>
      </c>
      <c r="E92" s="100">
        <v>6.84</v>
      </c>
      <c r="F92" s="100">
        <v>8.1300000000000008</v>
      </c>
      <c r="G92" s="100">
        <v>80.400000000000006</v>
      </c>
      <c r="H92" s="100">
        <v>26.12</v>
      </c>
      <c r="I92" s="100">
        <v>6.73</v>
      </c>
      <c r="J92" s="100">
        <v>0.2</v>
      </c>
      <c r="K92" s="100">
        <v>183.32</v>
      </c>
      <c r="L92" s="100">
        <v>28.83</v>
      </c>
      <c r="M92" s="100">
        <v>52.46</v>
      </c>
      <c r="N92" s="100">
        <v>0</v>
      </c>
      <c r="O92" s="100">
        <v>0</v>
      </c>
      <c r="P92" s="100">
        <v>0.91</v>
      </c>
      <c r="Q92" s="100">
        <v>4.87</v>
      </c>
    </row>
    <row r="93" spans="1:17" customFormat="1">
      <c r="A93" s="100" t="s">
        <v>1474</v>
      </c>
      <c r="B93" s="100">
        <v>9.17</v>
      </c>
      <c r="C93" s="100">
        <v>61.29</v>
      </c>
      <c r="D93" s="100">
        <v>38.33</v>
      </c>
      <c r="E93" s="100">
        <v>7.22</v>
      </c>
      <c r="F93" s="100">
        <v>6.69</v>
      </c>
      <c r="G93" s="100">
        <v>83.36</v>
      </c>
      <c r="H93" s="100">
        <v>25.56</v>
      </c>
      <c r="I93" s="100">
        <v>7.2</v>
      </c>
      <c r="J93" s="100">
        <v>0.14000000000000001</v>
      </c>
      <c r="K93" s="100">
        <v>184.42</v>
      </c>
      <c r="L93" s="100">
        <v>28.59</v>
      </c>
      <c r="M93" s="100">
        <v>51.71</v>
      </c>
      <c r="N93" s="100">
        <v>0</v>
      </c>
      <c r="O93" s="100">
        <v>0</v>
      </c>
      <c r="P93" s="100">
        <v>0.95</v>
      </c>
      <c r="Q93" s="100">
        <v>4.92</v>
      </c>
    </row>
    <row r="94" spans="1:17" customFormat="1">
      <c r="A94" s="100" t="s">
        <v>1475</v>
      </c>
      <c r="B94" s="100">
        <v>9.8000000000000007</v>
      </c>
      <c r="C94" s="100">
        <v>62.5</v>
      </c>
      <c r="D94" s="100">
        <v>39.47</v>
      </c>
      <c r="E94" s="100">
        <v>7.8</v>
      </c>
      <c r="F94" s="100">
        <v>8.6</v>
      </c>
      <c r="G94" s="100">
        <v>83.47</v>
      </c>
      <c r="H94" s="100">
        <v>25.56</v>
      </c>
      <c r="I94" s="100">
        <v>7.73</v>
      </c>
      <c r="J94" s="100">
        <v>0.11</v>
      </c>
      <c r="K94" s="100">
        <v>187.52</v>
      </c>
      <c r="L94" s="100">
        <v>28.73</v>
      </c>
      <c r="M94" s="100">
        <v>47.65</v>
      </c>
      <c r="N94" s="100">
        <v>0</v>
      </c>
      <c r="O94" s="100">
        <v>0</v>
      </c>
      <c r="P94" s="100">
        <v>0.97</v>
      </c>
      <c r="Q94" s="100">
        <v>4.9400000000000004</v>
      </c>
    </row>
    <row r="95" spans="1:17" customFormat="1">
      <c r="A95" s="100" t="s">
        <v>1476</v>
      </c>
      <c r="B95" s="100">
        <v>10.64</v>
      </c>
      <c r="C95" s="100">
        <v>63.02</v>
      </c>
      <c r="D95" s="100">
        <v>40.409999999999997</v>
      </c>
      <c r="E95" s="100">
        <v>6.42</v>
      </c>
      <c r="F95" s="100">
        <v>6.82</v>
      </c>
      <c r="G95" s="100">
        <v>83.47</v>
      </c>
      <c r="H95" s="100">
        <v>25.56</v>
      </c>
      <c r="I95" s="100">
        <v>8.25</v>
      </c>
      <c r="J95" s="100">
        <v>0.19</v>
      </c>
      <c r="K95" s="100">
        <v>180.89</v>
      </c>
      <c r="L95" s="100">
        <v>28.56</v>
      </c>
      <c r="M95" s="100">
        <v>49.71</v>
      </c>
      <c r="N95" s="100">
        <v>0</v>
      </c>
      <c r="O95" s="100">
        <v>0</v>
      </c>
      <c r="P95" s="100">
        <v>0.98</v>
      </c>
      <c r="Q95" s="100">
        <v>4.97</v>
      </c>
    </row>
    <row r="96" spans="1:17" customFormat="1">
      <c r="A96" s="100" t="s">
        <v>1477</v>
      </c>
      <c r="B96" s="100">
        <v>11.59</v>
      </c>
      <c r="C96" s="100">
        <v>63.66</v>
      </c>
      <c r="D96" s="100">
        <v>41.5</v>
      </c>
      <c r="E96" s="100">
        <v>6.25</v>
      </c>
      <c r="F96" s="100">
        <v>6.35</v>
      </c>
      <c r="G96" s="100">
        <v>83.47</v>
      </c>
      <c r="H96" s="100">
        <v>25.56</v>
      </c>
      <c r="I96" s="100">
        <v>8.66</v>
      </c>
      <c r="J96" s="100">
        <v>0.19</v>
      </c>
      <c r="K96" s="100">
        <v>152.41</v>
      </c>
      <c r="L96" s="100">
        <v>28.17</v>
      </c>
      <c r="M96" s="100">
        <v>51.46</v>
      </c>
      <c r="N96" s="100">
        <v>0</v>
      </c>
      <c r="O96" s="100">
        <v>0</v>
      </c>
      <c r="P96" s="100">
        <v>1</v>
      </c>
      <c r="Q96" s="100">
        <v>5.03</v>
      </c>
    </row>
    <row r="97" spans="1:22" customFormat="1">
      <c r="A97" s="100" t="s">
        <v>1478</v>
      </c>
      <c r="B97" s="100">
        <v>11.58</v>
      </c>
      <c r="C97" s="100">
        <v>61.01</v>
      </c>
      <c r="D97" s="100">
        <v>40.11</v>
      </c>
      <c r="E97" s="100">
        <v>7.81</v>
      </c>
      <c r="F97" s="100">
        <v>13.54</v>
      </c>
      <c r="G97" s="100">
        <v>93.55</v>
      </c>
      <c r="H97" s="100">
        <v>31.9</v>
      </c>
      <c r="I97" s="100">
        <v>8.67</v>
      </c>
      <c r="J97" s="100">
        <v>0.17</v>
      </c>
      <c r="K97" s="100">
        <v>171.89</v>
      </c>
      <c r="L97" s="100">
        <v>28.29</v>
      </c>
      <c r="M97" s="100">
        <v>44.6</v>
      </c>
      <c r="N97" s="100">
        <v>0</v>
      </c>
      <c r="O97" s="100">
        <v>0</v>
      </c>
      <c r="P97" s="100">
        <v>0.97</v>
      </c>
      <c r="Q97" s="100">
        <v>5.07</v>
      </c>
    </row>
    <row r="98" spans="1:22" customFormat="1">
      <c r="A98" s="100" t="s">
        <v>1479</v>
      </c>
      <c r="B98" s="100">
        <v>11.52</v>
      </c>
      <c r="C98" s="100">
        <v>60.02</v>
      </c>
      <c r="D98" s="100">
        <v>39.549999999999997</v>
      </c>
      <c r="E98" s="100">
        <v>6.86</v>
      </c>
      <c r="F98" s="100">
        <v>13.57</v>
      </c>
      <c r="G98" s="100">
        <v>93.9</v>
      </c>
      <c r="H98" s="100">
        <v>31.9</v>
      </c>
      <c r="I98" s="100">
        <v>8.8699999999999992</v>
      </c>
      <c r="J98" s="100">
        <v>0.16</v>
      </c>
      <c r="K98" s="100">
        <v>189.66</v>
      </c>
      <c r="L98" s="100">
        <v>28.48</v>
      </c>
      <c r="M98" s="100">
        <v>43.91</v>
      </c>
      <c r="N98" s="100">
        <v>0</v>
      </c>
      <c r="O98" s="100">
        <v>0</v>
      </c>
      <c r="P98" s="100">
        <v>0.97</v>
      </c>
      <c r="Q98" s="100">
        <v>5.0599999999999996</v>
      </c>
    </row>
    <row r="99" spans="1:22" customFormat="1">
      <c r="A99" s="100" t="s">
        <v>1480</v>
      </c>
      <c r="B99" s="100">
        <v>11.78</v>
      </c>
      <c r="C99" s="100">
        <v>59.29</v>
      </c>
      <c r="D99" s="100">
        <v>39.380000000000003</v>
      </c>
      <c r="E99" s="100">
        <v>6.94</v>
      </c>
      <c r="F99" s="100">
        <v>10.62</v>
      </c>
      <c r="G99" s="100">
        <v>93.9</v>
      </c>
      <c r="H99" s="100">
        <v>31.9</v>
      </c>
      <c r="I99" s="100">
        <v>9.2100000000000009</v>
      </c>
      <c r="J99" s="100">
        <v>0.17</v>
      </c>
      <c r="K99" s="100">
        <v>170.11</v>
      </c>
      <c r="L99" s="100">
        <v>28.27</v>
      </c>
      <c r="M99" s="100">
        <v>47.06</v>
      </c>
      <c r="N99" s="100">
        <v>0</v>
      </c>
      <c r="O99" s="100">
        <v>0</v>
      </c>
      <c r="P99" s="100">
        <v>0.97</v>
      </c>
      <c r="Q99" s="100">
        <v>5.04</v>
      </c>
    </row>
    <row r="100" spans="1:22" customFormat="1">
      <c r="A100" s="100" t="s">
        <v>1481</v>
      </c>
      <c r="B100" s="100">
        <v>14.95</v>
      </c>
      <c r="C100" s="100">
        <v>64.180000000000007</v>
      </c>
      <c r="D100" s="100">
        <v>44.48</v>
      </c>
      <c r="E100" s="100">
        <v>6.6</v>
      </c>
      <c r="F100" s="100">
        <v>8.5299999999999994</v>
      </c>
      <c r="G100" s="100">
        <v>93.9</v>
      </c>
      <c r="H100" s="100">
        <v>31.9</v>
      </c>
      <c r="I100" s="100">
        <v>9.19</v>
      </c>
      <c r="J100" s="100">
        <v>0.16</v>
      </c>
      <c r="K100" s="100">
        <v>146.79</v>
      </c>
      <c r="L100" s="100">
        <v>27.94</v>
      </c>
      <c r="M100" s="100">
        <v>47.24</v>
      </c>
      <c r="N100" s="100">
        <v>0</v>
      </c>
      <c r="O100" s="100">
        <v>0</v>
      </c>
      <c r="P100" s="100">
        <v>0.99</v>
      </c>
      <c r="Q100" s="100">
        <v>5.05</v>
      </c>
    </row>
    <row r="101" spans="1:22" customFormat="1">
      <c r="A101" s="100" t="s">
        <v>1482</v>
      </c>
      <c r="B101" s="100">
        <v>12.72</v>
      </c>
      <c r="C101" s="100">
        <v>59.56</v>
      </c>
      <c r="D101" s="100">
        <v>40.270000000000003</v>
      </c>
      <c r="E101" s="100">
        <v>6.35</v>
      </c>
      <c r="F101" s="100">
        <v>9.51</v>
      </c>
      <c r="G101" s="100">
        <v>92.91</v>
      </c>
      <c r="H101" s="100">
        <v>28.59</v>
      </c>
      <c r="I101" s="100">
        <v>9.11</v>
      </c>
      <c r="J101" s="100">
        <v>0.17</v>
      </c>
      <c r="K101" s="100">
        <v>168.79</v>
      </c>
      <c r="L101" s="100">
        <v>27.71</v>
      </c>
      <c r="M101" s="100">
        <v>47.45</v>
      </c>
      <c r="N101" s="100">
        <v>0</v>
      </c>
      <c r="O101" s="100">
        <v>0</v>
      </c>
      <c r="P101" s="100">
        <v>0.98</v>
      </c>
      <c r="Q101" s="100">
        <v>5.0999999999999996</v>
      </c>
    </row>
    <row r="102" spans="1:22" customFormat="1">
      <c r="A102" s="100" t="s">
        <v>1483</v>
      </c>
      <c r="B102" s="100">
        <v>15.43</v>
      </c>
      <c r="C102" s="100">
        <v>62.47</v>
      </c>
      <c r="D102" s="100">
        <v>43.96</v>
      </c>
      <c r="E102" s="100">
        <v>6.73</v>
      </c>
      <c r="F102" s="100">
        <v>6.55</v>
      </c>
      <c r="G102" s="100">
        <v>92.88</v>
      </c>
      <c r="H102" s="100">
        <v>28.59</v>
      </c>
      <c r="I102" s="100">
        <v>9.14</v>
      </c>
      <c r="J102" s="100">
        <v>0.18</v>
      </c>
      <c r="K102" s="100">
        <v>173.56</v>
      </c>
      <c r="L102" s="100">
        <v>27.58</v>
      </c>
      <c r="M102" s="100">
        <v>47.84</v>
      </c>
      <c r="N102" s="100">
        <v>0</v>
      </c>
      <c r="O102" s="100">
        <v>0</v>
      </c>
      <c r="P102" s="100">
        <v>0.99</v>
      </c>
      <c r="Q102" s="100">
        <v>5.12</v>
      </c>
    </row>
    <row r="103" spans="1:22" customFormat="1">
      <c r="A103" s="100" t="s">
        <v>1484</v>
      </c>
      <c r="B103" s="100">
        <v>24.98</v>
      </c>
      <c r="C103" s="100">
        <v>66.16</v>
      </c>
      <c r="D103" s="100">
        <v>53.96</v>
      </c>
      <c r="E103" s="100">
        <v>5.99</v>
      </c>
      <c r="F103" s="100">
        <v>4.66</v>
      </c>
      <c r="G103" s="100">
        <v>92.88</v>
      </c>
      <c r="H103" s="100">
        <v>28.59</v>
      </c>
      <c r="I103" s="100">
        <v>9.08</v>
      </c>
      <c r="J103" s="100">
        <v>0.18</v>
      </c>
      <c r="K103" s="100">
        <v>141.19999999999999</v>
      </c>
      <c r="L103" s="100">
        <v>27.44</v>
      </c>
      <c r="M103" s="100">
        <v>49.42</v>
      </c>
      <c r="N103" s="100">
        <v>0</v>
      </c>
      <c r="O103" s="100">
        <v>0</v>
      </c>
      <c r="P103" s="100">
        <v>1</v>
      </c>
      <c r="Q103" s="100">
        <v>5.18</v>
      </c>
    </row>
    <row r="104" spans="1:22" customFormat="1">
      <c r="A104" s="100" t="s">
        <v>1485</v>
      </c>
      <c r="B104" s="100">
        <v>23.17</v>
      </c>
      <c r="C104" s="100">
        <v>68.319999999999993</v>
      </c>
      <c r="D104" s="100">
        <v>53.23</v>
      </c>
      <c r="E104" s="100">
        <v>5.77</v>
      </c>
      <c r="F104" s="100">
        <v>4.04</v>
      </c>
      <c r="G104" s="100">
        <v>92.88</v>
      </c>
      <c r="H104" s="100">
        <v>28.59</v>
      </c>
      <c r="I104" s="100">
        <v>9.1</v>
      </c>
      <c r="J104" s="100">
        <v>0.24</v>
      </c>
      <c r="K104" s="100">
        <v>160.13</v>
      </c>
      <c r="L104" s="100">
        <v>27.17</v>
      </c>
      <c r="M104" s="100">
        <v>51.4</v>
      </c>
      <c r="N104" s="100">
        <v>0</v>
      </c>
      <c r="O104" s="100">
        <v>0</v>
      </c>
      <c r="P104" s="100">
        <v>1.01</v>
      </c>
      <c r="Q104" s="100">
        <v>5.3</v>
      </c>
    </row>
    <row r="106" spans="1:22">
      <c r="A106" s="157" t="s">
        <v>48</v>
      </c>
      <c r="B106" s="158">
        <f>MIN(B9:B104)</f>
        <v>2.3199999999999998</v>
      </c>
      <c r="C106" s="158">
        <f>MIN(C9:C104)</f>
        <v>36.619999999999997</v>
      </c>
      <c r="D106" s="158">
        <f t="shared" ref="D106:Q106" si="0">MIN(D9:D104)</f>
        <v>23.32</v>
      </c>
      <c r="E106" s="158">
        <f t="shared" si="0"/>
        <v>5.77</v>
      </c>
      <c r="F106" s="158">
        <f t="shared" si="0"/>
        <v>3.32</v>
      </c>
      <c r="G106" s="158">
        <f t="shared" si="0"/>
        <v>66.930000000000007</v>
      </c>
      <c r="H106" s="158">
        <f t="shared" si="0"/>
        <v>15.66</v>
      </c>
      <c r="I106" s="158">
        <f t="shared" si="0"/>
        <v>3.91</v>
      </c>
      <c r="J106" s="158">
        <f t="shared" si="0"/>
        <v>0.05</v>
      </c>
      <c r="K106" s="158">
        <f t="shared" si="0"/>
        <v>4.58</v>
      </c>
      <c r="L106" s="158">
        <f t="shared" si="0"/>
        <v>22.26</v>
      </c>
      <c r="M106" s="158">
        <f t="shared" si="0"/>
        <v>10.96</v>
      </c>
      <c r="N106" s="158">
        <f t="shared" si="0"/>
        <v>0</v>
      </c>
      <c r="O106" s="158">
        <f t="shared" si="0"/>
        <v>0</v>
      </c>
      <c r="P106" s="158">
        <f t="shared" si="0"/>
        <v>0.49</v>
      </c>
      <c r="Q106" s="158">
        <f t="shared" si="0"/>
        <v>4.12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57.5</v>
      </c>
      <c r="C107" s="157">
        <f t="shared" ref="C107:Q107" si="1">MAX(C9:C104)</f>
        <v>71.94</v>
      </c>
      <c r="D107" s="157">
        <f t="shared" si="1"/>
        <v>83.65</v>
      </c>
      <c r="E107" s="157">
        <f t="shared" si="1"/>
        <v>47.86</v>
      </c>
      <c r="F107" s="157">
        <f t="shared" si="1"/>
        <v>107.65</v>
      </c>
      <c r="G107" s="157">
        <f t="shared" si="1"/>
        <v>320.94</v>
      </c>
      <c r="H107" s="157">
        <f t="shared" si="1"/>
        <v>62.63</v>
      </c>
      <c r="I107" s="157">
        <f t="shared" si="1"/>
        <v>22.2</v>
      </c>
      <c r="J107" s="157">
        <f t="shared" si="1"/>
        <v>1.91</v>
      </c>
      <c r="K107" s="157">
        <f t="shared" si="1"/>
        <v>344.89</v>
      </c>
      <c r="L107" s="157">
        <f t="shared" si="1"/>
        <v>39.6</v>
      </c>
      <c r="M107" s="157">
        <f t="shared" si="1"/>
        <v>63.02</v>
      </c>
      <c r="N107" s="157">
        <f t="shared" si="1"/>
        <v>774.1</v>
      </c>
      <c r="O107" s="157">
        <f t="shared" si="1"/>
        <v>0</v>
      </c>
      <c r="P107" s="157">
        <f t="shared" si="1"/>
        <v>1.2</v>
      </c>
      <c r="Q107" s="157">
        <f t="shared" si="1"/>
        <v>6.97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23.848901098901095</v>
      </c>
      <c r="C108" s="158">
        <f t="shared" ref="C108:Q108" si="2">AVERAGE(C9:C104)</f>
        <v>60.897252747252786</v>
      </c>
      <c r="D108" s="158">
        <f t="shared" si="2"/>
        <v>51.1654945054945</v>
      </c>
      <c r="E108" s="158">
        <f t="shared" si="2"/>
        <v>14.101797752808993</v>
      </c>
      <c r="F108" s="158">
        <f t="shared" si="2"/>
        <v>27.264687500000008</v>
      </c>
      <c r="G108" s="158">
        <f t="shared" si="2"/>
        <v>106.40303370786512</v>
      </c>
      <c r="H108" s="158">
        <f t="shared" si="2"/>
        <v>33.206516853932598</v>
      </c>
      <c r="I108" s="158">
        <f t="shared" si="2"/>
        <v>9.7809375000000056</v>
      </c>
      <c r="J108" s="158">
        <f t="shared" si="2"/>
        <v>0.47260416666666671</v>
      </c>
      <c r="K108" s="158">
        <f t="shared" si="2"/>
        <v>121.89645833333338</v>
      </c>
      <c r="L108" s="158">
        <f t="shared" si="2"/>
        <v>31.203854166666677</v>
      </c>
      <c r="M108" s="158">
        <f t="shared" si="2"/>
        <v>36.472083333333345</v>
      </c>
      <c r="N108" s="158">
        <f t="shared" si="2"/>
        <v>183.18229166666671</v>
      </c>
      <c r="O108" s="158">
        <f t="shared" si="2"/>
        <v>0</v>
      </c>
      <c r="P108" s="158">
        <f t="shared" si="2"/>
        <v>0.87031249999999971</v>
      </c>
      <c r="Q108" s="158">
        <f t="shared" si="2"/>
        <v>5.3501041666666671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20.368643463833738</v>
      </c>
      <c r="C109" s="158">
        <f t="shared" ref="C109:Q109" si="3">STDEV(C9:C104)</f>
        <v>9.1659278570064089</v>
      </c>
      <c r="D109" s="158">
        <f t="shared" si="3"/>
        <v>21.097431400461833</v>
      </c>
      <c r="E109" s="158">
        <f t="shared" si="3"/>
        <v>10.02582750629113</v>
      </c>
      <c r="F109" s="158">
        <f t="shared" si="3"/>
        <v>29.938998751078909</v>
      </c>
      <c r="G109" s="158">
        <f t="shared" si="3"/>
        <v>54.147197996935276</v>
      </c>
      <c r="H109" s="158">
        <f t="shared" si="3"/>
        <v>14.435929379434034</v>
      </c>
      <c r="I109" s="158">
        <f t="shared" si="3"/>
        <v>3.4816430114545716</v>
      </c>
      <c r="J109" s="158">
        <f t="shared" si="3"/>
        <v>0.3837659505799873</v>
      </c>
      <c r="K109" s="158">
        <f t="shared" si="3"/>
        <v>84.12718437898107</v>
      </c>
      <c r="L109" s="158">
        <f t="shared" si="3"/>
        <v>5.6450849361548681</v>
      </c>
      <c r="M109" s="158">
        <f t="shared" si="3"/>
        <v>15.50575125331963</v>
      </c>
      <c r="N109" s="158">
        <f t="shared" si="3"/>
        <v>260.59388165649295</v>
      </c>
      <c r="O109" s="158">
        <f t="shared" si="3"/>
        <v>0</v>
      </c>
      <c r="P109" s="158">
        <f t="shared" si="3"/>
        <v>0.21668533151724298</v>
      </c>
      <c r="Q109" s="158">
        <f t="shared" si="3"/>
        <v>0.9544394825640854</v>
      </c>
      <c r="R109" s="158"/>
      <c r="S109" s="158"/>
      <c r="T109" s="158"/>
      <c r="U109" s="158"/>
    </row>
    <row r="110" spans="1:22">
      <c r="A110" s="157" t="s">
        <v>52</v>
      </c>
      <c r="B110" s="157">
        <v>96</v>
      </c>
      <c r="C110" s="157">
        <v>96</v>
      </c>
      <c r="D110" s="157">
        <v>96</v>
      </c>
      <c r="E110" s="157">
        <v>96</v>
      </c>
      <c r="F110" s="157">
        <v>96</v>
      </c>
      <c r="G110" s="157">
        <v>96</v>
      </c>
      <c r="H110" s="157">
        <v>96</v>
      </c>
      <c r="I110" s="157">
        <f t="shared" ref="I110:Q110" si="4">COUNT(I9:I104)</f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14/05/2023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1486</v>
      </c>
      <c r="B9" s="100">
        <v>21.85</v>
      </c>
      <c r="C9" s="100">
        <v>65.959999999999994</v>
      </c>
      <c r="D9" s="100">
        <v>50.94</v>
      </c>
      <c r="E9" s="100">
        <v>5.31</v>
      </c>
      <c r="F9" s="100">
        <v>3.99</v>
      </c>
      <c r="G9" s="100">
        <v>101.18</v>
      </c>
      <c r="H9" s="100">
        <v>31.92</v>
      </c>
      <c r="I9" s="100">
        <v>9.15</v>
      </c>
      <c r="J9" s="100">
        <v>0.16</v>
      </c>
      <c r="K9" s="100">
        <v>151.08000000000001</v>
      </c>
      <c r="L9" s="100">
        <v>26.84</v>
      </c>
      <c r="M9" s="100">
        <v>52.63</v>
      </c>
      <c r="N9" s="100">
        <v>0</v>
      </c>
      <c r="O9" s="100">
        <v>0</v>
      </c>
      <c r="P9" s="100">
        <v>0.99</v>
      </c>
      <c r="Q9" s="100">
        <v>5.39</v>
      </c>
    </row>
    <row r="10" spans="1:21" customFormat="1">
      <c r="A10" s="100" t="s">
        <v>1487</v>
      </c>
      <c r="B10" s="100">
        <v>23.76</v>
      </c>
      <c r="C10" s="100">
        <v>66.92</v>
      </c>
      <c r="D10" s="100">
        <v>52.97</v>
      </c>
      <c r="E10" s="100">
        <v>5.51</v>
      </c>
      <c r="F10" s="100">
        <v>3.75</v>
      </c>
      <c r="G10" s="100">
        <v>101.47</v>
      </c>
      <c r="H10" s="100">
        <v>31.92</v>
      </c>
      <c r="I10" s="100">
        <v>9.23</v>
      </c>
      <c r="J10" s="100">
        <v>0.22</v>
      </c>
      <c r="K10" s="100">
        <v>169.63</v>
      </c>
      <c r="L10" s="100">
        <v>26.72</v>
      </c>
      <c r="M10" s="100">
        <v>52.72</v>
      </c>
      <c r="N10" s="100">
        <v>0</v>
      </c>
      <c r="O10" s="100">
        <v>0</v>
      </c>
      <c r="P10" s="100">
        <v>1</v>
      </c>
      <c r="Q10" s="100">
        <v>5.42</v>
      </c>
    </row>
    <row r="11" spans="1:21" customFormat="1">
      <c r="A11" s="100" t="s">
        <v>1488</v>
      </c>
      <c r="B11" s="100">
        <v>23.96</v>
      </c>
      <c r="C11" s="100">
        <v>67.150000000000006</v>
      </c>
      <c r="D11" s="100">
        <v>53.26</v>
      </c>
      <c r="E11" s="100">
        <v>5.18</v>
      </c>
      <c r="F11" s="100">
        <v>3.71</v>
      </c>
      <c r="G11" s="100">
        <v>101.47</v>
      </c>
      <c r="H11" s="100">
        <v>31.92</v>
      </c>
      <c r="I11" s="100">
        <v>9.25</v>
      </c>
      <c r="J11" s="100">
        <v>0.22</v>
      </c>
      <c r="K11" s="100">
        <v>163.26</v>
      </c>
      <c r="L11" s="100">
        <v>26.38</v>
      </c>
      <c r="M11" s="100">
        <v>52.86</v>
      </c>
      <c r="N11" s="100">
        <v>0</v>
      </c>
      <c r="O11" s="100">
        <v>0</v>
      </c>
      <c r="P11" s="100">
        <v>1.01</v>
      </c>
      <c r="Q11" s="100">
        <v>5.5</v>
      </c>
    </row>
    <row r="12" spans="1:21" customFormat="1">
      <c r="A12" s="100" t="s">
        <v>1489</v>
      </c>
      <c r="B12" s="100">
        <v>22.65</v>
      </c>
      <c r="C12" s="100">
        <v>65.42</v>
      </c>
      <c r="D12" s="100">
        <v>51.3</v>
      </c>
      <c r="E12" s="100">
        <v>5.29</v>
      </c>
      <c r="F12" s="100">
        <v>4.37</v>
      </c>
      <c r="G12" s="100">
        <v>101.47</v>
      </c>
      <c r="H12" s="100">
        <v>31.92</v>
      </c>
      <c r="I12" s="100">
        <v>9.3000000000000007</v>
      </c>
      <c r="J12" s="100">
        <v>0.19</v>
      </c>
      <c r="K12" s="100">
        <v>191.16</v>
      </c>
      <c r="L12" s="100">
        <v>26.06</v>
      </c>
      <c r="M12" s="100">
        <v>54.01</v>
      </c>
      <c r="N12" s="100">
        <v>0</v>
      </c>
      <c r="O12" s="100">
        <v>0</v>
      </c>
      <c r="P12" s="100">
        <v>1.01</v>
      </c>
      <c r="Q12" s="100">
        <v>5.56</v>
      </c>
    </row>
    <row r="13" spans="1:21" customFormat="1">
      <c r="A13" s="100" t="s">
        <v>1490</v>
      </c>
      <c r="B13" s="100">
        <v>22.32</v>
      </c>
      <c r="C13" s="100">
        <v>64.48</v>
      </c>
      <c r="D13" s="100">
        <v>50.55</v>
      </c>
      <c r="E13" s="100">
        <v>5.46</v>
      </c>
      <c r="F13" s="100">
        <v>4.92</v>
      </c>
      <c r="G13" s="100">
        <v>101.07</v>
      </c>
      <c r="H13" s="100">
        <v>32.049999999999997</v>
      </c>
      <c r="I13" s="100">
        <v>9.36</v>
      </c>
      <c r="J13" s="100">
        <v>0.25</v>
      </c>
      <c r="K13" s="100">
        <v>144.54</v>
      </c>
      <c r="L13" s="100">
        <v>25.93</v>
      </c>
      <c r="M13" s="100">
        <v>56.42</v>
      </c>
      <c r="N13" s="100">
        <v>0</v>
      </c>
      <c r="O13" s="100">
        <v>0</v>
      </c>
      <c r="P13" s="100">
        <v>1.02</v>
      </c>
      <c r="Q13" s="100">
        <v>5.55</v>
      </c>
    </row>
    <row r="14" spans="1:21" customFormat="1">
      <c r="A14" s="100" t="s">
        <v>1491</v>
      </c>
      <c r="B14" s="100">
        <v>23.66</v>
      </c>
      <c r="C14" s="100">
        <v>65.75</v>
      </c>
      <c r="D14" s="100">
        <v>52.28</v>
      </c>
      <c r="E14" s="100">
        <v>5.39</v>
      </c>
      <c r="F14" s="100">
        <v>4.09</v>
      </c>
      <c r="G14" s="100">
        <v>101.05</v>
      </c>
      <c r="H14" s="100">
        <v>32.049999999999997</v>
      </c>
      <c r="I14" s="100">
        <v>9.35</v>
      </c>
      <c r="J14" s="100">
        <v>0.18</v>
      </c>
      <c r="K14" s="100">
        <v>207.47</v>
      </c>
      <c r="L14" s="100">
        <v>25.54</v>
      </c>
      <c r="M14" s="100">
        <v>57.19</v>
      </c>
      <c r="N14" s="100">
        <v>0</v>
      </c>
      <c r="O14" s="100">
        <v>0</v>
      </c>
      <c r="P14" s="100">
        <v>1.02</v>
      </c>
      <c r="Q14" s="100">
        <v>5.55</v>
      </c>
    </row>
    <row r="15" spans="1:21" customFormat="1">
      <c r="A15" s="100" t="s">
        <v>1492</v>
      </c>
      <c r="B15" s="100">
        <v>23.69</v>
      </c>
      <c r="C15" s="100">
        <v>64.430000000000007</v>
      </c>
      <c r="D15" s="100">
        <v>51.61</v>
      </c>
      <c r="E15" s="100">
        <v>4.67</v>
      </c>
      <c r="F15" s="100">
        <v>4.29</v>
      </c>
      <c r="G15" s="100">
        <v>101.05</v>
      </c>
      <c r="H15" s="100">
        <v>32.049999999999997</v>
      </c>
      <c r="I15" s="100">
        <v>9.34</v>
      </c>
      <c r="J15" s="100">
        <v>0.15</v>
      </c>
      <c r="K15" s="100">
        <v>190.25</v>
      </c>
      <c r="L15" s="100">
        <v>25.72</v>
      </c>
      <c r="M15" s="100">
        <v>55.43</v>
      </c>
      <c r="N15" s="100">
        <v>0</v>
      </c>
      <c r="O15" s="100">
        <v>0</v>
      </c>
      <c r="P15" s="100">
        <v>1.03</v>
      </c>
      <c r="Q15" s="100">
        <v>5.53</v>
      </c>
    </row>
    <row r="16" spans="1:21" customFormat="1">
      <c r="A16" s="100" t="s">
        <v>1493</v>
      </c>
      <c r="B16" s="100">
        <v>24.59</v>
      </c>
      <c r="C16" s="100">
        <v>65.48</v>
      </c>
      <c r="D16" s="100">
        <v>52.89</v>
      </c>
      <c r="E16" s="100">
        <v>4.57</v>
      </c>
      <c r="F16" s="100">
        <v>3.83</v>
      </c>
      <c r="G16" s="100">
        <v>101.05</v>
      </c>
      <c r="H16" s="100">
        <v>32.049999999999997</v>
      </c>
      <c r="I16" s="100">
        <v>9.3699999999999992</v>
      </c>
      <c r="J16" s="100">
        <v>0.13</v>
      </c>
      <c r="K16" s="100">
        <v>198.98</v>
      </c>
      <c r="L16" s="100">
        <v>25.47</v>
      </c>
      <c r="M16" s="100">
        <v>57.21</v>
      </c>
      <c r="N16" s="100">
        <v>0</v>
      </c>
      <c r="O16" s="100">
        <v>0</v>
      </c>
      <c r="P16" s="100">
        <v>1.02</v>
      </c>
      <c r="Q16" s="100">
        <v>5.59</v>
      </c>
    </row>
    <row r="17" spans="1:17" customFormat="1">
      <c r="A17" s="100" t="s">
        <v>1494</v>
      </c>
      <c r="B17" s="100">
        <v>23.25</v>
      </c>
      <c r="C17" s="100">
        <v>61.9</v>
      </c>
      <c r="D17" s="100">
        <v>49.94</v>
      </c>
      <c r="E17" s="100">
        <v>5.23</v>
      </c>
      <c r="F17" s="100">
        <v>3.97</v>
      </c>
      <c r="G17" s="100">
        <v>94.65</v>
      </c>
      <c r="H17" s="100">
        <v>29.88</v>
      </c>
      <c r="I17" s="100">
        <v>9.39</v>
      </c>
      <c r="J17" s="100">
        <v>0.1</v>
      </c>
      <c r="K17" s="100">
        <v>150.58000000000001</v>
      </c>
      <c r="L17" s="100">
        <v>25.37</v>
      </c>
      <c r="M17" s="100">
        <v>58.77</v>
      </c>
      <c r="N17" s="100">
        <v>0</v>
      </c>
      <c r="O17" s="100">
        <v>0</v>
      </c>
      <c r="P17" s="100">
        <v>1.01</v>
      </c>
      <c r="Q17" s="100">
        <v>5.61</v>
      </c>
    </row>
    <row r="18" spans="1:17" customFormat="1">
      <c r="A18" s="100" t="s">
        <v>1495</v>
      </c>
      <c r="B18" s="100">
        <v>31.64</v>
      </c>
      <c r="C18" s="100">
        <v>63.89</v>
      </c>
      <c r="D18" s="100">
        <v>57.71</v>
      </c>
      <c r="E18" s="100">
        <v>6.84</v>
      </c>
      <c r="F18" s="100">
        <v>3.73</v>
      </c>
      <c r="G18" s="100">
        <v>94.35</v>
      </c>
      <c r="H18" s="100">
        <v>29.88</v>
      </c>
      <c r="I18" s="100">
        <v>9.3699999999999992</v>
      </c>
      <c r="J18" s="100">
        <v>0.22</v>
      </c>
      <c r="K18" s="100">
        <v>138.44</v>
      </c>
      <c r="L18" s="100">
        <v>25.55</v>
      </c>
      <c r="M18" s="100">
        <v>58.16</v>
      </c>
      <c r="N18" s="100">
        <v>0</v>
      </c>
      <c r="O18" s="100">
        <v>0</v>
      </c>
      <c r="P18" s="100">
        <v>1.02</v>
      </c>
      <c r="Q18" s="100">
        <v>5.62</v>
      </c>
    </row>
    <row r="19" spans="1:17" customFormat="1">
      <c r="A19" s="100" t="s">
        <v>1496</v>
      </c>
      <c r="B19" s="100">
        <v>29.37</v>
      </c>
      <c r="C19" s="100">
        <v>65.2</v>
      </c>
      <c r="D19" s="100">
        <v>56.57</v>
      </c>
      <c r="E19" s="100">
        <v>6.29</v>
      </c>
      <c r="F19" s="100">
        <v>3.61</v>
      </c>
      <c r="G19" s="100">
        <v>94.35</v>
      </c>
      <c r="H19" s="100">
        <v>29.88</v>
      </c>
      <c r="I19" s="100">
        <v>9.35</v>
      </c>
      <c r="J19" s="100">
        <v>0.22</v>
      </c>
      <c r="K19" s="100">
        <v>148.97</v>
      </c>
      <c r="L19" s="100">
        <v>25.17</v>
      </c>
      <c r="M19" s="100">
        <v>62.15</v>
      </c>
      <c r="N19" s="100">
        <v>0</v>
      </c>
      <c r="O19" s="100">
        <v>0</v>
      </c>
      <c r="P19" s="100">
        <v>1.01</v>
      </c>
      <c r="Q19" s="100">
        <v>5.65</v>
      </c>
    </row>
    <row r="20" spans="1:17" customFormat="1">
      <c r="A20" s="100" t="s">
        <v>1497</v>
      </c>
      <c r="B20" s="100">
        <v>29.14</v>
      </c>
      <c r="C20" s="100">
        <v>65.900000000000006</v>
      </c>
      <c r="D20" s="100">
        <v>56.76</v>
      </c>
      <c r="E20" s="100">
        <v>6.77</v>
      </c>
      <c r="F20" s="100">
        <v>3.63</v>
      </c>
      <c r="G20" s="100">
        <v>94.35</v>
      </c>
      <c r="H20" s="100">
        <v>29.88</v>
      </c>
      <c r="I20" s="100">
        <v>9.36</v>
      </c>
      <c r="J20" s="100">
        <v>0.24</v>
      </c>
      <c r="K20" s="100">
        <v>164.9</v>
      </c>
      <c r="L20" s="100">
        <v>24.97</v>
      </c>
      <c r="M20" s="100">
        <v>61.54</v>
      </c>
      <c r="N20" s="100">
        <v>0</v>
      </c>
      <c r="O20" s="100">
        <v>0</v>
      </c>
      <c r="P20" s="100">
        <v>1.02</v>
      </c>
      <c r="Q20" s="100">
        <v>5.72</v>
      </c>
    </row>
    <row r="21" spans="1:17" customFormat="1">
      <c r="A21" s="100" t="s">
        <v>1498</v>
      </c>
      <c r="B21" s="100">
        <v>29.15</v>
      </c>
      <c r="C21" s="100">
        <v>66.11</v>
      </c>
      <c r="D21" s="100">
        <v>56.87</v>
      </c>
      <c r="E21" s="100">
        <v>6.38</v>
      </c>
      <c r="F21" s="100">
        <v>3.59</v>
      </c>
      <c r="G21" s="100">
        <v>93.29</v>
      </c>
      <c r="H21" s="100">
        <v>30.95</v>
      </c>
      <c r="I21" s="100">
        <v>9.36</v>
      </c>
      <c r="J21" s="100">
        <v>0.26</v>
      </c>
      <c r="K21" s="100">
        <v>246.06</v>
      </c>
      <c r="L21" s="100">
        <v>24.63</v>
      </c>
      <c r="M21" s="100">
        <v>61.04</v>
      </c>
      <c r="N21" s="100">
        <v>0</v>
      </c>
      <c r="O21" s="100">
        <v>0</v>
      </c>
      <c r="P21" s="100">
        <v>1.01</v>
      </c>
      <c r="Q21" s="100">
        <v>5.79</v>
      </c>
    </row>
    <row r="22" spans="1:17" customFormat="1">
      <c r="A22" s="100" t="s">
        <v>1499</v>
      </c>
      <c r="B22" s="100">
        <v>30.54</v>
      </c>
      <c r="C22" s="100">
        <v>66.38</v>
      </c>
      <c r="D22" s="100">
        <v>58.13</v>
      </c>
      <c r="E22" s="100">
        <v>6.55</v>
      </c>
      <c r="F22" s="100">
        <v>3.56</v>
      </c>
      <c r="G22" s="100">
        <v>93.24</v>
      </c>
      <c r="H22" s="100">
        <v>30.95</v>
      </c>
      <c r="I22" s="100">
        <v>9.3800000000000008</v>
      </c>
      <c r="J22" s="100">
        <v>0.24</v>
      </c>
      <c r="K22" s="100">
        <v>168.09</v>
      </c>
      <c r="L22" s="100">
        <v>24.45</v>
      </c>
      <c r="M22" s="100">
        <v>64.650000000000006</v>
      </c>
      <c r="N22" s="100">
        <v>0</v>
      </c>
      <c r="O22" s="100">
        <v>0</v>
      </c>
      <c r="P22" s="100">
        <v>1.02</v>
      </c>
      <c r="Q22" s="100">
        <v>5.83</v>
      </c>
    </row>
    <row r="23" spans="1:17" customFormat="1">
      <c r="A23" s="100" t="s">
        <v>1500</v>
      </c>
      <c r="B23" s="100">
        <v>31.06</v>
      </c>
      <c r="C23" s="100">
        <v>65.739999999999995</v>
      </c>
      <c r="D23" s="100">
        <v>58.21</v>
      </c>
      <c r="E23" s="100">
        <v>6.72</v>
      </c>
      <c r="F23" s="100">
        <v>3.69</v>
      </c>
      <c r="G23" s="100">
        <v>93.24</v>
      </c>
      <c r="H23" s="100">
        <v>30.95</v>
      </c>
      <c r="I23" s="100">
        <v>9.41</v>
      </c>
      <c r="J23" s="100">
        <v>0.19</v>
      </c>
      <c r="K23" s="100">
        <v>161.97999999999999</v>
      </c>
      <c r="L23" s="100">
        <v>23.97</v>
      </c>
      <c r="M23" s="100">
        <v>66.55</v>
      </c>
      <c r="N23" s="100">
        <v>0</v>
      </c>
      <c r="O23" s="100">
        <v>0</v>
      </c>
      <c r="P23" s="100">
        <v>1</v>
      </c>
      <c r="Q23" s="100">
        <v>5.82</v>
      </c>
    </row>
    <row r="24" spans="1:17" customFormat="1">
      <c r="A24" s="100" t="s">
        <v>1501</v>
      </c>
      <c r="B24" s="100">
        <v>31.15</v>
      </c>
      <c r="C24" s="100">
        <v>65.540000000000006</v>
      </c>
      <c r="D24" s="100">
        <v>58.18</v>
      </c>
      <c r="E24" s="100">
        <v>6.82</v>
      </c>
      <c r="F24" s="100">
        <v>3.53</v>
      </c>
      <c r="G24" s="100">
        <v>93.24</v>
      </c>
      <c r="H24" s="100">
        <v>30.95</v>
      </c>
      <c r="I24" s="100">
        <v>9.44</v>
      </c>
      <c r="J24" s="100">
        <v>0.24</v>
      </c>
      <c r="K24" s="100">
        <v>160.15</v>
      </c>
      <c r="L24" s="100">
        <v>23.85</v>
      </c>
      <c r="M24" s="100">
        <v>67.36</v>
      </c>
      <c r="N24" s="100">
        <v>0</v>
      </c>
      <c r="O24" s="100">
        <v>0</v>
      </c>
      <c r="P24" s="100">
        <v>1.01</v>
      </c>
      <c r="Q24" s="100">
        <v>5.81</v>
      </c>
    </row>
    <row r="25" spans="1:17" customFormat="1">
      <c r="A25" s="100" t="s">
        <v>1502</v>
      </c>
      <c r="B25" s="100">
        <v>31.06</v>
      </c>
      <c r="C25" s="100">
        <v>65.12</v>
      </c>
      <c r="D25" s="100">
        <v>57.88</v>
      </c>
      <c r="E25" s="100">
        <v>6.69</v>
      </c>
      <c r="F25" s="100">
        <v>3.48</v>
      </c>
      <c r="G25" s="100">
        <v>88.47</v>
      </c>
      <c r="H25" s="100">
        <v>29.85</v>
      </c>
      <c r="I25" s="100">
        <v>9.41</v>
      </c>
      <c r="J25" s="100">
        <v>0.16</v>
      </c>
      <c r="K25" s="100">
        <v>174.8</v>
      </c>
      <c r="L25" s="100">
        <v>23.69</v>
      </c>
      <c r="M25" s="100">
        <v>67.44</v>
      </c>
      <c r="N25" s="100">
        <v>0</v>
      </c>
      <c r="O25" s="100">
        <v>0</v>
      </c>
      <c r="P25" s="100">
        <v>1</v>
      </c>
      <c r="Q25" s="100">
        <v>5.84</v>
      </c>
    </row>
    <row r="26" spans="1:17" customFormat="1">
      <c r="A26" s="100" t="s">
        <v>1503</v>
      </c>
      <c r="B26" s="100">
        <v>31.21</v>
      </c>
      <c r="C26" s="100">
        <v>64.77</v>
      </c>
      <c r="D26" s="100">
        <v>57.82</v>
      </c>
      <c r="E26" s="100">
        <v>7.13</v>
      </c>
      <c r="F26" s="100">
        <v>3.54</v>
      </c>
      <c r="G26" s="100">
        <v>88.25</v>
      </c>
      <c r="H26" s="100">
        <v>29.85</v>
      </c>
      <c r="I26" s="100">
        <v>9.4</v>
      </c>
      <c r="J26" s="100">
        <v>0.23</v>
      </c>
      <c r="K26" s="100">
        <v>171.41</v>
      </c>
      <c r="L26" s="100">
        <v>23.68</v>
      </c>
      <c r="M26" s="100">
        <v>67.86</v>
      </c>
      <c r="N26" s="100">
        <v>0</v>
      </c>
      <c r="O26" s="100">
        <v>0</v>
      </c>
      <c r="P26" s="100">
        <v>1.01</v>
      </c>
      <c r="Q26" s="100">
        <v>5.82</v>
      </c>
    </row>
    <row r="27" spans="1:17" customFormat="1">
      <c r="A27" s="100" t="s">
        <v>1504</v>
      </c>
      <c r="B27" s="100">
        <v>31.25</v>
      </c>
      <c r="C27" s="100">
        <v>64.83</v>
      </c>
      <c r="D27" s="100">
        <v>57.88</v>
      </c>
      <c r="E27" s="100">
        <v>6.39</v>
      </c>
      <c r="F27" s="100">
        <v>3.38</v>
      </c>
      <c r="G27" s="100">
        <v>88.25</v>
      </c>
      <c r="H27" s="100">
        <v>29.85</v>
      </c>
      <c r="I27" s="100">
        <v>9.41</v>
      </c>
      <c r="J27" s="100">
        <v>0.21</v>
      </c>
      <c r="K27" s="100">
        <v>164.84</v>
      </c>
      <c r="L27" s="100">
        <v>23.48</v>
      </c>
      <c r="M27" s="100">
        <v>69.150000000000006</v>
      </c>
      <c r="N27" s="100">
        <v>0</v>
      </c>
      <c r="O27" s="100">
        <v>0</v>
      </c>
      <c r="P27" s="100">
        <v>1</v>
      </c>
      <c r="Q27" s="100">
        <v>5.79</v>
      </c>
    </row>
    <row r="28" spans="1:17" customFormat="1">
      <c r="A28" s="100" t="s">
        <v>1505</v>
      </c>
      <c r="B28" s="100">
        <v>31.19</v>
      </c>
      <c r="C28" s="100">
        <v>64.349999999999994</v>
      </c>
      <c r="D28" s="100">
        <v>57.59</v>
      </c>
      <c r="E28" s="100">
        <v>6.68</v>
      </c>
      <c r="F28" s="100">
        <v>3.63</v>
      </c>
      <c r="G28" s="100">
        <v>88.25</v>
      </c>
      <c r="H28" s="100">
        <v>29.85</v>
      </c>
      <c r="I28" s="100">
        <v>9.44</v>
      </c>
      <c r="J28" s="100">
        <v>0.18</v>
      </c>
      <c r="K28" s="100">
        <v>175.5</v>
      </c>
      <c r="L28" s="100">
        <v>23.31</v>
      </c>
      <c r="M28" s="100">
        <v>68.67</v>
      </c>
      <c r="N28" s="100">
        <v>0</v>
      </c>
      <c r="O28" s="100">
        <v>0</v>
      </c>
      <c r="P28" s="100">
        <v>1.01</v>
      </c>
      <c r="Q28" s="100">
        <v>5.79</v>
      </c>
    </row>
    <row r="29" spans="1:17" customFormat="1">
      <c r="A29" s="100" t="s">
        <v>1506</v>
      </c>
      <c r="B29" s="100">
        <v>31.14</v>
      </c>
      <c r="C29" s="100">
        <v>64.66</v>
      </c>
      <c r="D29" s="100">
        <v>57.71</v>
      </c>
      <c r="E29" s="100">
        <v>6.52</v>
      </c>
      <c r="F29" s="100">
        <v>3.6</v>
      </c>
      <c r="G29" s="100">
        <v>82.77</v>
      </c>
      <c r="H29" s="100">
        <v>28.83</v>
      </c>
      <c r="I29" s="100">
        <v>9.49</v>
      </c>
      <c r="J29" s="100">
        <v>0.11</v>
      </c>
      <c r="K29" s="100">
        <v>160.18</v>
      </c>
      <c r="L29" s="100">
        <v>23.18</v>
      </c>
      <c r="M29" s="100">
        <v>68.209999999999994</v>
      </c>
      <c r="N29" s="100">
        <v>0</v>
      </c>
      <c r="O29" s="100">
        <v>0</v>
      </c>
      <c r="P29" s="100">
        <v>1.01</v>
      </c>
      <c r="Q29" s="100">
        <v>5.83</v>
      </c>
    </row>
    <row r="30" spans="1:17" customFormat="1">
      <c r="A30" s="100" t="s">
        <v>1507</v>
      </c>
      <c r="B30" s="100">
        <v>31.26</v>
      </c>
      <c r="C30" s="100">
        <v>64.849999999999994</v>
      </c>
      <c r="D30" s="100">
        <v>57.9</v>
      </c>
      <c r="E30" s="100">
        <v>6.35</v>
      </c>
      <c r="F30" s="100">
        <v>3.59</v>
      </c>
      <c r="G30" s="100">
        <v>82.52</v>
      </c>
      <c r="H30" s="100">
        <v>28.83</v>
      </c>
      <c r="I30" s="100">
        <v>9.49</v>
      </c>
      <c r="J30" s="100">
        <v>0.16</v>
      </c>
      <c r="K30" s="100">
        <v>161.5</v>
      </c>
      <c r="L30" s="100">
        <v>23.28</v>
      </c>
      <c r="M30" s="100">
        <v>67.02</v>
      </c>
      <c r="N30" s="100">
        <v>0</v>
      </c>
      <c r="O30" s="100">
        <v>0</v>
      </c>
      <c r="P30" s="100">
        <v>1</v>
      </c>
      <c r="Q30" s="100">
        <v>5.83</v>
      </c>
    </row>
    <row r="31" spans="1:17" customFormat="1">
      <c r="A31" s="100" t="s">
        <v>1508</v>
      </c>
      <c r="B31" s="100">
        <v>31.96</v>
      </c>
      <c r="C31" s="100">
        <v>64.53</v>
      </c>
      <c r="D31" s="100">
        <v>58.29</v>
      </c>
      <c r="E31" s="100">
        <v>6.31</v>
      </c>
      <c r="F31" s="100">
        <v>3.67</v>
      </c>
      <c r="G31" s="100">
        <v>82.52</v>
      </c>
      <c r="H31" s="100">
        <v>28.83</v>
      </c>
      <c r="I31" s="100">
        <v>9.5</v>
      </c>
      <c r="J31" s="100">
        <v>0.22</v>
      </c>
      <c r="K31" s="100">
        <v>174.76</v>
      </c>
      <c r="L31" s="100">
        <v>23.38</v>
      </c>
      <c r="M31" s="100">
        <v>68.03</v>
      </c>
      <c r="N31" s="100">
        <v>6.6</v>
      </c>
      <c r="O31" s="100">
        <v>0</v>
      </c>
      <c r="P31" s="100">
        <v>0.99</v>
      </c>
      <c r="Q31" s="100">
        <v>5.86</v>
      </c>
    </row>
    <row r="32" spans="1:17" customFormat="1">
      <c r="A32" s="100" t="s">
        <v>1509</v>
      </c>
      <c r="B32" s="100">
        <v>32.42</v>
      </c>
      <c r="C32" s="100">
        <v>64.22</v>
      </c>
      <c r="D32" s="100">
        <v>58.51</v>
      </c>
      <c r="E32" s="100">
        <v>6.74</v>
      </c>
      <c r="F32" s="100">
        <v>3.52</v>
      </c>
      <c r="G32" s="100">
        <v>82.52</v>
      </c>
      <c r="H32" s="100">
        <v>28.83</v>
      </c>
      <c r="I32" s="100">
        <v>9.51</v>
      </c>
      <c r="J32" s="100">
        <v>0.18</v>
      </c>
      <c r="K32" s="100">
        <v>145.02000000000001</v>
      </c>
      <c r="L32" s="100">
        <v>23.43</v>
      </c>
      <c r="M32" s="100">
        <v>69.569999999999993</v>
      </c>
      <c r="N32" s="100">
        <v>18.2</v>
      </c>
      <c r="O32" s="100">
        <v>0</v>
      </c>
      <c r="P32" s="100">
        <v>1</v>
      </c>
      <c r="Q32" s="100">
        <v>5.86</v>
      </c>
    </row>
    <row r="33" spans="1:17" customFormat="1">
      <c r="A33" s="100" t="s">
        <v>1510</v>
      </c>
      <c r="B33" s="100">
        <v>33.07</v>
      </c>
      <c r="C33" s="100">
        <v>64.31</v>
      </c>
      <c r="D33" s="100">
        <v>59.08</v>
      </c>
      <c r="E33" s="100">
        <v>7.2</v>
      </c>
      <c r="F33" s="100">
        <v>3.6</v>
      </c>
      <c r="G33" s="100">
        <v>77.14</v>
      </c>
      <c r="H33" s="100">
        <v>28.13</v>
      </c>
      <c r="I33" s="100">
        <v>9.5</v>
      </c>
      <c r="J33" s="100">
        <v>0.2</v>
      </c>
      <c r="K33" s="100">
        <v>156.93</v>
      </c>
      <c r="L33" s="100">
        <v>24.19</v>
      </c>
      <c r="M33" s="100">
        <v>66.3</v>
      </c>
      <c r="N33" s="100">
        <v>30.6</v>
      </c>
      <c r="O33" s="100">
        <v>0</v>
      </c>
      <c r="P33" s="100">
        <v>0.99</v>
      </c>
      <c r="Q33" s="100">
        <v>5.92</v>
      </c>
    </row>
    <row r="34" spans="1:17" customFormat="1">
      <c r="A34" s="100" t="s">
        <v>1511</v>
      </c>
      <c r="B34" s="100">
        <v>33.619999999999997</v>
      </c>
      <c r="C34" s="100">
        <v>64.430000000000007</v>
      </c>
      <c r="D34" s="100">
        <v>59.58</v>
      </c>
      <c r="E34" s="100">
        <v>6.74</v>
      </c>
      <c r="F34" s="100">
        <v>3.7</v>
      </c>
      <c r="G34" s="100">
        <v>76.89</v>
      </c>
      <c r="H34" s="100">
        <v>28.13</v>
      </c>
      <c r="I34" s="100">
        <v>9.52</v>
      </c>
      <c r="J34" s="100">
        <v>0.28999999999999998</v>
      </c>
      <c r="K34" s="100">
        <v>163.47</v>
      </c>
      <c r="L34" s="100">
        <v>24.52</v>
      </c>
      <c r="M34" s="100">
        <v>67.03</v>
      </c>
      <c r="N34" s="100">
        <v>42.4</v>
      </c>
      <c r="O34" s="100">
        <v>0</v>
      </c>
      <c r="P34" s="100">
        <v>1</v>
      </c>
      <c r="Q34" s="100">
        <v>5.92</v>
      </c>
    </row>
    <row r="35" spans="1:17" customFormat="1">
      <c r="A35" s="100" t="s">
        <v>1512</v>
      </c>
      <c r="B35" s="100">
        <v>33.840000000000003</v>
      </c>
      <c r="C35" s="100">
        <v>64.41</v>
      </c>
      <c r="D35" s="100">
        <v>59.74</v>
      </c>
      <c r="E35" s="100">
        <v>6.69</v>
      </c>
      <c r="F35" s="100">
        <v>3.64</v>
      </c>
      <c r="G35" s="100">
        <v>76.89</v>
      </c>
      <c r="H35" s="100">
        <v>28.13</v>
      </c>
      <c r="I35" s="100">
        <v>9.5399999999999991</v>
      </c>
      <c r="J35" s="100">
        <v>0.21</v>
      </c>
      <c r="K35" s="100">
        <v>157.66999999999999</v>
      </c>
      <c r="L35" s="100">
        <v>25.26</v>
      </c>
      <c r="M35" s="100">
        <v>62.7</v>
      </c>
      <c r="N35" s="100">
        <v>54</v>
      </c>
      <c r="O35" s="100">
        <v>0</v>
      </c>
      <c r="P35" s="100">
        <v>0.99</v>
      </c>
      <c r="Q35" s="100">
        <v>5.94</v>
      </c>
    </row>
    <row r="36" spans="1:17" customFormat="1">
      <c r="A36" s="100" t="s">
        <v>1513</v>
      </c>
      <c r="B36" s="100">
        <v>34.29</v>
      </c>
      <c r="C36" s="100">
        <v>65.319999999999993</v>
      </c>
      <c r="D36" s="100">
        <v>60.58</v>
      </c>
      <c r="E36" s="100">
        <v>7.91</v>
      </c>
      <c r="F36" s="100">
        <v>3.73</v>
      </c>
      <c r="G36" s="100">
        <v>76.89</v>
      </c>
      <c r="H36" s="100">
        <v>28.13</v>
      </c>
      <c r="I36" s="100">
        <v>9.58</v>
      </c>
      <c r="J36" s="100">
        <v>7.0000000000000007E-2</v>
      </c>
      <c r="K36" s="100">
        <v>174.95</v>
      </c>
      <c r="L36" s="100">
        <v>26.74</v>
      </c>
      <c r="M36" s="100">
        <v>54.31</v>
      </c>
      <c r="N36" s="100">
        <v>63.3</v>
      </c>
      <c r="O36" s="100">
        <v>0</v>
      </c>
      <c r="P36" s="100">
        <v>1.02</v>
      </c>
      <c r="Q36" s="100">
        <v>5.97</v>
      </c>
    </row>
    <row r="37" spans="1:17" customFormat="1">
      <c r="A37" s="100" t="s">
        <v>1514</v>
      </c>
      <c r="B37" s="100">
        <v>34.58</v>
      </c>
      <c r="C37" s="100">
        <v>66.44</v>
      </c>
      <c r="D37" s="100">
        <v>61.4</v>
      </c>
      <c r="E37" s="100">
        <v>10.84</v>
      </c>
      <c r="F37" s="100">
        <v>4.03</v>
      </c>
      <c r="G37" s="100">
        <v>92.29</v>
      </c>
      <c r="H37" s="100">
        <v>32.99</v>
      </c>
      <c r="I37" s="100">
        <v>9.66</v>
      </c>
      <c r="J37" s="100">
        <v>0.31</v>
      </c>
      <c r="K37" s="100">
        <v>48.31</v>
      </c>
      <c r="L37" s="100">
        <v>28.78</v>
      </c>
      <c r="M37" s="100">
        <v>42.55</v>
      </c>
      <c r="N37" s="100">
        <v>72.599999999999994</v>
      </c>
      <c r="O37" s="100">
        <v>0</v>
      </c>
      <c r="P37" s="100">
        <v>1.05</v>
      </c>
      <c r="Q37" s="100">
        <v>6.04</v>
      </c>
    </row>
    <row r="38" spans="1:17" customFormat="1">
      <c r="A38" s="100" t="s">
        <v>1515</v>
      </c>
      <c r="B38" s="100">
        <v>34.770000000000003</v>
      </c>
      <c r="C38" s="100">
        <v>68.040000000000006</v>
      </c>
      <c r="D38" s="100">
        <v>62.39</v>
      </c>
      <c r="E38" s="100">
        <v>19.3</v>
      </c>
      <c r="F38" s="100">
        <v>5.15</v>
      </c>
      <c r="G38" s="100">
        <v>93.01</v>
      </c>
      <c r="H38" s="100">
        <v>32.99</v>
      </c>
      <c r="I38" s="100">
        <v>9.86</v>
      </c>
      <c r="J38" s="100">
        <v>0.44</v>
      </c>
      <c r="K38" s="100">
        <v>46.35</v>
      </c>
      <c r="L38" s="100">
        <v>29.8</v>
      </c>
      <c r="M38" s="100">
        <v>38.58</v>
      </c>
      <c r="N38" s="100">
        <v>82.2</v>
      </c>
      <c r="O38" s="100">
        <v>0</v>
      </c>
      <c r="P38" s="100">
        <v>1.1200000000000001</v>
      </c>
      <c r="Q38" s="100">
        <v>6.09</v>
      </c>
    </row>
    <row r="39" spans="1:17" customFormat="1">
      <c r="A39" s="100" t="s">
        <v>1516</v>
      </c>
      <c r="B39" s="100">
        <v>33.86</v>
      </c>
      <c r="C39" s="100">
        <v>68.53</v>
      </c>
      <c r="D39" s="100">
        <v>61.92</v>
      </c>
      <c r="E39" s="100">
        <v>22.78</v>
      </c>
      <c r="F39" s="100">
        <v>7.52</v>
      </c>
      <c r="G39" s="100">
        <v>93.01</v>
      </c>
      <c r="H39" s="100">
        <v>32.99</v>
      </c>
      <c r="I39" s="100">
        <v>10.220000000000001</v>
      </c>
      <c r="J39" s="100">
        <v>0.27</v>
      </c>
      <c r="K39" s="100">
        <v>15.08</v>
      </c>
      <c r="L39" s="100">
        <v>30.66</v>
      </c>
      <c r="M39" s="100">
        <v>37.409999999999997</v>
      </c>
      <c r="N39" s="100">
        <v>91.3</v>
      </c>
      <c r="O39" s="100">
        <v>0</v>
      </c>
      <c r="P39" s="100">
        <v>1.17</v>
      </c>
      <c r="Q39" s="100">
        <v>6.13</v>
      </c>
    </row>
    <row r="40" spans="1:17" customFormat="1">
      <c r="A40" s="100" t="s">
        <v>1517</v>
      </c>
      <c r="B40" s="100">
        <v>31.5</v>
      </c>
      <c r="C40" s="100">
        <v>67.209999999999994</v>
      </c>
      <c r="D40" s="100">
        <v>59.33</v>
      </c>
      <c r="E40" s="100">
        <v>16.829999999999998</v>
      </c>
      <c r="F40" s="100">
        <v>8.2200000000000006</v>
      </c>
      <c r="G40" s="100">
        <v>93.01</v>
      </c>
      <c r="H40" s="100">
        <v>32.99</v>
      </c>
      <c r="I40" s="100">
        <v>10.63</v>
      </c>
      <c r="J40" s="100">
        <v>0.28000000000000003</v>
      </c>
      <c r="K40" s="100">
        <v>311.93</v>
      </c>
      <c r="L40" s="100">
        <v>31.16</v>
      </c>
      <c r="M40" s="100">
        <v>35.979999999999997</v>
      </c>
      <c r="N40" s="100">
        <v>100.6</v>
      </c>
      <c r="O40" s="100">
        <v>0</v>
      </c>
      <c r="P40" s="100">
        <v>1.18</v>
      </c>
      <c r="Q40" s="100">
        <v>6.12</v>
      </c>
    </row>
    <row r="41" spans="1:17" customFormat="1">
      <c r="A41" s="100" t="s">
        <v>1518</v>
      </c>
      <c r="B41" s="100">
        <v>31.13</v>
      </c>
      <c r="C41" s="100">
        <v>69.959999999999994</v>
      </c>
      <c r="D41" s="100">
        <v>60.47</v>
      </c>
      <c r="E41" s="100">
        <v>21.01</v>
      </c>
      <c r="F41" s="100">
        <v>10.52</v>
      </c>
      <c r="G41" s="100">
        <v>211.11</v>
      </c>
      <c r="H41" s="100">
        <v>49.86</v>
      </c>
      <c r="I41" s="100">
        <v>10.91</v>
      </c>
      <c r="J41" s="100">
        <v>0.11</v>
      </c>
      <c r="K41" s="100">
        <v>19.329999999999998</v>
      </c>
      <c r="L41" s="100">
        <v>32.130000000000003</v>
      </c>
      <c r="M41" s="100">
        <v>32.92</v>
      </c>
      <c r="N41" s="100">
        <v>108.3</v>
      </c>
      <c r="O41" s="100">
        <v>0</v>
      </c>
      <c r="P41" s="100">
        <v>1.21</v>
      </c>
      <c r="Q41" s="100">
        <v>6.11</v>
      </c>
    </row>
    <row r="42" spans="1:17" customFormat="1">
      <c r="A42" s="100" t="s">
        <v>1519</v>
      </c>
      <c r="B42" s="100">
        <v>28.57</v>
      </c>
      <c r="C42" s="100">
        <v>69.53</v>
      </c>
      <c r="D42" s="100">
        <v>58.2</v>
      </c>
      <c r="E42" s="100">
        <v>26.96</v>
      </c>
      <c r="F42" s="100">
        <v>11.77</v>
      </c>
      <c r="G42" s="100">
        <v>216.61</v>
      </c>
      <c r="H42" s="100">
        <v>49.86</v>
      </c>
      <c r="I42" s="100">
        <v>11.1</v>
      </c>
      <c r="J42" s="100">
        <v>0.34</v>
      </c>
      <c r="K42" s="100">
        <v>86.19</v>
      </c>
      <c r="L42" s="100">
        <v>33.17</v>
      </c>
      <c r="M42" s="100">
        <v>30.67</v>
      </c>
      <c r="N42" s="100">
        <v>117.5</v>
      </c>
      <c r="O42" s="100">
        <v>0</v>
      </c>
      <c r="P42" s="100">
        <v>1.19</v>
      </c>
      <c r="Q42" s="100">
        <v>6.07</v>
      </c>
    </row>
    <row r="43" spans="1:17" customFormat="1">
      <c r="A43" s="100" t="s">
        <v>1520</v>
      </c>
      <c r="B43" s="100">
        <v>27.08</v>
      </c>
      <c r="C43" s="100">
        <v>71.23</v>
      </c>
      <c r="D43" s="100">
        <v>57.89</v>
      </c>
      <c r="E43" s="100">
        <v>28.12</v>
      </c>
      <c r="F43" s="100">
        <v>12.1</v>
      </c>
      <c r="G43" s="100">
        <v>216.61</v>
      </c>
      <c r="H43" s="100">
        <v>49.86</v>
      </c>
      <c r="I43" s="100">
        <v>11.09</v>
      </c>
      <c r="J43" s="100">
        <v>0.51</v>
      </c>
      <c r="K43" s="100">
        <v>68.680000000000007</v>
      </c>
      <c r="L43" s="100">
        <v>33.43</v>
      </c>
      <c r="M43" s="100">
        <v>30.26</v>
      </c>
      <c r="N43" s="100">
        <v>128.9</v>
      </c>
      <c r="O43" s="100">
        <v>0</v>
      </c>
      <c r="P43" s="100">
        <v>1.2</v>
      </c>
      <c r="Q43" s="100">
        <v>5.99</v>
      </c>
    </row>
    <row r="44" spans="1:17" customFormat="1">
      <c r="A44" s="100" t="s">
        <v>1521</v>
      </c>
      <c r="B44" s="100">
        <v>25.28</v>
      </c>
      <c r="C44" s="100">
        <v>69.05</v>
      </c>
      <c r="D44" s="100">
        <v>55.3</v>
      </c>
      <c r="E44" s="100">
        <v>38.54</v>
      </c>
      <c r="F44" s="100">
        <v>17.329999999999998</v>
      </c>
      <c r="G44" s="100">
        <v>216.61</v>
      </c>
      <c r="H44" s="100">
        <v>49.86</v>
      </c>
      <c r="I44" s="100">
        <v>10.94</v>
      </c>
      <c r="J44" s="100">
        <v>0.62</v>
      </c>
      <c r="K44" s="100">
        <v>30.11</v>
      </c>
      <c r="L44" s="100">
        <v>34.43</v>
      </c>
      <c r="M44" s="100">
        <v>26.35</v>
      </c>
      <c r="N44" s="100">
        <v>137.9</v>
      </c>
      <c r="O44" s="100">
        <v>0</v>
      </c>
      <c r="P44" s="100">
        <v>1.1599999999999999</v>
      </c>
      <c r="Q44" s="100">
        <v>5.94</v>
      </c>
    </row>
    <row r="45" spans="1:17" customFormat="1">
      <c r="A45" s="100" t="s">
        <v>1522</v>
      </c>
      <c r="B45" s="100">
        <v>22.42</v>
      </c>
      <c r="C45" s="100">
        <v>68.37</v>
      </c>
      <c r="D45" s="100">
        <v>52.66</v>
      </c>
      <c r="E45" s="100">
        <v>24.08</v>
      </c>
      <c r="F45" s="100">
        <v>17.2</v>
      </c>
      <c r="G45" s="100">
        <v>179.78</v>
      </c>
      <c r="H45" s="100">
        <v>53.25</v>
      </c>
      <c r="I45" s="100">
        <v>10.83</v>
      </c>
      <c r="J45" s="100">
        <v>0.92</v>
      </c>
      <c r="K45" s="100">
        <v>54.29</v>
      </c>
      <c r="L45" s="100">
        <v>34.74</v>
      </c>
      <c r="M45" s="100">
        <v>24.61</v>
      </c>
      <c r="N45" s="100">
        <v>148.1</v>
      </c>
      <c r="O45" s="100">
        <v>0</v>
      </c>
      <c r="P45" s="100">
        <v>1.1499999999999999</v>
      </c>
      <c r="Q45" s="100">
        <v>5.92</v>
      </c>
    </row>
    <row r="46" spans="1:17" customFormat="1">
      <c r="A46" s="100" t="s">
        <v>1523</v>
      </c>
      <c r="B46" s="100">
        <v>21.57</v>
      </c>
      <c r="C46" s="100">
        <v>72.02</v>
      </c>
      <c r="D46" s="100">
        <v>53.88</v>
      </c>
      <c r="E46" s="100">
        <v>32.49</v>
      </c>
      <c r="F46" s="100">
        <v>24.28</v>
      </c>
      <c r="G46" s="100">
        <v>178.07</v>
      </c>
      <c r="H46" s="100">
        <v>53.25</v>
      </c>
      <c r="I46" s="100">
        <v>10.56</v>
      </c>
      <c r="J46" s="100">
        <v>0.82</v>
      </c>
      <c r="K46" s="100">
        <v>43.38</v>
      </c>
      <c r="L46" s="100">
        <v>35.450000000000003</v>
      </c>
      <c r="M46" s="100">
        <v>23.98</v>
      </c>
      <c r="N46" s="100">
        <v>166.3</v>
      </c>
      <c r="O46" s="100">
        <v>0</v>
      </c>
      <c r="P46" s="100">
        <v>1.1299999999999999</v>
      </c>
      <c r="Q46" s="100">
        <v>5.79</v>
      </c>
    </row>
    <row r="47" spans="1:17" customFormat="1">
      <c r="A47" s="100" t="s">
        <v>1524</v>
      </c>
      <c r="B47" s="100">
        <v>18.489999999999998</v>
      </c>
      <c r="C47" s="100">
        <v>68.14</v>
      </c>
      <c r="D47" s="100">
        <v>49.39</v>
      </c>
      <c r="E47" s="100">
        <v>31.3</v>
      </c>
      <c r="F47" s="100">
        <v>24.58</v>
      </c>
      <c r="G47" s="100">
        <v>178.07</v>
      </c>
      <c r="H47" s="100">
        <v>53.25</v>
      </c>
      <c r="I47" s="100">
        <v>10.210000000000001</v>
      </c>
      <c r="J47" s="100">
        <v>0.86</v>
      </c>
      <c r="K47" s="100">
        <v>45.88</v>
      </c>
      <c r="L47" s="100">
        <v>35.93</v>
      </c>
      <c r="M47" s="100">
        <v>22.42</v>
      </c>
      <c r="N47" s="100">
        <v>165.8</v>
      </c>
      <c r="O47" s="100">
        <v>0</v>
      </c>
      <c r="P47" s="100">
        <v>1.1000000000000001</v>
      </c>
      <c r="Q47" s="100">
        <v>5.68</v>
      </c>
    </row>
    <row r="48" spans="1:17" customFormat="1">
      <c r="A48" s="100" t="s">
        <v>1525</v>
      </c>
      <c r="B48" s="100">
        <v>16.25</v>
      </c>
      <c r="C48" s="100">
        <v>69.67</v>
      </c>
      <c r="D48" s="100">
        <v>48.39</v>
      </c>
      <c r="E48" s="100">
        <v>35.520000000000003</v>
      </c>
      <c r="F48" s="100">
        <v>36.35</v>
      </c>
      <c r="G48" s="100">
        <v>178.07</v>
      </c>
      <c r="H48" s="100">
        <v>53.25</v>
      </c>
      <c r="I48" s="100">
        <v>9.91</v>
      </c>
      <c r="J48" s="100">
        <v>0.89</v>
      </c>
      <c r="K48" s="100">
        <v>36.229999999999997</v>
      </c>
      <c r="L48" s="100">
        <v>36.56</v>
      </c>
      <c r="M48" s="100">
        <v>21.24</v>
      </c>
      <c r="N48" s="100">
        <v>191.2</v>
      </c>
      <c r="O48" s="100">
        <v>0</v>
      </c>
      <c r="P48" s="100">
        <v>1.06</v>
      </c>
      <c r="Q48" s="100">
        <v>5.61</v>
      </c>
    </row>
    <row r="49" spans="1:17" customFormat="1">
      <c r="A49" s="100" t="s">
        <v>1526</v>
      </c>
      <c r="B49" s="100">
        <v>13.19</v>
      </c>
      <c r="C49" s="100">
        <v>67.05</v>
      </c>
      <c r="D49" s="100">
        <v>44.57</v>
      </c>
      <c r="E49" s="100">
        <v>30.15</v>
      </c>
      <c r="F49" s="100">
        <v>41.21</v>
      </c>
      <c r="G49" s="100">
        <v>98.07</v>
      </c>
      <c r="H49" s="100">
        <v>50.5</v>
      </c>
      <c r="I49" s="100">
        <v>9.6300000000000008</v>
      </c>
      <c r="J49" s="100">
        <v>0.82</v>
      </c>
      <c r="K49" s="100">
        <v>41.58</v>
      </c>
      <c r="L49" s="100">
        <v>37.21</v>
      </c>
      <c r="M49" s="100">
        <v>19.72</v>
      </c>
      <c r="N49" s="100">
        <v>173.9</v>
      </c>
      <c r="O49" s="100">
        <v>0</v>
      </c>
      <c r="P49" s="100">
        <v>1.04</v>
      </c>
      <c r="Q49" s="100">
        <v>5.51</v>
      </c>
    </row>
    <row r="50" spans="1:17" customFormat="1">
      <c r="A50" s="100" t="s">
        <v>1527</v>
      </c>
      <c r="B50" s="100">
        <v>12.24</v>
      </c>
      <c r="C50" s="100">
        <v>68.64</v>
      </c>
      <c r="D50" s="100">
        <v>44.63</v>
      </c>
      <c r="E50" s="100">
        <v>46.16</v>
      </c>
      <c r="F50" s="100">
        <v>40.479999999999997</v>
      </c>
      <c r="G50" s="100">
        <v>94.35</v>
      </c>
      <c r="H50" s="100">
        <v>50.5</v>
      </c>
      <c r="I50" s="100">
        <v>9.33</v>
      </c>
      <c r="J50" s="100">
        <v>0.76</v>
      </c>
      <c r="K50" s="100">
        <v>38.97</v>
      </c>
      <c r="L50" s="100">
        <v>37.770000000000003</v>
      </c>
      <c r="M50" s="100">
        <v>19.13</v>
      </c>
      <c r="N50" s="100">
        <v>185.3</v>
      </c>
      <c r="O50" s="100">
        <v>0</v>
      </c>
      <c r="P50" s="100">
        <v>1.03</v>
      </c>
      <c r="Q50" s="100">
        <v>5.4</v>
      </c>
    </row>
    <row r="51" spans="1:17" customFormat="1">
      <c r="A51" s="100" t="s">
        <v>1528</v>
      </c>
      <c r="B51" s="100">
        <v>11.14</v>
      </c>
      <c r="C51" s="100">
        <v>69.680000000000007</v>
      </c>
      <c r="D51" s="100">
        <v>44.67</v>
      </c>
      <c r="E51" s="100">
        <v>55.65</v>
      </c>
      <c r="F51" s="100">
        <v>35.07</v>
      </c>
      <c r="G51" s="100">
        <v>94.35</v>
      </c>
      <c r="H51" s="100">
        <v>50.5</v>
      </c>
      <c r="I51" s="100">
        <v>9.11</v>
      </c>
      <c r="J51" s="100">
        <v>0.28000000000000003</v>
      </c>
      <c r="K51" s="100">
        <v>314.08</v>
      </c>
      <c r="L51" s="100">
        <v>38.409999999999997</v>
      </c>
      <c r="M51" s="100">
        <v>18.93</v>
      </c>
      <c r="N51" s="100">
        <v>289</v>
      </c>
      <c r="O51" s="100">
        <v>0</v>
      </c>
      <c r="P51" s="100">
        <v>1.04</v>
      </c>
      <c r="Q51" s="100">
        <v>5.31</v>
      </c>
    </row>
    <row r="52" spans="1:17" customFormat="1">
      <c r="A52" s="100" t="s">
        <v>1529</v>
      </c>
      <c r="B52" s="100">
        <v>9.4499999999999993</v>
      </c>
      <c r="C52" s="100">
        <v>70.12</v>
      </c>
      <c r="D52" s="100">
        <v>43.17</v>
      </c>
      <c r="E52" s="100">
        <v>50.88</v>
      </c>
      <c r="F52" s="100">
        <v>42.51</v>
      </c>
      <c r="G52" s="100">
        <v>94.35</v>
      </c>
      <c r="H52" s="100">
        <v>50.5</v>
      </c>
      <c r="I52" s="100">
        <v>8.9600000000000009</v>
      </c>
      <c r="J52" s="100">
        <v>0.63</v>
      </c>
      <c r="K52" s="100">
        <v>295.43</v>
      </c>
      <c r="L52" s="100">
        <v>38.85</v>
      </c>
      <c r="M52" s="100">
        <v>16.829999999999998</v>
      </c>
      <c r="N52" s="100">
        <v>588.9</v>
      </c>
      <c r="O52" s="100">
        <v>0</v>
      </c>
      <c r="P52" s="100">
        <v>1.03</v>
      </c>
      <c r="Q52" s="100">
        <v>5.22</v>
      </c>
    </row>
    <row r="53" spans="1:17" customFormat="1">
      <c r="A53" s="100" t="s">
        <v>1530</v>
      </c>
      <c r="B53" s="100">
        <v>7.93</v>
      </c>
      <c r="C53" s="100">
        <v>69.069999999999993</v>
      </c>
      <c r="D53" s="100">
        <v>41.4</v>
      </c>
      <c r="E53" s="100">
        <v>28.8</v>
      </c>
      <c r="F53" s="100">
        <v>34.11</v>
      </c>
      <c r="G53" s="100">
        <v>119.91</v>
      </c>
      <c r="H53" s="100">
        <v>46.25</v>
      </c>
      <c r="I53" s="100">
        <v>8.84</v>
      </c>
      <c r="J53" s="100">
        <v>0.71</v>
      </c>
      <c r="K53" s="100">
        <v>261.7</v>
      </c>
      <c r="L53" s="100">
        <v>39.090000000000003</v>
      </c>
      <c r="M53" s="100">
        <v>16.170000000000002</v>
      </c>
      <c r="N53" s="100">
        <v>587.29999999999995</v>
      </c>
      <c r="O53" s="100">
        <v>0</v>
      </c>
      <c r="P53" s="100">
        <v>1.04</v>
      </c>
      <c r="Q53" s="100">
        <v>5.14</v>
      </c>
    </row>
    <row r="54" spans="1:17" customFormat="1">
      <c r="A54" s="100" t="s">
        <v>1531</v>
      </c>
      <c r="B54" s="100">
        <v>6.84</v>
      </c>
      <c r="C54" s="100">
        <v>67.87</v>
      </c>
      <c r="D54" s="100">
        <v>39.9</v>
      </c>
      <c r="E54" s="100">
        <v>32.880000000000003</v>
      </c>
      <c r="F54" s="100">
        <v>36.4</v>
      </c>
      <c r="G54" s="100">
        <v>121.09</v>
      </c>
      <c r="H54" s="100">
        <v>46.25</v>
      </c>
      <c r="I54" s="100">
        <v>8.9700000000000006</v>
      </c>
      <c r="J54" s="100">
        <v>0.73</v>
      </c>
      <c r="K54" s="100">
        <v>293.91000000000003</v>
      </c>
      <c r="L54" s="100">
        <v>39.61</v>
      </c>
      <c r="M54" s="100">
        <v>15.12</v>
      </c>
      <c r="N54" s="100">
        <v>718.7</v>
      </c>
      <c r="O54" s="100">
        <v>0</v>
      </c>
      <c r="P54" s="100">
        <v>1</v>
      </c>
      <c r="Q54" s="100">
        <v>5.0599999999999996</v>
      </c>
    </row>
    <row r="55" spans="1:17" customFormat="1">
      <c r="A55" s="100" t="s">
        <v>1532</v>
      </c>
      <c r="B55" s="100">
        <v>6.43</v>
      </c>
      <c r="C55" s="100">
        <v>65.97</v>
      </c>
      <c r="D55" s="100">
        <v>38.58</v>
      </c>
      <c r="E55" s="100">
        <v>22.04</v>
      </c>
      <c r="F55" s="100">
        <v>43.7</v>
      </c>
      <c r="G55" s="100">
        <v>121.09</v>
      </c>
      <c r="H55" s="100">
        <v>46.25</v>
      </c>
      <c r="I55" s="100">
        <v>8.9700000000000006</v>
      </c>
      <c r="J55" s="100">
        <v>0.72</v>
      </c>
      <c r="K55" s="100">
        <v>294.94</v>
      </c>
      <c r="L55" s="100">
        <v>39.729999999999997</v>
      </c>
      <c r="M55" s="100">
        <v>12.58</v>
      </c>
      <c r="N55" s="100">
        <v>781.8</v>
      </c>
      <c r="O55" s="100">
        <v>0</v>
      </c>
      <c r="P55" s="100">
        <v>0.93</v>
      </c>
      <c r="Q55" s="100">
        <v>5.0199999999999996</v>
      </c>
    </row>
    <row r="56" spans="1:17" customFormat="1">
      <c r="A56" s="100" t="s">
        <v>1533</v>
      </c>
      <c r="B56" s="100">
        <v>4.93</v>
      </c>
      <c r="C56" s="100">
        <v>59.39</v>
      </c>
      <c r="D56" s="100">
        <v>33.94</v>
      </c>
      <c r="E56" s="100">
        <v>19.309999999999999</v>
      </c>
      <c r="F56" s="100">
        <v>56.17</v>
      </c>
      <c r="G56" s="100">
        <v>121.09</v>
      </c>
      <c r="H56" s="100">
        <v>46.25</v>
      </c>
      <c r="I56" s="100">
        <v>8.64</v>
      </c>
      <c r="J56" s="100">
        <v>0.17</v>
      </c>
      <c r="K56" s="100">
        <v>77.569999999999993</v>
      </c>
      <c r="L56" s="100">
        <v>40.43</v>
      </c>
      <c r="M56" s="100">
        <v>11.28</v>
      </c>
      <c r="N56" s="100">
        <v>801.8</v>
      </c>
      <c r="O56" s="100">
        <v>0</v>
      </c>
      <c r="P56" s="100">
        <v>0.85</v>
      </c>
      <c r="Q56" s="100">
        <v>4.93</v>
      </c>
    </row>
    <row r="57" spans="1:17" customFormat="1">
      <c r="A57" s="100" t="s">
        <v>1534</v>
      </c>
      <c r="B57" s="100">
        <v>4.76</v>
      </c>
      <c r="C57" s="100">
        <v>58.11</v>
      </c>
      <c r="D57" s="100">
        <v>33.14</v>
      </c>
      <c r="E57" s="100">
        <v>17.8</v>
      </c>
      <c r="F57" s="100">
        <v>57.38</v>
      </c>
      <c r="G57" s="100">
        <v>82.32</v>
      </c>
      <c r="H57" s="100">
        <v>37.25</v>
      </c>
      <c r="I57" s="100">
        <v>8.0299999999999994</v>
      </c>
      <c r="J57" s="100">
        <v>0.68</v>
      </c>
      <c r="K57" s="100">
        <v>351.2</v>
      </c>
      <c r="L57" s="100">
        <v>40.42</v>
      </c>
      <c r="M57" s="100">
        <v>11.38</v>
      </c>
      <c r="N57" s="100">
        <v>789.7</v>
      </c>
      <c r="O57" s="100">
        <v>0</v>
      </c>
      <c r="P57" s="100">
        <v>0.83</v>
      </c>
      <c r="Q57" s="100">
        <v>4.83</v>
      </c>
    </row>
    <row r="58" spans="1:17" customFormat="1">
      <c r="A58" s="100" t="s">
        <v>1535</v>
      </c>
      <c r="B58" s="100">
        <v>4.37</v>
      </c>
      <c r="C58" s="100">
        <v>60.09</v>
      </c>
      <c r="D58" s="100">
        <v>33.85</v>
      </c>
      <c r="E58" s="100">
        <v>14.41</v>
      </c>
      <c r="F58" s="100">
        <v>43.4</v>
      </c>
      <c r="G58" s="100">
        <v>80.52</v>
      </c>
      <c r="H58" s="100">
        <v>37.25</v>
      </c>
      <c r="I58" s="100">
        <v>7.37</v>
      </c>
      <c r="J58" s="100">
        <v>0.43</v>
      </c>
      <c r="K58" s="100">
        <v>261.45</v>
      </c>
      <c r="L58" s="100">
        <v>41.09</v>
      </c>
      <c r="M58" s="100">
        <v>13.39</v>
      </c>
      <c r="N58" s="100">
        <v>758.7</v>
      </c>
      <c r="O58" s="100">
        <v>0</v>
      </c>
      <c r="P58" s="100">
        <v>0.85</v>
      </c>
      <c r="Q58" s="100">
        <v>4.75</v>
      </c>
    </row>
    <row r="59" spans="1:17" customFormat="1">
      <c r="A59" s="100" t="s">
        <v>1536</v>
      </c>
      <c r="B59" s="100">
        <v>4.1399999999999997</v>
      </c>
      <c r="C59" s="100">
        <v>59.13</v>
      </c>
      <c r="D59" s="100">
        <v>33.17</v>
      </c>
      <c r="E59" s="100">
        <v>14.31</v>
      </c>
      <c r="F59" s="100">
        <v>41.78</v>
      </c>
      <c r="G59" s="100">
        <v>80.52</v>
      </c>
      <c r="H59" s="100">
        <v>37.25</v>
      </c>
      <c r="I59" s="100">
        <v>7.22</v>
      </c>
      <c r="J59" s="100">
        <v>0.68</v>
      </c>
      <c r="K59" s="100">
        <v>265.57</v>
      </c>
      <c r="L59" s="100">
        <v>40.799999999999997</v>
      </c>
      <c r="M59" s="100">
        <v>13.23</v>
      </c>
      <c r="N59" s="100">
        <v>688.4</v>
      </c>
      <c r="O59" s="100">
        <v>0</v>
      </c>
      <c r="P59" s="100">
        <v>0.84</v>
      </c>
      <c r="Q59" s="100">
        <v>4.71</v>
      </c>
    </row>
    <row r="60" spans="1:17" customFormat="1">
      <c r="A60" s="100" t="s">
        <v>1537</v>
      </c>
      <c r="B60" s="100">
        <v>3.66</v>
      </c>
      <c r="C60" s="100">
        <v>57.46</v>
      </c>
      <c r="D60" s="100">
        <v>31.91</v>
      </c>
      <c r="E60" s="100">
        <v>14.09</v>
      </c>
      <c r="F60" s="100">
        <v>48.8</v>
      </c>
      <c r="G60" s="100">
        <v>80.52</v>
      </c>
      <c r="H60" s="100">
        <v>37.25</v>
      </c>
      <c r="I60" s="100">
        <v>7.5</v>
      </c>
      <c r="J60" s="100">
        <v>0.34</v>
      </c>
      <c r="K60" s="100">
        <v>270.87</v>
      </c>
      <c r="L60" s="100">
        <v>41.3</v>
      </c>
      <c r="M60" s="100">
        <v>12.66</v>
      </c>
      <c r="N60" s="100">
        <v>737.9</v>
      </c>
      <c r="O60" s="100">
        <v>0</v>
      </c>
      <c r="P60" s="100">
        <v>0.82</v>
      </c>
      <c r="Q60" s="100">
        <v>4.6500000000000004</v>
      </c>
    </row>
    <row r="61" spans="1:17" customFormat="1">
      <c r="A61" s="100" t="s">
        <v>1538</v>
      </c>
      <c r="B61" s="100">
        <v>3.58</v>
      </c>
      <c r="C61" s="100">
        <v>57.36</v>
      </c>
      <c r="D61" s="100">
        <v>31.79</v>
      </c>
      <c r="E61" s="100">
        <v>14.41</v>
      </c>
      <c r="F61" s="100">
        <v>51.81</v>
      </c>
      <c r="G61" s="100">
        <v>51.55</v>
      </c>
      <c r="H61" s="100">
        <v>33.85</v>
      </c>
      <c r="I61" s="100">
        <v>7.65</v>
      </c>
      <c r="J61" s="100">
        <v>0.39</v>
      </c>
      <c r="K61" s="100">
        <v>309.39</v>
      </c>
      <c r="L61" s="100">
        <v>40.92</v>
      </c>
      <c r="M61" s="100">
        <v>11.77</v>
      </c>
      <c r="N61" s="100">
        <v>746</v>
      </c>
      <c r="O61" s="100">
        <v>0</v>
      </c>
      <c r="P61" s="100">
        <v>0.79</v>
      </c>
      <c r="Q61" s="100">
        <v>4.58</v>
      </c>
    </row>
    <row r="62" spans="1:17" customFormat="1">
      <c r="A62" s="100" t="s">
        <v>1539</v>
      </c>
      <c r="B62" s="100">
        <v>3.37</v>
      </c>
      <c r="C62" s="100">
        <v>57.36</v>
      </c>
      <c r="D62" s="100">
        <v>31.63</v>
      </c>
      <c r="E62" s="100">
        <v>12.85</v>
      </c>
      <c r="F62" s="100">
        <v>47.93</v>
      </c>
      <c r="G62" s="100">
        <v>50.21</v>
      </c>
      <c r="H62" s="100">
        <v>33.85</v>
      </c>
      <c r="I62" s="100">
        <v>7.38</v>
      </c>
      <c r="J62" s="100">
        <v>1</v>
      </c>
      <c r="K62" s="100">
        <v>295.39999999999998</v>
      </c>
      <c r="L62" s="100">
        <v>40.909999999999997</v>
      </c>
      <c r="M62" s="100">
        <v>11.8</v>
      </c>
      <c r="N62" s="100">
        <v>702</v>
      </c>
      <c r="O62" s="100">
        <v>0</v>
      </c>
      <c r="P62" s="100">
        <v>0.79</v>
      </c>
      <c r="Q62" s="100">
        <v>4.57</v>
      </c>
    </row>
    <row r="63" spans="1:17" customFormat="1">
      <c r="A63" s="100" t="s">
        <v>1540</v>
      </c>
      <c r="B63" s="100">
        <v>3.59</v>
      </c>
      <c r="C63" s="100">
        <v>54.78</v>
      </c>
      <c r="D63" s="100">
        <v>30.45</v>
      </c>
      <c r="E63" s="100">
        <v>14.26</v>
      </c>
      <c r="F63" s="100">
        <v>61.4</v>
      </c>
      <c r="G63" s="100">
        <v>50.21</v>
      </c>
      <c r="H63" s="100">
        <v>33.85</v>
      </c>
      <c r="I63" s="100">
        <v>7.14</v>
      </c>
      <c r="J63" s="100">
        <v>0.43</v>
      </c>
      <c r="K63" s="100">
        <v>350.55</v>
      </c>
      <c r="L63" s="100">
        <v>41.53</v>
      </c>
      <c r="M63" s="100">
        <v>11.48</v>
      </c>
      <c r="N63" s="100">
        <v>619.1</v>
      </c>
      <c r="O63" s="100">
        <v>0</v>
      </c>
      <c r="P63" s="100">
        <v>0.75</v>
      </c>
      <c r="Q63" s="100">
        <v>4.55</v>
      </c>
    </row>
    <row r="64" spans="1:17" customFormat="1">
      <c r="A64" s="100" t="s">
        <v>1541</v>
      </c>
      <c r="B64" s="100">
        <v>3.34</v>
      </c>
      <c r="C64" s="100">
        <v>53.68</v>
      </c>
      <c r="D64" s="100">
        <v>29.68</v>
      </c>
      <c r="E64" s="100">
        <v>16.82</v>
      </c>
      <c r="F64" s="100">
        <v>60.11</v>
      </c>
      <c r="G64" s="100">
        <v>50.21</v>
      </c>
      <c r="H64" s="100">
        <v>33.85</v>
      </c>
      <c r="I64" s="100">
        <v>6.9</v>
      </c>
      <c r="J64" s="100">
        <v>0.64</v>
      </c>
      <c r="K64" s="100">
        <v>315.58</v>
      </c>
      <c r="L64" s="100">
        <v>41.58</v>
      </c>
      <c r="M64" s="100">
        <v>11.38</v>
      </c>
      <c r="N64" s="100">
        <v>630.70000000000005</v>
      </c>
      <c r="O64" s="100">
        <v>0</v>
      </c>
      <c r="P64" s="100">
        <v>0.74</v>
      </c>
      <c r="Q64" s="100">
        <v>4.54</v>
      </c>
    </row>
    <row r="65" spans="1:17" customFormat="1">
      <c r="A65" s="100" t="s">
        <v>1542</v>
      </c>
      <c r="B65" s="100">
        <v>3.29</v>
      </c>
      <c r="C65" s="100">
        <v>53.65</v>
      </c>
      <c r="D65" s="100">
        <v>29.62</v>
      </c>
      <c r="E65" s="100">
        <v>15.57</v>
      </c>
      <c r="F65" s="100">
        <v>51.14</v>
      </c>
      <c r="G65" s="100">
        <v>74.64</v>
      </c>
      <c r="H65" s="100">
        <v>32.229999999999997</v>
      </c>
      <c r="I65" s="100">
        <v>6.47</v>
      </c>
      <c r="J65" s="100">
        <v>0.67</v>
      </c>
      <c r="K65" s="100">
        <v>267.19</v>
      </c>
      <c r="L65" s="100">
        <v>41.69</v>
      </c>
      <c r="M65" s="100">
        <v>11.35</v>
      </c>
      <c r="N65" s="100">
        <v>644.79999999999995</v>
      </c>
      <c r="O65" s="100">
        <v>0</v>
      </c>
      <c r="P65" s="100">
        <v>0.63</v>
      </c>
      <c r="Q65" s="100">
        <v>4.54</v>
      </c>
    </row>
    <row r="66" spans="1:17" customFormat="1">
      <c r="A66" s="100" t="s">
        <v>1543</v>
      </c>
      <c r="B66" s="100">
        <v>3.37</v>
      </c>
      <c r="C66" s="100">
        <v>54</v>
      </c>
      <c r="D66" s="100">
        <v>29.87</v>
      </c>
      <c r="E66" s="100">
        <v>11.97</v>
      </c>
      <c r="F66" s="100">
        <v>48.9</v>
      </c>
      <c r="G66" s="100">
        <v>75.77</v>
      </c>
      <c r="H66" s="100">
        <v>32.229999999999997</v>
      </c>
      <c r="I66" s="100">
        <v>6.35</v>
      </c>
      <c r="J66" s="100">
        <v>0.75</v>
      </c>
      <c r="K66" s="100">
        <v>305.35000000000002</v>
      </c>
      <c r="L66" s="100">
        <v>41.42</v>
      </c>
      <c r="M66" s="100">
        <v>10.62</v>
      </c>
      <c r="N66" s="100">
        <v>615.20000000000005</v>
      </c>
      <c r="O66" s="100">
        <v>0</v>
      </c>
      <c r="P66" s="100">
        <v>0.64</v>
      </c>
      <c r="Q66" s="100">
        <v>4.5199999999999996</v>
      </c>
    </row>
    <row r="67" spans="1:17" customFormat="1">
      <c r="A67" s="100" t="s">
        <v>1544</v>
      </c>
      <c r="B67" s="100">
        <v>3.41</v>
      </c>
      <c r="C67" s="100">
        <v>55.12</v>
      </c>
      <c r="D67" s="100">
        <v>30.49</v>
      </c>
      <c r="E67" s="100">
        <v>12.66</v>
      </c>
      <c r="F67" s="100">
        <v>47.18</v>
      </c>
      <c r="G67" s="100">
        <v>75.77</v>
      </c>
      <c r="H67" s="100">
        <v>32.229999999999997</v>
      </c>
      <c r="I67" s="100">
        <v>6.53</v>
      </c>
      <c r="J67" s="100">
        <v>0.88</v>
      </c>
      <c r="K67" s="100">
        <v>287.97000000000003</v>
      </c>
      <c r="L67" s="100">
        <v>41.47</v>
      </c>
      <c r="M67" s="100">
        <v>10.69</v>
      </c>
      <c r="N67" s="100">
        <v>598</v>
      </c>
      <c r="O67" s="100">
        <v>0</v>
      </c>
      <c r="P67" s="100">
        <v>0.63</v>
      </c>
      <c r="Q67" s="100">
        <v>4.5</v>
      </c>
    </row>
    <row r="68" spans="1:17" customFormat="1">
      <c r="A68" s="100" t="s">
        <v>1545</v>
      </c>
      <c r="B68" s="100">
        <v>3.32</v>
      </c>
      <c r="C68" s="100">
        <v>51.61</v>
      </c>
      <c r="D68" s="100">
        <v>28.58</v>
      </c>
      <c r="E68" s="100">
        <v>9.58</v>
      </c>
      <c r="F68" s="100">
        <v>54.12</v>
      </c>
      <c r="G68" s="100">
        <v>75.77</v>
      </c>
      <c r="H68" s="100">
        <v>32.229999999999997</v>
      </c>
      <c r="I68" s="100">
        <v>6.42</v>
      </c>
      <c r="J68" s="100">
        <v>0.39</v>
      </c>
      <c r="K68" s="100">
        <v>266.04000000000002</v>
      </c>
      <c r="L68" s="100">
        <v>41.95</v>
      </c>
      <c r="M68" s="100">
        <v>9.0299999999999994</v>
      </c>
      <c r="N68" s="100">
        <v>575.4</v>
      </c>
      <c r="O68" s="100">
        <v>0</v>
      </c>
      <c r="P68" s="100">
        <v>0.56000000000000005</v>
      </c>
      <c r="Q68" s="100">
        <v>4.4800000000000004</v>
      </c>
    </row>
    <row r="69" spans="1:17" customFormat="1">
      <c r="A69" s="100" t="s">
        <v>1546</v>
      </c>
      <c r="B69" s="100">
        <v>3.49</v>
      </c>
      <c r="C69" s="100">
        <v>51.91</v>
      </c>
      <c r="D69" s="100">
        <v>28.87</v>
      </c>
      <c r="E69" s="100">
        <v>11.76</v>
      </c>
      <c r="F69" s="100">
        <v>53.3</v>
      </c>
      <c r="G69" s="100">
        <v>46.43</v>
      </c>
      <c r="H69" s="100">
        <v>27.99</v>
      </c>
      <c r="I69" s="100">
        <v>6</v>
      </c>
      <c r="J69" s="100">
        <v>0.44</v>
      </c>
      <c r="K69" s="100">
        <v>17.649999999999999</v>
      </c>
      <c r="L69" s="100">
        <v>41.8</v>
      </c>
      <c r="M69" s="100">
        <v>10</v>
      </c>
      <c r="N69" s="100">
        <v>510.5</v>
      </c>
      <c r="O69" s="100">
        <v>0</v>
      </c>
      <c r="P69" s="100">
        <v>0.56999999999999995</v>
      </c>
      <c r="Q69" s="100">
        <v>4.46</v>
      </c>
    </row>
    <row r="70" spans="1:17" customFormat="1">
      <c r="A70" s="100" t="s">
        <v>1547</v>
      </c>
      <c r="B70" s="100">
        <v>3.63</v>
      </c>
      <c r="C70" s="100">
        <v>50.48</v>
      </c>
      <c r="D70" s="100">
        <v>28.24</v>
      </c>
      <c r="E70" s="100">
        <v>12.46</v>
      </c>
      <c r="F70" s="100">
        <v>50.51</v>
      </c>
      <c r="G70" s="100">
        <v>45.07</v>
      </c>
      <c r="H70" s="100">
        <v>27.99</v>
      </c>
      <c r="I70" s="100">
        <v>5.67</v>
      </c>
      <c r="J70" s="100">
        <v>0.33</v>
      </c>
      <c r="K70" s="100">
        <v>290.8</v>
      </c>
      <c r="L70" s="100">
        <v>42.04</v>
      </c>
      <c r="M70" s="100">
        <v>10.39</v>
      </c>
      <c r="N70" s="100">
        <v>459</v>
      </c>
      <c r="O70" s="100">
        <v>0</v>
      </c>
      <c r="P70" s="100">
        <v>0.55000000000000004</v>
      </c>
      <c r="Q70" s="100">
        <v>4.45</v>
      </c>
    </row>
    <row r="71" spans="1:17" customFormat="1">
      <c r="A71" s="100" t="s">
        <v>1548</v>
      </c>
      <c r="B71" s="100">
        <v>3.54</v>
      </c>
      <c r="C71" s="100">
        <v>49.29</v>
      </c>
      <c r="D71" s="100">
        <v>27.55</v>
      </c>
      <c r="E71" s="100">
        <v>11.93</v>
      </c>
      <c r="F71" s="100">
        <v>56.22</v>
      </c>
      <c r="G71" s="100">
        <v>45.07</v>
      </c>
      <c r="H71" s="100">
        <v>27.99</v>
      </c>
      <c r="I71" s="100">
        <v>5.37</v>
      </c>
      <c r="J71" s="100">
        <v>0.56999999999999995</v>
      </c>
      <c r="K71" s="100">
        <v>265.44</v>
      </c>
      <c r="L71" s="100">
        <v>41.29</v>
      </c>
      <c r="M71" s="100">
        <v>11.24</v>
      </c>
      <c r="N71" s="100">
        <v>417.9</v>
      </c>
      <c r="O71" s="100">
        <v>0</v>
      </c>
      <c r="P71" s="100">
        <v>0.56000000000000005</v>
      </c>
      <c r="Q71" s="100">
        <v>4.46</v>
      </c>
    </row>
    <row r="72" spans="1:17" customFormat="1">
      <c r="A72" s="100" t="s">
        <v>1549</v>
      </c>
      <c r="B72" s="100">
        <v>3.36</v>
      </c>
      <c r="C72" s="100">
        <v>52.33</v>
      </c>
      <c r="D72" s="100">
        <v>28.99</v>
      </c>
      <c r="E72" s="100">
        <v>11.78</v>
      </c>
      <c r="F72" s="100">
        <v>43.23</v>
      </c>
      <c r="G72" s="100">
        <v>45.07</v>
      </c>
      <c r="H72" s="100">
        <v>27.99</v>
      </c>
      <c r="I72" s="100">
        <v>5.34</v>
      </c>
      <c r="J72" s="100">
        <v>0.59</v>
      </c>
      <c r="K72" s="100">
        <v>263.76</v>
      </c>
      <c r="L72" s="100">
        <v>41.08</v>
      </c>
      <c r="M72" s="100">
        <v>11.96</v>
      </c>
      <c r="N72" s="100">
        <v>380</v>
      </c>
      <c r="O72" s="100">
        <v>0</v>
      </c>
      <c r="P72" s="100">
        <v>0.57999999999999996</v>
      </c>
      <c r="Q72" s="100">
        <v>4.45</v>
      </c>
    </row>
    <row r="73" spans="1:17" customFormat="1">
      <c r="A73" s="100" t="s">
        <v>1550</v>
      </c>
      <c r="B73" s="100">
        <v>3.13</v>
      </c>
      <c r="C73" s="100">
        <v>46.76</v>
      </c>
      <c r="D73" s="100">
        <v>25.89</v>
      </c>
      <c r="E73" s="100">
        <v>11.55</v>
      </c>
      <c r="F73" s="100">
        <v>65.2</v>
      </c>
      <c r="G73" s="100">
        <v>53.03</v>
      </c>
      <c r="H73" s="100">
        <v>24.2</v>
      </c>
      <c r="I73" s="100">
        <v>5.56</v>
      </c>
      <c r="J73" s="100">
        <v>0.67</v>
      </c>
      <c r="K73" s="100">
        <v>259.67</v>
      </c>
      <c r="L73" s="100">
        <v>40.840000000000003</v>
      </c>
      <c r="M73" s="100">
        <v>11.68</v>
      </c>
      <c r="N73" s="100">
        <v>313.2</v>
      </c>
      <c r="O73" s="100">
        <v>0</v>
      </c>
      <c r="P73" s="100">
        <v>0.54</v>
      </c>
      <c r="Q73" s="100">
        <v>4.46</v>
      </c>
    </row>
    <row r="74" spans="1:17" customFormat="1">
      <c r="A74" s="100" t="s">
        <v>1551</v>
      </c>
      <c r="B74" s="100">
        <v>2.89</v>
      </c>
      <c r="C74" s="100">
        <v>47.24</v>
      </c>
      <c r="D74" s="100">
        <v>25.96</v>
      </c>
      <c r="E74" s="100">
        <v>13.6</v>
      </c>
      <c r="F74" s="100">
        <v>74.84</v>
      </c>
      <c r="G74" s="100">
        <v>53.4</v>
      </c>
      <c r="H74" s="100">
        <v>24.2</v>
      </c>
      <c r="I74" s="100">
        <v>5.64</v>
      </c>
      <c r="J74" s="100">
        <v>0.54</v>
      </c>
      <c r="K74" s="100">
        <v>259.07</v>
      </c>
      <c r="L74" s="100">
        <v>40.659999999999997</v>
      </c>
      <c r="M74" s="100">
        <v>12.67</v>
      </c>
      <c r="N74" s="100">
        <v>267.3</v>
      </c>
      <c r="O74" s="100">
        <v>0</v>
      </c>
      <c r="P74" s="100">
        <v>0.52</v>
      </c>
      <c r="Q74" s="100">
        <v>4.43</v>
      </c>
    </row>
    <row r="75" spans="1:17" customFormat="1">
      <c r="A75" s="100" t="s">
        <v>1552</v>
      </c>
      <c r="B75" s="100">
        <v>2.76</v>
      </c>
      <c r="C75" s="100">
        <v>42.47</v>
      </c>
      <c r="D75" s="100">
        <v>23.36</v>
      </c>
      <c r="E75" s="100">
        <v>16.170000000000002</v>
      </c>
      <c r="F75" s="100">
        <v>79.87</v>
      </c>
      <c r="G75" s="100">
        <v>53.4</v>
      </c>
      <c r="H75" s="100">
        <v>24.2</v>
      </c>
      <c r="I75" s="100">
        <v>5.35</v>
      </c>
      <c r="J75" s="100">
        <v>0.3</v>
      </c>
      <c r="K75" s="100">
        <v>228.56</v>
      </c>
      <c r="L75" s="100">
        <v>40.35</v>
      </c>
      <c r="M75" s="100">
        <v>15.23</v>
      </c>
      <c r="N75" s="100">
        <v>220</v>
      </c>
      <c r="O75" s="100">
        <v>0</v>
      </c>
      <c r="P75" s="100">
        <v>0.5</v>
      </c>
      <c r="Q75" s="100">
        <v>4.3899999999999997</v>
      </c>
    </row>
    <row r="76" spans="1:17" customFormat="1">
      <c r="A76" s="100" t="s">
        <v>1553</v>
      </c>
      <c r="B76" s="100">
        <v>2.72</v>
      </c>
      <c r="C76" s="100">
        <v>43.71</v>
      </c>
      <c r="D76" s="100">
        <v>23.97</v>
      </c>
      <c r="E76" s="100">
        <v>16.52</v>
      </c>
      <c r="F76" s="100">
        <v>74.63</v>
      </c>
      <c r="G76" s="100">
        <v>53.4</v>
      </c>
      <c r="H76" s="100">
        <v>24.2</v>
      </c>
      <c r="I76" s="100">
        <v>4.8099999999999996</v>
      </c>
      <c r="J76" s="100">
        <v>0.3</v>
      </c>
      <c r="K76" s="100">
        <v>221.48</v>
      </c>
      <c r="L76" s="100">
        <v>39.729999999999997</v>
      </c>
      <c r="M76" s="100">
        <v>16.39</v>
      </c>
      <c r="N76" s="100">
        <v>175</v>
      </c>
      <c r="O76" s="100">
        <v>0</v>
      </c>
      <c r="P76" s="100">
        <v>0.52</v>
      </c>
      <c r="Q76" s="100">
        <v>4.38</v>
      </c>
    </row>
    <row r="77" spans="1:17" customFormat="1">
      <c r="A77" s="100" t="s">
        <v>1554</v>
      </c>
      <c r="B77" s="100">
        <v>2.72</v>
      </c>
      <c r="C77" s="100">
        <v>42.49</v>
      </c>
      <c r="D77" s="100">
        <v>23.34</v>
      </c>
      <c r="E77" s="100">
        <v>19.96</v>
      </c>
      <c r="F77" s="100">
        <v>79.41</v>
      </c>
      <c r="G77" s="100">
        <v>52.31</v>
      </c>
      <c r="H77" s="100">
        <v>24.05</v>
      </c>
      <c r="I77" s="100">
        <v>4.5999999999999996</v>
      </c>
      <c r="J77" s="100">
        <v>0.22</v>
      </c>
      <c r="K77" s="100">
        <v>197.77</v>
      </c>
      <c r="L77" s="100">
        <v>39.51</v>
      </c>
      <c r="M77" s="100">
        <v>17.18</v>
      </c>
      <c r="N77" s="100">
        <v>110.6</v>
      </c>
      <c r="O77" s="100">
        <v>0</v>
      </c>
      <c r="P77" s="100">
        <v>0.54</v>
      </c>
      <c r="Q77" s="100">
        <v>4.38</v>
      </c>
    </row>
    <row r="78" spans="1:17" customFormat="1">
      <c r="A78" s="100" t="s">
        <v>1555</v>
      </c>
      <c r="B78" s="100">
        <v>2.78</v>
      </c>
      <c r="C78" s="100">
        <v>42.7</v>
      </c>
      <c r="D78" s="100">
        <v>23.5</v>
      </c>
      <c r="E78" s="100">
        <v>23.39</v>
      </c>
      <c r="F78" s="100">
        <v>78.569999999999993</v>
      </c>
      <c r="G78" s="100">
        <v>52.26</v>
      </c>
      <c r="H78" s="100">
        <v>24.05</v>
      </c>
      <c r="I78" s="100">
        <v>4.43</v>
      </c>
      <c r="J78" s="100">
        <v>0.24</v>
      </c>
      <c r="K78" s="100">
        <v>165.93</v>
      </c>
      <c r="L78" s="100">
        <v>38.619999999999997</v>
      </c>
      <c r="M78" s="100">
        <v>19.02</v>
      </c>
      <c r="N78" s="100">
        <v>72</v>
      </c>
      <c r="O78" s="100">
        <v>0</v>
      </c>
      <c r="P78" s="100">
        <v>0.57999999999999996</v>
      </c>
      <c r="Q78" s="100">
        <v>4.38</v>
      </c>
    </row>
    <row r="79" spans="1:17" customFormat="1">
      <c r="A79" s="100" t="s">
        <v>1556</v>
      </c>
      <c r="B79" s="100">
        <v>2.83</v>
      </c>
      <c r="C79" s="100">
        <v>41.88</v>
      </c>
      <c r="D79" s="100">
        <v>23.11</v>
      </c>
      <c r="E79" s="100">
        <v>24.44</v>
      </c>
      <c r="F79" s="100">
        <v>78.27</v>
      </c>
      <c r="G79" s="100">
        <v>52.26</v>
      </c>
      <c r="H79" s="100">
        <v>24.05</v>
      </c>
      <c r="I79" s="100">
        <v>4.4800000000000004</v>
      </c>
      <c r="J79" s="100">
        <v>0.21</v>
      </c>
      <c r="K79" s="100">
        <v>175.88</v>
      </c>
      <c r="L79" s="100">
        <v>37.729999999999997</v>
      </c>
      <c r="M79" s="100">
        <v>20.239999999999998</v>
      </c>
      <c r="N79" s="100">
        <v>48.5</v>
      </c>
      <c r="O79" s="100">
        <v>0</v>
      </c>
      <c r="P79" s="100">
        <v>0.6</v>
      </c>
      <c r="Q79" s="100">
        <v>4.41</v>
      </c>
    </row>
    <row r="80" spans="1:17" customFormat="1">
      <c r="A80" s="100" t="s">
        <v>1557</v>
      </c>
      <c r="B80" s="100">
        <v>2.86</v>
      </c>
      <c r="C80" s="100">
        <v>42.31</v>
      </c>
      <c r="D80" s="100">
        <v>23.36</v>
      </c>
      <c r="E80" s="100">
        <v>25.8</v>
      </c>
      <c r="F80" s="100">
        <v>76.53</v>
      </c>
      <c r="G80" s="100">
        <v>52.26</v>
      </c>
      <c r="H80" s="100">
        <v>24.05</v>
      </c>
      <c r="I80" s="100">
        <v>4.68</v>
      </c>
      <c r="J80" s="100">
        <v>0.16</v>
      </c>
      <c r="K80" s="100">
        <v>184.06</v>
      </c>
      <c r="L80" s="100">
        <v>37.020000000000003</v>
      </c>
      <c r="M80" s="100">
        <v>21.05</v>
      </c>
      <c r="N80" s="100">
        <v>24.6</v>
      </c>
      <c r="O80" s="100">
        <v>0</v>
      </c>
      <c r="P80" s="100">
        <v>0.61</v>
      </c>
      <c r="Q80" s="100">
        <v>4.38</v>
      </c>
    </row>
    <row r="81" spans="1:17" customFormat="1">
      <c r="A81" s="100" t="s">
        <v>1558</v>
      </c>
      <c r="B81" s="100">
        <v>3.08</v>
      </c>
      <c r="C81" s="100">
        <v>43.22</v>
      </c>
      <c r="D81" s="100">
        <v>24.01</v>
      </c>
      <c r="E81" s="100">
        <v>15.41</v>
      </c>
      <c r="F81" s="100">
        <v>70.8</v>
      </c>
      <c r="G81" s="100">
        <v>56.77</v>
      </c>
      <c r="H81" s="100">
        <v>21.55</v>
      </c>
      <c r="I81" s="100">
        <v>4.8899999999999997</v>
      </c>
      <c r="J81" s="100">
        <v>0.19</v>
      </c>
      <c r="K81" s="100">
        <v>165.02</v>
      </c>
      <c r="L81" s="100">
        <v>36.08</v>
      </c>
      <c r="M81" s="100">
        <v>24.67</v>
      </c>
      <c r="N81" s="100">
        <v>6.6</v>
      </c>
      <c r="O81" s="100">
        <v>0</v>
      </c>
      <c r="P81" s="100">
        <v>0.61</v>
      </c>
      <c r="Q81" s="100">
        <v>4.41</v>
      </c>
    </row>
    <row r="82" spans="1:17" customFormat="1">
      <c r="A82" s="100" t="s">
        <v>1559</v>
      </c>
      <c r="B82" s="100">
        <v>3.27</v>
      </c>
      <c r="C82" s="100">
        <v>43.61</v>
      </c>
      <c r="D82" s="100">
        <v>24.36</v>
      </c>
      <c r="E82" s="100">
        <v>16.670000000000002</v>
      </c>
      <c r="F82" s="100">
        <v>46.97</v>
      </c>
      <c r="G82" s="100">
        <v>56.98</v>
      </c>
      <c r="H82" s="100">
        <v>21.55</v>
      </c>
      <c r="I82" s="100">
        <v>5.08</v>
      </c>
      <c r="J82" s="100">
        <v>0.18</v>
      </c>
      <c r="K82" s="100">
        <v>157.81</v>
      </c>
      <c r="L82" s="100">
        <v>34.700000000000003</v>
      </c>
      <c r="M82" s="100">
        <v>32.049999999999997</v>
      </c>
      <c r="N82" s="100">
        <v>0</v>
      </c>
      <c r="O82" s="100">
        <v>0</v>
      </c>
      <c r="P82" s="100">
        <v>0.65</v>
      </c>
      <c r="Q82" s="100">
        <v>4.45</v>
      </c>
    </row>
    <row r="83" spans="1:17" customFormat="1">
      <c r="A83" s="100" t="s">
        <v>1560</v>
      </c>
      <c r="B83" s="100">
        <v>3.59</v>
      </c>
      <c r="C83" s="100">
        <v>46.6</v>
      </c>
      <c r="D83" s="100">
        <v>26.18</v>
      </c>
      <c r="E83" s="100">
        <v>16.670000000000002</v>
      </c>
      <c r="F83" s="100">
        <v>47.23</v>
      </c>
      <c r="G83" s="100">
        <v>56.98</v>
      </c>
      <c r="H83" s="100">
        <v>21.55</v>
      </c>
      <c r="I83" s="100">
        <v>5.39</v>
      </c>
      <c r="J83" s="100">
        <v>0.16</v>
      </c>
      <c r="K83" s="100">
        <v>158.44999999999999</v>
      </c>
      <c r="L83" s="100">
        <v>33.83</v>
      </c>
      <c r="M83" s="100">
        <v>30.9</v>
      </c>
      <c r="N83" s="100">
        <v>0</v>
      </c>
      <c r="O83" s="100">
        <v>0</v>
      </c>
      <c r="P83" s="100">
        <v>0.65</v>
      </c>
      <c r="Q83" s="100">
        <v>4.45</v>
      </c>
    </row>
    <row r="84" spans="1:17" customFormat="1">
      <c r="A84" s="100" t="s">
        <v>1561</v>
      </c>
      <c r="B84" s="100">
        <v>3.58</v>
      </c>
      <c r="C84" s="100">
        <v>46.04</v>
      </c>
      <c r="D84" s="100">
        <v>25.89</v>
      </c>
      <c r="E84" s="100">
        <v>15.19</v>
      </c>
      <c r="F84" s="100">
        <v>45.9</v>
      </c>
      <c r="G84" s="100">
        <v>56.98</v>
      </c>
      <c r="H84" s="100">
        <v>21.55</v>
      </c>
      <c r="I84" s="100">
        <v>5.71</v>
      </c>
      <c r="J84" s="100">
        <v>0.19</v>
      </c>
      <c r="K84" s="100">
        <v>154.32</v>
      </c>
      <c r="L84" s="100">
        <v>33.32</v>
      </c>
      <c r="M84" s="100">
        <v>32.020000000000003</v>
      </c>
      <c r="N84" s="100">
        <v>0</v>
      </c>
      <c r="O84" s="100">
        <v>0</v>
      </c>
      <c r="P84" s="100">
        <v>0.65</v>
      </c>
      <c r="Q84" s="100">
        <v>4.46</v>
      </c>
    </row>
    <row r="85" spans="1:17" customFormat="1">
      <c r="A85" s="100" t="s">
        <v>1562</v>
      </c>
      <c r="B85" s="100">
        <v>3.94</v>
      </c>
      <c r="C85" s="100">
        <v>48.08</v>
      </c>
      <c r="D85" s="100">
        <v>27.24</v>
      </c>
      <c r="E85" s="100">
        <v>14.12</v>
      </c>
      <c r="F85" s="100">
        <v>40.159999999999997</v>
      </c>
      <c r="G85" s="100">
        <v>71.73</v>
      </c>
      <c r="H85" s="100">
        <v>23.27</v>
      </c>
      <c r="I85" s="100">
        <v>5.71</v>
      </c>
      <c r="J85" s="100">
        <v>0.21</v>
      </c>
      <c r="K85" s="100">
        <v>163.15</v>
      </c>
      <c r="L85" s="100">
        <v>32.82</v>
      </c>
      <c r="M85" s="100">
        <v>34.85</v>
      </c>
      <c r="N85" s="100">
        <v>0</v>
      </c>
      <c r="O85" s="100">
        <v>0</v>
      </c>
      <c r="P85" s="100">
        <v>0.67</v>
      </c>
      <c r="Q85" s="100">
        <v>4.49</v>
      </c>
    </row>
    <row r="86" spans="1:17" customFormat="1">
      <c r="A86" s="100" t="s">
        <v>1563</v>
      </c>
      <c r="B86" s="100">
        <v>4.24</v>
      </c>
      <c r="C86" s="100">
        <v>48.11</v>
      </c>
      <c r="D86" s="100">
        <v>27.49</v>
      </c>
      <c r="E86" s="100">
        <v>13.3</v>
      </c>
      <c r="F86" s="100">
        <v>37.380000000000003</v>
      </c>
      <c r="G86" s="100">
        <v>72.41</v>
      </c>
      <c r="H86" s="100">
        <v>23.27</v>
      </c>
      <c r="I86" s="100">
        <v>5.73</v>
      </c>
      <c r="J86" s="100">
        <v>0.21</v>
      </c>
      <c r="K86" s="100">
        <v>157.41</v>
      </c>
      <c r="L86" s="100">
        <v>32.4</v>
      </c>
      <c r="M86" s="100">
        <v>36.99</v>
      </c>
      <c r="N86" s="100">
        <v>0</v>
      </c>
      <c r="O86" s="100">
        <v>0</v>
      </c>
      <c r="P86" s="100">
        <v>0.67</v>
      </c>
      <c r="Q86" s="100">
        <v>4.5199999999999996</v>
      </c>
    </row>
    <row r="87" spans="1:17" customFormat="1">
      <c r="A87" s="100" t="s">
        <v>1564</v>
      </c>
      <c r="B87" s="100">
        <v>4.57</v>
      </c>
      <c r="C87" s="100">
        <v>48.5</v>
      </c>
      <c r="D87" s="100">
        <v>27.97</v>
      </c>
      <c r="E87" s="100">
        <v>12.73</v>
      </c>
      <c r="F87" s="100">
        <v>32.43</v>
      </c>
      <c r="G87" s="100">
        <v>72.41</v>
      </c>
      <c r="H87" s="100">
        <v>23.27</v>
      </c>
      <c r="I87" s="100">
        <v>5.84</v>
      </c>
      <c r="J87" s="100">
        <v>0.2</v>
      </c>
      <c r="K87" s="100">
        <v>161.4</v>
      </c>
      <c r="L87" s="100">
        <v>31.81</v>
      </c>
      <c r="M87" s="100">
        <v>38.44</v>
      </c>
      <c r="N87" s="100">
        <v>0</v>
      </c>
      <c r="O87" s="100">
        <v>0</v>
      </c>
      <c r="P87" s="100">
        <v>0.7</v>
      </c>
      <c r="Q87" s="100">
        <v>4.5199999999999996</v>
      </c>
    </row>
    <row r="88" spans="1:17" customFormat="1">
      <c r="A88" s="100" t="s">
        <v>1565</v>
      </c>
      <c r="B88" s="100">
        <v>5.01</v>
      </c>
      <c r="C88" s="100">
        <v>51.38</v>
      </c>
      <c r="D88" s="100">
        <v>29.81</v>
      </c>
      <c r="E88" s="100">
        <v>12.01</v>
      </c>
      <c r="F88" s="100">
        <v>32.090000000000003</v>
      </c>
      <c r="G88" s="100">
        <v>72.41</v>
      </c>
      <c r="H88" s="100">
        <v>23.27</v>
      </c>
      <c r="I88" s="100">
        <v>6.02</v>
      </c>
      <c r="J88" s="100">
        <v>0.16</v>
      </c>
      <c r="K88" s="100">
        <v>160.02000000000001</v>
      </c>
      <c r="L88" s="100">
        <v>31.46</v>
      </c>
      <c r="M88" s="100">
        <v>36.409999999999997</v>
      </c>
      <c r="N88" s="100">
        <v>0</v>
      </c>
      <c r="O88" s="100">
        <v>0</v>
      </c>
      <c r="P88" s="100">
        <v>0.71</v>
      </c>
      <c r="Q88" s="100">
        <v>4.5199999999999996</v>
      </c>
    </row>
    <row r="89" spans="1:17" customFormat="1">
      <c r="A89" s="100" t="s">
        <v>1566</v>
      </c>
      <c r="B89" s="100">
        <v>5.2</v>
      </c>
      <c r="C89" s="100">
        <v>51.67</v>
      </c>
      <c r="D89" s="100">
        <v>30.12</v>
      </c>
      <c r="E89" s="100">
        <v>12.59</v>
      </c>
      <c r="F89" s="100">
        <v>29.23</v>
      </c>
      <c r="G89" s="100">
        <v>70.010000000000005</v>
      </c>
      <c r="H89" s="100">
        <v>23.6</v>
      </c>
      <c r="I89" s="100">
        <v>6.24</v>
      </c>
      <c r="J89" s="100">
        <v>0.15</v>
      </c>
      <c r="K89" s="100">
        <v>171.86</v>
      </c>
      <c r="L89" s="100">
        <v>31.27</v>
      </c>
      <c r="M89" s="100">
        <v>36.92</v>
      </c>
      <c r="N89" s="100">
        <v>0</v>
      </c>
      <c r="O89" s="100">
        <v>0</v>
      </c>
      <c r="P89" s="100">
        <v>0.72</v>
      </c>
      <c r="Q89" s="100">
        <v>4.55</v>
      </c>
    </row>
    <row r="90" spans="1:17" customFormat="1">
      <c r="A90" s="100" t="s">
        <v>1567</v>
      </c>
      <c r="B90" s="100">
        <v>5.43</v>
      </c>
      <c r="C90" s="100">
        <v>52.36</v>
      </c>
      <c r="D90" s="100">
        <v>30.66</v>
      </c>
      <c r="E90" s="100">
        <v>12.53</v>
      </c>
      <c r="F90" s="100">
        <v>25.56</v>
      </c>
      <c r="G90" s="100">
        <v>69.900000000000006</v>
      </c>
      <c r="H90" s="100">
        <v>23.6</v>
      </c>
      <c r="I90" s="100">
        <v>6.32</v>
      </c>
      <c r="J90" s="100">
        <v>0.25</v>
      </c>
      <c r="K90" s="100">
        <v>164.88</v>
      </c>
      <c r="L90" s="100">
        <v>31.1</v>
      </c>
      <c r="M90" s="100">
        <v>37.72</v>
      </c>
      <c r="N90" s="100">
        <v>0</v>
      </c>
      <c r="O90" s="100">
        <v>0</v>
      </c>
      <c r="P90" s="100">
        <v>0.73</v>
      </c>
      <c r="Q90" s="100">
        <v>4.57</v>
      </c>
    </row>
    <row r="91" spans="1:17" customFormat="1">
      <c r="A91" s="100" t="s">
        <v>1568</v>
      </c>
      <c r="B91" s="100">
        <v>5.7</v>
      </c>
      <c r="C91" s="100">
        <v>53.1</v>
      </c>
      <c r="D91" s="100">
        <v>31.27</v>
      </c>
      <c r="E91" s="100">
        <v>11.37</v>
      </c>
      <c r="F91" s="100">
        <v>18.43</v>
      </c>
      <c r="G91" s="100">
        <v>69.900000000000006</v>
      </c>
      <c r="H91" s="100">
        <v>23.6</v>
      </c>
      <c r="I91" s="100">
        <v>6.48</v>
      </c>
      <c r="J91" s="100">
        <v>0.22</v>
      </c>
      <c r="K91" s="100">
        <v>172.65</v>
      </c>
      <c r="L91" s="100">
        <v>30.54</v>
      </c>
      <c r="M91" s="100">
        <v>41.36</v>
      </c>
      <c r="N91" s="100">
        <v>0</v>
      </c>
      <c r="O91" s="100">
        <v>0</v>
      </c>
      <c r="P91" s="100">
        <v>0.76</v>
      </c>
      <c r="Q91" s="100">
        <v>4.57</v>
      </c>
    </row>
    <row r="92" spans="1:17" customFormat="1">
      <c r="A92" s="100" t="s">
        <v>1569</v>
      </c>
      <c r="B92" s="100">
        <v>6.11</v>
      </c>
      <c r="C92" s="100">
        <v>55.17</v>
      </c>
      <c r="D92" s="100">
        <v>32.68</v>
      </c>
      <c r="E92" s="100">
        <v>10.28</v>
      </c>
      <c r="F92" s="100">
        <v>18.440000000000001</v>
      </c>
      <c r="G92" s="100">
        <v>69.900000000000006</v>
      </c>
      <c r="H92" s="100">
        <v>23.6</v>
      </c>
      <c r="I92" s="100">
        <v>6.72</v>
      </c>
      <c r="J92" s="100">
        <v>0.18</v>
      </c>
      <c r="K92" s="100">
        <v>163.55000000000001</v>
      </c>
      <c r="L92" s="100">
        <v>30.38</v>
      </c>
      <c r="M92" s="100">
        <v>40.76</v>
      </c>
      <c r="N92" s="100">
        <v>0</v>
      </c>
      <c r="O92" s="100">
        <v>0</v>
      </c>
      <c r="P92" s="100">
        <v>0.76</v>
      </c>
      <c r="Q92" s="100">
        <v>4.62</v>
      </c>
    </row>
    <row r="93" spans="1:17" customFormat="1">
      <c r="A93" s="100" t="s">
        <v>1570</v>
      </c>
      <c r="B93" s="100">
        <v>6.45</v>
      </c>
      <c r="C93" s="100">
        <v>54.09</v>
      </c>
      <c r="D93" s="100">
        <v>32.39</v>
      </c>
      <c r="E93" s="100">
        <v>11.55</v>
      </c>
      <c r="F93" s="100">
        <v>17.559999999999999</v>
      </c>
      <c r="G93" s="100">
        <v>70.42</v>
      </c>
      <c r="H93" s="100">
        <v>25.11</v>
      </c>
      <c r="I93" s="100">
        <v>6.84</v>
      </c>
      <c r="J93" s="100">
        <v>0.21</v>
      </c>
      <c r="K93" s="100">
        <v>165.61</v>
      </c>
      <c r="L93" s="100">
        <v>30.17</v>
      </c>
      <c r="M93" s="100">
        <v>43.6</v>
      </c>
      <c r="N93" s="100">
        <v>0</v>
      </c>
      <c r="O93" s="100">
        <v>0</v>
      </c>
      <c r="P93" s="100">
        <v>0.77</v>
      </c>
      <c r="Q93" s="100">
        <v>4.6500000000000004</v>
      </c>
    </row>
    <row r="94" spans="1:17" customFormat="1">
      <c r="A94" s="100" t="s">
        <v>1571</v>
      </c>
      <c r="B94" s="100">
        <v>6.87</v>
      </c>
      <c r="C94" s="100">
        <v>55.18</v>
      </c>
      <c r="D94" s="100">
        <v>33.29</v>
      </c>
      <c r="E94" s="100">
        <v>9.93</v>
      </c>
      <c r="F94" s="100">
        <v>15.66</v>
      </c>
      <c r="G94" s="100">
        <v>70.44</v>
      </c>
      <c r="H94" s="100">
        <v>25.11</v>
      </c>
      <c r="I94" s="100">
        <v>6.86</v>
      </c>
      <c r="J94" s="100">
        <v>0.16</v>
      </c>
      <c r="K94" s="100">
        <v>182.25</v>
      </c>
      <c r="L94" s="100">
        <v>29.67</v>
      </c>
      <c r="M94" s="100">
        <v>42.76</v>
      </c>
      <c r="N94" s="100">
        <v>0</v>
      </c>
      <c r="O94" s="100">
        <v>0</v>
      </c>
      <c r="P94" s="100">
        <v>0.77</v>
      </c>
      <c r="Q94" s="100">
        <v>4.6900000000000004</v>
      </c>
    </row>
    <row r="95" spans="1:17" customFormat="1">
      <c r="A95" s="100" t="s">
        <v>1572</v>
      </c>
      <c r="B95" s="100">
        <v>7.34</v>
      </c>
      <c r="C95" s="100">
        <v>55.99</v>
      </c>
      <c r="D95" s="100">
        <v>34.090000000000003</v>
      </c>
      <c r="E95" s="100">
        <v>9.86</v>
      </c>
      <c r="F95" s="100">
        <v>13.85</v>
      </c>
      <c r="G95" s="100">
        <v>70.44</v>
      </c>
      <c r="H95" s="100">
        <v>25.11</v>
      </c>
      <c r="I95" s="100">
        <v>6.93</v>
      </c>
      <c r="J95" s="100">
        <v>0.18</v>
      </c>
      <c r="K95" s="100">
        <v>156.47999999999999</v>
      </c>
      <c r="L95" s="100">
        <v>29.45</v>
      </c>
      <c r="M95" s="100">
        <v>45.4</v>
      </c>
      <c r="N95" s="100">
        <v>0</v>
      </c>
      <c r="O95" s="100">
        <v>0</v>
      </c>
      <c r="P95" s="100">
        <v>0.78</v>
      </c>
      <c r="Q95" s="100">
        <v>4.7</v>
      </c>
    </row>
    <row r="96" spans="1:17" customFormat="1">
      <c r="A96" s="100" t="s">
        <v>1573</v>
      </c>
      <c r="B96" s="100">
        <v>7.67</v>
      </c>
      <c r="C96" s="100">
        <v>56.05</v>
      </c>
      <c r="D96" s="100">
        <v>34.39</v>
      </c>
      <c r="E96" s="100">
        <v>9.75</v>
      </c>
      <c r="F96" s="100">
        <v>12.64</v>
      </c>
      <c r="G96" s="100">
        <v>70.44</v>
      </c>
      <c r="H96" s="100">
        <v>25.11</v>
      </c>
      <c r="I96" s="100">
        <v>7.03</v>
      </c>
      <c r="J96" s="100">
        <v>0.19</v>
      </c>
      <c r="K96" s="100">
        <v>167.22</v>
      </c>
      <c r="L96" s="100">
        <v>29.17</v>
      </c>
      <c r="M96" s="100">
        <v>47.81</v>
      </c>
      <c r="N96" s="100">
        <v>0</v>
      </c>
      <c r="O96" s="100">
        <v>0</v>
      </c>
      <c r="P96" s="100">
        <v>0.79</v>
      </c>
      <c r="Q96" s="100">
        <v>4.7300000000000004</v>
      </c>
    </row>
    <row r="97" spans="1:22" customFormat="1">
      <c r="A97" s="100" t="s">
        <v>1574</v>
      </c>
      <c r="B97" s="100">
        <v>8.34</v>
      </c>
      <c r="C97" s="100">
        <v>57.09</v>
      </c>
      <c r="D97" s="100">
        <v>35.47</v>
      </c>
      <c r="E97" s="100">
        <v>8.67</v>
      </c>
      <c r="F97" s="100">
        <v>11.24</v>
      </c>
      <c r="G97" s="100">
        <v>60.89</v>
      </c>
      <c r="H97" s="100">
        <v>26.32</v>
      </c>
      <c r="I97" s="100">
        <v>7.11</v>
      </c>
      <c r="J97" s="100">
        <v>0.18</v>
      </c>
      <c r="K97" s="100">
        <v>180.42</v>
      </c>
      <c r="L97" s="100">
        <v>28.8</v>
      </c>
      <c r="M97" s="100">
        <v>48.85</v>
      </c>
      <c r="N97" s="100">
        <v>0</v>
      </c>
      <c r="O97" s="100">
        <v>0</v>
      </c>
      <c r="P97" s="100">
        <v>0.79</v>
      </c>
      <c r="Q97" s="100">
        <v>4.7699999999999996</v>
      </c>
    </row>
    <row r="98" spans="1:22" customFormat="1">
      <c r="A98" s="100" t="s">
        <v>1575</v>
      </c>
      <c r="B98" s="100">
        <v>8.86</v>
      </c>
      <c r="C98" s="100">
        <v>58.51</v>
      </c>
      <c r="D98" s="100">
        <v>36.630000000000003</v>
      </c>
      <c r="E98" s="100">
        <v>9.15</v>
      </c>
      <c r="F98" s="100">
        <v>10.72</v>
      </c>
      <c r="G98" s="100">
        <v>60.56</v>
      </c>
      <c r="H98" s="100">
        <v>26.32</v>
      </c>
      <c r="I98" s="100">
        <v>7.19</v>
      </c>
      <c r="J98" s="100">
        <v>0.14000000000000001</v>
      </c>
      <c r="K98" s="100">
        <v>171.82</v>
      </c>
      <c r="L98" s="100">
        <v>28.53</v>
      </c>
      <c r="M98" s="100">
        <v>46.84</v>
      </c>
      <c r="N98" s="100">
        <v>0</v>
      </c>
      <c r="O98" s="100">
        <v>0</v>
      </c>
      <c r="P98" s="100">
        <v>0.81</v>
      </c>
      <c r="Q98" s="100">
        <v>4.76</v>
      </c>
    </row>
    <row r="99" spans="1:22" customFormat="1">
      <c r="A99" s="100" t="s">
        <v>1576</v>
      </c>
      <c r="B99" s="100">
        <v>9.15</v>
      </c>
      <c r="C99" s="100">
        <v>57.41</v>
      </c>
      <c r="D99" s="100">
        <v>36.28</v>
      </c>
      <c r="E99" s="100">
        <v>9.19</v>
      </c>
      <c r="F99" s="100">
        <v>12.13</v>
      </c>
      <c r="G99" s="100">
        <v>60.56</v>
      </c>
      <c r="H99" s="100">
        <v>26.32</v>
      </c>
      <c r="I99" s="100">
        <v>7.28</v>
      </c>
      <c r="J99" s="100">
        <v>0.14000000000000001</v>
      </c>
      <c r="K99" s="100">
        <v>173.89</v>
      </c>
      <c r="L99" s="100">
        <v>28.53</v>
      </c>
      <c r="M99" s="100">
        <v>44.73</v>
      </c>
      <c r="N99" s="100">
        <v>0</v>
      </c>
      <c r="O99" s="100">
        <v>0</v>
      </c>
      <c r="P99" s="100">
        <v>0.8</v>
      </c>
      <c r="Q99" s="100">
        <v>4.7699999999999996</v>
      </c>
    </row>
    <row r="100" spans="1:22" customFormat="1">
      <c r="A100" s="100" t="s">
        <v>1577</v>
      </c>
      <c r="B100" s="100">
        <v>9.75</v>
      </c>
      <c r="C100" s="100">
        <v>56.73</v>
      </c>
      <c r="D100" s="100">
        <v>36.42</v>
      </c>
      <c r="E100" s="100">
        <v>8.85</v>
      </c>
      <c r="F100" s="100">
        <v>11.16</v>
      </c>
      <c r="G100" s="100">
        <v>60.56</v>
      </c>
      <c r="H100" s="100">
        <v>26.32</v>
      </c>
      <c r="I100" s="100">
        <v>7.31</v>
      </c>
      <c r="J100" s="100">
        <v>0.14000000000000001</v>
      </c>
      <c r="K100" s="100">
        <v>149.13999999999999</v>
      </c>
      <c r="L100" s="100">
        <v>28.41</v>
      </c>
      <c r="M100" s="100">
        <v>46.74</v>
      </c>
      <c r="N100" s="100">
        <v>0</v>
      </c>
      <c r="O100" s="100">
        <v>0</v>
      </c>
      <c r="P100" s="100">
        <v>0.81</v>
      </c>
      <c r="Q100" s="100">
        <v>4.78</v>
      </c>
    </row>
    <row r="101" spans="1:22" customFormat="1">
      <c r="A101" s="100" t="s">
        <v>1578</v>
      </c>
      <c r="B101" s="100">
        <v>9.5399999999999991</v>
      </c>
      <c r="C101" s="100">
        <v>55.12</v>
      </c>
      <c r="D101" s="100">
        <v>35.4</v>
      </c>
      <c r="E101" s="100">
        <v>9.24</v>
      </c>
      <c r="F101" s="100">
        <v>11.7</v>
      </c>
      <c r="G101" s="100">
        <v>82.57</v>
      </c>
      <c r="H101" s="100">
        <v>27.87</v>
      </c>
      <c r="I101" s="100">
        <v>7.32</v>
      </c>
      <c r="J101" s="100">
        <v>0.16</v>
      </c>
      <c r="K101" s="100">
        <v>154.99</v>
      </c>
      <c r="L101" s="100">
        <v>28.46</v>
      </c>
      <c r="M101" s="100">
        <v>44.3</v>
      </c>
      <c r="N101" s="100">
        <v>0</v>
      </c>
      <c r="O101" s="100">
        <v>0</v>
      </c>
      <c r="P101" s="100">
        <v>0.81</v>
      </c>
      <c r="Q101" s="100">
        <v>4.83</v>
      </c>
    </row>
    <row r="102" spans="1:22" customFormat="1">
      <c r="A102" s="100" t="s">
        <v>1579</v>
      </c>
      <c r="B102" s="100">
        <v>10.27</v>
      </c>
      <c r="C102" s="100">
        <v>57.09</v>
      </c>
      <c r="D102" s="100">
        <v>37.020000000000003</v>
      </c>
      <c r="E102" s="100">
        <v>8.68</v>
      </c>
      <c r="F102" s="100">
        <v>11.84</v>
      </c>
      <c r="G102" s="100">
        <v>83.59</v>
      </c>
      <c r="H102" s="100">
        <v>27.87</v>
      </c>
      <c r="I102" s="100">
        <v>7.31</v>
      </c>
      <c r="J102" s="100">
        <v>0.14000000000000001</v>
      </c>
      <c r="K102" s="100">
        <v>176.9</v>
      </c>
      <c r="L102" s="100">
        <v>28.37</v>
      </c>
      <c r="M102" s="100">
        <v>45.49</v>
      </c>
      <c r="N102" s="100">
        <v>0</v>
      </c>
      <c r="O102" s="100">
        <v>0</v>
      </c>
      <c r="P102" s="100">
        <v>0.8</v>
      </c>
      <c r="Q102" s="100">
        <v>4.84</v>
      </c>
    </row>
    <row r="103" spans="1:22" customFormat="1">
      <c r="A103" s="100" t="s">
        <v>1580</v>
      </c>
      <c r="B103" s="100">
        <v>10.69</v>
      </c>
      <c r="C103" s="100">
        <v>57.39</v>
      </c>
      <c r="D103" s="100">
        <v>37.51</v>
      </c>
      <c r="E103" s="100">
        <v>8.8800000000000008</v>
      </c>
      <c r="F103" s="100">
        <v>11.07</v>
      </c>
      <c r="G103" s="100">
        <v>83.59</v>
      </c>
      <c r="H103" s="100">
        <v>27.87</v>
      </c>
      <c r="I103" s="100">
        <v>7.27</v>
      </c>
      <c r="J103" s="100">
        <v>0.12</v>
      </c>
      <c r="K103" s="100">
        <v>176.64</v>
      </c>
      <c r="L103" s="100">
        <v>28.11</v>
      </c>
      <c r="M103" s="100">
        <v>44.48</v>
      </c>
      <c r="N103" s="100">
        <v>0</v>
      </c>
      <c r="O103" s="100">
        <v>0</v>
      </c>
      <c r="P103" s="100">
        <v>0.8</v>
      </c>
      <c r="Q103" s="100">
        <v>4.8499999999999996</v>
      </c>
    </row>
    <row r="104" spans="1:22" customFormat="1">
      <c r="A104" s="100" t="s">
        <v>1581</v>
      </c>
      <c r="B104" s="100">
        <v>11.75</v>
      </c>
      <c r="C104" s="100">
        <v>59.45</v>
      </c>
      <c r="D104" s="100">
        <v>39.44</v>
      </c>
      <c r="E104" s="100">
        <v>8.2899999999999991</v>
      </c>
      <c r="F104" s="100">
        <v>9.34</v>
      </c>
      <c r="G104" s="100">
        <v>83.59</v>
      </c>
      <c r="H104" s="100">
        <v>27.87</v>
      </c>
      <c r="I104" s="100">
        <v>7.29</v>
      </c>
      <c r="J104" s="100">
        <v>0.19</v>
      </c>
      <c r="K104" s="100">
        <v>147.62</v>
      </c>
      <c r="L104" s="100">
        <v>27.96</v>
      </c>
      <c r="M104" s="100">
        <v>47</v>
      </c>
      <c r="N104" s="100">
        <v>0</v>
      </c>
      <c r="O104" s="100">
        <v>0</v>
      </c>
      <c r="P104" s="100">
        <v>0.81</v>
      </c>
      <c r="Q104" s="100">
        <v>4.87</v>
      </c>
    </row>
    <row r="106" spans="1:22">
      <c r="A106" s="157" t="s">
        <v>48</v>
      </c>
      <c r="B106" s="158">
        <f>MIN(B9:B104)</f>
        <v>2.72</v>
      </c>
      <c r="C106" s="158">
        <f>MIN(C9:C104)</f>
        <v>41.88</v>
      </c>
      <c r="D106" s="158">
        <f t="shared" ref="D106:Q106" si="0">MIN(D9:D104)</f>
        <v>23.11</v>
      </c>
      <c r="E106" s="158">
        <f t="shared" si="0"/>
        <v>4.57</v>
      </c>
      <c r="F106" s="158">
        <f t="shared" si="0"/>
        <v>3.38</v>
      </c>
      <c r="G106" s="158">
        <f t="shared" si="0"/>
        <v>45.07</v>
      </c>
      <c r="H106" s="158">
        <f t="shared" si="0"/>
        <v>21.55</v>
      </c>
      <c r="I106" s="158">
        <f t="shared" si="0"/>
        <v>4.43</v>
      </c>
      <c r="J106" s="158">
        <f t="shared" si="0"/>
        <v>7.0000000000000007E-2</v>
      </c>
      <c r="K106" s="158">
        <f t="shared" si="0"/>
        <v>15.08</v>
      </c>
      <c r="L106" s="158">
        <f t="shared" si="0"/>
        <v>23.18</v>
      </c>
      <c r="M106" s="158">
        <f t="shared" si="0"/>
        <v>9.0299999999999994</v>
      </c>
      <c r="N106" s="158">
        <f t="shared" si="0"/>
        <v>0</v>
      </c>
      <c r="O106" s="158">
        <f t="shared" si="0"/>
        <v>0</v>
      </c>
      <c r="P106" s="158">
        <f t="shared" si="0"/>
        <v>0.5</v>
      </c>
      <c r="Q106" s="158">
        <f t="shared" si="0"/>
        <v>4.38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34.770000000000003</v>
      </c>
      <c r="C107" s="157">
        <f t="shared" ref="C107:Q107" si="1">MAX(C9:C104)</f>
        <v>72.02</v>
      </c>
      <c r="D107" s="157">
        <f t="shared" si="1"/>
        <v>62.39</v>
      </c>
      <c r="E107" s="157">
        <f t="shared" si="1"/>
        <v>55.65</v>
      </c>
      <c r="F107" s="157">
        <f t="shared" si="1"/>
        <v>79.87</v>
      </c>
      <c r="G107" s="157">
        <f t="shared" si="1"/>
        <v>216.61</v>
      </c>
      <c r="H107" s="157">
        <f t="shared" si="1"/>
        <v>53.25</v>
      </c>
      <c r="I107" s="157">
        <f t="shared" si="1"/>
        <v>11.1</v>
      </c>
      <c r="J107" s="157">
        <f t="shared" si="1"/>
        <v>1</v>
      </c>
      <c r="K107" s="157">
        <f t="shared" si="1"/>
        <v>351.2</v>
      </c>
      <c r="L107" s="157">
        <f t="shared" si="1"/>
        <v>42.04</v>
      </c>
      <c r="M107" s="157">
        <f t="shared" si="1"/>
        <v>69.569999999999993</v>
      </c>
      <c r="N107" s="157">
        <f t="shared" si="1"/>
        <v>801.8</v>
      </c>
      <c r="O107" s="157">
        <f t="shared" si="1"/>
        <v>0</v>
      </c>
      <c r="P107" s="157">
        <f t="shared" si="1"/>
        <v>1.21</v>
      </c>
      <c r="Q107" s="157">
        <f t="shared" si="1"/>
        <v>6.13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15.073437499999997</v>
      </c>
      <c r="C108" s="158">
        <f t="shared" ref="C108:Q108" si="2">AVERAGE(C9:C104)</f>
        <v>59.186354166666668</v>
      </c>
      <c r="D108" s="158">
        <f t="shared" si="2"/>
        <v>41.970208333333318</v>
      </c>
      <c r="E108" s="158">
        <f t="shared" si="2"/>
        <v>14.697604166666666</v>
      </c>
      <c r="F108" s="158">
        <f t="shared" si="2"/>
        <v>27.417708333333323</v>
      </c>
      <c r="G108" s="158">
        <f t="shared" si="2"/>
        <v>88.004479166666684</v>
      </c>
      <c r="H108" s="158">
        <f t="shared" si="2"/>
        <v>32.15625</v>
      </c>
      <c r="I108" s="158">
        <f t="shared" si="2"/>
        <v>7.9617708333333326</v>
      </c>
      <c r="J108" s="158">
        <f t="shared" si="2"/>
        <v>0.34083333333333332</v>
      </c>
      <c r="K108" s="158">
        <f t="shared" si="2"/>
        <v>179.06916666666663</v>
      </c>
      <c r="L108" s="158">
        <f t="shared" si="2"/>
        <v>32.429062500000008</v>
      </c>
      <c r="M108" s="158">
        <f t="shared" si="2"/>
        <v>36.652395833333323</v>
      </c>
      <c r="N108" s="158">
        <f t="shared" si="2"/>
        <v>176.70416666666662</v>
      </c>
      <c r="O108" s="158">
        <f t="shared" si="2"/>
        <v>0</v>
      </c>
      <c r="P108" s="158">
        <f t="shared" si="2"/>
        <v>0.86729166666666713</v>
      </c>
      <c r="Q108" s="158">
        <f t="shared" si="2"/>
        <v>5.13552083333333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11.90296485207517</v>
      </c>
      <c r="C109" s="158">
        <f t="shared" ref="C109:Q109" si="3">STDEV(C9:C104)</f>
        <v>8.4047079688509587</v>
      </c>
      <c r="D109" s="158">
        <f t="shared" si="3"/>
        <v>13.174384953519095</v>
      </c>
      <c r="E109" s="158">
        <f t="shared" si="3"/>
        <v>10.180062738385073</v>
      </c>
      <c r="F109" s="158">
        <f t="shared" si="3"/>
        <v>24.080576469720057</v>
      </c>
      <c r="G109" s="158">
        <f t="shared" si="3"/>
        <v>38.187231039481233</v>
      </c>
      <c r="H109" s="158">
        <f t="shared" si="3"/>
        <v>8.8862523330319352</v>
      </c>
      <c r="I109" s="158">
        <f t="shared" si="3"/>
        <v>1.8454752603065383</v>
      </c>
      <c r="J109" s="158">
        <f t="shared" si="3"/>
        <v>0.23620538193728882</v>
      </c>
      <c r="K109" s="158">
        <f t="shared" si="3"/>
        <v>79.591893460084378</v>
      </c>
      <c r="L109" s="158">
        <f t="shared" si="3"/>
        <v>6.437627558777101</v>
      </c>
      <c r="M109" s="158">
        <f t="shared" si="3"/>
        <v>20.011681364684698</v>
      </c>
      <c r="N109" s="158">
        <f t="shared" si="3"/>
        <v>259.92917210034727</v>
      </c>
      <c r="O109" s="158">
        <f t="shared" si="3"/>
        <v>0</v>
      </c>
      <c r="P109" s="158">
        <f t="shared" si="3"/>
        <v>0.1950626305178933</v>
      </c>
      <c r="Q109" s="158">
        <f t="shared" si="3"/>
        <v>0.60992125426446331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117"/>
  <sheetViews>
    <sheetView zoomScale="85" zoomScaleNormal="85" workbookViewId="0">
      <pane xSplit="1" ySplit="8" topLeftCell="B91" activePane="bottomRight" state="frozen"/>
      <selection pane="topRight"/>
      <selection pane="bottomLeft"/>
      <selection pane="bottomRight" activeCell="P111" sqref="P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15/05/2023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1582</v>
      </c>
      <c r="B9" s="100">
        <v>13.68</v>
      </c>
      <c r="C9" s="100">
        <v>59.52</v>
      </c>
      <c r="D9" s="100">
        <v>41.02</v>
      </c>
      <c r="E9" s="100">
        <v>8.36</v>
      </c>
      <c r="F9" s="100">
        <v>8.07</v>
      </c>
      <c r="G9" s="100">
        <v>67.489999999999995</v>
      </c>
      <c r="H9" s="100">
        <v>24.44</v>
      </c>
      <c r="I9" s="100">
        <v>7.29</v>
      </c>
      <c r="J9" s="100">
        <v>0.17</v>
      </c>
      <c r="K9" s="100">
        <v>152.91</v>
      </c>
      <c r="L9" s="100">
        <v>28</v>
      </c>
      <c r="M9" s="100">
        <v>46.06</v>
      </c>
      <c r="N9" s="100">
        <v>0</v>
      </c>
      <c r="O9" s="100">
        <v>0</v>
      </c>
      <c r="P9" s="100">
        <v>0.81</v>
      </c>
      <c r="Q9" s="100">
        <v>4.9000000000000004</v>
      </c>
    </row>
    <row r="10" spans="1:21" customFormat="1">
      <c r="A10" s="100" t="s">
        <v>1583</v>
      </c>
      <c r="B10" s="100">
        <v>15.75</v>
      </c>
      <c r="C10" s="100">
        <v>63.96</v>
      </c>
      <c r="D10" s="100">
        <v>45.01</v>
      </c>
      <c r="E10" s="100">
        <v>8.43</v>
      </c>
      <c r="F10" s="100">
        <v>5.5</v>
      </c>
      <c r="G10" s="100">
        <v>66.930000000000007</v>
      </c>
      <c r="H10" s="100">
        <v>24.44</v>
      </c>
      <c r="I10" s="100">
        <v>7.29</v>
      </c>
      <c r="J10" s="100">
        <v>0.18</v>
      </c>
      <c r="K10" s="100">
        <v>187.21</v>
      </c>
      <c r="L10" s="100">
        <v>27.97</v>
      </c>
      <c r="M10" s="100">
        <v>47.54</v>
      </c>
      <c r="N10" s="100">
        <v>0</v>
      </c>
      <c r="O10" s="100">
        <v>0</v>
      </c>
      <c r="P10" s="100">
        <v>0.82</v>
      </c>
      <c r="Q10" s="100">
        <v>4.95</v>
      </c>
    </row>
    <row r="11" spans="1:21" customFormat="1">
      <c r="A11" s="100" t="s">
        <v>1584</v>
      </c>
      <c r="B11" s="100">
        <v>18.079999999999998</v>
      </c>
      <c r="C11" s="100">
        <v>66.88</v>
      </c>
      <c r="D11" s="100">
        <v>48.4</v>
      </c>
      <c r="E11" s="100">
        <v>7.92</v>
      </c>
      <c r="F11" s="100">
        <v>4.83</v>
      </c>
      <c r="G11" s="100">
        <v>66.930000000000007</v>
      </c>
      <c r="H11" s="100">
        <v>24.44</v>
      </c>
      <c r="I11" s="100">
        <v>7.31</v>
      </c>
      <c r="J11" s="100">
        <v>0.25</v>
      </c>
      <c r="K11" s="100">
        <v>182.84</v>
      </c>
      <c r="L11" s="100">
        <v>27.5</v>
      </c>
      <c r="M11" s="100">
        <v>49.39</v>
      </c>
      <c r="N11" s="100">
        <v>0</v>
      </c>
      <c r="O11" s="100">
        <v>0</v>
      </c>
      <c r="P11" s="100">
        <v>0.82</v>
      </c>
      <c r="Q11" s="100">
        <v>5.03</v>
      </c>
    </row>
    <row r="12" spans="1:21" customFormat="1">
      <c r="A12" s="100" t="s">
        <v>1585</v>
      </c>
      <c r="B12" s="100">
        <v>14.9</v>
      </c>
      <c r="C12" s="100">
        <v>63</v>
      </c>
      <c r="D12" s="100">
        <v>43.82</v>
      </c>
      <c r="E12" s="100">
        <v>7.33</v>
      </c>
      <c r="F12" s="100">
        <v>5.57</v>
      </c>
      <c r="G12" s="100">
        <v>66.930000000000007</v>
      </c>
      <c r="H12" s="100">
        <v>24.44</v>
      </c>
      <c r="I12" s="100">
        <v>7.33</v>
      </c>
      <c r="J12" s="100">
        <v>0.2</v>
      </c>
      <c r="K12" s="100">
        <v>176.06</v>
      </c>
      <c r="L12" s="100">
        <v>26.89</v>
      </c>
      <c r="M12" s="100">
        <v>51.25</v>
      </c>
      <c r="N12" s="100">
        <v>0</v>
      </c>
      <c r="O12" s="100">
        <v>0</v>
      </c>
      <c r="P12" s="100">
        <v>0.81</v>
      </c>
      <c r="Q12" s="100">
        <v>5.04</v>
      </c>
    </row>
    <row r="13" spans="1:21" customFormat="1">
      <c r="A13" s="100" t="s">
        <v>1586</v>
      </c>
      <c r="B13" s="100">
        <v>14.53</v>
      </c>
      <c r="C13" s="100">
        <v>61.73</v>
      </c>
      <c r="D13" s="100">
        <v>42.86</v>
      </c>
      <c r="E13" s="100">
        <v>7.42</v>
      </c>
      <c r="F13" s="100">
        <v>7.23</v>
      </c>
      <c r="G13" s="100">
        <v>61.52</v>
      </c>
      <c r="H13" s="100">
        <v>25.63</v>
      </c>
      <c r="I13" s="100">
        <v>7.39</v>
      </c>
      <c r="J13" s="100">
        <v>0.15</v>
      </c>
      <c r="K13" s="100">
        <v>175.87</v>
      </c>
      <c r="L13" s="100">
        <v>26.97</v>
      </c>
      <c r="M13" s="100">
        <v>49.63</v>
      </c>
      <c r="N13" s="100">
        <v>0</v>
      </c>
      <c r="O13" s="100">
        <v>0</v>
      </c>
      <c r="P13" s="100">
        <v>0.81</v>
      </c>
      <c r="Q13" s="100">
        <v>5.0599999999999996</v>
      </c>
    </row>
    <row r="14" spans="1:21" customFormat="1">
      <c r="A14" s="100" t="s">
        <v>1587</v>
      </c>
      <c r="B14" s="100">
        <v>14.55</v>
      </c>
      <c r="C14" s="100">
        <v>60.64</v>
      </c>
      <c r="D14" s="100">
        <v>42.31</v>
      </c>
      <c r="E14" s="100">
        <v>7.85</v>
      </c>
      <c r="F14" s="100">
        <v>8.7899999999999991</v>
      </c>
      <c r="G14" s="100">
        <v>61.33</v>
      </c>
      <c r="H14" s="100">
        <v>25.63</v>
      </c>
      <c r="I14" s="100">
        <v>7.47</v>
      </c>
      <c r="J14" s="100">
        <v>0.15</v>
      </c>
      <c r="K14" s="100">
        <v>209.17</v>
      </c>
      <c r="L14" s="100">
        <v>27.11</v>
      </c>
      <c r="M14" s="100">
        <v>45.74</v>
      </c>
      <c r="N14" s="100">
        <v>0</v>
      </c>
      <c r="O14" s="100">
        <v>0</v>
      </c>
      <c r="P14" s="100">
        <v>0.81</v>
      </c>
      <c r="Q14" s="100">
        <v>5.05</v>
      </c>
    </row>
    <row r="15" spans="1:21" customFormat="1">
      <c r="A15" s="100" t="s">
        <v>1588</v>
      </c>
      <c r="B15" s="100">
        <v>14.56</v>
      </c>
      <c r="C15" s="100">
        <v>61.19</v>
      </c>
      <c r="D15" s="100">
        <v>42.6</v>
      </c>
      <c r="E15" s="100">
        <v>7.91</v>
      </c>
      <c r="F15" s="100">
        <v>8.4</v>
      </c>
      <c r="G15" s="100">
        <v>61.33</v>
      </c>
      <c r="H15" s="100">
        <v>25.63</v>
      </c>
      <c r="I15" s="100">
        <v>7.4</v>
      </c>
      <c r="J15" s="100">
        <v>0.15</v>
      </c>
      <c r="K15" s="100">
        <v>194.18</v>
      </c>
      <c r="L15" s="100">
        <v>27.09</v>
      </c>
      <c r="M15" s="100">
        <v>47.65</v>
      </c>
      <c r="N15" s="100">
        <v>0</v>
      </c>
      <c r="O15" s="100">
        <v>0</v>
      </c>
      <c r="P15" s="100">
        <v>0.8</v>
      </c>
      <c r="Q15" s="100">
        <v>5.07</v>
      </c>
    </row>
    <row r="16" spans="1:21" customFormat="1">
      <c r="A16" s="100" t="s">
        <v>1589</v>
      </c>
      <c r="B16" s="100">
        <v>14.44</v>
      </c>
      <c r="C16" s="100">
        <v>61.12</v>
      </c>
      <c r="D16" s="100">
        <v>42.47</v>
      </c>
      <c r="E16" s="100">
        <v>7.78</v>
      </c>
      <c r="F16" s="100">
        <v>8.5399999999999991</v>
      </c>
      <c r="G16" s="100">
        <v>61.33</v>
      </c>
      <c r="H16" s="100">
        <v>25.63</v>
      </c>
      <c r="I16" s="100">
        <v>7.35</v>
      </c>
      <c r="J16" s="100">
        <v>0.14000000000000001</v>
      </c>
      <c r="K16" s="100">
        <v>197.06</v>
      </c>
      <c r="L16" s="100">
        <v>26.9</v>
      </c>
      <c r="M16" s="100">
        <v>47.54</v>
      </c>
      <c r="N16" s="100">
        <v>0</v>
      </c>
      <c r="O16" s="100">
        <v>0</v>
      </c>
      <c r="P16" s="100">
        <v>0.8</v>
      </c>
      <c r="Q16" s="100">
        <v>5.0599999999999996</v>
      </c>
    </row>
    <row r="17" spans="1:17" customFormat="1">
      <c r="A17" s="100" t="s">
        <v>1590</v>
      </c>
      <c r="B17" s="100">
        <v>14.15</v>
      </c>
      <c r="C17" s="100">
        <v>59.32</v>
      </c>
      <c r="D17" s="100">
        <v>41.29</v>
      </c>
      <c r="E17" s="100">
        <v>5.0999999999999996</v>
      </c>
      <c r="F17" s="100">
        <v>9.09</v>
      </c>
      <c r="G17" s="100">
        <v>63.22</v>
      </c>
      <c r="H17" s="100">
        <v>25.4</v>
      </c>
      <c r="I17" s="100">
        <v>7.34</v>
      </c>
      <c r="J17" s="100">
        <v>0.17</v>
      </c>
      <c r="K17" s="100">
        <v>188.67</v>
      </c>
      <c r="L17" s="100">
        <v>26.94</v>
      </c>
      <c r="M17" s="100">
        <v>47.69</v>
      </c>
      <c r="N17" s="100">
        <v>0</v>
      </c>
      <c r="O17" s="100">
        <v>0</v>
      </c>
      <c r="P17" s="100">
        <v>0.8</v>
      </c>
      <c r="Q17" s="100">
        <v>5.0999999999999996</v>
      </c>
    </row>
    <row r="18" spans="1:17" customFormat="1">
      <c r="A18" s="100" t="s">
        <v>1591</v>
      </c>
      <c r="B18" s="100">
        <v>14.13</v>
      </c>
      <c r="C18" s="100">
        <v>59.68</v>
      </c>
      <c r="D18" s="100">
        <v>41.47</v>
      </c>
      <c r="E18" s="100">
        <v>6.58</v>
      </c>
      <c r="F18" s="100">
        <v>8.14</v>
      </c>
      <c r="G18" s="100">
        <v>63.31</v>
      </c>
      <c r="H18" s="100">
        <v>25.4</v>
      </c>
      <c r="I18" s="100">
        <v>7.24</v>
      </c>
      <c r="J18" s="100">
        <v>0.13</v>
      </c>
      <c r="K18" s="100">
        <v>214.04</v>
      </c>
      <c r="L18" s="100">
        <v>26.92</v>
      </c>
      <c r="M18" s="100">
        <v>48.44</v>
      </c>
      <c r="N18" s="100">
        <v>0</v>
      </c>
      <c r="O18" s="100">
        <v>0</v>
      </c>
      <c r="P18" s="100">
        <v>0.79</v>
      </c>
      <c r="Q18" s="100">
        <v>5.09</v>
      </c>
    </row>
    <row r="19" spans="1:17" customFormat="1">
      <c r="A19" s="100" t="s">
        <v>1592</v>
      </c>
      <c r="B19" s="100">
        <v>14.45</v>
      </c>
      <c r="C19" s="100">
        <v>61.45</v>
      </c>
      <c r="D19" s="100">
        <v>42.65</v>
      </c>
      <c r="E19" s="100">
        <v>6.18</v>
      </c>
      <c r="F19" s="100">
        <v>7.8</v>
      </c>
      <c r="G19" s="100">
        <v>63.31</v>
      </c>
      <c r="H19" s="100">
        <v>25.4</v>
      </c>
      <c r="I19" s="100">
        <v>7.17</v>
      </c>
      <c r="J19" s="100">
        <v>0.17</v>
      </c>
      <c r="K19" s="100">
        <v>218.07</v>
      </c>
      <c r="L19" s="100">
        <v>26.82</v>
      </c>
      <c r="M19" s="100">
        <v>48.15</v>
      </c>
      <c r="N19" s="100">
        <v>0</v>
      </c>
      <c r="O19" s="100">
        <v>0</v>
      </c>
      <c r="P19" s="100">
        <v>0.78</v>
      </c>
      <c r="Q19" s="100">
        <v>5.09</v>
      </c>
    </row>
    <row r="20" spans="1:17" customFormat="1">
      <c r="A20" s="100" t="s">
        <v>1593</v>
      </c>
      <c r="B20" s="100">
        <v>14.1</v>
      </c>
      <c r="C20" s="100">
        <v>58.56</v>
      </c>
      <c r="D20" s="100">
        <v>40.86</v>
      </c>
      <c r="E20" s="100">
        <v>6.79</v>
      </c>
      <c r="F20" s="100">
        <v>8.89</v>
      </c>
      <c r="G20" s="100">
        <v>63.31</v>
      </c>
      <c r="H20" s="100">
        <v>25.4</v>
      </c>
      <c r="I20" s="100">
        <v>7.17</v>
      </c>
      <c r="J20" s="100">
        <v>0.28000000000000003</v>
      </c>
      <c r="K20" s="100">
        <v>222.55</v>
      </c>
      <c r="L20" s="100">
        <v>26.67</v>
      </c>
      <c r="M20" s="100">
        <v>49</v>
      </c>
      <c r="N20" s="100">
        <v>0</v>
      </c>
      <c r="O20" s="100">
        <v>0</v>
      </c>
      <c r="P20" s="100">
        <v>0.78</v>
      </c>
      <c r="Q20" s="100">
        <v>5.0599999999999996</v>
      </c>
    </row>
    <row r="21" spans="1:17" customFormat="1">
      <c r="A21" s="100" t="s">
        <v>1594</v>
      </c>
      <c r="B21" s="100">
        <v>14.52</v>
      </c>
      <c r="C21" s="100">
        <v>60.96</v>
      </c>
      <c r="D21" s="100">
        <v>42.45</v>
      </c>
      <c r="E21" s="100">
        <v>6.28</v>
      </c>
      <c r="F21" s="100">
        <v>8.06</v>
      </c>
      <c r="G21" s="100">
        <v>60.33</v>
      </c>
      <c r="H21" s="100">
        <v>26.56</v>
      </c>
      <c r="I21" s="100">
        <v>7.13</v>
      </c>
      <c r="J21" s="100">
        <v>0.18</v>
      </c>
      <c r="K21" s="100">
        <v>205.88</v>
      </c>
      <c r="L21" s="100">
        <v>26.76</v>
      </c>
      <c r="M21" s="100">
        <v>48.86</v>
      </c>
      <c r="N21" s="100">
        <v>0</v>
      </c>
      <c r="O21" s="100">
        <v>0</v>
      </c>
      <c r="P21" s="100">
        <v>0.78</v>
      </c>
      <c r="Q21" s="100">
        <v>5.08</v>
      </c>
    </row>
    <row r="22" spans="1:17" customFormat="1">
      <c r="A22" s="100" t="s">
        <v>1595</v>
      </c>
      <c r="B22" s="100">
        <v>14.53</v>
      </c>
      <c r="C22" s="100">
        <v>61.32</v>
      </c>
      <c r="D22" s="100">
        <v>42.64</v>
      </c>
      <c r="E22" s="100">
        <v>6.22</v>
      </c>
      <c r="F22" s="100">
        <v>8.08</v>
      </c>
      <c r="G22" s="100">
        <v>60.2</v>
      </c>
      <c r="H22" s="100">
        <v>26.56</v>
      </c>
      <c r="I22" s="100">
        <v>7.08</v>
      </c>
      <c r="J22" s="100">
        <v>0.14000000000000001</v>
      </c>
      <c r="K22" s="100">
        <v>194.1</v>
      </c>
      <c r="L22" s="100">
        <v>26.62</v>
      </c>
      <c r="M22" s="100">
        <v>49.62</v>
      </c>
      <c r="N22" s="100">
        <v>0</v>
      </c>
      <c r="O22" s="100">
        <v>0</v>
      </c>
      <c r="P22" s="100">
        <v>0.78</v>
      </c>
      <c r="Q22" s="100">
        <v>5.0599999999999996</v>
      </c>
    </row>
    <row r="23" spans="1:17" customFormat="1">
      <c r="A23" s="100" t="s">
        <v>1596</v>
      </c>
      <c r="B23" s="100">
        <v>14.57</v>
      </c>
      <c r="C23" s="100">
        <v>61.71</v>
      </c>
      <c r="D23" s="100">
        <v>42.88</v>
      </c>
      <c r="E23" s="100">
        <v>5.63</v>
      </c>
      <c r="F23" s="100">
        <v>6.81</v>
      </c>
      <c r="G23" s="100">
        <v>60.2</v>
      </c>
      <c r="H23" s="100">
        <v>26.56</v>
      </c>
      <c r="I23" s="100">
        <v>7.07</v>
      </c>
      <c r="J23" s="100">
        <v>0.23</v>
      </c>
      <c r="K23" s="100">
        <v>188.99</v>
      </c>
      <c r="L23" s="100">
        <v>26.37</v>
      </c>
      <c r="M23" s="100">
        <v>51.87</v>
      </c>
      <c r="N23" s="100">
        <v>0</v>
      </c>
      <c r="O23" s="100">
        <v>0</v>
      </c>
      <c r="P23" s="100">
        <v>0.78</v>
      </c>
      <c r="Q23" s="100">
        <v>5.05</v>
      </c>
    </row>
    <row r="24" spans="1:17" customFormat="1">
      <c r="A24" s="100" t="s">
        <v>1597</v>
      </c>
      <c r="B24" s="100">
        <v>14.48</v>
      </c>
      <c r="C24" s="100">
        <v>61.93</v>
      </c>
      <c r="D24" s="100">
        <v>42.92</v>
      </c>
      <c r="E24" s="100">
        <v>6.02</v>
      </c>
      <c r="F24" s="100">
        <v>5.5</v>
      </c>
      <c r="G24" s="100">
        <v>60.2</v>
      </c>
      <c r="H24" s="100">
        <v>26.56</v>
      </c>
      <c r="I24" s="100">
        <v>7.05</v>
      </c>
      <c r="J24" s="100">
        <v>0.28000000000000003</v>
      </c>
      <c r="K24" s="100">
        <v>182.9</v>
      </c>
      <c r="L24" s="100">
        <v>26.19</v>
      </c>
      <c r="M24" s="100">
        <v>52.04</v>
      </c>
      <c r="N24" s="100">
        <v>0</v>
      </c>
      <c r="O24" s="100">
        <v>0</v>
      </c>
      <c r="P24" s="100">
        <v>0.78</v>
      </c>
      <c r="Q24" s="100">
        <v>5.05</v>
      </c>
    </row>
    <row r="25" spans="1:17" customFormat="1">
      <c r="A25" s="100" t="s">
        <v>1598</v>
      </c>
      <c r="B25" s="100">
        <v>15.02</v>
      </c>
      <c r="C25" s="100">
        <v>62.83</v>
      </c>
      <c r="D25" s="100">
        <v>43.83</v>
      </c>
      <c r="E25" s="100">
        <v>5.58</v>
      </c>
      <c r="F25" s="100">
        <v>6.48</v>
      </c>
      <c r="G25" s="100">
        <v>59.46</v>
      </c>
      <c r="H25" s="100">
        <v>23.68</v>
      </c>
      <c r="I25" s="100">
        <v>7.04</v>
      </c>
      <c r="J25" s="100">
        <v>0.24</v>
      </c>
      <c r="K25" s="100">
        <v>180.93</v>
      </c>
      <c r="L25" s="100">
        <v>26.26</v>
      </c>
      <c r="M25" s="100">
        <v>51.51</v>
      </c>
      <c r="N25" s="100">
        <v>0</v>
      </c>
      <c r="O25" s="100">
        <v>0</v>
      </c>
      <c r="P25" s="100">
        <v>0.78</v>
      </c>
      <c r="Q25" s="100">
        <v>5.07</v>
      </c>
    </row>
    <row r="26" spans="1:17" customFormat="1">
      <c r="A26" s="100" t="s">
        <v>1599</v>
      </c>
      <c r="B26" s="100">
        <v>15.11</v>
      </c>
      <c r="C26" s="100">
        <v>62.61</v>
      </c>
      <c r="D26" s="100">
        <v>43.79</v>
      </c>
      <c r="E26" s="100">
        <v>5.83</v>
      </c>
      <c r="F26" s="100">
        <v>6.74</v>
      </c>
      <c r="G26" s="100">
        <v>59.43</v>
      </c>
      <c r="H26" s="100">
        <v>23.68</v>
      </c>
      <c r="I26" s="100">
        <v>7.03</v>
      </c>
      <c r="J26" s="100">
        <v>0.38</v>
      </c>
      <c r="K26" s="100">
        <v>219.8</v>
      </c>
      <c r="L26" s="100">
        <v>26.31</v>
      </c>
      <c r="M26" s="100">
        <v>50.71</v>
      </c>
      <c r="N26" s="100">
        <v>0</v>
      </c>
      <c r="O26" s="100">
        <v>0</v>
      </c>
      <c r="P26" s="100">
        <v>0.77</v>
      </c>
      <c r="Q26" s="100">
        <v>5.08</v>
      </c>
    </row>
    <row r="27" spans="1:17" customFormat="1">
      <c r="A27" s="100" t="s">
        <v>1600</v>
      </c>
      <c r="B27" s="100">
        <v>14.71</v>
      </c>
      <c r="C27" s="100">
        <v>62.18</v>
      </c>
      <c r="D27" s="100">
        <v>43.23</v>
      </c>
      <c r="E27" s="100">
        <v>6.11</v>
      </c>
      <c r="F27" s="100">
        <v>6.94</v>
      </c>
      <c r="G27" s="100">
        <v>59.43</v>
      </c>
      <c r="H27" s="100">
        <v>23.68</v>
      </c>
      <c r="I27" s="100">
        <v>7.02</v>
      </c>
      <c r="J27" s="100">
        <v>0.28999999999999998</v>
      </c>
      <c r="K27" s="100">
        <v>204.43</v>
      </c>
      <c r="L27" s="100">
        <v>26.52</v>
      </c>
      <c r="M27" s="100">
        <v>51.01</v>
      </c>
      <c r="N27" s="100">
        <v>0</v>
      </c>
      <c r="O27" s="100">
        <v>0</v>
      </c>
      <c r="P27" s="100">
        <v>0.77</v>
      </c>
      <c r="Q27" s="100">
        <v>5.07</v>
      </c>
    </row>
    <row r="28" spans="1:17" customFormat="1">
      <c r="A28" s="100" t="s">
        <v>1601</v>
      </c>
      <c r="B28" s="100">
        <v>14.5</v>
      </c>
      <c r="C28" s="100">
        <v>61.78</v>
      </c>
      <c r="D28" s="100">
        <v>42.86</v>
      </c>
      <c r="E28" s="100">
        <v>6.03</v>
      </c>
      <c r="F28" s="100">
        <v>6.98</v>
      </c>
      <c r="G28" s="100">
        <v>59.43</v>
      </c>
      <c r="H28" s="100">
        <v>23.68</v>
      </c>
      <c r="I28" s="100">
        <v>6.97</v>
      </c>
      <c r="J28" s="100">
        <v>0.24</v>
      </c>
      <c r="K28" s="100">
        <v>225.52</v>
      </c>
      <c r="L28" s="100">
        <v>26.48</v>
      </c>
      <c r="M28" s="100">
        <v>51.9</v>
      </c>
      <c r="N28" s="100">
        <v>0</v>
      </c>
      <c r="O28" s="100">
        <v>0</v>
      </c>
      <c r="P28" s="100">
        <v>0.77</v>
      </c>
      <c r="Q28" s="100">
        <v>5.0599999999999996</v>
      </c>
    </row>
    <row r="29" spans="1:17" customFormat="1">
      <c r="A29" s="100" t="s">
        <v>1602</v>
      </c>
      <c r="B29" s="100">
        <v>14.09</v>
      </c>
      <c r="C29" s="100">
        <v>59.06</v>
      </c>
      <c r="D29" s="100">
        <v>41.11</v>
      </c>
      <c r="E29" s="100">
        <v>6.53</v>
      </c>
      <c r="F29" s="100">
        <v>8.08</v>
      </c>
      <c r="G29" s="100">
        <v>57.92</v>
      </c>
      <c r="H29" s="100">
        <v>26.22</v>
      </c>
      <c r="I29" s="100">
        <v>6.92</v>
      </c>
      <c r="J29" s="100">
        <v>0.18</v>
      </c>
      <c r="K29" s="100">
        <v>222.17</v>
      </c>
      <c r="L29" s="100">
        <v>26.7</v>
      </c>
      <c r="M29" s="100">
        <v>50.59</v>
      </c>
      <c r="N29" s="100">
        <v>0</v>
      </c>
      <c r="O29" s="100">
        <v>0</v>
      </c>
      <c r="P29" s="100">
        <v>0.77</v>
      </c>
      <c r="Q29" s="100">
        <v>5.08</v>
      </c>
    </row>
    <row r="30" spans="1:17" customFormat="1">
      <c r="A30" s="100" t="s">
        <v>1603</v>
      </c>
      <c r="B30" s="100">
        <v>15.27</v>
      </c>
      <c r="C30" s="100">
        <v>63.66</v>
      </c>
      <c r="D30" s="100">
        <v>44.46</v>
      </c>
      <c r="E30" s="100">
        <v>5.69</v>
      </c>
      <c r="F30" s="100">
        <v>5.61</v>
      </c>
      <c r="G30" s="100">
        <v>57.85</v>
      </c>
      <c r="H30" s="100">
        <v>26.22</v>
      </c>
      <c r="I30" s="100">
        <v>6.85</v>
      </c>
      <c r="J30" s="100">
        <v>0.28999999999999998</v>
      </c>
      <c r="K30" s="100">
        <v>198.29</v>
      </c>
      <c r="L30" s="100">
        <v>26.68</v>
      </c>
      <c r="M30" s="100">
        <v>52.14</v>
      </c>
      <c r="N30" s="100">
        <v>0</v>
      </c>
      <c r="O30" s="100">
        <v>0</v>
      </c>
      <c r="P30" s="100">
        <v>0.76</v>
      </c>
      <c r="Q30" s="100">
        <v>5.1100000000000003</v>
      </c>
    </row>
    <row r="31" spans="1:17" customFormat="1">
      <c r="A31" s="100" t="s">
        <v>1604</v>
      </c>
      <c r="B31" s="100">
        <v>15</v>
      </c>
      <c r="C31" s="100">
        <v>62.29</v>
      </c>
      <c r="D31" s="100">
        <v>43.53</v>
      </c>
      <c r="E31" s="100">
        <v>6.04</v>
      </c>
      <c r="F31" s="100">
        <v>6.96</v>
      </c>
      <c r="G31" s="100">
        <v>57.85</v>
      </c>
      <c r="H31" s="100">
        <v>26.22</v>
      </c>
      <c r="I31" s="100">
        <v>6.84</v>
      </c>
      <c r="J31" s="100">
        <v>0.2</v>
      </c>
      <c r="K31" s="100">
        <v>213.61</v>
      </c>
      <c r="L31" s="100">
        <v>26.7</v>
      </c>
      <c r="M31" s="100">
        <v>51.17</v>
      </c>
      <c r="N31" s="100">
        <v>3.1</v>
      </c>
      <c r="O31" s="100">
        <v>0</v>
      </c>
      <c r="P31" s="100">
        <v>0.76</v>
      </c>
      <c r="Q31" s="100">
        <v>5.1100000000000003</v>
      </c>
    </row>
    <row r="32" spans="1:17" customFormat="1">
      <c r="A32" s="100" t="s">
        <v>1605</v>
      </c>
      <c r="B32" s="100">
        <v>14.53</v>
      </c>
      <c r="C32" s="100">
        <v>61.03</v>
      </c>
      <c r="D32" s="100">
        <v>42.49</v>
      </c>
      <c r="E32" s="100">
        <v>6.07</v>
      </c>
      <c r="F32" s="100">
        <v>7.81</v>
      </c>
      <c r="G32" s="100">
        <v>57.85</v>
      </c>
      <c r="H32" s="100">
        <v>26.22</v>
      </c>
      <c r="I32" s="100">
        <v>6.91</v>
      </c>
      <c r="J32" s="100">
        <v>0.21</v>
      </c>
      <c r="K32" s="100">
        <v>191.66</v>
      </c>
      <c r="L32" s="100">
        <v>26.93</v>
      </c>
      <c r="M32" s="100">
        <v>50.46</v>
      </c>
      <c r="N32" s="100">
        <v>12.8</v>
      </c>
      <c r="O32" s="100">
        <v>0</v>
      </c>
      <c r="P32" s="100">
        <v>0.76</v>
      </c>
      <c r="Q32" s="100">
        <v>5.0599999999999996</v>
      </c>
    </row>
    <row r="33" spans="1:17" customFormat="1">
      <c r="A33" s="100" t="s">
        <v>1606</v>
      </c>
      <c r="B33" s="100">
        <v>14.53</v>
      </c>
      <c r="C33" s="100">
        <v>60.73</v>
      </c>
      <c r="D33" s="100">
        <v>42.34</v>
      </c>
      <c r="E33" s="100">
        <v>5.89</v>
      </c>
      <c r="F33" s="100">
        <v>6.82</v>
      </c>
      <c r="G33" s="100">
        <v>57.34</v>
      </c>
      <c r="H33" s="100">
        <v>18.98</v>
      </c>
      <c r="I33" s="100">
        <v>6.9</v>
      </c>
      <c r="J33" s="100">
        <v>0.16</v>
      </c>
      <c r="K33" s="100">
        <v>191.99</v>
      </c>
      <c r="L33" s="100">
        <v>26.88</v>
      </c>
      <c r="M33" s="100">
        <v>52.01</v>
      </c>
      <c r="N33" s="100">
        <v>21.5</v>
      </c>
      <c r="O33" s="100">
        <v>0</v>
      </c>
      <c r="P33" s="100">
        <v>0.76</v>
      </c>
      <c r="Q33" s="100">
        <v>5.09</v>
      </c>
    </row>
    <row r="34" spans="1:17" customFormat="1">
      <c r="A34" s="100" t="s">
        <v>1607</v>
      </c>
      <c r="B34" s="100">
        <v>14.75</v>
      </c>
      <c r="C34" s="100">
        <v>62.94</v>
      </c>
      <c r="D34" s="100">
        <v>43.67</v>
      </c>
      <c r="E34" s="100">
        <v>6.06</v>
      </c>
      <c r="F34" s="100">
        <v>7.02</v>
      </c>
      <c r="G34" s="100">
        <v>57.32</v>
      </c>
      <c r="H34" s="100">
        <v>18.98</v>
      </c>
      <c r="I34" s="100">
        <v>6.92</v>
      </c>
      <c r="J34" s="100">
        <v>0.19</v>
      </c>
      <c r="K34" s="100">
        <v>177.84</v>
      </c>
      <c r="L34" s="100">
        <v>26.97</v>
      </c>
      <c r="M34" s="100">
        <v>54.11</v>
      </c>
      <c r="N34" s="100">
        <v>36.9</v>
      </c>
      <c r="O34" s="100">
        <v>0</v>
      </c>
      <c r="P34" s="100">
        <v>0.77</v>
      </c>
      <c r="Q34" s="100">
        <v>5.08</v>
      </c>
    </row>
    <row r="35" spans="1:17" customFormat="1">
      <c r="A35" s="100" t="s">
        <v>1608</v>
      </c>
      <c r="B35" s="100">
        <v>14.69</v>
      </c>
      <c r="C35" s="100">
        <v>62.56</v>
      </c>
      <c r="D35" s="100">
        <v>43.42</v>
      </c>
      <c r="E35" s="100">
        <v>5.52</v>
      </c>
      <c r="F35" s="100">
        <v>6.43</v>
      </c>
      <c r="G35" s="100">
        <v>57.32</v>
      </c>
      <c r="H35" s="100">
        <v>18.98</v>
      </c>
      <c r="I35" s="100">
        <v>6.99</v>
      </c>
      <c r="J35" s="100">
        <v>0.27</v>
      </c>
      <c r="K35" s="100">
        <v>174.26</v>
      </c>
      <c r="L35" s="100">
        <v>27.38</v>
      </c>
      <c r="M35" s="100">
        <v>55.67</v>
      </c>
      <c r="N35" s="100">
        <v>54.2</v>
      </c>
      <c r="O35" s="100">
        <v>0</v>
      </c>
      <c r="P35" s="100">
        <v>0.77</v>
      </c>
      <c r="Q35" s="100">
        <v>5.0999999999999996</v>
      </c>
    </row>
    <row r="36" spans="1:17" customFormat="1">
      <c r="A36" s="100" t="s">
        <v>1609</v>
      </c>
      <c r="B36" s="100">
        <v>15</v>
      </c>
      <c r="C36" s="100">
        <v>63.72</v>
      </c>
      <c r="D36" s="100">
        <v>44.27</v>
      </c>
      <c r="E36" s="100">
        <v>5.65</v>
      </c>
      <c r="F36" s="100">
        <v>5.66</v>
      </c>
      <c r="G36" s="100">
        <v>57.32</v>
      </c>
      <c r="H36" s="100">
        <v>18.98</v>
      </c>
      <c r="I36" s="100">
        <v>7.08</v>
      </c>
      <c r="J36" s="100">
        <v>0.34</v>
      </c>
      <c r="K36" s="100">
        <v>205.43</v>
      </c>
      <c r="L36" s="100">
        <v>28.15</v>
      </c>
      <c r="M36" s="100">
        <v>53.26</v>
      </c>
      <c r="N36" s="100">
        <v>64.099999999999994</v>
      </c>
      <c r="O36" s="100">
        <v>0</v>
      </c>
      <c r="P36" s="100">
        <v>0.78</v>
      </c>
      <c r="Q36" s="100">
        <v>5.1100000000000003</v>
      </c>
    </row>
    <row r="37" spans="1:17" customFormat="1">
      <c r="A37" s="100" t="s">
        <v>1610</v>
      </c>
      <c r="B37" s="100">
        <v>14.48</v>
      </c>
      <c r="C37" s="100">
        <v>62.38</v>
      </c>
      <c r="D37" s="100">
        <v>43.16</v>
      </c>
      <c r="E37" s="100">
        <v>5.87</v>
      </c>
      <c r="F37" s="100">
        <v>7.15</v>
      </c>
      <c r="G37" s="100">
        <v>54.8</v>
      </c>
      <c r="H37" s="100">
        <v>23.93</v>
      </c>
      <c r="I37" s="100">
        <v>7.17</v>
      </c>
      <c r="J37" s="100">
        <v>0.35</v>
      </c>
      <c r="K37" s="100">
        <v>213.6</v>
      </c>
      <c r="L37" s="100">
        <v>29.23</v>
      </c>
      <c r="M37" s="100">
        <v>48.61</v>
      </c>
      <c r="N37" s="100">
        <v>73.7</v>
      </c>
      <c r="O37" s="100">
        <v>0</v>
      </c>
      <c r="P37" s="100">
        <v>0.77</v>
      </c>
      <c r="Q37" s="100">
        <v>5.12</v>
      </c>
    </row>
    <row r="38" spans="1:17" customFormat="1">
      <c r="A38" s="100" t="s">
        <v>1611</v>
      </c>
      <c r="B38" s="100">
        <v>14.49</v>
      </c>
      <c r="C38" s="100">
        <v>64.180000000000007</v>
      </c>
      <c r="D38" s="100">
        <v>44.1</v>
      </c>
      <c r="E38" s="100">
        <v>5.77</v>
      </c>
      <c r="F38" s="100">
        <v>6.87</v>
      </c>
      <c r="G38" s="100">
        <v>54.68</v>
      </c>
      <c r="H38" s="100">
        <v>23.93</v>
      </c>
      <c r="I38" s="100">
        <v>7.22</v>
      </c>
      <c r="J38" s="100">
        <v>0.31</v>
      </c>
      <c r="K38" s="100">
        <v>221.43</v>
      </c>
      <c r="L38" s="100">
        <v>30.26</v>
      </c>
      <c r="M38" s="100">
        <v>44.9</v>
      </c>
      <c r="N38" s="100">
        <v>84.2</v>
      </c>
      <c r="O38" s="100">
        <v>0</v>
      </c>
      <c r="P38" s="100">
        <v>0.77</v>
      </c>
      <c r="Q38" s="100">
        <v>5.08</v>
      </c>
    </row>
    <row r="39" spans="1:17" customFormat="1">
      <c r="A39" s="100" t="s">
        <v>1612</v>
      </c>
      <c r="B39" s="100">
        <v>14.16</v>
      </c>
      <c r="C39" s="100">
        <v>65.040000000000006</v>
      </c>
      <c r="D39" s="100">
        <v>44.29</v>
      </c>
      <c r="E39" s="100">
        <v>5.5</v>
      </c>
      <c r="F39" s="100">
        <v>7.44</v>
      </c>
      <c r="G39" s="100">
        <v>54.68</v>
      </c>
      <c r="H39" s="100">
        <v>23.93</v>
      </c>
      <c r="I39" s="100">
        <v>7.24</v>
      </c>
      <c r="J39" s="100">
        <v>0.31</v>
      </c>
      <c r="K39" s="100">
        <v>244.37</v>
      </c>
      <c r="L39" s="100">
        <v>31.13</v>
      </c>
      <c r="M39" s="100">
        <v>42.58</v>
      </c>
      <c r="N39" s="100">
        <v>94.9</v>
      </c>
      <c r="O39" s="100">
        <v>0</v>
      </c>
      <c r="P39" s="100">
        <v>0.77</v>
      </c>
      <c r="Q39" s="100">
        <v>5.07</v>
      </c>
    </row>
    <row r="40" spans="1:17" customFormat="1">
      <c r="A40" s="100" t="s">
        <v>1613</v>
      </c>
      <c r="B40" s="100">
        <v>12.13</v>
      </c>
      <c r="C40" s="100">
        <v>60.43</v>
      </c>
      <c r="D40" s="100">
        <v>40.25</v>
      </c>
      <c r="E40" s="100">
        <v>7.21</v>
      </c>
      <c r="F40" s="100">
        <v>14.13</v>
      </c>
      <c r="G40" s="100">
        <v>54.68</v>
      </c>
      <c r="H40" s="100">
        <v>23.93</v>
      </c>
      <c r="I40" s="100">
        <v>7.27</v>
      </c>
      <c r="J40" s="100">
        <v>0.32</v>
      </c>
      <c r="K40" s="100">
        <v>237.9</v>
      </c>
      <c r="L40" s="100">
        <v>31.95</v>
      </c>
      <c r="M40" s="100">
        <v>41.23</v>
      </c>
      <c r="N40" s="100">
        <v>105.9</v>
      </c>
      <c r="O40" s="100">
        <v>0</v>
      </c>
      <c r="P40" s="100">
        <v>0.78</v>
      </c>
      <c r="Q40" s="100">
        <v>5.0199999999999996</v>
      </c>
    </row>
    <row r="41" spans="1:17" customFormat="1">
      <c r="A41" s="100" t="s">
        <v>1614</v>
      </c>
      <c r="B41" s="100">
        <v>11.45</v>
      </c>
      <c r="C41" s="100">
        <v>60.42</v>
      </c>
      <c r="D41" s="100">
        <v>39.71</v>
      </c>
      <c r="E41" s="100">
        <v>8.2200000000000006</v>
      </c>
      <c r="F41" s="100">
        <v>14</v>
      </c>
      <c r="G41" s="100">
        <v>65.680000000000007</v>
      </c>
      <c r="H41" s="100">
        <v>24.62</v>
      </c>
      <c r="I41" s="100">
        <v>7.31</v>
      </c>
      <c r="J41" s="100">
        <v>0.52</v>
      </c>
      <c r="K41" s="100">
        <v>269.36</v>
      </c>
      <c r="L41" s="100">
        <v>32.82</v>
      </c>
      <c r="M41" s="100">
        <v>38.299999999999997</v>
      </c>
      <c r="N41" s="100">
        <v>118.8</v>
      </c>
      <c r="O41" s="100">
        <v>0</v>
      </c>
      <c r="P41" s="100">
        <v>0.8</v>
      </c>
      <c r="Q41" s="100">
        <v>5.03</v>
      </c>
    </row>
    <row r="42" spans="1:17" customFormat="1">
      <c r="A42" s="100" t="s">
        <v>1615</v>
      </c>
      <c r="B42" s="100">
        <v>10.33</v>
      </c>
      <c r="C42" s="100">
        <v>59.93</v>
      </c>
      <c r="D42" s="100">
        <v>38.549999999999997</v>
      </c>
      <c r="E42" s="100">
        <v>8.6300000000000008</v>
      </c>
      <c r="F42" s="100">
        <v>15.93</v>
      </c>
      <c r="G42" s="100">
        <v>66.19</v>
      </c>
      <c r="H42" s="100">
        <v>24.62</v>
      </c>
      <c r="I42" s="100">
        <v>7.35</v>
      </c>
      <c r="J42" s="100">
        <v>0.33</v>
      </c>
      <c r="K42" s="100">
        <v>268.49</v>
      </c>
      <c r="L42" s="100">
        <v>33.68</v>
      </c>
      <c r="M42" s="100">
        <v>37.380000000000003</v>
      </c>
      <c r="N42" s="100">
        <v>118.1</v>
      </c>
      <c r="O42" s="100">
        <v>0</v>
      </c>
      <c r="P42" s="100">
        <v>0.83</v>
      </c>
      <c r="Q42" s="100">
        <v>5.0199999999999996</v>
      </c>
    </row>
    <row r="43" spans="1:17" customFormat="1">
      <c r="A43" s="100" t="s">
        <v>1616</v>
      </c>
      <c r="B43" s="100">
        <v>9.7200000000000006</v>
      </c>
      <c r="C43" s="100">
        <v>62.38</v>
      </c>
      <c r="D43" s="100">
        <v>39.340000000000003</v>
      </c>
      <c r="E43" s="100">
        <v>10.34</v>
      </c>
      <c r="F43" s="100">
        <v>19.940000000000001</v>
      </c>
      <c r="G43" s="100">
        <v>66.19</v>
      </c>
      <c r="H43" s="100">
        <v>24.62</v>
      </c>
      <c r="I43" s="100">
        <v>7.42</v>
      </c>
      <c r="J43" s="100">
        <v>0.41</v>
      </c>
      <c r="K43" s="100">
        <v>274.26</v>
      </c>
      <c r="L43" s="100">
        <v>34.700000000000003</v>
      </c>
      <c r="M43" s="100">
        <v>35.090000000000003</v>
      </c>
      <c r="N43" s="100">
        <v>125.6</v>
      </c>
      <c r="O43" s="100">
        <v>0</v>
      </c>
      <c r="P43" s="100">
        <v>0.87</v>
      </c>
      <c r="Q43" s="100">
        <v>4.9800000000000004</v>
      </c>
    </row>
    <row r="44" spans="1:17" customFormat="1">
      <c r="A44" s="100" t="s">
        <v>1617</v>
      </c>
      <c r="B44" s="100">
        <v>9.25</v>
      </c>
      <c r="C44" s="100">
        <v>62.91</v>
      </c>
      <c r="D44" s="100">
        <v>39.25</v>
      </c>
      <c r="E44" s="100">
        <v>14.92</v>
      </c>
      <c r="F44" s="100">
        <v>26.15</v>
      </c>
      <c r="G44" s="100">
        <v>66.19</v>
      </c>
      <c r="H44" s="100">
        <v>24.62</v>
      </c>
      <c r="I44" s="100">
        <v>7.61</v>
      </c>
      <c r="J44" s="100">
        <v>0.81</v>
      </c>
      <c r="K44" s="100">
        <v>302.16000000000003</v>
      </c>
      <c r="L44" s="100">
        <v>35.54</v>
      </c>
      <c r="M44" s="100">
        <v>30.66</v>
      </c>
      <c r="N44" s="100">
        <v>137.9</v>
      </c>
      <c r="O44" s="100">
        <v>0</v>
      </c>
      <c r="P44" s="100">
        <v>0.94</v>
      </c>
      <c r="Q44" s="100">
        <v>4.93</v>
      </c>
    </row>
    <row r="45" spans="1:17" customFormat="1">
      <c r="A45" s="100" t="s">
        <v>1618</v>
      </c>
      <c r="B45" s="100">
        <v>8.66</v>
      </c>
      <c r="C45" s="100">
        <v>63.43</v>
      </c>
      <c r="D45" s="100">
        <v>39.04</v>
      </c>
      <c r="E45" s="100">
        <v>19.239999999999998</v>
      </c>
      <c r="F45" s="100">
        <v>21.91</v>
      </c>
      <c r="G45" s="100">
        <v>78.239999999999995</v>
      </c>
      <c r="H45" s="100">
        <v>28.4</v>
      </c>
      <c r="I45" s="100">
        <v>8</v>
      </c>
      <c r="J45" s="100">
        <v>1.03</v>
      </c>
      <c r="K45" s="100">
        <v>306.88</v>
      </c>
      <c r="L45" s="100">
        <v>36.549999999999997</v>
      </c>
      <c r="M45" s="100">
        <v>24.45</v>
      </c>
      <c r="N45" s="100">
        <v>142.19999999999999</v>
      </c>
      <c r="O45" s="100">
        <v>0</v>
      </c>
      <c r="P45" s="100">
        <v>0.89</v>
      </c>
      <c r="Q45" s="100">
        <v>4.9400000000000004</v>
      </c>
    </row>
    <row r="46" spans="1:17" customFormat="1">
      <c r="A46" s="100" t="s">
        <v>1619</v>
      </c>
      <c r="B46" s="100">
        <v>8.49</v>
      </c>
      <c r="C46" s="100">
        <v>59.06</v>
      </c>
      <c r="D46" s="100">
        <v>36.619999999999997</v>
      </c>
      <c r="E46" s="100">
        <v>12.55</v>
      </c>
      <c r="F46" s="100">
        <v>25.82</v>
      </c>
      <c r="G46" s="100">
        <v>78.8</v>
      </c>
      <c r="H46" s="100">
        <v>28.4</v>
      </c>
      <c r="I46" s="100">
        <v>8.5</v>
      </c>
      <c r="J46" s="100">
        <v>0.76</v>
      </c>
      <c r="K46" s="100">
        <v>5.45</v>
      </c>
      <c r="L46" s="100">
        <v>37.5</v>
      </c>
      <c r="M46" s="100">
        <v>20.440000000000001</v>
      </c>
      <c r="N46" s="100">
        <v>151.1</v>
      </c>
      <c r="O46" s="100">
        <v>0</v>
      </c>
      <c r="P46" s="100">
        <v>0.83</v>
      </c>
      <c r="Q46" s="100">
        <v>4.88</v>
      </c>
    </row>
    <row r="47" spans="1:17" customFormat="1">
      <c r="A47" s="100" t="s">
        <v>1620</v>
      </c>
      <c r="B47" s="100">
        <v>7.76</v>
      </c>
      <c r="C47" s="100">
        <v>59.16</v>
      </c>
      <c r="D47" s="100">
        <v>36.090000000000003</v>
      </c>
      <c r="E47" s="100">
        <v>11.12</v>
      </c>
      <c r="F47" s="100">
        <v>23.9</v>
      </c>
      <c r="G47" s="100">
        <v>78.8</v>
      </c>
      <c r="H47" s="100">
        <v>28.4</v>
      </c>
      <c r="I47" s="100">
        <v>8.34</v>
      </c>
      <c r="J47" s="100">
        <v>0.86</v>
      </c>
      <c r="K47" s="100">
        <v>355.35</v>
      </c>
      <c r="L47" s="100">
        <v>37.9</v>
      </c>
      <c r="M47" s="100">
        <v>18.8</v>
      </c>
      <c r="N47" s="100">
        <v>156.9</v>
      </c>
      <c r="O47" s="100">
        <v>0</v>
      </c>
      <c r="P47" s="100">
        <v>0.8</v>
      </c>
      <c r="Q47" s="100">
        <v>4.84</v>
      </c>
    </row>
    <row r="48" spans="1:17" customFormat="1">
      <c r="A48" s="100" t="s">
        <v>1621</v>
      </c>
      <c r="B48" s="100">
        <v>8.75</v>
      </c>
      <c r="C48" s="100">
        <v>60.87</v>
      </c>
      <c r="D48" s="100">
        <v>37.770000000000003</v>
      </c>
      <c r="E48" s="100">
        <v>13.82</v>
      </c>
      <c r="F48" s="100">
        <v>21.57</v>
      </c>
      <c r="G48" s="100">
        <v>78.8</v>
      </c>
      <c r="H48" s="100">
        <v>28.4</v>
      </c>
      <c r="I48" s="100">
        <v>7.55</v>
      </c>
      <c r="J48" s="100">
        <v>1.03</v>
      </c>
      <c r="K48" s="100">
        <v>326.49</v>
      </c>
      <c r="L48" s="100">
        <v>37.979999999999997</v>
      </c>
      <c r="M48" s="100">
        <v>17.760000000000002</v>
      </c>
      <c r="N48" s="100">
        <v>171.9</v>
      </c>
      <c r="O48" s="100">
        <v>0</v>
      </c>
      <c r="P48" s="100">
        <v>0.8</v>
      </c>
      <c r="Q48" s="100">
        <v>4.8099999999999996</v>
      </c>
    </row>
    <row r="49" spans="1:17" customFormat="1">
      <c r="A49" s="100" t="s">
        <v>1622</v>
      </c>
      <c r="B49" s="100">
        <v>7.37</v>
      </c>
      <c r="C49" s="100">
        <v>57.69</v>
      </c>
      <c r="D49" s="100">
        <v>35.01</v>
      </c>
      <c r="E49" s="100">
        <v>9.82</v>
      </c>
      <c r="F49" s="100">
        <v>23.41</v>
      </c>
      <c r="G49" s="100">
        <v>78.510000000000005</v>
      </c>
      <c r="H49" s="100">
        <v>28.43</v>
      </c>
      <c r="I49" s="100">
        <v>7.17</v>
      </c>
      <c r="J49" s="100">
        <v>1.0900000000000001</v>
      </c>
      <c r="K49" s="100">
        <v>5.75</v>
      </c>
      <c r="L49" s="100">
        <v>38.380000000000003</v>
      </c>
      <c r="M49" s="100">
        <v>17.899999999999999</v>
      </c>
      <c r="N49" s="100">
        <v>167.9</v>
      </c>
      <c r="O49" s="100">
        <v>0</v>
      </c>
      <c r="P49" s="100">
        <v>0.77</v>
      </c>
      <c r="Q49" s="100">
        <v>4.79</v>
      </c>
    </row>
    <row r="50" spans="1:17" customFormat="1">
      <c r="A50" s="100" t="s">
        <v>1623</v>
      </c>
      <c r="B50" s="100">
        <v>7.21</v>
      </c>
      <c r="C50" s="100">
        <v>59.72</v>
      </c>
      <c r="D50" s="100">
        <v>35.94</v>
      </c>
      <c r="E50" s="100">
        <v>10.3</v>
      </c>
      <c r="F50" s="100">
        <v>21.27</v>
      </c>
      <c r="G50" s="100">
        <v>78.489999999999995</v>
      </c>
      <c r="H50" s="100">
        <v>28.43</v>
      </c>
      <c r="I50" s="100">
        <v>7.11</v>
      </c>
      <c r="J50" s="100">
        <v>1.1200000000000001</v>
      </c>
      <c r="K50" s="100">
        <v>18.47</v>
      </c>
      <c r="L50" s="100">
        <v>38.57</v>
      </c>
      <c r="M50" s="100">
        <v>15.68</v>
      </c>
      <c r="N50" s="100">
        <v>177.8</v>
      </c>
      <c r="O50" s="100">
        <v>0</v>
      </c>
      <c r="P50" s="100">
        <v>0.75</v>
      </c>
      <c r="Q50" s="100">
        <v>4.78</v>
      </c>
    </row>
    <row r="51" spans="1:17" customFormat="1">
      <c r="A51" s="100" t="s">
        <v>1624</v>
      </c>
      <c r="B51" s="100">
        <v>6.17</v>
      </c>
      <c r="C51" s="100">
        <v>51.47</v>
      </c>
      <c r="D51" s="100">
        <v>30.8</v>
      </c>
      <c r="E51" s="100">
        <v>13.92</v>
      </c>
      <c r="F51" s="100">
        <v>38.19</v>
      </c>
      <c r="G51" s="100">
        <v>78.489999999999995</v>
      </c>
      <c r="H51" s="100">
        <v>28.43</v>
      </c>
      <c r="I51" s="100">
        <v>6.89</v>
      </c>
      <c r="J51" s="100">
        <v>1.19</v>
      </c>
      <c r="K51" s="100">
        <v>327.42</v>
      </c>
      <c r="L51" s="100">
        <v>39.03</v>
      </c>
      <c r="M51" s="100">
        <v>15.28</v>
      </c>
      <c r="N51" s="100">
        <v>250.8</v>
      </c>
      <c r="O51" s="100">
        <v>0</v>
      </c>
      <c r="P51" s="100">
        <v>0.73</v>
      </c>
      <c r="Q51" s="100">
        <v>4.72</v>
      </c>
    </row>
    <row r="52" spans="1:17" customFormat="1">
      <c r="A52" s="100" t="s">
        <v>1625</v>
      </c>
      <c r="B52" s="100">
        <v>5.6</v>
      </c>
      <c r="C52" s="100">
        <v>45.09</v>
      </c>
      <c r="D52" s="100">
        <v>27</v>
      </c>
      <c r="E52" s="100">
        <v>15.27</v>
      </c>
      <c r="F52" s="100">
        <v>35.42</v>
      </c>
      <c r="G52" s="100">
        <v>78.489999999999995</v>
      </c>
      <c r="H52" s="100">
        <v>28.43</v>
      </c>
      <c r="I52" s="100">
        <v>6.74</v>
      </c>
      <c r="J52" s="100">
        <v>2</v>
      </c>
      <c r="K52" s="100">
        <v>39.049999999999997</v>
      </c>
      <c r="L52" s="100">
        <v>39.31</v>
      </c>
      <c r="M52" s="100">
        <v>15.61</v>
      </c>
      <c r="N52" s="100">
        <v>563.70000000000005</v>
      </c>
      <c r="O52" s="100">
        <v>0</v>
      </c>
      <c r="P52" s="135" t="s">
        <v>12</v>
      </c>
      <c r="Q52" s="100">
        <v>4.5199999999999996</v>
      </c>
    </row>
    <row r="53" spans="1:17" customFormat="1">
      <c r="A53" s="100" t="s">
        <v>1626</v>
      </c>
      <c r="B53" s="100">
        <v>5.24</v>
      </c>
      <c r="C53" s="100">
        <v>41.61</v>
      </c>
      <c r="D53" s="100">
        <v>24.9</v>
      </c>
      <c r="E53" s="100">
        <v>12.76</v>
      </c>
      <c r="F53" s="100">
        <v>59.2</v>
      </c>
      <c r="G53" s="100">
        <v>91.68</v>
      </c>
      <c r="H53" s="100">
        <v>25.33</v>
      </c>
      <c r="I53" s="100">
        <v>5.93</v>
      </c>
      <c r="J53" s="100">
        <v>1.23</v>
      </c>
      <c r="K53" s="100">
        <v>17.98</v>
      </c>
      <c r="L53" s="100">
        <v>39.450000000000003</v>
      </c>
      <c r="M53" s="100">
        <v>15.18</v>
      </c>
      <c r="N53" s="100">
        <v>613.29999999999995</v>
      </c>
      <c r="O53" s="100">
        <v>0</v>
      </c>
      <c r="P53" s="135" t="s">
        <v>12</v>
      </c>
      <c r="Q53" s="100">
        <v>4.37</v>
      </c>
    </row>
    <row r="54" spans="1:17" customFormat="1">
      <c r="A54" s="100" t="s">
        <v>1627</v>
      </c>
      <c r="B54" s="100">
        <v>4.53</v>
      </c>
      <c r="C54" s="100">
        <v>40.619999999999997</v>
      </c>
      <c r="D54" s="100">
        <v>23.81</v>
      </c>
      <c r="E54" s="100">
        <v>10.050000000000001</v>
      </c>
      <c r="F54" s="100">
        <v>42</v>
      </c>
      <c r="G54" s="100">
        <v>92.3</v>
      </c>
      <c r="H54" s="100">
        <v>25.33</v>
      </c>
      <c r="I54" s="100">
        <v>4.9800000000000004</v>
      </c>
      <c r="J54" s="100">
        <v>1.86</v>
      </c>
      <c r="K54" s="100">
        <v>41.17</v>
      </c>
      <c r="L54" s="100">
        <v>39.54</v>
      </c>
      <c r="M54" s="100">
        <v>15.6</v>
      </c>
      <c r="N54" s="100">
        <v>751</v>
      </c>
      <c r="O54" s="100">
        <v>0</v>
      </c>
      <c r="P54" s="135" t="s">
        <v>12</v>
      </c>
      <c r="Q54" s="100">
        <v>4.29</v>
      </c>
    </row>
    <row r="55" spans="1:17" customFormat="1">
      <c r="A55" s="100" t="s">
        <v>1628</v>
      </c>
      <c r="B55" s="100">
        <v>4.4400000000000004</v>
      </c>
      <c r="C55" s="100">
        <v>37.47</v>
      </c>
      <c r="D55" s="100">
        <v>22.09</v>
      </c>
      <c r="E55" s="100">
        <v>9.9700000000000006</v>
      </c>
      <c r="F55" s="100">
        <v>53.06</v>
      </c>
      <c r="G55" s="100">
        <v>92.3</v>
      </c>
      <c r="H55" s="100">
        <v>25.33</v>
      </c>
      <c r="I55" s="100">
        <v>4.6500000000000004</v>
      </c>
      <c r="J55" s="100">
        <v>1.52</v>
      </c>
      <c r="K55" s="100">
        <v>46.88</v>
      </c>
      <c r="L55" s="100">
        <v>39.82</v>
      </c>
      <c r="M55" s="100">
        <v>15.79</v>
      </c>
      <c r="N55" s="100">
        <v>777.1</v>
      </c>
      <c r="O55" s="100">
        <v>0</v>
      </c>
      <c r="P55" s="100">
        <v>0.5</v>
      </c>
      <c r="Q55" s="100">
        <v>4.3099999999999996</v>
      </c>
    </row>
    <row r="56" spans="1:17" customFormat="1">
      <c r="A56" s="100" t="s">
        <v>1629</v>
      </c>
      <c r="B56" s="100">
        <v>3.74</v>
      </c>
      <c r="C56" s="100">
        <v>39.15</v>
      </c>
      <c r="D56" s="100">
        <v>22.41</v>
      </c>
      <c r="E56" s="100">
        <v>12.6</v>
      </c>
      <c r="F56" s="100">
        <v>58.92</v>
      </c>
      <c r="G56" s="100">
        <v>92.3</v>
      </c>
      <c r="H56" s="100">
        <v>25.33</v>
      </c>
      <c r="I56" s="100">
        <v>5.16</v>
      </c>
      <c r="J56" s="100">
        <v>1.39</v>
      </c>
      <c r="K56" s="100">
        <v>34.840000000000003</v>
      </c>
      <c r="L56" s="100">
        <v>40.1</v>
      </c>
      <c r="M56" s="100">
        <v>15.6</v>
      </c>
      <c r="N56" s="100">
        <v>785.9</v>
      </c>
      <c r="O56" s="100">
        <v>0</v>
      </c>
      <c r="P56" s="100">
        <v>0.52</v>
      </c>
      <c r="Q56" s="100">
        <v>4.2699999999999996</v>
      </c>
    </row>
    <row r="57" spans="1:17" customFormat="1">
      <c r="A57" s="100" t="s">
        <v>1630</v>
      </c>
      <c r="B57" s="100">
        <v>3.94</v>
      </c>
      <c r="C57" s="100">
        <v>38.82</v>
      </c>
      <c r="D57" s="100">
        <v>22.39</v>
      </c>
      <c r="E57" s="100">
        <v>10.14</v>
      </c>
      <c r="F57" s="100">
        <v>56.23</v>
      </c>
      <c r="G57" s="100">
        <v>89.54</v>
      </c>
      <c r="H57" s="100">
        <v>23.75</v>
      </c>
      <c r="I57" s="100">
        <v>5.75</v>
      </c>
      <c r="J57" s="100">
        <v>1.28</v>
      </c>
      <c r="K57" s="100">
        <v>46.24</v>
      </c>
      <c r="L57" s="100">
        <v>40.39</v>
      </c>
      <c r="M57" s="100">
        <v>14.97</v>
      </c>
      <c r="N57" s="100">
        <v>790.7</v>
      </c>
      <c r="O57" s="100">
        <v>0</v>
      </c>
      <c r="P57" s="100">
        <v>0.51</v>
      </c>
      <c r="Q57" s="100">
        <v>4.25</v>
      </c>
    </row>
    <row r="58" spans="1:17" customFormat="1">
      <c r="A58" s="100" t="s">
        <v>1631</v>
      </c>
      <c r="B58" s="100">
        <v>3.4</v>
      </c>
      <c r="C58" s="100">
        <v>38.93</v>
      </c>
      <c r="D58" s="100">
        <v>22.02</v>
      </c>
      <c r="E58" s="100">
        <v>21.18</v>
      </c>
      <c r="F58" s="100">
        <v>74.13</v>
      </c>
      <c r="G58" s="100">
        <v>89.41</v>
      </c>
      <c r="H58" s="100">
        <v>23.75</v>
      </c>
      <c r="I58" s="100">
        <v>5.27</v>
      </c>
      <c r="J58" s="100">
        <v>0.7</v>
      </c>
      <c r="K58" s="100">
        <v>1.19</v>
      </c>
      <c r="L58" s="100">
        <v>40.72</v>
      </c>
      <c r="M58" s="100">
        <v>14.54</v>
      </c>
      <c r="N58" s="100">
        <v>769.5</v>
      </c>
      <c r="O58" s="100">
        <v>0</v>
      </c>
      <c r="P58" s="100">
        <v>0.51</v>
      </c>
      <c r="Q58" s="100">
        <v>4.24</v>
      </c>
    </row>
    <row r="59" spans="1:17" customFormat="1">
      <c r="A59" s="100" t="s">
        <v>1632</v>
      </c>
      <c r="B59" s="100">
        <v>4.28</v>
      </c>
      <c r="C59" s="100">
        <v>43.48</v>
      </c>
      <c r="D59" s="100">
        <v>25.11</v>
      </c>
      <c r="E59" s="100">
        <v>22.23</v>
      </c>
      <c r="F59" s="100">
        <v>65.03</v>
      </c>
      <c r="G59" s="100">
        <v>89.41</v>
      </c>
      <c r="H59" s="100">
        <v>23.75</v>
      </c>
      <c r="I59" s="100">
        <v>4.84</v>
      </c>
      <c r="J59" s="100">
        <v>0.83</v>
      </c>
      <c r="K59" s="100">
        <v>44.74</v>
      </c>
      <c r="L59" s="100">
        <v>41.4</v>
      </c>
      <c r="M59" s="100">
        <v>14.71</v>
      </c>
      <c r="N59" s="100">
        <v>684.9</v>
      </c>
      <c r="O59" s="100">
        <v>0</v>
      </c>
      <c r="P59" s="100">
        <v>0.52</v>
      </c>
      <c r="Q59" s="100">
        <v>4.26</v>
      </c>
    </row>
    <row r="60" spans="1:17" customFormat="1">
      <c r="A60" s="100" t="s">
        <v>1633</v>
      </c>
      <c r="B60" s="100">
        <v>3.52</v>
      </c>
      <c r="C60" s="100">
        <v>39.65</v>
      </c>
      <c r="D60" s="100">
        <v>22.49</v>
      </c>
      <c r="E60" s="100">
        <v>17.84</v>
      </c>
      <c r="F60" s="100">
        <v>77.11</v>
      </c>
      <c r="G60" s="100">
        <v>89.41</v>
      </c>
      <c r="H60" s="100">
        <v>23.75</v>
      </c>
      <c r="I60" s="100">
        <v>4.28</v>
      </c>
      <c r="J60" s="100">
        <v>0.83</v>
      </c>
      <c r="K60" s="100">
        <v>40.97</v>
      </c>
      <c r="L60" s="100">
        <v>41.53</v>
      </c>
      <c r="M60" s="100">
        <v>14.07</v>
      </c>
      <c r="N60" s="100">
        <v>757.5</v>
      </c>
      <c r="O60" s="100">
        <v>0</v>
      </c>
      <c r="P60" s="100">
        <v>0.51</v>
      </c>
      <c r="Q60" s="100">
        <v>4.32</v>
      </c>
    </row>
    <row r="61" spans="1:17" customFormat="1">
      <c r="A61" s="100" t="s">
        <v>1634</v>
      </c>
      <c r="B61" s="100">
        <v>2.2000000000000002</v>
      </c>
      <c r="C61" s="100">
        <v>37.590000000000003</v>
      </c>
      <c r="D61" s="100">
        <v>20.36</v>
      </c>
      <c r="E61" s="100">
        <v>18.29</v>
      </c>
      <c r="F61" s="100">
        <v>76.53</v>
      </c>
      <c r="G61" s="100">
        <v>77.680000000000007</v>
      </c>
      <c r="H61" s="100">
        <v>24.25</v>
      </c>
      <c r="I61" s="100">
        <v>3.78</v>
      </c>
      <c r="J61" s="100">
        <v>0.81</v>
      </c>
      <c r="K61" s="100">
        <v>28.53</v>
      </c>
      <c r="L61" s="100">
        <v>41.38</v>
      </c>
      <c r="M61" s="100">
        <v>13.82</v>
      </c>
      <c r="N61" s="100">
        <v>750.8</v>
      </c>
      <c r="O61" s="100">
        <v>0</v>
      </c>
      <c r="P61" s="100">
        <v>0.5</v>
      </c>
      <c r="Q61" s="100">
        <v>4.33</v>
      </c>
    </row>
    <row r="62" spans="1:17" customFormat="1">
      <c r="A62" s="100" t="s">
        <v>1635</v>
      </c>
      <c r="B62" s="100">
        <v>2.75</v>
      </c>
      <c r="C62" s="100">
        <v>36.56</v>
      </c>
      <c r="D62" s="100">
        <v>20.260000000000002</v>
      </c>
      <c r="E62" s="100">
        <v>18.190000000000001</v>
      </c>
      <c r="F62" s="100">
        <v>72.72</v>
      </c>
      <c r="G62" s="100">
        <v>77.27</v>
      </c>
      <c r="H62" s="100">
        <v>24.28</v>
      </c>
      <c r="I62" s="100">
        <v>3.72</v>
      </c>
      <c r="J62" s="100">
        <v>0.68</v>
      </c>
      <c r="K62" s="100">
        <v>17.73</v>
      </c>
      <c r="L62" s="100">
        <v>41.76</v>
      </c>
      <c r="M62" s="100">
        <v>13.17</v>
      </c>
      <c r="N62" s="100">
        <v>685.9</v>
      </c>
      <c r="O62" s="100">
        <v>0</v>
      </c>
      <c r="P62" s="100">
        <v>0.5</v>
      </c>
      <c r="Q62" s="100">
        <v>4.32</v>
      </c>
    </row>
    <row r="63" spans="1:17" customFormat="1">
      <c r="A63" s="100" t="s">
        <v>1636</v>
      </c>
      <c r="B63" s="100">
        <v>3.68</v>
      </c>
      <c r="C63" s="100">
        <v>39.42</v>
      </c>
      <c r="D63" s="100">
        <v>22.5</v>
      </c>
      <c r="E63" s="100">
        <v>10.98</v>
      </c>
      <c r="F63" s="100">
        <v>67.41</v>
      </c>
      <c r="G63" s="100">
        <v>77.27</v>
      </c>
      <c r="H63" s="100">
        <v>24.28</v>
      </c>
      <c r="I63" s="100">
        <v>3.37</v>
      </c>
      <c r="J63" s="100">
        <v>0.62</v>
      </c>
      <c r="K63" s="100">
        <v>2.68</v>
      </c>
      <c r="L63" s="100">
        <v>41.93</v>
      </c>
      <c r="M63" s="100">
        <v>12.46</v>
      </c>
      <c r="N63" s="100">
        <v>672.9</v>
      </c>
      <c r="O63" s="100">
        <v>0</v>
      </c>
      <c r="P63" s="100">
        <v>0.47</v>
      </c>
      <c r="Q63" s="100">
        <v>4.28</v>
      </c>
    </row>
    <row r="64" spans="1:17" customFormat="1">
      <c r="A64" s="100" t="s">
        <v>1637</v>
      </c>
      <c r="B64" s="100">
        <v>3.89</v>
      </c>
      <c r="C64" s="100">
        <v>37.21</v>
      </c>
      <c r="D64" s="100">
        <v>21.52</v>
      </c>
      <c r="E64" s="100">
        <v>10.53</v>
      </c>
      <c r="F64" s="100">
        <v>70.25</v>
      </c>
      <c r="G64" s="100">
        <v>77.27</v>
      </c>
      <c r="H64" s="100">
        <v>24.28</v>
      </c>
      <c r="I64" s="100">
        <v>3.14</v>
      </c>
      <c r="J64" s="100">
        <v>0.95</v>
      </c>
      <c r="K64" s="100">
        <v>11.37</v>
      </c>
      <c r="L64" s="100">
        <v>41.86</v>
      </c>
      <c r="M64" s="100">
        <v>12.07</v>
      </c>
      <c r="N64" s="100">
        <v>649.1</v>
      </c>
      <c r="O64" s="100">
        <v>0</v>
      </c>
      <c r="P64" s="100">
        <v>0.44</v>
      </c>
      <c r="Q64" s="100">
        <v>4.2300000000000004</v>
      </c>
    </row>
    <row r="65" spans="1:17" customFormat="1">
      <c r="A65" s="100" t="s">
        <v>1638</v>
      </c>
      <c r="B65" s="100">
        <v>11.42</v>
      </c>
      <c r="C65" s="100">
        <v>55.58</v>
      </c>
      <c r="D65" s="100">
        <v>37.15</v>
      </c>
      <c r="E65" s="100">
        <v>8.31</v>
      </c>
      <c r="F65" s="100">
        <v>41.61</v>
      </c>
      <c r="G65" s="100">
        <v>84.56</v>
      </c>
      <c r="H65" s="100">
        <v>22.46</v>
      </c>
      <c r="I65" s="100">
        <v>2.93</v>
      </c>
      <c r="J65" s="100">
        <v>0.78</v>
      </c>
      <c r="K65" s="100">
        <v>22.51</v>
      </c>
      <c r="L65" s="100">
        <v>41.65</v>
      </c>
      <c r="M65" s="100">
        <v>12.42</v>
      </c>
      <c r="N65" s="100">
        <v>552.29999999999995</v>
      </c>
      <c r="O65" s="100">
        <v>0</v>
      </c>
      <c r="P65" s="100">
        <v>0.48</v>
      </c>
      <c r="Q65" s="100">
        <v>4.57</v>
      </c>
    </row>
    <row r="66" spans="1:17" customFormat="1">
      <c r="A66" s="100" t="s">
        <v>1639</v>
      </c>
      <c r="B66" s="100">
        <v>12.28</v>
      </c>
      <c r="C66" s="100">
        <v>64.290000000000006</v>
      </c>
      <c r="D66" s="100">
        <v>42.39</v>
      </c>
      <c r="E66" s="100">
        <v>7.41</v>
      </c>
      <c r="F66" s="100">
        <v>33.07</v>
      </c>
      <c r="G66" s="100">
        <v>84.9</v>
      </c>
      <c r="H66" s="100">
        <v>22.46</v>
      </c>
      <c r="I66" s="100">
        <v>2.75</v>
      </c>
      <c r="J66" s="100">
        <v>0.54</v>
      </c>
      <c r="K66" s="100">
        <v>312.42</v>
      </c>
      <c r="L66" s="100">
        <v>42.22</v>
      </c>
      <c r="M66" s="100">
        <v>12.25</v>
      </c>
      <c r="N66" s="100">
        <v>675.3</v>
      </c>
      <c r="O66" s="100">
        <v>0</v>
      </c>
      <c r="P66" s="100">
        <v>0.49</v>
      </c>
      <c r="Q66" s="100">
        <v>5.39</v>
      </c>
    </row>
    <row r="67" spans="1:17" customFormat="1">
      <c r="A67" s="100" t="s">
        <v>1640</v>
      </c>
      <c r="B67" s="100">
        <v>11.03</v>
      </c>
      <c r="C67" s="100">
        <v>63.05</v>
      </c>
      <c r="D67" s="100">
        <v>40.74</v>
      </c>
      <c r="E67" s="100">
        <v>6.22</v>
      </c>
      <c r="F67" s="100">
        <v>33.619999999999997</v>
      </c>
      <c r="G67" s="100">
        <v>84.9</v>
      </c>
      <c r="H67" s="100">
        <v>22.46</v>
      </c>
      <c r="I67" s="100">
        <v>3.01</v>
      </c>
      <c r="J67" s="100">
        <v>0.63</v>
      </c>
      <c r="K67" s="100">
        <v>1.1200000000000001</v>
      </c>
      <c r="L67" s="100">
        <v>42.43</v>
      </c>
      <c r="M67" s="100">
        <v>11.78</v>
      </c>
      <c r="N67" s="100">
        <v>503.7</v>
      </c>
      <c r="O67" s="100">
        <v>0</v>
      </c>
      <c r="P67" s="100">
        <v>0.48</v>
      </c>
      <c r="Q67" s="100">
        <v>5.47</v>
      </c>
    </row>
    <row r="68" spans="1:17" customFormat="1">
      <c r="A68" s="100" t="s">
        <v>1641</v>
      </c>
      <c r="B68" s="100">
        <v>9.39</v>
      </c>
      <c r="C68" s="100">
        <v>60.03</v>
      </c>
      <c r="D68" s="100">
        <v>37.85</v>
      </c>
      <c r="E68" s="100">
        <v>7.05</v>
      </c>
      <c r="F68" s="100">
        <v>41.74</v>
      </c>
      <c r="G68" s="100">
        <v>84.9</v>
      </c>
      <c r="H68" s="100">
        <v>22.46</v>
      </c>
      <c r="I68" s="100">
        <v>3.32</v>
      </c>
      <c r="J68" s="100">
        <v>0.43</v>
      </c>
      <c r="K68" s="100">
        <v>6.45</v>
      </c>
      <c r="L68" s="100">
        <v>41.52</v>
      </c>
      <c r="M68" s="100">
        <v>12.15</v>
      </c>
      <c r="N68" s="100">
        <v>270.89999999999998</v>
      </c>
      <c r="O68" s="100">
        <v>0</v>
      </c>
      <c r="P68" s="100">
        <v>0.47</v>
      </c>
      <c r="Q68" s="100">
        <v>5.41</v>
      </c>
    </row>
    <row r="69" spans="1:17" customFormat="1">
      <c r="A69" s="100" t="s">
        <v>1642</v>
      </c>
      <c r="B69" s="100">
        <v>8.82</v>
      </c>
      <c r="C69" s="100">
        <v>58.67</v>
      </c>
      <c r="D69" s="100">
        <v>36.68</v>
      </c>
      <c r="E69" s="100">
        <v>7.58</v>
      </c>
      <c r="F69" s="100">
        <v>35.99</v>
      </c>
      <c r="G69" s="100">
        <v>70.62</v>
      </c>
      <c r="H69" s="100">
        <v>20.23</v>
      </c>
      <c r="I69" s="100">
        <v>3.35</v>
      </c>
      <c r="J69" s="100">
        <v>0.61</v>
      </c>
      <c r="K69" s="100">
        <v>48.54</v>
      </c>
      <c r="L69" s="100">
        <v>41.77</v>
      </c>
      <c r="M69" s="100">
        <v>13.02</v>
      </c>
      <c r="N69" s="100">
        <v>490.1</v>
      </c>
      <c r="O69" s="100">
        <v>0</v>
      </c>
      <c r="P69" s="100">
        <v>0.46</v>
      </c>
      <c r="Q69" s="100">
        <v>5.34</v>
      </c>
    </row>
    <row r="70" spans="1:17" customFormat="1">
      <c r="A70" s="100" t="s">
        <v>1643</v>
      </c>
      <c r="B70" s="100">
        <v>8.33</v>
      </c>
      <c r="C70" s="100">
        <v>60.45</v>
      </c>
      <c r="D70" s="100">
        <v>37.22</v>
      </c>
      <c r="E70" s="100">
        <v>12.25</v>
      </c>
      <c r="F70" s="100">
        <v>44.22</v>
      </c>
      <c r="G70" s="100">
        <v>70.13</v>
      </c>
      <c r="H70" s="100">
        <v>20.23</v>
      </c>
      <c r="I70" s="100">
        <v>3.32</v>
      </c>
      <c r="J70" s="100">
        <v>0.45</v>
      </c>
      <c r="K70" s="100">
        <v>18.73</v>
      </c>
      <c r="L70" s="100">
        <v>42.38</v>
      </c>
      <c r="M70" s="100">
        <v>12</v>
      </c>
      <c r="N70" s="100">
        <v>535.1</v>
      </c>
      <c r="O70" s="100">
        <v>0</v>
      </c>
      <c r="P70" s="100">
        <v>0.46</v>
      </c>
      <c r="Q70" s="100">
        <v>5.25</v>
      </c>
    </row>
    <row r="71" spans="1:17" customFormat="1">
      <c r="A71" s="100" t="s">
        <v>1644</v>
      </c>
      <c r="B71" s="100">
        <v>7.9</v>
      </c>
      <c r="C71" s="100">
        <v>60.73</v>
      </c>
      <c r="D71" s="100">
        <v>37.020000000000003</v>
      </c>
      <c r="E71" s="100">
        <v>8.23</v>
      </c>
      <c r="F71" s="100">
        <v>28.25</v>
      </c>
      <c r="G71" s="100">
        <v>70.13</v>
      </c>
      <c r="H71" s="100">
        <v>20.23</v>
      </c>
      <c r="I71" s="100">
        <v>3.33</v>
      </c>
      <c r="J71" s="100">
        <v>0.93</v>
      </c>
      <c r="K71" s="100">
        <v>285.72000000000003</v>
      </c>
      <c r="L71" s="100">
        <v>41.53</v>
      </c>
      <c r="M71" s="100">
        <v>10.81</v>
      </c>
      <c r="N71" s="100">
        <v>132.80000000000001</v>
      </c>
      <c r="O71" s="100">
        <v>0</v>
      </c>
      <c r="P71" s="100">
        <v>0.44</v>
      </c>
      <c r="Q71" s="100">
        <v>5.17</v>
      </c>
    </row>
    <row r="72" spans="1:17" customFormat="1">
      <c r="A72" s="100" t="s">
        <v>1645</v>
      </c>
      <c r="B72" s="100">
        <v>8.61</v>
      </c>
      <c r="C72" s="100">
        <v>58.8</v>
      </c>
      <c r="D72" s="100">
        <v>36.58</v>
      </c>
      <c r="E72" s="100">
        <v>7</v>
      </c>
      <c r="F72" s="100">
        <v>38.630000000000003</v>
      </c>
      <c r="G72" s="100">
        <v>70.13</v>
      </c>
      <c r="H72" s="100">
        <v>20.23</v>
      </c>
      <c r="I72" s="100">
        <v>3.43</v>
      </c>
      <c r="J72" s="100">
        <v>0.7</v>
      </c>
      <c r="K72" s="100">
        <v>294.83</v>
      </c>
      <c r="L72" s="100">
        <v>41</v>
      </c>
      <c r="M72" s="100">
        <v>11.21</v>
      </c>
      <c r="N72" s="100">
        <v>170.9</v>
      </c>
      <c r="O72" s="100">
        <v>0</v>
      </c>
      <c r="P72" s="100">
        <v>0.44</v>
      </c>
      <c r="Q72" s="100">
        <v>5.08</v>
      </c>
    </row>
    <row r="73" spans="1:17" customFormat="1">
      <c r="A73" s="100" t="s">
        <v>1646</v>
      </c>
      <c r="B73" s="100">
        <v>6.88</v>
      </c>
      <c r="C73" s="100">
        <v>55.04</v>
      </c>
      <c r="D73" s="100">
        <v>33.229999999999997</v>
      </c>
      <c r="E73" s="100">
        <v>6.39</v>
      </c>
      <c r="F73" s="100">
        <v>37.04</v>
      </c>
      <c r="G73" s="100">
        <v>63.84</v>
      </c>
      <c r="H73" s="100">
        <v>18.25</v>
      </c>
      <c r="I73" s="100">
        <v>3.48</v>
      </c>
      <c r="J73" s="100">
        <v>0.64</v>
      </c>
      <c r="K73" s="100">
        <v>259.60000000000002</v>
      </c>
      <c r="L73" s="100">
        <v>40.64</v>
      </c>
      <c r="M73" s="100">
        <v>12.39</v>
      </c>
      <c r="N73" s="100">
        <v>120.8</v>
      </c>
      <c r="O73" s="100">
        <v>0</v>
      </c>
      <c r="P73" s="100">
        <v>0.42</v>
      </c>
      <c r="Q73" s="100">
        <v>5.0199999999999996</v>
      </c>
    </row>
    <row r="74" spans="1:17" customFormat="1">
      <c r="A74" s="100" t="s">
        <v>1647</v>
      </c>
      <c r="B74" s="100">
        <v>7.19</v>
      </c>
      <c r="C74" s="100">
        <v>56.52</v>
      </c>
      <c r="D74" s="100">
        <v>34.26</v>
      </c>
      <c r="E74" s="100">
        <v>6.01</v>
      </c>
      <c r="F74" s="100">
        <v>28.8</v>
      </c>
      <c r="G74" s="100">
        <v>63.63</v>
      </c>
      <c r="H74" s="100">
        <v>18.25</v>
      </c>
      <c r="I74" s="100">
        <v>3.51</v>
      </c>
      <c r="J74" s="100">
        <v>0.98</v>
      </c>
      <c r="K74" s="100">
        <v>281.76</v>
      </c>
      <c r="L74" s="100">
        <v>40.43</v>
      </c>
      <c r="M74" s="100">
        <v>13.06</v>
      </c>
      <c r="N74" s="100">
        <v>167.6</v>
      </c>
      <c r="O74" s="100">
        <v>0</v>
      </c>
      <c r="P74" s="100">
        <v>0.45</v>
      </c>
      <c r="Q74" s="100">
        <v>4.99</v>
      </c>
    </row>
    <row r="75" spans="1:17" customFormat="1">
      <c r="A75" s="100" t="s">
        <v>1648</v>
      </c>
      <c r="B75" s="100">
        <v>6.31</v>
      </c>
      <c r="C75" s="100">
        <v>51.5</v>
      </c>
      <c r="D75" s="100">
        <v>30.92</v>
      </c>
      <c r="E75" s="100">
        <v>6.34</v>
      </c>
      <c r="F75" s="100">
        <v>35.380000000000003</v>
      </c>
      <c r="G75" s="100">
        <v>63.63</v>
      </c>
      <c r="H75" s="100">
        <v>18.25</v>
      </c>
      <c r="I75" s="100">
        <v>3.54</v>
      </c>
      <c r="J75" s="100">
        <v>0.82</v>
      </c>
      <c r="K75" s="100">
        <v>257.43</v>
      </c>
      <c r="L75" s="100">
        <v>40.46</v>
      </c>
      <c r="M75" s="100">
        <v>14.05</v>
      </c>
      <c r="N75" s="100">
        <v>184.3</v>
      </c>
      <c r="O75" s="100">
        <v>0</v>
      </c>
      <c r="P75" s="100">
        <v>0.42</v>
      </c>
      <c r="Q75" s="100">
        <v>4.92</v>
      </c>
    </row>
    <row r="76" spans="1:17" customFormat="1">
      <c r="A76" s="100" t="s">
        <v>1649</v>
      </c>
      <c r="B76" s="100">
        <v>5.03</v>
      </c>
      <c r="C76" s="100">
        <v>47.64</v>
      </c>
      <c r="D76" s="100">
        <v>27.88</v>
      </c>
      <c r="E76" s="100">
        <v>8.43</v>
      </c>
      <c r="F76" s="100">
        <v>51.24</v>
      </c>
      <c r="G76" s="100">
        <v>63.63</v>
      </c>
      <c r="H76" s="100">
        <v>18.25</v>
      </c>
      <c r="I76" s="100">
        <v>3.71</v>
      </c>
      <c r="J76" s="100">
        <v>0.69</v>
      </c>
      <c r="K76" s="100">
        <v>254.77</v>
      </c>
      <c r="L76" s="100">
        <v>39.81</v>
      </c>
      <c r="M76" s="100">
        <v>14.18</v>
      </c>
      <c r="N76" s="100">
        <v>54.9</v>
      </c>
      <c r="O76" s="100">
        <v>0</v>
      </c>
      <c r="P76" s="100">
        <v>0.39</v>
      </c>
      <c r="Q76" s="100">
        <v>4.84</v>
      </c>
    </row>
    <row r="77" spans="1:17" customFormat="1">
      <c r="A77" s="100" t="s">
        <v>1650</v>
      </c>
      <c r="B77" s="100">
        <v>4.95</v>
      </c>
      <c r="C77" s="100">
        <v>50.55</v>
      </c>
      <c r="D77" s="100">
        <v>29.34</v>
      </c>
      <c r="E77" s="100">
        <v>8.02</v>
      </c>
      <c r="F77" s="100">
        <v>36.82</v>
      </c>
      <c r="G77" s="100">
        <v>56.12</v>
      </c>
      <c r="H77" s="100">
        <v>15.5</v>
      </c>
      <c r="I77" s="100">
        <v>3.73</v>
      </c>
      <c r="J77" s="100">
        <v>1.1399999999999999</v>
      </c>
      <c r="K77" s="100">
        <v>251.43</v>
      </c>
      <c r="L77" s="100">
        <v>39.25</v>
      </c>
      <c r="M77" s="100">
        <v>15.08</v>
      </c>
      <c r="N77" s="100">
        <v>51.7</v>
      </c>
      <c r="O77" s="100">
        <v>0</v>
      </c>
      <c r="P77" s="100">
        <v>0.41</v>
      </c>
      <c r="Q77" s="100">
        <v>4.78</v>
      </c>
    </row>
    <row r="78" spans="1:17" customFormat="1">
      <c r="A78" s="100" t="s">
        <v>1651</v>
      </c>
      <c r="B78" s="100">
        <v>6.32</v>
      </c>
      <c r="C78" s="100">
        <v>48.76</v>
      </c>
      <c r="D78" s="100">
        <v>29.5</v>
      </c>
      <c r="E78" s="100">
        <v>6.7</v>
      </c>
      <c r="F78" s="100">
        <v>45.86</v>
      </c>
      <c r="G78" s="100">
        <v>55.77</v>
      </c>
      <c r="H78" s="100">
        <v>15.5</v>
      </c>
      <c r="I78" s="100">
        <v>3.5</v>
      </c>
      <c r="J78" s="100">
        <v>0.56999999999999995</v>
      </c>
      <c r="K78" s="100">
        <v>296.52999999999997</v>
      </c>
      <c r="L78" s="100">
        <v>39.11</v>
      </c>
      <c r="M78" s="100">
        <v>15.99</v>
      </c>
      <c r="N78" s="100">
        <v>99.1</v>
      </c>
      <c r="O78" s="100">
        <v>0</v>
      </c>
      <c r="P78" s="100">
        <v>0.39</v>
      </c>
      <c r="Q78" s="100">
        <v>4.6900000000000004</v>
      </c>
    </row>
    <row r="79" spans="1:17" customFormat="1">
      <c r="A79" s="100" t="s">
        <v>1652</v>
      </c>
      <c r="B79" s="100">
        <v>6.51</v>
      </c>
      <c r="C79" s="100">
        <v>54.39</v>
      </c>
      <c r="D79" s="100">
        <v>32.6</v>
      </c>
      <c r="E79" s="100">
        <v>7.58</v>
      </c>
      <c r="F79" s="100">
        <v>30.55</v>
      </c>
      <c r="G79" s="100">
        <v>55.77</v>
      </c>
      <c r="H79" s="100">
        <v>15.5</v>
      </c>
      <c r="I79" s="100">
        <v>3.46</v>
      </c>
      <c r="J79" s="100">
        <v>0.1</v>
      </c>
      <c r="K79" s="100">
        <v>178.69</v>
      </c>
      <c r="L79" s="100">
        <v>37.97</v>
      </c>
      <c r="M79" s="100">
        <v>25.23</v>
      </c>
      <c r="N79" s="100">
        <v>78.400000000000006</v>
      </c>
      <c r="O79" s="100">
        <v>0</v>
      </c>
      <c r="P79" s="100">
        <v>0.53</v>
      </c>
      <c r="Q79" s="100">
        <v>4.67</v>
      </c>
    </row>
    <row r="80" spans="1:17" customFormat="1">
      <c r="A80" s="100" t="s">
        <v>1653</v>
      </c>
      <c r="B80" s="100">
        <v>5.23</v>
      </c>
      <c r="C80" s="100">
        <v>52.16</v>
      </c>
      <c r="D80" s="100">
        <v>30.4</v>
      </c>
      <c r="E80" s="100">
        <v>6.96</v>
      </c>
      <c r="F80" s="100">
        <v>36.909999999999997</v>
      </c>
      <c r="G80" s="100">
        <v>55.77</v>
      </c>
      <c r="H80" s="100">
        <v>15.5</v>
      </c>
      <c r="I80" s="100">
        <v>3.46</v>
      </c>
      <c r="J80" s="100">
        <v>0.71</v>
      </c>
      <c r="K80" s="100">
        <v>250.37</v>
      </c>
      <c r="L80" s="100">
        <v>37.75</v>
      </c>
      <c r="M80" s="100">
        <v>19.760000000000002</v>
      </c>
      <c r="N80" s="100">
        <v>25.6</v>
      </c>
      <c r="O80" s="100">
        <v>0</v>
      </c>
      <c r="P80" s="100">
        <v>0.43</v>
      </c>
      <c r="Q80" s="100">
        <v>4.68</v>
      </c>
    </row>
    <row r="81" spans="1:17" customFormat="1">
      <c r="A81" s="100" t="s">
        <v>1654</v>
      </c>
      <c r="B81" s="100">
        <v>6.4</v>
      </c>
      <c r="C81" s="100">
        <v>57.63</v>
      </c>
      <c r="D81" s="100">
        <v>34.19</v>
      </c>
      <c r="E81" s="100">
        <v>5.96</v>
      </c>
      <c r="F81" s="100">
        <v>28.88</v>
      </c>
      <c r="G81" s="100">
        <v>63.12</v>
      </c>
      <c r="H81" s="100">
        <v>14.24</v>
      </c>
      <c r="I81" s="100">
        <v>3.45</v>
      </c>
      <c r="J81" s="100">
        <v>1.02</v>
      </c>
      <c r="K81" s="100">
        <v>281.26</v>
      </c>
      <c r="L81" s="100">
        <v>38.24</v>
      </c>
      <c r="M81" s="100">
        <v>16.100000000000001</v>
      </c>
      <c r="N81" s="100">
        <v>4.4000000000000004</v>
      </c>
      <c r="O81" s="100">
        <v>0</v>
      </c>
      <c r="P81" s="100">
        <v>0.51</v>
      </c>
      <c r="Q81" s="100">
        <v>4.68</v>
      </c>
    </row>
    <row r="82" spans="1:17" customFormat="1">
      <c r="A82" s="100" t="s">
        <v>1655</v>
      </c>
      <c r="B82" s="100">
        <v>6.37</v>
      </c>
      <c r="C82" s="100">
        <v>59.47</v>
      </c>
      <c r="D82" s="100">
        <v>35.130000000000003</v>
      </c>
      <c r="E82" s="100">
        <v>6.96</v>
      </c>
      <c r="F82" s="100">
        <v>31.64</v>
      </c>
      <c r="G82" s="100">
        <v>63.38</v>
      </c>
      <c r="H82" s="100">
        <v>14.24</v>
      </c>
      <c r="I82" s="100">
        <v>3.72</v>
      </c>
      <c r="J82" s="100">
        <v>0.73</v>
      </c>
      <c r="K82" s="100">
        <v>264.29000000000002</v>
      </c>
      <c r="L82" s="100">
        <v>37.9</v>
      </c>
      <c r="M82" s="100">
        <v>16.68</v>
      </c>
      <c r="N82" s="100">
        <v>0</v>
      </c>
      <c r="O82" s="100">
        <v>0</v>
      </c>
      <c r="P82" s="100">
        <v>0.54</v>
      </c>
      <c r="Q82" s="100">
        <v>4.6900000000000004</v>
      </c>
    </row>
    <row r="83" spans="1:17" customFormat="1">
      <c r="A83" s="100" t="s">
        <v>1656</v>
      </c>
      <c r="B83" s="100">
        <v>4.97</v>
      </c>
      <c r="C83" s="100">
        <v>55.15</v>
      </c>
      <c r="D83" s="100">
        <v>31.76</v>
      </c>
      <c r="E83" s="100">
        <v>8.1300000000000008</v>
      </c>
      <c r="F83" s="100">
        <v>34.71</v>
      </c>
      <c r="G83" s="100">
        <v>63.38</v>
      </c>
      <c r="H83" s="100">
        <v>14.24</v>
      </c>
      <c r="I83" s="100">
        <v>4.01</v>
      </c>
      <c r="J83" s="100">
        <v>0.56000000000000005</v>
      </c>
      <c r="K83" s="100">
        <v>253.62</v>
      </c>
      <c r="L83" s="100">
        <v>37.200000000000003</v>
      </c>
      <c r="M83" s="100">
        <v>18.23</v>
      </c>
      <c r="N83" s="100">
        <v>0</v>
      </c>
      <c r="O83" s="100">
        <v>0</v>
      </c>
      <c r="P83" s="100">
        <v>0.56999999999999995</v>
      </c>
      <c r="Q83" s="100">
        <v>4.6900000000000004</v>
      </c>
    </row>
    <row r="84" spans="1:17" customFormat="1">
      <c r="A84" s="100" t="s">
        <v>1657</v>
      </c>
      <c r="B84" s="100">
        <v>4.92</v>
      </c>
      <c r="C84" s="100">
        <v>57.42</v>
      </c>
      <c r="D84" s="100">
        <v>32.909999999999997</v>
      </c>
      <c r="E84" s="100">
        <v>8.08</v>
      </c>
      <c r="F84" s="100">
        <v>29.33</v>
      </c>
      <c r="G84" s="100">
        <v>63.38</v>
      </c>
      <c r="H84" s="100">
        <v>14.24</v>
      </c>
      <c r="I84" s="100">
        <v>4.2</v>
      </c>
      <c r="J84" s="100">
        <v>0.54</v>
      </c>
      <c r="K84" s="100">
        <v>252.58</v>
      </c>
      <c r="L84" s="100">
        <v>36.82</v>
      </c>
      <c r="M84" s="100">
        <v>18.989999999999998</v>
      </c>
      <c r="N84" s="100">
        <v>0</v>
      </c>
      <c r="O84" s="100">
        <v>0</v>
      </c>
      <c r="P84" s="100">
        <v>0.62</v>
      </c>
      <c r="Q84" s="100">
        <v>4.68</v>
      </c>
    </row>
    <row r="85" spans="1:17" customFormat="1">
      <c r="A85" s="100" t="s">
        <v>1658</v>
      </c>
      <c r="B85" s="100">
        <v>5.71</v>
      </c>
      <c r="C85" s="100">
        <v>58.94</v>
      </c>
      <c r="D85" s="100">
        <v>34.33</v>
      </c>
      <c r="E85" s="100">
        <v>7.37</v>
      </c>
      <c r="F85" s="100">
        <v>24.59</v>
      </c>
      <c r="G85" s="100">
        <v>62.23</v>
      </c>
      <c r="H85" s="100">
        <v>14.47</v>
      </c>
      <c r="I85" s="100">
        <v>4.4400000000000004</v>
      </c>
      <c r="J85" s="100">
        <v>0.59</v>
      </c>
      <c r="K85" s="100">
        <v>263.41000000000003</v>
      </c>
      <c r="L85" s="100">
        <v>36.770000000000003</v>
      </c>
      <c r="M85" s="100">
        <v>19.16</v>
      </c>
      <c r="N85" s="100">
        <v>0</v>
      </c>
      <c r="O85" s="100">
        <v>0</v>
      </c>
      <c r="P85" s="100">
        <v>0.61</v>
      </c>
      <c r="Q85" s="100">
        <v>4.6900000000000004</v>
      </c>
    </row>
    <row r="86" spans="1:17" customFormat="1">
      <c r="A86" s="100" t="s">
        <v>1659</v>
      </c>
      <c r="B86" s="100">
        <v>6.16</v>
      </c>
      <c r="C86" s="100">
        <v>63.98</v>
      </c>
      <c r="D86" s="100">
        <v>37.32</v>
      </c>
      <c r="E86" s="100">
        <v>8.15</v>
      </c>
      <c r="F86" s="100">
        <v>21.05</v>
      </c>
      <c r="G86" s="100">
        <v>62.19</v>
      </c>
      <c r="H86" s="100">
        <v>14.47</v>
      </c>
      <c r="I86" s="100">
        <v>4.7300000000000004</v>
      </c>
      <c r="J86" s="100">
        <v>0.39</v>
      </c>
      <c r="K86" s="100">
        <v>232.66</v>
      </c>
      <c r="L86" s="100">
        <v>36.24</v>
      </c>
      <c r="M86" s="100">
        <v>20.69</v>
      </c>
      <c r="N86" s="100">
        <v>0</v>
      </c>
      <c r="O86" s="100">
        <v>0</v>
      </c>
      <c r="P86" s="100">
        <v>0.75</v>
      </c>
      <c r="Q86" s="100">
        <v>4.74</v>
      </c>
    </row>
    <row r="87" spans="1:17" customFormat="1">
      <c r="A87" s="100" t="s">
        <v>1660</v>
      </c>
      <c r="B87" s="100">
        <v>5.29</v>
      </c>
      <c r="C87" s="100">
        <v>62.82</v>
      </c>
      <c r="D87" s="100">
        <v>36.020000000000003</v>
      </c>
      <c r="E87" s="100">
        <v>8.36</v>
      </c>
      <c r="F87" s="100">
        <v>24.55</v>
      </c>
      <c r="G87" s="100">
        <v>62.19</v>
      </c>
      <c r="H87" s="100">
        <v>14.47</v>
      </c>
      <c r="I87" s="100">
        <v>4.9400000000000004</v>
      </c>
      <c r="J87" s="100">
        <v>0.4</v>
      </c>
      <c r="K87" s="100">
        <v>237.57</v>
      </c>
      <c r="L87" s="100">
        <v>35.75</v>
      </c>
      <c r="M87" s="100">
        <v>21.82</v>
      </c>
      <c r="N87" s="100">
        <v>0</v>
      </c>
      <c r="O87" s="100">
        <v>0</v>
      </c>
      <c r="P87" s="100">
        <v>0.77</v>
      </c>
      <c r="Q87" s="100">
        <v>4.7699999999999996</v>
      </c>
    </row>
    <row r="88" spans="1:17" customFormat="1">
      <c r="A88" s="100" t="s">
        <v>1661</v>
      </c>
      <c r="B88" s="100">
        <v>5.36</v>
      </c>
      <c r="C88" s="100">
        <v>52.98</v>
      </c>
      <c r="D88" s="100">
        <v>30.93</v>
      </c>
      <c r="E88" s="100">
        <v>8.5399999999999991</v>
      </c>
      <c r="F88" s="100">
        <v>31.82</v>
      </c>
      <c r="G88" s="100">
        <v>62.19</v>
      </c>
      <c r="H88" s="100">
        <v>14.47</v>
      </c>
      <c r="I88" s="100">
        <v>5.69</v>
      </c>
      <c r="J88" s="100">
        <v>0.22</v>
      </c>
      <c r="K88" s="100">
        <v>177.27</v>
      </c>
      <c r="L88" s="100">
        <v>35.08</v>
      </c>
      <c r="M88" s="100">
        <v>24.78</v>
      </c>
      <c r="N88" s="100">
        <v>0</v>
      </c>
      <c r="O88" s="100">
        <v>0</v>
      </c>
      <c r="P88" s="100">
        <v>0.71</v>
      </c>
      <c r="Q88" s="100">
        <v>4.75</v>
      </c>
    </row>
    <row r="89" spans="1:17" customFormat="1">
      <c r="A89" s="100" t="s">
        <v>1662</v>
      </c>
      <c r="B89" s="100">
        <v>5.66</v>
      </c>
      <c r="C89" s="100">
        <v>51.58</v>
      </c>
      <c r="D89" s="100">
        <v>30.45</v>
      </c>
      <c r="E89" s="100">
        <v>7.92</v>
      </c>
      <c r="F89" s="100">
        <v>24.06</v>
      </c>
      <c r="G89" s="100">
        <v>63.01</v>
      </c>
      <c r="H89" s="100">
        <v>15.77</v>
      </c>
      <c r="I89" s="100">
        <v>6.21</v>
      </c>
      <c r="J89" s="100">
        <v>0.23</v>
      </c>
      <c r="K89" s="100">
        <v>165.65</v>
      </c>
      <c r="L89" s="100">
        <v>33.700000000000003</v>
      </c>
      <c r="M89" s="100">
        <v>29.36</v>
      </c>
      <c r="N89" s="100">
        <v>0</v>
      </c>
      <c r="O89" s="100">
        <v>0</v>
      </c>
      <c r="P89" s="100">
        <v>0.78</v>
      </c>
      <c r="Q89" s="100">
        <v>4.78</v>
      </c>
    </row>
    <row r="90" spans="1:17" customFormat="1">
      <c r="A90" s="100" t="s">
        <v>1663</v>
      </c>
      <c r="B90" s="100">
        <v>6.27</v>
      </c>
      <c r="C90" s="100">
        <v>52.42</v>
      </c>
      <c r="D90" s="100">
        <v>31.37</v>
      </c>
      <c r="E90" s="100">
        <v>8.6</v>
      </c>
      <c r="F90" s="100">
        <v>19.89</v>
      </c>
      <c r="G90" s="100">
        <v>63.04</v>
      </c>
      <c r="H90" s="100">
        <v>15.77</v>
      </c>
      <c r="I90" s="100">
        <v>6.44</v>
      </c>
      <c r="J90" s="100">
        <v>0.27</v>
      </c>
      <c r="K90" s="100">
        <v>163.83000000000001</v>
      </c>
      <c r="L90" s="100">
        <v>32.97</v>
      </c>
      <c r="M90" s="100">
        <v>32.78</v>
      </c>
      <c r="N90" s="100">
        <v>0</v>
      </c>
      <c r="O90" s="100">
        <v>0</v>
      </c>
      <c r="P90" s="100">
        <v>0.73</v>
      </c>
      <c r="Q90" s="100">
        <v>4.8</v>
      </c>
    </row>
    <row r="91" spans="1:17" customFormat="1">
      <c r="A91" s="100" t="s">
        <v>1664</v>
      </c>
      <c r="B91" s="100">
        <v>6.58</v>
      </c>
      <c r="C91" s="100">
        <v>52.49</v>
      </c>
      <c r="D91" s="100">
        <v>31.66</v>
      </c>
      <c r="E91" s="100">
        <v>8.4600000000000009</v>
      </c>
      <c r="F91" s="100">
        <v>16.39</v>
      </c>
      <c r="G91" s="100">
        <v>63.04</v>
      </c>
      <c r="H91" s="100">
        <v>15.77</v>
      </c>
      <c r="I91" s="100">
        <v>6.86</v>
      </c>
      <c r="J91" s="100">
        <v>0.26</v>
      </c>
      <c r="K91" s="100">
        <v>163.54</v>
      </c>
      <c r="L91" s="100">
        <v>32.17</v>
      </c>
      <c r="M91" s="100">
        <v>35.86</v>
      </c>
      <c r="N91" s="100">
        <v>0</v>
      </c>
      <c r="O91" s="100">
        <v>0</v>
      </c>
      <c r="P91" s="100">
        <v>0.78</v>
      </c>
      <c r="Q91" s="100">
        <v>4.78</v>
      </c>
    </row>
    <row r="92" spans="1:17" customFormat="1">
      <c r="A92" s="100" t="s">
        <v>1665</v>
      </c>
      <c r="B92" s="100">
        <v>7.45</v>
      </c>
      <c r="C92" s="100">
        <v>54.73</v>
      </c>
      <c r="D92" s="100">
        <v>33.53</v>
      </c>
      <c r="E92" s="100">
        <v>8.86</v>
      </c>
      <c r="F92" s="100">
        <v>11.8</v>
      </c>
      <c r="G92" s="100">
        <v>63.04</v>
      </c>
      <c r="H92" s="100">
        <v>15.77</v>
      </c>
      <c r="I92" s="100">
        <v>6.84</v>
      </c>
      <c r="J92" s="100">
        <v>0.2</v>
      </c>
      <c r="K92" s="100">
        <v>161.69999999999999</v>
      </c>
      <c r="L92" s="100">
        <v>31.57</v>
      </c>
      <c r="M92" s="100">
        <v>37.659999999999997</v>
      </c>
      <c r="N92" s="100">
        <v>0</v>
      </c>
      <c r="O92" s="100">
        <v>0</v>
      </c>
      <c r="P92" s="100">
        <v>0.8</v>
      </c>
      <c r="Q92" s="100">
        <v>4.76</v>
      </c>
    </row>
    <row r="93" spans="1:17" customFormat="1">
      <c r="A93" s="100" t="s">
        <v>1666</v>
      </c>
      <c r="B93" s="100">
        <v>7.25</v>
      </c>
      <c r="C93" s="100">
        <v>52.12</v>
      </c>
      <c r="D93" s="100">
        <v>32</v>
      </c>
      <c r="E93" s="100">
        <v>12.74</v>
      </c>
      <c r="F93" s="100">
        <v>13.24</v>
      </c>
      <c r="G93" s="100">
        <v>64.709999999999994</v>
      </c>
      <c r="H93" s="100">
        <v>18.420000000000002</v>
      </c>
      <c r="I93" s="100">
        <v>7.25</v>
      </c>
      <c r="J93" s="100">
        <v>0.22</v>
      </c>
      <c r="K93" s="100">
        <v>159.22</v>
      </c>
      <c r="L93" s="100">
        <v>31.34</v>
      </c>
      <c r="M93" s="100">
        <v>38.130000000000003</v>
      </c>
      <c r="N93" s="100">
        <v>0</v>
      </c>
      <c r="O93" s="100">
        <v>0</v>
      </c>
      <c r="P93" s="100">
        <v>0.98</v>
      </c>
      <c r="Q93" s="100">
        <v>4.79</v>
      </c>
    </row>
    <row r="94" spans="1:17" customFormat="1">
      <c r="A94" s="100" t="s">
        <v>1667</v>
      </c>
      <c r="B94" s="100">
        <v>7.15</v>
      </c>
      <c r="C94" s="100">
        <v>50.25</v>
      </c>
      <c r="D94" s="100">
        <v>30.94</v>
      </c>
      <c r="E94" s="100">
        <v>14.68</v>
      </c>
      <c r="F94" s="100">
        <v>20.73</v>
      </c>
      <c r="G94" s="100">
        <v>64.790000000000006</v>
      </c>
      <c r="H94" s="100">
        <v>18.420000000000002</v>
      </c>
      <c r="I94" s="100">
        <v>8.02</v>
      </c>
      <c r="J94" s="100">
        <v>0.23</v>
      </c>
      <c r="K94" s="100">
        <v>174.72</v>
      </c>
      <c r="L94" s="100">
        <v>31.62</v>
      </c>
      <c r="M94" s="100">
        <v>36.51</v>
      </c>
      <c r="N94" s="100">
        <v>0</v>
      </c>
      <c r="O94" s="100">
        <v>0</v>
      </c>
      <c r="P94" s="100">
        <v>0.96</v>
      </c>
      <c r="Q94" s="100">
        <v>4.8099999999999996</v>
      </c>
    </row>
    <row r="95" spans="1:17" customFormat="1">
      <c r="A95" s="100" t="s">
        <v>1668</v>
      </c>
      <c r="B95" s="100">
        <v>8.0399999999999991</v>
      </c>
      <c r="C95" s="100">
        <v>51.42</v>
      </c>
      <c r="D95" s="100">
        <v>32.270000000000003</v>
      </c>
      <c r="E95" s="100">
        <v>10.85</v>
      </c>
      <c r="F95" s="100">
        <v>15.29</v>
      </c>
      <c r="G95" s="100">
        <v>64.790000000000006</v>
      </c>
      <c r="H95" s="100">
        <v>18.420000000000002</v>
      </c>
      <c r="I95" s="100">
        <v>8.81</v>
      </c>
      <c r="J95" s="100">
        <v>0.22</v>
      </c>
      <c r="K95" s="100">
        <v>171.66</v>
      </c>
      <c r="L95" s="100">
        <v>31.12</v>
      </c>
      <c r="M95" s="100">
        <v>41.01</v>
      </c>
      <c r="N95" s="100">
        <v>0</v>
      </c>
      <c r="O95" s="100">
        <v>0</v>
      </c>
      <c r="P95" s="100">
        <v>0.9</v>
      </c>
      <c r="Q95" s="100">
        <v>4.8</v>
      </c>
    </row>
    <row r="96" spans="1:17" customFormat="1">
      <c r="A96" s="100" t="s">
        <v>1669</v>
      </c>
      <c r="B96" s="100">
        <v>8.23</v>
      </c>
      <c r="C96" s="100">
        <v>49.95</v>
      </c>
      <c r="D96" s="100">
        <v>31.65</v>
      </c>
      <c r="E96" s="100">
        <v>9.6199999999999992</v>
      </c>
      <c r="F96" s="100">
        <v>17.95</v>
      </c>
      <c r="G96" s="100">
        <v>64.790000000000006</v>
      </c>
      <c r="H96" s="100">
        <v>18.420000000000002</v>
      </c>
      <c r="I96" s="100">
        <v>8.98</v>
      </c>
      <c r="J96" s="100">
        <v>0.2</v>
      </c>
      <c r="K96" s="100">
        <v>156.66</v>
      </c>
      <c r="L96" s="100">
        <v>30.68</v>
      </c>
      <c r="M96" s="100">
        <v>41.07</v>
      </c>
      <c r="N96" s="100">
        <v>0</v>
      </c>
      <c r="O96" s="100">
        <v>0</v>
      </c>
      <c r="P96" s="100">
        <v>0.87</v>
      </c>
      <c r="Q96" s="100">
        <v>4.8099999999999996</v>
      </c>
    </row>
    <row r="97" spans="1:22" customFormat="1">
      <c r="A97" s="100" t="s">
        <v>1670</v>
      </c>
      <c r="B97" s="100">
        <v>8.69</v>
      </c>
      <c r="C97" s="100">
        <v>49</v>
      </c>
      <c r="D97" s="100">
        <v>31.53</v>
      </c>
      <c r="E97" s="100">
        <v>8.9700000000000006</v>
      </c>
      <c r="F97" s="100">
        <v>18.940000000000001</v>
      </c>
      <c r="G97" s="100">
        <v>69.64</v>
      </c>
      <c r="H97" s="100">
        <v>19.579999999999998</v>
      </c>
      <c r="I97" s="100">
        <v>8.56</v>
      </c>
      <c r="J97" s="100">
        <v>0.2</v>
      </c>
      <c r="K97" s="100">
        <v>159.61000000000001</v>
      </c>
      <c r="L97" s="100">
        <v>30.69</v>
      </c>
      <c r="M97" s="100">
        <v>39.99</v>
      </c>
      <c r="N97" s="100">
        <v>0</v>
      </c>
      <c r="O97" s="100">
        <v>0</v>
      </c>
      <c r="P97" s="100">
        <v>0.81</v>
      </c>
      <c r="Q97" s="100">
        <v>4.84</v>
      </c>
    </row>
    <row r="98" spans="1:22" customFormat="1">
      <c r="A98" s="100" t="s">
        <v>1671</v>
      </c>
      <c r="B98" s="100">
        <v>10.97</v>
      </c>
      <c r="C98" s="100">
        <v>52.14</v>
      </c>
      <c r="D98" s="100">
        <v>34.99</v>
      </c>
      <c r="E98" s="100">
        <v>7.41</v>
      </c>
      <c r="F98" s="100">
        <v>13.55</v>
      </c>
      <c r="G98" s="100">
        <v>69.81</v>
      </c>
      <c r="H98" s="100">
        <v>19.579999999999998</v>
      </c>
      <c r="I98" s="100">
        <v>8.27</v>
      </c>
      <c r="J98" s="100">
        <v>0.24</v>
      </c>
      <c r="K98" s="100">
        <v>154.43</v>
      </c>
      <c r="L98" s="100">
        <v>30.18</v>
      </c>
      <c r="M98" s="100">
        <v>42.97</v>
      </c>
      <c r="N98" s="100">
        <v>0</v>
      </c>
      <c r="O98" s="100">
        <v>0</v>
      </c>
      <c r="P98" s="100">
        <v>0.83</v>
      </c>
      <c r="Q98" s="100">
        <v>4.84</v>
      </c>
    </row>
    <row r="99" spans="1:22" customFormat="1">
      <c r="A99" s="100" t="s">
        <v>1672</v>
      </c>
      <c r="B99" s="100">
        <v>9.65</v>
      </c>
      <c r="C99" s="100">
        <v>51.22</v>
      </c>
      <c r="D99" s="100">
        <v>33.450000000000003</v>
      </c>
      <c r="E99" s="100">
        <v>6.7</v>
      </c>
      <c r="F99" s="100">
        <v>11.81</v>
      </c>
      <c r="G99" s="100">
        <v>69.81</v>
      </c>
      <c r="H99" s="100">
        <v>19.579999999999998</v>
      </c>
      <c r="I99" s="100">
        <v>7.77</v>
      </c>
      <c r="J99" s="100">
        <v>0.23</v>
      </c>
      <c r="K99" s="100">
        <v>147.06</v>
      </c>
      <c r="L99" s="100">
        <v>29.88</v>
      </c>
      <c r="M99" s="100">
        <v>45.69</v>
      </c>
      <c r="N99" s="100">
        <v>0</v>
      </c>
      <c r="O99" s="100">
        <v>0</v>
      </c>
      <c r="P99" s="100">
        <v>0.84</v>
      </c>
      <c r="Q99" s="100">
        <v>4.87</v>
      </c>
    </row>
    <row r="100" spans="1:22" customFormat="1">
      <c r="A100" s="100" t="s">
        <v>1673</v>
      </c>
      <c r="B100" s="100">
        <v>17.920000000000002</v>
      </c>
      <c r="C100" s="100">
        <v>58.75</v>
      </c>
      <c r="D100" s="100">
        <v>44.02</v>
      </c>
      <c r="E100" s="100">
        <v>7.62</v>
      </c>
      <c r="F100" s="100">
        <v>5.83</v>
      </c>
      <c r="G100" s="100">
        <v>69.81</v>
      </c>
      <c r="H100" s="100">
        <v>19.579999999999998</v>
      </c>
      <c r="I100" s="100">
        <v>7.74</v>
      </c>
      <c r="J100" s="100">
        <v>0.22</v>
      </c>
      <c r="K100" s="100">
        <v>151.41</v>
      </c>
      <c r="L100" s="100">
        <v>30</v>
      </c>
      <c r="M100" s="100">
        <v>42.38</v>
      </c>
      <c r="N100" s="100">
        <v>0</v>
      </c>
      <c r="O100" s="100">
        <v>0</v>
      </c>
      <c r="P100" s="100">
        <v>0.9</v>
      </c>
      <c r="Q100" s="100">
        <v>4.88</v>
      </c>
    </row>
    <row r="101" spans="1:22" customFormat="1">
      <c r="A101" s="100" t="s">
        <v>1674</v>
      </c>
      <c r="B101" s="100">
        <v>31.69</v>
      </c>
      <c r="C101" s="100">
        <v>60.28</v>
      </c>
      <c r="D101" s="100">
        <v>56.53</v>
      </c>
      <c r="E101" s="100">
        <v>8.4499999999999993</v>
      </c>
      <c r="F101" s="100">
        <v>5.03</v>
      </c>
      <c r="G101" s="100">
        <v>70.319999999999993</v>
      </c>
      <c r="H101" s="100">
        <v>19.63</v>
      </c>
      <c r="I101" s="100">
        <v>7.92</v>
      </c>
      <c r="J101" s="100">
        <v>0.18</v>
      </c>
      <c r="K101" s="100">
        <v>153.1</v>
      </c>
      <c r="L101" s="100">
        <v>29.93</v>
      </c>
      <c r="M101" s="100">
        <v>43.64</v>
      </c>
      <c r="N101" s="100">
        <v>0</v>
      </c>
      <c r="O101" s="100">
        <v>0</v>
      </c>
      <c r="P101" s="100">
        <v>0.96</v>
      </c>
      <c r="Q101" s="100">
        <v>4.97</v>
      </c>
    </row>
    <row r="102" spans="1:22" customFormat="1">
      <c r="A102" s="100" t="s">
        <v>1675</v>
      </c>
      <c r="B102" s="100">
        <v>19.38</v>
      </c>
      <c r="C102" s="100">
        <v>62.15</v>
      </c>
      <c r="D102" s="100">
        <v>46.97</v>
      </c>
      <c r="E102" s="100">
        <v>8.86</v>
      </c>
      <c r="F102" s="100">
        <v>4.51</v>
      </c>
      <c r="G102" s="100">
        <v>70.349999999999994</v>
      </c>
      <c r="H102" s="100">
        <v>19.63</v>
      </c>
      <c r="I102" s="100">
        <v>8.07</v>
      </c>
      <c r="J102" s="100">
        <v>0.28999999999999998</v>
      </c>
      <c r="K102" s="100">
        <v>172.47</v>
      </c>
      <c r="L102" s="100">
        <v>29.84</v>
      </c>
      <c r="M102" s="100">
        <v>45</v>
      </c>
      <c r="N102" s="100">
        <v>0</v>
      </c>
      <c r="O102" s="100">
        <v>0</v>
      </c>
      <c r="P102" s="100">
        <v>0.97</v>
      </c>
      <c r="Q102" s="100">
        <v>5.0599999999999996</v>
      </c>
    </row>
    <row r="103" spans="1:22" customFormat="1">
      <c r="A103" s="100" t="s">
        <v>1676</v>
      </c>
      <c r="B103" s="100">
        <v>14.64</v>
      </c>
      <c r="C103" s="100">
        <v>56.34</v>
      </c>
      <c r="D103" s="100">
        <v>40.130000000000003</v>
      </c>
      <c r="E103" s="100">
        <v>7.26</v>
      </c>
      <c r="F103" s="100">
        <v>6.49</v>
      </c>
      <c r="G103" s="100">
        <v>70.349999999999994</v>
      </c>
      <c r="H103" s="100">
        <v>19.63</v>
      </c>
      <c r="I103" s="100">
        <v>8.43</v>
      </c>
      <c r="J103" s="100">
        <v>0.27</v>
      </c>
      <c r="K103" s="100">
        <v>179.8</v>
      </c>
      <c r="L103" s="100">
        <v>29.28</v>
      </c>
      <c r="M103" s="100">
        <v>45.68</v>
      </c>
      <c r="N103" s="100">
        <v>0</v>
      </c>
      <c r="O103" s="100">
        <v>0</v>
      </c>
      <c r="P103" s="100">
        <v>0.91</v>
      </c>
      <c r="Q103" s="100">
        <v>5.1100000000000003</v>
      </c>
    </row>
    <row r="104" spans="1:22" customFormat="1">
      <c r="A104" s="100" t="s">
        <v>1677</v>
      </c>
      <c r="B104" s="100">
        <v>13.99</v>
      </c>
      <c r="C104" s="100">
        <v>54.08</v>
      </c>
      <c r="D104" s="100">
        <v>38.43</v>
      </c>
      <c r="E104" s="100">
        <v>6.78</v>
      </c>
      <c r="F104" s="100">
        <v>8.65</v>
      </c>
      <c r="G104" s="100">
        <v>70.349999999999994</v>
      </c>
      <c r="H104" s="100">
        <v>19.63</v>
      </c>
      <c r="I104" s="100">
        <v>8.51</v>
      </c>
      <c r="J104" s="100">
        <v>0.17</v>
      </c>
      <c r="K104" s="100">
        <v>164.96</v>
      </c>
      <c r="L104" s="100">
        <v>28.85</v>
      </c>
      <c r="M104" s="100">
        <v>48.69</v>
      </c>
      <c r="N104" s="100">
        <v>0</v>
      </c>
      <c r="O104" s="100">
        <v>0</v>
      </c>
      <c r="P104" s="100">
        <v>0.89</v>
      </c>
      <c r="Q104" s="100">
        <v>5.13</v>
      </c>
    </row>
    <row r="106" spans="1:22">
      <c r="A106" s="157" t="s">
        <v>48</v>
      </c>
      <c r="B106" s="158">
        <f>MIN(B9:B104)</f>
        <v>2.2000000000000002</v>
      </c>
      <c r="C106" s="158">
        <f>MIN(C9:C104)</f>
        <v>36.56</v>
      </c>
      <c r="D106" s="158">
        <f t="shared" ref="D106:Q106" si="0">MIN(D9:D104)</f>
        <v>20.260000000000002</v>
      </c>
      <c r="E106" s="158">
        <f t="shared" si="0"/>
        <v>5.0999999999999996</v>
      </c>
      <c r="F106" s="158">
        <f t="shared" si="0"/>
        <v>4.51</v>
      </c>
      <c r="G106" s="158">
        <f t="shared" si="0"/>
        <v>54.68</v>
      </c>
      <c r="H106" s="158">
        <f t="shared" si="0"/>
        <v>14.24</v>
      </c>
      <c r="I106" s="158">
        <f t="shared" si="0"/>
        <v>2.75</v>
      </c>
      <c r="J106" s="158">
        <f t="shared" si="0"/>
        <v>0.1</v>
      </c>
      <c r="K106" s="158">
        <f t="shared" si="0"/>
        <v>1.1200000000000001</v>
      </c>
      <c r="L106" s="158">
        <f t="shared" si="0"/>
        <v>26.19</v>
      </c>
      <c r="M106" s="158">
        <f t="shared" si="0"/>
        <v>10.81</v>
      </c>
      <c r="N106" s="158">
        <f t="shared" si="0"/>
        <v>0</v>
      </c>
      <c r="O106" s="158">
        <f t="shared" si="0"/>
        <v>0</v>
      </c>
      <c r="P106" s="158">
        <f t="shared" si="0"/>
        <v>0.39</v>
      </c>
      <c r="Q106" s="158">
        <f t="shared" si="0"/>
        <v>4.2300000000000004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31.69</v>
      </c>
      <c r="C107" s="157">
        <f t="shared" ref="C107:Q107" si="1">MAX(C9:C104)</f>
        <v>66.88</v>
      </c>
      <c r="D107" s="157">
        <f t="shared" si="1"/>
        <v>56.53</v>
      </c>
      <c r="E107" s="157">
        <f t="shared" si="1"/>
        <v>22.23</v>
      </c>
      <c r="F107" s="157">
        <f t="shared" si="1"/>
        <v>77.11</v>
      </c>
      <c r="G107" s="157">
        <f t="shared" si="1"/>
        <v>92.3</v>
      </c>
      <c r="H107" s="157">
        <f t="shared" si="1"/>
        <v>28.43</v>
      </c>
      <c r="I107" s="157">
        <f t="shared" si="1"/>
        <v>8.98</v>
      </c>
      <c r="J107" s="157">
        <f t="shared" si="1"/>
        <v>2</v>
      </c>
      <c r="K107" s="157">
        <f t="shared" si="1"/>
        <v>355.35</v>
      </c>
      <c r="L107" s="157">
        <f t="shared" si="1"/>
        <v>42.43</v>
      </c>
      <c r="M107" s="157">
        <f t="shared" si="1"/>
        <v>55.67</v>
      </c>
      <c r="N107" s="157">
        <f t="shared" si="1"/>
        <v>790.7</v>
      </c>
      <c r="O107" s="157">
        <f t="shared" si="1"/>
        <v>0</v>
      </c>
      <c r="P107" s="157">
        <f t="shared" si="1"/>
        <v>0.98</v>
      </c>
      <c r="Q107" s="157">
        <f t="shared" si="1"/>
        <v>5.47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10.095729166666667</v>
      </c>
      <c r="C108" s="158">
        <f t="shared" ref="C108:Q108" si="2">AVERAGE(C9:C104)</f>
        <v>56.026041666666636</v>
      </c>
      <c r="D108" s="158">
        <f t="shared" si="2"/>
        <v>36.330208333333324</v>
      </c>
      <c r="E108" s="158">
        <f t="shared" si="2"/>
        <v>8.9153125000000024</v>
      </c>
      <c r="F108" s="158">
        <f t="shared" si="2"/>
        <v>24.34354166666667</v>
      </c>
      <c r="G108" s="158">
        <f t="shared" si="2"/>
        <v>67.980000000000018</v>
      </c>
      <c r="H108" s="158">
        <f t="shared" si="2"/>
        <v>22.008020833333337</v>
      </c>
      <c r="I108" s="158">
        <f t="shared" si="2"/>
        <v>6.1145833333333313</v>
      </c>
      <c r="J108" s="158">
        <f t="shared" si="2"/>
        <v>0.51979166666666676</v>
      </c>
      <c r="K108" s="158">
        <f t="shared" si="2"/>
        <v>175.31833333333338</v>
      </c>
      <c r="L108" s="158">
        <f t="shared" si="2"/>
        <v>33.810729166666661</v>
      </c>
      <c r="M108" s="158">
        <f t="shared" si="2"/>
        <v>31.978229166666669</v>
      </c>
      <c r="N108" s="158">
        <f t="shared" si="2"/>
        <v>162.92187499999997</v>
      </c>
      <c r="O108" s="158">
        <f t="shared" si="2"/>
        <v>0</v>
      </c>
      <c r="P108" s="158">
        <f t="shared" si="2"/>
        <v>0.70107526881720417</v>
      </c>
      <c r="Q108" s="158">
        <f t="shared" si="2"/>
        <v>4.872395833333333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4.8928153008245152</v>
      </c>
      <c r="C109" s="158">
        <f t="shared" ref="C109:Q109" si="3">STDEV(C9:C104)</f>
        <v>7.8456912048881984</v>
      </c>
      <c r="D109" s="158">
        <f t="shared" si="3"/>
        <v>7.3891278566862137</v>
      </c>
      <c r="E109" s="158">
        <f t="shared" si="3"/>
        <v>3.6187494068720478</v>
      </c>
      <c r="F109" s="158">
        <f t="shared" si="3"/>
        <v>19.584443986795481</v>
      </c>
      <c r="G109" s="158">
        <f t="shared" si="3"/>
        <v>10.271213427008366</v>
      </c>
      <c r="H109" s="158">
        <f t="shared" si="3"/>
        <v>4.2704462036780919</v>
      </c>
      <c r="I109" s="158">
        <f t="shared" si="3"/>
        <v>1.7878325110925026</v>
      </c>
      <c r="J109" s="158">
        <f t="shared" si="3"/>
        <v>0.40111418289471901</v>
      </c>
      <c r="K109" s="158">
        <f t="shared" si="3"/>
        <v>92.50738992576315</v>
      </c>
      <c r="L109" s="158">
        <f t="shared" si="3"/>
        <v>5.7669978041652152</v>
      </c>
      <c r="M109" s="158">
        <f t="shared" si="3"/>
        <v>15.770532614227202</v>
      </c>
      <c r="N109" s="158">
        <f t="shared" si="3"/>
        <v>255.15388966501027</v>
      </c>
      <c r="O109" s="158">
        <f t="shared" si="3"/>
        <v>0</v>
      </c>
      <c r="P109" s="158">
        <f t="shared" si="3"/>
        <v>0.16582116064152827</v>
      </c>
      <c r="Q109" s="158">
        <f t="shared" si="3"/>
        <v>0.28411911805722262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16/05/2023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1678</v>
      </c>
      <c r="B9" s="100">
        <v>18.989999999999998</v>
      </c>
      <c r="C9" s="100">
        <v>57.68</v>
      </c>
      <c r="D9" s="100">
        <v>44.32</v>
      </c>
      <c r="E9" s="100">
        <v>7.09</v>
      </c>
      <c r="F9" s="100">
        <v>6.7</v>
      </c>
      <c r="G9" s="100">
        <v>70.540000000000006</v>
      </c>
      <c r="H9" s="100">
        <v>17.600000000000001</v>
      </c>
      <c r="I9" s="100">
        <v>8.08</v>
      </c>
      <c r="J9" s="100">
        <v>0.22</v>
      </c>
      <c r="K9" s="100">
        <v>176.07</v>
      </c>
      <c r="L9" s="100">
        <v>28.84</v>
      </c>
      <c r="M9" s="100">
        <v>49.35</v>
      </c>
      <c r="N9" s="100">
        <v>0</v>
      </c>
      <c r="O9" s="100">
        <v>0</v>
      </c>
      <c r="P9" s="100">
        <v>0.91</v>
      </c>
      <c r="Q9" s="100">
        <v>5.16</v>
      </c>
    </row>
    <row r="10" spans="1:21" customFormat="1">
      <c r="A10" s="100" t="s">
        <v>1679</v>
      </c>
      <c r="B10" s="100">
        <v>14.61</v>
      </c>
      <c r="C10" s="100">
        <v>54.74</v>
      </c>
      <c r="D10" s="100">
        <v>39.28</v>
      </c>
      <c r="E10" s="100">
        <v>6.7</v>
      </c>
      <c r="F10" s="100">
        <v>8.3800000000000008</v>
      </c>
      <c r="G10" s="100">
        <v>70.55</v>
      </c>
      <c r="H10" s="100">
        <v>17.600000000000001</v>
      </c>
      <c r="I10" s="100">
        <v>7.99</v>
      </c>
      <c r="J10" s="100">
        <v>0.18</v>
      </c>
      <c r="K10" s="100">
        <v>146.43</v>
      </c>
      <c r="L10" s="100">
        <v>28.61</v>
      </c>
      <c r="M10" s="100">
        <v>49.64</v>
      </c>
      <c r="N10" s="100">
        <v>0</v>
      </c>
      <c r="O10" s="100">
        <v>0</v>
      </c>
      <c r="P10" s="100">
        <v>0.91</v>
      </c>
      <c r="Q10" s="100">
        <v>5.16</v>
      </c>
    </row>
    <row r="11" spans="1:21" customFormat="1">
      <c r="A11" s="100" t="s">
        <v>1680</v>
      </c>
      <c r="B11" s="100">
        <v>14.34</v>
      </c>
      <c r="C11" s="100">
        <v>53.71</v>
      </c>
      <c r="D11" s="100">
        <v>38.520000000000003</v>
      </c>
      <c r="E11" s="100">
        <v>7.12</v>
      </c>
      <c r="F11" s="100">
        <v>7.15</v>
      </c>
      <c r="G11" s="100">
        <v>70.55</v>
      </c>
      <c r="H11" s="100">
        <v>17.600000000000001</v>
      </c>
      <c r="I11" s="100">
        <v>7.96</v>
      </c>
      <c r="J11" s="100">
        <v>0.26</v>
      </c>
      <c r="K11" s="100">
        <v>172.77</v>
      </c>
      <c r="L11" s="100">
        <v>28.45</v>
      </c>
      <c r="M11" s="100">
        <v>50.9</v>
      </c>
      <c r="N11" s="100">
        <v>0</v>
      </c>
      <c r="O11" s="100">
        <v>0</v>
      </c>
      <c r="P11" s="100">
        <v>0.91</v>
      </c>
      <c r="Q11" s="100">
        <v>5.18</v>
      </c>
    </row>
    <row r="12" spans="1:21" customFormat="1">
      <c r="A12" s="100" t="s">
        <v>1681</v>
      </c>
      <c r="B12" s="100">
        <v>14.75</v>
      </c>
      <c r="C12" s="100">
        <v>55.19</v>
      </c>
      <c r="D12" s="100">
        <v>39.61</v>
      </c>
      <c r="E12" s="100">
        <v>6.29</v>
      </c>
      <c r="F12" s="100">
        <v>6.85</v>
      </c>
      <c r="G12" s="100">
        <v>70.55</v>
      </c>
      <c r="H12" s="100">
        <v>17.600000000000001</v>
      </c>
      <c r="I12" s="100">
        <v>7.94</v>
      </c>
      <c r="J12" s="100">
        <v>0.24</v>
      </c>
      <c r="K12" s="100">
        <v>187.22</v>
      </c>
      <c r="L12" s="100">
        <v>27.84</v>
      </c>
      <c r="M12" s="100">
        <v>53.47</v>
      </c>
      <c r="N12" s="100">
        <v>0</v>
      </c>
      <c r="O12" s="100">
        <v>0</v>
      </c>
      <c r="P12" s="100">
        <v>0.89</v>
      </c>
      <c r="Q12" s="100">
        <v>5.2</v>
      </c>
    </row>
    <row r="13" spans="1:21" customFormat="1">
      <c r="A13" s="100" t="s">
        <v>1682</v>
      </c>
      <c r="B13" s="100">
        <v>14.88</v>
      </c>
      <c r="C13" s="100">
        <v>54.31</v>
      </c>
      <c r="D13" s="100">
        <v>39.26</v>
      </c>
      <c r="E13" s="100">
        <v>6.21</v>
      </c>
      <c r="F13" s="100">
        <v>6.62</v>
      </c>
      <c r="G13" s="100">
        <v>68.180000000000007</v>
      </c>
      <c r="H13" s="100">
        <v>21.02</v>
      </c>
      <c r="I13" s="100">
        <v>7.98</v>
      </c>
      <c r="J13" s="100">
        <v>0.23</v>
      </c>
      <c r="K13" s="100">
        <v>171.34</v>
      </c>
      <c r="L13" s="100">
        <v>27.89</v>
      </c>
      <c r="M13" s="100">
        <v>53.43</v>
      </c>
      <c r="N13" s="100">
        <v>0</v>
      </c>
      <c r="O13" s="100">
        <v>0</v>
      </c>
      <c r="P13" s="100">
        <v>0.88</v>
      </c>
      <c r="Q13" s="100">
        <v>5.23</v>
      </c>
    </row>
    <row r="14" spans="1:21" customFormat="1">
      <c r="A14" s="100" t="s">
        <v>1683</v>
      </c>
      <c r="B14" s="100">
        <v>14.76</v>
      </c>
      <c r="C14" s="100">
        <v>54.76</v>
      </c>
      <c r="D14" s="100">
        <v>39.4</v>
      </c>
      <c r="E14" s="100">
        <v>7.14</v>
      </c>
      <c r="F14" s="100">
        <v>7.26</v>
      </c>
      <c r="G14" s="100">
        <v>68.099999999999994</v>
      </c>
      <c r="H14" s="100">
        <v>21.02</v>
      </c>
      <c r="I14" s="100">
        <v>7.98</v>
      </c>
      <c r="J14" s="100">
        <v>0.2</v>
      </c>
      <c r="K14" s="100">
        <v>164.78</v>
      </c>
      <c r="L14" s="100">
        <v>28.1</v>
      </c>
      <c r="M14" s="100">
        <v>52.26</v>
      </c>
      <c r="N14" s="100">
        <v>0</v>
      </c>
      <c r="O14" s="100">
        <v>0</v>
      </c>
      <c r="P14" s="100">
        <v>0.88</v>
      </c>
      <c r="Q14" s="100">
        <v>5.23</v>
      </c>
    </row>
    <row r="15" spans="1:21" customFormat="1">
      <c r="A15" s="100" t="s">
        <v>1684</v>
      </c>
      <c r="B15" s="100">
        <v>15.05</v>
      </c>
      <c r="C15" s="100">
        <v>54.88</v>
      </c>
      <c r="D15" s="100">
        <v>39.69</v>
      </c>
      <c r="E15" s="100">
        <v>7.4</v>
      </c>
      <c r="F15" s="100">
        <v>7.09</v>
      </c>
      <c r="G15" s="100">
        <v>68.099999999999994</v>
      </c>
      <c r="H15" s="100">
        <v>21.02</v>
      </c>
      <c r="I15" s="100">
        <v>7.92</v>
      </c>
      <c r="J15" s="100">
        <v>0.17</v>
      </c>
      <c r="K15" s="100">
        <v>164.36</v>
      </c>
      <c r="L15" s="100">
        <v>27.96</v>
      </c>
      <c r="M15" s="100">
        <v>52.82</v>
      </c>
      <c r="N15" s="100">
        <v>0</v>
      </c>
      <c r="O15" s="100">
        <v>0</v>
      </c>
      <c r="P15" s="100">
        <v>0.88</v>
      </c>
      <c r="Q15" s="100">
        <v>5.23</v>
      </c>
    </row>
    <row r="16" spans="1:21" customFormat="1">
      <c r="A16" s="100" t="s">
        <v>1685</v>
      </c>
      <c r="B16" s="100">
        <v>15.51</v>
      </c>
      <c r="C16" s="100">
        <v>54.33</v>
      </c>
      <c r="D16" s="100">
        <v>39.78</v>
      </c>
      <c r="E16" s="100">
        <v>7.59</v>
      </c>
      <c r="F16" s="100">
        <v>7.12</v>
      </c>
      <c r="G16" s="100">
        <v>68.099999999999994</v>
      </c>
      <c r="H16" s="100">
        <v>21.02</v>
      </c>
      <c r="I16" s="100">
        <v>7.97</v>
      </c>
      <c r="J16" s="100">
        <v>0.16</v>
      </c>
      <c r="K16" s="100">
        <v>178.39</v>
      </c>
      <c r="L16" s="100">
        <v>27.91</v>
      </c>
      <c r="M16" s="100">
        <v>51.01</v>
      </c>
      <c r="N16" s="100">
        <v>0</v>
      </c>
      <c r="O16" s="100">
        <v>0</v>
      </c>
      <c r="P16" s="100">
        <v>0.9</v>
      </c>
      <c r="Q16" s="100">
        <v>5.23</v>
      </c>
    </row>
    <row r="17" spans="1:17" customFormat="1">
      <c r="A17" s="100" t="s">
        <v>1686</v>
      </c>
      <c r="B17" s="100">
        <v>15.49</v>
      </c>
      <c r="C17" s="100">
        <v>54.44</v>
      </c>
      <c r="D17" s="100">
        <v>39.82</v>
      </c>
      <c r="E17" s="100">
        <v>8.43</v>
      </c>
      <c r="F17" s="100">
        <v>8.39</v>
      </c>
      <c r="G17" s="100">
        <v>72.42</v>
      </c>
      <c r="H17" s="100">
        <v>17.100000000000001</v>
      </c>
      <c r="I17" s="100">
        <v>8.09</v>
      </c>
      <c r="J17" s="100">
        <v>0.14000000000000001</v>
      </c>
      <c r="K17" s="100">
        <v>184.96</v>
      </c>
      <c r="L17" s="100">
        <v>27.81</v>
      </c>
      <c r="M17" s="100">
        <v>51.3</v>
      </c>
      <c r="N17" s="100">
        <v>0</v>
      </c>
      <c r="O17" s="100">
        <v>0</v>
      </c>
      <c r="P17" s="100">
        <v>0.9</v>
      </c>
      <c r="Q17" s="100">
        <v>5.25</v>
      </c>
    </row>
    <row r="18" spans="1:17" customFormat="1">
      <c r="A18" s="100" t="s">
        <v>1687</v>
      </c>
      <c r="B18" s="100">
        <v>15.52</v>
      </c>
      <c r="C18" s="100">
        <v>54.56</v>
      </c>
      <c r="D18" s="100">
        <v>39.909999999999997</v>
      </c>
      <c r="E18" s="100">
        <v>8.83</v>
      </c>
      <c r="F18" s="100">
        <v>7.94</v>
      </c>
      <c r="G18" s="100">
        <v>72.62</v>
      </c>
      <c r="H18" s="100">
        <v>17.100000000000001</v>
      </c>
      <c r="I18" s="100">
        <v>8.24</v>
      </c>
      <c r="J18" s="100">
        <v>0.18</v>
      </c>
      <c r="K18" s="100">
        <v>172.18</v>
      </c>
      <c r="L18" s="100">
        <v>27.77</v>
      </c>
      <c r="M18" s="100">
        <v>51.12</v>
      </c>
      <c r="N18" s="100">
        <v>0</v>
      </c>
      <c r="O18" s="100">
        <v>0</v>
      </c>
      <c r="P18" s="100">
        <v>0.9</v>
      </c>
      <c r="Q18" s="100">
        <v>5.24</v>
      </c>
    </row>
    <row r="19" spans="1:17" customFormat="1">
      <c r="A19" s="100" t="s">
        <v>1688</v>
      </c>
      <c r="B19" s="100">
        <v>17.559999999999999</v>
      </c>
      <c r="C19" s="100">
        <v>54.38</v>
      </c>
      <c r="D19" s="100">
        <v>41.45</v>
      </c>
      <c r="E19" s="100">
        <v>8.26</v>
      </c>
      <c r="F19" s="100">
        <v>7.68</v>
      </c>
      <c r="G19" s="100">
        <v>72.62</v>
      </c>
      <c r="H19" s="100">
        <v>17.100000000000001</v>
      </c>
      <c r="I19" s="100">
        <v>8.3800000000000008</v>
      </c>
      <c r="J19" s="100">
        <v>0.18</v>
      </c>
      <c r="K19" s="100">
        <v>119.14</v>
      </c>
      <c r="L19" s="100">
        <v>27.64</v>
      </c>
      <c r="M19" s="100">
        <v>51.41</v>
      </c>
      <c r="N19" s="100">
        <v>0</v>
      </c>
      <c r="O19" s="100">
        <v>0</v>
      </c>
      <c r="P19" s="100">
        <v>0.91</v>
      </c>
      <c r="Q19" s="100">
        <v>5.25</v>
      </c>
    </row>
    <row r="20" spans="1:17" customFormat="1">
      <c r="A20" s="100" t="s">
        <v>1689</v>
      </c>
      <c r="B20" s="100">
        <v>18.32</v>
      </c>
      <c r="C20" s="100">
        <v>56.44</v>
      </c>
      <c r="D20" s="100">
        <v>43.13</v>
      </c>
      <c r="E20" s="100">
        <v>7.48</v>
      </c>
      <c r="F20" s="100">
        <v>5.8</v>
      </c>
      <c r="G20" s="100">
        <v>72.62</v>
      </c>
      <c r="H20" s="100">
        <v>17.100000000000001</v>
      </c>
      <c r="I20" s="100">
        <v>8.57</v>
      </c>
      <c r="J20" s="100">
        <v>0.15</v>
      </c>
      <c r="K20" s="100">
        <v>159.38999999999999</v>
      </c>
      <c r="L20" s="100">
        <v>27.53</v>
      </c>
      <c r="M20" s="100">
        <v>54.59</v>
      </c>
      <c r="N20" s="100">
        <v>0</v>
      </c>
      <c r="O20" s="100">
        <v>0</v>
      </c>
      <c r="P20" s="100">
        <v>0.92</v>
      </c>
      <c r="Q20" s="100">
        <v>5.29</v>
      </c>
    </row>
    <row r="21" spans="1:17" customFormat="1">
      <c r="A21" s="100" t="s">
        <v>1690</v>
      </c>
      <c r="B21" s="100">
        <v>16.239999999999998</v>
      </c>
      <c r="C21" s="100">
        <v>53.62</v>
      </c>
      <c r="D21" s="100">
        <v>39.99</v>
      </c>
      <c r="E21" s="100">
        <v>7.52</v>
      </c>
      <c r="F21" s="100">
        <v>7.69</v>
      </c>
      <c r="G21" s="100">
        <v>71.87</v>
      </c>
      <c r="H21" s="100">
        <v>21.59</v>
      </c>
      <c r="I21" s="100">
        <v>8.7100000000000009</v>
      </c>
      <c r="J21" s="100">
        <v>0.16</v>
      </c>
      <c r="K21" s="100">
        <v>135.72999999999999</v>
      </c>
      <c r="L21" s="100">
        <v>26.98</v>
      </c>
      <c r="M21" s="100">
        <v>55.24</v>
      </c>
      <c r="N21" s="100">
        <v>0</v>
      </c>
      <c r="O21" s="100">
        <v>0</v>
      </c>
      <c r="P21" s="100">
        <v>0.9</v>
      </c>
      <c r="Q21" s="100">
        <v>5.31</v>
      </c>
    </row>
    <row r="22" spans="1:17" customFormat="1">
      <c r="A22" s="100" t="s">
        <v>1691</v>
      </c>
      <c r="B22" s="100">
        <v>26.46</v>
      </c>
      <c r="C22" s="100">
        <v>60.51</v>
      </c>
      <c r="D22" s="100">
        <v>51.79</v>
      </c>
      <c r="E22" s="100">
        <v>7.73</v>
      </c>
      <c r="F22" s="100">
        <v>5.65</v>
      </c>
      <c r="G22" s="100">
        <v>71.84</v>
      </c>
      <c r="H22" s="100">
        <v>21.59</v>
      </c>
      <c r="I22" s="100">
        <v>8.68</v>
      </c>
      <c r="J22" s="100">
        <v>0.16</v>
      </c>
      <c r="K22" s="100">
        <v>139.11000000000001</v>
      </c>
      <c r="L22" s="100">
        <v>27.34</v>
      </c>
      <c r="M22" s="100">
        <v>52.38</v>
      </c>
      <c r="N22" s="100">
        <v>0</v>
      </c>
      <c r="O22" s="100">
        <v>0</v>
      </c>
      <c r="P22" s="100">
        <v>0.9</v>
      </c>
      <c r="Q22" s="100">
        <v>5.34</v>
      </c>
    </row>
    <row r="23" spans="1:17" customFormat="1">
      <c r="A23" s="100" t="s">
        <v>1692</v>
      </c>
      <c r="B23" s="100">
        <v>21.28</v>
      </c>
      <c r="C23" s="100">
        <v>58.41</v>
      </c>
      <c r="D23" s="100">
        <v>46.54</v>
      </c>
      <c r="E23" s="100">
        <v>7.27</v>
      </c>
      <c r="F23" s="100">
        <v>4.78</v>
      </c>
      <c r="G23" s="100">
        <v>71.84</v>
      </c>
      <c r="H23" s="100">
        <v>21.59</v>
      </c>
      <c r="I23" s="100">
        <v>8.6199999999999992</v>
      </c>
      <c r="J23" s="100">
        <v>0.23</v>
      </c>
      <c r="K23" s="100">
        <v>191.49</v>
      </c>
      <c r="L23" s="100">
        <v>26.83</v>
      </c>
      <c r="M23" s="100">
        <v>57.06</v>
      </c>
      <c r="N23" s="100">
        <v>0</v>
      </c>
      <c r="O23" s="100">
        <v>0</v>
      </c>
      <c r="P23" s="100">
        <v>0.9</v>
      </c>
      <c r="Q23" s="100">
        <v>5.4</v>
      </c>
    </row>
    <row r="24" spans="1:17" customFormat="1">
      <c r="A24" s="100" t="s">
        <v>1693</v>
      </c>
      <c r="B24" s="100">
        <v>23.91</v>
      </c>
      <c r="C24" s="100">
        <v>56.56</v>
      </c>
      <c r="D24" s="100">
        <v>47.68</v>
      </c>
      <c r="E24" s="100">
        <v>7.84</v>
      </c>
      <c r="F24" s="100">
        <v>6.28</v>
      </c>
      <c r="G24" s="100">
        <v>71.84</v>
      </c>
      <c r="H24" s="100">
        <v>21.59</v>
      </c>
      <c r="I24" s="100">
        <v>8.5500000000000007</v>
      </c>
      <c r="J24" s="100">
        <v>0.33</v>
      </c>
      <c r="K24" s="100">
        <v>49.39</v>
      </c>
      <c r="L24" s="100">
        <v>26.86</v>
      </c>
      <c r="M24" s="100">
        <v>53.71</v>
      </c>
      <c r="N24" s="100">
        <v>0</v>
      </c>
      <c r="O24" s="100">
        <v>0</v>
      </c>
      <c r="P24" s="100">
        <v>0.9</v>
      </c>
      <c r="Q24" s="100">
        <v>5.44</v>
      </c>
    </row>
    <row r="25" spans="1:17" customFormat="1">
      <c r="A25" s="100" t="s">
        <v>1694</v>
      </c>
      <c r="B25" s="100">
        <v>25.23</v>
      </c>
      <c r="C25" s="100">
        <v>59.21</v>
      </c>
      <c r="D25" s="100">
        <v>50.12</v>
      </c>
      <c r="E25" s="100">
        <v>8.32</v>
      </c>
      <c r="F25" s="100">
        <v>4.2</v>
      </c>
      <c r="G25" s="100">
        <v>67.099999999999994</v>
      </c>
      <c r="H25" s="100">
        <v>20.53</v>
      </c>
      <c r="I25" s="100">
        <v>8.5299999999999994</v>
      </c>
      <c r="J25" s="100">
        <v>0.15</v>
      </c>
      <c r="K25" s="100">
        <v>217.21</v>
      </c>
      <c r="L25" s="100">
        <v>27.81</v>
      </c>
      <c r="M25" s="100">
        <v>50.73</v>
      </c>
      <c r="N25" s="100">
        <v>0</v>
      </c>
      <c r="O25" s="100">
        <v>0</v>
      </c>
      <c r="P25" s="100">
        <v>0.91</v>
      </c>
      <c r="Q25" s="100">
        <v>5.51</v>
      </c>
    </row>
    <row r="26" spans="1:17" customFormat="1">
      <c r="A26" s="100" t="s">
        <v>1695</v>
      </c>
      <c r="B26" s="100">
        <v>23.42</v>
      </c>
      <c r="C26" s="100">
        <v>61.04</v>
      </c>
      <c r="D26" s="100">
        <v>49.62</v>
      </c>
      <c r="E26" s="100">
        <v>7.55</v>
      </c>
      <c r="F26" s="100">
        <v>4.13</v>
      </c>
      <c r="G26" s="100">
        <v>66.88</v>
      </c>
      <c r="H26" s="100">
        <v>20.53</v>
      </c>
      <c r="I26" s="100">
        <v>8.52</v>
      </c>
      <c r="J26" s="100">
        <v>0.21</v>
      </c>
      <c r="K26" s="100">
        <v>160.59</v>
      </c>
      <c r="L26" s="100">
        <v>27.42</v>
      </c>
      <c r="M26" s="100">
        <v>54.54</v>
      </c>
      <c r="N26" s="100">
        <v>0</v>
      </c>
      <c r="O26" s="100">
        <v>0</v>
      </c>
      <c r="P26" s="100">
        <v>0.92</v>
      </c>
      <c r="Q26" s="100">
        <v>5.55</v>
      </c>
    </row>
    <row r="27" spans="1:17" customFormat="1">
      <c r="A27" s="100" t="s">
        <v>1696</v>
      </c>
      <c r="B27" s="100">
        <v>22.79</v>
      </c>
      <c r="C27" s="100">
        <v>60.1</v>
      </c>
      <c r="D27" s="100">
        <v>48.63</v>
      </c>
      <c r="E27" s="100">
        <v>7.55</v>
      </c>
      <c r="F27" s="100">
        <v>4.0599999999999996</v>
      </c>
      <c r="G27" s="100">
        <v>66.88</v>
      </c>
      <c r="H27" s="100">
        <v>20.53</v>
      </c>
      <c r="I27" s="100">
        <v>8.7899999999999991</v>
      </c>
      <c r="J27" s="100">
        <v>0.19</v>
      </c>
      <c r="K27" s="100">
        <v>145</v>
      </c>
      <c r="L27" s="100">
        <v>27.33</v>
      </c>
      <c r="M27" s="100">
        <v>55.42</v>
      </c>
      <c r="N27" s="100">
        <v>0</v>
      </c>
      <c r="O27" s="100">
        <v>0</v>
      </c>
      <c r="P27" s="100">
        <v>0.93</v>
      </c>
      <c r="Q27" s="100">
        <v>5.58</v>
      </c>
    </row>
    <row r="28" spans="1:17" customFormat="1">
      <c r="A28" s="100" t="s">
        <v>1697</v>
      </c>
      <c r="B28" s="100">
        <v>21.69</v>
      </c>
      <c r="C28" s="100">
        <v>58.68</v>
      </c>
      <c r="D28" s="100">
        <v>47.01</v>
      </c>
      <c r="E28" s="100">
        <v>7.38</v>
      </c>
      <c r="F28" s="100">
        <v>4.22</v>
      </c>
      <c r="G28" s="100">
        <v>66.88</v>
      </c>
      <c r="H28" s="100">
        <v>20.53</v>
      </c>
      <c r="I28" s="100">
        <v>9.06</v>
      </c>
      <c r="J28" s="100">
        <v>0.19</v>
      </c>
      <c r="K28" s="100">
        <v>190.45</v>
      </c>
      <c r="L28" s="100">
        <v>27.06</v>
      </c>
      <c r="M28" s="100">
        <v>56.03</v>
      </c>
      <c r="N28" s="100">
        <v>0</v>
      </c>
      <c r="O28" s="100">
        <v>0</v>
      </c>
      <c r="P28" s="100">
        <v>0.94</v>
      </c>
      <c r="Q28" s="100">
        <v>5.6</v>
      </c>
    </row>
    <row r="29" spans="1:17" customFormat="1">
      <c r="A29" s="100" t="s">
        <v>1698</v>
      </c>
      <c r="B29" s="100">
        <v>22.69</v>
      </c>
      <c r="C29" s="100">
        <v>58.46</v>
      </c>
      <c r="D29" s="100">
        <v>47.7</v>
      </c>
      <c r="E29" s="100">
        <v>7.46</v>
      </c>
      <c r="F29" s="100">
        <v>4.53</v>
      </c>
      <c r="G29" s="100">
        <v>69.41</v>
      </c>
      <c r="H29" s="100">
        <v>21.82</v>
      </c>
      <c r="I29" s="100">
        <v>9.19</v>
      </c>
      <c r="J29" s="100">
        <v>0.21</v>
      </c>
      <c r="K29" s="100">
        <v>180.89</v>
      </c>
      <c r="L29" s="100">
        <v>26.53</v>
      </c>
      <c r="M29" s="100">
        <v>58.75</v>
      </c>
      <c r="N29" s="100">
        <v>0</v>
      </c>
      <c r="O29" s="100">
        <v>0</v>
      </c>
      <c r="P29" s="100">
        <v>0.94</v>
      </c>
      <c r="Q29" s="100">
        <v>5.62</v>
      </c>
    </row>
    <row r="30" spans="1:17" customFormat="1">
      <c r="A30" s="100" t="s">
        <v>1699</v>
      </c>
      <c r="B30" s="100">
        <v>29.47</v>
      </c>
      <c r="C30" s="100">
        <v>60.17</v>
      </c>
      <c r="D30" s="100">
        <v>54.03</v>
      </c>
      <c r="E30" s="100">
        <v>7.19</v>
      </c>
      <c r="F30" s="100">
        <v>4.1399999999999997</v>
      </c>
      <c r="G30" s="100">
        <v>69.53</v>
      </c>
      <c r="H30" s="100">
        <v>21.82</v>
      </c>
      <c r="I30" s="100">
        <v>9.35</v>
      </c>
      <c r="J30" s="100">
        <v>0.2</v>
      </c>
      <c r="K30" s="100">
        <v>99.51</v>
      </c>
      <c r="L30" s="100">
        <v>26.21</v>
      </c>
      <c r="M30" s="100">
        <v>58.63</v>
      </c>
      <c r="N30" s="100">
        <v>0</v>
      </c>
      <c r="O30" s="100">
        <v>0</v>
      </c>
      <c r="P30" s="100">
        <v>0.94</v>
      </c>
      <c r="Q30" s="100">
        <v>5.59</v>
      </c>
    </row>
    <row r="31" spans="1:17" customFormat="1">
      <c r="A31" s="100" t="s">
        <v>1700</v>
      </c>
      <c r="B31" s="100">
        <v>29.33</v>
      </c>
      <c r="C31" s="100">
        <v>61.5</v>
      </c>
      <c r="D31" s="100">
        <v>54.61</v>
      </c>
      <c r="E31" s="100">
        <v>6.68</v>
      </c>
      <c r="F31" s="100">
        <v>3.81</v>
      </c>
      <c r="G31" s="100">
        <v>69.53</v>
      </c>
      <c r="H31" s="100">
        <v>21.82</v>
      </c>
      <c r="I31" s="100">
        <v>9.34</v>
      </c>
      <c r="J31" s="100">
        <v>0.27</v>
      </c>
      <c r="K31" s="100">
        <v>177.19</v>
      </c>
      <c r="L31" s="100">
        <v>26.27</v>
      </c>
      <c r="M31" s="100">
        <v>59.15</v>
      </c>
      <c r="N31" s="100">
        <v>4.8</v>
      </c>
      <c r="O31" s="100">
        <v>0</v>
      </c>
      <c r="P31" s="100">
        <v>0.95</v>
      </c>
      <c r="Q31" s="100">
        <v>5.63</v>
      </c>
    </row>
    <row r="32" spans="1:17" customFormat="1">
      <c r="A32" s="100" t="s">
        <v>1701</v>
      </c>
      <c r="B32" s="100">
        <v>27.05</v>
      </c>
      <c r="C32" s="100">
        <v>61.34</v>
      </c>
      <c r="D32" s="100">
        <v>52.69</v>
      </c>
      <c r="E32" s="100">
        <v>6.73</v>
      </c>
      <c r="F32" s="100">
        <v>3.99</v>
      </c>
      <c r="G32" s="100">
        <v>69.53</v>
      </c>
      <c r="H32" s="100">
        <v>21.82</v>
      </c>
      <c r="I32" s="100">
        <v>9.44</v>
      </c>
      <c r="J32" s="100">
        <v>0.16</v>
      </c>
      <c r="K32" s="100">
        <v>149.38</v>
      </c>
      <c r="L32" s="100">
        <v>26.07</v>
      </c>
      <c r="M32" s="100">
        <v>61.4</v>
      </c>
      <c r="N32" s="100">
        <v>15.1</v>
      </c>
      <c r="O32" s="100">
        <v>0</v>
      </c>
      <c r="P32" s="100">
        <v>0.94</v>
      </c>
      <c r="Q32" s="100">
        <v>5.7</v>
      </c>
    </row>
    <row r="33" spans="1:17" customFormat="1">
      <c r="A33" s="100" t="s">
        <v>1702</v>
      </c>
      <c r="B33" s="100">
        <v>25.95</v>
      </c>
      <c r="C33" s="100">
        <v>60.07</v>
      </c>
      <c r="D33" s="100">
        <v>51.15</v>
      </c>
      <c r="E33" s="100">
        <v>6.61</v>
      </c>
      <c r="F33" s="100">
        <v>4.3</v>
      </c>
      <c r="G33" s="100">
        <v>69.260000000000005</v>
      </c>
      <c r="H33" s="100">
        <v>20.21</v>
      </c>
      <c r="I33" s="100">
        <v>9.58</v>
      </c>
      <c r="J33" s="100">
        <v>0.19</v>
      </c>
      <c r="K33" s="100">
        <v>112.38</v>
      </c>
      <c r="L33" s="100">
        <v>26.26</v>
      </c>
      <c r="M33" s="100">
        <v>60.21</v>
      </c>
      <c r="N33" s="100">
        <v>25.2</v>
      </c>
      <c r="O33" s="100">
        <v>0</v>
      </c>
      <c r="P33" s="100">
        <v>0.94</v>
      </c>
      <c r="Q33" s="100">
        <v>5.71</v>
      </c>
    </row>
    <row r="34" spans="1:17" customFormat="1">
      <c r="A34" s="100" t="s">
        <v>1703</v>
      </c>
      <c r="B34" s="100">
        <v>25.09</v>
      </c>
      <c r="C34" s="100">
        <v>59.75</v>
      </c>
      <c r="D34" s="100">
        <v>50.3</v>
      </c>
      <c r="E34" s="100">
        <v>6.88</v>
      </c>
      <c r="F34" s="100">
        <v>4.3099999999999996</v>
      </c>
      <c r="G34" s="100">
        <v>69.25</v>
      </c>
      <c r="H34" s="100">
        <v>20.21</v>
      </c>
      <c r="I34" s="100">
        <v>9.51</v>
      </c>
      <c r="J34" s="100">
        <v>0.08</v>
      </c>
      <c r="K34" s="100">
        <v>182.33</v>
      </c>
      <c r="L34" s="100">
        <v>26.69</v>
      </c>
      <c r="M34" s="100">
        <v>59.29</v>
      </c>
      <c r="N34" s="100">
        <v>50.1</v>
      </c>
      <c r="O34" s="100">
        <v>0</v>
      </c>
      <c r="P34" s="100">
        <v>0.92</v>
      </c>
      <c r="Q34" s="100">
        <v>5.71</v>
      </c>
    </row>
    <row r="35" spans="1:17" customFormat="1">
      <c r="A35" s="100" t="s">
        <v>1704</v>
      </c>
      <c r="B35" s="100">
        <v>24.82</v>
      </c>
      <c r="C35" s="100">
        <v>58.86</v>
      </c>
      <c r="D35" s="100">
        <v>49.62</v>
      </c>
      <c r="E35" s="100">
        <v>7.04</v>
      </c>
      <c r="F35" s="100">
        <v>4.6900000000000004</v>
      </c>
      <c r="G35" s="100">
        <v>69.25</v>
      </c>
      <c r="H35" s="100">
        <v>20.21</v>
      </c>
      <c r="I35" s="100">
        <v>9.4600000000000009</v>
      </c>
      <c r="J35" s="100">
        <v>0.2</v>
      </c>
      <c r="K35" s="100">
        <v>190.74</v>
      </c>
      <c r="L35" s="100">
        <v>27.65</v>
      </c>
      <c r="M35" s="100">
        <v>57.32</v>
      </c>
      <c r="N35" s="100">
        <v>94.3</v>
      </c>
      <c r="O35" s="100">
        <v>0</v>
      </c>
      <c r="P35" s="100">
        <v>0.92</v>
      </c>
      <c r="Q35" s="100">
        <v>5.69</v>
      </c>
    </row>
    <row r="36" spans="1:17" customFormat="1">
      <c r="A36" s="100" t="s">
        <v>1705</v>
      </c>
      <c r="B36" s="100">
        <v>23.88</v>
      </c>
      <c r="C36" s="100">
        <v>57.46</v>
      </c>
      <c r="D36" s="100">
        <v>48.13</v>
      </c>
      <c r="E36" s="100">
        <v>7.38</v>
      </c>
      <c r="F36" s="100">
        <v>6.44</v>
      </c>
      <c r="G36" s="100">
        <v>69.25</v>
      </c>
      <c r="H36" s="100">
        <v>20.21</v>
      </c>
      <c r="I36" s="100">
        <v>9.42</v>
      </c>
      <c r="J36" s="100">
        <v>0.15</v>
      </c>
      <c r="K36" s="100">
        <v>205.01</v>
      </c>
      <c r="L36" s="100">
        <v>28.95</v>
      </c>
      <c r="M36" s="100">
        <v>53.2</v>
      </c>
      <c r="N36" s="100">
        <v>114.9</v>
      </c>
      <c r="O36" s="100">
        <v>0</v>
      </c>
      <c r="P36" s="100">
        <v>0.91</v>
      </c>
      <c r="Q36" s="100">
        <v>5.69</v>
      </c>
    </row>
    <row r="37" spans="1:17" customFormat="1">
      <c r="A37" s="100" t="s">
        <v>1706</v>
      </c>
      <c r="B37" s="100">
        <v>24.05</v>
      </c>
      <c r="C37" s="100">
        <v>57.03</v>
      </c>
      <c r="D37" s="100">
        <v>48.04</v>
      </c>
      <c r="E37" s="100">
        <v>7.8</v>
      </c>
      <c r="F37" s="100">
        <v>6.59</v>
      </c>
      <c r="G37" s="100">
        <v>65.36</v>
      </c>
      <c r="H37" s="100">
        <v>20.05</v>
      </c>
      <c r="I37" s="100">
        <v>9.2799999999999994</v>
      </c>
      <c r="J37" s="100">
        <v>0.3</v>
      </c>
      <c r="K37" s="100">
        <v>226.78</v>
      </c>
      <c r="L37" s="100">
        <v>30.21</v>
      </c>
      <c r="M37" s="100">
        <v>49.14</v>
      </c>
      <c r="N37" s="100">
        <v>96.6</v>
      </c>
      <c r="O37" s="100">
        <v>0</v>
      </c>
      <c r="P37" s="100">
        <v>0.9</v>
      </c>
      <c r="Q37" s="100">
        <v>5.68</v>
      </c>
    </row>
    <row r="38" spans="1:17" customFormat="1">
      <c r="A38" s="100" t="s">
        <v>1707</v>
      </c>
      <c r="B38" s="100">
        <v>20.64</v>
      </c>
      <c r="C38" s="100">
        <v>55.81</v>
      </c>
      <c r="D38" s="100">
        <v>44.67</v>
      </c>
      <c r="E38" s="100">
        <v>8.9600000000000009</v>
      </c>
      <c r="F38" s="100">
        <v>11.07</v>
      </c>
      <c r="G38" s="100">
        <v>65.180000000000007</v>
      </c>
      <c r="H38" s="100">
        <v>20.05</v>
      </c>
      <c r="I38" s="100">
        <v>9.2100000000000009</v>
      </c>
      <c r="J38" s="100">
        <v>0.23</v>
      </c>
      <c r="K38" s="100">
        <v>233.2</v>
      </c>
      <c r="L38" s="100">
        <v>30.47</v>
      </c>
      <c r="M38" s="100">
        <v>48.6</v>
      </c>
      <c r="N38" s="100">
        <v>56.2</v>
      </c>
      <c r="O38" s="100">
        <v>0</v>
      </c>
      <c r="P38" s="100">
        <v>0.92</v>
      </c>
      <c r="Q38" s="100">
        <v>5.67</v>
      </c>
    </row>
    <row r="39" spans="1:17" customFormat="1">
      <c r="A39" s="100" t="s">
        <v>1708</v>
      </c>
      <c r="B39" s="100">
        <v>20.27</v>
      </c>
      <c r="C39" s="100">
        <v>56.4</v>
      </c>
      <c r="D39" s="100">
        <v>44.68</v>
      </c>
      <c r="E39" s="100">
        <v>9.1199999999999992</v>
      </c>
      <c r="F39" s="100">
        <v>11.78</v>
      </c>
      <c r="G39" s="100">
        <v>65.180000000000007</v>
      </c>
      <c r="H39" s="100">
        <v>20.05</v>
      </c>
      <c r="I39" s="100">
        <v>9.39</v>
      </c>
      <c r="J39" s="100">
        <v>0.21</v>
      </c>
      <c r="K39" s="100">
        <v>161.75</v>
      </c>
      <c r="L39" s="100">
        <v>30.06</v>
      </c>
      <c r="M39" s="100">
        <v>51.8</v>
      </c>
      <c r="N39" s="100">
        <v>87.6</v>
      </c>
      <c r="O39" s="100">
        <v>0</v>
      </c>
      <c r="P39" s="100">
        <v>0.93</v>
      </c>
      <c r="Q39" s="100">
        <v>5.59</v>
      </c>
    </row>
    <row r="40" spans="1:17" customFormat="1">
      <c r="A40" s="100" t="s">
        <v>1709</v>
      </c>
      <c r="B40" s="100">
        <v>20.350000000000001</v>
      </c>
      <c r="C40" s="100">
        <v>56.35</v>
      </c>
      <c r="D40" s="100">
        <v>44.72</v>
      </c>
      <c r="E40" s="100">
        <v>9.08</v>
      </c>
      <c r="F40" s="100">
        <v>10.89</v>
      </c>
      <c r="G40" s="100">
        <v>65.180000000000007</v>
      </c>
      <c r="H40" s="100">
        <v>20.05</v>
      </c>
      <c r="I40" s="100">
        <v>9.57</v>
      </c>
      <c r="J40" s="100">
        <v>0.19</v>
      </c>
      <c r="K40" s="100">
        <v>139.74</v>
      </c>
      <c r="L40" s="100">
        <v>30.71</v>
      </c>
      <c r="M40" s="100">
        <v>51.31</v>
      </c>
      <c r="N40" s="100">
        <v>98.3</v>
      </c>
      <c r="O40" s="100">
        <v>0</v>
      </c>
      <c r="P40" s="100">
        <v>0.95</v>
      </c>
      <c r="Q40" s="100">
        <v>5.55</v>
      </c>
    </row>
    <row r="41" spans="1:17" customFormat="1">
      <c r="A41" s="100" t="s">
        <v>1710</v>
      </c>
      <c r="B41" s="100">
        <v>19.82</v>
      </c>
      <c r="C41" s="100">
        <v>58.41</v>
      </c>
      <c r="D41" s="100">
        <v>45.36</v>
      </c>
      <c r="E41" s="100">
        <v>10.99</v>
      </c>
      <c r="F41" s="100">
        <v>12.05</v>
      </c>
      <c r="G41" s="100">
        <v>70.260000000000005</v>
      </c>
      <c r="H41" s="100">
        <v>22.72</v>
      </c>
      <c r="I41" s="100">
        <v>9.67</v>
      </c>
      <c r="J41" s="100">
        <v>0.21</v>
      </c>
      <c r="K41" s="100">
        <v>145.91999999999999</v>
      </c>
      <c r="L41" s="100">
        <v>32.67</v>
      </c>
      <c r="M41" s="100">
        <v>44.69</v>
      </c>
      <c r="N41" s="100">
        <v>105.7</v>
      </c>
      <c r="O41" s="100">
        <v>0</v>
      </c>
      <c r="P41" s="100">
        <v>0.97</v>
      </c>
      <c r="Q41" s="100">
        <v>5.55</v>
      </c>
    </row>
    <row r="42" spans="1:17" customFormat="1">
      <c r="A42" s="100" t="s">
        <v>1711</v>
      </c>
      <c r="B42" s="100">
        <v>17.579999999999998</v>
      </c>
      <c r="C42" s="100">
        <v>57.98</v>
      </c>
      <c r="D42" s="100">
        <v>43.34</v>
      </c>
      <c r="E42" s="100">
        <v>21.16</v>
      </c>
      <c r="F42" s="100">
        <v>18.22</v>
      </c>
      <c r="G42" s="100">
        <v>70.5</v>
      </c>
      <c r="H42" s="100">
        <v>22.72</v>
      </c>
      <c r="I42" s="100">
        <v>9.9</v>
      </c>
      <c r="J42" s="100">
        <v>0.22</v>
      </c>
      <c r="K42" s="100">
        <v>261.02</v>
      </c>
      <c r="L42" s="100">
        <v>34.17</v>
      </c>
      <c r="M42" s="100">
        <v>35.04</v>
      </c>
      <c r="N42" s="100">
        <v>111</v>
      </c>
      <c r="O42" s="100">
        <v>0</v>
      </c>
      <c r="P42" s="100">
        <v>0.94</v>
      </c>
      <c r="Q42" s="100">
        <v>5.5</v>
      </c>
    </row>
    <row r="43" spans="1:17" customFormat="1">
      <c r="A43" s="100" t="s">
        <v>1712</v>
      </c>
      <c r="B43" s="100">
        <v>16.649999999999999</v>
      </c>
      <c r="C43" s="100">
        <v>60.75</v>
      </c>
      <c r="D43" s="100">
        <v>44.05</v>
      </c>
      <c r="E43" s="100">
        <v>35.92</v>
      </c>
      <c r="F43" s="100">
        <v>19.07</v>
      </c>
      <c r="G43" s="100">
        <v>70.5</v>
      </c>
      <c r="H43" s="100">
        <v>22.72</v>
      </c>
      <c r="I43" s="100">
        <v>10.23</v>
      </c>
      <c r="J43" s="100">
        <v>0.54</v>
      </c>
      <c r="K43" s="100">
        <v>296.35000000000002</v>
      </c>
      <c r="L43" s="100">
        <v>35.19</v>
      </c>
      <c r="M43" s="100">
        <v>30.4</v>
      </c>
      <c r="N43" s="100">
        <v>121</v>
      </c>
      <c r="O43" s="100">
        <v>0</v>
      </c>
      <c r="P43" s="100">
        <v>0.93</v>
      </c>
      <c r="Q43" s="100">
        <v>5.46</v>
      </c>
    </row>
    <row r="44" spans="1:17" customFormat="1">
      <c r="A44" s="100" t="s">
        <v>1713</v>
      </c>
      <c r="B44" s="100">
        <v>16.75</v>
      </c>
      <c r="C44" s="100">
        <v>62.94</v>
      </c>
      <c r="D44" s="100">
        <v>45.27</v>
      </c>
      <c r="E44" s="100">
        <v>33.700000000000003</v>
      </c>
      <c r="F44" s="100">
        <v>20.34</v>
      </c>
      <c r="G44" s="100">
        <v>70.5</v>
      </c>
      <c r="H44" s="100">
        <v>22.72</v>
      </c>
      <c r="I44" s="100">
        <v>10.09</v>
      </c>
      <c r="J44" s="100">
        <v>0.51</v>
      </c>
      <c r="K44" s="100">
        <v>312.77</v>
      </c>
      <c r="L44" s="100">
        <v>35.86</v>
      </c>
      <c r="M44" s="100">
        <v>26.82</v>
      </c>
      <c r="N44" s="100">
        <v>145.9</v>
      </c>
      <c r="O44" s="100">
        <v>0</v>
      </c>
      <c r="P44" s="100">
        <v>0.91</v>
      </c>
      <c r="Q44" s="100">
        <v>5.46</v>
      </c>
    </row>
    <row r="45" spans="1:17" customFormat="1">
      <c r="A45" s="100" t="s">
        <v>1714</v>
      </c>
      <c r="B45" s="100">
        <v>17.32</v>
      </c>
      <c r="C45" s="100">
        <v>63.98</v>
      </c>
      <c r="D45" s="100">
        <v>46.27</v>
      </c>
      <c r="E45" s="100">
        <v>34.909999999999997</v>
      </c>
      <c r="F45" s="100">
        <v>20.37</v>
      </c>
      <c r="G45" s="100">
        <v>76.86</v>
      </c>
      <c r="H45" s="100">
        <v>26.36</v>
      </c>
      <c r="I45" s="100">
        <v>9.7899999999999991</v>
      </c>
      <c r="J45" s="100">
        <v>0.52</v>
      </c>
      <c r="K45" s="100">
        <v>318.04000000000002</v>
      </c>
      <c r="L45" s="100">
        <v>36.81</v>
      </c>
      <c r="M45" s="100">
        <v>24.41</v>
      </c>
      <c r="N45" s="100">
        <v>228.6</v>
      </c>
      <c r="O45" s="100">
        <v>0</v>
      </c>
      <c r="P45" s="100">
        <v>0.9</v>
      </c>
      <c r="Q45" s="100">
        <v>5.45</v>
      </c>
    </row>
    <row r="46" spans="1:17" customFormat="1">
      <c r="A46" s="100" t="s">
        <v>1715</v>
      </c>
      <c r="B46" s="100">
        <v>14.86</v>
      </c>
      <c r="C46" s="100">
        <v>61.88</v>
      </c>
      <c r="D46" s="100">
        <v>43.2</v>
      </c>
      <c r="E46" s="100">
        <v>22.68</v>
      </c>
      <c r="F46" s="100">
        <v>22.74</v>
      </c>
      <c r="G46" s="100">
        <v>77.16</v>
      </c>
      <c r="H46" s="100">
        <v>26.36</v>
      </c>
      <c r="I46" s="100">
        <v>9.5299999999999994</v>
      </c>
      <c r="J46" s="100">
        <v>0.26</v>
      </c>
      <c r="K46" s="100">
        <v>250.45</v>
      </c>
      <c r="L46" s="100">
        <v>37.33</v>
      </c>
      <c r="M46" s="100">
        <v>24.19</v>
      </c>
      <c r="N46" s="100">
        <v>236.8</v>
      </c>
      <c r="O46" s="100">
        <v>0</v>
      </c>
      <c r="P46" s="100">
        <v>0.89</v>
      </c>
      <c r="Q46" s="100">
        <v>5.41</v>
      </c>
    </row>
    <row r="47" spans="1:17" customFormat="1">
      <c r="A47" s="100" t="s">
        <v>1716</v>
      </c>
      <c r="B47" s="100">
        <v>12.64</v>
      </c>
      <c r="C47" s="100">
        <v>59.86</v>
      </c>
      <c r="D47" s="100">
        <v>40.36</v>
      </c>
      <c r="E47" s="100">
        <v>23.98</v>
      </c>
      <c r="F47" s="100">
        <v>29.97</v>
      </c>
      <c r="G47" s="100">
        <v>77.16</v>
      </c>
      <c r="H47" s="100">
        <v>26.36</v>
      </c>
      <c r="I47" s="100">
        <v>9.31</v>
      </c>
      <c r="J47" s="100">
        <v>0.26</v>
      </c>
      <c r="K47" s="100">
        <v>275.33999999999997</v>
      </c>
      <c r="L47" s="100">
        <v>37.880000000000003</v>
      </c>
      <c r="M47" s="100">
        <v>24.11</v>
      </c>
      <c r="N47" s="100">
        <v>295.7</v>
      </c>
      <c r="O47" s="100">
        <v>0</v>
      </c>
      <c r="P47" s="100">
        <v>0.85</v>
      </c>
      <c r="Q47" s="100">
        <v>5.34</v>
      </c>
    </row>
    <row r="48" spans="1:17" customFormat="1">
      <c r="A48" s="100" t="s">
        <v>1717</v>
      </c>
      <c r="B48" s="100">
        <v>13.16</v>
      </c>
      <c r="C48" s="100">
        <v>65.819999999999993</v>
      </c>
      <c r="D48" s="100">
        <v>43.9</v>
      </c>
      <c r="E48" s="100">
        <v>23.29</v>
      </c>
      <c r="F48" s="100">
        <v>29.69</v>
      </c>
      <c r="G48" s="100">
        <v>77.16</v>
      </c>
      <c r="H48" s="100">
        <v>26.36</v>
      </c>
      <c r="I48" s="100">
        <v>9.09</v>
      </c>
      <c r="J48" s="100">
        <v>0.51</v>
      </c>
      <c r="K48" s="100">
        <v>359.44</v>
      </c>
      <c r="L48" s="100">
        <v>37.68</v>
      </c>
      <c r="M48" s="100">
        <v>24.15</v>
      </c>
      <c r="N48" s="100">
        <v>215.7</v>
      </c>
      <c r="O48" s="100">
        <v>0</v>
      </c>
      <c r="P48" s="100">
        <v>0.91</v>
      </c>
      <c r="Q48" s="100">
        <v>5.26</v>
      </c>
    </row>
    <row r="49" spans="1:17" customFormat="1">
      <c r="A49" s="100" t="s">
        <v>1718</v>
      </c>
      <c r="B49" s="100">
        <v>9.8699999999999992</v>
      </c>
      <c r="C49" s="100">
        <v>59.41</v>
      </c>
      <c r="D49" s="100">
        <v>37.909999999999997</v>
      </c>
      <c r="E49" s="100">
        <v>18.920000000000002</v>
      </c>
      <c r="F49" s="100">
        <v>42.62</v>
      </c>
      <c r="G49" s="100">
        <v>87.66</v>
      </c>
      <c r="H49" s="100">
        <v>27.03</v>
      </c>
      <c r="I49" s="100">
        <v>8.91</v>
      </c>
      <c r="J49" s="100">
        <v>0.05</v>
      </c>
      <c r="K49" s="100">
        <v>279.64</v>
      </c>
      <c r="L49" s="100">
        <v>37.119999999999997</v>
      </c>
      <c r="M49" s="100">
        <v>27.02</v>
      </c>
      <c r="N49" s="100">
        <v>220.6</v>
      </c>
      <c r="O49" s="100">
        <v>0</v>
      </c>
      <c r="P49" s="100">
        <v>0.86</v>
      </c>
      <c r="Q49" s="100">
        <v>5.25</v>
      </c>
    </row>
    <row r="50" spans="1:17" customFormat="1">
      <c r="A50" s="100" t="s">
        <v>1719</v>
      </c>
      <c r="B50" s="100">
        <v>9.1199999999999992</v>
      </c>
      <c r="C50" s="100">
        <v>59.13</v>
      </c>
      <c r="D50" s="100">
        <v>37.159999999999997</v>
      </c>
      <c r="E50" s="100">
        <v>21.98</v>
      </c>
      <c r="F50" s="100">
        <v>28.96</v>
      </c>
      <c r="G50" s="100">
        <v>88.15</v>
      </c>
      <c r="H50" s="100">
        <v>27.03</v>
      </c>
      <c r="I50" s="100">
        <v>9.02</v>
      </c>
      <c r="J50" s="100">
        <v>0.67</v>
      </c>
      <c r="K50" s="100">
        <v>275.41000000000003</v>
      </c>
      <c r="L50" s="100">
        <v>38.18</v>
      </c>
      <c r="M50" s="100">
        <v>24.36</v>
      </c>
      <c r="N50" s="100">
        <v>265</v>
      </c>
      <c r="O50" s="100">
        <v>0</v>
      </c>
      <c r="P50" s="100">
        <v>0.82</v>
      </c>
      <c r="Q50" s="100">
        <v>5.19</v>
      </c>
    </row>
    <row r="51" spans="1:17" customFormat="1">
      <c r="A51" s="100" t="s">
        <v>1720</v>
      </c>
      <c r="B51" s="100">
        <v>8.48</v>
      </c>
      <c r="C51" s="100">
        <v>60.55</v>
      </c>
      <c r="D51" s="100">
        <v>37.39</v>
      </c>
      <c r="E51" s="100">
        <v>17.760000000000002</v>
      </c>
      <c r="F51" s="100">
        <v>33.06</v>
      </c>
      <c r="G51" s="100">
        <v>88.15</v>
      </c>
      <c r="H51" s="100">
        <v>27.03</v>
      </c>
      <c r="I51" s="100">
        <v>8.91</v>
      </c>
      <c r="J51" s="100">
        <v>0.52</v>
      </c>
      <c r="K51" s="100">
        <v>266.01</v>
      </c>
      <c r="L51" s="100">
        <v>38.869999999999997</v>
      </c>
      <c r="M51" s="100">
        <v>22.36</v>
      </c>
      <c r="N51" s="100">
        <v>312.8</v>
      </c>
      <c r="O51" s="100">
        <v>0</v>
      </c>
      <c r="P51" s="100">
        <v>0.82</v>
      </c>
      <c r="Q51" s="100">
        <v>5.1100000000000003</v>
      </c>
    </row>
    <row r="52" spans="1:17" customFormat="1">
      <c r="A52" s="100" t="s">
        <v>1721</v>
      </c>
      <c r="B52" s="100">
        <v>7.09</v>
      </c>
      <c r="C52" s="100">
        <v>57.39</v>
      </c>
      <c r="D52" s="100">
        <v>34.630000000000003</v>
      </c>
      <c r="E52" s="100">
        <v>13.6</v>
      </c>
      <c r="F52" s="100">
        <v>38.58</v>
      </c>
      <c r="G52" s="100">
        <v>88.15</v>
      </c>
      <c r="H52" s="100">
        <v>27.03</v>
      </c>
      <c r="I52" s="100">
        <v>8.75</v>
      </c>
      <c r="J52" s="100">
        <v>0.78</v>
      </c>
      <c r="K52" s="100">
        <v>288.82</v>
      </c>
      <c r="L52" s="100">
        <v>38.56</v>
      </c>
      <c r="M52" s="100">
        <v>23.82</v>
      </c>
      <c r="N52" s="100">
        <v>464.6</v>
      </c>
      <c r="O52" s="100">
        <v>0</v>
      </c>
      <c r="P52" s="100">
        <v>0.79</v>
      </c>
      <c r="Q52" s="100">
        <v>5.01</v>
      </c>
    </row>
    <row r="53" spans="1:17" customFormat="1">
      <c r="A53" s="100" t="s">
        <v>1722</v>
      </c>
      <c r="B53" s="100">
        <v>6.32</v>
      </c>
      <c r="C53" s="100">
        <v>54.81</v>
      </c>
      <c r="D53" s="100">
        <v>32.659999999999997</v>
      </c>
      <c r="E53" s="100">
        <v>14.63</v>
      </c>
      <c r="F53" s="100">
        <v>42.74</v>
      </c>
      <c r="G53" s="100">
        <v>87.42</v>
      </c>
      <c r="H53" s="100">
        <v>26.53</v>
      </c>
      <c r="I53" s="100">
        <v>8.68</v>
      </c>
      <c r="J53" s="100">
        <v>0.74</v>
      </c>
      <c r="K53" s="100">
        <v>271.98</v>
      </c>
      <c r="L53" s="100">
        <v>38.99</v>
      </c>
      <c r="M53" s="100">
        <v>23.09</v>
      </c>
      <c r="N53" s="100">
        <v>607.6</v>
      </c>
      <c r="O53" s="100">
        <v>0</v>
      </c>
      <c r="P53" s="100">
        <v>0.75</v>
      </c>
      <c r="Q53" s="100">
        <v>4.9400000000000004</v>
      </c>
    </row>
    <row r="54" spans="1:17" customFormat="1">
      <c r="A54" s="100" t="s">
        <v>1723</v>
      </c>
      <c r="B54" s="100">
        <v>5.37</v>
      </c>
      <c r="C54" s="100">
        <v>55.18</v>
      </c>
      <c r="D54" s="100">
        <v>32.090000000000003</v>
      </c>
      <c r="E54" s="100">
        <v>10.210000000000001</v>
      </c>
      <c r="F54" s="100">
        <v>25.83</v>
      </c>
      <c r="G54" s="100">
        <v>87.38</v>
      </c>
      <c r="H54" s="100">
        <v>26.53</v>
      </c>
      <c r="I54" s="100">
        <v>8.27</v>
      </c>
      <c r="J54" s="100">
        <v>0.68</v>
      </c>
      <c r="K54" s="100">
        <v>263.06</v>
      </c>
      <c r="L54" s="100">
        <v>39.31</v>
      </c>
      <c r="M54" s="100">
        <v>24.43</v>
      </c>
      <c r="N54" s="100">
        <v>749</v>
      </c>
      <c r="O54" s="100">
        <v>0</v>
      </c>
      <c r="P54" s="100">
        <v>0.75</v>
      </c>
      <c r="Q54" s="100">
        <v>4.8600000000000003</v>
      </c>
    </row>
    <row r="55" spans="1:17" customFormat="1">
      <c r="A55" s="100" t="s">
        <v>1724</v>
      </c>
      <c r="B55" s="100">
        <v>4.78</v>
      </c>
      <c r="C55" s="100">
        <v>53.29</v>
      </c>
      <c r="D55" s="100">
        <v>30.63</v>
      </c>
      <c r="E55" s="100">
        <v>11.72</v>
      </c>
      <c r="F55" s="100">
        <v>39.26</v>
      </c>
      <c r="G55" s="100">
        <v>87.38</v>
      </c>
      <c r="H55" s="100">
        <v>26.53</v>
      </c>
      <c r="I55" s="100">
        <v>8.06</v>
      </c>
      <c r="J55" s="100">
        <v>0.61</v>
      </c>
      <c r="K55" s="100">
        <v>269.64999999999998</v>
      </c>
      <c r="L55" s="100">
        <v>39.700000000000003</v>
      </c>
      <c r="M55" s="100">
        <v>22</v>
      </c>
      <c r="N55" s="100">
        <v>784</v>
      </c>
      <c r="O55" s="100">
        <v>0</v>
      </c>
      <c r="P55" s="100">
        <v>0.73</v>
      </c>
      <c r="Q55" s="100">
        <v>4.83</v>
      </c>
    </row>
    <row r="56" spans="1:17" customFormat="1">
      <c r="A56" s="100" t="s">
        <v>1725</v>
      </c>
      <c r="B56" s="100">
        <v>4.28</v>
      </c>
      <c r="C56" s="100">
        <v>48.27</v>
      </c>
      <c r="D56" s="100">
        <v>27.6</v>
      </c>
      <c r="E56" s="100">
        <v>11.49</v>
      </c>
      <c r="F56" s="100">
        <v>48.98</v>
      </c>
      <c r="G56" s="100">
        <v>87.38</v>
      </c>
      <c r="H56" s="100">
        <v>26.53</v>
      </c>
      <c r="I56" s="100">
        <v>8.2899999999999991</v>
      </c>
      <c r="J56" s="100">
        <v>0.6</v>
      </c>
      <c r="K56" s="100">
        <v>271.16000000000003</v>
      </c>
      <c r="L56" s="100">
        <v>40.18</v>
      </c>
      <c r="M56" s="100">
        <v>21.94</v>
      </c>
      <c r="N56" s="100">
        <v>792.2</v>
      </c>
      <c r="O56" s="100">
        <v>0</v>
      </c>
      <c r="P56" s="100">
        <v>0.68</v>
      </c>
      <c r="Q56" s="100">
        <v>4.7699999999999996</v>
      </c>
    </row>
    <row r="57" spans="1:17" customFormat="1">
      <c r="A57" s="100" t="s">
        <v>1726</v>
      </c>
      <c r="B57" s="100">
        <v>4.4800000000000004</v>
      </c>
      <c r="C57" s="100">
        <v>51.93</v>
      </c>
      <c r="D57" s="100">
        <v>29.68</v>
      </c>
      <c r="E57" s="100">
        <v>9.81</v>
      </c>
      <c r="F57" s="100">
        <v>36.21</v>
      </c>
      <c r="G57" s="100">
        <v>77.95</v>
      </c>
      <c r="H57" s="100">
        <v>22.22</v>
      </c>
      <c r="I57" s="100">
        <v>7.94</v>
      </c>
      <c r="J57" s="100">
        <v>0.53</v>
      </c>
      <c r="K57" s="100">
        <v>259.33</v>
      </c>
      <c r="L57" s="100">
        <v>40.76</v>
      </c>
      <c r="M57" s="100">
        <v>20.71</v>
      </c>
      <c r="N57" s="100">
        <v>823.7</v>
      </c>
      <c r="O57" s="100">
        <v>0</v>
      </c>
      <c r="P57" s="100">
        <v>0.68</v>
      </c>
      <c r="Q57" s="100">
        <v>4.72</v>
      </c>
    </row>
    <row r="58" spans="1:17" customFormat="1">
      <c r="A58" s="100" t="s">
        <v>1727</v>
      </c>
      <c r="B58" s="100">
        <v>4.21</v>
      </c>
      <c r="C58" s="100">
        <v>51.07</v>
      </c>
      <c r="D58" s="100">
        <v>29.02</v>
      </c>
      <c r="E58" s="100">
        <v>10.119999999999999</v>
      </c>
      <c r="F58" s="100">
        <v>37.47</v>
      </c>
      <c r="G58" s="100">
        <v>77.510000000000005</v>
      </c>
      <c r="H58" s="100">
        <v>22.22</v>
      </c>
      <c r="I58" s="100">
        <v>7.4</v>
      </c>
      <c r="J58" s="100">
        <v>0.61</v>
      </c>
      <c r="K58" s="100">
        <v>238.4</v>
      </c>
      <c r="L58" s="100">
        <v>41.01</v>
      </c>
      <c r="M58" s="100">
        <v>19.440000000000001</v>
      </c>
      <c r="N58" s="100">
        <v>766</v>
      </c>
      <c r="O58" s="100">
        <v>0</v>
      </c>
      <c r="P58" s="100">
        <v>0.64</v>
      </c>
      <c r="Q58" s="100">
        <v>4.68</v>
      </c>
    </row>
    <row r="59" spans="1:17" customFormat="1">
      <c r="A59" s="100" t="s">
        <v>1728</v>
      </c>
      <c r="B59" s="100">
        <v>4.2</v>
      </c>
      <c r="C59" s="100">
        <v>50.78</v>
      </c>
      <c r="D59" s="100">
        <v>28.85</v>
      </c>
      <c r="E59" s="100">
        <v>8.99</v>
      </c>
      <c r="F59" s="100">
        <v>36.06</v>
      </c>
      <c r="G59" s="100">
        <v>77.510000000000005</v>
      </c>
      <c r="H59" s="100">
        <v>22.22</v>
      </c>
      <c r="I59" s="100">
        <v>7.2</v>
      </c>
      <c r="J59" s="100">
        <v>0.87</v>
      </c>
      <c r="K59" s="100">
        <v>293.23</v>
      </c>
      <c r="L59" s="100">
        <v>41.1</v>
      </c>
      <c r="M59" s="100">
        <v>17.89</v>
      </c>
      <c r="N59" s="100">
        <v>797.1</v>
      </c>
      <c r="O59" s="100">
        <v>0</v>
      </c>
      <c r="P59" s="100">
        <v>0.63</v>
      </c>
      <c r="Q59" s="100">
        <v>4.6399999999999997</v>
      </c>
    </row>
    <row r="60" spans="1:17" customFormat="1">
      <c r="A60" s="100" t="s">
        <v>1729</v>
      </c>
      <c r="B60" s="100">
        <v>4.4800000000000004</v>
      </c>
      <c r="C60" s="100">
        <v>50.76</v>
      </c>
      <c r="D60" s="100">
        <v>29.07</v>
      </c>
      <c r="E60" s="100">
        <v>8.76</v>
      </c>
      <c r="F60" s="100">
        <v>31.33</v>
      </c>
      <c r="G60" s="100">
        <v>77.510000000000005</v>
      </c>
      <c r="H60" s="100">
        <v>22.22</v>
      </c>
      <c r="I60" s="100">
        <v>7</v>
      </c>
      <c r="J60" s="100">
        <v>1.1200000000000001</v>
      </c>
      <c r="K60" s="100">
        <v>277.39999999999998</v>
      </c>
      <c r="L60" s="100">
        <v>40.950000000000003</v>
      </c>
      <c r="M60" s="100">
        <v>18.809999999999999</v>
      </c>
      <c r="N60" s="100">
        <v>831.5</v>
      </c>
      <c r="O60" s="100">
        <v>0</v>
      </c>
      <c r="P60" s="100">
        <v>0.63</v>
      </c>
      <c r="Q60" s="100">
        <v>4.6100000000000003</v>
      </c>
    </row>
    <row r="61" spans="1:17" customFormat="1">
      <c r="A61" s="100" t="s">
        <v>1730</v>
      </c>
      <c r="B61" s="100">
        <v>4.53</v>
      </c>
      <c r="C61" s="100">
        <v>49.92</v>
      </c>
      <c r="D61" s="100">
        <v>28.67</v>
      </c>
      <c r="E61" s="100">
        <v>8.9700000000000006</v>
      </c>
      <c r="F61" s="100">
        <v>32.229999999999997</v>
      </c>
      <c r="G61" s="100">
        <v>62.44</v>
      </c>
      <c r="H61" s="100">
        <v>20.87</v>
      </c>
      <c r="I61" s="100">
        <v>6.84</v>
      </c>
      <c r="J61" s="100">
        <v>0.68</v>
      </c>
      <c r="K61" s="100">
        <v>279.2</v>
      </c>
      <c r="L61" s="100">
        <v>41.6</v>
      </c>
      <c r="M61" s="100">
        <v>18.87</v>
      </c>
      <c r="N61" s="100">
        <v>826.7</v>
      </c>
      <c r="O61" s="100">
        <v>0</v>
      </c>
      <c r="P61" s="100">
        <v>0.6</v>
      </c>
      <c r="Q61" s="100">
        <v>4.6100000000000003</v>
      </c>
    </row>
    <row r="62" spans="1:17" customFormat="1">
      <c r="A62" s="100" t="s">
        <v>1731</v>
      </c>
      <c r="B62" s="100">
        <v>4.21</v>
      </c>
      <c r="C62" s="100">
        <v>49.9</v>
      </c>
      <c r="D62" s="100">
        <v>28.4</v>
      </c>
      <c r="E62" s="100">
        <v>8.4600000000000009</v>
      </c>
      <c r="F62" s="100">
        <v>29.09</v>
      </c>
      <c r="G62" s="100">
        <v>61.92</v>
      </c>
      <c r="H62" s="100">
        <v>20.87</v>
      </c>
      <c r="I62" s="100">
        <v>6.81</v>
      </c>
      <c r="J62" s="100">
        <v>0.9</v>
      </c>
      <c r="K62" s="100">
        <v>261.51</v>
      </c>
      <c r="L62" s="100">
        <v>41.56</v>
      </c>
      <c r="M62" s="100">
        <v>18.420000000000002</v>
      </c>
      <c r="N62" s="100">
        <v>794.2</v>
      </c>
      <c r="O62" s="100">
        <v>0</v>
      </c>
      <c r="P62" s="100">
        <v>0.6</v>
      </c>
      <c r="Q62" s="100">
        <v>4.6100000000000003</v>
      </c>
    </row>
    <row r="63" spans="1:17" customFormat="1">
      <c r="A63" s="100" t="s">
        <v>1732</v>
      </c>
      <c r="B63" s="100">
        <v>4.05</v>
      </c>
      <c r="C63" s="100">
        <v>49.35</v>
      </c>
      <c r="D63" s="100">
        <v>27.99</v>
      </c>
      <c r="E63" s="100">
        <v>8.33</v>
      </c>
      <c r="F63" s="100">
        <v>22.99</v>
      </c>
      <c r="G63" s="100">
        <v>61.92</v>
      </c>
      <c r="H63" s="100">
        <v>20.87</v>
      </c>
      <c r="I63" s="100">
        <v>6.87</v>
      </c>
      <c r="J63" s="100">
        <v>0.94</v>
      </c>
      <c r="K63" s="100">
        <v>257.33999999999997</v>
      </c>
      <c r="L63" s="100">
        <v>41.76</v>
      </c>
      <c r="M63" s="100">
        <v>17.09</v>
      </c>
      <c r="N63" s="100">
        <v>707</v>
      </c>
      <c r="O63" s="100">
        <v>0</v>
      </c>
      <c r="P63" s="100">
        <v>0.59</v>
      </c>
      <c r="Q63" s="100">
        <v>4.5599999999999996</v>
      </c>
    </row>
    <row r="64" spans="1:17" customFormat="1">
      <c r="A64" s="100" t="s">
        <v>1733</v>
      </c>
      <c r="B64" s="100">
        <v>4.1100000000000003</v>
      </c>
      <c r="C64" s="100">
        <v>49.1</v>
      </c>
      <c r="D64" s="100">
        <v>27.91</v>
      </c>
      <c r="E64" s="100">
        <v>8.67</v>
      </c>
      <c r="F64" s="100">
        <v>26.86</v>
      </c>
      <c r="G64" s="100">
        <v>61.92</v>
      </c>
      <c r="H64" s="100">
        <v>20.87</v>
      </c>
      <c r="I64" s="100">
        <v>6.9</v>
      </c>
      <c r="J64" s="100">
        <v>1.18</v>
      </c>
      <c r="K64" s="100">
        <v>263.14999999999998</v>
      </c>
      <c r="L64" s="100">
        <v>41.73</v>
      </c>
      <c r="M64" s="100">
        <v>16.62</v>
      </c>
      <c r="N64" s="100">
        <v>762.1</v>
      </c>
      <c r="O64" s="100">
        <v>0</v>
      </c>
      <c r="P64" s="100">
        <v>0.55000000000000004</v>
      </c>
      <c r="Q64" s="100">
        <v>4.54</v>
      </c>
    </row>
    <row r="65" spans="1:17" customFormat="1">
      <c r="A65" s="100" t="s">
        <v>1734</v>
      </c>
      <c r="B65" s="100">
        <v>3.99</v>
      </c>
      <c r="C65" s="100">
        <v>48.11</v>
      </c>
      <c r="D65" s="100">
        <v>27.29</v>
      </c>
      <c r="E65" s="100">
        <v>8.85</v>
      </c>
      <c r="F65" s="100">
        <v>34.75</v>
      </c>
      <c r="G65" s="100">
        <v>50.88</v>
      </c>
      <c r="H65" s="100">
        <v>17.2</v>
      </c>
      <c r="I65" s="100">
        <v>6.68</v>
      </c>
      <c r="J65" s="100">
        <v>0.72</v>
      </c>
      <c r="K65" s="100">
        <v>269.06</v>
      </c>
      <c r="L65" s="100">
        <v>41.91</v>
      </c>
      <c r="M65" s="100">
        <v>16.73</v>
      </c>
      <c r="N65" s="100">
        <v>738.6</v>
      </c>
      <c r="O65" s="100">
        <v>0</v>
      </c>
      <c r="P65" s="100">
        <v>0.51</v>
      </c>
      <c r="Q65" s="100">
        <v>4.51</v>
      </c>
    </row>
    <row r="66" spans="1:17" customFormat="1">
      <c r="A66" s="100" t="s">
        <v>1735</v>
      </c>
      <c r="B66" s="100">
        <v>4.25</v>
      </c>
      <c r="C66" s="100">
        <v>47.61</v>
      </c>
      <c r="D66" s="100">
        <v>27.24</v>
      </c>
      <c r="E66" s="100">
        <v>9.39</v>
      </c>
      <c r="F66" s="100">
        <v>24.1</v>
      </c>
      <c r="G66" s="100">
        <v>50.37</v>
      </c>
      <c r="H66" s="100">
        <v>17.2</v>
      </c>
      <c r="I66" s="100">
        <v>6.38</v>
      </c>
      <c r="J66" s="100">
        <v>0.93</v>
      </c>
      <c r="K66" s="100">
        <v>254.86</v>
      </c>
      <c r="L66" s="100">
        <v>41.78</v>
      </c>
      <c r="M66" s="100">
        <v>17.190000000000001</v>
      </c>
      <c r="N66" s="100">
        <v>722.3</v>
      </c>
      <c r="O66" s="100">
        <v>0</v>
      </c>
      <c r="P66" s="100">
        <v>0.52</v>
      </c>
      <c r="Q66" s="100">
        <v>4.47</v>
      </c>
    </row>
    <row r="67" spans="1:17" customFormat="1">
      <c r="A67" s="100" t="s">
        <v>1736</v>
      </c>
      <c r="B67" s="100">
        <v>3.78</v>
      </c>
      <c r="C67" s="100">
        <v>46.65</v>
      </c>
      <c r="D67" s="100">
        <v>26.36</v>
      </c>
      <c r="E67" s="100">
        <v>10.83</v>
      </c>
      <c r="F67" s="100">
        <v>32.24</v>
      </c>
      <c r="G67" s="100">
        <v>50.37</v>
      </c>
      <c r="H67" s="100">
        <v>17.2</v>
      </c>
      <c r="I67" s="100">
        <v>6.12</v>
      </c>
      <c r="J67" s="100">
        <v>0.99</v>
      </c>
      <c r="K67" s="100">
        <v>256.74</v>
      </c>
      <c r="L67" s="100">
        <v>41.79</v>
      </c>
      <c r="M67" s="100">
        <v>17.62</v>
      </c>
      <c r="N67" s="100">
        <v>652.29999999999995</v>
      </c>
      <c r="O67" s="100">
        <v>0</v>
      </c>
      <c r="P67" s="100">
        <v>0.52</v>
      </c>
      <c r="Q67" s="100">
        <v>4.4400000000000004</v>
      </c>
    </row>
    <row r="68" spans="1:17" customFormat="1">
      <c r="A68" s="100" t="s">
        <v>1737</v>
      </c>
      <c r="B68" s="100">
        <v>3.62</v>
      </c>
      <c r="C68" s="100">
        <v>46.31</v>
      </c>
      <c r="D68" s="100">
        <v>26.05</v>
      </c>
      <c r="E68" s="100">
        <v>12.14</v>
      </c>
      <c r="F68" s="100">
        <v>35.72</v>
      </c>
      <c r="G68" s="100">
        <v>50.37</v>
      </c>
      <c r="H68" s="100">
        <v>17.2</v>
      </c>
      <c r="I68" s="100">
        <v>6.02</v>
      </c>
      <c r="J68" s="100">
        <v>0.97</v>
      </c>
      <c r="K68" s="100">
        <v>259.42</v>
      </c>
      <c r="L68" s="100">
        <v>41.87</v>
      </c>
      <c r="M68" s="100">
        <v>17.059999999999999</v>
      </c>
      <c r="N68" s="100">
        <v>655.1</v>
      </c>
      <c r="O68" s="100">
        <v>0</v>
      </c>
      <c r="P68" s="100">
        <v>0.52</v>
      </c>
      <c r="Q68" s="100">
        <v>4.46</v>
      </c>
    </row>
    <row r="69" spans="1:17" customFormat="1">
      <c r="A69" s="100" t="s">
        <v>1738</v>
      </c>
      <c r="B69" s="100">
        <v>3.55</v>
      </c>
      <c r="C69" s="100">
        <v>45.08</v>
      </c>
      <c r="D69" s="100">
        <v>25.35</v>
      </c>
      <c r="E69" s="100">
        <v>12.02</v>
      </c>
      <c r="F69" s="100">
        <v>29.48</v>
      </c>
      <c r="G69" s="100">
        <v>47.37</v>
      </c>
      <c r="H69" s="100">
        <v>17.940000000000001</v>
      </c>
      <c r="I69" s="100">
        <v>6.13</v>
      </c>
      <c r="J69" s="100">
        <v>0.99</v>
      </c>
      <c r="K69" s="100">
        <v>260.17</v>
      </c>
      <c r="L69" s="100">
        <v>41.54</v>
      </c>
      <c r="M69" s="100">
        <v>17.13</v>
      </c>
      <c r="N69" s="100">
        <v>549.5</v>
      </c>
      <c r="O69" s="100">
        <v>0</v>
      </c>
      <c r="P69" s="100">
        <v>0.5</v>
      </c>
      <c r="Q69" s="100">
        <v>4.45</v>
      </c>
    </row>
    <row r="70" spans="1:17" customFormat="1">
      <c r="A70" s="100" t="s">
        <v>1739</v>
      </c>
      <c r="B70" s="100">
        <v>3.71</v>
      </c>
      <c r="C70" s="100">
        <v>47.16</v>
      </c>
      <c r="D70" s="100">
        <v>26.57</v>
      </c>
      <c r="E70" s="100">
        <v>11.17</v>
      </c>
      <c r="F70" s="100">
        <v>24.06</v>
      </c>
      <c r="G70" s="100">
        <v>47.27</v>
      </c>
      <c r="H70" s="100">
        <v>17.940000000000001</v>
      </c>
      <c r="I70" s="100">
        <v>6.06</v>
      </c>
      <c r="J70" s="100">
        <v>1.26</v>
      </c>
      <c r="K70" s="100">
        <v>263.61</v>
      </c>
      <c r="L70" s="100">
        <v>41.39</v>
      </c>
      <c r="M70" s="100">
        <v>17.98</v>
      </c>
      <c r="N70" s="100">
        <v>532.29999999999995</v>
      </c>
      <c r="O70" s="100">
        <v>0</v>
      </c>
      <c r="P70" s="100">
        <v>0.51</v>
      </c>
      <c r="Q70" s="100">
        <v>4.43</v>
      </c>
    </row>
    <row r="71" spans="1:17" customFormat="1">
      <c r="A71" s="100" t="s">
        <v>1740</v>
      </c>
      <c r="B71" s="100">
        <v>3.85</v>
      </c>
      <c r="C71" s="100">
        <v>48.7</v>
      </c>
      <c r="D71" s="100">
        <v>27.48</v>
      </c>
      <c r="E71" s="100">
        <v>11.74</v>
      </c>
      <c r="F71" s="100">
        <v>31.83</v>
      </c>
      <c r="G71" s="100">
        <v>47.27</v>
      </c>
      <c r="H71" s="100">
        <v>17.940000000000001</v>
      </c>
      <c r="I71" s="100">
        <v>5.93</v>
      </c>
      <c r="J71" s="100">
        <v>0.96</v>
      </c>
      <c r="K71" s="100">
        <v>270.58</v>
      </c>
      <c r="L71" s="100">
        <v>41.18</v>
      </c>
      <c r="M71" s="100">
        <v>17.63</v>
      </c>
      <c r="N71" s="100">
        <v>478.1</v>
      </c>
      <c r="O71" s="100">
        <v>0</v>
      </c>
      <c r="P71" s="100">
        <v>0.51</v>
      </c>
      <c r="Q71" s="100">
        <v>4.43</v>
      </c>
    </row>
    <row r="72" spans="1:17" customFormat="1">
      <c r="A72" s="100" t="s">
        <v>1741</v>
      </c>
      <c r="B72" s="100">
        <v>3.75</v>
      </c>
      <c r="C72" s="100">
        <v>46.25</v>
      </c>
      <c r="D72" s="100">
        <v>26.13</v>
      </c>
      <c r="E72" s="100">
        <v>13.11</v>
      </c>
      <c r="F72" s="100">
        <v>36.049999999999997</v>
      </c>
      <c r="G72" s="100">
        <v>47.27</v>
      </c>
      <c r="H72" s="100">
        <v>17.940000000000001</v>
      </c>
      <c r="I72" s="100">
        <v>5.9</v>
      </c>
      <c r="J72" s="100">
        <v>0.8</v>
      </c>
      <c r="K72" s="100">
        <v>262.10000000000002</v>
      </c>
      <c r="L72" s="100">
        <v>41.33</v>
      </c>
      <c r="M72" s="100">
        <v>17.28</v>
      </c>
      <c r="N72" s="100">
        <v>410.3</v>
      </c>
      <c r="O72" s="100">
        <v>0</v>
      </c>
      <c r="P72" s="100">
        <v>0.5</v>
      </c>
      <c r="Q72" s="100">
        <v>4.46</v>
      </c>
    </row>
    <row r="73" spans="1:17" customFormat="1">
      <c r="A73" s="100" t="s">
        <v>1742</v>
      </c>
      <c r="B73" s="100">
        <v>3.62</v>
      </c>
      <c r="C73" s="100">
        <v>43.84</v>
      </c>
      <c r="D73" s="100">
        <v>24.76</v>
      </c>
      <c r="E73" s="100">
        <v>12.01</v>
      </c>
      <c r="F73" s="100">
        <v>29.74</v>
      </c>
      <c r="G73" s="100">
        <v>44.82</v>
      </c>
      <c r="H73" s="100">
        <v>15.11</v>
      </c>
      <c r="I73" s="100">
        <v>5.76</v>
      </c>
      <c r="J73" s="100">
        <v>1.2</v>
      </c>
      <c r="K73" s="100">
        <v>259.75</v>
      </c>
      <c r="L73" s="100">
        <v>41.02</v>
      </c>
      <c r="M73" s="100">
        <v>17.47</v>
      </c>
      <c r="N73" s="100">
        <v>374.7</v>
      </c>
      <c r="O73" s="100">
        <v>0</v>
      </c>
      <c r="P73" s="100">
        <v>0.49</v>
      </c>
      <c r="Q73" s="100">
        <v>4.4400000000000004</v>
      </c>
    </row>
    <row r="74" spans="1:17" customFormat="1">
      <c r="A74" s="100" t="s">
        <v>1743</v>
      </c>
      <c r="B74" s="100">
        <v>3.75</v>
      </c>
      <c r="C74" s="100">
        <v>48.04</v>
      </c>
      <c r="D74" s="100">
        <v>27.06</v>
      </c>
      <c r="E74" s="100">
        <v>10.74</v>
      </c>
      <c r="F74" s="100">
        <v>25.53</v>
      </c>
      <c r="G74" s="100">
        <v>44.71</v>
      </c>
      <c r="H74" s="100">
        <v>15.11</v>
      </c>
      <c r="I74" s="100">
        <v>5.38</v>
      </c>
      <c r="J74" s="100">
        <v>1.27</v>
      </c>
      <c r="K74" s="100">
        <v>262.42</v>
      </c>
      <c r="L74" s="100">
        <v>40.520000000000003</v>
      </c>
      <c r="M74" s="100">
        <v>18.010000000000002</v>
      </c>
      <c r="N74" s="100">
        <v>338.6</v>
      </c>
      <c r="O74" s="100">
        <v>0</v>
      </c>
      <c r="P74" s="100">
        <v>0.49</v>
      </c>
      <c r="Q74" s="100">
        <v>4.4400000000000004</v>
      </c>
    </row>
    <row r="75" spans="1:17" customFormat="1">
      <c r="A75" s="100" t="s">
        <v>1744</v>
      </c>
      <c r="B75" s="100">
        <v>3.76</v>
      </c>
      <c r="C75" s="100">
        <v>45.18</v>
      </c>
      <c r="D75" s="100">
        <v>25.58</v>
      </c>
      <c r="E75" s="100">
        <v>12.68</v>
      </c>
      <c r="F75" s="100">
        <v>29.5</v>
      </c>
      <c r="G75" s="100">
        <v>44.71</v>
      </c>
      <c r="H75" s="100">
        <v>15.11</v>
      </c>
      <c r="I75" s="100">
        <v>5.58</v>
      </c>
      <c r="J75" s="100">
        <v>1.07</v>
      </c>
      <c r="K75" s="100">
        <v>256.95999999999998</v>
      </c>
      <c r="L75" s="100">
        <v>40.369999999999997</v>
      </c>
      <c r="M75" s="100">
        <v>18.850000000000001</v>
      </c>
      <c r="N75" s="100">
        <v>237.9</v>
      </c>
      <c r="O75" s="100">
        <v>0</v>
      </c>
      <c r="P75" s="100">
        <v>0.49</v>
      </c>
      <c r="Q75" s="100">
        <v>4.4400000000000004</v>
      </c>
    </row>
    <row r="76" spans="1:17" customFormat="1">
      <c r="A76" s="100" t="s">
        <v>1745</v>
      </c>
      <c r="B76" s="100">
        <v>3.81</v>
      </c>
      <c r="C76" s="100">
        <v>46.24</v>
      </c>
      <c r="D76" s="100">
        <v>26.17</v>
      </c>
      <c r="E76" s="100">
        <v>11.73</v>
      </c>
      <c r="F76" s="100">
        <v>32.39</v>
      </c>
      <c r="G76" s="100">
        <v>44.71</v>
      </c>
      <c r="H76" s="100">
        <v>15.11</v>
      </c>
      <c r="I76" s="100">
        <v>5.78</v>
      </c>
      <c r="J76" s="100">
        <v>1.07</v>
      </c>
      <c r="K76" s="100">
        <v>274.25</v>
      </c>
      <c r="L76" s="100">
        <v>40.049999999999997</v>
      </c>
      <c r="M76" s="100">
        <v>17.43</v>
      </c>
      <c r="N76" s="100">
        <v>212.9</v>
      </c>
      <c r="O76" s="100">
        <v>0</v>
      </c>
      <c r="P76" s="100">
        <v>0.47</v>
      </c>
      <c r="Q76" s="100">
        <v>4.4400000000000004</v>
      </c>
    </row>
    <row r="77" spans="1:17" customFormat="1">
      <c r="A77" s="100" t="s">
        <v>1746</v>
      </c>
      <c r="B77" s="100">
        <v>3.59</v>
      </c>
      <c r="C77" s="100">
        <v>42.75</v>
      </c>
      <c r="D77" s="100">
        <v>24.17</v>
      </c>
      <c r="E77" s="100">
        <v>12.45</v>
      </c>
      <c r="F77" s="100">
        <v>37.14</v>
      </c>
      <c r="G77" s="100">
        <v>49.21</v>
      </c>
      <c r="H77" s="100">
        <v>13.37</v>
      </c>
      <c r="I77" s="100">
        <v>5.36</v>
      </c>
      <c r="J77" s="100">
        <v>0.91</v>
      </c>
      <c r="K77" s="100">
        <v>256.14</v>
      </c>
      <c r="L77" s="100">
        <v>39.81</v>
      </c>
      <c r="M77" s="100">
        <v>18.649999999999999</v>
      </c>
      <c r="N77" s="100">
        <v>109.5</v>
      </c>
      <c r="O77" s="100">
        <v>0</v>
      </c>
      <c r="P77" s="100">
        <v>0.47</v>
      </c>
      <c r="Q77" s="100">
        <v>4.47</v>
      </c>
    </row>
    <row r="78" spans="1:17" customFormat="1">
      <c r="A78" s="100" t="s">
        <v>1747</v>
      </c>
      <c r="B78" s="100">
        <v>3.85</v>
      </c>
      <c r="C78" s="100">
        <v>45.52</v>
      </c>
      <c r="D78" s="100">
        <v>25.83</v>
      </c>
      <c r="E78" s="100">
        <v>13.07</v>
      </c>
      <c r="F78" s="100">
        <v>27.67</v>
      </c>
      <c r="G78" s="100">
        <v>49.42</v>
      </c>
      <c r="H78" s="100">
        <v>13.37</v>
      </c>
      <c r="I78" s="100">
        <v>5.03</v>
      </c>
      <c r="J78" s="100">
        <v>1.1599999999999999</v>
      </c>
      <c r="K78" s="100">
        <v>262.23</v>
      </c>
      <c r="L78" s="100">
        <v>39.22</v>
      </c>
      <c r="M78" s="100">
        <v>19.329999999999998</v>
      </c>
      <c r="N78" s="100">
        <v>88.3</v>
      </c>
      <c r="O78" s="100">
        <v>0</v>
      </c>
      <c r="P78" s="100">
        <v>0.48</v>
      </c>
      <c r="Q78" s="100">
        <v>4.43</v>
      </c>
    </row>
    <row r="79" spans="1:17" customFormat="1">
      <c r="A79" s="100" t="s">
        <v>1748</v>
      </c>
      <c r="B79" s="100">
        <v>3.92</v>
      </c>
      <c r="C79" s="100">
        <v>45.19</v>
      </c>
      <c r="D79" s="100">
        <v>25.71</v>
      </c>
      <c r="E79" s="100">
        <v>14.2</v>
      </c>
      <c r="F79" s="100">
        <v>29.39</v>
      </c>
      <c r="G79" s="100">
        <v>49.42</v>
      </c>
      <c r="H79" s="100">
        <v>13.37</v>
      </c>
      <c r="I79" s="100">
        <v>4.87</v>
      </c>
      <c r="J79" s="100">
        <v>1.01</v>
      </c>
      <c r="K79" s="100">
        <v>260.13</v>
      </c>
      <c r="L79" s="100">
        <v>38.799999999999997</v>
      </c>
      <c r="M79" s="100">
        <v>19.440000000000001</v>
      </c>
      <c r="N79" s="100">
        <v>70.400000000000006</v>
      </c>
      <c r="O79" s="100">
        <v>0</v>
      </c>
      <c r="P79" s="100">
        <v>0.48</v>
      </c>
      <c r="Q79" s="100">
        <v>4.41</v>
      </c>
    </row>
    <row r="80" spans="1:17" customFormat="1">
      <c r="A80" s="100" t="s">
        <v>1749</v>
      </c>
      <c r="B80" s="100">
        <v>4.7</v>
      </c>
      <c r="C80" s="100">
        <v>46.07</v>
      </c>
      <c r="D80" s="100">
        <v>26.8</v>
      </c>
      <c r="E80" s="100">
        <v>17.5</v>
      </c>
      <c r="F80" s="100">
        <v>31.53</v>
      </c>
      <c r="G80" s="100">
        <v>49.42</v>
      </c>
      <c r="H80" s="100">
        <v>13.37</v>
      </c>
      <c r="I80" s="100">
        <v>4.99</v>
      </c>
      <c r="J80" s="100">
        <v>0.93</v>
      </c>
      <c r="K80" s="100">
        <v>250.51</v>
      </c>
      <c r="L80" s="100">
        <v>38.450000000000003</v>
      </c>
      <c r="M80" s="100">
        <v>19.82</v>
      </c>
      <c r="N80" s="100">
        <v>35.700000000000003</v>
      </c>
      <c r="O80" s="100">
        <v>0</v>
      </c>
      <c r="P80" s="100">
        <v>0.5</v>
      </c>
      <c r="Q80" s="100">
        <v>4.41</v>
      </c>
    </row>
    <row r="81" spans="1:17" customFormat="1">
      <c r="A81" s="100" t="s">
        <v>1750</v>
      </c>
      <c r="B81" s="100">
        <v>3.29</v>
      </c>
      <c r="C81" s="100">
        <v>42.25</v>
      </c>
      <c r="D81" s="100">
        <v>23.67</v>
      </c>
      <c r="E81" s="100">
        <v>12.41</v>
      </c>
      <c r="F81" s="100">
        <v>38.68</v>
      </c>
      <c r="G81" s="100">
        <v>40.619999999999997</v>
      </c>
      <c r="H81" s="100">
        <v>11.89</v>
      </c>
      <c r="I81" s="100">
        <v>4.8899999999999997</v>
      </c>
      <c r="J81" s="100">
        <v>0.75</v>
      </c>
      <c r="K81" s="100">
        <v>256.45999999999998</v>
      </c>
      <c r="L81" s="100">
        <v>37.83</v>
      </c>
      <c r="M81" s="100">
        <v>20.83</v>
      </c>
      <c r="N81" s="100">
        <v>7.7</v>
      </c>
      <c r="O81" s="100">
        <v>0</v>
      </c>
      <c r="P81" s="100">
        <v>0.52</v>
      </c>
      <c r="Q81" s="100">
        <v>4.41</v>
      </c>
    </row>
    <row r="82" spans="1:17" customFormat="1">
      <c r="A82" s="100" t="s">
        <v>1751</v>
      </c>
      <c r="B82" s="100">
        <v>4.55</v>
      </c>
      <c r="C82" s="100">
        <v>47.74</v>
      </c>
      <c r="D82" s="100">
        <v>27.55</v>
      </c>
      <c r="E82" s="100">
        <v>12.79</v>
      </c>
      <c r="F82" s="100">
        <v>30.91</v>
      </c>
      <c r="G82" s="100">
        <v>40.22</v>
      </c>
      <c r="H82" s="100">
        <v>11.89</v>
      </c>
      <c r="I82" s="100">
        <v>4.82</v>
      </c>
      <c r="J82" s="100">
        <v>0.72</v>
      </c>
      <c r="K82" s="100">
        <v>268.33999999999997</v>
      </c>
      <c r="L82" s="100">
        <v>37.32</v>
      </c>
      <c r="M82" s="100">
        <v>21.59</v>
      </c>
      <c r="N82" s="100">
        <v>0</v>
      </c>
      <c r="O82" s="100">
        <v>0</v>
      </c>
      <c r="P82" s="100">
        <v>0.6</v>
      </c>
      <c r="Q82" s="100">
        <v>4.43</v>
      </c>
    </row>
    <row r="83" spans="1:17" customFormat="1">
      <c r="A83" s="100" t="s">
        <v>1752</v>
      </c>
      <c r="B83" s="100">
        <v>5.79</v>
      </c>
      <c r="C83" s="100">
        <v>55.31</v>
      </c>
      <c r="D83" s="100">
        <v>32.49</v>
      </c>
      <c r="E83" s="100">
        <v>8.3800000000000008</v>
      </c>
      <c r="F83" s="100">
        <v>20.41</v>
      </c>
      <c r="G83" s="100">
        <v>40.22</v>
      </c>
      <c r="H83" s="100">
        <v>11.89</v>
      </c>
      <c r="I83" s="100">
        <v>5.08</v>
      </c>
      <c r="J83" s="100">
        <v>0.6</v>
      </c>
      <c r="K83" s="100">
        <v>258.44</v>
      </c>
      <c r="L83" s="100">
        <v>37</v>
      </c>
      <c r="M83" s="100">
        <v>22.24</v>
      </c>
      <c r="N83" s="100">
        <v>0</v>
      </c>
      <c r="O83" s="100">
        <v>0</v>
      </c>
      <c r="P83" s="100">
        <v>0.59</v>
      </c>
      <c r="Q83" s="100">
        <v>4.4800000000000004</v>
      </c>
    </row>
    <row r="84" spans="1:17" customFormat="1">
      <c r="A84" s="100" t="s">
        <v>1753</v>
      </c>
      <c r="B84" s="100">
        <v>4.6100000000000003</v>
      </c>
      <c r="C84" s="100">
        <v>51.76</v>
      </c>
      <c r="D84" s="100">
        <v>29.7</v>
      </c>
      <c r="E84" s="100">
        <v>8.0500000000000007</v>
      </c>
      <c r="F84" s="100">
        <v>27.14</v>
      </c>
      <c r="G84" s="100">
        <v>40.22</v>
      </c>
      <c r="H84" s="100">
        <v>11.89</v>
      </c>
      <c r="I84" s="100">
        <v>5.28</v>
      </c>
      <c r="J84" s="100">
        <v>0.75</v>
      </c>
      <c r="K84" s="100">
        <v>256.63</v>
      </c>
      <c r="L84" s="100">
        <v>36.54</v>
      </c>
      <c r="M84" s="100">
        <v>23.62</v>
      </c>
      <c r="N84" s="100">
        <v>0</v>
      </c>
      <c r="O84" s="100">
        <v>0</v>
      </c>
      <c r="P84" s="100">
        <v>0.54</v>
      </c>
      <c r="Q84" s="100">
        <v>4.5199999999999996</v>
      </c>
    </row>
    <row r="85" spans="1:17" customFormat="1">
      <c r="A85" s="100" t="s">
        <v>1754</v>
      </c>
      <c r="B85" s="100">
        <v>4.9800000000000004</v>
      </c>
      <c r="C85" s="100">
        <v>52.7</v>
      </c>
      <c r="D85" s="100">
        <v>30.48</v>
      </c>
      <c r="E85" s="100">
        <v>7.23</v>
      </c>
      <c r="F85" s="100">
        <v>22.82</v>
      </c>
      <c r="G85" s="100">
        <v>47.2</v>
      </c>
      <c r="H85" s="100">
        <v>16.309999999999999</v>
      </c>
      <c r="I85" s="100">
        <v>5.18</v>
      </c>
      <c r="J85" s="100">
        <v>0.78</v>
      </c>
      <c r="K85" s="100">
        <v>269.72000000000003</v>
      </c>
      <c r="L85" s="100">
        <v>36.42</v>
      </c>
      <c r="M85" s="100">
        <v>24.66</v>
      </c>
      <c r="N85" s="100">
        <v>0</v>
      </c>
      <c r="O85" s="100">
        <v>0</v>
      </c>
      <c r="P85" s="100">
        <v>0.6</v>
      </c>
      <c r="Q85" s="100">
        <v>4.54</v>
      </c>
    </row>
    <row r="86" spans="1:17" customFormat="1">
      <c r="A86" s="100" t="s">
        <v>1755</v>
      </c>
      <c r="B86" s="100">
        <v>7.14</v>
      </c>
      <c r="C86" s="100">
        <v>55.12</v>
      </c>
      <c r="D86" s="100">
        <v>33.479999999999997</v>
      </c>
      <c r="E86" s="100">
        <v>7.6</v>
      </c>
      <c r="F86" s="100">
        <v>20.93</v>
      </c>
      <c r="G86" s="100">
        <v>47.52</v>
      </c>
      <c r="H86" s="100">
        <v>16.309999999999999</v>
      </c>
      <c r="I86" s="100">
        <v>5.2</v>
      </c>
      <c r="J86" s="100">
        <v>0.86</v>
      </c>
      <c r="K86" s="100">
        <v>289.08999999999997</v>
      </c>
      <c r="L86" s="100">
        <v>36.299999999999997</v>
      </c>
      <c r="M86" s="100">
        <v>25.3</v>
      </c>
      <c r="N86" s="100">
        <v>0</v>
      </c>
      <c r="O86" s="100">
        <v>0</v>
      </c>
      <c r="P86" s="100">
        <v>0.61</v>
      </c>
      <c r="Q86" s="100">
        <v>4.58</v>
      </c>
    </row>
    <row r="87" spans="1:17" customFormat="1">
      <c r="A87" s="100" t="s">
        <v>1756</v>
      </c>
      <c r="B87" s="100">
        <v>7.3</v>
      </c>
      <c r="C87" s="100">
        <v>55.16</v>
      </c>
      <c r="D87" s="100">
        <v>33.630000000000003</v>
      </c>
      <c r="E87" s="100">
        <v>7.35</v>
      </c>
      <c r="F87" s="100">
        <v>19.53</v>
      </c>
      <c r="G87" s="100">
        <v>47.52</v>
      </c>
      <c r="H87" s="100">
        <v>16.309999999999999</v>
      </c>
      <c r="I87" s="100">
        <v>5.31</v>
      </c>
      <c r="J87" s="100">
        <v>1.02</v>
      </c>
      <c r="K87" s="100">
        <v>292.27999999999997</v>
      </c>
      <c r="L87" s="100">
        <v>36.15</v>
      </c>
      <c r="M87" s="100">
        <v>24.28</v>
      </c>
      <c r="N87" s="100">
        <v>0</v>
      </c>
      <c r="O87" s="100">
        <v>0</v>
      </c>
      <c r="P87" s="100">
        <v>0.61</v>
      </c>
      <c r="Q87" s="100">
        <v>4.6100000000000003</v>
      </c>
    </row>
    <row r="88" spans="1:17" customFormat="1">
      <c r="A88" s="100" t="s">
        <v>1757</v>
      </c>
      <c r="B88" s="100">
        <v>7.26</v>
      </c>
      <c r="C88" s="100">
        <v>53.16</v>
      </c>
      <c r="D88" s="100">
        <v>32.549999999999997</v>
      </c>
      <c r="E88" s="100">
        <v>7.49</v>
      </c>
      <c r="F88" s="100">
        <v>25.79</v>
      </c>
      <c r="G88" s="100">
        <v>47.52</v>
      </c>
      <c r="H88" s="100">
        <v>16.309999999999999</v>
      </c>
      <c r="I88" s="100">
        <v>5.27</v>
      </c>
      <c r="J88" s="100">
        <v>0.52</v>
      </c>
      <c r="K88" s="100">
        <v>267.51</v>
      </c>
      <c r="L88" s="100">
        <v>35.72</v>
      </c>
      <c r="M88" s="100">
        <v>24.51</v>
      </c>
      <c r="N88" s="100">
        <v>0</v>
      </c>
      <c r="O88" s="100">
        <v>0</v>
      </c>
      <c r="P88" s="100">
        <v>0.6</v>
      </c>
      <c r="Q88" s="100">
        <v>4.62</v>
      </c>
    </row>
    <row r="89" spans="1:17" customFormat="1">
      <c r="A89" s="100" t="s">
        <v>1758</v>
      </c>
      <c r="B89" s="100">
        <v>6.28</v>
      </c>
      <c r="C89" s="100">
        <v>51.09</v>
      </c>
      <c r="D89" s="100">
        <v>30.69</v>
      </c>
      <c r="E89" s="100">
        <v>7.48</v>
      </c>
      <c r="F89" s="100">
        <v>23.25</v>
      </c>
      <c r="G89" s="100">
        <v>49.36</v>
      </c>
      <c r="H89" s="100">
        <v>14.94</v>
      </c>
      <c r="I89" s="100">
        <v>5.22</v>
      </c>
      <c r="J89" s="100">
        <v>0.56999999999999995</v>
      </c>
      <c r="K89" s="100">
        <v>259.51</v>
      </c>
      <c r="L89" s="100">
        <v>35.26</v>
      </c>
      <c r="M89" s="100">
        <v>24.73</v>
      </c>
      <c r="N89" s="100">
        <v>0</v>
      </c>
      <c r="O89" s="100">
        <v>0</v>
      </c>
      <c r="P89" s="100">
        <v>0.6</v>
      </c>
      <c r="Q89" s="100">
        <v>4.6399999999999997</v>
      </c>
    </row>
    <row r="90" spans="1:17" customFormat="1">
      <c r="A90" s="100" t="s">
        <v>1759</v>
      </c>
      <c r="B90" s="100">
        <v>8.41</v>
      </c>
      <c r="C90" s="100">
        <v>55.11</v>
      </c>
      <c r="D90" s="100">
        <v>34.5</v>
      </c>
      <c r="E90" s="100">
        <v>7.48</v>
      </c>
      <c r="F90" s="100">
        <v>20.41</v>
      </c>
      <c r="G90" s="100">
        <v>49.42</v>
      </c>
      <c r="H90" s="100">
        <v>14.94</v>
      </c>
      <c r="I90" s="100">
        <v>5.07</v>
      </c>
      <c r="J90" s="100">
        <v>0.53</v>
      </c>
      <c r="K90" s="100">
        <v>265.35000000000002</v>
      </c>
      <c r="L90" s="100">
        <v>35.04</v>
      </c>
      <c r="M90" s="100">
        <v>23.83</v>
      </c>
      <c r="N90" s="100">
        <v>0</v>
      </c>
      <c r="O90" s="100">
        <v>0</v>
      </c>
      <c r="P90" s="100">
        <v>0.62</v>
      </c>
      <c r="Q90" s="100">
        <v>4.68</v>
      </c>
    </row>
    <row r="91" spans="1:17" customFormat="1">
      <c r="A91" s="100" t="s">
        <v>1760</v>
      </c>
      <c r="B91" s="100">
        <v>7.65</v>
      </c>
      <c r="C91" s="100">
        <v>56.29</v>
      </c>
      <c r="D91" s="100">
        <v>34.51</v>
      </c>
      <c r="E91" s="100">
        <v>6.62</v>
      </c>
      <c r="F91" s="100">
        <v>17.84</v>
      </c>
      <c r="G91" s="100">
        <v>49.42</v>
      </c>
      <c r="H91" s="100">
        <v>14.94</v>
      </c>
      <c r="I91" s="100">
        <v>4.8600000000000003</v>
      </c>
      <c r="J91" s="100">
        <v>0.32</v>
      </c>
      <c r="K91" s="100">
        <v>257.33</v>
      </c>
      <c r="L91" s="100">
        <v>34.75</v>
      </c>
      <c r="M91" s="100">
        <v>23.95</v>
      </c>
      <c r="N91" s="100">
        <v>0</v>
      </c>
      <c r="O91" s="100">
        <v>0</v>
      </c>
      <c r="P91" s="100">
        <v>0.65</v>
      </c>
      <c r="Q91" s="100">
        <v>4.7</v>
      </c>
    </row>
    <row r="92" spans="1:17" customFormat="1">
      <c r="A92" s="100" t="s">
        <v>1761</v>
      </c>
      <c r="B92" s="100">
        <v>7.44</v>
      </c>
      <c r="C92" s="100">
        <v>57.83</v>
      </c>
      <c r="D92" s="100">
        <v>35.14</v>
      </c>
      <c r="E92" s="100">
        <v>6.82</v>
      </c>
      <c r="F92" s="100">
        <v>16.239999999999998</v>
      </c>
      <c r="G92" s="100">
        <v>49.42</v>
      </c>
      <c r="H92" s="100">
        <v>14.94</v>
      </c>
      <c r="I92" s="100">
        <v>4.93</v>
      </c>
      <c r="J92" s="100">
        <v>0.28000000000000003</v>
      </c>
      <c r="K92" s="100">
        <v>228.22</v>
      </c>
      <c r="L92" s="100">
        <v>34.340000000000003</v>
      </c>
      <c r="M92" s="100">
        <v>24.53</v>
      </c>
      <c r="N92" s="100">
        <v>0</v>
      </c>
      <c r="O92" s="100">
        <v>0</v>
      </c>
      <c r="P92" s="100">
        <v>0.66</v>
      </c>
      <c r="Q92" s="100">
        <v>4.74</v>
      </c>
    </row>
    <row r="93" spans="1:17" customFormat="1">
      <c r="A93" s="100" t="s">
        <v>1762</v>
      </c>
      <c r="B93" s="100">
        <v>7.18</v>
      </c>
      <c r="C93" s="100">
        <v>56.45</v>
      </c>
      <c r="D93" s="100">
        <v>34.21</v>
      </c>
      <c r="E93" s="100">
        <v>6.24</v>
      </c>
      <c r="F93" s="100">
        <v>16.25</v>
      </c>
      <c r="G93" s="100">
        <v>48.73</v>
      </c>
      <c r="H93" s="100">
        <v>12.49</v>
      </c>
      <c r="I93" s="100">
        <v>5.01</v>
      </c>
      <c r="J93" s="100">
        <v>0.45</v>
      </c>
      <c r="K93" s="100">
        <v>237.21</v>
      </c>
      <c r="L93" s="100">
        <v>34.07</v>
      </c>
      <c r="M93" s="100">
        <v>24.2</v>
      </c>
      <c r="N93" s="100">
        <v>0</v>
      </c>
      <c r="O93" s="100">
        <v>0</v>
      </c>
      <c r="P93" s="100">
        <v>0.64</v>
      </c>
      <c r="Q93" s="100">
        <v>4.79</v>
      </c>
    </row>
    <row r="94" spans="1:17" customFormat="1">
      <c r="A94" s="100" t="s">
        <v>1763</v>
      </c>
      <c r="B94" s="100">
        <v>7.07</v>
      </c>
      <c r="C94" s="100">
        <v>55.3</v>
      </c>
      <c r="D94" s="100">
        <v>33.520000000000003</v>
      </c>
      <c r="E94" s="100">
        <v>6.95</v>
      </c>
      <c r="F94" s="100">
        <v>17.84</v>
      </c>
      <c r="G94" s="100">
        <v>48.71</v>
      </c>
      <c r="H94" s="100">
        <v>12.49</v>
      </c>
      <c r="I94" s="100">
        <v>5.0199999999999996</v>
      </c>
      <c r="J94" s="100">
        <v>0.35</v>
      </c>
      <c r="K94" s="100">
        <v>215.82</v>
      </c>
      <c r="L94" s="100">
        <v>33.869999999999997</v>
      </c>
      <c r="M94" s="100">
        <v>25.37</v>
      </c>
      <c r="N94" s="100">
        <v>0</v>
      </c>
      <c r="O94" s="100">
        <v>0</v>
      </c>
      <c r="P94" s="100">
        <v>0.66</v>
      </c>
      <c r="Q94" s="100">
        <v>4.8499999999999996</v>
      </c>
    </row>
    <row r="95" spans="1:17" customFormat="1">
      <c r="A95" s="100" t="s">
        <v>1764</v>
      </c>
      <c r="B95" s="100">
        <v>7.64</v>
      </c>
      <c r="C95" s="100">
        <v>55.12</v>
      </c>
      <c r="D95" s="100">
        <v>33.880000000000003</v>
      </c>
      <c r="E95" s="100">
        <v>6</v>
      </c>
      <c r="F95" s="100">
        <v>14.57</v>
      </c>
      <c r="G95" s="100">
        <v>48.71</v>
      </c>
      <c r="H95" s="100">
        <v>12.49</v>
      </c>
      <c r="I95" s="100">
        <v>5.12</v>
      </c>
      <c r="J95" s="100">
        <v>0.24</v>
      </c>
      <c r="K95" s="100">
        <v>170.15</v>
      </c>
      <c r="L95" s="100">
        <v>32.32</v>
      </c>
      <c r="M95" s="100">
        <v>32.270000000000003</v>
      </c>
      <c r="N95" s="100">
        <v>0</v>
      </c>
      <c r="O95" s="100">
        <v>0</v>
      </c>
      <c r="P95" s="100">
        <v>0.67</v>
      </c>
      <c r="Q95" s="100">
        <v>4.8499999999999996</v>
      </c>
    </row>
    <row r="96" spans="1:17" customFormat="1">
      <c r="A96" s="100" t="s">
        <v>1765</v>
      </c>
      <c r="B96" s="100">
        <v>8.0299999999999994</v>
      </c>
      <c r="C96" s="100">
        <v>52.38</v>
      </c>
      <c r="D96" s="100">
        <v>32.76</v>
      </c>
      <c r="E96" s="100">
        <v>5.48</v>
      </c>
      <c r="F96" s="100">
        <v>14.63</v>
      </c>
      <c r="G96" s="100">
        <v>48.71</v>
      </c>
      <c r="H96" s="100">
        <v>12.49</v>
      </c>
      <c r="I96" s="100">
        <v>5.27</v>
      </c>
      <c r="J96" s="100">
        <v>0.16</v>
      </c>
      <c r="K96" s="100">
        <v>175.78</v>
      </c>
      <c r="L96" s="100">
        <v>31.18</v>
      </c>
      <c r="M96" s="100">
        <v>35.71</v>
      </c>
      <c r="N96" s="100">
        <v>0</v>
      </c>
      <c r="O96" s="100">
        <v>0</v>
      </c>
      <c r="P96" s="100">
        <v>0.68</v>
      </c>
      <c r="Q96" s="100">
        <v>4.83</v>
      </c>
    </row>
    <row r="97" spans="1:22" customFormat="1">
      <c r="A97" s="100" t="s">
        <v>1766</v>
      </c>
      <c r="B97" s="100">
        <v>8.24</v>
      </c>
      <c r="C97" s="100">
        <v>51.03</v>
      </c>
      <c r="D97" s="100">
        <v>32.229999999999997</v>
      </c>
      <c r="E97" s="100">
        <v>5.28</v>
      </c>
      <c r="F97" s="100">
        <v>15.1</v>
      </c>
      <c r="G97" s="100">
        <v>49.18</v>
      </c>
      <c r="H97" s="100">
        <v>16.5</v>
      </c>
      <c r="I97" s="100">
        <v>5.51</v>
      </c>
      <c r="J97" s="100">
        <v>0.13</v>
      </c>
      <c r="K97" s="100">
        <v>175.88</v>
      </c>
      <c r="L97" s="100">
        <v>30.84</v>
      </c>
      <c r="M97" s="100">
        <v>37.19</v>
      </c>
      <c r="N97" s="100">
        <v>0</v>
      </c>
      <c r="O97" s="100">
        <v>0</v>
      </c>
      <c r="P97" s="100">
        <v>0.68</v>
      </c>
      <c r="Q97" s="100">
        <v>4.84</v>
      </c>
    </row>
    <row r="98" spans="1:22" customFormat="1">
      <c r="A98" s="100" t="s">
        <v>1767</v>
      </c>
      <c r="B98" s="100">
        <v>8.24</v>
      </c>
      <c r="C98" s="100">
        <v>50.58</v>
      </c>
      <c r="D98" s="100">
        <v>31.99</v>
      </c>
      <c r="E98" s="100">
        <v>5.49</v>
      </c>
      <c r="F98" s="100">
        <v>13.56</v>
      </c>
      <c r="G98" s="100">
        <v>49.2</v>
      </c>
      <c r="H98" s="100">
        <v>16.5</v>
      </c>
      <c r="I98" s="100">
        <v>5.61</v>
      </c>
      <c r="J98" s="100">
        <v>0.16</v>
      </c>
      <c r="K98" s="100">
        <v>187.76</v>
      </c>
      <c r="L98" s="100">
        <v>30.34</v>
      </c>
      <c r="M98" s="100">
        <v>39.1</v>
      </c>
      <c r="N98" s="100">
        <v>0</v>
      </c>
      <c r="O98" s="100">
        <v>0</v>
      </c>
      <c r="P98" s="100">
        <v>0.68</v>
      </c>
      <c r="Q98" s="100">
        <v>4.84</v>
      </c>
    </row>
    <row r="99" spans="1:22" customFormat="1">
      <c r="A99" s="100" t="s">
        <v>1768</v>
      </c>
      <c r="B99" s="100">
        <v>8.4499999999999993</v>
      </c>
      <c r="C99" s="100">
        <v>48.62</v>
      </c>
      <c r="D99" s="100">
        <v>31.13</v>
      </c>
      <c r="E99" s="100">
        <v>5.92</v>
      </c>
      <c r="F99" s="100">
        <v>13.06</v>
      </c>
      <c r="G99" s="100">
        <v>49.2</v>
      </c>
      <c r="H99" s="100">
        <v>16.5</v>
      </c>
      <c r="I99" s="100">
        <v>5.64</v>
      </c>
      <c r="J99" s="100">
        <v>0.2</v>
      </c>
      <c r="K99" s="100">
        <v>178.75</v>
      </c>
      <c r="L99" s="100">
        <v>30.3</v>
      </c>
      <c r="M99" s="100">
        <v>38.770000000000003</v>
      </c>
      <c r="N99" s="100">
        <v>0</v>
      </c>
      <c r="O99" s="100">
        <v>0</v>
      </c>
      <c r="P99" s="100">
        <v>0.66</v>
      </c>
      <c r="Q99" s="100">
        <v>4.84</v>
      </c>
    </row>
    <row r="100" spans="1:22" customFormat="1">
      <c r="A100" s="100" t="s">
        <v>1769</v>
      </c>
      <c r="B100" s="100">
        <v>8.9499999999999993</v>
      </c>
      <c r="C100" s="100">
        <v>51.77</v>
      </c>
      <c r="D100" s="100">
        <v>33.17</v>
      </c>
      <c r="E100" s="100">
        <v>8.31</v>
      </c>
      <c r="F100" s="100">
        <v>11.27</v>
      </c>
      <c r="G100" s="100">
        <v>49.2</v>
      </c>
      <c r="H100" s="100">
        <v>16.5</v>
      </c>
      <c r="I100" s="100">
        <v>5.71</v>
      </c>
      <c r="J100" s="100">
        <v>0.18</v>
      </c>
      <c r="K100" s="100">
        <v>161.18</v>
      </c>
      <c r="L100" s="100">
        <v>30.27</v>
      </c>
      <c r="M100" s="100">
        <v>38.65</v>
      </c>
      <c r="N100" s="100">
        <v>0</v>
      </c>
      <c r="O100" s="100">
        <v>0</v>
      </c>
      <c r="P100" s="100">
        <v>0.67</v>
      </c>
      <c r="Q100" s="100">
        <v>4.83</v>
      </c>
    </row>
    <row r="101" spans="1:22" customFormat="1">
      <c r="A101" s="100" t="s">
        <v>1770</v>
      </c>
      <c r="B101" s="100">
        <v>8.93</v>
      </c>
      <c r="C101" s="100">
        <v>50.03</v>
      </c>
      <c r="D101" s="100">
        <v>32.26</v>
      </c>
      <c r="E101" s="100">
        <v>9.94</v>
      </c>
      <c r="F101" s="100">
        <v>12.03</v>
      </c>
      <c r="G101" s="100">
        <v>53.41</v>
      </c>
      <c r="H101" s="100">
        <v>14.55</v>
      </c>
      <c r="I101" s="100">
        <v>5.93</v>
      </c>
      <c r="J101" s="100">
        <v>0.16</v>
      </c>
      <c r="K101" s="100">
        <v>166.96</v>
      </c>
      <c r="L101" s="100">
        <v>30.16</v>
      </c>
      <c r="M101" s="100">
        <v>39.18</v>
      </c>
      <c r="N101" s="100">
        <v>0</v>
      </c>
      <c r="O101" s="100">
        <v>0</v>
      </c>
      <c r="P101" s="100">
        <v>0.71</v>
      </c>
      <c r="Q101" s="100">
        <v>4.83</v>
      </c>
    </row>
    <row r="102" spans="1:22" customFormat="1">
      <c r="A102" s="100" t="s">
        <v>1771</v>
      </c>
      <c r="B102" s="100">
        <v>9.6</v>
      </c>
      <c r="C102" s="100">
        <v>51</v>
      </c>
      <c r="D102" s="100">
        <v>33.299999999999997</v>
      </c>
      <c r="E102" s="100">
        <v>9.24</v>
      </c>
      <c r="F102" s="100">
        <v>10.97</v>
      </c>
      <c r="G102" s="100">
        <v>53.56</v>
      </c>
      <c r="H102" s="100">
        <v>14.55</v>
      </c>
      <c r="I102" s="100">
        <v>6.68</v>
      </c>
      <c r="J102" s="100">
        <v>0.22</v>
      </c>
      <c r="K102" s="100">
        <v>169.99</v>
      </c>
      <c r="L102" s="100">
        <v>30.09</v>
      </c>
      <c r="M102" s="100">
        <v>40.08</v>
      </c>
      <c r="N102" s="100">
        <v>0</v>
      </c>
      <c r="O102" s="100">
        <v>0</v>
      </c>
      <c r="P102" s="100">
        <v>0.74</v>
      </c>
      <c r="Q102" s="100">
        <v>4.83</v>
      </c>
    </row>
    <row r="103" spans="1:22" customFormat="1">
      <c r="A103" s="100" t="s">
        <v>1772</v>
      </c>
      <c r="B103" s="100">
        <v>9.73</v>
      </c>
      <c r="C103" s="100">
        <v>50.91</v>
      </c>
      <c r="D103" s="100">
        <v>33.36</v>
      </c>
      <c r="E103" s="100">
        <v>8.64</v>
      </c>
      <c r="F103" s="100">
        <v>10.4</v>
      </c>
      <c r="G103" s="100">
        <v>53.56</v>
      </c>
      <c r="H103" s="100">
        <v>14.55</v>
      </c>
      <c r="I103" s="100">
        <v>7.53</v>
      </c>
      <c r="J103" s="100">
        <v>0.21</v>
      </c>
      <c r="K103" s="100">
        <v>170.96</v>
      </c>
      <c r="L103" s="100">
        <v>29.93</v>
      </c>
      <c r="M103" s="100">
        <v>40.22</v>
      </c>
      <c r="N103" s="100">
        <v>0</v>
      </c>
      <c r="O103" s="100">
        <v>0</v>
      </c>
      <c r="P103" s="100">
        <v>0.75</v>
      </c>
      <c r="Q103" s="100">
        <v>4.8499999999999996</v>
      </c>
    </row>
    <row r="104" spans="1:22" customFormat="1">
      <c r="A104" s="100" t="s">
        <v>1773</v>
      </c>
      <c r="B104" s="100">
        <v>13.84</v>
      </c>
      <c r="C104" s="100">
        <v>53.07</v>
      </c>
      <c r="D104" s="100">
        <v>37.78</v>
      </c>
      <c r="E104" s="100">
        <v>8.67</v>
      </c>
      <c r="F104" s="100">
        <v>8.89</v>
      </c>
      <c r="G104" s="100">
        <v>53.56</v>
      </c>
      <c r="H104" s="100">
        <v>14.55</v>
      </c>
      <c r="I104" s="100">
        <v>7.93</v>
      </c>
      <c r="J104" s="100">
        <v>0.12</v>
      </c>
      <c r="K104" s="100">
        <v>303.48</v>
      </c>
      <c r="L104" s="100">
        <v>29.45</v>
      </c>
      <c r="M104" s="100">
        <v>41.72</v>
      </c>
      <c r="N104" s="100">
        <v>0</v>
      </c>
      <c r="O104" s="100">
        <v>0</v>
      </c>
      <c r="P104" s="100">
        <v>0.77</v>
      </c>
      <c r="Q104" s="100">
        <v>4.8899999999999997</v>
      </c>
    </row>
    <row r="106" spans="1:22">
      <c r="A106" s="157" t="s">
        <v>48</v>
      </c>
      <c r="B106" s="158">
        <f>MIN(B9:B104)</f>
        <v>3.29</v>
      </c>
      <c r="C106" s="158">
        <f>MIN(C9:C104)</f>
        <v>42.25</v>
      </c>
      <c r="D106" s="158">
        <f t="shared" ref="D106:Q106" si="0">MIN(D9:D104)</f>
        <v>23.67</v>
      </c>
      <c r="E106" s="158">
        <f t="shared" si="0"/>
        <v>5.28</v>
      </c>
      <c r="F106" s="158">
        <f t="shared" si="0"/>
        <v>3.81</v>
      </c>
      <c r="G106" s="158">
        <f t="shared" si="0"/>
        <v>40.22</v>
      </c>
      <c r="H106" s="158">
        <f t="shared" si="0"/>
        <v>11.89</v>
      </c>
      <c r="I106" s="158">
        <f t="shared" si="0"/>
        <v>4.82</v>
      </c>
      <c r="J106" s="158">
        <f t="shared" si="0"/>
        <v>0.05</v>
      </c>
      <c r="K106" s="158">
        <f t="shared" si="0"/>
        <v>49.39</v>
      </c>
      <c r="L106" s="158">
        <f t="shared" si="0"/>
        <v>26.07</v>
      </c>
      <c r="M106" s="158">
        <f t="shared" si="0"/>
        <v>16.62</v>
      </c>
      <c r="N106" s="158">
        <f t="shared" si="0"/>
        <v>0</v>
      </c>
      <c r="O106" s="158">
        <f t="shared" si="0"/>
        <v>0</v>
      </c>
      <c r="P106" s="158">
        <f t="shared" si="0"/>
        <v>0.47</v>
      </c>
      <c r="Q106" s="158">
        <f t="shared" si="0"/>
        <v>4.41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29.47</v>
      </c>
      <c r="C107" s="157">
        <f t="shared" ref="C107:Q107" si="1">MAX(C9:C104)</f>
        <v>65.819999999999993</v>
      </c>
      <c r="D107" s="157">
        <f t="shared" si="1"/>
        <v>54.61</v>
      </c>
      <c r="E107" s="157">
        <f t="shared" si="1"/>
        <v>35.92</v>
      </c>
      <c r="F107" s="157">
        <f t="shared" si="1"/>
        <v>48.98</v>
      </c>
      <c r="G107" s="157">
        <f t="shared" si="1"/>
        <v>88.15</v>
      </c>
      <c r="H107" s="157">
        <f t="shared" si="1"/>
        <v>27.03</v>
      </c>
      <c r="I107" s="157">
        <f t="shared" si="1"/>
        <v>10.23</v>
      </c>
      <c r="J107" s="157">
        <f t="shared" si="1"/>
        <v>1.27</v>
      </c>
      <c r="K107" s="157">
        <f t="shared" si="1"/>
        <v>359.44</v>
      </c>
      <c r="L107" s="157">
        <f t="shared" si="1"/>
        <v>41.91</v>
      </c>
      <c r="M107" s="157">
        <f t="shared" si="1"/>
        <v>61.4</v>
      </c>
      <c r="N107" s="157">
        <f t="shared" si="1"/>
        <v>831.5</v>
      </c>
      <c r="O107" s="157">
        <f t="shared" si="1"/>
        <v>0</v>
      </c>
      <c r="P107" s="157">
        <f t="shared" si="1"/>
        <v>0.97</v>
      </c>
      <c r="Q107" s="157">
        <f t="shared" si="1"/>
        <v>5.71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11.717187500000001</v>
      </c>
      <c r="C108" s="158">
        <f t="shared" ref="C108:Q108" si="2">AVERAGE(C9:C104)</f>
        <v>53.871770833333308</v>
      </c>
      <c r="D108" s="158">
        <f t="shared" si="2"/>
        <v>36.498229166666682</v>
      </c>
      <c r="E108" s="158">
        <f t="shared" si="2"/>
        <v>10.616354166666669</v>
      </c>
      <c r="F108" s="158">
        <f t="shared" si="2"/>
        <v>19.405104166666675</v>
      </c>
      <c r="G108" s="158">
        <f t="shared" si="2"/>
        <v>62.379375000000039</v>
      </c>
      <c r="H108" s="158">
        <f t="shared" si="2"/>
        <v>18.997916666666658</v>
      </c>
      <c r="I108" s="158">
        <f t="shared" si="2"/>
        <v>7.3624999999999963</v>
      </c>
      <c r="J108" s="158">
        <f t="shared" si="2"/>
        <v>0.49322916666666661</v>
      </c>
      <c r="K108" s="158">
        <f t="shared" si="2"/>
        <v>223.76302083333326</v>
      </c>
      <c r="L108" s="158">
        <f t="shared" si="2"/>
        <v>34.120312499999997</v>
      </c>
      <c r="M108" s="158">
        <f t="shared" si="2"/>
        <v>34.375416666666666</v>
      </c>
      <c r="N108" s="158">
        <f t="shared" si="2"/>
        <v>196.0604166666667</v>
      </c>
      <c r="O108" s="158">
        <f t="shared" si="2"/>
        <v>0</v>
      </c>
      <c r="P108" s="158">
        <f t="shared" si="2"/>
        <v>0.74104166666666682</v>
      </c>
      <c r="Q108" s="158">
        <f t="shared" si="2"/>
        <v>4.986666666666669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7.7311481687120018</v>
      </c>
      <c r="C109" s="158">
        <f t="shared" ref="C109:Q109" si="3">STDEV(C9:C104)</f>
        <v>5.2488037724482197</v>
      </c>
      <c r="D109" s="158">
        <f t="shared" si="3"/>
        <v>8.4462213282553549</v>
      </c>
      <c r="E109" s="158">
        <f t="shared" si="3"/>
        <v>5.9481774510378314</v>
      </c>
      <c r="F109" s="158">
        <f t="shared" si="3"/>
        <v>12.014519110755902</v>
      </c>
      <c r="G109" s="158">
        <f t="shared" si="3"/>
        <v>13.58578241456061</v>
      </c>
      <c r="H109" s="158">
        <f t="shared" si="3"/>
        <v>4.2360378500040516</v>
      </c>
      <c r="I109" s="158">
        <f t="shared" si="3"/>
        <v>1.6975958232003903</v>
      </c>
      <c r="J109" s="158">
        <f t="shared" si="3"/>
        <v>0.34796701232540239</v>
      </c>
      <c r="K109" s="158">
        <f t="shared" si="3"/>
        <v>57.662109316071188</v>
      </c>
      <c r="L109" s="158">
        <f t="shared" si="3"/>
        <v>5.5018711559891598</v>
      </c>
      <c r="M109" s="158">
        <f t="shared" si="3"/>
        <v>15.315953905489815</v>
      </c>
      <c r="N109" s="158">
        <f t="shared" si="3"/>
        <v>281.83283155619478</v>
      </c>
      <c r="O109" s="158">
        <f t="shared" si="3"/>
        <v>0</v>
      </c>
      <c r="P109" s="158">
        <f t="shared" si="3"/>
        <v>0.16671740455770165</v>
      </c>
      <c r="Q109" s="158">
        <f t="shared" si="3"/>
        <v>0.43478407627517385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17/05/2023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1774</v>
      </c>
      <c r="B9" s="100">
        <v>16.440000000000001</v>
      </c>
      <c r="C9" s="100">
        <v>56.07</v>
      </c>
      <c r="D9" s="100">
        <v>41.43</v>
      </c>
      <c r="E9" s="100">
        <v>10.31</v>
      </c>
      <c r="F9" s="100">
        <v>6.45</v>
      </c>
      <c r="G9" s="100">
        <v>53.91</v>
      </c>
      <c r="H9" s="100">
        <v>12.47</v>
      </c>
      <c r="I9" s="100">
        <v>8.0399999999999991</v>
      </c>
      <c r="J9" s="100">
        <v>0.71</v>
      </c>
      <c r="K9" s="100">
        <v>281.73</v>
      </c>
      <c r="L9" s="100">
        <v>31.05</v>
      </c>
      <c r="M9" s="100">
        <v>32.72</v>
      </c>
      <c r="N9" s="100">
        <v>0</v>
      </c>
      <c r="O9" s="100">
        <v>0</v>
      </c>
      <c r="P9" s="100">
        <v>0.85</v>
      </c>
      <c r="Q9" s="100">
        <v>4.9000000000000004</v>
      </c>
    </row>
    <row r="10" spans="1:21" customFormat="1">
      <c r="A10" s="100" t="s">
        <v>1775</v>
      </c>
      <c r="B10" s="100">
        <v>14.01</v>
      </c>
      <c r="C10" s="100">
        <v>55</v>
      </c>
      <c r="D10" s="100">
        <v>38.92</v>
      </c>
      <c r="E10" s="100">
        <v>8.89</v>
      </c>
      <c r="F10" s="100">
        <v>10.91</v>
      </c>
      <c r="G10" s="100">
        <v>53.92</v>
      </c>
      <c r="H10" s="100">
        <v>12.47</v>
      </c>
      <c r="I10" s="100">
        <v>8.44</v>
      </c>
      <c r="J10" s="100">
        <v>1.01</v>
      </c>
      <c r="K10" s="100">
        <v>293.10000000000002</v>
      </c>
      <c r="L10" s="100">
        <v>32.590000000000003</v>
      </c>
      <c r="M10" s="100">
        <v>27.85</v>
      </c>
      <c r="N10" s="100">
        <v>0</v>
      </c>
      <c r="O10" s="100">
        <v>0</v>
      </c>
      <c r="P10" s="100">
        <v>0.74</v>
      </c>
      <c r="Q10" s="100">
        <v>4.99</v>
      </c>
    </row>
    <row r="11" spans="1:21" customFormat="1">
      <c r="A11" s="100" t="s">
        <v>1776</v>
      </c>
      <c r="B11" s="100">
        <v>13.32</v>
      </c>
      <c r="C11" s="100">
        <v>55.42</v>
      </c>
      <c r="D11" s="100">
        <v>38.6</v>
      </c>
      <c r="E11" s="100">
        <v>10.86</v>
      </c>
      <c r="F11" s="100">
        <v>12.36</v>
      </c>
      <c r="G11" s="100">
        <v>53.92</v>
      </c>
      <c r="H11" s="100">
        <v>12.47</v>
      </c>
      <c r="I11" s="100">
        <v>8.65</v>
      </c>
      <c r="J11" s="100">
        <v>1.02</v>
      </c>
      <c r="K11" s="100">
        <v>291.45</v>
      </c>
      <c r="L11" s="100">
        <v>32.53</v>
      </c>
      <c r="M11" s="100">
        <v>28.49</v>
      </c>
      <c r="N11" s="100">
        <v>0</v>
      </c>
      <c r="O11" s="100">
        <v>0</v>
      </c>
      <c r="P11" s="100">
        <v>0.71</v>
      </c>
      <c r="Q11" s="100">
        <v>5.0199999999999996</v>
      </c>
    </row>
    <row r="12" spans="1:21" customFormat="1">
      <c r="A12" s="100" t="s">
        <v>1777</v>
      </c>
      <c r="B12" s="100">
        <v>14.65</v>
      </c>
      <c r="C12" s="100">
        <v>54.01</v>
      </c>
      <c r="D12" s="100">
        <v>38.92</v>
      </c>
      <c r="E12" s="100">
        <v>14.66</v>
      </c>
      <c r="F12" s="100">
        <v>12.15</v>
      </c>
      <c r="G12" s="100">
        <v>53.92</v>
      </c>
      <c r="H12" s="100">
        <v>12.47</v>
      </c>
      <c r="I12" s="100">
        <v>8</v>
      </c>
      <c r="J12" s="100">
        <v>0.75</v>
      </c>
      <c r="K12" s="100">
        <v>298.58</v>
      </c>
      <c r="L12" s="100">
        <v>32.26</v>
      </c>
      <c r="M12" s="100">
        <v>29.6</v>
      </c>
      <c r="N12" s="100">
        <v>0</v>
      </c>
      <c r="O12" s="100">
        <v>0</v>
      </c>
      <c r="P12" s="100">
        <v>0.67</v>
      </c>
      <c r="Q12" s="100">
        <v>5.01</v>
      </c>
    </row>
    <row r="13" spans="1:21" customFormat="1">
      <c r="A13" s="100" t="s">
        <v>1778</v>
      </c>
      <c r="B13" s="100">
        <v>11.95</v>
      </c>
      <c r="C13" s="100">
        <v>50.18</v>
      </c>
      <c r="D13" s="100">
        <v>34.76</v>
      </c>
      <c r="E13" s="100">
        <v>26.49</v>
      </c>
      <c r="F13" s="100">
        <v>13.92</v>
      </c>
      <c r="G13" s="100">
        <v>55.95</v>
      </c>
      <c r="H13" s="100">
        <v>15.64</v>
      </c>
      <c r="I13" s="100">
        <v>7.57</v>
      </c>
      <c r="J13" s="100">
        <v>0.12</v>
      </c>
      <c r="K13" s="100">
        <v>22.84</v>
      </c>
      <c r="L13" s="100">
        <v>31.77</v>
      </c>
      <c r="M13" s="100">
        <v>31.24</v>
      </c>
      <c r="N13" s="100">
        <v>0</v>
      </c>
      <c r="O13" s="100">
        <v>0</v>
      </c>
      <c r="P13" s="100">
        <v>0.64</v>
      </c>
      <c r="Q13" s="100">
        <v>5</v>
      </c>
    </row>
    <row r="14" spans="1:21" customFormat="1">
      <c r="A14" s="100" t="s">
        <v>1779</v>
      </c>
      <c r="B14" s="100">
        <v>15.18</v>
      </c>
      <c r="C14" s="100">
        <v>56.01</v>
      </c>
      <c r="D14" s="100">
        <v>40.39</v>
      </c>
      <c r="E14" s="100">
        <v>30.99</v>
      </c>
      <c r="F14" s="100">
        <v>8.24</v>
      </c>
      <c r="G14" s="100">
        <v>56.02</v>
      </c>
      <c r="H14" s="100">
        <v>15.64</v>
      </c>
      <c r="I14" s="100">
        <v>7.06</v>
      </c>
      <c r="J14" s="100">
        <v>0.11</v>
      </c>
      <c r="K14" s="100">
        <v>207.17</v>
      </c>
      <c r="L14" s="100">
        <v>31.11</v>
      </c>
      <c r="M14" s="100">
        <v>33.96</v>
      </c>
      <c r="N14" s="100">
        <v>0</v>
      </c>
      <c r="O14" s="100">
        <v>0</v>
      </c>
      <c r="P14" s="100">
        <v>0.64</v>
      </c>
      <c r="Q14" s="100">
        <v>5.03</v>
      </c>
    </row>
    <row r="15" spans="1:21" customFormat="1">
      <c r="A15" s="100" t="s">
        <v>1780</v>
      </c>
      <c r="B15" s="100">
        <v>16.010000000000002</v>
      </c>
      <c r="C15" s="100">
        <v>57.42</v>
      </c>
      <c r="D15" s="100">
        <v>41.79</v>
      </c>
      <c r="E15" s="100">
        <v>38.979999999999997</v>
      </c>
      <c r="F15" s="100">
        <v>7.79</v>
      </c>
      <c r="G15" s="100">
        <v>56.02</v>
      </c>
      <c r="H15" s="100">
        <v>15.64</v>
      </c>
      <c r="I15" s="100">
        <v>6.62</v>
      </c>
      <c r="J15" s="100">
        <v>0.32</v>
      </c>
      <c r="K15" s="100">
        <v>242.29</v>
      </c>
      <c r="L15" s="100">
        <v>31</v>
      </c>
      <c r="M15" s="100">
        <v>33.6</v>
      </c>
      <c r="N15" s="100">
        <v>0</v>
      </c>
      <c r="O15" s="100">
        <v>0</v>
      </c>
      <c r="P15" s="100">
        <v>0.64</v>
      </c>
      <c r="Q15" s="100">
        <v>5.0999999999999996</v>
      </c>
    </row>
    <row r="16" spans="1:21" customFormat="1">
      <c r="A16" s="100" t="s">
        <v>1781</v>
      </c>
      <c r="B16" s="100">
        <v>13.91</v>
      </c>
      <c r="C16" s="100">
        <v>57.25</v>
      </c>
      <c r="D16" s="100">
        <v>40.03</v>
      </c>
      <c r="E16" s="100">
        <v>22.35</v>
      </c>
      <c r="F16" s="100">
        <v>7.7</v>
      </c>
      <c r="G16" s="100">
        <v>56.02</v>
      </c>
      <c r="H16" s="100">
        <v>15.64</v>
      </c>
      <c r="I16" s="100">
        <v>6.47</v>
      </c>
      <c r="J16" s="100">
        <v>0.3</v>
      </c>
      <c r="K16" s="100">
        <v>176.39</v>
      </c>
      <c r="L16" s="100">
        <v>30.35</v>
      </c>
      <c r="M16" s="100">
        <v>37.92</v>
      </c>
      <c r="N16" s="100">
        <v>0</v>
      </c>
      <c r="O16" s="100">
        <v>0</v>
      </c>
      <c r="P16" s="100">
        <v>0.66</v>
      </c>
      <c r="Q16" s="100">
        <v>5.12</v>
      </c>
    </row>
    <row r="17" spans="1:17" customFormat="1">
      <c r="A17" s="100" t="s">
        <v>1782</v>
      </c>
      <c r="B17" s="100">
        <v>14.81</v>
      </c>
      <c r="C17" s="100">
        <v>57.47</v>
      </c>
      <c r="D17" s="100">
        <v>40.85</v>
      </c>
      <c r="E17" s="100">
        <v>9.26</v>
      </c>
      <c r="F17" s="100">
        <v>8.17</v>
      </c>
      <c r="G17" s="100">
        <v>58.2</v>
      </c>
      <c r="H17" s="100">
        <v>15.47</v>
      </c>
      <c r="I17" s="100">
        <v>6.38</v>
      </c>
      <c r="J17" s="100">
        <v>0.2</v>
      </c>
      <c r="K17" s="100">
        <v>166.17</v>
      </c>
      <c r="L17" s="100">
        <v>29.21</v>
      </c>
      <c r="M17" s="100">
        <v>42.46</v>
      </c>
      <c r="N17" s="100">
        <v>0</v>
      </c>
      <c r="O17" s="100">
        <v>0</v>
      </c>
      <c r="P17" s="100">
        <v>0.66</v>
      </c>
      <c r="Q17" s="100">
        <v>5.15</v>
      </c>
    </row>
    <row r="18" spans="1:17" customFormat="1">
      <c r="A18" s="100" t="s">
        <v>1783</v>
      </c>
      <c r="B18" s="100">
        <v>13.82</v>
      </c>
      <c r="C18" s="100">
        <v>54.45</v>
      </c>
      <c r="D18" s="100">
        <v>38.49</v>
      </c>
      <c r="E18" s="100">
        <v>13.97</v>
      </c>
      <c r="F18" s="100">
        <v>9.09</v>
      </c>
      <c r="G18" s="100">
        <v>58.3</v>
      </c>
      <c r="H18" s="100">
        <v>15.47</v>
      </c>
      <c r="I18" s="100">
        <v>6.67</v>
      </c>
      <c r="J18" s="100">
        <v>0.15</v>
      </c>
      <c r="K18" s="100">
        <v>154.88999999999999</v>
      </c>
      <c r="L18" s="100">
        <v>28.95</v>
      </c>
      <c r="M18" s="100">
        <v>43.81</v>
      </c>
      <c r="N18" s="100">
        <v>0</v>
      </c>
      <c r="O18" s="100">
        <v>0</v>
      </c>
      <c r="P18" s="100">
        <v>0.63</v>
      </c>
      <c r="Q18" s="100">
        <v>5.13</v>
      </c>
    </row>
    <row r="19" spans="1:17" customFormat="1">
      <c r="A19" s="100" t="s">
        <v>1784</v>
      </c>
      <c r="B19" s="100">
        <v>14.57</v>
      </c>
      <c r="C19" s="100">
        <v>54.96</v>
      </c>
      <c r="D19" s="100">
        <v>39.35</v>
      </c>
      <c r="E19" s="100">
        <v>9.92</v>
      </c>
      <c r="F19" s="100">
        <v>8.56</v>
      </c>
      <c r="G19" s="100">
        <v>58.3</v>
      </c>
      <c r="H19" s="100">
        <v>15.47</v>
      </c>
      <c r="I19" s="100">
        <v>6.85</v>
      </c>
      <c r="J19" s="100">
        <v>0.21</v>
      </c>
      <c r="K19" s="100">
        <v>175.78</v>
      </c>
      <c r="L19" s="100">
        <v>28.53</v>
      </c>
      <c r="M19" s="100">
        <v>48.11</v>
      </c>
      <c r="N19" s="100">
        <v>0</v>
      </c>
      <c r="O19" s="100">
        <v>0</v>
      </c>
      <c r="P19" s="100">
        <v>0.65</v>
      </c>
      <c r="Q19" s="100">
        <v>5.12</v>
      </c>
    </row>
    <row r="20" spans="1:17" customFormat="1">
      <c r="A20" s="100" t="s">
        <v>1785</v>
      </c>
      <c r="B20" s="100">
        <v>14.43</v>
      </c>
      <c r="C20" s="100">
        <v>53.54</v>
      </c>
      <c r="D20" s="100">
        <v>38.5</v>
      </c>
      <c r="E20" s="100">
        <v>8.91</v>
      </c>
      <c r="F20" s="100">
        <v>8.11</v>
      </c>
      <c r="G20" s="100">
        <v>58.3</v>
      </c>
      <c r="H20" s="100">
        <v>15.47</v>
      </c>
      <c r="I20" s="100">
        <v>6.62</v>
      </c>
      <c r="J20" s="100">
        <v>0.15</v>
      </c>
      <c r="K20" s="100">
        <v>166.83</v>
      </c>
      <c r="L20" s="100">
        <v>27.88</v>
      </c>
      <c r="M20" s="100">
        <v>48.6</v>
      </c>
      <c r="N20" s="100">
        <v>0</v>
      </c>
      <c r="O20" s="100">
        <v>0</v>
      </c>
      <c r="P20" s="100">
        <v>0.64</v>
      </c>
      <c r="Q20" s="100">
        <v>5.13</v>
      </c>
    </row>
    <row r="21" spans="1:17" customFormat="1">
      <c r="A21" s="100" t="s">
        <v>1786</v>
      </c>
      <c r="B21" s="100">
        <v>14.32</v>
      </c>
      <c r="C21" s="100">
        <v>53.54</v>
      </c>
      <c r="D21" s="100">
        <v>38.409999999999997</v>
      </c>
      <c r="E21" s="100">
        <v>8.56</v>
      </c>
      <c r="F21" s="100">
        <v>7.29</v>
      </c>
      <c r="G21" s="100">
        <v>54.16</v>
      </c>
      <c r="H21" s="100">
        <v>16.239999999999998</v>
      </c>
      <c r="I21" s="100">
        <v>6.69</v>
      </c>
      <c r="J21" s="100">
        <v>0.12</v>
      </c>
      <c r="K21" s="100">
        <v>148.1</v>
      </c>
      <c r="L21" s="100">
        <v>27.99</v>
      </c>
      <c r="M21" s="100">
        <v>49.1</v>
      </c>
      <c r="N21" s="100">
        <v>0</v>
      </c>
      <c r="O21" s="100">
        <v>0</v>
      </c>
      <c r="P21" s="100">
        <v>0.64</v>
      </c>
      <c r="Q21" s="100">
        <v>5.13</v>
      </c>
    </row>
    <row r="22" spans="1:17" customFormat="1">
      <c r="A22" s="100" t="s">
        <v>1787</v>
      </c>
      <c r="B22" s="100">
        <v>14.81</v>
      </c>
      <c r="C22" s="100">
        <v>53.31</v>
      </c>
      <c r="D22" s="100">
        <v>38.69</v>
      </c>
      <c r="E22" s="100">
        <v>7.95</v>
      </c>
      <c r="F22" s="100">
        <v>6.92</v>
      </c>
      <c r="G22" s="100">
        <v>53.97</v>
      </c>
      <c r="H22" s="100">
        <v>16.239999999999998</v>
      </c>
      <c r="I22" s="100">
        <v>6.72</v>
      </c>
      <c r="J22" s="100">
        <v>0.17</v>
      </c>
      <c r="K22" s="100">
        <v>168.48</v>
      </c>
      <c r="L22" s="100">
        <v>28.03</v>
      </c>
      <c r="M22" s="100">
        <v>49.22</v>
      </c>
      <c r="N22" s="100">
        <v>0</v>
      </c>
      <c r="O22" s="100">
        <v>0</v>
      </c>
      <c r="P22" s="100">
        <v>0.64</v>
      </c>
      <c r="Q22" s="100">
        <v>5.14</v>
      </c>
    </row>
    <row r="23" spans="1:17" customFormat="1">
      <c r="A23" s="100" t="s">
        <v>1788</v>
      </c>
      <c r="B23" s="100">
        <v>15.01</v>
      </c>
      <c r="C23" s="100">
        <v>52.95</v>
      </c>
      <c r="D23" s="100">
        <v>38.659999999999997</v>
      </c>
      <c r="E23" s="100">
        <v>7.61</v>
      </c>
      <c r="F23" s="100">
        <v>6.02</v>
      </c>
      <c r="G23" s="100">
        <v>53.97</v>
      </c>
      <c r="H23" s="100">
        <v>16.239999999999998</v>
      </c>
      <c r="I23" s="100">
        <v>6.73</v>
      </c>
      <c r="J23" s="100">
        <v>0.13</v>
      </c>
      <c r="K23" s="100">
        <v>151.25</v>
      </c>
      <c r="L23" s="100">
        <v>27.97</v>
      </c>
      <c r="M23" s="100">
        <v>50.21</v>
      </c>
      <c r="N23" s="100">
        <v>0</v>
      </c>
      <c r="O23" s="100">
        <v>0</v>
      </c>
      <c r="P23" s="100">
        <v>0.64</v>
      </c>
      <c r="Q23" s="100">
        <v>5.15</v>
      </c>
    </row>
    <row r="24" spans="1:17" customFormat="1">
      <c r="A24" s="100" t="s">
        <v>1789</v>
      </c>
      <c r="B24" s="100">
        <v>15.26</v>
      </c>
      <c r="C24" s="100">
        <v>52.96</v>
      </c>
      <c r="D24" s="100">
        <v>38.86</v>
      </c>
      <c r="E24" s="100">
        <v>7.31</v>
      </c>
      <c r="F24" s="100">
        <v>6.15</v>
      </c>
      <c r="G24" s="100">
        <v>53.97</v>
      </c>
      <c r="H24" s="100">
        <v>16.239999999999998</v>
      </c>
      <c r="I24" s="100">
        <v>6.89</v>
      </c>
      <c r="J24" s="100">
        <v>0.14000000000000001</v>
      </c>
      <c r="K24" s="100">
        <v>210.12</v>
      </c>
      <c r="L24" s="100">
        <v>27.89</v>
      </c>
      <c r="M24" s="100">
        <v>48.79</v>
      </c>
      <c r="N24" s="100">
        <v>0</v>
      </c>
      <c r="O24" s="100">
        <v>0</v>
      </c>
      <c r="P24" s="100">
        <v>0.65</v>
      </c>
      <c r="Q24" s="100">
        <v>5.16</v>
      </c>
    </row>
    <row r="25" spans="1:17" customFormat="1">
      <c r="A25" s="100" t="s">
        <v>1790</v>
      </c>
      <c r="B25" s="100">
        <v>16.07</v>
      </c>
      <c r="C25" s="100">
        <v>53.31</v>
      </c>
      <c r="D25" s="100">
        <v>39.69</v>
      </c>
      <c r="E25" s="100">
        <v>7</v>
      </c>
      <c r="F25" s="100">
        <v>6.16</v>
      </c>
      <c r="G25" s="100">
        <v>52.56</v>
      </c>
      <c r="H25" s="100">
        <v>18.21</v>
      </c>
      <c r="I25" s="100">
        <v>6.98</v>
      </c>
      <c r="J25" s="100">
        <v>0.16</v>
      </c>
      <c r="K25" s="100">
        <v>184.75</v>
      </c>
      <c r="L25" s="100">
        <v>27.78</v>
      </c>
      <c r="M25" s="100">
        <v>52.04</v>
      </c>
      <c r="N25" s="100">
        <v>0</v>
      </c>
      <c r="O25" s="100">
        <v>0</v>
      </c>
      <c r="P25" s="100">
        <v>0.65</v>
      </c>
      <c r="Q25" s="100">
        <v>5.16</v>
      </c>
    </row>
    <row r="26" spans="1:17" customFormat="1">
      <c r="A26" s="100" t="s">
        <v>1791</v>
      </c>
      <c r="B26" s="100">
        <v>16.25</v>
      </c>
      <c r="C26" s="100">
        <v>53.79</v>
      </c>
      <c r="D26" s="100">
        <v>40.090000000000003</v>
      </c>
      <c r="E26" s="100">
        <v>6.33</v>
      </c>
      <c r="F26" s="100">
        <v>5.3</v>
      </c>
      <c r="G26" s="100">
        <v>52.5</v>
      </c>
      <c r="H26" s="100">
        <v>18.21</v>
      </c>
      <c r="I26" s="100">
        <v>7.03</v>
      </c>
      <c r="J26" s="100">
        <v>0.13</v>
      </c>
      <c r="K26" s="100">
        <v>184.59</v>
      </c>
      <c r="L26" s="100">
        <v>27.53</v>
      </c>
      <c r="M26" s="100">
        <v>53.11</v>
      </c>
      <c r="N26" s="100">
        <v>0</v>
      </c>
      <c r="O26" s="100">
        <v>0</v>
      </c>
      <c r="P26" s="100">
        <v>0.64</v>
      </c>
      <c r="Q26" s="100">
        <v>5.17</v>
      </c>
    </row>
    <row r="27" spans="1:17" customFormat="1">
      <c r="A27" s="100" t="s">
        <v>1792</v>
      </c>
      <c r="B27" s="100">
        <v>16.850000000000001</v>
      </c>
      <c r="C27" s="100">
        <v>54.56</v>
      </c>
      <c r="D27" s="100">
        <v>40.97</v>
      </c>
      <c r="E27" s="100">
        <v>6.86</v>
      </c>
      <c r="F27" s="100">
        <v>5.21</v>
      </c>
      <c r="G27" s="100">
        <v>52.5</v>
      </c>
      <c r="H27" s="100">
        <v>18.21</v>
      </c>
      <c r="I27" s="100">
        <v>7.09</v>
      </c>
      <c r="J27" s="100">
        <v>0.11</v>
      </c>
      <c r="K27" s="100">
        <v>172.92</v>
      </c>
      <c r="L27" s="100">
        <v>27.59</v>
      </c>
      <c r="M27" s="100">
        <v>51.42</v>
      </c>
      <c r="N27" s="100">
        <v>0</v>
      </c>
      <c r="O27" s="100">
        <v>0</v>
      </c>
      <c r="P27" s="100">
        <v>0.65</v>
      </c>
      <c r="Q27" s="100">
        <v>5.18</v>
      </c>
    </row>
    <row r="28" spans="1:17" customFormat="1">
      <c r="A28" s="100" t="s">
        <v>1793</v>
      </c>
      <c r="B28" s="100">
        <v>16.059999999999999</v>
      </c>
      <c r="C28" s="100">
        <v>51.7</v>
      </c>
      <c r="D28" s="100">
        <v>38.85</v>
      </c>
      <c r="E28" s="100">
        <v>7.68</v>
      </c>
      <c r="F28" s="100">
        <v>5.71</v>
      </c>
      <c r="G28" s="100">
        <v>52.5</v>
      </c>
      <c r="H28" s="100">
        <v>18.21</v>
      </c>
      <c r="I28" s="100">
        <v>7.16</v>
      </c>
      <c r="J28" s="100">
        <v>0.18</v>
      </c>
      <c r="K28" s="100">
        <v>191.46</v>
      </c>
      <c r="L28" s="100">
        <v>27.51</v>
      </c>
      <c r="M28" s="100">
        <v>50.79</v>
      </c>
      <c r="N28" s="100">
        <v>0</v>
      </c>
      <c r="O28" s="100">
        <v>0</v>
      </c>
      <c r="P28" s="100">
        <v>0.66</v>
      </c>
      <c r="Q28" s="100">
        <v>5.2</v>
      </c>
    </row>
    <row r="29" spans="1:17" customFormat="1">
      <c r="A29" s="100" t="s">
        <v>1794</v>
      </c>
      <c r="B29" s="100">
        <v>18.09</v>
      </c>
      <c r="C29" s="100">
        <v>55.78</v>
      </c>
      <c r="D29" s="100">
        <v>42.61</v>
      </c>
      <c r="E29" s="100">
        <v>6.66</v>
      </c>
      <c r="F29" s="100">
        <v>4.78</v>
      </c>
      <c r="G29" s="100">
        <v>49.68</v>
      </c>
      <c r="H29" s="100">
        <v>16.98</v>
      </c>
      <c r="I29" s="100">
        <v>7.21</v>
      </c>
      <c r="J29" s="100">
        <v>0.25</v>
      </c>
      <c r="K29" s="100">
        <v>192.14</v>
      </c>
      <c r="L29" s="100">
        <v>26.66</v>
      </c>
      <c r="M29" s="100">
        <v>57.83</v>
      </c>
      <c r="N29" s="100">
        <v>0</v>
      </c>
      <c r="O29" s="100">
        <v>0</v>
      </c>
      <c r="P29" s="100">
        <v>0.66</v>
      </c>
      <c r="Q29" s="100">
        <v>5.22</v>
      </c>
    </row>
    <row r="30" spans="1:17" customFormat="1">
      <c r="A30" s="100" t="s">
        <v>1795</v>
      </c>
      <c r="B30" s="100">
        <v>18.440000000000001</v>
      </c>
      <c r="C30" s="100">
        <v>56.81</v>
      </c>
      <c r="D30" s="100">
        <v>43.43</v>
      </c>
      <c r="E30" s="100">
        <v>6.56</v>
      </c>
      <c r="F30" s="100">
        <v>4.2</v>
      </c>
      <c r="G30" s="100">
        <v>49.55</v>
      </c>
      <c r="H30" s="100">
        <v>16.98</v>
      </c>
      <c r="I30" s="100">
        <v>7.25</v>
      </c>
      <c r="J30" s="100">
        <v>0.19</v>
      </c>
      <c r="K30" s="100">
        <v>163.66999999999999</v>
      </c>
      <c r="L30" s="100">
        <v>26.53</v>
      </c>
      <c r="M30" s="100">
        <v>58.15</v>
      </c>
      <c r="N30" s="100">
        <v>0</v>
      </c>
      <c r="O30" s="100">
        <v>0</v>
      </c>
      <c r="P30" s="100">
        <v>0.66</v>
      </c>
      <c r="Q30" s="100">
        <v>5.27</v>
      </c>
    </row>
    <row r="31" spans="1:17" customFormat="1">
      <c r="A31" s="100" t="s">
        <v>1796</v>
      </c>
      <c r="B31" s="100">
        <v>18.690000000000001</v>
      </c>
      <c r="C31" s="100">
        <v>56.19</v>
      </c>
      <c r="D31" s="100">
        <v>43.3</v>
      </c>
      <c r="E31" s="100">
        <v>6.84</v>
      </c>
      <c r="F31" s="100">
        <v>4.26</v>
      </c>
      <c r="G31" s="100">
        <v>49.55</v>
      </c>
      <c r="H31" s="100">
        <v>16.98</v>
      </c>
      <c r="I31" s="100">
        <v>7.32</v>
      </c>
      <c r="J31" s="100">
        <v>0.24</v>
      </c>
      <c r="K31" s="100">
        <v>201.52</v>
      </c>
      <c r="L31" s="100">
        <v>26.84</v>
      </c>
      <c r="M31" s="100">
        <v>53.63</v>
      </c>
      <c r="N31" s="100">
        <v>2.6</v>
      </c>
      <c r="O31" s="100">
        <v>0</v>
      </c>
      <c r="P31" s="100">
        <v>0.68</v>
      </c>
      <c r="Q31" s="100">
        <v>5.25</v>
      </c>
    </row>
    <row r="32" spans="1:17" customFormat="1">
      <c r="A32" s="100" t="s">
        <v>1797</v>
      </c>
      <c r="B32" s="100">
        <v>18.77</v>
      </c>
      <c r="C32" s="100">
        <v>55.78</v>
      </c>
      <c r="D32" s="100">
        <v>43.15</v>
      </c>
      <c r="E32" s="100">
        <v>7.69</v>
      </c>
      <c r="F32" s="100">
        <v>5.38</v>
      </c>
      <c r="G32" s="100">
        <v>49.55</v>
      </c>
      <c r="H32" s="100">
        <v>16.98</v>
      </c>
      <c r="I32" s="100">
        <v>7.46</v>
      </c>
      <c r="J32" s="100">
        <v>0.2</v>
      </c>
      <c r="K32" s="100">
        <v>183.87</v>
      </c>
      <c r="L32" s="100">
        <v>27.26</v>
      </c>
      <c r="M32" s="100">
        <v>50.69</v>
      </c>
      <c r="N32" s="100">
        <v>13.1</v>
      </c>
      <c r="O32" s="100">
        <v>0</v>
      </c>
      <c r="P32" s="100">
        <v>0.7</v>
      </c>
      <c r="Q32" s="100">
        <v>5.27</v>
      </c>
    </row>
    <row r="33" spans="1:17" customFormat="1">
      <c r="A33" s="100" t="s">
        <v>1798</v>
      </c>
      <c r="B33" s="100">
        <v>17.77</v>
      </c>
      <c r="C33" s="100">
        <v>53.78</v>
      </c>
      <c r="D33" s="100">
        <v>41.3</v>
      </c>
      <c r="E33" s="100">
        <v>7.78</v>
      </c>
      <c r="F33" s="100">
        <v>6.42</v>
      </c>
      <c r="G33" s="100">
        <v>52.9</v>
      </c>
      <c r="H33" s="100">
        <v>13.74</v>
      </c>
      <c r="I33" s="100">
        <v>7.63</v>
      </c>
      <c r="J33" s="100">
        <v>0.23</v>
      </c>
      <c r="K33" s="100">
        <v>174.75</v>
      </c>
      <c r="L33" s="100">
        <v>27.43</v>
      </c>
      <c r="M33" s="100">
        <v>52.08</v>
      </c>
      <c r="N33" s="100">
        <v>26.9</v>
      </c>
      <c r="O33" s="100">
        <v>0</v>
      </c>
      <c r="P33" s="100">
        <v>0.69</v>
      </c>
      <c r="Q33" s="100">
        <v>5.33</v>
      </c>
    </row>
    <row r="34" spans="1:17" customFormat="1">
      <c r="A34" s="100" t="s">
        <v>1799</v>
      </c>
      <c r="B34" s="100">
        <v>18.510000000000002</v>
      </c>
      <c r="C34" s="100">
        <v>54.68</v>
      </c>
      <c r="D34" s="100">
        <v>42.37</v>
      </c>
      <c r="E34" s="100">
        <v>6.98</v>
      </c>
      <c r="F34" s="100">
        <v>6.75</v>
      </c>
      <c r="G34" s="100">
        <v>53.06</v>
      </c>
      <c r="H34" s="100">
        <v>13.74</v>
      </c>
      <c r="I34" s="100">
        <v>7.67</v>
      </c>
      <c r="J34" s="100">
        <v>0.15</v>
      </c>
      <c r="K34" s="100">
        <v>183.97</v>
      </c>
      <c r="L34" s="100">
        <v>27.99</v>
      </c>
      <c r="M34" s="100">
        <v>50.85</v>
      </c>
      <c r="N34" s="100">
        <v>40.6</v>
      </c>
      <c r="O34" s="100">
        <v>0</v>
      </c>
      <c r="P34" s="100">
        <v>0.69</v>
      </c>
      <c r="Q34" s="100">
        <v>5.33</v>
      </c>
    </row>
    <row r="35" spans="1:17" customFormat="1">
      <c r="A35" s="100" t="s">
        <v>1800</v>
      </c>
      <c r="B35" s="100">
        <v>18.11</v>
      </c>
      <c r="C35" s="100">
        <v>52.38</v>
      </c>
      <c r="D35" s="100">
        <v>40.840000000000003</v>
      </c>
      <c r="E35" s="100">
        <v>7.46</v>
      </c>
      <c r="F35" s="100">
        <v>8.8000000000000007</v>
      </c>
      <c r="G35" s="100">
        <v>53.06</v>
      </c>
      <c r="H35" s="100">
        <v>13.74</v>
      </c>
      <c r="I35" s="100">
        <v>7.6</v>
      </c>
      <c r="J35" s="100">
        <v>0.24</v>
      </c>
      <c r="K35" s="100">
        <v>193.62</v>
      </c>
      <c r="L35" s="100">
        <v>28.77</v>
      </c>
      <c r="M35" s="100">
        <v>49.66</v>
      </c>
      <c r="N35" s="100">
        <v>52.3</v>
      </c>
      <c r="O35" s="100">
        <v>0</v>
      </c>
      <c r="P35" s="100">
        <v>0.69</v>
      </c>
      <c r="Q35" s="100">
        <v>5.33</v>
      </c>
    </row>
    <row r="36" spans="1:17" customFormat="1">
      <c r="A36" s="100" t="s">
        <v>1801</v>
      </c>
      <c r="B36" s="100">
        <v>18.670000000000002</v>
      </c>
      <c r="C36" s="100">
        <v>56.56</v>
      </c>
      <c r="D36" s="100">
        <v>43.48</v>
      </c>
      <c r="E36" s="100">
        <v>7.53</v>
      </c>
      <c r="F36" s="100">
        <v>7.57</v>
      </c>
      <c r="G36" s="100">
        <v>53.06</v>
      </c>
      <c r="H36" s="100">
        <v>13.74</v>
      </c>
      <c r="I36" s="100">
        <v>7.52</v>
      </c>
      <c r="J36" s="100">
        <v>0.25</v>
      </c>
      <c r="K36" s="100">
        <v>182.13</v>
      </c>
      <c r="L36" s="100">
        <v>29.77</v>
      </c>
      <c r="M36" s="100">
        <v>46.99</v>
      </c>
      <c r="N36" s="100">
        <v>62.3</v>
      </c>
      <c r="O36" s="100">
        <v>0</v>
      </c>
      <c r="P36" s="100">
        <v>0.69</v>
      </c>
      <c r="Q36" s="100">
        <v>5.36</v>
      </c>
    </row>
    <row r="37" spans="1:17" customFormat="1">
      <c r="A37" s="100" t="s">
        <v>1802</v>
      </c>
      <c r="B37" s="100">
        <v>16.920000000000002</v>
      </c>
      <c r="C37" s="100">
        <v>53.58</v>
      </c>
      <c r="D37" s="100">
        <v>40.520000000000003</v>
      </c>
      <c r="E37" s="100">
        <v>7.72</v>
      </c>
      <c r="F37" s="100">
        <v>10.84</v>
      </c>
      <c r="G37" s="100">
        <v>51.81</v>
      </c>
      <c r="H37" s="100">
        <v>15.87</v>
      </c>
      <c r="I37" s="100">
        <v>7.49</v>
      </c>
      <c r="J37" s="100">
        <v>0.17</v>
      </c>
      <c r="K37" s="100">
        <v>215.28</v>
      </c>
      <c r="L37" s="100">
        <v>30.98</v>
      </c>
      <c r="M37" s="100">
        <v>44.64</v>
      </c>
      <c r="N37" s="100">
        <v>71.7</v>
      </c>
      <c r="O37" s="100">
        <v>0</v>
      </c>
      <c r="P37" s="100">
        <v>0.69</v>
      </c>
      <c r="Q37" s="100">
        <v>5.35</v>
      </c>
    </row>
    <row r="38" spans="1:17" customFormat="1">
      <c r="A38" s="100" t="s">
        <v>1803</v>
      </c>
      <c r="B38" s="100">
        <v>16.399999999999999</v>
      </c>
      <c r="C38" s="100">
        <v>53.62</v>
      </c>
      <c r="D38" s="100">
        <v>40.119999999999997</v>
      </c>
      <c r="E38" s="100">
        <v>7.9</v>
      </c>
      <c r="F38" s="100">
        <v>11.57</v>
      </c>
      <c r="G38" s="100">
        <v>51.75</v>
      </c>
      <c r="H38" s="100">
        <v>15.87</v>
      </c>
      <c r="I38" s="100">
        <v>7.48</v>
      </c>
      <c r="J38" s="100">
        <v>0.23</v>
      </c>
      <c r="K38" s="100">
        <v>220.21</v>
      </c>
      <c r="L38" s="100">
        <v>31.89</v>
      </c>
      <c r="M38" s="100">
        <v>41.07</v>
      </c>
      <c r="N38" s="100">
        <v>80</v>
      </c>
      <c r="O38" s="100">
        <v>0</v>
      </c>
      <c r="P38" s="100">
        <v>0.68</v>
      </c>
      <c r="Q38" s="100">
        <v>5.32</v>
      </c>
    </row>
    <row r="39" spans="1:17" customFormat="1">
      <c r="A39" s="100" t="s">
        <v>1804</v>
      </c>
      <c r="B39" s="100">
        <v>15.21</v>
      </c>
      <c r="C39" s="100">
        <v>52.61</v>
      </c>
      <c r="D39" s="100">
        <v>38.64</v>
      </c>
      <c r="E39" s="100">
        <v>8.31</v>
      </c>
      <c r="F39" s="100">
        <v>13.79</v>
      </c>
      <c r="G39" s="100">
        <v>51.75</v>
      </c>
      <c r="H39" s="100">
        <v>15.87</v>
      </c>
      <c r="I39" s="100">
        <v>7.36</v>
      </c>
      <c r="J39" s="100">
        <v>0.3</v>
      </c>
      <c r="K39" s="100">
        <v>274.22000000000003</v>
      </c>
      <c r="L39" s="100">
        <v>32.65</v>
      </c>
      <c r="M39" s="100">
        <v>39.090000000000003</v>
      </c>
      <c r="N39" s="100">
        <v>87.5</v>
      </c>
      <c r="O39" s="100">
        <v>0</v>
      </c>
      <c r="P39" s="100">
        <v>0.68</v>
      </c>
      <c r="Q39" s="100">
        <v>5.27</v>
      </c>
    </row>
    <row r="40" spans="1:17" customFormat="1">
      <c r="A40" s="100" t="s">
        <v>1805</v>
      </c>
      <c r="B40" s="100">
        <v>14.46</v>
      </c>
      <c r="C40" s="100">
        <v>53.97</v>
      </c>
      <c r="D40" s="100">
        <v>38.75</v>
      </c>
      <c r="E40" s="100">
        <v>8.1999999999999993</v>
      </c>
      <c r="F40" s="100">
        <v>15.76</v>
      </c>
      <c r="G40" s="100">
        <v>51.75</v>
      </c>
      <c r="H40" s="100">
        <v>15.87</v>
      </c>
      <c r="I40" s="100">
        <v>7.31</v>
      </c>
      <c r="J40" s="100">
        <v>0.28000000000000003</v>
      </c>
      <c r="K40" s="100">
        <v>217.4</v>
      </c>
      <c r="L40" s="100">
        <v>33.31</v>
      </c>
      <c r="M40" s="100">
        <v>38.1</v>
      </c>
      <c r="N40" s="100">
        <v>94.6</v>
      </c>
      <c r="O40" s="100">
        <v>0</v>
      </c>
      <c r="P40" s="100">
        <v>0.68</v>
      </c>
      <c r="Q40" s="100">
        <v>5.24</v>
      </c>
    </row>
    <row r="41" spans="1:17" customFormat="1">
      <c r="A41" s="100" t="s">
        <v>1806</v>
      </c>
      <c r="B41" s="100">
        <v>13.74</v>
      </c>
      <c r="C41" s="100">
        <v>54.85</v>
      </c>
      <c r="D41" s="100">
        <v>38.630000000000003</v>
      </c>
      <c r="E41" s="100">
        <v>7.96</v>
      </c>
      <c r="F41" s="100">
        <v>14.83</v>
      </c>
      <c r="G41" s="100">
        <v>49.3</v>
      </c>
      <c r="H41" s="100">
        <v>17.690000000000001</v>
      </c>
      <c r="I41" s="100">
        <v>7.26</v>
      </c>
      <c r="J41" s="100">
        <v>0.26</v>
      </c>
      <c r="K41" s="100">
        <v>203.13</v>
      </c>
      <c r="L41" s="100">
        <v>33.96</v>
      </c>
      <c r="M41" s="100">
        <v>35.5</v>
      </c>
      <c r="N41" s="100">
        <v>101.2</v>
      </c>
      <c r="O41" s="100">
        <v>0</v>
      </c>
      <c r="P41" s="100">
        <v>0.66</v>
      </c>
      <c r="Q41" s="100">
        <v>5.2</v>
      </c>
    </row>
    <row r="42" spans="1:17" customFormat="1">
      <c r="A42" s="100" t="s">
        <v>1807</v>
      </c>
      <c r="B42" s="100">
        <v>13.1</v>
      </c>
      <c r="C42" s="100">
        <v>54.23</v>
      </c>
      <c r="D42" s="100">
        <v>37.79</v>
      </c>
      <c r="E42" s="100">
        <v>8.2899999999999991</v>
      </c>
      <c r="F42" s="100">
        <v>15.57</v>
      </c>
      <c r="G42" s="100">
        <v>49.18</v>
      </c>
      <c r="H42" s="100">
        <v>17.690000000000001</v>
      </c>
      <c r="I42" s="100">
        <v>7.17</v>
      </c>
      <c r="J42" s="100">
        <v>0.28999999999999998</v>
      </c>
      <c r="K42" s="100">
        <v>226.82</v>
      </c>
      <c r="L42" s="100">
        <v>34.72</v>
      </c>
      <c r="M42" s="100">
        <v>34.950000000000003</v>
      </c>
      <c r="N42" s="100">
        <v>109.8</v>
      </c>
      <c r="O42" s="100">
        <v>0</v>
      </c>
      <c r="P42" s="100">
        <v>0.65</v>
      </c>
      <c r="Q42" s="100">
        <v>5.15</v>
      </c>
    </row>
    <row r="43" spans="1:17" customFormat="1">
      <c r="A43" s="100" t="s">
        <v>1808</v>
      </c>
      <c r="B43" s="100">
        <v>11.76</v>
      </c>
      <c r="C43" s="100">
        <v>55.06</v>
      </c>
      <c r="D43" s="100">
        <v>37.15</v>
      </c>
      <c r="E43" s="100">
        <v>10.19</v>
      </c>
      <c r="F43" s="100">
        <v>16.600000000000001</v>
      </c>
      <c r="G43" s="100">
        <v>49.18</v>
      </c>
      <c r="H43" s="100">
        <v>17.690000000000001</v>
      </c>
      <c r="I43" s="100">
        <v>7.07</v>
      </c>
      <c r="J43" s="100">
        <v>0.15</v>
      </c>
      <c r="K43" s="100">
        <v>223.42</v>
      </c>
      <c r="L43" s="100">
        <v>35.65</v>
      </c>
      <c r="M43" s="100">
        <v>32.64</v>
      </c>
      <c r="N43" s="100">
        <v>117.4</v>
      </c>
      <c r="O43" s="100">
        <v>0</v>
      </c>
      <c r="P43" s="100">
        <v>0.67</v>
      </c>
      <c r="Q43" s="100">
        <v>5.0999999999999996</v>
      </c>
    </row>
    <row r="44" spans="1:17" customFormat="1">
      <c r="A44" s="100" t="s">
        <v>1809</v>
      </c>
      <c r="B44" s="100">
        <v>10.65</v>
      </c>
      <c r="C44" s="100">
        <v>55.23</v>
      </c>
      <c r="D44" s="100">
        <v>36.35</v>
      </c>
      <c r="E44" s="100">
        <v>10.49</v>
      </c>
      <c r="F44" s="100">
        <v>22.13</v>
      </c>
      <c r="G44" s="100">
        <v>49.18</v>
      </c>
      <c r="H44" s="100">
        <v>17.690000000000001</v>
      </c>
      <c r="I44" s="100">
        <v>7.03</v>
      </c>
      <c r="J44" s="100">
        <v>0.31</v>
      </c>
      <c r="K44" s="100">
        <v>243.18</v>
      </c>
      <c r="L44" s="100">
        <v>35.79</v>
      </c>
      <c r="M44" s="100">
        <v>32.24</v>
      </c>
      <c r="N44" s="100">
        <v>127.6</v>
      </c>
      <c r="O44" s="100">
        <v>0</v>
      </c>
      <c r="P44" s="100">
        <v>0.66</v>
      </c>
      <c r="Q44" s="100">
        <v>5.07</v>
      </c>
    </row>
    <row r="45" spans="1:17" customFormat="1">
      <c r="A45" s="100" t="s">
        <v>1810</v>
      </c>
      <c r="B45" s="100">
        <v>9.85</v>
      </c>
      <c r="C45" s="100">
        <v>54.97</v>
      </c>
      <c r="D45" s="100">
        <v>35.57</v>
      </c>
      <c r="E45" s="100">
        <v>9.7200000000000006</v>
      </c>
      <c r="F45" s="100">
        <v>18.37</v>
      </c>
      <c r="G45" s="100">
        <v>50.49</v>
      </c>
      <c r="H45" s="100">
        <v>17.940000000000001</v>
      </c>
      <c r="I45" s="100">
        <v>7.05</v>
      </c>
      <c r="J45" s="100">
        <v>0.3</v>
      </c>
      <c r="K45" s="100">
        <v>216.2</v>
      </c>
      <c r="L45" s="100">
        <v>36.43</v>
      </c>
      <c r="M45" s="100">
        <v>31.09</v>
      </c>
      <c r="N45" s="100">
        <v>137.19999999999999</v>
      </c>
      <c r="O45" s="100">
        <v>0</v>
      </c>
      <c r="P45" s="100">
        <v>0.65</v>
      </c>
      <c r="Q45" s="100">
        <v>5.01</v>
      </c>
    </row>
    <row r="46" spans="1:17" customFormat="1">
      <c r="A46" s="100" t="s">
        <v>1811</v>
      </c>
      <c r="B46" s="100">
        <v>8.7899999999999991</v>
      </c>
      <c r="C46" s="100">
        <v>53.76</v>
      </c>
      <c r="D46" s="100">
        <v>34.090000000000003</v>
      </c>
      <c r="E46" s="100">
        <v>9.9</v>
      </c>
      <c r="F46" s="100">
        <v>24.38</v>
      </c>
      <c r="G46" s="100">
        <v>50.55</v>
      </c>
      <c r="H46" s="100">
        <v>17.940000000000001</v>
      </c>
      <c r="I46" s="100">
        <v>7.01</v>
      </c>
      <c r="J46" s="100">
        <v>0.35</v>
      </c>
      <c r="K46" s="100">
        <v>212.6</v>
      </c>
      <c r="L46" s="100">
        <v>36.81</v>
      </c>
      <c r="M46" s="100">
        <v>30.47</v>
      </c>
      <c r="N46" s="100">
        <v>143.5</v>
      </c>
      <c r="O46" s="100">
        <v>0</v>
      </c>
      <c r="P46" s="100">
        <v>0.64</v>
      </c>
      <c r="Q46" s="100">
        <v>4.96</v>
      </c>
    </row>
    <row r="47" spans="1:17" customFormat="1">
      <c r="A47" s="100" t="s">
        <v>1812</v>
      </c>
      <c r="B47" s="100">
        <v>7.36</v>
      </c>
      <c r="C47" s="100">
        <v>51.64</v>
      </c>
      <c r="D47" s="100">
        <v>31.84</v>
      </c>
      <c r="E47" s="100">
        <v>11.98</v>
      </c>
      <c r="F47" s="100">
        <v>31.65</v>
      </c>
      <c r="G47" s="100">
        <v>50.55</v>
      </c>
      <c r="H47" s="100">
        <v>17.940000000000001</v>
      </c>
      <c r="I47" s="100">
        <v>6.99</v>
      </c>
      <c r="J47" s="100">
        <v>0.26</v>
      </c>
      <c r="K47" s="100">
        <v>229.01</v>
      </c>
      <c r="L47" s="100">
        <v>37.61</v>
      </c>
      <c r="M47" s="100">
        <v>29.71</v>
      </c>
      <c r="N47" s="100">
        <v>152.1</v>
      </c>
      <c r="O47" s="100">
        <v>0</v>
      </c>
      <c r="P47" s="100">
        <v>0.64</v>
      </c>
      <c r="Q47" s="100">
        <v>4.87</v>
      </c>
    </row>
    <row r="48" spans="1:17" customFormat="1">
      <c r="A48" s="100" t="s">
        <v>1813</v>
      </c>
      <c r="B48" s="100">
        <v>6.48</v>
      </c>
      <c r="C48" s="100">
        <v>52.47</v>
      </c>
      <c r="D48" s="100">
        <v>31.57</v>
      </c>
      <c r="E48" s="100">
        <v>15.06</v>
      </c>
      <c r="F48" s="100">
        <v>40.270000000000003</v>
      </c>
      <c r="G48" s="100">
        <v>50.55</v>
      </c>
      <c r="H48" s="100">
        <v>17.940000000000001</v>
      </c>
      <c r="I48" s="100">
        <v>7.02</v>
      </c>
      <c r="J48" s="100">
        <v>0.31</v>
      </c>
      <c r="K48" s="100">
        <v>227.07</v>
      </c>
      <c r="L48" s="100">
        <v>37.86</v>
      </c>
      <c r="M48" s="100">
        <v>27.31</v>
      </c>
      <c r="N48" s="100">
        <v>160.1</v>
      </c>
      <c r="O48" s="100">
        <v>0</v>
      </c>
      <c r="P48" s="100">
        <v>0.69</v>
      </c>
      <c r="Q48" s="100">
        <v>4.83</v>
      </c>
    </row>
    <row r="49" spans="1:17" customFormat="1">
      <c r="A49" s="100" t="s">
        <v>1814</v>
      </c>
      <c r="B49" s="100">
        <v>6.71</v>
      </c>
      <c r="C49" s="100">
        <v>54.95</v>
      </c>
      <c r="D49" s="100">
        <v>33.049999999999997</v>
      </c>
      <c r="E49" s="100">
        <v>8.81</v>
      </c>
      <c r="F49" s="100">
        <v>38.32</v>
      </c>
      <c r="G49" s="100">
        <v>50.13</v>
      </c>
      <c r="H49" s="100">
        <v>17.36</v>
      </c>
      <c r="I49" s="100">
        <v>7.32</v>
      </c>
      <c r="J49" s="100">
        <v>0.15</v>
      </c>
      <c r="K49" s="100">
        <v>13.11</v>
      </c>
      <c r="L49" s="100">
        <v>38.700000000000003</v>
      </c>
      <c r="M49" s="100">
        <v>26.1</v>
      </c>
      <c r="N49" s="100">
        <v>161.9</v>
      </c>
      <c r="O49" s="100">
        <v>0</v>
      </c>
      <c r="P49" s="100">
        <v>0.7</v>
      </c>
      <c r="Q49" s="100">
        <v>4.79</v>
      </c>
    </row>
    <row r="50" spans="1:17" customFormat="1">
      <c r="A50" s="100" t="s">
        <v>1815</v>
      </c>
      <c r="B50" s="100">
        <v>6.48</v>
      </c>
      <c r="C50" s="100">
        <v>56.42</v>
      </c>
      <c r="D50" s="100">
        <v>33.630000000000003</v>
      </c>
      <c r="E50" s="100">
        <v>11.49</v>
      </c>
      <c r="F50" s="100">
        <v>29.44</v>
      </c>
      <c r="G50" s="100">
        <v>50.12</v>
      </c>
      <c r="H50" s="100">
        <v>17.36</v>
      </c>
      <c r="I50" s="100">
        <v>7.96</v>
      </c>
      <c r="J50" s="100">
        <v>1.02</v>
      </c>
      <c r="K50" s="100">
        <v>34.130000000000003</v>
      </c>
      <c r="L50" s="100">
        <v>38.57</v>
      </c>
      <c r="M50" s="100">
        <v>23.99</v>
      </c>
      <c r="N50" s="100">
        <v>168.5</v>
      </c>
      <c r="O50" s="100">
        <v>0</v>
      </c>
      <c r="P50" s="100">
        <v>0.64</v>
      </c>
      <c r="Q50" s="100">
        <v>4.74</v>
      </c>
    </row>
    <row r="51" spans="1:17" customFormat="1">
      <c r="A51" s="100" t="s">
        <v>1816</v>
      </c>
      <c r="B51" s="100">
        <v>5.94</v>
      </c>
      <c r="C51" s="100">
        <v>53.51</v>
      </c>
      <c r="D51" s="100">
        <v>31.68</v>
      </c>
      <c r="E51" s="100">
        <v>11.24</v>
      </c>
      <c r="F51" s="100">
        <v>36.42</v>
      </c>
      <c r="G51" s="100">
        <v>50.12</v>
      </c>
      <c r="H51" s="100">
        <v>17.36</v>
      </c>
      <c r="I51" s="100">
        <v>7.71</v>
      </c>
      <c r="J51" s="100">
        <v>0.49</v>
      </c>
      <c r="K51" s="100">
        <v>356.18</v>
      </c>
      <c r="L51" s="100">
        <v>38.880000000000003</v>
      </c>
      <c r="M51" s="100">
        <v>23.05</v>
      </c>
      <c r="N51" s="100">
        <v>197.2</v>
      </c>
      <c r="O51" s="100">
        <v>0</v>
      </c>
      <c r="P51" s="100">
        <v>0.6</v>
      </c>
      <c r="Q51" s="100">
        <v>4.75</v>
      </c>
    </row>
    <row r="52" spans="1:17" customFormat="1">
      <c r="A52" s="100" t="s">
        <v>1817</v>
      </c>
      <c r="B52" s="100">
        <v>5.43</v>
      </c>
      <c r="C52" s="100">
        <v>50.58</v>
      </c>
      <c r="D52" s="100">
        <v>29.73</v>
      </c>
      <c r="E52" s="100">
        <v>11.43</v>
      </c>
      <c r="F52" s="100">
        <v>34.03</v>
      </c>
      <c r="G52" s="100">
        <v>50.12</v>
      </c>
      <c r="H52" s="100">
        <v>17.36</v>
      </c>
      <c r="I52" s="100">
        <v>6.79</v>
      </c>
      <c r="J52" s="100">
        <v>0.67</v>
      </c>
      <c r="K52" s="100">
        <v>282.68</v>
      </c>
      <c r="L52" s="100">
        <v>39.36</v>
      </c>
      <c r="M52" s="100">
        <v>23.19</v>
      </c>
      <c r="N52" s="100">
        <v>421.7</v>
      </c>
      <c r="O52" s="100">
        <v>0</v>
      </c>
      <c r="P52" s="100">
        <v>0.61</v>
      </c>
      <c r="Q52" s="100">
        <v>4.74</v>
      </c>
    </row>
    <row r="53" spans="1:17" customFormat="1">
      <c r="A53" s="100" t="s">
        <v>1818</v>
      </c>
      <c r="B53" s="100">
        <v>4.8899999999999997</v>
      </c>
      <c r="C53" s="100">
        <v>49.42</v>
      </c>
      <c r="D53" s="100">
        <v>28.7</v>
      </c>
      <c r="E53" s="100">
        <v>13.51</v>
      </c>
      <c r="F53" s="100">
        <v>35.93</v>
      </c>
      <c r="G53" s="100">
        <v>50.85</v>
      </c>
      <c r="H53" s="100">
        <v>18.7</v>
      </c>
      <c r="I53" s="100">
        <v>6.4</v>
      </c>
      <c r="J53" s="100">
        <v>0.91</v>
      </c>
      <c r="K53" s="100">
        <v>305.63</v>
      </c>
      <c r="L53" s="100">
        <v>39.119999999999997</v>
      </c>
      <c r="M53" s="100">
        <v>22.86</v>
      </c>
      <c r="N53" s="100">
        <v>571.79999999999995</v>
      </c>
      <c r="O53" s="100">
        <v>0</v>
      </c>
      <c r="P53" s="100">
        <v>0.59</v>
      </c>
      <c r="Q53" s="100">
        <v>4.71</v>
      </c>
    </row>
    <row r="54" spans="1:17" customFormat="1">
      <c r="A54" s="100" t="s">
        <v>1819</v>
      </c>
      <c r="B54" s="100">
        <v>4.8899999999999997</v>
      </c>
      <c r="C54" s="100">
        <v>50.58</v>
      </c>
      <c r="D54" s="100">
        <v>29.3</v>
      </c>
      <c r="E54" s="100">
        <v>12.81</v>
      </c>
      <c r="F54" s="100">
        <v>36.49</v>
      </c>
      <c r="G54" s="100">
        <v>50.88</v>
      </c>
      <c r="H54" s="100">
        <v>18.7</v>
      </c>
      <c r="I54" s="100">
        <v>6.27</v>
      </c>
      <c r="J54" s="100">
        <v>0.51</v>
      </c>
      <c r="K54" s="100">
        <v>275.89</v>
      </c>
      <c r="L54" s="100">
        <v>39.58</v>
      </c>
      <c r="M54" s="100">
        <v>22.78</v>
      </c>
      <c r="N54" s="100">
        <v>692.7</v>
      </c>
      <c r="O54" s="100">
        <v>0</v>
      </c>
      <c r="P54" s="100">
        <v>0.56999999999999995</v>
      </c>
      <c r="Q54" s="100">
        <v>4.7</v>
      </c>
    </row>
    <row r="55" spans="1:17" customFormat="1">
      <c r="A55" s="100" t="s">
        <v>1820</v>
      </c>
      <c r="B55" s="100">
        <v>4.46</v>
      </c>
      <c r="C55" s="100">
        <v>50.14</v>
      </c>
      <c r="D55" s="100">
        <v>28.72</v>
      </c>
      <c r="E55" s="100">
        <v>12.79</v>
      </c>
      <c r="F55" s="100">
        <v>30.14</v>
      </c>
      <c r="G55" s="100">
        <v>50.88</v>
      </c>
      <c r="H55" s="100">
        <v>18.7</v>
      </c>
      <c r="I55" s="100">
        <v>6.35</v>
      </c>
      <c r="J55" s="100">
        <v>0.33</v>
      </c>
      <c r="K55" s="100">
        <v>272.08999999999997</v>
      </c>
      <c r="L55" s="100">
        <v>39.93</v>
      </c>
      <c r="M55" s="100">
        <v>22.64</v>
      </c>
      <c r="N55" s="100">
        <v>780.6</v>
      </c>
      <c r="O55" s="100">
        <v>0</v>
      </c>
      <c r="P55" s="100">
        <v>0.56999999999999995</v>
      </c>
      <c r="Q55" s="100">
        <v>4.67</v>
      </c>
    </row>
    <row r="56" spans="1:17" customFormat="1">
      <c r="A56" s="100" t="s">
        <v>1821</v>
      </c>
      <c r="B56" s="100">
        <v>5.51</v>
      </c>
      <c r="C56" s="100">
        <v>47.62</v>
      </c>
      <c r="D56" s="100">
        <v>28.25</v>
      </c>
      <c r="E56" s="100">
        <v>10.51</v>
      </c>
      <c r="F56" s="100">
        <v>38.020000000000003</v>
      </c>
      <c r="G56" s="100">
        <v>50.88</v>
      </c>
      <c r="H56" s="100">
        <v>18.7</v>
      </c>
      <c r="I56" s="100">
        <v>6.38</v>
      </c>
      <c r="J56" s="100">
        <v>0.47</v>
      </c>
      <c r="K56" s="100">
        <v>308.43</v>
      </c>
      <c r="L56" s="100">
        <v>40.630000000000003</v>
      </c>
      <c r="M56" s="100">
        <v>21.76</v>
      </c>
      <c r="N56" s="100">
        <v>803.5</v>
      </c>
      <c r="O56" s="100">
        <v>0</v>
      </c>
      <c r="P56" s="100">
        <v>0.56000000000000005</v>
      </c>
      <c r="Q56" s="100">
        <v>4.71</v>
      </c>
    </row>
    <row r="57" spans="1:17" customFormat="1">
      <c r="A57" s="100" t="s">
        <v>1822</v>
      </c>
      <c r="B57" s="100">
        <v>5.05</v>
      </c>
      <c r="C57" s="100">
        <v>49.17</v>
      </c>
      <c r="D57" s="100">
        <v>28.69</v>
      </c>
      <c r="E57" s="100">
        <v>10.16</v>
      </c>
      <c r="F57" s="100">
        <v>36.979999999999997</v>
      </c>
      <c r="G57" s="100">
        <v>52.09</v>
      </c>
      <c r="H57" s="100">
        <v>17.850000000000001</v>
      </c>
      <c r="I57" s="100">
        <v>6.22</v>
      </c>
      <c r="J57" s="100">
        <v>0.44</v>
      </c>
      <c r="K57" s="100">
        <v>290.83999999999997</v>
      </c>
      <c r="L57" s="100">
        <v>40.659999999999997</v>
      </c>
      <c r="M57" s="100">
        <v>21.02</v>
      </c>
      <c r="N57" s="100">
        <v>817.3</v>
      </c>
      <c r="O57" s="100">
        <v>0</v>
      </c>
      <c r="P57" s="100">
        <v>0.54</v>
      </c>
      <c r="Q57" s="100">
        <v>4.6900000000000004</v>
      </c>
    </row>
    <row r="58" spans="1:17" customFormat="1">
      <c r="A58" s="100" t="s">
        <v>1823</v>
      </c>
      <c r="B58" s="100">
        <v>4.8499999999999996</v>
      </c>
      <c r="C58" s="100">
        <v>51.04</v>
      </c>
      <c r="D58" s="100">
        <v>29.51</v>
      </c>
      <c r="E58" s="100">
        <v>8.09</v>
      </c>
      <c r="F58" s="100">
        <v>31.73</v>
      </c>
      <c r="G58" s="100">
        <v>52.15</v>
      </c>
      <c r="H58" s="100">
        <v>17.850000000000001</v>
      </c>
      <c r="I58" s="100">
        <v>5.89</v>
      </c>
      <c r="J58" s="100">
        <v>1.06</v>
      </c>
      <c r="K58" s="100">
        <v>291.43</v>
      </c>
      <c r="L58" s="100">
        <v>40.479999999999997</v>
      </c>
      <c r="M58" s="100">
        <v>20.190000000000001</v>
      </c>
      <c r="N58" s="100">
        <v>716.4</v>
      </c>
      <c r="O58" s="100">
        <v>0</v>
      </c>
      <c r="P58" s="100">
        <v>0.55000000000000004</v>
      </c>
      <c r="Q58" s="100">
        <v>4.68</v>
      </c>
    </row>
    <row r="59" spans="1:17" customFormat="1">
      <c r="A59" s="100" t="s">
        <v>1824</v>
      </c>
      <c r="B59" s="100">
        <v>4.59</v>
      </c>
      <c r="C59" s="100">
        <v>54.54</v>
      </c>
      <c r="D59" s="100">
        <v>31.13</v>
      </c>
      <c r="E59" s="100">
        <v>7.31</v>
      </c>
      <c r="F59" s="100">
        <v>28.18</v>
      </c>
      <c r="G59" s="100">
        <v>52.15</v>
      </c>
      <c r="H59" s="100">
        <v>17.850000000000001</v>
      </c>
      <c r="I59" s="100">
        <v>5.83</v>
      </c>
      <c r="J59" s="100">
        <v>1.03</v>
      </c>
      <c r="K59" s="100">
        <v>291.16000000000003</v>
      </c>
      <c r="L59" s="100">
        <v>40.64</v>
      </c>
      <c r="M59" s="100">
        <v>19.77</v>
      </c>
      <c r="N59" s="100">
        <v>853.8</v>
      </c>
      <c r="O59" s="100">
        <v>0</v>
      </c>
      <c r="P59" s="100">
        <v>0.55000000000000004</v>
      </c>
      <c r="Q59" s="100">
        <v>4.68</v>
      </c>
    </row>
    <row r="60" spans="1:17" customFormat="1">
      <c r="A60" s="100" t="s">
        <v>1825</v>
      </c>
      <c r="B60" s="100">
        <v>4.51</v>
      </c>
      <c r="C60" s="100">
        <v>50.49</v>
      </c>
      <c r="D60" s="100">
        <v>28.95</v>
      </c>
      <c r="E60" s="100">
        <v>7.62</v>
      </c>
      <c r="F60" s="100">
        <v>30.84</v>
      </c>
      <c r="G60" s="100">
        <v>52.15</v>
      </c>
      <c r="H60" s="100">
        <v>17.850000000000001</v>
      </c>
      <c r="I60" s="100">
        <v>6.07</v>
      </c>
      <c r="J60" s="100">
        <v>0.88</v>
      </c>
      <c r="K60" s="100">
        <v>276.72000000000003</v>
      </c>
      <c r="L60" s="100">
        <v>41.29</v>
      </c>
      <c r="M60" s="100">
        <v>17.600000000000001</v>
      </c>
      <c r="N60" s="100">
        <v>879.2</v>
      </c>
      <c r="O60" s="100">
        <v>0</v>
      </c>
      <c r="P60" s="100">
        <v>0.52</v>
      </c>
      <c r="Q60" s="100">
        <v>4.66</v>
      </c>
    </row>
    <row r="61" spans="1:17" customFormat="1">
      <c r="A61" s="100" t="s">
        <v>1826</v>
      </c>
      <c r="B61" s="100">
        <v>4.8600000000000003</v>
      </c>
      <c r="C61" s="100">
        <v>50.06</v>
      </c>
      <c r="D61" s="100">
        <v>29.01</v>
      </c>
      <c r="E61" s="100">
        <v>7.15</v>
      </c>
      <c r="F61" s="100">
        <v>28.31</v>
      </c>
      <c r="G61" s="100">
        <v>51.46</v>
      </c>
      <c r="H61" s="100">
        <v>15.45</v>
      </c>
      <c r="I61" s="100">
        <v>5.92</v>
      </c>
      <c r="J61" s="100">
        <v>1.08</v>
      </c>
      <c r="K61" s="100">
        <v>311.52999999999997</v>
      </c>
      <c r="L61" s="100">
        <v>40.92</v>
      </c>
      <c r="M61" s="100">
        <v>17.940000000000001</v>
      </c>
      <c r="N61" s="100">
        <v>820.7</v>
      </c>
      <c r="O61" s="100">
        <v>0</v>
      </c>
      <c r="P61" s="100">
        <v>0.51</v>
      </c>
      <c r="Q61" s="100">
        <v>4.66</v>
      </c>
    </row>
    <row r="62" spans="1:17" customFormat="1">
      <c r="A62" s="100" t="s">
        <v>1827</v>
      </c>
      <c r="B62" s="100">
        <v>5.32</v>
      </c>
      <c r="C62" s="100">
        <v>49.67</v>
      </c>
      <c r="D62" s="100">
        <v>29.18</v>
      </c>
      <c r="E62" s="100">
        <v>6.92</v>
      </c>
      <c r="F62" s="100">
        <v>33.22</v>
      </c>
      <c r="G62" s="100">
        <v>51.43</v>
      </c>
      <c r="H62" s="100">
        <v>15.45</v>
      </c>
      <c r="I62" s="100">
        <v>5.78</v>
      </c>
      <c r="J62" s="100">
        <v>1.01</v>
      </c>
      <c r="K62" s="100">
        <v>312.5</v>
      </c>
      <c r="L62" s="100">
        <v>41.37</v>
      </c>
      <c r="M62" s="100">
        <v>17.13</v>
      </c>
      <c r="N62" s="100">
        <v>815.3</v>
      </c>
      <c r="O62" s="100">
        <v>0</v>
      </c>
      <c r="P62" s="100">
        <v>0.49</v>
      </c>
      <c r="Q62" s="100">
        <v>4.6399999999999997</v>
      </c>
    </row>
    <row r="63" spans="1:17" customFormat="1">
      <c r="A63" s="100" t="s">
        <v>1828</v>
      </c>
      <c r="B63" s="100">
        <v>4.6900000000000004</v>
      </c>
      <c r="C63" s="100">
        <v>49.05</v>
      </c>
      <c r="D63" s="100">
        <v>28.34</v>
      </c>
      <c r="E63" s="100">
        <v>6.71</v>
      </c>
      <c r="F63" s="100">
        <v>27.17</v>
      </c>
      <c r="G63" s="100">
        <v>51.43</v>
      </c>
      <c r="H63" s="100">
        <v>15.45</v>
      </c>
      <c r="I63" s="100">
        <v>5.68</v>
      </c>
      <c r="J63" s="100">
        <v>0.83</v>
      </c>
      <c r="K63" s="100">
        <v>269.49</v>
      </c>
      <c r="L63" s="100">
        <v>42.11</v>
      </c>
      <c r="M63" s="100">
        <v>16.84</v>
      </c>
      <c r="N63" s="100">
        <v>744</v>
      </c>
      <c r="O63" s="100">
        <v>0</v>
      </c>
      <c r="P63" s="100">
        <v>0.49</v>
      </c>
      <c r="Q63" s="100">
        <v>4.63</v>
      </c>
    </row>
    <row r="64" spans="1:17" customFormat="1">
      <c r="A64" s="100" t="s">
        <v>1829</v>
      </c>
      <c r="B64" s="100">
        <v>4.84</v>
      </c>
      <c r="C64" s="100">
        <v>51.75</v>
      </c>
      <c r="D64" s="100">
        <v>29.87</v>
      </c>
      <c r="E64" s="100">
        <v>6.51</v>
      </c>
      <c r="F64" s="100">
        <v>22.39</v>
      </c>
      <c r="G64" s="100">
        <v>51.43</v>
      </c>
      <c r="H64" s="100">
        <v>15.45</v>
      </c>
      <c r="I64" s="100">
        <v>5.46</v>
      </c>
      <c r="J64" s="100">
        <v>1.05</v>
      </c>
      <c r="K64" s="100">
        <v>278.95</v>
      </c>
      <c r="L64" s="100">
        <v>41.99</v>
      </c>
      <c r="M64" s="100">
        <v>17.66</v>
      </c>
      <c r="N64" s="100">
        <v>772.3</v>
      </c>
      <c r="O64" s="100">
        <v>0</v>
      </c>
      <c r="P64" s="100">
        <v>0.49</v>
      </c>
      <c r="Q64" s="100">
        <v>4.62</v>
      </c>
    </row>
    <row r="65" spans="1:17" customFormat="1">
      <c r="A65" s="100" t="s">
        <v>1830</v>
      </c>
      <c r="B65" s="100">
        <v>4.47</v>
      </c>
      <c r="C65" s="100">
        <v>51.32</v>
      </c>
      <c r="D65" s="100">
        <v>29.36</v>
      </c>
      <c r="E65" s="100">
        <v>6.47</v>
      </c>
      <c r="F65" s="100">
        <v>24.51</v>
      </c>
      <c r="G65" s="100">
        <v>42.89</v>
      </c>
      <c r="H65" s="100">
        <v>15.42</v>
      </c>
      <c r="I65" s="100">
        <v>5.55</v>
      </c>
      <c r="J65" s="100">
        <v>0.98</v>
      </c>
      <c r="K65" s="100">
        <v>271.57</v>
      </c>
      <c r="L65" s="100">
        <v>41.05</v>
      </c>
      <c r="M65" s="100">
        <v>18.940000000000001</v>
      </c>
      <c r="N65" s="100">
        <v>351.7</v>
      </c>
      <c r="O65" s="100">
        <v>0</v>
      </c>
      <c r="P65" s="100">
        <v>0.46</v>
      </c>
      <c r="Q65" s="100">
        <v>4.6100000000000003</v>
      </c>
    </row>
    <row r="66" spans="1:17" customFormat="1">
      <c r="A66" s="100" t="s">
        <v>1831</v>
      </c>
      <c r="B66" s="100">
        <v>5.59</v>
      </c>
      <c r="C66" s="100">
        <v>50.91</v>
      </c>
      <c r="D66" s="100">
        <v>30.03</v>
      </c>
      <c r="E66" s="100">
        <v>6.65</v>
      </c>
      <c r="F66" s="100">
        <v>29.1</v>
      </c>
      <c r="G66" s="100">
        <v>42.49</v>
      </c>
      <c r="H66" s="100">
        <v>15.42</v>
      </c>
      <c r="I66" s="100">
        <v>5.8</v>
      </c>
      <c r="J66" s="100">
        <v>0.8</v>
      </c>
      <c r="K66" s="100">
        <v>295.8</v>
      </c>
      <c r="L66" s="100">
        <v>40.090000000000003</v>
      </c>
      <c r="M66" s="100">
        <v>19.27</v>
      </c>
      <c r="N66" s="100">
        <v>441.8</v>
      </c>
      <c r="O66" s="100">
        <v>0</v>
      </c>
      <c r="P66" s="100">
        <v>0.46</v>
      </c>
      <c r="Q66" s="100">
        <v>4.63</v>
      </c>
    </row>
    <row r="67" spans="1:17" customFormat="1">
      <c r="A67" s="100" t="s">
        <v>1832</v>
      </c>
      <c r="B67" s="100">
        <v>4.91</v>
      </c>
      <c r="C67" s="100">
        <v>48.65</v>
      </c>
      <c r="D67" s="100">
        <v>28.31</v>
      </c>
      <c r="E67" s="100">
        <v>6.42</v>
      </c>
      <c r="F67" s="100">
        <v>25.8</v>
      </c>
      <c r="G67" s="100">
        <v>42.49</v>
      </c>
      <c r="H67" s="100">
        <v>15.42</v>
      </c>
      <c r="I67" s="100">
        <v>5.67</v>
      </c>
      <c r="J67" s="100">
        <v>0.87</v>
      </c>
      <c r="K67" s="100">
        <v>261.5</v>
      </c>
      <c r="L67" s="100">
        <v>41.18</v>
      </c>
      <c r="M67" s="100">
        <v>18.41</v>
      </c>
      <c r="N67" s="100">
        <v>682.6</v>
      </c>
      <c r="O67" s="100">
        <v>0</v>
      </c>
      <c r="P67" s="100">
        <v>0.45</v>
      </c>
      <c r="Q67" s="100">
        <v>4.62</v>
      </c>
    </row>
    <row r="68" spans="1:17" customFormat="1">
      <c r="A68" s="100" t="s">
        <v>1833</v>
      </c>
      <c r="B68" s="100">
        <v>4.3499999999999996</v>
      </c>
      <c r="C68" s="100">
        <v>47.71</v>
      </c>
      <c r="D68" s="100">
        <v>27.37</v>
      </c>
      <c r="E68" s="100">
        <v>6.37</v>
      </c>
      <c r="F68" s="100">
        <v>28.16</v>
      </c>
      <c r="G68" s="100">
        <v>42.49</v>
      </c>
      <c r="H68" s="100">
        <v>15.42</v>
      </c>
      <c r="I68" s="100">
        <v>5.15</v>
      </c>
      <c r="J68" s="100">
        <v>1.01</v>
      </c>
      <c r="K68" s="100">
        <v>262.31</v>
      </c>
      <c r="L68" s="100">
        <v>40.54</v>
      </c>
      <c r="M68" s="100">
        <v>18.57</v>
      </c>
      <c r="N68" s="100">
        <v>297.10000000000002</v>
      </c>
      <c r="O68" s="100">
        <v>0</v>
      </c>
      <c r="P68" s="100">
        <v>0.44</v>
      </c>
      <c r="Q68" s="100">
        <v>4.5999999999999996</v>
      </c>
    </row>
    <row r="69" spans="1:17" customFormat="1">
      <c r="A69" s="100" t="s">
        <v>1834</v>
      </c>
      <c r="B69" s="100">
        <v>4.24</v>
      </c>
      <c r="C69" s="100">
        <v>46.82</v>
      </c>
      <c r="D69" s="100">
        <v>26.82</v>
      </c>
      <c r="E69" s="100">
        <v>7.02</v>
      </c>
      <c r="F69" s="100">
        <v>28.63</v>
      </c>
      <c r="G69" s="100">
        <v>40.14</v>
      </c>
      <c r="H69" s="100">
        <v>13.07</v>
      </c>
      <c r="I69" s="100">
        <v>5.23</v>
      </c>
      <c r="J69" s="100">
        <v>0.64</v>
      </c>
      <c r="K69" s="100">
        <v>270.25</v>
      </c>
      <c r="L69" s="100">
        <v>41.22</v>
      </c>
      <c r="M69" s="100">
        <v>18.25</v>
      </c>
      <c r="N69" s="100">
        <v>642.5</v>
      </c>
      <c r="O69" s="100">
        <v>0</v>
      </c>
      <c r="P69" s="100">
        <v>0.42</v>
      </c>
      <c r="Q69" s="100">
        <v>4.59</v>
      </c>
    </row>
    <row r="70" spans="1:17" customFormat="1">
      <c r="A70" s="100" t="s">
        <v>1835</v>
      </c>
      <c r="B70" s="100">
        <v>4.38</v>
      </c>
      <c r="C70" s="100">
        <v>48.16</v>
      </c>
      <c r="D70" s="100">
        <v>27.63</v>
      </c>
      <c r="E70" s="100">
        <v>6.73</v>
      </c>
      <c r="F70" s="100">
        <v>26.5</v>
      </c>
      <c r="G70" s="100">
        <v>40.049999999999997</v>
      </c>
      <c r="H70" s="100">
        <v>13.07</v>
      </c>
      <c r="I70" s="100">
        <v>5.12</v>
      </c>
      <c r="J70" s="100">
        <v>0.8</v>
      </c>
      <c r="K70" s="100">
        <v>260.47000000000003</v>
      </c>
      <c r="L70" s="100">
        <v>40.79</v>
      </c>
      <c r="M70" s="100">
        <v>17.48</v>
      </c>
      <c r="N70" s="100">
        <v>278.7</v>
      </c>
      <c r="O70" s="100">
        <v>0</v>
      </c>
      <c r="P70" s="100">
        <v>0.43</v>
      </c>
      <c r="Q70" s="100">
        <v>4.58</v>
      </c>
    </row>
    <row r="71" spans="1:17" customFormat="1">
      <c r="A71" s="100" t="s">
        <v>1836</v>
      </c>
      <c r="B71" s="100">
        <v>5.51</v>
      </c>
      <c r="C71" s="100">
        <v>48.73</v>
      </c>
      <c r="D71" s="100">
        <v>28.83</v>
      </c>
      <c r="E71" s="100">
        <v>6.96</v>
      </c>
      <c r="F71" s="100">
        <v>28.74</v>
      </c>
      <c r="G71" s="100">
        <v>40.049999999999997</v>
      </c>
      <c r="H71" s="100">
        <v>13.07</v>
      </c>
      <c r="I71" s="100">
        <v>4.8600000000000003</v>
      </c>
      <c r="J71" s="100">
        <v>0.82</v>
      </c>
      <c r="K71" s="100">
        <v>282.62</v>
      </c>
      <c r="L71" s="100">
        <v>40.44</v>
      </c>
      <c r="M71" s="100">
        <v>17.22</v>
      </c>
      <c r="N71" s="100">
        <v>341.7</v>
      </c>
      <c r="O71" s="100">
        <v>0</v>
      </c>
      <c r="P71" s="100">
        <v>0.42</v>
      </c>
      <c r="Q71" s="100">
        <v>4.54</v>
      </c>
    </row>
    <row r="72" spans="1:17" customFormat="1">
      <c r="A72" s="100" t="s">
        <v>1837</v>
      </c>
      <c r="B72" s="100">
        <v>4.55</v>
      </c>
      <c r="C72" s="100">
        <v>44.38</v>
      </c>
      <c r="D72" s="100">
        <v>25.79</v>
      </c>
      <c r="E72" s="100">
        <v>6.84</v>
      </c>
      <c r="F72" s="100">
        <v>33.64</v>
      </c>
      <c r="G72" s="100">
        <v>40.049999999999997</v>
      </c>
      <c r="H72" s="100">
        <v>13.07</v>
      </c>
      <c r="I72" s="100">
        <v>4.9400000000000004</v>
      </c>
      <c r="J72" s="100">
        <v>0.93</v>
      </c>
      <c r="K72" s="100">
        <v>273.06</v>
      </c>
      <c r="L72" s="100">
        <v>40.94</v>
      </c>
      <c r="M72" s="100">
        <v>15.73</v>
      </c>
      <c r="N72" s="100">
        <v>467.7</v>
      </c>
      <c r="O72" s="100">
        <v>0</v>
      </c>
      <c r="P72" s="100">
        <v>0.4</v>
      </c>
      <c r="Q72" s="100">
        <v>4.55</v>
      </c>
    </row>
    <row r="73" spans="1:17" customFormat="1">
      <c r="A73" s="100" t="s">
        <v>1838</v>
      </c>
      <c r="B73" s="100">
        <v>4.37</v>
      </c>
      <c r="C73" s="100">
        <v>45.91</v>
      </c>
      <c r="D73" s="100">
        <v>26.45</v>
      </c>
      <c r="E73" s="100">
        <v>7.75</v>
      </c>
      <c r="F73" s="100">
        <v>29.85</v>
      </c>
      <c r="G73" s="100">
        <v>35.200000000000003</v>
      </c>
      <c r="H73" s="100">
        <v>11.09</v>
      </c>
      <c r="I73" s="100">
        <v>4.7</v>
      </c>
      <c r="J73" s="100">
        <v>0.92</v>
      </c>
      <c r="K73" s="100">
        <v>262.16000000000003</v>
      </c>
      <c r="L73" s="100">
        <v>40.43</v>
      </c>
      <c r="M73" s="100">
        <v>16.37</v>
      </c>
      <c r="N73" s="100">
        <v>234.2</v>
      </c>
      <c r="O73" s="100">
        <v>0</v>
      </c>
      <c r="P73" s="100">
        <v>0.42</v>
      </c>
      <c r="Q73" s="100">
        <v>4.5199999999999996</v>
      </c>
    </row>
    <row r="74" spans="1:17" customFormat="1">
      <c r="A74" s="100" t="s">
        <v>1839</v>
      </c>
      <c r="B74" s="100">
        <v>4.07</v>
      </c>
      <c r="C74" s="100">
        <v>45.34</v>
      </c>
      <c r="D74" s="100">
        <v>25.91</v>
      </c>
      <c r="E74" s="100">
        <v>8.66</v>
      </c>
      <c r="F74" s="100">
        <v>30.59</v>
      </c>
      <c r="G74" s="100">
        <v>34.979999999999997</v>
      </c>
      <c r="H74" s="100">
        <v>11.09</v>
      </c>
      <c r="I74" s="100">
        <v>4.58</v>
      </c>
      <c r="J74" s="100">
        <v>0.69</v>
      </c>
      <c r="K74" s="100">
        <v>266.56</v>
      </c>
      <c r="L74" s="100">
        <v>39.58</v>
      </c>
      <c r="M74" s="100">
        <v>17.079999999999998</v>
      </c>
      <c r="N74" s="100">
        <v>86.4</v>
      </c>
      <c r="O74" s="100">
        <v>0</v>
      </c>
      <c r="P74" s="100">
        <v>0.41</v>
      </c>
      <c r="Q74" s="100">
        <v>4.5199999999999996</v>
      </c>
    </row>
    <row r="75" spans="1:17" customFormat="1">
      <c r="A75" s="100" t="s">
        <v>1840</v>
      </c>
      <c r="B75" s="100">
        <v>3.6</v>
      </c>
      <c r="C75" s="100">
        <v>44.05</v>
      </c>
      <c r="D75" s="100">
        <v>24.86</v>
      </c>
      <c r="E75" s="100">
        <v>8.35</v>
      </c>
      <c r="F75" s="100">
        <v>37.08</v>
      </c>
      <c r="G75" s="100">
        <v>34.979999999999997</v>
      </c>
      <c r="H75" s="100">
        <v>11.09</v>
      </c>
      <c r="I75" s="100">
        <v>4.58</v>
      </c>
      <c r="J75" s="100">
        <v>0.89</v>
      </c>
      <c r="K75" s="100">
        <v>258.5</v>
      </c>
      <c r="L75" s="100">
        <v>38.94</v>
      </c>
      <c r="M75" s="100">
        <v>17.5</v>
      </c>
      <c r="N75" s="100">
        <v>73.2</v>
      </c>
      <c r="O75" s="100">
        <v>0</v>
      </c>
      <c r="P75" s="100">
        <v>0.43</v>
      </c>
      <c r="Q75" s="100">
        <v>4.5199999999999996</v>
      </c>
    </row>
    <row r="76" spans="1:17" customFormat="1">
      <c r="A76" s="100" t="s">
        <v>1841</v>
      </c>
      <c r="B76" s="100">
        <v>4.6100000000000003</v>
      </c>
      <c r="C76" s="100">
        <v>47.62</v>
      </c>
      <c r="D76" s="100">
        <v>27.53</v>
      </c>
      <c r="E76" s="100">
        <v>12.12</v>
      </c>
      <c r="F76" s="100">
        <v>35.69</v>
      </c>
      <c r="G76" s="100">
        <v>34.979999999999997</v>
      </c>
      <c r="H76" s="100">
        <v>11.09</v>
      </c>
      <c r="I76" s="100">
        <v>4.6100000000000003</v>
      </c>
      <c r="J76" s="100">
        <v>0.68</v>
      </c>
      <c r="K76" s="100">
        <v>271.39</v>
      </c>
      <c r="L76" s="100">
        <v>39.06</v>
      </c>
      <c r="M76" s="100">
        <v>17.420000000000002</v>
      </c>
      <c r="N76" s="100">
        <v>136.4</v>
      </c>
      <c r="O76" s="100">
        <v>0</v>
      </c>
      <c r="P76" s="100">
        <v>0.47</v>
      </c>
      <c r="Q76" s="100">
        <v>4.55</v>
      </c>
    </row>
    <row r="77" spans="1:17" customFormat="1">
      <c r="A77" s="100" t="s">
        <v>1842</v>
      </c>
      <c r="B77" s="100">
        <v>5.49</v>
      </c>
      <c r="C77" s="100">
        <v>51.32</v>
      </c>
      <c r="D77" s="100">
        <v>30.16</v>
      </c>
      <c r="E77" s="100">
        <v>12.46</v>
      </c>
      <c r="F77" s="100">
        <v>35.61</v>
      </c>
      <c r="G77" s="100">
        <v>34.619999999999997</v>
      </c>
      <c r="H77" s="100">
        <v>12.46</v>
      </c>
      <c r="I77" s="100">
        <v>4.78</v>
      </c>
      <c r="J77" s="100">
        <v>0.78</v>
      </c>
      <c r="K77" s="100">
        <v>297.37</v>
      </c>
      <c r="L77" s="100">
        <v>39.369999999999997</v>
      </c>
      <c r="M77" s="100">
        <v>18.440000000000001</v>
      </c>
      <c r="N77" s="100">
        <v>101.2</v>
      </c>
      <c r="O77" s="100">
        <v>0</v>
      </c>
      <c r="P77" s="100">
        <v>0.44</v>
      </c>
      <c r="Q77" s="100">
        <v>4.5599999999999996</v>
      </c>
    </row>
    <row r="78" spans="1:17" customFormat="1">
      <c r="A78" s="100" t="s">
        <v>1843</v>
      </c>
      <c r="B78" s="100">
        <v>7.57</v>
      </c>
      <c r="C78" s="100">
        <v>46.44</v>
      </c>
      <c r="D78" s="100">
        <v>29.29</v>
      </c>
      <c r="E78" s="100">
        <v>12.34</v>
      </c>
      <c r="F78" s="100">
        <v>33.729999999999997</v>
      </c>
      <c r="G78" s="100">
        <v>34.61</v>
      </c>
      <c r="H78" s="100">
        <v>12.46</v>
      </c>
      <c r="I78" s="100">
        <v>4.76</v>
      </c>
      <c r="J78" s="100">
        <v>0.39</v>
      </c>
      <c r="K78" s="100">
        <v>280.39</v>
      </c>
      <c r="L78" s="100">
        <v>39.11</v>
      </c>
      <c r="M78" s="100">
        <v>19.22</v>
      </c>
      <c r="N78" s="100">
        <v>71.7</v>
      </c>
      <c r="O78" s="100">
        <v>0</v>
      </c>
      <c r="P78" s="100">
        <v>0.45</v>
      </c>
      <c r="Q78" s="100">
        <v>4.5599999999999996</v>
      </c>
    </row>
    <row r="79" spans="1:17" customFormat="1">
      <c r="A79" s="100" t="s">
        <v>1844</v>
      </c>
      <c r="B79" s="100">
        <v>6.43</v>
      </c>
      <c r="C79" s="100">
        <v>51.2</v>
      </c>
      <c r="D79" s="100">
        <v>30.86</v>
      </c>
      <c r="E79" s="100">
        <v>8.3699999999999992</v>
      </c>
      <c r="F79" s="100">
        <v>29.08</v>
      </c>
      <c r="G79" s="100">
        <v>34.61</v>
      </c>
      <c r="H79" s="100">
        <v>12.46</v>
      </c>
      <c r="I79" s="100">
        <v>4.45</v>
      </c>
      <c r="J79" s="100">
        <v>0.71</v>
      </c>
      <c r="K79" s="100">
        <v>287.83999999999997</v>
      </c>
      <c r="L79" s="100">
        <v>38.950000000000003</v>
      </c>
      <c r="M79" s="100">
        <v>16.350000000000001</v>
      </c>
      <c r="N79" s="100">
        <v>60.5</v>
      </c>
      <c r="O79" s="100">
        <v>0</v>
      </c>
      <c r="P79" s="100">
        <v>0.49</v>
      </c>
      <c r="Q79" s="100">
        <v>4.5999999999999996</v>
      </c>
    </row>
    <row r="80" spans="1:17" customFormat="1">
      <c r="A80" s="100" t="s">
        <v>1845</v>
      </c>
      <c r="B80" s="100">
        <v>6.13</v>
      </c>
      <c r="C80" s="100">
        <v>50.53</v>
      </c>
      <c r="D80" s="100">
        <v>30.27</v>
      </c>
      <c r="E80" s="100">
        <v>7.81</v>
      </c>
      <c r="F80" s="100">
        <v>34.39</v>
      </c>
      <c r="G80" s="100">
        <v>34.61</v>
      </c>
      <c r="H80" s="100">
        <v>12.46</v>
      </c>
      <c r="I80" s="100">
        <v>4.29</v>
      </c>
      <c r="J80" s="100">
        <v>0.76</v>
      </c>
      <c r="K80" s="100">
        <v>253.51</v>
      </c>
      <c r="L80" s="100">
        <v>38.44</v>
      </c>
      <c r="M80" s="100">
        <v>16.63</v>
      </c>
      <c r="N80" s="100">
        <v>29.9</v>
      </c>
      <c r="O80" s="100">
        <v>0</v>
      </c>
      <c r="P80" s="100">
        <v>0.45</v>
      </c>
      <c r="Q80" s="100">
        <v>4.5999999999999996</v>
      </c>
    </row>
    <row r="81" spans="1:17" customFormat="1">
      <c r="A81" s="100" t="s">
        <v>1846</v>
      </c>
      <c r="B81" s="100">
        <v>4.54</v>
      </c>
      <c r="C81" s="100">
        <v>43.68</v>
      </c>
      <c r="D81" s="100">
        <v>25.41</v>
      </c>
      <c r="E81" s="100">
        <v>7</v>
      </c>
      <c r="F81" s="100">
        <v>39.25</v>
      </c>
      <c r="G81" s="100">
        <v>36.07</v>
      </c>
      <c r="H81" s="100">
        <v>9.06</v>
      </c>
      <c r="I81" s="100">
        <v>4.42</v>
      </c>
      <c r="J81" s="100">
        <v>0.73</v>
      </c>
      <c r="K81" s="100">
        <v>253.76</v>
      </c>
      <c r="L81" s="100">
        <v>37.78</v>
      </c>
      <c r="M81" s="100">
        <v>17.670000000000002</v>
      </c>
      <c r="N81" s="100">
        <v>3.5</v>
      </c>
      <c r="O81" s="100">
        <v>0</v>
      </c>
      <c r="P81" s="100">
        <v>0.42</v>
      </c>
      <c r="Q81" s="100">
        <v>4.62</v>
      </c>
    </row>
    <row r="82" spans="1:17" customFormat="1">
      <c r="A82" s="100" t="s">
        <v>1847</v>
      </c>
      <c r="B82" s="100">
        <v>4.0599999999999996</v>
      </c>
      <c r="C82" s="100">
        <v>41.9</v>
      </c>
      <c r="D82" s="100">
        <v>24.11</v>
      </c>
      <c r="E82" s="100">
        <v>5.55</v>
      </c>
      <c r="F82" s="100">
        <v>42.35</v>
      </c>
      <c r="G82" s="100">
        <v>36.119999999999997</v>
      </c>
      <c r="H82" s="100">
        <v>9.06</v>
      </c>
      <c r="I82" s="100">
        <v>4.2300000000000004</v>
      </c>
      <c r="J82" s="100">
        <v>0.46</v>
      </c>
      <c r="K82" s="100">
        <v>245.03</v>
      </c>
      <c r="L82" s="100">
        <v>37.19</v>
      </c>
      <c r="M82" s="100">
        <v>18.72</v>
      </c>
      <c r="N82" s="100">
        <v>0</v>
      </c>
      <c r="O82" s="100">
        <v>0</v>
      </c>
      <c r="P82" s="100">
        <v>0.41</v>
      </c>
      <c r="Q82" s="100">
        <v>4.57</v>
      </c>
    </row>
    <row r="83" spans="1:17" customFormat="1">
      <c r="A83" s="100" t="s">
        <v>1848</v>
      </c>
      <c r="B83" s="100">
        <v>3.78</v>
      </c>
      <c r="C83" s="100">
        <v>37.47</v>
      </c>
      <c r="D83" s="100">
        <v>21.56</v>
      </c>
      <c r="E83" s="100">
        <v>5.92</v>
      </c>
      <c r="F83" s="100">
        <v>42.14</v>
      </c>
      <c r="G83" s="100">
        <v>36.119999999999997</v>
      </c>
      <c r="H83" s="100">
        <v>9.06</v>
      </c>
      <c r="I83" s="100">
        <v>4.01</v>
      </c>
      <c r="J83" s="100">
        <v>0.23</v>
      </c>
      <c r="K83" s="100">
        <v>209.89</v>
      </c>
      <c r="L83" s="100">
        <v>36.340000000000003</v>
      </c>
      <c r="M83" s="100">
        <v>20.64</v>
      </c>
      <c r="N83" s="100">
        <v>0</v>
      </c>
      <c r="O83" s="100">
        <v>0</v>
      </c>
      <c r="P83" s="100">
        <v>0.41</v>
      </c>
      <c r="Q83" s="100">
        <v>4.54</v>
      </c>
    </row>
    <row r="84" spans="1:17" customFormat="1">
      <c r="A84" s="100" t="s">
        <v>1849</v>
      </c>
      <c r="B84" s="100">
        <v>3.69</v>
      </c>
      <c r="C84" s="100">
        <v>37.770000000000003</v>
      </c>
      <c r="D84" s="100">
        <v>21.65</v>
      </c>
      <c r="E84" s="100">
        <v>5.69</v>
      </c>
      <c r="F84" s="100">
        <v>41.97</v>
      </c>
      <c r="G84" s="100">
        <v>36.119999999999997</v>
      </c>
      <c r="H84" s="100">
        <v>9.06</v>
      </c>
      <c r="I84" s="100">
        <v>3.8</v>
      </c>
      <c r="J84" s="100">
        <v>0.3</v>
      </c>
      <c r="K84" s="100">
        <v>214.41</v>
      </c>
      <c r="L84" s="100">
        <v>35.9</v>
      </c>
      <c r="M84" s="100">
        <v>21.77</v>
      </c>
      <c r="N84" s="100">
        <v>0</v>
      </c>
      <c r="O84" s="100">
        <v>0</v>
      </c>
      <c r="P84" s="100">
        <v>0.43</v>
      </c>
      <c r="Q84" s="100">
        <v>4.5199999999999996</v>
      </c>
    </row>
    <row r="85" spans="1:17" customFormat="1">
      <c r="A85" s="100" t="s">
        <v>1850</v>
      </c>
      <c r="B85" s="100">
        <v>3.73</v>
      </c>
      <c r="C85" s="100">
        <v>40.4</v>
      </c>
      <c r="D85" s="100">
        <v>23.05</v>
      </c>
      <c r="E85" s="100">
        <v>6.09</v>
      </c>
      <c r="F85" s="100">
        <v>38.85</v>
      </c>
      <c r="G85" s="100">
        <v>33.369999999999997</v>
      </c>
      <c r="H85" s="100">
        <v>7.69</v>
      </c>
      <c r="I85" s="100">
        <v>3.68</v>
      </c>
      <c r="J85" s="100">
        <v>0.28000000000000003</v>
      </c>
      <c r="K85" s="100">
        <v>210.03</v>
      </c>
      <c r="L85" s="100">
        <v>35.51</v>
      </c>
      <c r="M85" s="100">
        <v>22.79</v>
      </c>
      <c r="N85" s="100">
        <v>0</v>
      </c>
      <c r="O85" s="100">
        <v>0</v>
      </c>
      <c r="P85" s="100">
        <v>0.45</v>
      </c>
      <c r="Q85" s="100">
        <v>4.5199999999999996</v>
      </c>
    </row>
    <row r="86" spans="1:17" customFormat="1">
      <c r="A86" s="100" t="s">
        <v>1851</v>
      </c>
      <c r="B86" s="100">
        <v>3.25</v>
      </c>
      <c r="C86" s="100">
        <v>34.409999999999997</v>
      </c>
      <c r="D86" s="100">
        <v>19.54</v>
      </c>
      <c r="E86" s="100">
        <v>5.83</v>
      </c>
      <c r="F86" s="100">
        <v>40.19</v>
      </c>
      <c r="G86" s="100">
        <v>33.24</v>
      </c>
      <c r="H86" s="100">
        <v>7.69</v>
      </c>
      <c r="I86" s="100">
        <v>3.78</v>
      </c>
      <c r="J86" s="100">
        <v>0.22</v>
      </c>
      <c r="K86" s="100">
        <v>190.35</v>
      </c>
      <c r="L86" s="100">
        <v>35.17</v>
      </c>
      <c r="M86" s="100">
        <v>24.04</v>
      </c>
      <c r="N86" s="100">
        <v>0</v>
      </c>
      <c r="O86" s="100">
        <v>0</v>
      </c>
      <c r="P86" s="100">
        <v>0.44</v>
      </c>
      <c r="Q86" s="100">
        <v>4.51</v>
      </c>
    </row>
    <row r="87" spans="1:17" customFormat="1">
      <c r="A87" s="100" t="s">
        <v>1852</v>
      </c>
      <c r="B87" s="100">
        <v>3.64</v>
      </c>
      <c r="C87" s="100">
        <v>37.979999999999997</v>
      </c>
      <c r="D87" s="100">
        <v>21.72</v>
      </c>
      <c r="E87" s="100">
        <v>5.97</v>
      </c>
      <c r="F87" s="100">
        <v>37.03</v>
      </c>
      <c r="G87" s="100">
        <v>33.24</v>
      </c>
      <c r="H87" s="100">
        <v>7.69</v>
      </c>
      <c r="I87" s="100">
        <v>3.91</v>
      </c>
      <c r="J87" s="100">
        <v>0.23</v>
      </c>
      <c r="K87" s="100">
        <v>189.1</v>
      </c>
      <c r="L87" s="100">
        <v>34.67</v>
      </c>
      <c r="M87" s="100">
        <v>25.35</v>
      </c>
      <c r="N87" s="100">
        <v>0</v>
      </c>
      <c r="O87" s="100">
        <v>0</v>
      </c>
      <c r="P87" s="100">
        <v>0.47</v>
      </c>
      <c r="Q87" s="100">
        <v>4.53</v>
      </c>
    </row>
    <row r="88" spans="1:17" customFormat="1">
      <c r="A88" s="100" t="s">
        <v>1853</v>
      </c>
      <c r="B88" s="100">
        <v>4.03</v>
      </c>
      <c r="C88" s="100">
        <v>40.93</v>
      </c>
      <c r="D88" s="100">
        <v>23.57</v>
      </c>
      <c r="E88" s="100">
        <v>6.53</v>
      </c>
      <c r="F88" s="100">
        <v>35.76</v>
      </c>
      <c r="G88" s="100">
        <v>33.24</v>
      </c>
      <c r="H88" s="100">
        <v>7.69</v>
      </c>
      <c r="I88" s="100">
        <v>4.04</v>
      </c>
      <c r="J88" s="100">
        <v>0.24</v>
      </c>
      <c r="K88" s="100">
        <v>202.26</v>
      </c>
      <c r="L88" s="100">
        <v>34.29</v>
      </c>
      <c r="M88" s="100">
        <v>26.46</v>
      </c>
      <c r="N88" s="100">
        <v>0</v>
      </c>
      <c r="O88" s="100">
        <v>0</v>
      </c>
      <c r="P88" s="100">
        <v>0.5</v>
      </c>
      <c r="Q88" s="100">
        <v>4.51</v>
      </c>
    </row>
    <row r="89" spans="1:17" customFormat="1">
      <c r="A89" s="100" t="s">
        <v>1854</v>
      </c>
      <c r="B89" s="100">
        <v>4.1399999999999997</v>
      </c>
      <c r="C89" s="100">
        <v>43.56</v>
      </c>
      <c r="D89" s="100">
        <v>25.03</v>
      </c>
      <c r="E89" s="100">
        <v>6.62</v>
      </c>
      <c r="F89" s="100">
        <v>33.97</v>
      </c>
      <c r="G89" s="100">
        <v>39.39</v>
      </c>
      <c r="H89" s="100">
        <v>11.87</v>
      </c>
      <c r="I89" s="100">
        <v>4.26</v>
      </c>
      <c r="J89" s="100">
        <v>0.3</v>
      </c>
      <c r="K89" s="100">
        <v>221.56</v>
      </c>
      <c r="L89" s="100">
        <v>34.270000000000003</v>
      </c>
      <c r="M89" s="100">
        <v>26.43</v>
      </c>
      <c r="N89" s="100">
        <v>0</v>
      </c>
      <c r="O89" s="100">
        <v>0</v>
      </c>
      <c r="P89" s="100">
        <v>0.51</v>
      </c>
      <c r="Q89" s="100">
        <v>4.53</v>
      </c>
    </row>
    <row r="90" spans="1:17" customFormat="1">
      <c r="A90" s="100" t="s">
        <v>1855</v>
      </c>
      <c r="B90" s="100">
        <v>4.3099999999999996</v>
      </c>
      <c r="C90" s="100">
        <v>41.93</v>
      </c>
      <c r="D90" s="100">
        <v>24.32</v>
      </c>
      <c r="E90" s="100">
        <v>7.02</v>
      </c>
      <c r="F90" s="100">
        <v>32.42</v>
      </c>
      <c r="G90" s="100">
        <v>39.61</v>
      </c>
      <c r="H90" s="100">
        <v>11.87</v>
      </c>
      <c r="I90" s="100">
        <v>4.47</v>
      </c>
      <c r="J90" s="100">
        <v>0.23</v>
      </c>
      <c r="K90" s="100">
        <v>197.4</v>
      </c>
      <c r="L90" s="100">
        <v>34.049999999999997</v>
      </c>
      <c r="M90" s="100">
        <v>27.43</v>
      </c>
      <c r="N90" s="100">
        <v>0</v>
      </c>
      <c r="O90" s="100">
        <v>0</v>
      </c>
      <c r="P90" s="100">
        <v>0.52</v>
      </c>
      <c r="Q90" s="100">
        <v>4.53</v>
      </c>
    </row>
    <row r="91" spans="1:17" customFormat="1">
      <c r="A91" s="100" t="s">
        <v>1856</v>
      </c>
      <c r="B91" s="100">
        <v>4.28</v>
      </c>
      <c r="C91" s="100">
        <v>40.21</v>
      </c>
      <c r="D91" s="100">
        <v>23.4</v>
      </c>
      <c r="E91" s="100">
        <v>6.7</v>
      </c>
      <c r="F91" s="100">
        <v>32.81</v>
      </c>
      <c r="G91" s="100">
        <v>39.61</v>
      </c>
      <c r="H91" s="100">
        <v>11.87</v>
      </c>
      <c r="I91" s="100">
        <v>4.53</v>
      </c>
      <c r="J91" s="100">
        <v>0.22</v>
      </c>
      <c r="K91" s="100">
        <v>195.2</v>
      </c>
      <c r="L91" s="100">
        <v>33.68</v>
      </c>
      <c r="M91" s="100">
        <v>28.31</v>
      </c>
      <c r="N91" s="100">
        <v>0</v>
      </c>
      <c r="O91" s="100">
        <v>0</v>
      </c>
      <c r="P91" s="100">
        <v>0.54</v>
      </c>
      <c r="Q91" s="100">
        <v>4.5199999999999996</v>
      </c>
    </row>
    <row r="92" spans="1:17" customFormat="1">
      <c r="A92" s="100" t="s">
        <v>1857</v>
      </c>
      <c r="B92" s="100">
        <v>4.0999999999999996</v>
      </c>
      <c r="C92" s="100">
        <v>40.299999999999997</v>
      </c>
      <c r="D92" s="100">
        <v>23.29</v>
      </c>
      <c r="E92" s="100">
        <v>7.6</v>
      </c>
      <c r="F92" s="100">
        <v>33.869999999999997</v>
      </c>
      <c r="G92" s="100">
        <v>39.61</v>
      </c>
      <c r="H92" s="100">
        <v>11.87</v>
      </c>
      <c r="I92" s="100">
        <v>4.59</v>
      </c>
      <c r="J92" s="100">
        <v>0.22</v>
      </c>
      <c r="K92" s="100">
        <v>197.85</v>
      </c>
      <c r="L92" s="100">
        <v>33.450000000000003</v>
      </c>
      <c r="M92" s="100">
        <v>29.59</v>
      </c>
      <c r="N92" s="100">
        <v>0</v>
      </c>
      <c r="O92" s="100">
        <v>0</v>
      </c>
      <c r="P92" s="100">
        <v>0.56999999999999995</v>
      </c>
      <c r="Q92" s="100">
        <v>4.53</v>
      </c>
    </row>
    <row r="93" spans="1:17" customFormat="1">
      <c r="A93" s="100" t="s">
        <v>1858</v>
      </c>
      <c r="B93" s="100">
        <v>4.67</v>
      </c>
      <c r="C93" s="100">
        <v>43.67</v>
      </c>
      <c r="D93" s="100">
        <v>25.52</v>
      </c>
      <c r="E93" s="100">
        <v>7.6</v>
      </c>
      <c r="F93" s="100">
        <v>24.15</v>
      </c>
      <c r="G93" s="100">
        <v>43.29</v>
      </c>
      <c r="H93" s="100">
        <v>11.87</v>
      </c>
      <c r="I93" s="100">
        <v>4.6900000000000004</v>
      </c>
      <c r="J93" s="100">
        <v>0.31</v>
      </c>
      <c r="K93" s="100">
        <v>173.41</v>
      </c>
      <c r="L93" s="100">
        <v>32.840000000000003</v>
      </c>
      <c r="M93" s="100">
        <v>32.69</v>
      </c>
      <c r="N93" s="100">
        <v>0</v>
      </c>
      <c r="O93" s="100">
        <v>0</v>
      </c>
      <c r="P93" s="100">
        <v>0.57999999999999996</v>
      </c>
      <c r="Q93" s="100">
        <v>4.55</v>
      </c>
    </row>
    <row r="94" spans="1:17" customFormat="1">
      <c r="A94" s="100" t="s">
        <v>1859</v>
      </c>
      <c r="B94" s="100">
        <v>5.59</v>
      </c>
      <c r="C94" s="100">
        <v>48.46</v>
      </c>
      <c r="D94" s="100">
        <v>28.75</v>
      </c>
      <c r="E94" s="100">
        <v>6</v>
      </c>
      <c r="F94" s="100">
        <v>16.02</v>
      </c>
      <c r="G94" s="100">
        <v>43.46</v>
      </c>
      <c r="H94" s="100">
        <v>11.87</v>
      </c>
      <c r="I94" s="100">
        <v>4.76</v>
      </c>
      <c r="J94" s="100">
        <v>0.28000000000000003</v>
      </c>
      <c r="K94" s="100">
        <v>178.51</v>
      </c>
      <c r="L94" s="100">
        <v>31.86</v>
      </c>
      <c r="M94" s="100">
        <v>35.21</v>
      </c>
      <c r="N94" s="100">
        <v>0</v>
      </c>
      <c r="O94" s="100">
        <v>0</v>
      </c>
      <c r="P94" s="100">
        <v>0.56000000000000005</v>
      </c>
      <c r="Q94" s="100">
        <v>4.5599999999999996</v>
      </c>
    </row>
    <row r="95" spans="1:17" customFormat="1">
      <c r="A95" s="100" t="s">
        <v>1860</v>
      </c>
      <c r="B95" s="100">
        <v>5.35</v>
      </c>
      <c r="C95" s="100">
        <v>44.78</v>
      </c>
      <c r="D95" s="100">
        <v>26.64</v>
      </c>
      <c r="E95" s="100">
        <v>7.36</v>
      </c>
      <c r="F95" s="100">
        <v>23.51</v>
      </c>
      <c r="G95" s="100">
        <v>43.46</v>
      </c>
      <c r="H95" s="100">
        <v>11.87</v>
      </c>
      <c r="I95" s="100">
        <v>4.9400000000000004</v>
      </c>
      <c r="J95" s="100">
        <v>0.19</v>
      </c>
      <c r="K95" s="100">
        <v>167.45</v>
      </c>
      <c r="L95" s="100">
        <v>31.51</v>
      </c>
      <c r="M95" s="100">
        <v>35.590000000000003</v>
      </c>
      <c r="N95" s="100">
        <v>0</v>
      </c>
      <c r="O95" s="100">
        <v>0</v>
      </c>
      <c r="P95" s="100">
        <v>0.56999999999999995</v>
      </c>
      <c r="Q95" s="100">
        <v>4.57</v>
      </c>
    </row>
    <row r="96" spans="1:17" customFormat="1">
      <c r="A96" s="100" t="s">
        <v>1861</v>
      </c>
      <c r="B96" s="100">
        <v>5.43</v>
      </c>
      <c r="C96" s="100">
        <v>43.2</v>
      </c>
      <c r="D96" s="100">
        <v>25.88</v>
      </c>
      <c r="E96" s="100">
        <v>8.2100000000000009</v>
      </c>
      <c r="F96" s="100">
        <v>26.52</v>
      </c>
      <c r="G96" s="100">
        <v>43.46</v>
      </c>
      <c r="H96" s="100">
        <v>11.87</v>
      </c>
      <c r="I96" s="100">
        <v>5.04</v>
      </c>
      <c r="J96" s="100">
        <v>0.22</v>
      </c>
      <c r="K96" s="100">
        <v>160.80000000000001</v>
      </c>
      <c r="L96" s="100">
        <v>31.77</v>
      </c>
      <c r="M96" s="100">
        <v>35.51</v>
      </c>
      <c r="N96" s="100">
        <v>0</v>
      </c>
      <c r="O96" s="100">
        <v>0</v>
      </c>
      <c r="P96" s="100">
        <v>0.55000000000000004</v>
      </c>
      <c r="Q96" s="100">
        <v>4.58</v>
      </c>
    </row>
    <row r="97" spans="1:22" customFormat="1">
      <c r="A97" s="100" t="s">
        <v>1862</v>
      </c>
      <c r="B97" s="100">
        <v>5.41</v>
      </c>
      <c r="C97" s="100">
        <v>42.47</v>
      </c>
      <c r="D97" s="100">
        <v>25.48</v>
      </c>
      <c r="E97" s="100">
        <v>7.46</v>
      </c>
      <c r="F97" s="100">
        <v>22.48</v>
      </c>
      <c r="G97" s="100">
        <v>46.02</v>
      </c>
      <c r="H97" s="100">
        <v>14.51</v>
      </c>
      <c r="I97" s="100">
        <v>4.79</v>
      </c>
      <c r="J97" s="100">
        <v>0.23</v>
      </c>
      <c r="K97" s="100">
        <v>166.02</v>
      </c>
      <c r="L97" s="100">
        <v>31.2</v>
      </c>
      <c r="M97" s="100">
        <v>38.39</v>
      </c>
      <c r="N97" s="100">
        <v>0</v>
      </c>
      <c r="O97" s="100">
        <v>0</v>
      </c>
      <c r="P97" s="100">
        <v>0.55000000000000004</v>
      </c>
      <c r="Q97" s="100">
        <v>4.59</v>
      </c>
    </row>
    <row r="98" spans="1:22" customFormat="1">
      <c r="A98" s="100" t="s">
        <v>1863</v>
      </c>
      <c r="B98" s="100">
        <v>6.05</v>
      </c>
      <c r="C98" s="100">
        <v>44.59</v>
      </c>
      <c r="D98" s="100">
        <v>27.11</v>
      </c>
      <c r="E98" s="100">
        <v>6.36</v>
      </c>
      <c r="F98" s="100">
        <v>18.93</v>
      </c>
      <c r="G98" s="100">
        <v>46.11</v>
      </c>
      <c r="H98" s="100">
        <v>14.51</v>
      </c>
      <c r="I98" s="100">
        <v>4.66</v>
      </c>
      <c r="J98" s="100">
        <v>0.18</v>
      </c>
      <c r="K98" s="100">
        <v>184.3</v>
      </c>
      <c r="L98" s="100">
        <v>30.52</v>
      </c>
      <c r="M98" s="100">
        <v>40.5</v>
      </c>
      <c r="N98" s="100">
        <v>0</v>
      </c>
      <c r="O98" s="100">
        <v>0</v>
      </c>
      <c r="P98" s="100">
        <v>0.55000000000000004</v>
      </c>
      <c r="Q98" s="100">
        <v>4.59</v>
      </c>
    </row>
    <row r="99" spans="1:22" customFormat="1">
      <c r="A99" s="100" t="s">
        <v>1864</v>
      </c>
      <c r="B99" s="100">
        <v>6.15</v>
      </c>
      <c r="C99" s="100">
        <v>44.81</v>
      </c>
      <c r="D99" s="100">
        <v>27.3</v>
      </c>
      <c r="E99" s="100">
        <v>6.94</v>
      </c>
      <c r="F99" s="100">
        <v>19.899999999999999</v>
      </c>
      <c r="G99" s="100">
        <v>46.11</v>
      </c>
      <c r="H99" s="100">
        <v>14.51</v>
      </c>
      <c r="I99" s="100">
        <v>4.87</v>
      </c>
      <c r="J99" s="100">
        <v>0.22</v>
      </c>
      <c r="K99" s="100">
        <v>155.83000000000001</v>
      </c>
      <c r="L99" s="100">
        <v>30.25</v>
      </c>
      <c r="M99" s="100">
        <v>40.86</v>
      </c>
      <c r="N99" s="100">
        <v>0</v>
      </c>
      <c r="O99" s="100">
        <v>0</v>
      </c>
      <c r="P99" s="100">
        <v>0.55000000000000004</v>
      </c>
      <c r="Q99" s="100">
        <v>4.5999999999999996</v>
      </c>
    </row>
    <row r="100" spans="1:22" customFormat="1">
      <c r="A100" s="100" t="s">
        <v>1865</v>
      </c>
      <c r="B100" s="100">
        <v>6.88</v>
      </c>
      <c r="C100" s="100">
        <v>46.73</v>
      </c>
      <c r="D100" s="100">
        <v>28.88</v>
      </c>
      <c r="E100" s="100">
        <v>6.07</v>
      </c>
      <c r="F100" s="100">
        <v>15.3</v>
      </c>
      <c r="G100" s="100">
        <v>46.11</v>
      </c>
      <c r="H100" s="100">
        <v>14.51</v>
      </c>
      <c r="I100" s="100">
        <v>4.99</v>
      </c>
      <c r="J100" s="100">
        <v>0.22</v>
      </c>
      <c r="K100" s="100">
        <v>163.98</v>
      </c>
      <c r="L100" s="100">
        <v>29.88</v>
      </c>
      <c r="M100" s="100">
        <v>43.29</v>
      </c>
      <c r="N100" s="100">
        <v>0</v>
      </c>
      <c r="O100" s="100">
        <v>0</v>
      </c>
      <c r="P100" s="100">
        <v>0.56000000000000005</v>
      </c>
      <c r="Q100" s="100">
        <v>4.63</v>
      </c>
    </row>
    <row r="101" spans="1:22" customFormat="1">
      <c r="A101" s="100" t="s">
        <v>1866</v>
      </c>
      <c r="B101" s="100">
        <v>6.76</v>
      </c>
      <c r="C101" s="100">
        <v>45.32</v>
      </c>
      <c r="D101" s="100">
        <v>28.06</v>
      </c>
      <c r="E101" s="100">
        <v>6.5</v>
      </c>
      <c r="F101" s="100">
        <v>18.600000000000001</v>
      </c>
      <c r="G101" s="100">
        <v>47.88</v>
      </c>
      <c r="H101" s="100">
        <v>13.74</v>
      </c>
      <c r="I101" s="100">
        <v>4.97</v>
      </c>
      <c r="J101" s="100">
        <v>0.21</v>
      </c>
      <c r="K101" s="100">
        <v>159.87</v>
      </c>
      <c r="L101" s="100">
        <v>29.68</v>
      </c>
      <c r="M101" s="100">
        <v>43.49</v>
      </c>
      <c r="N101" s="100">
        <v>0</v>
      </c>
      <c r="O101" s="100">
        <v>0</v>
      </c>
      <c r="P101" s="100">
        <v>0.56000000000000005</v>
      </c>
      <c r="Q101" s="100">
        <v>4.67</v>
      </c>
    </row>
    <row r="102" spans="1:22" customFormat="1">
      <c r="A102" s="100" t="s">
        <v>1867</v>
      </c>
      <c r="B102" s="100">
        <v>7.13</v>
      </c>
      <c r="C102" s="100">
        <v>45.52</v>
      </c>
      <c r="D102" s="100">
        <v>28.46</v>
      </c>
      <c r="E102" s="100">
        <v>6.37</v>
      </c>
      <c r="F102" s="100">
        <v>19.05</v>
      </c>
      <c r="G102" s="100">
        <v>47.94</v>
      </c>
      <c r="H102" s="100">
        <v>13.74</v>
      </c>
      <c r="I102" s="100">
        <v>4.9800000000000004</v>
      </c>
      <c r="J102" s="100">
        <v>0.26</v>
      </c>
      <c r="K102" s="100">
        <v>162.5</v>
      </c>
      <c r="L102" s="100">
        <v>29.59</v>
      </c>
      <c r="M102" s="100">
        <v>44.72</v>
      </c>
      <c r="N102" s="100">
        <v>0</v>
      </c>
      <c r="O102" s="100">
        <v>0</v>
      </c>
      <c r="P102" s="100">
        <v>0.55000000000000004</v>
      </c>
      <c r="Q102" s="100">
        <v>4.68</v>
      </c>
    </row>
    <row r="103" spans="1:22" customFormat="1">
      <c r="A103" s="100" t="s">
        <v>1868</v>
      </c>
      <c r="B103" s="100">
        <v>7.2</v>
      </c>
      <c r="C103" s="100">
        <v>45.75</v>
      </c>
      <c r="D103" s="100">
        <v>28.63</v>
      </c>
      <c r="E103" s="100">
        <v>6.95</v>
      </c>
      <c r="F103" s="100">
        <v>18.87</v>
      </c>
      <c r="G103" s="100">
        <v>47.94</v>
      </c>
      <c r="H103" s="100">
        <v>13.74</v>
      </c>
      <c r="I103" s="100">
        <v>4.99</v>
      </c>
      <c r="J103" s="100">
        <v>0.22</v>
      </c>
      <c r="K103" s="100">
        <v>163.89</v>
      </c>
      <c r="L103" s="100">
        <v>29.54</v>
      </c>
      <c r="M103" s="100">
        <v>45.13</v>
      </c>
      <c r="N103" s="100">
        <v>0</v>
      </c>
      <c r="O103" s="100">
        <v>0</v>
      </c>
      <c r="P103" s="100">
        <v>0.55000000000000004</v>
      </c>
      <c r="Q103" s="100">
        <v>4.7</v>
      </c>
    </row>
    <row r="104" spans="1:22" customFormat="1">
      <c r="A104" s="100" t="s">
        <v>1869</v>
      </c>
      <c r="B104" s="100">
        <v>7.54</v>
      </c>
      <c r="C104" s="100">
        <v>46.62</v>
      </c>
      <c r="D104" s="100">
        <v>29.36</v>
      </c>
      <c r="E104" s="100">
        <v>6.13</v>
      </c>
      <c r="F104" s="100">
        <v>16.41</v>
      </c>
      <c r="G104" s="100">
        <v>47.94</v>
      </c>
      <c r="H104" s="100">
        <v>13.74</v>
      </c>
      <c r="I104" s="100">
        <v>4.9800000000000004</v>
      </c>
      <c r="J104" s="100">
        <v>0.27</v>
      </c>
      <c r="K104" s="100">
        <v>165.24</v>
      </c>
      <c r="L104" s="100">
        <v>29.44</v>
      </c>
      <c r="M104" s="100">
        <v>45.34</v>
      </c>
      <c r="N104" s="100">
        <v>0</v>
      </c>
      <c r="O104" s="100">
        <v>0</v>
      </c>
      <c r="P104" s="100">
        <v>0.54</v>
      </c>
      <c r="Q104" s="100">
        <v>4.72</v>
      </c>
    </row>
    <row r="106" spans="1:22">
      <c r="A106" s="157" t="s">
        <v>48</v>
      </c>
      <c r="B106" s="158">
        <f>MIN(B9:B104)</f>
        <v>3.25</v>
      </c>
      <c r="C106" s="158">
        <f>MIN(C9:C104)</f>
        <v>34.409999999999997</v>
      </c>
      <c r="D106" s="158">
        <f t="shared" ref="D106:Q106" si="0">MIN(D9:D104)</f>
        <v>19.54</v>
      </c>
      <c r="E106" s="158">
        <f t="shared" si="0"/>
        <v>5.55</v>
      </c>
      <c r="F106" s="158">
        <f t="shared" si="0"/>
        <v>4.2</v>
      </c>
      <c r="G106" s="158">
        <f t="shared" si="0"/>
        <v>33.24</v>
      </c>
      <c r="H106" s="158">
        <f t="shared" si="0"/>
        <v>7.69</v>
      </c>
      <c r="I106" s="158">
        <f t="shared" si="0"/>
        <v>3.68</v>
      </c>
      <c r="J106" s="158">
        <f t="shared" si="0"/>
        <v>0.11</v>
      </c>
      <c r="K106" s="158">
        <f t="shared" si="0"/>
        <v>13.11</v>
      </c>
      <c r="L106" s="158">
        <f t="shared" si="0"/>
        <v>26.53</v>
      </c>
      <c r="M106" s="158">
        <f t="shared" si="0"/>
        <v>15.73</v>
      </c>
      <c r="N106" s="158">
        <f t="shared" si="0"/>
        <v>0</v>
      </c>
      <c r="O106" s="158">
        <f t="shared" si="0"/>
        <v>0</v>
      </c>
      <c r="P106" s="158">
        <f t="shared" si="0"/>
        <v>0.4</v>
      </c>
      <c r="Q106" s="158">
        <f t="shared" si="0"/>
        <v>4.51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18.77</v>
      </c>
      <c r="C107" s="157">
        <f t="shared" ref="C107:Q107" si="1">MAX(C9:C104)</f>
        <v>57.47</v>
      </c>
      <c r="D107" s="157">
        <f t="shared" si="1"/>
        <v>43.48</v>
      </c>
      <c r="E107" s="157">
        <f t="shared" si="1"/>
        <v>38.979999999999997</v>
      </c>
      <c r="F107" s="157">
        <f t="shared" si="1"/>
        <v>42.35</v>
      </c>
      <c r="G107" s="157">
        <f t="shared" si="1"/>
        <v>58.3</v>
      </c>
      <c r="H107" s="157">
        <f t="shared" si="1"/>
        <v>18.7</v>
      </c>
      <c r="I107" s="157">
        <f t="shared" si="1"/>
        <v>8.65</v>
      </c>
      <c r="J107" s="157">
        <f t="shared" si="1"/>
        <v>1.08</v>
      </c>
      <c r="K107" s="157">
        <f t="shared" si="1"/>
        <v>356.18</v>
      </c>
      <c r="L107" s="157">
        <f t="shared" si="1"/>
        <v>42.11</v>
      </c>
      <c r="M107" s="157">
        <f t="shared" si="1"/>
        <v>58.15</v>
      </c>
      <c r="N107" s="157">
        <f t="shared" si="1"/>
        <v>879.2</v>
      </c>
      <c r="O107" s="157">
        <f t="shared" si="1"/>
        <v>0</v>
      </c>
      <c r="P107" s="157">
        <f t="shared" si="1"/>
        <v>0.85</v>
      </c>
      <c r="Q107" s="157">
        <f t="shared" si="1"/>
        <v>5.36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9.1093749999999982</v>
      </c>
      <c r="C108" s="158">
        <f t="shared" ref="C108:Q108" si="2">AVERAGE(C9:C104)</f>
        <v>49.858229166666668</v>
      </c>
      <c r="D108" s="158">
        <f t="shared" si="2"/>
        <v>32.309166666666677</v>
      </c>
      <c r="E108" s="158">
        <f t="shared" si="2"/>
        <v>9.1766666666666694</v>
      </c>
      <c r="F108" s="158">
        <f t="shared" si="2"/>
        <v>22.345729166666668</v>
      </c>
      <c r="G108" s="158">
        <f t="shared" si="2"/>
        <v>47.17010416666664</v>
      </c>
      <c r="H108" s="158">
        <f t="shared" si="2"/>
        <v>14.599583333333333</v>
      </c>
      <c r="I108" s="158">
        <f t="shared" si="2"/>
        <v>6.0212500000000011</v>
      </c>
      <c r="J108" s="158">
        <f t="shared" si="2"/>
        <v>0.43979166666666658</v>
      </c>
      <c r="K108" s="158">
        <f t="shared" si="2"/>
        <v>220.08124999999987</v>
      </c>
      <c r="L108" s="158">
        <f t="shared" si="2"/>
        <v>34.408020833333339</v>
      </c>
      <c r="M108" s="158">
        <f t="shared" si="2"/>
        <v>31.948437499999994</v>
      </c>
      <c r="N108" s="158">
        <f t="shared" si="2"/>
        <v>167.68958333333339</v>
      </c>
      <c r="O108" s="158">
        <f t="shared" si="2"/>
        <v>0</v>
      </c>
      <c r="P108" s="158">
        <f t="shared" si="2"/>
        <v>0.57406250000000003</v>
      </c>
      <c r="Q108" s="158">
        <f t="shared" si="2"/>
        <v>4.8313541666666664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5.2201338584369674</v>
      </c>
      <c r="C109" s="158">
        <f t="shared" ref="C109:Q109" si="3">STDEV(C9:C104)</f>
        <v>5.3545244999546204</v>
      </c>
      <c r="D109" s="158">
        <f t="shared" si="3"/>
        <v>6.5163754320886644</v>
      </c>
      <c r="E109" s="158">
        <f t="shared" si="3"/>
        <v>4.9819532560647266</v>
      </c>
      <c r="F109" s="158">
        <f t="shared" si="3"/>
        <v>11.978907053632291</v>
      </c>
      <c r="G109" s="158">
        <f t="shared" si="3"/>
        <v>7.1963882015169096</v>
      </c>
      <c r="H109" s="158">
        <f t="shared" si="3"/>
        <v>2.905794543635952</v>
      </c>
      <c r="I109" s="158">
        <f t="shared" si="3"/>
        <v>1.2851092519601908</v>
      </c>
      <c r="J109" s="158">
        <f t="shared" si="3"/>
        <v>0.30923668049150266</v>
      </c>
      <c r="K109" s="158">
        <f t="shared" si="3"/>
        <v>61.202082218620383</v>
      </c>
      <c r="L109" s="158">
        <f t="shared" si="3"/>
        <v>4.8975256093559825</v>
      </c>
      <c r="M109" s="158">
        <f t="shared" si="3"/>
        <v>12.474344647114732</v>
      </c>
      <c r="N109" s="158">
        <f t="shared" si="3"/>
        <v>267.30897300361175</v>
      </c>
      <c r="O109" s="158">
        <f t="shared" si="3"/>
        <v>0</v>
      </c>
      <c r="P109" s="158">
        <f t="shared" si="3"/>
        <v>9.870293681974239E-2</v>
      </c>
      <c r="Q109" s="158">
        <f t="shared" si="3"/>
        <v>0.28380727260318084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18/05/2023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1870</v>
      </c>
      <c r="B9" s="100">
        <v>8.14</v>
      </c>
      <c r="C9" s="100">
        <v>50.33</v>
      </c>
      <c r="D9" s="100">
        <v>31.78</v>
      </c>
      <c r="E9" s="100">
        <v>5.79</v>
      </c>
      <c r="F9" s="100">
        <v>10.86</v>
      </c>
      <c r="G9" s="100">
        <v>43.3</v>
      </c>
      <c r="H9" s="100">
        <v>13.53</v>
      </c>
      <c r="I9" s="100">
        <v>4.93</v>
      </c>
      <c r="J9" s="100">
        <v>0.24</v>
      </c>
      <c r="K9" s="100">
        <v>179.59</v>
      </c>
      <c r="L9" s="100">
        <v>28.92</v>
      </c>
      <c r="M9" s="100">
        <v>46.74</v>
      </c>
      <c r="N9" s="100">
        <v>0</v>
      </c>
      <c r="O9" s="100">
        <v>0</v>
      </c>
      <c r="P9" s="100">
        <v>0.55000000000000004</v>
      </c>
      <c r="Q9" s="100">
        <v>4.7</v>
      </c>
    </row>
    <row r="10" spans="1:21" customFormat="1">
      <c r="A10" s="100" t="s">
        <v>1871</v>
      </c>
      <c r="B10" s="100">
        <v>7.84</v>
      </c>
      <c r="C10" s="100">
        <v>47.63</v>
      </c>
      <c r="D10" s="100">
        <v>30.13</v>
      </c>
      <c r="E10" s="100">
        <v>6.36</v>
      </c>
      <c r="F10" s="100">
        <v>13.19</v>
      </c>
      <c r="G10" s="100">
        <v>43.08</v>
      </c>
      <c r="H10" s="100">
        <v>13.53</v>
      </c>
      <c r="I10" s="100">
        <v>5.04</v>
      </c>
      <c r="J10" s="100">
        <v>0.18</v>
      </c>
      <c r="K10" s="100">
        <v>167.48</v>
      </c>
      <c r="L10" s="100">
        <v>28.78</v>
      </c>
      <c r="M10" s="100">
        <v>46.41</v>
      </c>
      <c r="N10" s="100">
        <v>0</v>
      </c>
      <c r="O10" s="100">
        <v>0</v>
      </c>
      <c r="P10" s="100">
        <v>0.55000000000000004</v>
      </c>
      <c r="Q10" s="100">
        <v>4.71</v>
      </c>
    </row>
    <row r="11" spans="1:21" customFormat="1">
      <c r="A11" s="100" t="s">
        <v>1872</v>
      </c>
      <c r="B11" s="100">
        <v>7.78</v>
      </c>
      <c r="C11" s="100">
        <v>48.15</v>
      </c>
      <c r="D11" s="100">
        <v>30.35</v>
      </c>
      <c r="E11" s="100">
        <v>6.19</v>
      </c>
      <c r="F11" s="100">
        <v>14.16</v>
      </c>
      <c r="G11" s="100">
        <v>43.08</v>
      </c>
      <c r="H11" s="100">
        <v>13.53</v>
      </c>
      <c r="I11" s="100">
        <v>5.13</v>
      </c>
      <c r="J11" s="100">
        <v>0.14000000000000001</v>
      </c>
      <c r="K11" s="100">
        <v>172.62</v>
      </c>
      <c r="L11" s="100">
        <v>28.74</v>
      </c>
      <c r="M11" s="100">
        <v>46.75</v>
      </c>
      <c r="N11" s="100">
        <v>0</v>
      </c>
      <c r="O11" s="100">
        <v>0</v>
      </c>
      <c r="P11" s="100">
        <v>0.55000000000000004</v>
      </c>
      <c r="Q11" s="100">
        <v>4.7300000000000004</v>
      </c>
    </row>
    <row r="12" spans="1:21" customFormat="1">
      <c r="A12" s="100" t="s">
        <v>1873</v>
      </c>
      <c r="B12" s="100">
        <v>8.23</v>
      </c>
      <c r="C12" s="100">
        <v>48.42</v>
      </c>
      <c r="D12" s="100">
        <v>30.85</v>
      </c>
      <c r="E12" s="100">
        <v>6.12</v>
      </c>
      <c r="F12" s="100">
        <v>12.72</v>
      </c>
      <c r="G12" s="100">
        <v>43.08</v>
      </c>
      <c r="H12" s="100">
        <v>13.53</v>
      </c>
      <c r="I12" s="100">
        <v>5.0999999999999996</v>
      </c>
      <c r="J12" s="100">
        <v>0.16</v>
      </c>
      <c r="K12" s="100">
        <v>163.58000000000001</v>
      </c>
      <c r="L12" s="100">
        <v>28.56</v>
      </c>
      <c r="M12" s="100">
        <v>48.39</v>
      </c>
      <c r="N12" s="100">
        <v>0</v>
      </c>
      <c r="O12" s="100">
        <v>0</v>
      </c>
      <c r="P12" s="100">
        <v>0.54</v>
      </c>
      <c r="Q12" s="100">
        <v>4.74</v>
      </c>
    </row>
    <row r="13" spans="1:21" customFormat="1">
      <c r="A13" s="100" t="s">
        <v>1874</v>
      </c>
      <c r="B13" s="100">
        <v>8.2200000000000006</v>
      </c>
      <c r="C13" s="100">
        <v>48</v>
      </c>
      <c r="D13" s="100">
        <v>30.62</v>
      </c>
      <c r="E13" s="100">
        <v>5.98</v>
      </c>
      <c r="F13" s="100">
        <v>13.45</v>
      </c>
      <c r="G13" s="100">
        <v>42.66</v>
      </c>
      <c r="H13" s="100">
        <v>12.62</v>
      </c>
      <c r="I13" s="100">
        <v>5.05</v>
      </c>
      <c r="J13" s="100">
        <v>0.16</v>
      </c>
      <c r="K13" s="100">
        <v>148.15</v>
      </c>
      <c r="L13" s="100">
        <v>28.44</v>
      </c>
      <c r="M13" s="100">
        <v>48.03</v>
      </c>
      <c r="N13" s="100">
        <v>0</v>
      </c>
      <c r="O13" s="100">
        <v>0</v>
      </c>
      <c r="P13" s="100">
        <v>0.54</v>
      </c>
      <c r="Q13" s="100">
        <v>4.7699999999999996</v>
      </c>
    </row>
    <row r="14" spans="1:21" customFormat="1">
      <c r="A14" s="100" t="s">
        <v>1875</v>
      </c>
      <c r="B14" s="100">
        <v>8.24</v>
      </c>
      <c r="C14" s="100">
        <v>47.31</v>
      </c>
      <c r="D14" s="100">
        <v>30.27</v>
      </c>
      <c r="E14" s="100">
        <v>5.87</v>
      </c>
      <c r="F14" s="100">
        <v>13.49</v>
      </c>
      <c r="G14" s="100">
        <v>42.64</v>
      </c>
      <c r="H14" s="100">
        <v>12.62</v>
      </c>
      <c r="I14" s="100">
        <v>5.0199999999999996</v>
      </c>
      <c r="J14" s="100">
        <v>0.11</v>
      </c>
      <c r="K14" s="100">
        <v>181.23</v>
      </c>
      <c r="L14" s="100">
        <v>28.27</v>
      </c>
      <c r="M14" s="100">
        <v>50.07</v>
      </c>
      <c r="N14" s="100">
        <v>0</v>
      </c>
      <c r="O14" s="100">
        <v>0</v>
      </c>
      <c r="P14" s="100">
        <v>0.54</v>
      </c>
      <c r="Q14" s="100">
        <v>4.8099999999999996</v>
      </c>
    </row>
    <row r="15" spans="1:21" customFormat="1">
      <c r="A15" s="100" t="s">
        <v>1876</v>
      </c>
      <c r="B15" s="100">
        <v>8.4600000000000009</v>
      </c>
      <c r="C15" s="100">
        <v>48.23</v>
      </c>
      <c r="D15" s="100">
        <v>30.94</v>
      </c>
      <c r="E15" s="100">
        <v>6.13</v>
      </c>
      <c r="F15" s="100">
        <v>12.87</v>
      </c>
      <c r="G15" s="100">
        <v>42.64</v>
      </c>
      <c r="H15" s="100">
        <v>12.62</v>
      </c>
      <c r="I15" s="100">
        <v>5.0599999999999996</v>
      </c>
      <c r="J15" s="100">
        <v>0.2</v>
      </c>
      <c r="K15" s="100">
        <v>166.36</v>
      </c>
      <c r="L15" s="100">
        <v>28.17</v>
      </c>
      <c r="M15" s="100">
        <v>49.63</v>
      </c>
      <c r="N15" s="100">
        <v>0</v>
      </c>
      <c r="O15" s="100">
        <v>0</v>
      </c>
      <c r="P15" s="100">
        <v>0.54</v>
      </c>
      <c r="Q15" s="100">
        <v>4.79</v>
      </c>
    </row>
    <row r="16" spans="1:21" customFormat="1">
      <c r="A16" s="100" t="s">
        <v>1877</v>
      </c>
      <c r="B16" s="100">
        <v>8.9600000000000009</v>
      </c>
      <c r="C16" s="100">
        <v>50.16</v>
      </c>
      <c r="D16" s="100">
        <v>32.35</v>
      </c>
      <c r="E16" s="100">
        <v>5.31</v>
      </c>
      <c r="F16" s="100">
        <v>10.16</v>
      </c>
      <c r="G16" s="100">
        <v>42.64</v>
      </c>
      <c r="H16" s="100">
        <v>12.62</v>
      </c>
      <c r="I16" s="100">
        <v>5.04</v>
      </c>
      <c r="J16" s="100">
        <v>0.14000000000000001</v>
      </c>
      <c r="K16" s="100">
        <v>180.78</v>
      </c>
      <c r="L16" s="100">
        <v>27.83</v>
      </c>
      <c r="M16" s="100">
        <v>50.98</v>
      </c>
      <c r="N16" s="100">
        <v>0</v>
      </c>
      <c r="O16" s="100">
        <v>0</v>
      </c>
      <c r="P16" s="100">
        <v>0.55000000000000004</v>
      </c>
      <c r="Q16" s="100">
        <v>4.7699999999999996</v>
      </c>
    </row>
    <row r="17" spans="1:17" customFormat="1">
      <c r="A17" s="100" t="s">
        <v>1878</v>
      </c>
      <c r="B17" s="100">
        <v>9.34</v>
      </c>
      <c r="C17" s="100">
        <v>51.3</v>
      </c>
      <c r="D17" s="100">
        <v>33.24</v>
      </c>
      <c r="E17" s="100">
        <v>5.27</v>
      </c>
      <c r="F17" s="100">
        <v>9.27</v>
      </c>
      <c r="G17" s="100">
        <v>40.380000000000003</v>
      </c>
      <c r="H17" s="100">
        <v>14.53</v>
      </c>
      <c r="I17" s="100">
        <v>5.05</v>
      </c>
      <c r="J17" s="100">
        <v>0.15</v>
      </c>
      <c r="K17" s="100">
        <v>186.11</v>
      </c>
      <c r="L17" s="100">
        <v>27.67</v>
      </c>
      <c r="M17" s="100">
        <v>50.9</v>
      </c>
      <c r="N17" s="100">
        <v>0</v>
      </c>
      <c r="O17" s="100">
        <v>0</v>
      </c>
      <c r="P17" s="100">
        <v>0.54</v>
      </c>
      <c r="Q17" s="100">
        <v>4.8099999999999996</v>
      </c>
    </row>
    <row r="18" spans="1:17" customFormat="1">
      <c r="A18" s="100" t="s">
        <v>1879</v>
      </c>
      <c r="B18" s="100">
        <v>9.8000000000000007</v>
      </c>
      <c r="C18" s="100">
        <v>51.6</v>
      </c>
      <c r="D18" s="100">
        <v>33.770000000000003</v>
      </c>
      <c r="E18" s="100">
        <v>6.23</v>
      </c>
      <c r="F18" s="100">
        <v>11.04</v>
      </c>
      <c r="G18" s="100">
        <v>40.270000000000003</v>
      </c>
      <c r="H18" s="100">
        <v>14.53</v>
      </c>
      <c r="I18" s="100">
        <v>5.14</v>
      </c>
      <c r="J18" s="100">
        <v>0.17</v>
      </c>
      <c r="K18" s="100">
        <v>112.38</v>
      </c>
      <c r="L18" s="100">
        <v>27.63</v>
      </c>
      <c r="M18" s="100">
        <v>49.76</v>
      </c>
      <c r="N18" s="100">
        <v>0</v>
      </c>
      <c r="O18" s="100">
        <v>0</v>
      </c>
      <c r="P18" s="100">
        <v>0.55000000000000004</v>
      </c>
      <c r="Q18" s="100">
        <v>4.8499999999999996</v>
      </c>
    </row>
    <row r="19" spans="1:17" customFormat="1">
      <c r="A19" s="100" t="s">
        <v>1880</v>
      </c>
      <c r="B19" s="100">
        <v>11.14</v>
      </c>
      <c r="C19" s="100">
        <v>54.57</v>
      </c>
      <c r="D19" s="100">
        <v>36.4</v>
      </c>
      <c r="E19" s="100">
        <v>6.44</v>
      </c>
      <c r="F19" s="100">
        <v>6.84</v>
      </c>
      <c r="G19" s="100">
        <v>40.270000000000003</v>
      </c>
      <c r="H19" s="100">
        <v>14.53</v>
      </c>
      <c r="I19" s="100">
        <v>5.13</v>
      </c>
      <c r="J19" s="100">
        <v>0.2</v>
      </c>
      <c r="K19" s="100">
        <v>158.16999999999999</v>
      </c>
      <c r="L19" s="100">
        <v>27.67</v>
      </c>
      <c r="M19" s="100">
        <v>51.57</v>
      </c>
      <c r="N19" s="100">
        <v>0</v>
      </c>
      <c r="O19" s="100">
        <v>0</v>
      </c>
      <c r="P19" s="100">
        <v>0.55000000000000004</v>
      </c>
      <c r="Q19" s="100">
        <v>4.8600000000000003</v>
      </c>
    </row>
    <row r="20" spans="1:17" customFormat="1">
      <c r="A20" s="100" t="s">
        <v>1881</v>
      </c>
      <c r="B20" s="100">
        <v>11.39</v>
      </c>
      <c r="C20" s="100">
        <v>54.44</v>
      </c>
      <c r="D20" s="100">
        <v>36.53</v>
      </c>
      <c r="E20" s="100">
        <v>6.05</v>
      </c>
      <c r="F20" s="100">
        <v>6.56</v>
      </c>
      <c r="G20" s="100">
        <v>40.270000000000003</v>
      </c>
      <c r="H20" s="100">
        <v>14.53</v>
      </c>
      <c r="I20" s="100">
        <v>5.1100000000000003</v>
      </c>
      <c r="J20" s="100">
        <v>0.21</v>
      </c>
      <c r="K20" s="100">
        <v>194.07</v>
      </c>
      <c r="L20" s="100">
        <v>27.08</v>
      </c>
      <c r="M20" s="100">
        <v>54.3</v>
      </c>
      <c r="N20" s="100">
        <v>0</v>
      </c>
      <c r="O20" s="100">
        <v>0</v>
      </c>
      <c r="P20" s="100">
        <v>0.55000000000000004</v>
      </c>
      <c r="Q20" s="100">
        <v>4.9000000000000004</v>
      </c>
    </row>
    <row r="21" spans="1:17" customFormat="1">
      <c r="A21" s="100" t="s">
        <v>1882</v>
      </c>
      <c r="B21" s="100">
        <v>11.91</v>
      </c>
      <c r="C21" s="100">
        <v>56.32</v>
      </c>
      <c r="D21" s="100">
        <v>37.93</v>
      </c>
      <c r="E21" s="100">
        <v>6.21</v>
      </c>
      <c r="F21" s="100">
        <v>7.25</v>
      </c>
      <c r="G21" s="100">
        <v>43.36</v>
      </c>
      <c r="H21" s="100">
        <v>13.02</v>
      </c>
      <c r="I21" s="100">
        <v>5.16</v>
      </c>
      <c r="J21" s="100">
        <v>0.25</v>
      </c>
      <c r="K21" s="100">
        <v>195.9</v>
      </c>
      <c r="L21" s="100">
        <v>27.11</v>
      </c>
      <c r="M21" s="100">
        <v>52.53</v>
      </c>
      <c r="N21" s="100">
        <v>0</v>
      </c>
      <c r="O21" s="100">
        <v>0</v>
      </c>
      <c r="P21" s="100">
        <v>0.55000000000000004</v>
      </c>
      <c r="Q21" s="100">
        <v>4.88</v>
      </c>
    </row>
    <row r="22" spans="1:17" customFormat="1">
      <c r="A22" s="100" t="s">
        <v>1883</v>
      </c>
      <c r="B22" s="100">
        <v>11.4</v>
      </c>
      <c r="C22" s="100">
        <v>53</v>
      </c>
      <c r="D22" s="100">
        <v>35.79</v>
      </c>
      <c r="E22" s="100">
        <v>6.02</v>
      </c>
      <c r="F22" s="100">
        <v>8.98</v>
      </c>
      <c r="G22" s="100">
        <v>43.51</v>
      </c>
      <c r="H22" s="100">
        <v>13.02</v>
      </c>
      <c r="I22" s="100">
        <v>5.23</v>
      </c>
      <c r="J22" s="100">
        <v>0.19</v>
      </c>
      <c r="K22" s="100">
        <v>189.42</v>
      </c>
      <c r="L22" s="100">
        <v>27.04</v>
      </c>
      <c r="M22" s="100">
        <v>52.58</v>
      </c>
      <c r="N22" s="100">
        <v>0</v>
      </c>
      <c r="O22" s="100">
        <v>0</v>
      </c>
      <c r="P22" s="100">
        <v>0.54</v>
      </c>
      <c r="Q22" s="100">
        <v>4.91</v>
      </c>
    </row>
    <row r="23" spans="1:17" customFormat="1">
      <c r="A23" s="100" t="s">
        <v>1884</v>
      </c>
      <c r="B23" s="100">
        <v>11.87</v>
      </c>
      <c r="C23" s="100">
        <v>56.26</v>
      </c>
      <c r="D23" s="100">
        <v>37.86</v>
      </c>
      <c r="E23" s="100">
        <v>6.22</v>
      </c>
      <c r="F23" s="100">
        <v>8.08</v>
      </c>
      <c r="G23" s="100">
        <v>43.51</v>
      </c>
      <c r="H23" s="100">
        <v>13.02</v>
      </c>
      <c r="I23" s="100">
        <v>5.25</v>
      </c>
      <c r="J23" s="100">
        <v>0.21</v>
      </c>
      <c r="K23" s="100">
        <v>177.77</v>
      </c>
      <c r="L23" s="100">
        <v>27.03</v>
      </c>
      <c r="M23" s="100">
        <v>52.8</v>
      </c>
      <c r="N23" s="100">
        <v>0</v>
      </c>
      <c r="O23" s="100">
        <v>0</v>
      </c>
      <c r="P23" s="100">
        <v>0.55000000000000004</v>
      </c>
      <c r="Q23" s="100">
        <v>4.95</v>
      </c>
    </row>
    <row r="24" spans="1:17" customFormat="1">
      <c r="A24" s="100" t="s">
        <v>1885</v>
      </c>
      <c r="B24" s="100">
        <v>12.25</v>
      </c>
      <c r="C24" s="100">
        <v>57.5</v>
      </c>
      <c r="D24" s="100">
        <v>38.82</v>
      </c>
      <c r="E24" s="100">
        <v>6.32</v>
      </c>
      <c r="F24" s="100">
        <v>7.39</v>
      </c>
      <c r="G24" s="100">
        <v>43.51</v>
      </c>
      <c r="H24" s="100">
        <v>13.02</v>
      </c>
      <c r="I24" s="100">
        <v>5.16</v>
      </c>
      <c r="J24" s="100">
        <v>0.21</v>
      </c>
      <c r="K24" s="100">
        <v>184.01</v>
      </c>
      <c r="L24" s="100">
        <v>26.69</v>
      </c>
      <c r="M24" s="100">
        <v>53.71</v>
      </c>
      <c r="N24" s="100">
        <v>0</v>
      </c>
      <c r="O24" s="100">
        <v>0</v>
      </c>
      <c r="P24" s="100">
        <v>0.54</v>
      </c>
      <c r="Q24" s="100">
        <v>4.93</v>
      </c>
    </row>
    <row r="25" spans="1:17" customFormat="1">
      <c r="A25" s="100" t="s">
        <v>1886</v>
      </c>
      <c r="B25" s="100">
        <v>12.26</v>
      </c>
      <c r="C25" s="100">
        <v>56.17</v>
      </c>
      <c r="D25" s="100">
        <v>38.130000000000003</v>
      </c>
      <c r="E25" s="100">
        <v>6.03</v>
      </c>
      <c r="F25" s="100">
        <v>8.4</v>
      </c>
      <c r="G25" s="100">
        <v>42.53</v>
      </c>
      <c r="H25" s="100">
        <v>14.08</v>
      </c>
      <c r="I25" s="100">
        <v>5.16</v>
      </c>
      <c r="J25" s="100">
        <v>0.16</v>
      </c>
      <c r="K25" s="100">
        <v>152.69999999999999</v>
      </c>
      <c r="L25" s="100">
        <v>26.78</v>
      </c>
      <c r="M25" s="100">
        <v>53.34</v>
      </c>
      <c r="N25" s="100">
        <v>0</v>
      </c>
      <c r="O25" s="100">
        <v>0</v>
      </c>
      <c r="P25" s="100">
        <v>0.55000000000000004</v>
      </c>
      <c r="Q25" s="100">
        <v>4.95</v>
      </c>
    </row>
    <row r="26" spans="1:17" customFormat="1">
      <c r="A26" s="100" t="s">
        <v>1887</v>
      </c>
      <c r="B26" s="100">
        <v>12.68</v>
      </c>
      <c r="C26" s="100">
        <v>56.05</v>
      </c>
      <c r="D26" s="100">
        <v>38.409999999999997</v>
      </c>
      <c r="E26" s="100">
        <v>6.05</v>
      </c>
      <c r="F26" s="100">
        <v>7.65</v>
      </c>
      <c r="G26" s="100">
        <v>42.48</v>
      </c>
      <c r="H26" s="100">
        <v>14.08</v>
      </c>
      <c r="I26" s="100">
        <v>5.16</v>
      </c>
      <c r="J26" s="100">
        <v>0.16</v>
      </c>
      <c r="K26" s="100">
        <v>178.12</v>
      </c>
      <c r="L26" s="100">
        <v>26.63</v>
      </c>
      <c r="M26" s="100">
        <v>54.33</v>
      </c>
      <c r="N26" s="100">
        <v>0</v>
      </c>
      <c r="O26" s="100">
        <v>0</v>
      </c>
      <c r="P26" s="100">
        <v>0.55000000000000004</v>
      </c>
      <c r="Q26" s="100">
        <v>4.96</v>
      </c>
    </row>
    <row r="27" spans="1:17" customFormat="1">
      <c r="A27" s="100" t="s">
        <v>1888</v>
      </c>
      <c r="B27" s="100">
        <v>12.41</v>
      </c>
      <c r="C27" s="100">
        <v>55.59</v>
      </c>
      <c r="D27" s="100">
        <v>37.950000000000003</v>
      </c>
      <c r="E27" s="100">
        <v>5.77</v>
      </c>
      <c r="F27" s="100">
        <v>7.92</v>
      </c>
      <c r="G27" s="100">
        <v>42.48</v>
      </c>
      <c r="H27" s="100">
        <v>14.08</v>
      </c>
      <c r="I27" s="100">
        <v>5.1100000000000003</v>
      </c>
      <c r="J27" s="100">
        <v>0.08</v>
      </c>
      <c r="K27" s="100">
        <v>154.1</v>
      </c>
      <c r="L27" s="100">
        <v>26.43</v>
      </c>
      <c r="M27" s="100">
        <v>54.5</v>
      </c>
      <c r="N27" s="100">
        <v>0</v>
      </c>
      <c r="O27" s="100">
        <v>0</v>
      </c>
      <c r="P27" s="100">
        <v>0.54</v>
      </c>
      <c r="Q27" s="100">
        <v>4.9400000000000004</v>
      </c>
    </row>
    <row r="28" spans="1:17" customFormat="1">
      <c r="A28" s="100" t="s">
        <v>1889</v>
      </c>
      <c r="B28" s="100">
        <v>12.88</v>
      </c>
      <c r="C28" s="100">
        <v>56.73</v>
      </c>
      <c r="D28" s="100">
        <v>38.93</v>
      </c>
      <c r="E28" s="100">
        <v>5.76</v>
      </c>
      <c r="F28" s="100">
        <v>7.58</v>
      </c>
      <c r="G28" s="100">
        <v>42.48</v>
      </c>
      <c r="H28" s="100">
        <v>14.08</v>
      </c>
      <c r="I28" s="100">
        <v>5.14</v>
      </c>
      <c r="J28" s="100">
        <v>0.17</v>
      </c>
      <c r="K28" s="100">
        <v>164.16</v>
      </c>
      <c r="L28" s="100">
        <v>26.37</v>
      </c>
      <c r="M28" s="100">
        <v>57.19</v>
      </c>
      <c r="N28" s="100">
        <v>0</v>
      </c>
      <c r="O28" s="100">
        <v>0</v>
      </c>
      <c r="P28" s="100">
        <v>0.55000000000000004</v>
      </c>
      <c r="Q28" s="100">
        <v>4.95</v>
      </c>
    </row>
    <row r="29" spans="1:17" customFormat="1">
      <c r="A29" s="100" t="s">
        <v>1890</v>
      </c>
      <c r="B29" s="100">
        <v>13.2</v>
      </c>
      <c r="C29" s="100">
        <v>56.98</v>
      </c>
      <c r="D29" s="100">
        <v>39.31</v>
      </c>
      <c r="E29" s="100">
        <v>6.02</v>
      </c>
      <c r="F29" s="100">
        <v>6.53</v>
      </c>
      <c r="G29" s="100">
        <v>41.42</v>
      </c>
      <c r="H29" s="100">
        <v>13.19</v>
      </c>
      <c r="I29" s="100">
        <v>5.15</v>
      </c>
      <c r="J29" s="100">
        <v>0.14000000000000001</v>
      </c>
      <c r="K29" s="100">
        <v>111.53</v>
      </c>
      <c r="L29" s="100">
        <v>26.21</v>
      </c>
      <c r="M29" s="100">
        <v>56.85</v>
      </c>
      <c r="N29" s="100">
        <v>0</v>
      </c>
      <c r="O29" s="100">
        <v>0</v>
      </c>
      <c r="P29" s="100">
        <v>0.55000000000000004</v>
      </c>
      <c r="Q29" s="100">
        <v>5</v>
      </c>
    </row>
    <row r="30" spans="1:17" customFormat="1">
      <c r="A30" s="100" t="s">
        <v>1891</v>
      </c>
      <c r="B30" s="100">
        <v>18.82</v>
      </c>
      <c r="C30" s="100">
        <v>60.18</v>
      </c>
      <c r="D30" s="100">
        <v>45.49</v>
      </c>
      <c r="E30" s="100">
        <v>5.61</v>
      </c>
      <c r="F30" s="100">
        <v>4.97</v>
      </c>
      <c r="G30" s="100">
        <v>41.37</v>
      </c>
      <c r="H30" s="100">
        <v>13.19</v>
      </c>
      <c r="I30" s="100">
        <v>5.0999999999999996</v>
      </c>
      <c r="J30" s="100">
        <v>0.18</v>
      </c>
      <c r="K30" s="100">
        <v>65.7</v>
      </c>
      <c r="L30" s="100">
        <v>26.71</v>
      </c>
      <c r="M30" s="100">
        <v>54.4</v>
      </c>
      <c r="N30" s="100">
        <v>0</v>
      </c>
      <c r="O30" s="100">
        <v>0</v>
      </c>
      <c r="P30" s="100">
        <v>0.56000000000000005</v>
      </c>
      <c r="Q30" s="100">
        <v>5.01</v>
      </c>
    </row>
    <row r="31" spans="1:17" customFormat="1">
      <c r="A31" s="100" t="s">
        <v>1892</v>
      </c>
      <c r="B31" s="100">
        <v>17.75</v>
      </c>
      <c r="C31" s="100">
        <v>59.62</v>
      </c>
      <c r="D31" s="100">
        <v>44.34</v>
      </c>
      <c r="E31" s="100">
        <v>6.19</v>
      </c>
      <c r="F31" s="100">
        <v>4.74</v>
      </c>
      <c r="G31" s="100">
        <v>41.37</v>
      </c>
      <c r="H31" s="100">
        <v>13.19</v>
      </c>
      <c r="I31" s="100">
        <v>5.1100000000000003</v>
      </c>
      <c r="J31" s="100">
        <v>0.28999999999999998</v>
      </c>
      <c r="K31" s="100">
        <v>36.57</v>
      </c>
      <c r="L31" s="100">
        <v>27.16</v>
      </c>
      <c r="M31" s="100">
        <v>52.68</v>
      </c>
      <c r="N31" s="100">
        <v>3.1</v>
      </c>
      <c r="O31" s="100">
        <v>0</v>
      </c>
      <c r="P31" s="100">
        <v>0.56999999999999995</v>
      </c>
      <c r="Q31" s="100">
        <v>5.07</v>
      </c>
    </row>
    <row r="32" spans="1:17" customFormat="1">
      <c r="A32" s="100" t="s">
        <v>1893</v>
      </c>
      <c r="B32" s="100">
        <v>18.13</v>
      </c>
      <c r="C32" s="100">
        <v>60.48</v>
      </c>
      <c r="D32" s="100">
        <v>45.09</v>
      </c>
      <c r="E32" s="100">
        <v>6.33</v>
      </c>
      <c r="F32" s="100">
        <v>4.9800000000000004</v>
      </c>
      <c r="G32" s="100">
        <v>41.37</v>
      </c>
      <c r="H32" s="100">
        <v>13.19</v>
      </c>
      <c r="I32" s="100">
        <v>5.15</v>
      </c>
      <c r="J32" s="100">
        <v>0.32</v>
      </c>
      <c r="K32" s="100">
        <v>179.07</v>
      </c>
      <c r="L32" s="100">
        <v>27.3</v>
      </c>
      <c r="M32" s="100">
        <v>55.58</v>
      </c>
      <c r="N32" s="100">
        <v>15.1</v>
      </c>
      <c r="O32" s="100">
        <v>0</v>
      </c>
      <c r="P32" s="100">
        <v>0.57999999999999996</v>
      </c>
      <c r="Q32" s="100">
        <v>5.16</v>
      </c>
    </row>
    <row r="33" spans="1:17" customFormat="1">
      <c r="A33" s="100" t="s">
        <v>1894</v>
      </c>
      <c r="B33" s="100">
        <v>17.73</v>
      </c>
      <c r="C33" s="100">
        <v>61.17</v>
      </c>
      <c r="D33" s="100">
        <v>45.13</v>
      </c>
      <c r="E33" s="100">
        <v>5.98</v>
      </c>
      <c r="F33" s="100">
        <v>4.79</v>
      </c>
      <c r="G33" s="100">
        <v>44.67</v>
      </c>
      <c r="H33" s="100">
        <v>15.05</v>
      </c>
      <c r="I33" s="100">
        <v>5.23</v>
      </c>
      <c r="J33" s="100">
        <v>0.24</v>
      </c>
      <c r="K33" s="100">
        <v>177.8</v>
      </c>
      <c r="L33" s="100">
        <v>27.29</v>
      </c>
      <c r="M33" s="100">
        <v>57.08</v>
      </c>
      <c r="N33" s="100">
        <v>28.4</v>
      </c>
      <c r="O33" s="100">
        <v>0</v>
      </c>
      <c r="P33" s="100">
        <v>0.56999999999999995</v>
      </c>
      <c r="Q33" s="100">
        <v>5.25</v>
      </c>
    </row>
    <row r="34" spans="1:17" customFormat="1">
      <c r="A34" s="100" t="s">
        <v>1895</v>
      </c>
      <c r="B34" s="100">
        <v>17.59</v>
      </c>
      <c r="C34" s="100">
        <v>59.73</v>
      </c>
      <c r="D34" s="100">
        <v>44.27</v>
      </c>
      <c r="E34" s="100">
        <v>6.19</v>
      </c>
      <c r="F34" s="100">
        <v>6.47</v>
      </c>
      <c r="G34" s="100">
        <v>44.82</v>
      </c>
      <c r="H34" s="100">
        <v>15.05</v>
      </c>
      <c r="I34" s="100">
        <v>5.28</v>
      </c>
      <c r="J34" s="100">
        <v>0.19</v>
      </c>
      <c r="K34" s="100">
        <v>141.66999999999999</v>
      </c>
      <c r="L34" s="100">
        <v>27.84</v>
      </c>
      <c r="M34" s="100">
        <v>55.61</v>
      </c>
      <c r="N34" s="100">
        <v>40.9</v>
      </c>
      <c r="O34" s="100">
        <v>0</v>
      </c>
      <c r="P34" s="100">
        <v>0.57999999999999996</v>
      </c>
      <c r="Q34" s="100">
        <v>5.25</v>
      </c>
    </row>
    <row r="35" spans="1:17" customFormat="1">
      <c r="A35" s="100" t="s">
        <v>1896</v>
      </c>
      <c r="B35" s="100">
        <v>17.809999999999999</v>
      </c>
      <c r="C35" s="100">
        <v>58.11</v>
      </c>
      <c r="D35" s="100">
        <v>43.6</v>
      </c>
      <c r="E35" s="100">
        <v>6.62</v>
      </c>
      <c r="F35" s="100">
        <v>6.63</v>
      </c>
      <c r="G35" s="100">
        <v>44.82</v>
      </c>
      <c r="H35" s="100">
        <v>15.05</v>
      </c>
      <c r="I35" s="100">
        <v>5.32</v>
      </c>
      <c r="J35" s="100">
        <v>0.34</v>
      </c>
      <c r="K35" s="100">
        <v>161.99</v>
      </c>
      <c r="L35" s="100">
        <v>28.6</v>
      </c>
      <c r="M35" s="100">
        <v>55.12</v>
      </c>
      <c r="N35" s="100">
        <v>53.7</v>
      </c>
      <c r="O35" s="100">
        <v>0</v>
      </c>
      <c r="P35" s="100">
        <v>0.59</v>
      </c>
      <c r="Q35" s="100">
        <v>5.27</v>
      </c>
    </row>
    <row r="36" spans="1:17" customFormat="1">
      <c r="A36" s="100" t="s">
        <v>1897</v>
      </c>
      <c r="B36" s="100">
        <v>16.399999999999999</v>
      </c>
      <c r="C36" s="100">
        <v>56.03</v>
      </c>
      <c r="D36" s="100">
        <v>41.38</v>
      </c>
      <c r="E36" s="100">
        <v>6.67</v>
      </c>
      <c r="F36" s="100">
        <v>8.6199999999999992</v>
      </c>
      <c r="G36" s="100">
        <v>44.82</v>
      </c>
      <c r="H36" s="100">
        <v>15.05</v>
      </c>
      <c r="I36" s="100">
        <v>5.44</v>
      </c>
      <c r="J36" s="100">
        <v>0.25</v>
      </c>
      <c r="K36" s="100">
        <v>156.66999999999999</v>
      </c>
      <c r="L36" s="100">
        <v>29.97</v>
      </c>
      <c r="M36" s="100">
        <v>53.37</v>
      </c>
      <c r="N36" s="100">
        <v>63.3</v>
      </c>
      <c r="O36" s="100">
        <v>0</v>
      </c>
      <c r="P36" s="100">
        <v>0.6</v>
      </c>
      <c r="Q36" s="100">
        <v>5.28</v>
      </c>
    </row>
    <row r="37" spans="1:17" customFormat="1">
      <c r="A37" s="100" t="s">
        <v>1898</v>
      </c>
      <c r="B37" s="100">
        <v>15.56</v>
      </c>
      <c r="C37" s="100">
        <v>55.63</v>
      </c>
      <c r="D37" s="100">
        <v>40.49</v>
      </c>
      <c r="E37" s="100">
        <v>8.8000000000000007</v>
      </c>
      <c r="F37" s="100">
        <v>12.39</v>
      </c>
      <c r="G37" s="100">
        <v>47.77</v>
      </c>
      <c r="H37" s="100">
        <v>14.88</v>
      </c>
      <c r="I37" s="100">
        <v>5.59</v>
      </c>
      <c r="J37" s="100">
        <v>0.13</v>
      </c>
      <c r="K37" s="100">
        <v>148.88</v>
      </c>
      <c r="L37" s="100">
        <v>31.4</v>
      </c>
      <c r="M37" s="100">
        <v>48.97</v>
      </c>
      <c r="N37" s="100">
        <v>71.5</v>
      </c>
      <c r="O37" s="100">
        <v>0</v>
      </c>
      <c r="P37" s="100">
        <v>0.72</v>
      </c>
      <c r="Q37" s="100">
        <v>5.3</v>
      </c>
    </row>
    <row r="38" spans="1:17" customFormat="1">
      <c r="A38" s="100" t="s">
        <v>1899</v>
      </c>
      <c r="B38" s="100">
        <v>14.98</v>
      </c>
      <c r="C38" s="100">
        <v>56.5</v>
      </c>
      <c r="D38" s="100">
        <v>40.479999999999997</v>
      </c>
      <c r="E38" s="100">
        <v>13.54</v>
      </c>
      <c r="F38" s="100">
        <v>12.64</v>
      </c>
      <c r="G38" s="100">
        <v>47.91</v>
      </c>
      <c r="H38" s="100">
        <v>14.88</v>
      </c>
      <c r="I38" s="100">
        <v>5.76</v>
      </c>
      <c r="J38" s="100">
        <v>0.18</v>
      </c>
      <c r="K38" s="100">
        <v>208.95</v>
      </c>
      <c r="L38" s="100">
        <v>32.380000000000003</v>
      </c>
      <c r="M38" s="100">
        <v>45.39</v>
      </c>
      <c r="N38" s="100">
        <v>82.4</v>
      </c>
      <c r="O38" s="100">
        <v>0</v>
      </c>
      <c r="P38" s="100">
        <v>0.86</v>
      </c>
      <c r="Q38" s="100">
        <v>5.27</v>
      </c>
    </row>
    <row r="39" spans="1:17" customFormat="1">
      <c r="A39" s="100" t="s">
        <v>1900</v>
      </c>
      <c r="B39" s="100">
        <v>14.72</v>
      </c>
      <c r="C39" s="100">
        <v>58.14</v>
      </c>
      <c r="D39" s="100">
        <v>41.14</v>
      </c>
      <c r="E39" s="100">
        <v>21.59</v>
      </c>
      <c r="F39" s="100">
        <v>15.91</v>
      </c>
      <c r="G39" s="100">
        <v>47.91</v>
      </c>
      <c r="H39" s="100">
        <v>14.88</v>
      </c>
      <c r="I39" s="100">
        <v>6.13</v>
      </c>
      <c r="J39" s="100">
        <v>0.18</v>
      </c>
      <c r="K39" s="100">
        <v>230.2</v>
      </c>
      <c r="L39" s="100">
        <v>33.24</v>
      </c>
      <c r="M39" s="100">
        <v>40.659999999999997</v>
      </c>
      <c r="N39" s="100">
        <v>93</v>
      </c>
      <c r="O39" s="100">
        <v>0</v>
      </c>
      <c r="P39" s="100">
        <v>0.98</v>
      </c>
      <c r="Q39" s="100">
        <v>5.26</v>
      </c>
    </row>
    <row r="40" spans="1:17" customFormat="1">
      <c r="A40" s="100" t="s">
        <v>1901</v>
      </c>
      <c r="B40" s="100">
        <v>13.78</v>
      </c>
      <c r="C40" s="100">
        <v>58.43</v>
      </c>
      <c r="D40" s="100">
        <v>40.54</v>
      </c>
      <c r="E40" s="100">
        <v>18.86</v>
      </c>
      <c r="F40" s="100">
        <v>19.25</v>
      </c>
      <c r="G40" s="100">
        <v>47.91</v>
      </c>
      <c r="H40" s="100">
        <v>14.88</v>
      </c>
      <c r="I40" s="100">
        <v>7.01</v>
      </c>
      <c r="J40" s="100">
        <v>0.28999999999999998</v>
      </c>
      <c r="K40" s="100">
        <v>220.23</v>
      </c>
      <c r="L40" s="100">
        <v>33.840000000000003</v>
      </c>
      <c r="M40" s="100">
        <v>38.229999999999997</v>
      </c>
      <c r="N40" s="100">
        <v>105.6</v>
      </c>
      <c r="O40" s="100">
        <v>0</v>
      </c>
      <c r="P40" s="100">
        <v>0.99</v>
      </c>
      <c r="Q40" s="100">
        <v>5.28</v>
      </c>
    </row>
    <row r="41" spans="1:17" customFormat="1">
      <c r="A41" s="100" t="s">
        <v>1902</v>
      </c>
      <c r="B41" s="100">
        <v>12.3</v>
      </c>
      <c r="C41" s="100">
        <v>56.86</v>
      </c>
      <c r="D41" s="100">
        <v>38.520000000000003</v>
      </c>
      <c r="E41" s="100">
        <v>18.68</v>
      </c>
      <c r="F41" s="100">
        <v>22.75</v>
      </c>
      <c r="G41" s="100">
        <v>58.21</v>
      </c>
      <c r="H41" s="100">
        <v>18.100000000000001</v>
      </c>
      <c r="I41" s="100">
        <v>8.3000000000000007</v>
      </c>
      <c r="J41" s="100">
        <v>0.14000000000000001</v>
      </c>
      <c r="K41" s="100">
        <v>214.29</v>
      </c>
      <c r="L41" s="100">
        <v>34.659999999999997</v>
      </c>
      <c r="M41" s="100">
        <v>37.700000000000003</v>
      </c>
      <c r="N41" s="100">
        <v>115.6</v>
      </c>
      <c r="O41" s="100">
        <v>0</v>
      </c>
      <c r="P41" s="100">
        <v>1.03</v>
      </c>
      <c r="Q41" s="100">
        <v>5.25</v>
      </c>
    </row>
    <row r="42" spans="1:17" customFormat="1">
      <c r="A42" s="100" t="s">
        <v>1903</v>
      </c>
      <c r="B42" s="100">
        <v>11.54</v>
      </c>
      <c r="C42" s="100">
        <v>59.07</v>
      </c>
      <c r="D42" s="100">
        <v>39.07</v>
      </c>
      <c r="E42" s="100">
        <v>16.440000000000001</v>
      </c>
      <c r="F42" s="100">
        <v>23.92</v>
      </c>
      <c r="G42" s="100">
        <v>58.69</v>
      </c>
      <c r="H42" s="100">
        <v>18.100000000000001</v>
      </c>
      <c r="I42" s="100">
        <v>9.1300000000000008</v>
      </c>
      <c r="J42" s="100">
        <v>0.26</v>
      </c>
      <c r="K42" s="100">
        <v>237.27</v>
      </c>
      <c r="L42" s="100">
        <v>35.159999999999997</v>
      </c>
      <c r="M42" s="100">
        <v>36.119999999999997</v>
      </c>
      <c r="N42" s="100">
        <v>125.1</v>
      </c>
      <c r="O42" s="100">
        <v>0</v>
      </c>
      <c r="P42" s="100">
        <v>1.01</v>
      </c>
      <c r="Q42" s="100">
        <v>5.2</v>
      </c>
    </row>
    <row r="43" spans="1:17" customFormat="1">
      <c r="A43" s="100" t="s">
        <v>1904</v>
      </c>
      <c r="B43" s="100">
        <v>9.65</v>
      </c>
      <c r="C43" s="100">
        <v>57.03</v>
      </c>
      <c r="D43" s="100">
        <v>36.49</v>
      </c>
      <c r="E43" s="100">
        <v>13.94</v>
      </c>
      <c r="F43" s="100">
        <v>23.15</v>
      </c>
      <c r="G43" s="100">
        <v>58.69</v>
      </c>
      <c r="H43" s="100">
        <v>18.100000000000001</v>
      </c>
      <c r="I43" s="100">
        <v>9.33</v>
      </c>
      <c r="J43" s="100">
        <v>0.33</v>
      </c>
      <c r="K43" s="100">
        <v>202.8</v>
      </c>
      <c r="L43" s="100">
        <v>35.630000000000003</v>
      </c>
      <c r="M43" s="100">
        <v>36.020000000000003</v>
      </c>
      <c r="N43" s="100">
        <v>132.69999999999999</v>
      </c>
      <c r="O43" s="100">
        <v>0</v>
      </c>
      <c r="P43" s="100">
        <v>1</v>
      </c>
      <c r="Q43" s="100">
        <v>5.12</v>
      </c>
    </row>
    <row r="44" spans="1:17" customFormat="1">
      <c r="A44" s="100" t="s">
        <v>1905</v>
      </c>
      <c r="B44" s="100">
        <v>8.56</v>
      </c>
      <c r="C44" s="100">
        <v>56.87</v>
      </c>
      <c r="D44" s="100">
        <v>35.54</v>
      </c>
      <c r="E44" s="100">
        <v>13.16</v>
      </c>
      <c r="F44" s="100">
        <v>29.18</v>
      </c>
      <c r="G44" s="100">
        <v>58.69</v>
      </c>
      <c r="H44" s="100">
        <v>18.100000000000001</v>
      </c>
      <c r="I44" s="100">
        <v>9.33</v>
      </c>
      <c r="J44" s="100">
        <v>0.3</v>
      </c>
      <c r="K44" s="100">
        <v>194.87</v>
      </c>
      <c r="L44" s="100">
        <v>36.479999999999997</v>
      </c>
      <c r="M44" s="100">
        <v>34.06</v>
      </c>
      <c r="N44" s="100">
        <v>141.69999999999999</v>
      </c>
      <c r="O44" s="100">
        <v>0</v>
      </c>
      <c r="P44" s="100">
        <v>1</v>
      </c>
      <c r="Q44" s="100">
        <v>5.05</v>
      </c>
    </row>
    <row r="45" spans="1:17" customFormat="1">
      <c r="A45" s="100" t="s">
        <v>1906</v>
      </c>
      <c r="B45" s="100">
        <v>7.52</v>
      </c>
      <c r="C45" s="100">
        <v>55.85</v>
      </c>
      <c r="D45" s="100">
        <v>34.17</v>
      </c>
      <c r="E45" s="100">
        <v>12.76</v>
      </c>
      <c r="F45" s="100">
        <v>28.12</v>
      </c>
      <c r="G45" s="100">
        <v>68.430000000000007</v>
      </c>
      <c r="H45" s="100">
        <v>21.27</v>
      </c>
      <c r="I45" s="100">
        <v>9.32</v>
      </c>
      <c r="J45" s="100">
        <v>0.36</v>
      </c>
      <c r="K45" s="100">
        <v>232.03</v>
      </c>
      <c r="L45" s="100">
        <v>36.74</v>
      </c>
      <c r="M45" s="100">
        <v>33.57</v>
      </c>
      <c r="N45" s="100">
        <v>151.69999999999999</v>
      </c>
      <c r="O45" s="100">
        <v>0</v>
      </c>
      <c r="P45" s="100">
        <v>1</v>
      </c>
      <c r="Q45" s="100">
        <v>4.99</v>
      </c>
    </row>
    <row r="46" spans="1:17" customFormat="1">
      <c r="A46" s="100" t="s">
        <v>1907</v>
      </c>
      <c r="B46" s="100">
        <v>6.44</v>
      </c>
      <c r="C46" s="100">
        <v>55.78</v>
      </c>
      <c r="D46" s="100">
        <v>33.26</v>
      </c>
      <c r="E46" s="100">
        <v>11.61</v>
      </c>
      <c r="F46" s="100">
        <v>30.04</v>
      </c>
      <c r="G46" s="100">
        <v>68.89</v>
      </c>
      <c r="H46" s="100">
        <v>21.27</v>
      </c>
      <c r="I46" s="100">
        <v>9.2799999999999994</v>
      </c>
      <c r="J46" s="100">
        <v>0.38</v>
      </c>
      <c r="K46" s="100">
        <v>228.88</v>
      </c>
      <c r="L46" s="100">
        <v>37.25</v>
      </c>
      <c r="M46" s="100">
        <v>32.81</v>
      </c>
      <c r="N46" s="100">
        <v>158.80000000000001</v>
      </c>
      <c r="O46" s="100">
        <v>0</v>
      </c>
      <c r="P46" s="100">
        <v>0.99</v>
      </c>
      <c r="Q46" s="100">
        <v>4.95</v>
      </c>
    </row>
    <row r="47" spans="1:17" customFormat="1">
      <c r="A47" s="100" t="s">
        <v>1908</v>
      </c>
      <c r="B47" s="100">
        <v>5.76</v>
      </c>
      <c r="C47" s="100">
        <v>57.39</v>
      </c>
      <c r="D47" s="100">
        <v>33.56</v>
      </c>
      <c r="E47" s="100">
        <v>11.81</v>
      </c>
      <c r="F47" s="100">
        <v>24.72</v>
      </c>
      <c r="G47" s="100">
        <v>68.89</v>
      </c>
      <c r="H47" s="100">
        <v>21.27</v>
      </c>
      <c r="I47" s="100">
        <v>9.2899999999999991</v>
      </c>
      <c r="J47" s="100">
        <v>0.47</v>
      </c>
      <c r="K47" s="100">
        <v>234.45</v>
      </c>
      <c r="L47" s="100">
        <v>37.57</v>
      </c>
      <c r="M47" s="100">
        <v>31.6</v>
      </c>
      <c r="N47" s="100">
        <v>165.7</v>
      </c>
      <c r="O47" s="100">
        <v>0</v>
      </c>
      <c r="P47" s="100">
        <v>1</v>
      </c>
      <c r="Q47" s="100">
        <v>4.87</v>
      </c>
    </row>
    <row r="48" spans="1:17" customFormat="1">
      <c r="A48" s="100" t="s">
        <v>1909</v>
      </c>
      <c r="B48" s="100">
        <v>4.8</v>
      </c>
      <c r="C48" s="100">
        <v>52.8</v>
      </c>
      <c r="D48" s="100">
        <v>30.39</v>
      </c>
      <c r="E48" s="100">
        <v>11.49</v>
      </c>
      <c r="F48" s="100">
        <v>34.270000000000003</v>
      </c>
      <c r="G48" s="100">
        <v>68.89</v>
      </c>
      <c r="H48" s="100">
        <v>21.27</v>
      </c>
      <c r="I48" s="100">
        <v>9.3800000000000008</v>
      </c>
      <c r="J48" s="100">
        <v>0.51</v>
      </c>
      <c r="K48" s="100">
        <v>244.44</v>
      </c>
      <c r="L48" s="100">
        <v>38.03</v>
      </c>
      <c r="M48" s="100">
        <v>29.83</v>
      </c>
      <c r="N48" s="100">
        <v>171.3</v>
      </c>
      <c r="O48" s="100">
        <v>0</v>
      </c>
      <c r="P48" s="100">
        <v>0.95</v>
      </c>
      <c r="Q48" s="100">
        <v>4.84</v>
      </c>
    </row>
    <row r="49" spans="1:17" customFormat="1">
      <c r="A49" s="100" t="s">
        <v>1910</v>
      </c>
      <c r="B49" s="100">
        <v>4.49</v>
      </c>
      <c r="C49" s="100">
        <v>53.75</v>
      </c>
      <c r="D49" s="100">
        <v>30.64</v>
      </c>
      <c r="E49" s="100">
        <v>8.69</v>
      </c>
      <c r="F49" s="100">
        <v>32.270000000000003</v>
      </c>
      <c r="G49" s="100">
        <v>68.099999999999994</v>
      </c>
      <c r="H49" s="100">
        <v>22.02</v>
      </c>
      <c r="I49" s="100">
        <v>9.31</v>
      </c>
      <c r="J49" s="100">
        <v>0.6</v>
      </c>
      <c r="K49" s="100">
        <v>268.89999999999998</v>
      </c>
      <c r="L49" s="100">
        <v>38.31</v>
      </c>
      <c r="M49" s="100">
        <v>28.76</v>
      </c>
      <c r="N49" s="100">
        <v>173.1</v>
      </c>
      <c r="O49" s="100">
        <v>0</v>
      </c>
      <c r="P49" s="100">
        <v>0.94</v>
      </c>
      <c r="Q49" s="100">
        <v>4.82</v>
      </c>
    </row>
    <row r="50" spans="1:17" customFormat="1">
      <c r="A50" s="100" t="s">
        <v>1911</v>
      </c>
      <c r="B50" s="100">
        <v>4.28</v>
      </c>
      <c r="C50" s="100">
        <v>53.97</v>
      </c>
      <c r="D50" s="100">
        <v>30.59</v>
      </c>
      <c r="E50" s="100">
        <v>9.69</v>
      </c>
      <c r="F50" s="100">
        <v>36.92</v>
      </c>
      <c r="G50" s="100">
        <v>68.069999999999993</v>
      </c>
      <c r="H50" s="100">
        <v>22.02</v>
      </c>
      <c r="I50" s="100">
        <v>9.1199999999999992</v>
      </c>
      <c r="J50" s="100">
        <v>0.28999999999999998</v>
      </c>
      <c r="K50" s="100">
        <v>282.01</v>
      </c>
      <c r="L50" s="100">
        <v>38.89</v>
      </c>
      <c r="M50" s="100">
        <v>26.86</v>
      </c>
      <c r="N50" s="100">
        <v>186.8</v>
      </c>
      <c r="O50" s="100">
        <v>0</v>
      </c>
      <c r="P50" s="100">
        <v>0.91</v>
      </c>
      <c r="Q50" s="100">
        <v>4.74</v>
      </c>
    </row>
    <row r="51" spans="1:17" customFormat="1">
      <c r="A51" s="100" t="s">
        <v>1912</v>
      </c>
      <c r="B51" s="100">
        <v>3.81</v>
      </c>
      <c r="C51" s="100">
        <v>53.6</v>
      </c>
      <c r="D51" s="100">
        <v>30.02</v>
      </c>
      <c r="E51" s="100">
        <v>9.57</v>
      </c>
      <c r="F51" s="100">
        <v>31.73</v>
      </c>
      <c r="G51" s="100">
        <v>68.069999999999993</v>
      </c>
      <c r="H51" s="100">
        <v>22.02</v>
      </c>
      <c r="I51" s="100">
        <v>8.82</v>
      </c>
      <c r="J51" s="100">
        <v>0.62</v>
      </c>
      <c r="K51" s="100">
        <v>253.89</v>
      </c>
      <c r="L51" s="100">
        <v>39.53</v>
      </c>
      <c r="M51" s="100">
        <v>26</v>
      </c>
      <c r="N51" s="100">
        <v>206.8</v>
      </c>
      <c r="O51" s="100">
        <v>0</v>
      </c>
      <c r="P51" s="100">
        <v>0.86</v>
      </c>
      <c r="Q51" s="100">
        <v>4.7</v>
      </c>
    </row>
    <row r="52" spans="1:17" customFormat="1">
      <c r="A52" s="100" t="s">
        <v>1913</v>
      </c>
      <c r="B52" s="100">
        <v>3.64</v>
      </c>
      <c r="C52" s="100">
        <v>52.03</v>
      </c>
      <c r="D52" s="100">
        <v>29.06</v>
      </c>
      <c r="E52" s="100">
        <v>7.83</v>
      </c>
      <c r="F52" s="100">
        <v>35.11</v>
      </c>
      <c r="G52" s="100">
        <v>68.069999999999993</v>
      </c>
      <c r="H52" s="100">
        <v>22.02</v>
      </c>
      <c r="I52" s="100">
        <v>8.51</v>
      </c>
      <c r="J52" s="100">
        <v>0.83</v>
      </c>
      <c r="K52" s="100">
        <v>274.64999999999998</v>
      </c>
      <c r="L52" s="100">
        <v>39.729999999999997</v>
      </c>
      <c r="M52" s="100">
        <v>25.05</v>
      </c>
      <c r="N52" s="100">
        <v>353.6</v>
      </c>
      <c r="O52" s="100">
        <v>0</v>
      </c>
      <c r="P52" s="100">
        <v>0.83</v>
      </c>
      <c r="Q52" s="100">
        <v>4.66</v>
      </c>
    </row>
    <row r="53" spans="1:17" customFormat="1">
      <c r="A53" s="100" t="s">
        <v>1914</v>
      </c>
      <c r="B53" s="100">
        <v>3.7</v>
      </c>
      <c r="C53" s="100">
        <v>52.02</v>
      </c>
      <c r="D53" s="100">
        <v>29.1</v>
      </c>
      <c r="E53" s="100">
        <v>8.6999999999999993</v>
      </c>
      <c r="F53" s="100">
        <v>34.18</v>
      </c>
      <c r="G53" s="100">
        <v>64.56</v>
      </c>
      <c r="H53" s="100">
        <v>19.39</v>
      </c>
      <c r="I53" s="100">
        <v>8.42</v>
      </c>
      <c r="J53" s="100">
        <v>0.56000000000000005</v>
      </c>
      <c r="K53" s="100">
        <v>264.33999999999997</v>
      </c>
      <c r="L53" s="100">
        <v>40.049999999999997</v>
      </c>
      <c r="M53" s="100">
        <v>23.63</v>
      </c>
      <c r="N53" s="100">
        <v>527.29999999999995</v>
      </c>
      <c r="O53" s="100">
        <v>0</v>
      </c>
      <c r="P53" s="100">
        <v>0.8</v>
      </c>
      <c r="Q53" s="100">
        <v>4.62</v>
      </c>
    </row>
    <row r="54" spans="1:17" customFormat="1">
      <c r="A54" s="100" t="s">
        <v>1915</v>
      </c>
      <c r="B54" s="100">
        <v>3.79</v>
      </c>
      <c r="C54" s="100">
        <v>52.77</v>
      </c>
      <c r="D54" s="100">
        <v>29.57</v>
      </c>
      <c r="E54" s="100">
        <v>11.88</v>
      </c>
      <c r="F54" s="100">
        <v>25.78</v>
      </c>
      <c r="G54" s="100">
        <v>64.400000000000006</v>
      </c>
      <c r="H54" s="100">
        <v>19.39</v>
      </c>
      <c r="I54" s="100">
        <v>7.93</v>
      </c>
      <c r="J54" s="100">
        <v>0.96</v>
      </c>
      <c r="K54" s="100">
        <v>251.75</v>
      </c>
      <c r="L54" s="100">
        <v>40.32</v>
      </c>
      <c r="M54" s="100">
        <v>23.7</v>
      </c>
      <c r="N54" s="100">
        <v>575</v>
      </c>
      <c r="O54" s="100">
        <v>0</v>
      </c>
      <c r="P54" s="100">
        <v>0.8</v>
      </c>
      <c r="Q54" s="100">
        <v>4.62</v>
      </c>
    </row>
    <row r="55" spans="1:17" customFormat="1">
      <c r="A55" s="100" t="s">
        <v>1916</v>
      </c>
      <c r="B55" s="100">
        <v>3.55</v>
      </c>
      <c r="C55" s="100">
        <v>48.78</v>
      </c>
      <c r="D55" s="100">
        <v>27.29</v>
      </c>
      <c r="E55" s="100">
        <v>22.74</v>
      </c>
      <c r="F55" s="100">
        <v>37.97</v>
      </c>
      <c r="G55" s="100">
        <v>64.400000000000006</v>
      </c>
      <c r="H55" s="100">
        <v>19.39</v>
      </c>
      <c r="I55" s="100">
        <v>7.79</v>
      </c>
      <c r="J55" s="100">
        <v>0.72</v>
      </c>
      <c r="K55" s="100">
        <v>294.54000000000002</v>
      </c>
      <c r="L55" s="100">
        <v>40.61</v>
      </c>
      <c r="M55" s="100">
        <v>22.91</v>
      </c>
      <c r="N55" s="100">
        <v>767.4</v>
      </c>
      <c r="O55" s="100">
        <v>0</v>
      </c>
      <c r="P55" s="100">
        <v>0.76</v>
      </c>
      <c r="Q55" s="100">
        <v>4.6100000000000003</v>
      </c>
    </row>
    <row r="56" spans="1:17" customFormat="1">
      <c r="A56" s="100" t="s">
        <v>1917</v>
      </c>
      <c r="B56" s="100">
        <v>3.42</v>
      </c>
      <c r="C56" s="100">
        <v>49.33</v>
      </c>
      <c r="D56" s="100">
        <v>27.47</v>
      </c>
      <c r="E56" s="100">
        <v>16.559999999999999</v>
      </c>
      <c r="F56" s="100">
        <v>28.75</v>
      </c>
      <c r="G56" s="100">
        <v>64.400000000000006</v>
      </c>
      <c r="H56" s="100">
        <v>19.39</v>
      </c>
      <c r="I56" s="100">
        <v>7.95</v>
      </c>
      <c r="J56" s="100">
        <v>0.71</v>
      </c>
      <c r="K56" s="100">
        <v>261.39</v>
      </c>
      <c r="L56" s="100">
        <v>41.02</v>
      </c>
      <c r="M56" s="100">
        <v>22.8</v>
      </c>
      <c r="N56" s="100">
        <v>784.4</v>
      </c>
      <c r="O56" s="100">
        <v>0</v>
      </c>
      <c r="P56" s="100">
        <v>0.73</v>
      </c>
      <c r="Q56" s="100">
        <v>4.5999999999999996</v>
      </c>
    </row>
    <row r="57" spans="1:17" customFormat="1">
      <c r="A57" s="100" t="s">
        <v>1918</v>
      </c>
      <c r="B57" s="100">
        <v>3.18</v>
      </c>
      <c r="C57" s="100">
        <v>48.87</v>
      </c>
      <c r="D57" s="100">
        <v>27.03</v>
      </c>
      <c r="E57" s="100">
        <v>14.49</v>
      </c>
      <c r="F57" s="100">
        <v>39.729999999999997</v>
      </c>
      <c r="G57" s="100">
        <v>60.37</v>
      </c>
      <c r="H57" s="100">
        <v>20.62</v>
      </c>
      <c r="I57" s="100">
        <v>7.64</v>
      </c>
      <c r="J57" s="100">
        <v>0.39</v>
      </c>
      <c r="K57" s="100">
        <v>288.36</v>
      </c>
      <c r="L57" s="100">
        <v>41.25</v>
      </c>
      <c r="M57" s="100">
        <v>22.03</v>
      </c>
      <c r="N57" s="100">
        <v>734.4</v>
      </c>
      <c r="O57" s="100">
        <v>0</v>
      </c>
      <c r="P57" s="100">
        <v>0.7</v>
      </c>
      <c r="Q57" s="100">
        <v>4.6100000000000003</v>
      </c>
    </row>
    <row r="58" spans="1:17" customFormat="1">
      <c r="A58" s="100" t="s">
        <v>1919</v>
      </c>
      <c r="B58" s="100">
        <v>3.19</v>
      </c>
      <c r="C58" s="100">
        <v>48.79</v>
      </c>
      <c r="D58" s="100">
        <v>27</v>
      </c>
      <c r="E58" s="100">
        <v>14.29</v>
      </c>
      <c r="F58" s="100">
        <v>36.71</v>
      </c>
      <c r="G58" s="100">
        <v>60.18</v>
      </c>
      <c r="H58" s="100">
        <v>20.62</v>
      </c>
      <c r="I58" s="100">
        <v>7.4</v>
      </c>
      <c r="J58" s="100">
        <v>1.28</v>
      </c>
      <c r="K58" s="100">
        <v>297.12</v>
      </c>
      <c r="L58" s="100">
        <v>40.64</v>
      </c>
      <c r="M58" s="100">
        <v>22.73</v>
      </c>
      <c r="N58" s="100">
        <v>651.70000000000005</v>
      </c>
      <c r="O58" s="100">
        <v>0</v>
      </c>
      <c r="P58" s="100">
        <v>0.67</v>
      </c>
      <c r="Q58" s="100">
        <v>4.59</v>
      </c>
    </row>
    <row r="59" spans="1:17" customFormat="1">
      <c r="A59" s="100" t="s">
        <v>1920</v>
      </c>
      <c r="B59" s="100">
        <v>3.64</v>
      </c>
      <c r="C59" s="100">
        <v>51.38</v>
      </c>
      <c r="D59" s="100">
        <v>28.72</v>
      </c>
      <c r="E59" s="100">
        <v>11.67</v>
      </c>
      <c r="F59" s="100">
        <v>43.73</v>
      </c>
      <c r="G59" s="100">
        <v>60.18</v>
      </c>
      <c r="H59" s="100">
        <v>20.62</v>
      </c>
      <c r="I59" s="100">
        <v>6.85</v>
      </c>
      <c r="J59" s="100">
        <v>0.9</v>
      </c>
      <c r="K59" s="100">
        <v>306.91000000000003</v>
      </c>
      <c r="L59" s="100">
        <v>40.5</v>
      </c>
      <c r="M59" s="100">
        <v>23.02</v>
      </c>
      <c r="N59" s="100">
        <v>580.79999999999995</v>
      </c>
      <c r="O59" s="100">
        <v>0</v>
      </c>
      <c r="P59" s="100">
        <v>0.67</v>
      </c>
      <c r="Q59" s="100">
        <v>4.5999999999999996</v>
      </c>
    </row>
    <row r="60" spans="1:17" customFormat="1">
      <c r="A60" s="100" t="s">
        <v>1921</v>
      </c>
      <c r="B60" s="100">
        <v>3.45</v>
      </c>
      <c r="C60" s="100">
        <v>48.6</v>
      </c>
      <c r="D60" s="100">
        <v>27.11</v>
      </c>
      <c r="E60" s="100">
        <v>12.46</v>
      </c>
      <c r="F60" s="100">
        <v>35.950000000000003</v>
      </c>
      <c r="G60" s="100">
        <v>60.18</v>
      </c>
      <c r="H60" s="100">
        <v>20.62</v>
      </c>
      <c r="I60" s="100">
        <v>6.89</v>
      </c>
      <c r="J60" s="100">
        <v>0.91</v>
      </c>
      <c r="K60" s="100">
        <v>284.47000000000003</v>
      </c>
      <c r="L60" s="100">
        <v>40.21</v>
      </c>
      <c r="M60" s="100">
        <v>23.11</v>
      </c>
      <c r="N60" s="100">
        <v>491.2</v>
      </c>
      <c r="O60" s="100">
        <v>0</v>
      </c>
      <c r="P60" s="100">
        <v>0.66</v>
      </c>
      <c r="Q60" s="100">
        <v>4.63</v>
      </c>
    </row>
    <row r="61" spans="1:17" customFormat="1">
      <c r="A61" s="100" t="s">
        <v>1922</v>
      </c>
      <c r="B61" s="100">
        <v>3.82</v>
      </c>
      <c r="C61" s="100">
        <v>48.97</v>
      </c>
      <c r="D61" s="100">
        <v>27.6</v>
      </c>
      <c r="E61" s="100">
        <v>14.03</v>
      </c>
      <c r="F61" s="100">
        <v>42.06</v>
      </c>
      <c r="G61" s="100">
        <v>56.2</v>
      </c>
      <c r="H61" s="100">
        <v>17.41</v>
      </c>
      <c r="I61" s="100">
        <v>6.81</v>
      </c>
      <c r="J61" s="100">
        <v>1.03</v>
      </c>
      <c r="K61" s="100">
        <v>307.52</v>
      </c>
      <c r="L61" s="100">
        <v>40.659999999999997</v>
      </c>
      <c r="M61" s="100">
        <v>22.95</v>
      </c>
      <c r="N61" s="100">
        <v>764</v>
      </c>
      <c r="O61" s="100">
        <v>0</v>
      </c>
      <c r="P61" s="100">
        <v>0.64</v>
      </c>
      <c r="Q61" s="100">
        <v>4.6100000000000003</v>
      </c>
    </row>
    <row r="62" spans="1:17" customFormat="1">
      <c r="A62" s="100" t="s">
        <v>1923</v>
      </c>
      <c r="B62" s="100">
        <v>3.65</v>
      </c>
      <c r="C62" s="100">
        <v>52.96</v>
      </c>
      <c r="D62" s="100">
        <v>29.55</v>
      </c>
      <c r="E62" s="100">
        <v>9.24</v>
      </c>
      <c r="F62" s="100">
        <v>17.89</v>
      </c>
      <c r="G62" s="100">
        <v>56.01</v>
      </c>
      <c r="H62" s="100">
        <v>17.41</v>
      </c>
      <c r="I62" s="100">
        <v>6.38</v>
      </c>
      <c r="J62" s="100">
        <v>1.85</v>
      </c>
      <c r="K62" s="100">
        <v>286.14</v>
      </c>
      <c r="L62" s="100">
        <v>39.89</v>
      </c>
      <c r="M62" s="100">
        <v>23.65</v>
      </c>
      <c r="N62" s="100">
        <v>417.9</v>
      </c>
      <c r="O62" s="100">
        <v>0</v>
      </c>
      <c r="P62" s="100">
        <v>0.66</v>
      </c>
      <c r="Q62" s="100">
        <v>4.58</v>
      </c>
    </row>
    <row r="63" spans="1:17" customFormat="1">
      <c r="A63" s="100" t="s">
        <v>1924</v>
      </c>
      <c r="B63" s="100">
        <v>3.84</v>
      </c>
      <c r="C63" s="100">
        <v>52.93</v>
      </c>
      <c r="D63" s="100">
        <v>29.69</v>
      </c>
      <c r="E63" s="100">
        <v>6.27</v>
      </c>
      <c r="F63" s="100">
        <v>17.14</v>
      </c>
      <c r="G63" s="100">
        <v>56.01</v>
      </c>
      <c r="H63" s="100">
        <v>17.41</v>
      </c>
      <c r="I63" s="100">
        <v>6.5</v>
      </c>
      <c r="J63" s="100">
        <v>2.2200000000000002</v>
      </c>
      <c r="K63" s="100">
        <v>295.33999999999997</v>
      </c>
      <c r="L63" s="100">
        <v>39.700000000000003</v>
      </c>
      <c r="M63" s="100">
        <v>24.72</v>
      </c>
      <c r="N63" s="100">
        <v>647.4</v>
      </c>
      <c r="O63" s="100">
        <v>0</v>
      </c>
      <c r="P63" s="100">
        <v>0.64</v>
      </c>
      <c r="Q63" s="100">
        <v>4.55</v>
      </c>
    </row>
    <row r="64" spans="1:17" customFormat="1">
      <c r="A64" s="100" t="s">
        <v>1925</v>
      </c>
      <c r="B64" s="100">
        <v>3.76</v>
      </c>
      <c r="C64" s="100">
        <v>53.92</v>
      </c>
      <c r="D64" s="100">
        <v>30.14</v>
      </c>
      <c r="E64" s="100">
        <v>6.68</v>
      </c>
      <c r="F64" s="100">
        <v>23.35</v>
      </c>
      <c r="G64" s="100">
        <v>56.01</v>
      </c>
      <c r="H64" s="100">
        <v>17.41</v>
      </c>
      <c r="I64" s="100">
        <v>6.81</v>
      </c>
      <c r="J64" s="100">
        <v>1.34</v>
      </c>
      <c r="K64" s="100">
        <v>320.64999999999998</v>
      </c>
      <c r="L64" s="100">
        <v>39.369999999999997</v>
      </c>
      <c r="M64" s="100">
        <v>25.54</v>
      </c>
      <c r="N64" s="100">
        <v>560.6</v>
      </c>
      <c r="O64" s="100">
        <v>0</v>
      </c>
      <c r="P64" s="100">
        <v>0.62</v>
      </c>
      <c r="Q64" s="100">
        <v>4.54</v>
      </c>
    </row>
    <row r="65" spans="1:17" customFormat="1">
      <c r="A65" s="100" t="s">
        <v>1926</v>
      </c>
      <c r="B65" s="100">
        <v>3.93</v>
      </c>
      <c r="C65" s="100">
        <v>53.44</v>
      </c>
      <c r="D65" s="100">
        <v>30.03</v>
      </c>
      <c r="E65" s="100">
        <v>7.43</v>
      </c>
      <c r="F65" s="100">
        <v>16.829999999999998</v>
      </c>
      <c r="G65" s="100">
        <v>68.040000000000006</v>
      </c>
      <c r="H65" s="100">
        <v>20.23</v>
      </c>
      <c r="I65" s="100">
        <v>6.93</v>
      </c>
      <c r="J65" s="100">
        <v>1.49</v>
      </c>
      <c r="K65" s="100">
        <v>64.7</v>
      </c>
      <c r="L65" s="100">
        <v>36.51</v>
      </c>
      <c r="M65" s="100">
        <v>32.11</v>
      </c>
      <c r="N65" s="100">
        <v>418</v>
      </c>
      <c r="O65" s="100">
        <v>0</v>
      </c>
      <c r="P65" s="100">
        <v>0.59</v>
      </c>
      <c r="Q65" s="100">
        <v>4.55</v>
      </c>
    </row>
    <row r="66" spans="1:17" customFormat="1">
      <c r="A66" s="100" t="s">
        <v>1927</v>
      </c>
      <c r="B66" s="100">
        <v>3.65</v>
      </c>
      <c r="C66" s="100">
        <v>50.73</v>
      </c>
      <c r="D66" s="100">
        <v>28.39</v>
      </c>
      <c r="E66" s="100">
        <v>6.69</v>
      </c>
      <c r="F66" s="100">
        <v>16.850000000000001</v>
      </c>
      <c r="G66" s="100">
        <v>68.45</v>
      </c>
      <c r="H66" s="100">
        <v>20.23</v>
      </c>
      <c r="I66" s="100">
        <v>6.54</v>
      </c>
      <c r="J66" s="100">
        <v>0.81</v>
      </c>
      <c r="K66" s="100">
        <v>79.42</v>
      </c>
      <c r="L66" s="100">
        <v>35.53</v>
      </c>
      <c r="M66" s="100">
        <v>32.72</v>
      </c>
      <c r="N66" s="100">
        <v>133.1</v>
      </c>
      <c r="O66" s="100">
        <v>0</v>
      </c>
      <c r="P66" s="100">
        <v>0.57999999999999996</v>
      </c>
      <c r="Q66" s="100">
        <v>4.54</v>
      </c>
    </row>
    <row r="67" spans="1:17" customFormat="1">
      <c r="A67" s="100" t="s">
        <v>1928</v>
      </c>
      <c r="B67" s="100">
        <v>4.42</v>
      </c>
      <c r="C67" s="100">
        <v>50.71</v>
      </c>
      <c r="D67" s="100">
        <v>28.99</v>
      </c>
      <c r="E67" s="100">
        <v>6.62</v>
      </c>
      <c r="F67" s="100">
        <v>22.92</v>
      </c>
      <c r="G67" s="100">
        <v>68.45</v>
      </c>
      <c r="H67" s="100">
        <v>20.23</v>
      </c>
      <c r="I67" s="100">
        <v>6.18</v>
      </c>
      <c r="J67" s="100">
        <v>0.73</v>
      </c>
      <c r="K67" s="100">
        <v>69.88</v>
      </c>
      <c r="L67" s="100">
        <v>35.07</v>
      </c>
      <c r="M67" s="100">
        <v>33.82</v>
      </c>
      <c r="N67" s="100">
        <v>141.5</v>
      </c>
      <c r="O67" s="100">
        <v>0</v>
      </c>
      <c r="P67" s="100">
        <v>0.55000000000000004</v>
      </c>
      <c r="Q67" s="100">
        <v>4.53</v>
      </c>
    </row>
    <row r="68" spans="1:17" customFormat="1">
      <c r="A68" s="100" t="s">
        <v>1929</v>
      </c>
      <c r="B68" s="100">
        <v>4.3899999999999997</v>
      </c>
      <c r="C68" s="100">
        <v>49.81</v>
      </c>
      <c r="D68" s="100">
        <v>28.5</v>
      </c>
      <c r="E68" s="100">
        <v>7.92</v>
      </c>
      <c r="F68" s="100">
        <v>26.89</v>
      </c>
      <c r="G68" s="100">
        <v>68.45</v>
      </c>
      <c r="H68" s="100">
        <v>20.23</v>
      </c>
      <c r="I68" s="100">
        <v>6.01</v>
      </c>
      <c r="J68" s="100">
        <v>0.64</v>
      </c>
      <c r="K68" s="100">
        <v>74.150000000000006</v>
      </c>
      <c r="L68" s="100">
        <v>35.5</v>
      </c>
      <c r="M68" s="100">
        <v>33.299999999999997</v>
      </c>
      <c r="N68" s="100">
        <v>183.1</v>
      </c>
      <c r="O68" s="100">
        <v>0</v>
      </c>
      <c r="P68" s="100">
        <v>0.54</v>
      </c>
      <c r="Q68" s="100">
        <v>4.57</v>
      </c>
    </row>
    <row r="69" spans="1:17" customFormat="1">
      <c r="A69" s="100" t="s">
        <v>1930</v>
      </c>
      <c r="B69" s="100">
        <v>4.22</v>
      </c>
      <c r="C69" s="100">
        <v>46.13</v>
      </c>
      <c r="D69" s="100">
        <v>26.44</v>
      </c>
      <c r="E69" s="100">
        <v>11.21</v>
      </c>
      <c r="F69" s="100">
        <v>35</v>
      </c>
      <c r="G69" s="100">
        <v>64.650000000000006</v>
      </c>
      <c r="H69" s="100">
        <v>18.93</v>
      </c>
      <c r="I69" s="100">
        <v>5.53</v>
      </c>
      <c r="J69" s="100">
        <v>0.32</v>
      </c>
      <c r="K69" s="100">
        <v>133.94</v>
      </c>
      <c r="L69" s="100">
        <v>36.340000000000003</v>
      </c>
      <c r="M69" s="100">
        <v>33.200000000000003</v>
      </c>
      <c r="N69" s="100">
        <v>190.3</v>
      </c>
      <c r="O69" s="100">
        <v>0</v>
      </c>
      <c r="P69" s="100">
        <v>0.5</v>
      </c>
      <c r="Q69" s="100">
        <v>4.59</v>
      </c>
    </row>
    <row r="70" spans="1:17" customFormat="1">
      <c r="A70" s="100" t="s">
        <v>1931</v>
      </c>
      <c r="B70" s="100">
        <v>3.69</v>
      </c>
      <c r="C70" s="100">
        <v>42.38</v>
      </c>
      <c r="D70" s="100">
        <v>24.06</v>
      </c>
      <c r="E70" s="100">
        <v>11.9</v>
      </c>
      <c r="F70" s="100">
        <v>41.21</v>
      </c>
      <c r="G70" s="100">
        <v>64.48</v>
      </c>
      <c r="H70" s="100">
        <v>18.93</v>
      </c>
      <c r="I70" s="100">
        <v>5.09</v>
      </c>
      <c r="J70" s="100">
        <v>0.3</v>
      </c>
      <c r="K70" s="100">
        <v>169.84</v>
      </c>
      <c r="L70" s="100">
        <v>36.22</v>
      </c>
      <c r="M70" s="100">
        <v>33.97</v>
      </c>
      <c r="N70" s="100">
        <v>168.2</v>
      </c>
      <c r="O70" s="100">
        <v>0</v>
      </c>
      <c r="P70" s="100">
        <v>0.48</v>
      </c>
      <c r="Q70" s="100">
        <v>4.59</v>
      </c>
    </row>
    <row r="71" spans="1:17" customFormat="1">
      <c r="A71" s="100" t="s">
        <v>1932</v>
      </c>
      <c r="B71" s="100">
        <v>3.59</v>
      </c>
      <c r="C71" s="100">
        <v>42.7</v>
      </c>
      <c r="D71" s="100">
        <v>24.14</v>
      </c>
      <c r="E71" s="100">
        <v>11.81</v>
      </c>
      <c r="F71" s="100">
        <v>39.409999999999997</v>
      </c>
      <c r="G71" s="100">
        <v>64.48</v>
      </c>
      <c r="H71" s="100">
        <v>18.93</v>
      </c>
      <c r="I71" s="100">
        <v>4.74</v>
      </c>
      <c r="J71" s="100">
        <v>0.4</v>
      </c>
      <c r="K71" s="100">
        <v>166.62</v>
      </c>
      <c r="L71" s="100">
        <v>37</v>
      </c>
      <c r="M71" s="100">
        <v>31.81</v>
      </c>
      <c r="N71" s="100">
        <v>276.2</v>
      </c>
      <c r="O71" s="100">
        <v>0</v>
      </c>
      <c r="P71" s="100">
        <v>0.48</v>
      </c>
      <c r="Q71" s="100">
        <v>4.57</v>
      </c>
    </row>
    <row r="72" spans="1:17" customFormat="1">
      <c r="A72" s="100" t="s">
        <v>1933</v>
      </c>
      <c r="B72" s="100">
        <v>3.47</v>
      </c>
      <c r="C72" s="100">
        <v>40.44</v>
      </c>
      <c r="D72" s="100">
        <v>22.87</v>
      </c>
      <c r="E72" s="100">
        <v>11.58</v>
      </c>
      <c r="F72" s="100">
        <v>42.84</v>
      </c>
      <c r="G72" s="100">
        <v>64.48</v>
      </c>
      <c r="H72" s="100">
        <v>18.93</v>
      </c>
      <c r="I72" s="100">
        <v>4.53</v>
      </c>
      <c r="J72" s="100">
        <v>0.23</v>
      </c>
      <c r="K72" s="100">
        <v>187.89</v>
      </c>
      <c r="L72" s="100">
        <v>37.17</v>
      </c>
      <c r="M72" s="100">
        <v>32.369999999999997</v>
      </c>
      <c r="N72" s="100">
        <v>179.8</v>
      </c>
      <c r="O72" s="100">
        <v>0</v>
      </c>
      <c r="P72" s="100">
        <v>0.47</v>
      </c>
      <c r="Q72" s="100">
        <v>4.58</v>
      </c>
    </row>
    <row r="73" spans="1:17" customFormat="1">
      <c r="A73" s="100" t="s">
        <v>1934</v>
      </c>
      <c r="B73" s="100">
        <v>3.36</v>
      </c>
      <c r="C73" s="100">
        <v>38.57</v>
      </c>
      <c r="D73" s="100">
        <v>21.8</v>
      </c>
      <c r="E73" s="100">
        <v>11.74</v>
      </c>
      <c r="F73" s="100">
        <v>43.79</v>
      </c>
      <c r="G73" s="100">
        <v>58.05</v>
      </c>
      <c r="H73" s="100">
        <v>16.600000000000001</v>
      </c>
      <c r="I73" s="100">
        <v>4.3600000000000003</v>
      </c>
      <c r="J73" s="100">
        <v>0.3</v>
      </c>
      <c r="K73" s="100">
        <v>170.1</v>
      </c>
      <c r="L73" s="100">
        <v>37.369999999999997</v>
      </c>
      <c r="M73" s="100">
        <v>30.64</v>
      </c>
      <c r="N73" s="100">
        <v>295.10000000000002</v>
      </c>
      <c r="O73" s="100">
        <v>0</v>
      </c>
      <c r="P73" s="100">
        <v>0.46</v>
      </c>
      <c r="Q73" s="100">
        <v>4.54</v>
      </c>
    </row>
    <row r="74" spans="1:17" customFormat="1">
      <c r="A74" s="100" t="s">
        <v>1935</v>
      </c>
      <c r="B74" s="100">
        <v>3.74</v>
      </c>
      <c r="C74" s="100">
        <v>44.57</v>
      </c>
      <c r="D74" s="100">
        <v>25.24</v>
      </c>
      <c r="E74" s="100">
        <v>11.29</v>
      </c>
      <c r="F74" s="100">
        <v>30.94</v>
      </c>
      <c r="G74" s="100">
        <v>57.75</v>
      </c>
      <c r="H74" s="100">
        <v>16.600000000000001</v>
      </c>
      <c r="I74" s="100">
        <v>4.1100000000000003</v>
      </c>
      <c r="J74" s="100">
        <v>0.46</v>
      </c>
      <c r="K74" s="100">
        <v>244.28</v>
      </c>
      <c r="L74" s="100">
        <v>38.4</v>
      </c>
      <c r="M74" s="100">
        <v>27.77</v>
      </c>
      <c r="N74" s="100">
        <v>359.4</v>
      </c>
      <c r="O74" s="100">
        <v>0</v>
      </c>
      <c r="P74" s="100">
        <v>0.57999999999999996</v>
      </c>
      <c r="Q74" s="100">
        <v>4.5599999999999996</v>
      </c>
    </row>
    <row r="75" spans="1:17" customFormat="1">
      <c r="A75" s="100" t="s">
        <v>1936</v>
      </c>
      <c r="B75" s="100">
        <v>4.32</v>
      </c>
      <c r="C75" s="100">
        <v>50.32</v>
      </c>
      <c r="D75" s="100">
        <v>28.71</v>
      </c>
      <c r="E75" s="100">
        <v>14.09</v>
      </c>
      <c r="F75" s="100">
        <v>18.91</v>
      </c>
      <c r="G75" s="100">
        <v>57.75</v>
      </c>
      <c r="H75" s="100">
        <v>16.600000000000001</v>
      </c>
      <c r="I75" s="100">
        <v>4.3</v>
      </c>
      <c r="J75" s="100">
        <v>0.43</v>
      </c>
      <c r="K75" s="100">
        <v>248.14</v>
      </c>
      <c r="L75" s="100">
        <v>38.33</v>
      </c>
      <c r="M75" s="100">
        <v>26.74</v>
      </c>
      <c r="N75" s="100">
        <v>302.2</v>
      </c>
      <c r="O75" s="100">
        <v>0</v>
      </c>
      <c r="P75" s="100">
        <v>0.65</v>
      </c>
      <c r="Q75" s="100">
        <v>4.57</v>
      </c>
    </row>
    <row r="76" spans="1:17" customFormat="1">
      <c r="A76" s="100" t="s">
        <v>1937</v>
      </c>
      <c r="B76" s="100">
        <v>4.3600000000000003</v>
      </c>
      <c r="C76" s="100">
        <v>48.05</v>
      </c>
      <c r="D76" s="100">
        <v>27.56</v>
      </c>
      <c r="E76" s="100">
        <v>25.51</v>
      </c>
      <c r="F76" s="100">
        <v>28.67</v>
      </c>
      <c r="G76" s="100">
        <v>57.75</v>
      </c>
      <c r="H76" s="100">
        <v>16.600000000000001</v>
      </c>
      <c r="I76" s="100">
        <v>5.2</v>
      </c>
      <c r="J76" s="100">
        <v>0.31</v>
      </c>
      <c r="K76" s="100">
        <v>245.58</v>
      </c>
      <c r="L76" s="100">
        <v>38.450000000000003</v>
      </c>
      <c r="M76" s="100">
        <v>26.25</v>
      </c>
      <c r="N76" s="100">
        <v>200.4</v>
      </c>
      <c r="O76" s="100">
        <v>0</v>
      </c>
      <c r="P76" s="100">
        <v>0.78</v>
      </c>
      <c r="Q76" s="100">
        <v>4.5999999999999996</v>
      </c>
    </row>
    <row r="77" spans="1:17" customFormat="1">
      <c r="A77" s="100" t="s">
        <v>1938</v>
      </c>
      <c r="B77" s="100">
        <v>4.0999999999999996</v>
      </c>
      <c r="C77" s="100">
        <v>44.21</v>
      </c>
      <c r="D77" s="100">
        <v>25.35</v>
      </c>
      <c r="E77" s="100">
        <v>24.78</v>
      </c>
      <c r="F77" s="100">
        <v>36.86</v>
      </c>
      <c r="G77" s="100">
        <v>56.85</v>
      </c>
      <c r="H77" s="100">
        <v>15.03</v>
      </c>
      <c r="I77" s="100">
        <v>6.52</v>
      </c>
      <c r="J77" s="100">
        <v>0.31</v>
      </c>
      <c r="K77" s="100">
        <v>173.11</v>
      </c>
      <c r="L77" s="100">
        <v>38.46</v>
      </c>
      <c r="M77" s="100">
        <v>27.56</v>
      </c>
      <c r="N77" s="100">
        <v>99.9</v>
      </c>
      <c r="O77" s="100">
        <v>0</v>
      </c>
      <c r="P77" s="100">
        <v>0.78</v>
      </c>
      <c r="Q77" s="100">
        <v>4.6399999999999997</v>
      </c>
    </row>
    <row r="78" spans="1:17" customFormat="1">
      <c r="A78" s="100" t="s">
        <v>1939</v>
      </c>
      <c r="B78" s="100">
        <v>4.0199999999999996</v>
      </c>
      <c r="C78" s="100">
        <v>42.27</v>
      </c>
      <c r="D78" s="100">
        <v>24.26</v>
      </c>
      <c r="E78" s="100">
        <v>24.19</v>
      </c>
      <c r="F78" s="100">
        <v>39.76</v>
      </c>
      <c r="G78" s="100">
        <v>56.81</v>
      </c>
      <c r="H78" s="100">
        <v>15.03</v>
      </c>
      <c r="I78" s="100">
        <v>7.55</v>
      </c>
      <c r="J78" s="100">
        <v>0.24</v>
      </c>
      <c r="K78" s="100">
        <v>160.75</v>
      </c>
      <c r="L78" s="100">
        <v>38.020000000000003</v>
      </c>
      <c r="M78" s="100">
        <v>27.63</v>
      </c>
      <c r="N78" s="100">
        <v>68.900000000000006</v>
      </c>
      <c r="O78" s="100">
        <v>0</v>
      </c>
      <c r="P78" s="100">
        <v>0.75</v>
      </c>
      <c r="Q78" s="100">
        <v>4.6399999999999997</v>
      </c>
    </row>
    <row r="79" spans="1:17" customFormat="1">
      <c r="A79" s="100" t="s">
        <v>1940</v>
      </c>
      <c r="B79" s="100">
        <v>3.83</v>
      </c>
      <c r="C79" s="100">
        <v>40.72</v>
      </c>
      <c r="D79" s="100">
        <v>23.3</v>
      </c>
      <c r="E79" s="100">
        <v>19.66</v>
      </c>
      <c r="F79" s="100">
        <v>39.42</v>
      </c>
      <c r="G79" s="100">
        <v>56.81</v>
      </c>
      <c r="H79" s="100">
        <v>15.03</v>
      </c>
      <c r="I79" s="100">
        <v>7.74</v>
      </c>
      <c r="J79" s="100">
        <v>7.0000000000000007E-2</v>
      </c>
      <c r="K79" s="100">
        <v>158.47</v>
      </c>
      <c r="L79" s="100">
        <v>37.340000000000003</v>
      </c>
      <c r="M79" s="100">
        <v>31.32</v>
      </c>
      <c r="N79" s="100">
        <v>49.7</v>
      </c>
      <c r="O79" s="100">
        <v>0</v>
      </c>
      <c r="P79" s="100">
        <v>0.75</v>
      </c>
      <c r="Q79" s="100">
        <v>4.63</v>
      </c>
    </row>
    <row r="80" spans="1:17" customFormat="1">
      <c r="A80" s="100" t="s">
        <v>1941</v>
      </c>
      <c r="B80" s="100">
        <v>3.6</v>
      </c>
      <c r="C80" s="100">
        <v>38.86</v>
      </c>
      <c r="D80" s="100">
        <v>22.15</v>
      </c>
      <c r="E80" s="100">
        <v>16.16</v>
      </c>
      <c r="F80" s="100">
        <v>37.79</v>
      </c>
      <c r="G80" s="100">
        <v>56.81</v>
      </c>
      <c r="H80" s="100">
        <v>15.03</v>
      </c>
      <c r="I80" s="100">
        <v>7.53</v>
      </c>
      <c r="J80" s="100">
        <v>0.11</v>
      </c>
      <c r="K80" s="100">
        <v>134.5</v>
      </c>
      <c r="L80" s="100">
        <v>36.65</v>
      </c>
      <c r="M80" s="100">
        <v>32.270000000000003</v>
      </c>
      <c r="N80" s="100">
        <v>33.1</v>
      </c>
      <c r="O80" s="100">
        <v>0</v>
      </c>
      <c r="P80" s="100">
        <v>0.72</v>
      </c>
      <c r="Q80" s="100">
        <v>4.59</v>
      </c>
    </row>
    <row r="81" spans="1:17" customFormat="1">
      <c r="A81" s="100" t="s">
        <v>1942</v>
      </c>
      <c r="B81" s="100">
        <v>3.71</v>
      </c>
      <c r="C81" s="100">
        <v>39</v>
      </c>
      <c r="D81" s="100">
        <v>22.3</v>
      </c>
      <c r="E81" s="100">
        <v>10.55</v>
      </c>
      <c r="F81" s="100">
        <v>39.14</v>
      </c>
      <c r="G81" s="100">
        <v>52.61</v>
      </c>
      <c r="H81" s="100">
        <v>15.6</v>
      </c>
      <c r="I81" s="100">
        <v>7.25</v>
      </c>
      <c r="J81" s="100">
        <v>0.1</v>
      </c>
      <c r="K81" s="100">
        <v>204.32</v>
      </c>
      <c r="L81" s="100">
        <v>35.61</v>
      </c>
      <c r="M81" s="100">
        <v>33.24</v>
      </c>
      <c r="N81" s="100">
        <v>9.1999999999999993</v>
      </c>
      <c r="O81" s="100">
        <v>0</v>
      </c>
      <c r="P81" s="100">
        <v>0.69</v>
      </c>
      <c r="Q81" s="100">
        <v>4.62</v>
      </c>
    </row>
    <row r="82" spans="1:17" customFormat="1">
      <c r="A82" s="100" t="s">
        <v>1943</v>
      </c>
      <c r="B82" s="100">
        <v>4.07</v>
      </c>
      <c r="C82" s="100">
        <v>40.799999999999997</v>
      </c>
      <c r="D82" s="100">
        <v>23.53</v>
      </c>
      <c r="E82" s="100">
        <v>12.59</v>
      </c>
      <c r="F82" s="100">
        <v>37.549999999999997</v>
      </c>
      <c r="G82" s="100">
        <v>52.41</v>
      </c>
      <c r="H82" s="100">
        <v>15.6</v>
      </c>
      <c r="I82" s="100">
        <v>6.83</v>
      </c>
      <c r="J82" s="100">
        <v>0.12</v>
      </c>
      <c r="K82" s="100">
        <v>194.74</v>
      </c>
      <c r="L82" s="100">
        <v>34.840000000000003</v>
      </c>
      <c r="M82" s="100">
        <v>33.200000000000003</v>
      </c>
      <c r="N82" s="100">
        <v>0.1</v>
      </c>
      <c r="O82" s="100">
        <v>0</v>
      </c>
      <c r="P82" s="100">
        <v>0.64</v>
      </c>
      <c r="Q82" s="100">
        <v>4.6100000000000003</v>
      </c>
    </row>
    <row r="83" spans="1:17" customFormat="1">
      <c r="A83" s="100" t="s">
        <v>1944</v>
      </c>
      <c r="B83" s="100">
        <v>3.97</v>
      </c>
      <c r="C83" s="100">
        <v>38.380000000000003</v>
      </c>
      <c r="D83" s="100">
        <v>22.19</v>
      </c>
      <c r="E83" s="100">
        <v>10.38</v>
      </c>
      <c r="F83" s="100">
        <v>34.33</v>
      </c>
      <c r="G83" s="100">
        <v>52.41</v>
      </c>
      <c r="H83" s="100">
        <v>15.6</v>
      </c>
      <c r="I83" s="100">
        <v>6.6</v>
      </c>
      <c r="J83" s="100">
        <v>0.11</v>
      </c>
      <c r="K83" s="100">
        <v>110.43</v>
      </c>
      <c r="L83" s="100">
        <v>34.19</v>
      </c>
      <c r="M83" s="100">
        <v>34.99</v>
      </c>
      <c r="N83" s="100">
        <v>0</v>
      </c>
      <c r="O83" s="100">
        <v>0</v>
      </c>
      <c r="P83" s="100">
        <v>0.64</v>
      </c>
      <c r="Q83" s="100">
        <v>4.62</v>
      </c>
    </row>
    <row r="84" spans="1:17" customFormat="1">
      <c r="A84" s="100" t="s">
        <v>1945</v>
      </c>
      <c r="B84" s="100">
        <v>4.66</v>
      </c>
      <c r="C84" s="100">
        <v>43.34</v>
      </c>
      <c r="D84" s="100">
        <v>25.33</v>
      </c>
      <c r="E84" s="100">
        <v>9.17</v>
      </c>
      <c r="F84" s="100">
        <v>28.39</v>
      </c>
      <c r="G84" s="100">
        <v>52.41</v>
      </c>
      <c r="H84" s="100">
        <v>15.6</v>
      </c>
      <c r="I84" s="100">
        <v>6.39</v>
      </c>
      <c r="J84" s="100">
        <v>0.23</v>
      </c>
      <c r="K84" s="100">
        <v>122.62</v>
      </c>
      <c r="L84" s="100">
        <v>33.67</v>
      </c>
      <c r="M84" s="100">
        <v>38.119999999999997</v>
      </c>
      <c r="N84" s="100">
        <v>0</v>
      </c>
      <c r="O84" s="100">
        <v>0</v>
      </c>
      <c r="P84" s="100">
        <v>0.63</v>
      </c>
      <c r="Q84" s="100">
        <v>4.62</v>
      </c>
    </row>
    <row r="85" spans="1:17" customFormat="1">
      <c r="A85" s="100" t="s">
        <v>1946</v>
      </c>
      <c r="B85" s="100">
        <v>4.45</v>
      </c>
      <c r="C85" s="100">
        <v>41.77</v>
      </c>
      <c r="D85" s="100">
        <v>24.35</v>
      </c>
      <c r="E85" s="100">
        <v>9.11</v>
      </c>
      <c r="F85" s="100">
        <v>36.340000000000003</v>
      </c>
      <c r="G85" s="100">
        <v>52.9</v>
      </c>
      <c r="H85" s="100">
        <v>16.27</v>
      </c>
      <c r="I85" s="100">
        <v>6.12</v>
      </c>
      <c r="J85" s="100">
        <v>0.17</v>
      </c>
      <c r="K85" s="100">
        <v>239.82</v>
      </c>
      <c r="L85" s="100">
        <v>33.380000000000003</v>
      </c>
      <c r="M85" s="100">
        <v>39.770000000000003</v>
      </c>
      <c r="N85" s="100">
        <v>0</v>
      </c>
      <c r="O85" s="100">
        <v>0</v>
      </c>
      <c r="P85" s="100">
        <v>0.56999999999999995</v>
      </c>
      <c r="Q85" s="100">
        <v>4.6500000000000004</v>
      </c>
    </row>
    <row r="86" spans="1:17" customFormat="1">
      <c r="A86" s="100" t="s">
        <v>1947</v>
      </c>
      <c r="B86" s="100">
        <v>4.66</v>
      </c>
      <c r="C86" s="100">
        <v>41.58</v>
      </c>
      <c r="D86" s="100">
        <v>24.42</v>
      </c>
      <c r="E86" s="100">
        <v>8.92</v>
      </c>
      <c r="F86" s="100">
        <v>33.39</v>
      </c>
      <c r="G86" s="100">
        <v>52.91</v>
      </c>
      <c r="H86" s="100">
        <v>16.27</v>
      </c>
      <c r="I86" s="100">
        <v>5.76</v>
      </c>
      <c r="J86" s="100">
        <v>0.15</v>
      </c>
      <c r="K86" s="100">
        <v>199.51</v>
      </c>
      <c r="L86" s="100">
        <v>32.97</v>
      </c>
      <c r="M86" s="100">
        <v>40.72</v>
      </c>
      <c r="N86" s="100">
        <v>0</v>
      </c>
      <c r="O86" s="100">
        <v>0</v>
      </c>
      <c r="P86" s="100">
        <v>0.57999999999999996</v>
      </c>
      <c r="Q86" s="100">
        <v>4.6399999999999997</v>
      </c>
    </row>
    <row r="87" spans="1:17" customFormat="1">
      <c r="A87" s="100" t="s">
        <v>1948</v>
      </c>
      <c r="B87" s="100">
        <v>5.21</v>
      </c>
      <c r="C87" s="100">
        <v>45.04</v>
      </c>
      <c r="D87" s="100">
        <v>26.67</v>
      </c>
      <c r="E87" s="100">
        <v>8.2899999999999991</v>
      </c>
      <c r="F87" s="100">
        <v>23.78</v>
      </c>
      <c r="G87" s="100">
        <v>52.91</v>
      </c>
      <c r="H87" s="100">
        <v>16.27</v>
      </c>
      <c r="I87" s="100">
        <v>5.37</v>
      </c>
      <c r="J87" s="100">
        <v>0.13</v>
      </c>
      <c r="K87" s="100">
        <v>226.22</v>
      </c>
      <c r="L87" s="100">
        <v>32.369999999999997</v>
      </c>
      <c r="M87" s="100">
        <v>44.09</v>
      </c>
      <c r="N87" s="100">
        <v>0</v>
      </c>
      <c r="O87" s="100">
        <v>0</v>
      </c>
      <c r="P87" s="100">
        <v>0.61</v>
      </c>
      <c r="Q87" s="100">
        <v>4.63</v>
      </c>
    </row>
    <row r="88" spans="1:17" customFormat="1">
      <c r="A88" s="100" t="s">
        <v>1949</v>
      </c>
      <c r="B88" s="100">
        <v>5.51</v>
      </c>
      <c r="C88" s="100">
        <v>44.44</v>
      </c>
      <c r="D88" s="100">
        <v>26.59</v>
      </c>
      <c r="E88" s="100">
        <v>8.42</v>
      </c>
      <c r="F88" s="100">
        <v>24.59</v>
      </c>
      <c r="G88" s="100">
        <v>52.91</v>
      </c>
      <c r="H88" s="100">
        <v>16.27</v>
      </c>
      <c r="I88" s="100">
        <v>5.39</v>
      </c>
      <c r="J88" s="100">
        <v>0.16</v>
      </c>
      <c r="K88" s="100">
        <v>230.88</v>
      </c>
      <c r="L88" s="100">
        <v>32.020000000000003</v>
      </c>
      <c r="M88" s="100">
        <v>43.74</v>
      </c>
      <c r="N88" s="100">
        <v>0</v>
      </c>
      <c r="O88" s="100">
        <v>0</v>
      </c>
      <c r="P88" s="100">
        <v>0.6</v>
      </c>
      <c r="Q88" s="100">
        <v>4.6399999999999997</v>
      </c>
    </row>
    <row r="89" spans="1:17" customFormat="1">
      <c r="A89" s="100" t="s">
        <v>1950</v>
      </c>
      <c r="B89" s="100">
        <v>5.24</v>
      </c>
      <c r="C89" s="100">
        <v>43.77</v>
      </c>
      <c r="D89" s="100">
        <v>26.03</v>
      </c>
      <c r="E89" s="100">
        <v>8.1199999999999992</v>
      </c>
      <c r="F89" s="100">
        <v>25.05</v>
      </c>
      <c r="G89" s="100">
        <v>49.72</v>
      </c>
      <c r="H89" s="100">
        <v>12.22</v>
      </c>
      <c r="I89" s="100">
        <v>5.56</v>
      </c>
      <c r="J89" s="100">
        <v>0.12</v>
      </c>
      <c r="K89" s="100">
        <v>218.93</v>
      </c>
      <c r="L89" s="100">
        <v>31.84</v>
      </c>
      <c r="M89" s="100">
        <v>44.88</v>
      </c>
      <c r="N89" s="100">
        <v>0</v>
      </c>
      <c r="O89" s="100">
        <v>0</v>
      </c>
      <c r="P89" s="100">
        <v>0.62</v>
      </c>
      <c r="Q89" s="100">
        <v>4.68</v>
      </c>
    </row>
    <row r="90" spans="1:17" customFormat="1">
      <c r="A90" s="100" t="s">
        <v>1951</v>
      </c>
      <c r="B90" s="100">
        <v>5.72</v>
      </c>
      <c r="C90" s="100">
        <v>44.55</v>
      </c>
      <c r="D90" s="100">
        <v>26.82</v>
      </c>
      <c r="E90" s="100">
        <v>8.26</v>
      </c>
      <c r="F90" s="100">
        <v>21.23</v>
      </c>
      <c r="G90" s="100">
        <v>49.57</v>
      </c>
      <c r="H90" s="100">
        <v>12.22</v>
      </c>
      <c r="I90" s="100">
        <v>5.46</v>
      </c>
      <c r="J90" s="100">
        <v>0.16</v>
      </c>
      <c r="K90" s="100">
        <v>194.54</v>
      </c>
      <c r="L90" s="100">
        <v>31.47</v>
      </c>
      <c r="M90" s="100">
        <v>47.03</v>
      </c>
      <c r="N90" s="100">
        <v>0</v>
      </c>
      <c r="O90" s="100">
        <v>0</v>
      </c>
      <c r="P90" s="100">
        <v>0.61</v>
      </c>
      <c r="Q90" s="100">
        <v>4.7</v>
      </c>
    </row>
    <row r="91" spans="1:17" customFormat="1">
      <c r="A91" s="100" t="s">
        <v>1952</v>
      </c>
      <c r="B91" s="100">
        <v>6.1</v>
      </c>
      <c r="C91" s="100">
        <v>45.91</v>
      </c>
      <c r="D91" s="100">
        <v>27.84</v>
      </c>
      <c r="E91" s="100">
        <v>8.3000000000000007</v>
      </c>
      <c r="F91" s="100">
        <v>19.13</v>
      </c>
      <c r="G91" s="100">
        <v>49.57</v>
      </c>
      <c r="H91" s="100">
        <v>12.22</v>
      </c>
      <c r="I91" s="100">
        <v>5.39</v>
      </c>
      <c r="J91" s="100">
        <v>0.14000000000000001</v>
      </c>
      <c r="K91" s="100">
        <v>135.12</v>
      </c>
      <c r="L91" s="100">
        <v>31.24</v>
      </c>
      <c r="M91" s="100">
        <v>47.01</v>
      </c>
      <c r="N91" s="100">
        <v>0</v>
      </c>
      <c r="O91" s="100">
        <v>0</v>
      </c>
      <c r="P91" s="100">
        <v>0.62</v>
      </c>
      <c r="Q91" s="100">
        <v>4.71</v>
      </c>
    </row>
    <row r="92" spans="1:17" customFormat="1">
      <c r="A92" s="100" t="s">
        <v>1953</v>
      </c>
      <c r="B92" s="100">
        <v>6.63</v>
      </c>
      <c r="C92" s="100">
        <v>45.77</v>
      </c>
      <c r="D92" s="100">
        <v>28.19</v>
      </c>
      <c r="E92" s="100">
        <v>8.2200000000000006</v>
      </c>
      <c r="F92" s="100">
        <v>18.32</v>
      </c>
      <c r="G92" s="100">
        <v>49.57</v>
      </c>
      <c r="H92" s="100">
        <v>12.22</v>
      </c>
      <c r="I92" s="100">
        <v>5.59</v>
      </c>
      <c r="J92" s="100">
        <v>0.14000000000000001</v>
      </c>
      <c r="K92" s="100">
        <v>136.66</v>
      </c>
      <c r="L92" s="100">
        <v>31.33</v>
      </c>
      <c r="M92" s="100">
        <v>46.59</v>
      </c>
      <c r="N92" s="100">
        <v>0</v>
      </c>
      <c r="O92" s="100">
        <v>0</v>
      </c>
      <c r="P92" s="100">
        <v>0.65</v>
      </c>
      <c r="Q92" s="100">
        <v>4.6900000000000004</v>
      </c>
    </row>
    <row r="93" spans="1:17" customFormat="1">
      <c r="A93" s="100" t="s">
        <v>1954</v>
      </c>
      <c r="B93" s="100">
        <v>20.59</v>
      </c>
      <c r="C93" s="100">
        <v>58.62</v>
      </c>
      <c r="D93" s="100">
        <v>46.09</v>
      </c>
      <c r="E93" s="100">
        <v>8.42</v>
      </c>
      <c r="F93" s="100">
        <v>6.41</v>
      </c>
      <c r="G93" s="100">
        <v>50.31</v>
      </c>
      <c r="H93" s="100">
        <v>15.2</v>
      </c>
      <c r="I93" s="100">
        <v>5.69</v>
      </c>
      <c r="J93" s="100">
        <v>0.18</v>
      </c>
      <c r="K93" s="100">
        <v>81.77</v>
      </c>
      <c r="L93" s="100">
        <v>31.4</v>
      </c>
      <c r="M93" s="100">
        <v>46.57</v>
      </c>
      <c r="N93" s="100">
        <v>0</v>
      </c>
      <c r="O93" s="100">
        <v>0</v>
      </c>
      <c r="P93" s="100">
        <v>0.88</v>
      </c>
      <c r="Q93" s="100">
        <v>4.7699999999999996</v>
      </c>
    </row>
    <row r="94" spans="1:17" customFormat="1">
      <c r="A94" s="100" t="s">
        <v>1955</v>
      </c>
      <c r="B94" s="100">
        <v>21.17</v>
      </c>
      <c r="C94" s="100">
        <v>59.73</v>
      </c>
      <c r="D94" s="100">
        <v>47.14</v>
      </c>
      <c r="E94" s="100">
        <v>7.88</v>
      </c>
      <c r="F94" s="100">
        <v>4.5999999999999996</v>
      </c>
      <c r="G94" s="100">
        <v>50.34</v>
      </c>
      <c r="H94" s="100">
        <v>15.2</v>
      </c>
      <c r="I94" s="100">
        <v>6.31</v>
      </c>
      <c r="J94" s="100">
        <v>0.15</v>
      </c>
      <c r="K94" s="100">
        <v>143.29</v>
      </c>
      <c r="L94" s="100">
        <v>31.28</v>
      </c>
      <c r="M94" s="100">
        <v>49.08</v>
      </c>
      <c r="N94" s="100">
        <v>0</v>
      </c>
      <c r="O94" s="100">
        <v>0</v>
      </c>
      <c r="P94" s="100">
        <v>0.83</v>
      </c>
      <c r="Q94" s="100">
        <v>4.8899999999999997</v>
      </c>
    </row>
    <row r="95" spans="1:17" customFormat="1">
      <c r="A95" s="100" t="s">
        <v>1956</v>
      </c>
      <c r="B95" s="100">
        <v>15.7</v>
      </c>
      <c r="C95" s="100">
        <v>57.48</v>
      </c>
      <c r="D95" s="100">
        <v>41.58</v>
      </c>
      <c r="E95" s="100">
        <v>6.86</v>
      </c>
      <c r="F95" s="100">
        <v>4.3099999999999996</v>
      </c>
      <c r="G95" s="100">
        <v>50.34</v>
      </c>
      <c r="H95" s="100">
        <v>15.2</v>
      </c>
      <c r="I95" s="100">
        <v>8.82</v>
      </c>
      <c r="J95" s="100">
        <v>0.27</v>
      </c>
      <c r="K95" s="100">
        <v>178.32</v>
      </c>
      <c r="L95" s="100">
        <v>30.58</v>
      </c>
      <c r="M95" s="100">
        <v>53.47</v>
      </c>
      <c r="N95" s="100">
        <v>0</v>
      </c>
      <c r="O95" s="100">
        <v>0</v>
      </c>
      <c r="P95" s="100">
        <v>0.75</v>
      </c>
      <c r="Q95" s="100">
        <v>5.0199999999999996</v>
      </c>
    </row>
    <row r="96" spans="1:17" customFormat="1">
      <c r="A96" s="100" t="s">
        <v>1957</v>
      </c>
      <c r="B96" s="100">
        <v>12.92</v>
      </c>
      <c r="C96" s="100">
        <v>55.36</v>
      </c>
      <c r="D96" s="100">
        <v>38.24</v>
      </c>
      <c r="E96" s="100">
        <v>6.35</v>
      </c>
      <c r="F96" s="100">
        <v>5.08</v>
      </c>
      <c r="G96" s="100">
        <v>50.34</v>
      </c>
      <c r="H96" s="100">
        <v>15.2</v>
      </c>
      <c r="I96" s="100">
        <v>10.06</v>
      </c>
      <c r="J96" s="100">
        <v>0.18</v>
      </c>
      <c r="K96" s="100">
        <v>194.13</v>
      </c>
      <c r="L96" s="100">
        <v>30.03</v>
      </c>
      <c r="M96" s="100">
        <v>53.28</v>
      </c>
      <c r="N96" s="100">
        <v>0</v>
      </c>
      <c r="O96" s="100">
        <v>0</v>
      </c>
      <c r="P96" s="100">
        <v>0.75</v>
      </c>
      <c r="Q96" s="100">
        <v>5.07</v>
      </c>
    </row>
    <row r="97" spans="1:22" customFormat="1">
      <c r="A97" s="100" t="s">
        <v>1958</v>
      </c>
      <c r="B97" s="100">
        <v>10.85</v>
      </c>
      <c r="C97" s="100">
        <v>51.86</v>
      </c>
      <c r="D97" s="100">
        <v>34.75</v>
      </c>
      <c r="E97" s="100">
        <v>6.69</v>
      </c>
      <c r="F97" s="100">
        <v>8.44</v>
      </c>
      <c r="G97" s="100">
        <v>68.37</v>
      </c>
      <c r="H97" s="100">
        <v>18.29</v>
      </c>
      <c r="I97" s="100">
        <v>8.7100000000000009</v>
      </c>
      <c r="J97" s="100">
        <v>0.19</v>
      </c>
      <c r="K97" s="100">
        <v>234.9</v>
      </c>
      <c r="L97" s="100">
        <v>29.96</v>
      </c>
      <c r="M97" s="100">
        <v>53.28</v>
      </c>
      <c r="N97" s="100">
        <v>0</v>
      </c>
      <c r="O97" s="100">
        <v>0</v>
      </c>
      <c r="P97" s="100">
        <v>0.74</v>
      </c>
      <c r="Q97" s="100">
        <v>5.0999999999999996</v>
      </c>
    </row>
    <row r="98" spans="1:22" customFormat="1">
      <c r="A98" s="100" t="s">
        <v>1959</v>
      </c>
      <c r="B98" s="100">
        <v>12.11</v>
      </c>
      <c r="C98" s="100">
        <v>52.32</v>
      </c>
      <c r="D98" s="100">
        <v>36</v>
      </c>
      <c r="E98" s="100">
        <v>7.28</v>
      </c>
      <c r="F98" s="100">
        <v>9.18</v>
      </c>
      <c r="G98" s="100">
        <v>68.989999999999995</v>
      </c>
      <c r="H98" s="100">
        <v>18.29</v>
      </c>
      <c r="I98" s="100">
        <v>8.02</v>
      </c>
      <c r="J98" s="100">
        <v>0.14000000000000001</v>
      </c>
      <c r="K98" s="100">
        <v>225.64</v>
      </c>
      <c r="L98" s="100">
        <v>29.88</v>
      </c>
      <c r="M98" s="100">
        <v>52.87</v>
      </c>
      <c r="N98" s="100">
        <v>0</v>
      </c>
      <c r="O98" s="100">
        <v>0</v>
      </c>
      <c r="P98" s="100">
        <v>0.72</v>
      </c>
      <c r="Q98" s="100">
        <v>5.14</v>
      </c>
    </row>
    <row r="99" spans="1:22" customFormat="1">
      <c r="A99" s="100" t="s">
        <v>1960</v>
      </c>
      <c r="B99" s="100">
        <v>12.41</v>
      </c>
      <c r="C99" s="100">
        <v>51.93</v>
      </c>
      <c r="D99" s="100">
        <v>36.04</v>
      </c>
      <c r="E99" s="100">
        <v>6.67</v>
      </c>
      <c r="F99" s="100">
        <v>9.57</v>
      </c>
      <c r="G99" s="100">
        <v>68.989999999999995</v>
      </c>
      <c r="H99" s="100">
        <v>18.29</v>
      </c>
      <c r="I99" s="100">
        <v>7.54</v>
      </c>
      <c r="J99" s="100">
        <v>0.13</v>
      </c>
      <c r="K99" s="100">
        <v>208.56</v>
      </c>
      <c r="L99" s="100">
        <v>30.04</v>
      </c>
      <c r="M99" s="100">
        <v>50.87</v>
      </c>
      <c r="N99" s="100">
        <v>0</v>
      </c>
      <c r="O99" s="100">
        <v>0</v>
      </c>
      <c r="P99" s="100">
        <v>0.72</v>
      </c>
      <c r="Q99" s="100">
        <v>5.16</v>
      </c>
    </row>
    <row r="100" spans="1:22" customFormat="1">
      <c r="A100" s="100" t="s">
        <v>1961</v>
      </c>
      <c r="B100" s="100">
        <v>12.62</v>
      </c>
      <c r="C100" s="100">
        <v>51.12</v>
      </c>
      <c r="D100" s="100">
        <v>35.78</v>
      </c>
      <c r="E100" s="100">
        <v>6.25</v>
      </c>
      <c r="F100" s="100">
        <v>10.6</v>
      </c>
      <c r="G100" s="100">
        <v>68.989999999999995</v>
      </c>
      <c r="H100" s="100">
        <v>18.29</v>
      </c>
      <c r="I100" s="100">
        <v>7.58</v>
      </c>
      <c r="J100" s="100">
        <v>0.19</v>
      </c>
      <c r="K100" s="100">
        <v>167.39</v>
      </c>
      <c r="L100" s="100">
        <v>30.18</v>
      </c>
      <c r="M100" s="100">
        <v>49.74</v>
      </c>
      <c r="N100" s="100">
        <v>0</v>
      </c>
      <c r="O100" s="100">
        <v>0</v>
      </c>
      <c r="P100" s="100">
        <v>0.74</v>
      </c>
      <c r="Q100" s="100">
        <v>5.18</v>
      </c>
    </row>
    <row r="101" spans="1:22" customFormat="1">
      <c r="A101" s="100" t="s">
        <v>1962</v>
      </c>
      <c r="B101" s="100">
        <v>13.36</v>
      </c>
      <c r="C101" s="100">
        <v>53.06</v>
      </c>
      <c r="D101" s="100">
        <v>37.39</v>
      </c>
      <c r="E101" s="100">
        <v>6.83</v>
      </c>
      <c r="F101" s="100">
        <v>11.17</v>
      </c>
      <c r="G101" s="100">
        <v>63.41</v>
      </c>
      <c r="H101" s="100">
        <v>17.78</v>
      </c>
      <c r="I101" s="100">
        <v>7.53</v>
      </c>
      <c r="J101" s="100">
        <v>0.13</v>
      </c>
      <c r="K101" s="100">
        <v>174.81</v>
      </c>
      <c r="L101" s="100">
        <v>30.05</v>
      </c>
      <c r="M101" s="100">
        <v>50.45</v>
      </c>
      <c r="N101" s="100">
        <v>0</v>
      </c>
      <c r="O101" s="100">
        <v>0</v>
      </c>
      <c r="P101" s="100">
        <v>0.74</v>
      </c>
      <c r="Q101" s="100">
        <v>5.22</v>
      </c>
    </row>
    <row r="102" spans="1:22" customFormat="1">
      <c r="A102" s="100" t="s">
        <v>1963</v>
      </c>
      <c r="B102" s="100">
        <v>13.27</v>
      </c>
      <c r="C102" s="100">
        <v>51.76</v>
      </c>
      <c r="D102" s="100">
        <v>36.64</v>
      </c>
      <c r="E102" s="100">
        <v>6.8</v>
      </c>
      <c r="F102" s="100">
        <v>11.52</v>
      </c>
      <c r="G102" s="100">
        <v>63.22</v>
      </c>
      <c r="H102" s="100">
        <v>17.78</v>
      </c>
      <c r="I102" s="100">
        <v>7.51</v>
      </c>
      <c r="J102" s="100">
        <v>0.19</v>
      </c>
      <c r="K102" s="100">
        <v>171.19</v>
      </c>
      <c r="L102" s="100">
        <v>30.02</v>
      </c>
      <c r="M102" s="100">
        <v>50.16</v>
      </c>
      <c r="N102" s="100">
        <v>0</v>
      </c>
      <c r="O102" s="100">
        <v>0</v>
      </c>
      <c r="P102" s="100">
        <v>0.73</v>
      </c>
      <c r="Q102" s="100">
        <v>5.22</v>
      </c>
    </row>
    <row r="103" spans="1:22" customFormat="1">
      <c r="A103" s="100" t="s">
        <v>1964</v>
      </c>
      <c r="B103" s="100">
        <v>14.14</v>
      </c>
      <c r="C103" s="100">
        <v>52.88</v>
      </c>
      <c r="D103" s="100">
        <v>37.92</v>
      </c>
      <c r="E103" s="100">
        <v>6.42</v>
      </c>
      <c r="F103" s="100">
        <v>9.4600000000000009</v>
      </c>
      <c r="G103" s="100">
        <v>63.22</v>
      </c>
      <c r="H103" s="100">
        <v>17.78</v>
      </c>
      <c r="I103" s="100">
        <v>7.39</v>
      </c>
      <c r="J103" s="100">
        <v>0.22</v>
      </c>
      <c r="K103" s="100">
        <v>169.41</v>
      </c>
      <c r="L103" s="100">
        <v>29.63</v>
      </c>
      <c r="M103" s="100">
        <v>53.13</v>
      </c>
      <c r="N103" s="100">
        <v>0</v>
      </c>
      <c r="O103" s="100">
        <v>0</v>
      </c>
      <c r="P103" s="100">
        <v>0.73</v>
      </c>
      <c r="Q103" s="100">
        <v>5.2</v>
      </c>
    </row>
    <row r="104" spans="1:22" customFormat="1">
      <c r="A104" s="100" t="s">
        <v>1965</v>
      </c>
      <c r="B104" s="100">
        <v>14.31</v>
      </c>
      <c r="C104" s="100">
        <v>52.19</v>
      </c>
      <c r="D104" s="100">
        <v>37.700000000000003</v>
      </c>
      <c r="E104" s="100">
        <v>6.48</v>
      </c>
      <c r="F104" s="100">
        <v>9.01</v>
      </c>
      <c r="G104" s="100">
        <v>63.22</v>
      </c>
      <c r="H104" s="100">
        <v>17.78</v>
      </c>
      <c r="I104" s="100">
        <v>7.35</v>
      </c>
      <c r="J104" s="100">
        <v>0.22</v>
      </c>
      <c r="K104" s="100">
        <v>174.42</v>
      </c>
      <c r="L104" s="100">
        <v>29.1</v>
      </c>
      <c r="M104" s="100">
        <v>54.47</v>
      </c>
      <c r="N104" s="100">
        <v>0</v>
      </c>
      <c r="O104" s="100">
        <v>0</v>
      </c>
      <c r="P104" s="100">
        <v>0.73</v>
      </c>
      <c r="Q104" s="100">
        <v>5.19</v>
      </c>
    </row>
    <row r="106" spans="1:22">
      <c r="A106" s="157" t="s">
        <v>48</v>
      </c>
      <c r="B106" s="158">
        <f>MIN(B9:B104)</f>
        <v>3.18</v>
      </c>
      <c r="C106" s="158">
        <f>MIN(C9:C104)</f>
        <v>38.380000000000003</v>
      </c>
      <c r="D106" s="158">
        <f t="shared" ref="D106:Q106" si="0">MIN(D9:D104)</f>
        <v>21.8</v>
      </c>
      <c r="E106" s="158">
        <f t="shared" si="0"/>
        <v>5.27</v>
      </c>
      <c r="F106" s="158">
        <f t="shared" si="0"/>
        <v>4.3099999999999996</v>
      </c>
      <c r="G106" s="158">
        <f t="shared" si="0"/>
        <v>40.270000000000003</v>
      </c>
      <c r="H106" s="158">
        <f t="shared" si="0"/>
        <v>12.22</v>
      </c>
      <c r="I106" s="158">
        <f t="shared" si="0"/>
        <v>4.1100000000000003</v>
      </c>
      <c r="J106" s="158">
        <f t="shared" si="0"/>
        <v>7.0000000000000007E-2</v>
      </c>
      <c r="K106" s="158">
        <f t="shared" si="0"/>
        <v>36.57</v>
      </c>
      <c r="L106" s="158">
        <f t="shared" si="0"/>
        <v>26.21</v>
      </c>
      <c r="M106" s="158">
        <f t="shared" si="0"/>
        <v>22.03</v>
      </c>
      <c r="N106" s="158">
        <f t="shared" si="0"/>
        <v>0</v>
      </c>
      <c r="O106" s="158">
        <f t="shared" si="0"/>
        <v>0</v>
      </c>
      <c r="P106" s="158">
        <f t="shared" si="0"/>
        <v>0.46</v>
      </c>
      <c r="Q106" s="158">
        <f t="shared" si="0"/>
        <v>4.53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21.17</v>
      </c>
      <c r="C107" s="157">
        <f t="shared" ref="C107:Q107" si="1">MAX(C9:C104)</f>
        <v>61.17</v>
      </c>
      <c r="D107" s="157">
        <f t="shared" si="1"/>
        <v>47.14</v>
      </c>
      <c r="E107" s="157">
        <f t="shared" si="1"/>
        <v>25.51</v>
      </c>
      <c r="F107" s="157">
        <f t="shared" si="1"/>
        <v>43.79</v>
      </c>
      <c r="G107" s="157">
        <f t="shared" si="1"/>
        <v>68.989999999999995</v>
      </c>
      <c r="H107" s="157">
        <f t="shared" si="1"/>
        <v>22.02</v>
      </c>
      <c r="I107" s="157">
        <f t="shared" si="1"/>
        <v>10.06</v>
      </c>
      <c r="J107" s="157">
        <f t="shared" si="1"/>
        <v>2.2200000000000002</v>
      </c>
      <c r="K107" s="157">
        <f t="shared" si="1"/>
        <v>320.64999999999998</v>
      </c>
      <c r="L107" s="157">
        <f t="shared" si="1"/>
        <v>41.25</v>
      </c>
      <c r="M107" s="157">
        <f t="shared" si="1"/>
        <v>57.19</v>
      </c>
      <c r="N107" s="157">
        <f t="shared" si="1"/>
        <v>784.4</v>
      </c>
      <c r="O107" s="157">
        <f t="shared" si="1"/>
        <v>0</v>
      </c>
      <c r="P107" s="157">
        <f t="shared" si="1"/>
        <v>1.03</v>
      </c>
      <c r="Q107" s="157">
        <f t="shared" si="1"/>
        <v>5.3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8.5783333333333367</v>
      </c>
      <c r="C108" s="158">
        <f t="shared" ref="C108:Q108" si="2">AVERAGE(C9:C104)</f>
        <v>51.142187499999999</v>
      </c>
      <c r="D108" s="158">
        <f t="shared" si="2"/>
        <v>32.554270833333341</v>
      </c>
      <c r="E108" s="158">
        <f t="shared" si="2"/>
        <v>9.8233333333333288</v>
      </c>
      <c r="F108" s="158">
        <f t="shared" si="2"/>
        <v>20.832083333333333</v>
      </c>
      <c r="G108" s="158">
        <f t="shared" si="2"/>
        <v>54.464791666666656</v>
      </c>
      <c r="H108" s="158">
        <f t="shared" si="2"/>
        <v>16.494166666666658</v>
      </c>
      <c r="I108" s="158">
        <f t="shared" si="2"/>
        <v>6.4792708333333318</v>
      </c>
      <c r="J108" s="158">
        <f t="shared" si="2"/>
        <v>0.36718749999999983</v>
      </c>
      <c r="K108" s="158">
        <f t="shared" si="2"/>
        <v>191.5829166666667</v>
      </c>
      <c r="L108" s="158">
        <f t="shared" si="2"/>
        <v>33.181458333333332</v>
      </c>
      <c r="M108" s="158">
        <f t="shared" si="2"/>
        <v>40.644270833333316</v>
      </c>
      <c r="N108" s="158">
        <f t="shared" si="2"/>
        <v>138.02291666666667</v>
      </c>
      <c r="O108" s="158">
        <f t="shared" si="2"/>
        <v>0</v>
      </c>
      <c r="P108" s="158">
        <f t="shared" si="2"/>
        <v>0.67833333333333312</v>
      </c>
      <c r="Q108" s="158">
        <f t="shared" si="2"/>
        <v>4.8324999999999996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4.9936761412319033</v>
      </c>
      <c r="C109" s="158">
        <f t="shared" ref="C109:Q109" si="3">STDEV(C9:C104)</f>
        <v>5.8573436054105148</v>
      </c>
      <c r="D109" s="158">
        <f t="shared" si="3"/>
        <v>6.5649914811010479</v>
      </c>
      <c r="E109" s="158">
        <f t="shared" si="3"/>
        <v>4.7346860434272324</v>
      </c>
      <c r="F109" s="158">
        <f t="shared" si="3"/>
        <v>12.451202090913645</v>
      </c>
      <c r="G109" s="158">
        <f t="shared" si="3"/>
        <v>9.6802768532795564</v>
      </c>
      <c r="H109" s="158">
        <f t="shared" si="3"/>
        <v>2.8361989636490215</v>
      </c>
      <c r="I109" s="158">
        <f t="shared" si="3"/>
        <v>1.5168854828174971</v>
      </c>
      <c r="J109" s="158">
        <f t="shared" si="3"/>
        <v>0.37675540892984521</v>
      </c>
      <c r="K109" s="158">
        <f t="shared" si="3"/>
        <v>60.180937879324183</v>
      </c>
      <c r="L109" s="158">
        <f t="shared" si="3"/>
        <v>4.7540185725046804</v>
      </c>
      <c r="M109" s="158">
        <f t="shared" si="3"/>
        <v>11.413929969885833</v>
      </c>
      <c r="N109" s="158">
        <f t="shared" si="3"/>
        <v>211.49453867736369</v>
      </c>
      <c r="O109" s="158">
        <f t="shared" si="3"/>
        <v>0</v>
      </c>
      <c r="P109" s="158">
        <f t="shared" si="3"/>
        <v>0.1503866362110598</v>
      </c>
      <c r="Q109" s="158">
        <f t="shared" si="3"/>
        <v>0.24324559821840885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19/05/2023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1966</v>
      </c>
      <c r="B9" s="100">
        <v>14.88</v>
      </c>
      <c r="C9" s="100">
        <v>52.07</v>
      </c>
      <c r="D9" s="100">
        <v>38.090000000000003</v>
      </c>
      <c r="E9" s="100">
        <v>6.73</v>
      </c>
      <c r="F9" s="100">
        <v>10.83</v>
      </c>
      <c r="G9" s="100">
        <v>58.18</v>
      </c>
      <c r="H9" s="100">
        <v>13.97</v>
      </c>
      <c r="I9" s="100">
        <v>7.34</v>
      </c>
      <c r="J9" s="100">
        <v>0.18</v>
      </c>
      <c r="K9" s="100">
        <v>156.97</v>
      </c>
      <c r="L9" s="100">
        <v>29.18</v>
      </c>
      <c r="M9" s="100">
        <v>52.74</v>
      </c>
      <c r="N9" s="100">
        <v>0</v>
      </c>
      <c r="O9" s="100">
        <v>0</v>
      </c>
      <c r="P9" s="100">
        <v>0.73</v>
      </c>
      <c r="Q9" s="100">
        <v>5.21</v>
      </c>
    </row>
    <row r="10" spans="1:21" customFormat="1">
      <c r="A10" s="100" t="s">
        <v>1967</v>
      </c>
      <c r="B10" s="100">
        <v>14.3</v>
      </c>
      <c r="C10" s="100">
        <v>50.42</v>
      </c>
      <c r="D10" s="100">
        <v>36.770000000000003</v>
      </c>
      <c r="E10" s="100">
        <v>6.82</v>
      </c>
      <c r="F10" s="100">
        <v>11.16</v>
      </c>
      <c r="G10" s="100">
        <v>58.01</v>
      </c>
      <c r="H10" s="100">
        <v>13.97</v>
      </c>
      <c r="I10" s="100">
        <v>7.29</v>
      </c>
      <c r="J10" s="100">
        <v>0.16</v>
      </c>
      <c r="K10" s="100">
        <v>168.81</v>
      </c>
      <c r="L10" s="100">
        <v>29.21</v>
      </c>
      <c r="M10" s="100">
        <v>52.33</v>
      </c>
      <c r="N10" s="100">
        <v>0</v>
      </c>
      <c r="O10" s="100">
        <v>0</v>
      </c>
      <c r="P10" s="100">
        <v>0.73</v>
      </c>
      <c r="Q10" s="100">
        <v>5.22</v>
      </c>
    </row>
    <row r="11" spans="1:21" customFormat="1">
      <c r="A11" s="100" t="s">
        <v>1968</v>
      </c>
      <c r="B11" s="100">
        <v>14.59</v>
      </c>
      <c r="C11" s="100">
        <v>49.87</v>
      </c>
      <c r="D11" s="100">
        <v>36.71</v>
      </c>
      <c r="E11" s="100">
        <v>6.97</v>
      </c>
      <c r="F11" s="100">
        <v>11.91</v>
      </c>
      <c r="G11" s="100">
        <v>58.01</v>
      </c>
      <c r="H11" s="100">
        <v>13.97</v>
      </c>
      <c r="I11" s="100">
        <v>7.19</v>
      </c>
      <c r="J11" s="100">
        <v>0.23</v>
      </c>
      <c r="K11" s="100">
        <v>177.13</v>
      </c>
      <c r="L11" s="100">
        <v>29.37</v>
      </c>
      <c r="M11" s="100">
        <v>50.7</v>
      </c>
      <c r="N11" s="100">
        <v>0</v>
      </c>
      <c r="O11" s="100">
        <v>0</v>
      </c>
      <c r="P11" s="100">
        <v>0.72</v>
      </c>
      <c r="Q11" s="100">
        <v>5.23</v>
      </c>
    </row>
    <row r="12" spans="1:21" customFormat="1">
      <c r="A12" s="100" t="s">
        <v>1969</v>
      </c>
      <c r="B12" s="100">
        <v>15.01</v>
      </c>
      <c r="C12" s="100">
        <v>51.38</v>
      </c>
      <c r="D12" s="100">
        <v>37.840000000000003</v>
      </c>
      <c r="E12" s="100">
        <v>7.64</v>
      </c>
      <c r="F12" s="100">
        <v>11.33</v>
      </c>
      <c r="G12" s="100">
        <v>58.01</v>
      </c>
      <c r="H12" s="100">
        <v>13.97</v>
      </c>
      <c r="I12" s="100">
        <v>7.13</v>
      </c>
      <c r="J12" s="100">
        <v>0.25</v>
      </c>
      <c r="K12" s="100">
        <v>183.11</v>
      </c>
      <c r="L12" s="100">
        <v>29.5</v>
      </c>
      <c r="M12" s="100">
        <v>49.6</v>
      </c>
      <c r="N12" s="100">
        <v>0</v>
      </c>
      <c r="O12" s="100">
        <v>0</v>
      </c>
      <c r="P12" s="100">
        <v>0.73</v>
      </c>
      <c r="Q12" s="100">
        <v>5.25</v>
      </c>
    </row>
    <row r="13" spans="1:21" customFormat="1">
      <c r="A13" s="100" t="s">
        <v>1970</v>
      </c>
      <c r="B13" s="100">
        <v>15.21</v>
      </c>
      <c r="C13" s="100">
        <v>52.55</v>
      </c>
      <c r="D13" s="100">
        <v>38.61</v>
      </c>
      <c r="E13" s="100">
        <v>8.41</v>
      </c>
      <c r="F13" s="100">
        <v>10.93</v>
      </c>
      <c r="G13" s="100">
        <v>59.21</v>
      </c>
      <c r="H13" s="100">
        <v>20.32</v>
      </c>
      <c r="I13" s="100">
        <v>7.2</v>
      </c>
      <c r="J13" s="100">
        <v>0.2</v>
      </c>
      <c r="K13" s="100">
        <v>187.82</v>
      </c>
      <c r="L13" s="100">
        <v>29.63</v>
      </c>
      <c r="M13" s="100">
        <v>48.53</v>
      </c>
      <c r="N13" s="100">
        <v>0</v>
      </c>
      <c r="O13" s="100">
        <v>0</v>
      </c>
      <c r="P13" s="100">
        <v>0.75</v>
      </c>
      <c r="Q13" s="100">
        <v>5.25</v>
      </c>
    </row>
    <row r="14" spans="1:21" customFormat="1">
      <c r="A14" s="100" t="s">
        <v>1971</v>
      </c>
      <c r="B14" s="100">
        <v>14.99</v>
      </c>
      <c r="C14" s="100">
        <v>52.59</v>
      </c>
      <c r="D14" s="100">
        <v>38.450000000000003</v>
      </c>
      <c r="E14" s="100">
        <v>8.84</v>
      </c>
      <c r="F14" s="100">
        <v>11.33</v>
      </c>
      <c r="G14" s="100">
        <v>59.25</v>
      </c>
      <c r="H14" s="100">
        <v>20.32</v>
      </c>
      <c r="I14" s="100">
        <v>7.28</v>
      </c>
      <c r="J14" s="100">
        <v>0.2</v>
      </c>
      <c r="K14" s="100">
        <v>187.11</v>
      </c>
      <c r="L14" s="100">
        <v>29.7</v>
      </c>
      <c r="M14" s="100">
        <v>48.51</v>
      </c>
      <c r="N14" s="100">
        <v>0</v>
      </c>
      <c r="O14" s="100">
        <v>0</v>
      </c>
      <c r="P14" s="100">
        <v>0.78</v>
      </c>
      <c r="Q14" s="100">
        <v>5.22</v>
      </c>
    </row>
    <row r="15" spans="1:21" customFormat="1">
      <c r="A15" s="100" t="s">
        <v>1972</v>
      </c>
      <c r="B15" s="100">
        <v>14.93</v>
      </c>
      <c r="C15" s="100">
        <v>51.54</v>
      </c>
      <c r="D15" s="100">
        <v>37.86</v>
      </c>
      <c r="E15" s="100">
        <v>9.68</v>
      </c>
      <c r="F15" s="100">
        <v>11.61</v>
      </c>
      <c r="G15" s="100">
        <v>59.25</v>
      </c>
      <c r="H15" s="100">
        <v>20.32</v>
      </c>
      <c r="I15" s="100">
        <v>7.53</v>
      </c>
      <c r="J15" s="100">
        <v>0.2</v>
      </c>
      <c r="K15" s="100">
        <v>189.44</v>
      </c>
      <c r="L15" s="100">
        <v>29.7</v>
      </c>
      <c r="M15" s="100">
        <v>48.4</v>
      </c>
      <c r="N15" s="100">
        <v>0</v>
      </c>
      <c r="O15" s="100">
        <v>0</v>
      </c>
      <c r="P15" s="100">
        <v>0.87</v>
      </c>
      <c r="Q15" s="100">
        <v>5.23</v>
      </c>
    </row>
    <row r="16" spans="1:21" customFormat="1">
      <c r="A16" s="100" t="s">
        <v>1973</v>
      </c>
      <c r="B16" s="100">
        <v>14.65</v>
      </c>
      <c r="C16" s="100">
        <v>50.55</v>
      </c>
      <c r="D16" s="100">
        <v>37.11</v>
      </c>
      <c r="E16" s="100">
        <v>9.64</v>
      </c>
      <c r="F16" s="100">
        <v>11.52</v>
      </c>
      <c r="G16" s="100">
        <v>59.25</v>
      </c>
      <c r="H16" s="100">
        <v>20.32</v>
      </c>
      <c r="I16" s="100">
        <v>8.26</v>
      </c>
      <c r="J16" s="100">
        <v>0.18</v>
      </c>
      <c r="K16" s="100">
        <v>171.79</v>
      </c>
      <c r="L16" s="100">
        <v>29.61</v>
      </c>
      <c r="M16" s="100">
        <v>48.89</v>
      </c>
      <c r="N16" s="100">
        <v>0</v>
      </c>
      <c r="O16" s="100">
        <v>0</v>
      </c>
      <c r="P16" s="100">
        <v>0.93</v>
      </c>
      <c r="Q16" s="100">
        <v>5.22</v>
      </c>
    </row>
    <row r="17" spans="1:17" customFormat="1">
      <c r="A17" s="100" t="s">
        <v>1974</v>
      </c>
      <c r="B17" s="100">
        <v>14.8</v>
      </c>
      <c r="C17" s="100">
        <v>51.18</v>
      </c>
      <c r="D17" s="100">
        <v>37.56</v>
      </c>
      <c r="E17" s="100">
        <v>8.81</v>
      </c>
      <c r="F17" s="100">
        <v>10.66</v>
      </c>
      <c r="G17" s="100">
        <v>60.69</v>
      </c>
      <c r="H17" s="100">
        <v>19.38</v>
      </c>
      <c r="I17" s="100">
        <v>9.67</v>
      </c>
      <c r="J17" s="100">
        <v>0.17</v>
      </c>
      <c r="K17" s="100">
        <v>164.79</v>
      </c>
      <c r="L17" s="100">
        <v>29.4</v>
      </c>
      <c r="M17" s="100">
        <v>50.73</v>
      </c>
      <c r="N17" s="100">
        <v>0</v>
      </c>
      <c r="O17" s="100">
        <v>0</v>
      </c>
      <c r="P17" s="100">
        <v>0.96</v>
      </c>
      <c r="Q17" s="100">
        <v>5.22</v>
      </c>
    </row>
    <row r="18" spans="1:17" customFormat="1">
      <c r="A18" s="100" t="s">
        <v>1975</v>
      </c>
      <c r="B18" s="100">
        <v>16.2</v>
      </c>
      <c r="C18" s="100">
        <v>54.1</v>
      </c>
      <c r="D18" s="100">
        <v>40.21</v>
      </c>
      <c r="E18" s="100">
        <v>10.25</v>
      </c>
      <c r="F18" s="100">
        <v>7.89</v>
      </c>
      <c r="G18" s="100">
        <v>60.76</v>
      </c>
      <c r="H18" s="100">
        <v>19.38</v>
      </c>
      <c r="I18" s="100">
        <v>11.08</v>
      </c>
      <c r="J18" s="100">
        <v>0.22</v>
      </c>
      <c r="K18" s="100">
        <v>157.26</v>
      </c>
      <c r="L18" s="100">
        <v>28.94</v>
      </c>
      <c r="M18" s="100">
        <v>52.97</v>
      </c>
      <c r="N18" s="100">
        <v>0</v>
      </c>
      <c r="O18" s="100">
        <v>0</v>
      </c>
      <c r="P18" s="100">
        <v>0.93</v>
      </c>
      <c r="Q18" s="100">
        <v>5.26</v>
      </c>
    </row>
    <row r="19" spans="1:17" customFormat="1">
      <c r="A19" s="100" t="s">
        <v>1976</v>
      </c>
      <c r="B19" s="100">
        <v>16.260000000000002</v>
      </c>
      <c r="C19" s="100">
        <v>53.89</v>
      </c>
      <c r="D19" s="100">
        <v>40.15</v>
      </c>
      <c r="E19" s="100">
        <v>10.66</v>
      </c>
      <c r="F19" s="100">
        <v>8.0399999999999991</v>
      </c>
      <c r="G19" s="100">
        <v>60.76</v>
      </c>
      <c r="H19" s="100">
        <v>19.38</v>
      </c>
      <c r="I19" s="100">
        <v>11.48</v>
      </c>
      <c r="J19" s="100">
        <v>0.3</v>
      </c>
      <c r="K19" s="100">
        <v>171.83</v>
      </c>
      <c r="L19" s="100">
        <v>28.65</v>
      </c>
      <c r="M19" s="100">
        <v>55.46</v>
      </c>
      <c r="N19" s="100">
        <v>0</v>
      </c>
      <c r="O19" s="100">
        <v>0</v>
      </c>
      <c r="P19" s="100">
        <v>0.94</v>
      </c>
      <c r="Q19" s="100">
        <v>5.26</v>
      </c>
    </row>
    <row r="20" spans="1:17" customFormat="1">
      <c r="A20" s="100" t="s">
        <v>1977</v>
      </c>
      <c r="B20" s="100">
        <v>16.690000000000001</v>
      </c>
      <c r="C20" s="100">
        <v>55.38</v>
      </c>
      <c r="D20" s="100">
        <v>41.27</v>
      </c>
      <c r="E20" s="100">
        <v>9.32</v>
      </c>
      <c r="F20" s="100">
        <v>6.76</v>
      </c>
      <c r="G20" s="100">
        <v>60.76</v>
      </c>
      <c r="H20" s="100">
        <v>19.38</v>
      </c>
      <c r="I20" s="100">
        <v>12.1</v>
      </c>
      <c r="J20" s="100">
        <v>0.24</v>
      </c>
      <c r="K20" s="100">
        <v>161.85</v>
      </c>
      <c r="L20" s="100">
        <v>28.29</v>
      </c>
      <c r="M20" s="100">
        <v>56.36</v>
      </c>
      <c r="N20" s="100">
        <v>0</v>
      </c>
      <c r="O20" s="100">
        <v>0</v>
      </c>
      <c r="P20" s="100">
        <v>0.96</v>
      </c>
      <c r="Q20" s="100">
        <v>5.28</v>
      </c>
    </row>
    <row r="21" spans="1:17" customFormat="1">
      <c r="A21" s="100" t="s">
        <v>1978</v>
      </c>
      <c r="B21" s="100">
        <v>17.27</v>
      </c>
      <c r="C21" s="100">
        <v>54.49</v>
      </c>
      <c r="D21" s="100">
        <v>41.28</v>
      </c>
      <c r="E21" s="100">
        <v>10.42</v>
      </c>
      <c r="F21" s="100">
        <v>7.24</v>
      </c>
      <c r="G21" s="100">
        <v>58.76</v>
      </c>
      <c r="H21" s="100">
        <v>21.68</v>
      </c>
      <c r="I21" s="100">
        <v>12.42</v>
      </c>
      <c r="J21" s="100">
        <v>0.25</v>
      </c>
      <c r="K21" s="100">
        <v>181.15</v>
      </c>
      <c r="L21" s="100">
        <v>28.07</v>
      </c>
      <c r="M21" s="100">
        <v>57.34</v>
      </c>
      <c r="N21" s="100">
        <v>0</v>
      </c>
      <c r="O21" s="100">
        <v>0</v>
      </c>
      <c r="P21" s="100">
        <v>0.99</v>
      </c>
      <c r="Q21" s="100">
        <v>5.3</v>
      </c>
    </row>
    <row r="22" spans="1:17" customFormat="1">
      <c r="A22" s="100" t="s">
        <v>1979</v>
      </c>
      <c r="B22" s="100">
        <v>18.09</v>
      </c>
      <c r="C22" s="100">
        <v>56.58</v>
      </c>
      <c r="D22" s="100">
        <v>43.02</v>
      </c>
      <c r="E22" s="100">
        <v>9.23</v>
      </c>
      <c r="F22" s="100">
        <v>6.2</v>
      </c>
      <c r="G22" s="100">
        <v>58.67</v>
      </c>
      <c r="H22" s="100">
        <v>21.68</v>
      </c>
      <c r="I22" s="100">
        <v>12.54</v>
      </c>
      <c r="J22" s="100">
        <v>0.28000000000000003</v>
      </c>
      <c r="K22" s="100">
        <v>185.88</v>
      </c>
      <c r="L22" s="100">
        <v>27.85</v>
      </c>
      <c r="M22" s="100">
        <v>57.89</v>
      </c>
      <c r="N22" s="100">
        <v>0</v>
      </c>
      <c r="O22" s="100">
        <v>0</v>
      </c>
      <c r="P22" s="100">
        <v>1.01</v>
      </c>
      <c r="Q22" s="100">
        <v>5.31</v>
      </c>
    </row>
    <row r="23" spans="1:17" customFormat="1">
      <c r="A23" s="100" t="s">
        <v>1980</v>
      </c>
      <c r="B23" s="100">
        <v>17.68</v>
      </c>
      <c r="C23" s="100">
        <v>54.19</v>
      </c>
      <c r="D23" s="100">
        <v>41.44</v>
      </c>
      <c r="E23" s="100">
        <v>9.7100000000000009</v>
      </c>
      <c r="F23" s="100">
        <v>7.57</v>
      </c>
      <c r="G23" s="100">
        <v>58.67</v>
      </c>
      <c r="H23" s="100">
        <v>21.68</v>
      </c>
      <c r="I23" s="100">
        <v>13.52</v>
      </c>
      <c r="J23" s="100">
        <v>0.24</v>
      </c>
      <c r="K23" s="100">
        <v>191.48</v>
      </c>
      <c r="L23" s="100">
        <v>27.84</v>
      </c>
      <c r="M23" s="100">
        <v>56.17</v>
      </c>
      <c r="N23" s="100">
        <v>0</v>
      </c>
      <c r="O23" s="100">
        <v>0</v>
      </c>
      <c r="P23" s="100">
        <v>1.01</v>
      </c>
      <c r="Q23" s="100">
        <v>5.3</v>
      </c>
    </row>
    <row r="24" spans="1:17" customFormat="1">
      <c r="A24" s="100" t="s">
        <v>1981</v>
      </c>
      <c r="B24" s="100">
        <v>17.329999999999998</v>
      </c>
      <c r="C24" s="100">
        <v>52.51</v>
      </c>
      <c r="D24" s="100">
        <v>40.28</v>
      </c>
      <c r="E24" s="100">
        <v>8.5500000000000007</v>
      </c>
      <c r="F24" s="100">
        <v>9.18</v>
      </c>
      <c r="G24" s="100">
        <v>58.67</v>
      </c>
      <c r="H24" s="100">
        <v>21.68</v>
      </c>
      <c r="I24" s="100">
        <v>14.61</v>
      </c>
      <c r="J24" s="100">
        <v>0.2</v>
      </c>
      <c r="K24" s="100">
        <v>183</v>
      </c>
      <c r="L24" s="100">
        <v>27.8</v>
      </c>
      <c r="M24" s="100">
        <v>56.48</v>
      </c>
      <c r="N24" s="100">
        <v>0</v>
      </c>
      <c r="O24" s="100">
        <v>0</v>
      </c>
      <c r="P24" s="100">
        <v>0.97</v>
      </c>
      <c r="Q24" s="100">
        <v>5.31</v>
      </c>
    </row>
    <row r="25" spans="1:17" customFormat="1">
      <c r="A25" s="100" t="s">
        <v>1982</v>
      </c>
      <c r="B25" s="100">
        <v>17.329999999999998</v>
      </c>
      <c r="C25" s="100">
        <v>52.15</v>
      </c>
      <c r="D25" s="100">
        <v>40.1</v>
      </c>
      <c r="E25" s="100">
        <v>7.83</v>
      </c>
      <c r="F25" s="100">
        <v>8.9600000000000009</v>
      </c>
      <c r="G25" s="100">
        <v>63.55</v>
      </c>
      <c r="H25" s="100">
        <v>20.190000000000001</v>
      </c>
      <c r="I25" s="100">
        <v>15.14</v>
      </c>
      <c r="J25" s="100">
        <v>0.18</v>
      </c>
      <c r="K25" s="100">
        <v>195.69</v>
      </c>
      <c r="L25" s="100">
        <v>27.56</v>
      </c>
      <c r="M25" s="100">
        <v>57.51</v>
      </c>
      <c r="N25" s="100">
        <v>0</v>
      </c>
      <c r="O25" s="100">
        <v>0</v>
      </c>
      <c r="P25" s="100">
        <v>0.96</v>
      </c>
      <c r="Q25" s="100">
        <v>5.32</v>
      </c>
    </row>
    <row r="26" spans="1:17" customFormat="1">
      <c r="A26" s="100" t="s">
        <v>1983</v>
      </c>
      <c r="B26" s="100">
        <v>18.07</v>
      </c>
      <c r="C26" s="100">
        <v>54.78</v>
      </c>
      <c r="D26" s="100">
        <v>42.07</v>
      </c>
      <c r="E26" s="100">
        <v>7.47</v>
      </c>
      <c r="F26" s="100">
        <v>8.02</v>
      </c>
      <c r="G26" s="100">
        <v>63.78</v>
      </c>
      <c r="H26" s="100">
        <v>20.190000000000001</v>
      </c>
      <c r="I26" s="100">
        <v>13.83</v>
      </c>
      <c r="J26" s="100">
        <v>0.1</v>
      </c>
      <c r="K26" s="100">
        <v>216.85</v>
      </c>
      <c r="L26" s="100">
        <v>27.31</v>
      </c>
      <c r="M26" s="100">
        <v>59.28</v>
      </c>
      <c r="N26" s="100">
        <v>0</v>
      </c>
      <c r="O26" s="100">
        <v>0</v>
      </c>
      <c r="P26" s="100">
        <v>0.95</v>
      </c>
      <c r="Q26" s="100">
        <v>5.34</v>
      </c>
    </row>
    <row r="27" spans="1:17" customFormat="1">
      <c r="A27" s="100" t="s">
        <v>1984</v>
      </c>
      <c r="B27" s="100">
        <v>19.649999999999999</v>
      </c>
      <c r="C27" s="100">
        <v>55.38</v>
      </c>
      <c r="D27" s="100">
        <v>43.64</v>
      </c>
      <c r="E27" s="100">
        <v>7.49</v>
      </c>
      <c r="F27" s="100">
        <v>6.63</v>
      </c>
      <c r="G27" s="100">
        <v>63.78</v>
      </c>
      <c r="H27" s="100">
        <v>20.190000000000001</v>
      </c>
      <c r="I27" s="100">
        <v>13.09</v>
      </c>
      <c r="J27" s="100">
        <v>0.18</v>
      </c>
      <c r="K27" s="100">
        <v>134.91999999999999</v>
      </c>
      <c r="L27" s="100">
        <v>27.26</v>
      </c>
      <c r="M27" s="100">
        <v>60.68</v>
      </c>
      <c r="N27" s="100">
        <v>0</v>
      </c>
      <c r="O27" s="100">
        <v>0</v>
      </c>
      <c r="P27" s="100">
        <v>0.94</v>
      </c>
      <c r="Q27" s="100">
        <v>5.33</v>
      </c>
    </row>
    <row r="28" spans="1:17" customFormat="1">
      <c r="A28" s="100" t="s">
        <v>1985</v>
      </c>
      <c r="B28" s="100">
        <v>20.149999999999999</v>
      </c>
      <c r="C28" s="100">
        <v>56.55</v>
      </c>
      <c r="D28" s="100">
        <v>44.66</v>
      </c>
      <c r="E28" s="100">
        <v>6.99</v>
      </c>
      <c r="F28" s="100">
        <v>6.62</v>
      </c>
      <c r="G28" s="100">
        <v>63.78</v>
      </c>
      <c r="H28" s="100">
        <v>20.190000000000001</v>
      </c>
      <c r="I28" s="100">
        <v>12.72</v>
      </c>
      <c r="J28" s="100">
        <v>0.17</v>
      </c>
      <c r="K28" s="100">
        <v>160.91</v>
      </c>
      <c r="L28" s="100">
        <v>26.92</v>
      </c>
      <c r="M28" s="100">
        <v>62.83</v>
      </c>
      <c r="N28" s="100">
        <v>0</v>
      </c>
      <c r="O28" s="100">
        <v>0</v>
      </c>
      <c r="P28" s="100">
        <v>0.94</v>
      </c>
      <c r="Q28" s="100">
        <v>5.34</v>
      </c>
    </row>
    <row r="29" spans="1:17" customFormat="1">
      <c r="A29" s="100" t="s">
        <v>1986</v>
      </c>
      <c r="B29" s="100">
        <v>19.14</v>
      </c>
      <c r="C29" s="100">
        <v>55.39</v>
      </c>
      <c r="D29" s="100">
        <v>43.25</v>
      </c>
      <c r="E29" s="100">
        <v>7.61</v>
      </c>
      <c r="F29" s="100">
        <v>6.58</v>
      </c>
      <c r="G29" s="100">
        <v>61.21</v>
      </c>
      <c r="H29" s="100">
        <v>18.12</v>
      </c>
      <c r="I29" s="100">
        <v>12.67</v>
      </c>
      <c r="J29" s="100">
        <v>0.25</v>
      </c>
      <c r="K29" s="100">
        <v>177.9</v>
      </c>
      <c r="L29" s="100">
        <v>26.86</v>
      </c>
      <c r="M29" s="100">
        <v>62.76</v>
      </c>
      <c r="N29" s="100">
        <v>0</v>
      </c>
      <c r="O29" s="100">
        <v>0</v>
      </c>
      <c r="P29" s="100">
        <v>0.93</v>
      </c>
      <c r="Q29" s="100">
        <v>5.37</v>
      </c>
    </row>
    <row r="30" spans="1:17" customFormat="1">
      <c r="A30" s="100" t="s">
        <v>1987</v>
      </c>
      <c r="B30" s="100">
        <v>20.239999999999998</v>
      </c>
      <c r="C30" s="100">
        <v>56.29</v>
      </c>
      <c r="D30" s="100">
        <v>44.59</v>
      </c>
      <c r="E30" s="100">
        <v>6.61</v>
      </c>
      <c r="F30" s="100">
        <v>5.63</v>
      </c>
      <c r="G30" s="100">
        <v>61.09</v>
      </c>
      <c r="H30" s="100">
        <v>18.12</v>
      </c>
      <c r="I30" s="100">
        <v>12.68</v>
      </c>
      <c r="J30" s="100">
        <v>0.2</v>
      </c>
      <c r="K30" s="100">
        <v>201.81</v>
      </c>
      <c r="L30" s="100">
        <v>26.63</v>
      </c>
      <c r="M30" s="100">
        <v>63.36</v>
      </c>
      <c r="N30" s="100">
        <v>0.2</v>
      </c>
      <c r="O30" s="100">
        <v>0</v>
      </c>
      <c r="P30" s="100">
        <v>0.92</v>
      </c>
      <c r="Q30" s="100">
        <v>5.37</v>
      </c>
    </row>
    <row r="31" spans="1:17" customFormat="1">
      <c r="A31" s="100" t="s">
        <v>1988</v>
      </c>
      <c r="B31" s="100">
        <v>20.75</v>
      </c>
      <c r="C31" s="100">
        <v>56.33</v>
      </c>
      <c r="D31" s="100">
        <v>45.03</v>
      </c>
      <c r="E31" s="100">
        <v>6.91</v>
      </c>
      <c r="F31" s="100">
        <v>5.07</v>
      </c>
      <c r="G31" s="100">
        <v>61.09</v>
      </c>
      <c r="H31" s="100">
        <v>18.12</v>
      </c>
      <c r="I31" s="100">
        <v>12.53</v>
      </c>
      <c r="J31" s="100">
        <v>0.12</v>
      </c>
      <c r="K31" s="100">
        <v>160.31</v>
      </c>
      <c r="L31" s="100">
        <v>26.79</v>
      </c>
      <c r="M31" s="100">
        <v>63.53</v>
      </c>
      <c r="N31" s="100">
        <v>7.5</v>
      </c>
      <c r="O31" s="100">
        <v>0</v>
      </c>
      <c r="P31" s="100">
        <v>0.9</v>
      </c>
      <c r="Q31" s="100">
        <v>5.36</v>
      </c>
    </row>
    <row r="32" spans="1:17" customFormat="1">
      <c r="A32" s="100" t="s">
        <v>1989</v>
      </c>
      <c r="B32" s="100">
        <v>20.04</v>
      </c>
      <c r="C32" s="100">
        <v>55.02</v>
      </c>
      <c r="D32" s="100">
        <v>43.77</v>
      </c>
      <c r="E32" s="100">
        <v>6.81</v>
      </c>
      <c r="F32" s="100">
        <v>5.22</v>
      </c>
      <c r="G32" s="100">
        <v>61.09</v>
      </c>
      <c r="H32" s="100">
        <v>18.12</v>
      </c>
      <c r="I32" s="100">
        <v>12.42</v>
      </c>
      <c r="J32" s="100">
        <v>0.16</v>
      </c>
      <c r="K32" s="100">
        <v>141.22</v>
      </c>
      <c r="L32" s="100">
        <v>27.29</v>
      </c>
      <c r="M32" s="100">
        <v>62.39</v>
      </c>
      <c r="N32" s="100">
        <v>20.399999999999999</v>
      </c>
      <c r="O32" s="100">
        <v>0</v>
      </c>
      <c r="P32" s="100">
        <v>0.89</v>
      </c>
      <c r="Q32" s="100">
        <v>5.37</v>
      </c>
    </row>
    <row r="33" spans="1:17" customFormat="1">
      <c r="A33" s="100" t="s">
        <v>1990</v>
      </c>
      <c r="B33" s="100">
        <v>31.87</v>
      </c>
      <c r="C33" s="100">
        <v>59.59</v>
      </c>
      <c r="D33" s="100">
        <v>55.65</v>
      </c>
      <c r="E33" s="100">
        <v>7.42</v>
      </c>
      <c r="F33" s="100">
        <v>4.3899999999999997</v>
      </c>
      <c r="G33" s="100">
        <v>56.63</v>
      </c>
      <c r="H33" s="100">
        <v>15.18</v>
      </c>
      <c r="I33" s="100">
        <v>12.11</v>
      </c>
      <c r="J33" s="100">
        <v>0.18</v>
      </c>
      <c r="K33" s="100">
        <v>137.88999999999999</v>
      </c>
      <c r="L33" s="100">
        <v>27.96</v>
      </c>
      <c r="M33" s="100">
        <v>61.69</v>
      </c>
      <c r="N33" s="100">
        <v>33.799999999999997</v>
      </c>
      <c r="O33" s="100">
        <v>0</v>
      </c>
      <c r="P33" s="100">
        <v>0.94</v>
      </c>
      <c r="Q33" s="100">
        <v>5.45</v>
      </c>
    </row>
    <row r="34" spans="1:17" customFormat="1">
      <c r="A34" s="100" t="s">
        <v>1991</v>
      </c>
      <c r="B34" s="100">
        <v>26.35</v>
      </c>
      <c r="C34" s="100">
        <v>58.07</v>
      </c>
      <c r="D34" s="100">
        <v>50.42</v>
      </c>
      <c r="E34" s="100">
        <v>7.08</v>
      </c>
      <c r="F34" s="100">
        <v>4.1500000000000004</v>
      </c>
      <c r="G34" s="100">
        <v>56.43</v>
      </c>
      <c r="H34" s="100">
        <v>15.18</v>
      </c>
      <c r="I34" s="100">
        <v>11.66</v>
      </c>
      <c r="J34" s="100">
        <v>0.19</v>
      </c>
      <c r="K34" s="100">
        <v>138.66999999999999</v>
      </c>
      <c r="L34" s="100">
        <v>28.42</v>
      </c>
      <c r="M34" s="100">
        <v>62.84</v>
      </c>
      <c r="N34" s="100">
        <v>53.1</v>
      </c>
      <c r="O34" s="100">
        <v>0</v>
      </c>
      <c r="P34" s="100">
        <v>0.91</v>
      </c>
      <c r="Q34" s="100">
        <v>5.54</v>
      </c>
    </row>
    <row r="35" spans="1:17" customFormat="1">
      <c r="A35" s="100" t="s">
        <v>1992</v>
      </c>
      <c r="B35" s="100">
        <v>25.58</v>
      </c>
      <c r="C35" s="100">
        <v>57.55</v>
      </c>
      <c r="D35" s="100">
        <v>49.53</v>
      </c>
      <c r="E35" s="100">
        <v>8.16</v>
      </c>
      <c r="F35" s="100">
        <v>4.3899999999999997</v>
      </c>
      <c r="G35" s="100">
        <v>56.43</v>
      </c>
      <c r="H35" s="100">
        <v>15.18</v>
      </c>
      <c r="I35" s="100">
        <v>11.46</v>
      </c>
      <c r="J35" s="100">
        <v>0.23</v>
      </c>
      <c r="K35" s="100">
        <v>162.03</v>
      </c>
      <c r="L35" s="100">
        <v>29.61</v>
      </c>
      <c r="M35" s="100">
        <v>58.5</v>
      </c>
      <c r="N35" s="100">
        <v>91.1</v>
      </c>
      <c r="O35" s="100">
        <v>0</v>
      </c>
      <c r="P35" s="100">
        <v>0.92</v>
      </c>
      <c r="Q35" s="100">
        <v>5.63</v>
      </c>
    </row>
    <row r="36" spans="1:17" customFormat="1">
      <c r="A36" s="100" t="s">
        <v>1993</v>
      </c>
      <c r="B36" s="100">
        <v>23.57</v>
      </c>
      <c r="C36" s="100">
        <v>56.43</v>
      </c>
      <c r="D36" s="100">
        <v>47.34</v>
      </c>
      <c r="E36" s="100">
        <v>8.2100000000000009</v>
      </c>
      <c r="F36" s="100">
        <v>7.39</v>
      </c>
      <c r="G36" s="100">
        <v>56.43</v>
      </c>
      <c r="H36" s="100">
        <v>15.18</v>
      </c>
      <c r="I36" s="100">
        <v>11.4</v>
      </c>
      <c r="J36" s="100">
        <v>0.17</v>
      </c>
      <c r="K36" s="100">
        <v>154.69</v>
      </c>
      <c r="L36" s="100">
        <v>31.28</v>
      </c>
      <c r="M36" s="100">
        <v>50.95</v>
      </c>
      <c r="N36" s="100">
        <v>131.1</v>
      </c>
      <c r="O36" s="100">
        <v>0</v>
      </c>
      <c r="P36" s="100">
        <v>0.89</v>
      </c>
      <c r="Q36" s="100">
        <v>5.64</v>
      </c>
    </row>
    <row r="37" spans="1:17" customFormat="1">
      <c r="A37" s="100" t="s">
        <v>1994</v>
      </c>
      <c r="B37" s="100">
        <v>22.86</v>
      </c>
      <c r="C37" s="100">
        <v>56.24</v>
      </c>
      <c r="D37" s="100">
        <v>46.67</v>
      </c>
      <c r="E37" s="100">
        <v>7.33</v>
      </c>
      <c r="F37" s="100">
        <v>9.6199999999999992</v>
      </c>
      <c r="G37" s="100">
        <v>62.76</v>
      </c>
      <c r="H37" s="100">
        <v>18.899999999999999</v>
      </c>
      <c r="I37" s="100">
        <v>11.22</v>
      </c>
      <c r="J37" s="100">
        <v>0.19</v>
      </c>
      <c r="K37" s="100">
        <v>216.51</v>
      </c>
      <c r="L37" s="100">
        <v>32.03</v>
      </c>
      <c r="M37" s="100">
        <v>49.27</v>
      </c>
      <c r="N37" s="100">
        <v>131.19999999999999</v>
      </c>
      <c r="O37" s="100">
        <v>0</v>
      </c>
      <c r="P37" s="100">
        <v>0.9</v>
      </c>
      <c r="Q37" s="100">
        <v>5.69</v>
      </c>
    </row>
    <row r="38" spans="1:17" customFormat="1">
      <c r="A38" s="100" t="s">
        <v>1995</v>
      </c>
      <c r="B38" s="100">
        <v>21.27</v>
      </c>
      <c r="C38" s="100">
        <v>55.61</v>
      </c>
      <c r="D38" s="100">
        <v>45.07</v>
      </c>
      <c r="E38" s="100">
        <v>10.67</v>
      </c>
      <c r="F38" s="100">
        <v>13.87</v>
      </c>
      <c r="G38" s="100">
        <v>63.06</v>
      </c>
      <c r="H38" s="100">
        <v>18.899999999999999</v>
      </c>
      <c r="I38" s="100">
        <v>11.01</v>
      </c>
      <c r="J38" s="100">
        <v>0.3</v>
      </c>
      <c r="K38" s="100">
        <v>276.37</v>
      </c>
      <c r="L38" s="100">
        <v>32.049999999999997</v>
      </c>
      <c r="M38" s="100">
        <v>46.39</v>
      </c>
      <c r="N38" s="100">
        <v>74.099999999999994</v>
      </c>
      <c r="O38" s="100">
        <v>0</v>
      </c>
      <c r="P38" s="100">
        <v>1.03</v>
      </c>
      <c r="Q38" s="100">
        <v>5.68</v>
      </c>
    </row>
    <row r="39" spans="1:17" customFormat="1">
      <c r="A39" s="100" t="s">
        <v>1996</v>
      </c>
      <c r="B39" s="100">
        <v>20.91</v>
      </c>
      <c r="C39" s="100">
        <v>56.29</v>
      </c>
      <c r="D39" s="100">
        <v>45.13</v>
      </c>
      <c r="E39" s="100">
        <v>12.12</v>
      </c>
      <c r="F39" s="100">
        <v>13.56</v>
      </c>
      <c r="G39" s="100">
        <v>63.06</v>
      </c>
      <c r="H39" s="100">
        <v>18.899999999999999</v>
      </c>
      <c r="I39" s="100">
        <v>11.27</v>
      </c>
      <c r="J39" s="100">
        <v>0.26</v>
      </c>
      <c r="K39" s="100">
        <v>211.23</v>
      </c>
      <c r="L39" s="100">
        <v>31.81</v>
      </c>
      <c r="M39" s="100">
        <v>47.77</v>
      </c>
      <c r="N39" s="100">
        <v>78.2</v>
      </c>
      <c r="O39" s="100">
        <v>0</v>
      </c>
      <c r="P39" s="100">
        <v>1.08</v>
      </c>
      <c r="Q39" s="100">
        <v>5.64</v>
      </c>
    </row>
    <row r="40" spans="1:17" customFormat="1">
      <c r="A40" s="100" t="s">
        <v>1997</v>
      </c>
      <c r="B40" s="100">
        <v>19.62</v>
      </c>
      <c r="C40" s="100">
        <v>52.83</v>
      </c>
      <c r="D40" s="100">
        <v>42.29</v>
      </c>
      <c r="E40" s="100">
        <v>8.9</v>
      </c>
      <c r="F40" s="100">
        <v>18.149999999999999</v>
      </c>
      <c r="G40" s="100">
        <v>63.06</v>
      </c>
      <c r="H40" s="100">
        <v>18.899999999999999</v>
      </c>
      <c r="I40" s="100">
        <v>13.83</v>
      </c>
      <c r="J40" s="100">
        <v>0.28000000000000003</v>
      </c>
      <c r="K40" s="100">
        <v>219.26</v>
      </c>
      <c r="L40" s="100">
        <v>31.96</v>
      </c>
      <c r="M40" s="100">
        <v>47.93</v>
      </c>
      <c r="N40" s="100">
        <v>105.4</v>
      </c>
      <c r="O40" s="100">
        <v>0</v>
      </c>
      <c r="P40" s="100">
        <v>0.9</v>
      </c>
      <c r="Q40" s="100">
        <v>5.57</v>
      </c>
    </row>
    <row r="41" spans="1:17" customFormat="1">
      <c r="A41" s="100" t="s">
        <v>1998</v>
      </c>
      <c r="B41" s="100">
        <v>19.16</v>
      </c>
      <c r="C41" s="100">
        <v>57</v>
      </c>
      <c r="D41" s="100">
        <v>44.1</v>
      </c>
      <c r="E41" s="100">
        <v>7.99</v>
      </c>
      <c r="F41" s="100">
        <v>14.11</v>
      </c>
      <c r="G41" s="100">
        <v>63.01</v>
      </c>
      <c r="H41" s="100">
        <v>19.38</v>
      </c>
      <c r="I41" s="100">
        <v>14.38</v>
      </c>
      <c r="J41" s="100">
        <v>0.28999999999999998</v>
      </c>
      <c r="K41" s="100">
        <v>219.92</v>
      </c>
      <c r="L41" s="100">
        <v>33.49</v>
      </c>
      <c r="M41" s="100">
        <v>43.64</v>
      </c>
      <c r="N41" s="100">
        <v>150.9</v>
      </c>
      <c r="O41" s="100">
        <v>0</v>
      </c>
      <c r="P41" s="100">
        <v>0.89</v>
      </c>
      <c r="Q41" s="100">
        <v>5.55</v>
      </c>
    </row>
    <row r="42" spans="1:17" customFormat="1">
      <c r="A42" s="100" t="s">
        <v>1999</v>
      </c>
      <c r="B42" s="100">
        <v>19.04</v>
      </c>
      <c r="C42" s="100">
        <v>55.6</v>
      </c>
      <c r="D42" s="100">
        <v>43.27</v>
      </c>
      <c r="E42" s="100">
        <v>8.2899999999999991</v>
      </c>
      <c r="F42" s="100">
        <v>13.23</v>
      </c>
      <c r="G42" s="100">
        <v>63.01</v>
      </c>
      <c r="H42" s="100">
        <v>19.38</v>
      </c>
      <c r="I42" s="100">
        <v>11.47</v>
      </c>
      <c r="J42" s="100">
        <v>1.08</v>
      </c>
      <c r="K42" s="100">
        <v>267.36</v>
      </c>
      <c r="L42" s="100">
        <v>34.5</v>
      </c>
      <c r="M42" s="100">
        <v>38.64</v>
      </c>
      <c r="N42" s="100">
        <v>188.4</v>
      </c>
      <c r="O42" s="100">
        <v>0</v>
      </c>
      <c r="P42" s="100">
        <v>0.89</v>
      </c>
      <c r="Q42" s="100">
        <v>5.49</v>
      </c>
    </row>
    <row r="43" spans="1:17" customFormat="1">
      <c r="A43" s="100" t="s">
        <v>2000</v>
      </c>
      <c r="B43" s="100">
        <v>17.13</v>
      </c>
      <c r="C43" s="100">
        <v>53.27</v>
      </c>
      <c r="D43" s="100">
        <v>40.520000000000003</v>
      </c>
      <c r="E43" s="100">
        <v>10.58</v>
      </c>
      <c r="F43" s="100">
        <v>14.62</v>
      </c>
      <c r="G43" s="100">
        <v>63.01</v>
      </c>
      <c r="H43" s="100">
        <v>19.38</v>
      </c>
      <c r="I43" s="100">
        <v>10.95</v>
      </c>
      <c r="J43" s="100">
        <v>1.1100000000000001</v>
      </c>
      <c r="K43" s="100">
        <v>264.47000000000003</v>
      </c>
      <c r="L43" s="100">
        <v>34.869999999999997</v>
      </c>
      <c r="M43" s="100">
        <v>37.06</v>
      </c>
      <c r="N43" s="100">
        <v>147.69999999999999</v>
      </c>
      <c r="O43" s="100">
        <v>0</v>
      </c>
      <c r="P43" s="100">
        <v>0.9</v>
      </c>
      <c r="Q43" s="100">
        <v>5.35</v>
      </c>
    </row>
    <row r="44" spans="1:17" customFormat="1">
      <c r="A44" s="100" t="s">
        <v>2001</v>
      </c>
      <c r="B44" s="100">
        <v>14.96</v>
      </c>
      <c r="C44" s="100">
        <v>54.25</v>
      </c>
      <c r="D44" s="100">
        <v>39.299999999999997</v>
      </c>
      <c r="E44" s="100">
        <v>14.7</v>
      </c>
      <c r="F44" s="100">
        <v>20.48</v>
      </c>
      <c r="G44" s="100">
        <v>63.01</v>
      </c>
      <c r="H44" s="100">
        <v>19.38</v>
      </c>
      <c r="I44" s="100">
        <v>11.38</v>
      </c>
      <c r="J44" s="100">
        <v>1.07</v>
      </c>
      <c r="K44" s="100">
        <v>272.17</v>
      </c>
      <c r="L44" s="100">
        <v>35.270000000000003</v>
      </c>
      <c r="M44" s="100">
        <v>36.520000000000003</v>
      </c>
      <c r="N44" s="100">
        <v>144.69999999999999</v>
      </c>
      <c r="O44" s="100">
        <v>0</v>
      </c>
      <c r="P44" s="100">
        <v>0.94</v>
      </c>
      <c r="Q44" s="100">
        <v>5.24</v>
      </c>
    </row>
    <row r="45" spans="1:17" customFormat="1">
      <c r="A45" s="100" t="s">
        <v>2002</v>
      </c>
      <c r="B45" s="100">
        <v>12.83</v>
      </c>
      <c r="C45" s="100">
        <v>54.14</v>
      </c>
      <c r="D45" s="100">
        <v>37.53</v>
      </c>
      <c r="E45" s="100">
        <v>17.079999999999998</v>
      </c>
      <c r="F45" s="100">
        <v>17.23</v>
      </c>
      <c r="G45" s="100">
        <v>60.68</v>
      </c>
      <c r="H45" s="100">
        <v>19.62</v>
      </c>
      <c r="I45" s="100">
        <v>12.65</v>
      </c>
      <c r="J45" s="100">
        <v>1.2</v>
      </c>
      <c r="K45" s="100">
        <v>288.97000000000003</v>
      </c>
      <c r="L45" s="100">
        <v>35.94</v>
      </c>
      <c r="M45" s="100">
        <v>36.01</v>
      </c>
      <c r="N45" s="100">
        <v>148.80000000000001</v>
      </c>
      <c r="O45" s="100">
        <v>0</v>
      </c>
      <c r="P45" s="100">
        <v>0.98</v>
      </c>
      <c r="Q45" s="100">
        <v>5.17</v>
      </c>
    </row>
    <row r="46" spans="1:17" customFormat="1">
      <c r="A46" s="100" t="s">
        <v>2003</v>
      </c>
      <c r="B46" s="100">
        <v>12.91</v>
      </c>
      <c r="C46" s="100">
        <v>61.48</v>
      </c>
      <c r="D46" s="100">
        <v>41.43</v>
      </c>
      <c r="E46" s="100">
        <v>11.83</v>
      </c>
      <c r="F46" s="100">
        <v>13.6</v>
      </c>
      <c r="G46" s="100">
        <v>60.57</v>
      </c>
      <c r="H46" s="100">
        <v>19.62</v>
      </c>
      <c r="I46" s="100">
        <v>14.28</v>
      </c>
      <c r="J46" s="100">
        <v>1.34</v>
      </c>
      <c r="K46" s="100">
        <v>291.8</v>
      </c>
      <c r="L46" s="100">
        <v>36.32</v>
      </c>
      <c r="M46" s="100">
        <v>35.97</v>
      </c>
      <c r="N46" s="100">
        <v>151.69999999999999</v>
      </c>
      <c r="O46" s="100">
        <v>0</v>
      </c>
      <c r="P46" s="100">
        <v>0.97</v>
      </c>
      <c r="Q46" s="100">
        <v>5.19</v>
      </c>
    </row>
    <row r="47" spans="1:17" customFormat="1">
      <c r="A47" s="100" t="s">
        <v>2004</v>
      </c>
      <c r="B47" s="100">
        <v>11.78</v>
      </c>
      <c r="C47" s="100">
        <v>60.78</v>
      </c>
      <c r="D47" s="100">
        <v>40.15</v>
      </c>
      <c r="E47" s="100">
        <v>10.9</v>
      </c>
      <c r="F47" s="100">
        <v>16.36</v>
      </c>
      <c r="G47" s="100">
        <v>60.57</v>
      </c>
      <c r="H47" s="100">
        <v>19.62</v>
      </c>
      <c r="I47" s="100">
        <v>14.4</v>
      </c>
      <c r="J47" s="100">
        <v>1.27</v>
      </c>
      <c r="K47" s="100">
        <v>286.93</v>
      </c>
      <c r="L47" s="100">
        <v>36.92</v>
      </c>
      <c r="M47" s="100">
        <v>33.79</v>
      </c>
      <c r="N47" s="100">
        <v>153.19999999999999</v>
      </c>
      <c r="O47" s="100">
        <v>0</v>
      </c>
      <c r="P47" s="100">
        <v>0.95</v>
      </c>
      <c r="Q47" s="100">
        <v>5.14</v>
      </c>
    </row>
    <row r="48" spans="1:17" customFormat="1">
      <c r="A48" s="100" t="s">
        <v>2005</v>
      </c>
      <c r="B48" s="100">
        <v>9.94</v>
      </c>
      <c r="C48" s="100">
        <v>54.87</v>
      </c>
      <c r="D48" s="100">
        <v>35.590000000000003</v>
      </c>
      <c r="E48" s="100">
        <v>10.31</v>
      </c>
      <c r="F48" s="100">
        <v>18.899999999999999</v>
      </c>
      <c r="G48" s="100">
        <v>60.57</v>
      </c>
      <c r="H48" s="100">
        <v>19.62</v>
      </c>
      <c r="I48" s="100">
        <v>13.05</v>
      </c>
      <c r="J48" s="100">
        <v>1.32</v>
      </c>
      <c r="K48" s="100">
        <v>281.55</v>
      </c>
      <c r="L48" s="100">
        <v>37.450000000000003</v>
      </c>
      <c r="M48" s="100">
        <v>31.84</v>
      </c>
      <c r="N48" s="100">
        <v>161.6</v>
      </c>
      <c r="O48" s="100">
        <v>0</v>
      </c>
      <c r="P48" s="100">
        <v>0.9</v>
      </c>
      <c r="Q48" s="100">
        <v>5.03</v>
      </c>
    </row>
    <row r="49" spans="1:17" customFormat="1">
      <c r="A49" s="100" t="s">
        <v>2006</v>
      </c>
      <c r="B49" s="100">
        <v>8.9700000000000006</v>
      </c>
      <c r="C49" s="100">
        <v>54.58</v>
      </c>
      <c r="D49" s="100">
        <v>34.67</v>
      </c>
      <c r="E49" s="100">
        <v>7.54</v>
      </c>
      <c r="F49" s="100">
        <v>18.72</v>
      </c>
      <c r="G49" s="100">
        <v>63.13</v>
      </c>
      <c r="H49" s="100">
        <v>19.95</v>
      </c>
      <c r="I49" s="100">
        <v>12.24</v>
      </c>
      <c r="J49" s="100">
        <v>0.98</v>
      </c>
      <c r="K49" s="100">
        <v>271.79000000000002</v>
      </c>
      <c r="L49" s="100">
        <v>37.72</v>
      </c>
      <c r="M49" s="100">
        <v>30.19</v>
      </c>
      <c r="N49" s="100">
        <v>165.2</v>
      </c>
      <c r="O49" s="100">
        <v>0</v>
      </c>
      <c r="P49" s="100">
        <v>0.88</v>
      </c>
      <c r="Q49" s="100">
        <v>4.9800000000000004</v>
      </c>
    </row>
    <row r="50" spans="1:17" customFormat="1">
      <c r="A50" s="100" t="s">
        <v>2007</v>
      </c>
      <c r="B50" s="100">
        <v>8.33</v>
      </c>
      <c r="C50" s="100">
        <v>53.03</v>
      </c>
      <c r="D50" s="100">
        <v>33.340000000000003</v>
      </c>
      <c r="E50" s="100">
        <v>9.3800000000000008</v>
      </c>
      <c r="F50" s="100">
        <v>25.54</v>
      </c>
      <c r="G50" s="100">
        <v>63.25</v>
      </c>
      <c r="H50" s="100">
        <v>19.95</v>
      </c>
      <c r="I50" s="100">
        <v>11.68</v>
      </c>
      <c r="J50" s="100">
        <v>0.95</v>
      </c>
      <c r="K50" s="100">
        <v>282.27</v>
      </c>
      <c r="L50" s="100">
        <v>38.32</v>
      </c>
      <c r="M50" s="100">
        <v>30.54</v>
      </c>
      <c r="N50" s="100">
        <v>171.5</v>
      </c>
      <c r="O50" s="100">
        <v>0</v>
      </c>
      <c r="P50" s="100">
        <v>0.84</v>
      </c>
      <c r="Q50" s="100">
        <v>4.92</v>
      </c>
    </row>
    <row r="51" spans="1:17" customFormat="1">
      <c r="A51" s="100" t="s">
        <v>2008</v>
      </c>
      <c r="B51" s="100">
        <v>7.22</v>
      </c>
      <c r="C51" s="100">
        <v>52</v>
      </c>
      <c r="D51" s="100">
        <v>31.91</v>
      </c>
      <c r="E51" s="100">
        <v>10.28</v>
      </c>
      <c r="F51" s="100">
        <v>28.84</v>
      </c>
      <c r="G51" s="100">
        <v>63.25</v>
      </c>
      <c r="H51" s="100">
        <v>19.95</v>
      </c>
      <c r="I51" s="100">
        <v>11.05</v>
      </c>
      <c r="J51" s="100">
        <v>0.96</v>
      </c>
      <c r="K51" s="100">
        <v>270.89999999999998</v>
      </c>
      <c r="L51" s="100">
        <v>38.53</v>
      </c>
      <c r="M51" s="100">
        <v>30.18</v>
      </c>
      <c r="N51" s="100">
        <v>188.6</v>
      </c>
      <c r="O51" s="100">
        <v>0</v>
      </c>
      <c r="P51" s="100">
        <v>0.82</v>
      </c>
      <c r="Q51" s="100">
        <v>4.88</v>
      </c>
    </row>
    <row r="52" spans="1:17" customFormat="1">
      <c r="A52" s="100" t="s">
        <v>2009</v>
      </c>
      <c r="B52" s="100">
        <v>6.34</v>
      </c>
      <c r="C52" s="100">
        <v>50.11</v>
      </c>
      <c r="D52" s="100">
        <v>30.22</v>
      </c>
      <c r="E52" s="100">
        <v>10.4</v>
      </c>
      <c r="F52" s="100">
        <v>28.93</v>
      </c>
      <c r="G52" s="100">
        <v>63.25</v>
      </c>
      <c r="H52" s="100">
        <v>19.95</v>
      </c>
      <c r="I52" s="100">
        <v>10.47</v>
      </c>
      <c r="J52" s="100">
        <v>0.97</v>
      </c>
      <c r="K52" s="100">
        <v>264.77999999999997</v>
      </c>
      <c r="L52" s="100">
        <v>38.74</v>
      </c>
      <c r="M52" s="100">
        <v>30.25</v>
      </c>
      <c r="N52" s="100">
        <v>276.10000000000002</v>
      </c>
      <c r="O52" s="100">
        <v>0</v>
      </c>
      <c r="P52" s="100">
        <v>0.81</v>
      </c>
      <c r="Q52" s="100">
        <v>4.82</v>
      </c>
    </row>
    <row r="53" spans="1:17" customFormat="1">
      <c r="A53" s="100" t="s">
        <v>2010</v>
      </c>
      <c r="B53" s="100">
        <v>6.05</v>
      </c>
      <c r="C53" s="100">
        <v>50.26</v>
      </c>
      <c r="D53" s="100">
        <v>30.06</v>
      </c>
      <c r="E53" s="100">
        <v>11.05</v>
      </c>
      <c r="F53" s="100">
        <v>32.909999999999997</v>
      </c>
      <c r="G53" s="100">
        <v>59.39</v>
      </c>
      <c r="H53" s="100">
        <v>20.66</v>
      </c>
      <c r="I53" s="100">
        <v>10.31</v>
      </c>
      <c r="J53" s="100">
        <v>1.0900000000000001</v>
      </c>
      <c r="K53" s="100">
        <v>295.27</v>
      </c>
      <c r="L53" s="100">
        <v>38.9</v>
      </c>
      <c r="M53" s="100">
        <v>28.76</v>
      </c>
      <c r="N53" s="100">
        <v>464.2</v>
      </c>
      <c r="O53" s="100">
        <v>0</v>
      </c>
      <c r="P53" s="100">
        <v>0.76</v>
      </c>
      <c r="Q53" s="100">
        <v>4.76</v>
      </c>
    </row>
    <row r="54" spans="1:17" customFormat="1">
      <c r="A54" s="100" t="s">
        <v>2011</v>
      </c>
      <c r="B54" s="100">
        <v>5.47</v>
      </c>
      <c r="C54" s="100">
        <v>50.34</v>
      </c>
      <c r="D54" s="100">
        <v>29.64</v>
      </c>
      <c r="E54" s="100">
        <v>10.36</v>
      </c>
      <c r="F54" s="100">
        <v>30.35</v>
      </c>
      <c r="G54" s="100">
        <v>59.21</v>
      </c>
      <c r="H54" s="100">
        <v>20.66</v>
      </c>
      <c r="I54" s="100">
        <v>9.75</v>
      </c>
      <c r="J54" s="100">
        <v>0.87</v>
      </c>
      <c r="K54" s="100">
        <v>273.55</v>
      </c>
      <c r="L54" s="100">
        <v>39.58</v>
      </c>
      <c r="M54" s="100">
        <v>27.37</v>
      </c>
      <c r="N54" s="100">
        <v>429.6</v>
      </c>
      <c r="O54" s="100">
        <v>0</v>
      </c>
      <c r="P54" s="100">
        <v>0.74</v>
      </c>
      <c r="Q54" s="100">
        <v>4.72</v>
      </c>
    </row>
    <row r="55" spans="1:17" customFormat="1">
      <c r="A55" s="100" t="s">
        <v>2012</v>
      </c>
      <c r="B55" s="100">
        <v>5.18</v>
      </c>
      <c r="C55" s="100">
        <v>50.98</v>
      </c>
      <c r="D55" s="100">
        <v>29.75</v>
      </c>
      <c r="E55" s="100">
        <v>9.15</v>
      </c>
      <c r="F55" s="100">
        <v>28.74</v>
      </c>
      <c r="G55" s="100">
        <v>59.21</v>
      </c>
      <c r="H55" s="100">
        <v>20.66</v>
      </c>
      <c r="I55" s="100">
        <v>9.17</v>
      </c>
      <c r="J55" s="100">
        <v>1.1200000000000001</v>
      </c>
      <c r="K55" s="100">
        <v>291.27999999999997</v>
      </c>
      <c r="L55" s="100">
        <v>39.659999999999997</v>
      </c>
      <c r="M55" s="100">
        <v>26.45</v>
      </c>
      <c r="N55" s="100">
        <v>770.4</v>
      </c>
      <c r="O55" s="100">
        <v>0</v>
      </c>
      <c r="P55" s="100">
        <v>0.73</v>
      </c>
      <c r="Q55" s="100">
        <v>4.6900000000000004</v>
      </c>
    </row>
    <row r="56" spans="1:17" customFormat="1">
      <c r="A56" s="100" t="s">
        <v>2013</v>
      </c>
      <c r="B56" s="100">
        <v>5.12</v>
      </c>
      <c r="C56" s="100">
        <v>50.81</v>
      </c>
      <c r="D56" s="100">
        <v>29.6</v>
      </c>
      <c r="E56" s="100">
        <v>8.58</v>
      </c>
      <c r="F56" s="100">
        <v>23.49</v>
      </c>
      <c r="G56" s="100">
        <v>59.21</v>
      </c>
      <c r="H56" s="100">
        <v>20.66</v>
      </c>
      <c r="I56" s="100">
        <v>9.01</v>
      </c>
      <c r="J56" s="100">
        <v>1.1299999999999999</v>
      </c>
      <c r="K56" s="100">
        <v>285.86</v>
      </c>
      <c r="L56" s="100">
        <v>39.92</v>
      </c>
      <c r="M56" s="100">
        <v>25.24</v>
      </c>
      <c r="N56" s="100">
        <v>763.5</v>
      </c>
      <c r="O56" s="100">
        <v>0</v>
      </c>
      <c r="P56" s="100">
        <v>0.71</v>
      </c>
      <c r="Q56" s="100">
        <v>4.67</v>
      </c>
    </row>
    <row r="57" spans="1:17" customFormat="1">
      <c r="A57" s="100" t="s">
        <v>2014</v>
      </c>
      <c r="B57" s="100">
        <v>5.0999999999999996</v>
      </c>
      <c r="C57" s="100">
        <v>54.26</v>
      </c>
      <c r="D57" s="100">
        <v>31.39</v>
      </c>
      <c r="E57" s="100">
        <v>9.3699999999999992</v>
      </c>
      <c r="F57" s="100">
        <v>34.19</v>
      </c>
      <c r="G57" s="100">
        <v>58.8</v>
      </c>
      <c r="H57" s="100">
        <v>17.16</v>
      </c>
      <c r="I57" s="100">
        <v>9</v>
      </c>
      <c r="J57" s="100">
        <v>0.64</v>
      </c>
      <c r="K57" s="100">
        <v>275.14999999999998</v>
      </c>
      <c r="L57" s="100">
        <v>40.42</v>
      </c>
      <c r="M57" s="100">
        <v>24.34</v>
      </c>
      <c r="N57" s="100">
        <v>686.4</v>
      </c>
      <c r="O57" s="100">
        <v>0</v>
      </c>
      <c r="P57" s="100">
        <v>0.7</v>
      </c>
      <c r="Q57" s="100">
        <v>4.75</v>
      </c>
    </row>
    <row r="58" spans="1:17" customFormat="1">
      <c r="A58" s="100" t="s">
        <v>2015</v>
      </c>
      <c r="B58" s="100">
        <v>4.92</v>
      </c>
      <c r="C58" s="100">
        <v>50.77</v>
      </c>
      <c r="D58" s="100">
        <v>29.43</v>
      </c>
      <c r="E58" s="100">
        <v>10.38</v>
      </c>
      <c r="F58" s="100">
        <v>35.22</v>
      </c>
      <c r="G58" s="100">
        <v>58.79</v>
      </c>
      <c r="H58" s="100">
        <v>17.16</v>
      </c>
      <c r="I58" s="100">
        <v>8.73</v>
      </c>
      <c r="J58" s="100">
        <v>0.56999999999999995</v>
      </c>
      <c r="K58" s="100">
        <v>290.42</v>
      </c>
      <c r="L58" s="100">
        <v>40.700000000000003</v>
      </c>
      <c r="M58" s="100">
        <v>23.3</v>
      </c>
      <c r="N58" s="100">
        <v>793.5</v>
      </c>
      <c r="O58" s="100">
        <v>0</v>
      </c>
      <c r="P58" s="100">
        <v>0.68</v>
      </c>
      <c r="Q58" s="100">
        <v>4.7699999999999996</v>
      </c>
    </row>
    <row r="59" spans="1:17" customFormat="1">
      <c r="A59" s="100" t="s">
        <v>2016</v>
      </c>
      <c r="B59" s="100">
        <v>4.78</v>
      </c>
      <c r="C59" s="100">
        <v>50.34</v>
      </c>
      <c r="D59" s="100">
        <v>29.09</v>
      </c>
      <c r="E59" s="100">
        <v>9.66</v>
      </c>
      <c r="F59" s="100">
        <v>33.11</v>
      </c>
      <c r="G59" s="100">
        <v>58.79</v>
      </c>
      <c r="H59" s="100">
        <v>17.16</v>
      </c>
      <c r="I59" s="100">
        <v>8.39</v>
      </c>
      <c r="J59" s="100">
        <v>0.72</v>
      </c>
      <c r="K59" s="100">
        <v>267.08</v>
      </c>
      <c r="L59" s="100">
        <v>41.07</v>
      </c>
      <c r="M59" s="100">
        <v>23.54</v>
      </c>
      <c r="N59" s="100">
        <v>800.2</v>
      </c>
      <c r="O59" s="100">
        <v>0</v>
      </c>
      <c r="P59" s="100">
        <v>0.65</v>
      </c>
      <c r="Q59" s="100">
        <v>4.76</v>
      </c>
    </row>
    <row r="60" spans="1:17" customFormat="1">
      <c r="A60" s="100" t="s">
        <v>2017</v>
      </c>
      <c r="B60" s="100">
        <v>4.5599999999999996</v>
      </c>
      <c r="C60" s="100">
        <v>50.11</v>
      </c>
      <c r="D60" s="100">
        <v>28.79</v>
      </c>
      <c r="E60" s="100">
        <v>9.06</v>
      </c>
      <c r="F60" s="100">
        <v>42.03</v>
      </c>
      <c r="G60" s="100">
        <v>58.79</v>
      </c>
      <c r="H60" s="100">
        <v>17.16</v>
      </c>
      <c r="I60" s="100">
        <v>8.01</v>
      </c>
      <c r="J60" s="100">
        <v>0.49</v>
      </c>
      <c r="K60" s="100">
        <v>235.56</v>
      </c>
      <c r="L60" s="100">
        <v>41.5</v>
      </c>
      <c r="M60" s="100">
        <v>22.85</v>
      </c>
      <c r="N60" s="100">
        <v>790.8</v>
      </c>
      <c r="O60" s="100">
        <v>0</v>
      </c>
      <c r="P60" s="100">
        <v>0.65</v>
      </c>
      <c r="Q60" s="100">
        <v>4.7300000000000004</v>
      </c>
    </row>
    <row r="61" spans="1:17" customFormat="1">
      <c r="A61" s="100" t="s">
        <v>2018</v>
      </c>
      <c r="B61" s="100">
        <v>4.37</v>
      </c>
      <c r="C61" s="100">
        <v>50.25</v>
      </c>
      <c r="D61" s="100">
        <v>28.72</v>
      </c>
      <c r="E61" s="100">
        <v>10.08</v>
      </c>
      <c r="F61" s="100">
        <v>31.18</v>
      </c>
      <c r="G61" s="100">
        <v>56.21</v>
      </c>
      <c r="H61" s="100">
        <v>18.239999999999998</v>
      </c>
      <c r="I61" s="100">
        <v>7.93</v>
      </c>
      <c r="J61" s="100">
        <v>0.59</v>
      </c>
      <c r="K61" s="100">
        <v>266.75</v>
      </c>
      <c r="L61" s="100">
        <v>41.44</v>
      </c>
      <c r="M61" s="100">
        <v>23.24</v>
      </c>
      <c r="N61" s="100">
        <v>798.5</v>
      </c>
      <c r="O61" s="100">
        <v>0</v>
      </c>
      <c r="P61" s="100">
        <v>0.63</v>
      </c>
      <c r="Q61" s="100">
        <v>4.7</v>
      </c>
    </row>
    <row r="62" spans="1:17" customFormat="1">
      <c r="A62" s="100" t="s">
        <v>2019</v>
      </c>
      <c r="B62" s="100">
        <v>4.21</v>
      </c>
      <c r="C62" s="100">
        <v>48.72</v>
      </c>
      <c r="D62" s="100">
        <v>27.79</v>
      </c>
      <c r="E62" s="100">
        <v>9.7200000000000006</v>
      </c>
      <c r="F62" s="100">
        <v>37.729999999999997</v>
      </c>
      <c r="G62" s="100">
        <v>56.09</v>
      </c>
      <c r="H62" s="100">
        <v>18.239999999999998</v>
      </c>
      <c r="I62" s="100">
        <v>7.63</v>
      </c>
      <c r="J62" s="100">
        <v>0.35</v>
      </c>
      <c r="K62" s="100">
        <v>295.36</v>
      </c>
      <c r="L62" s="100">
        <v>41.8</v>
      </c>
      <c r="M62" s="100">
        <v>20.55</v>
      </c>
      <c r="N62" s="100">
        <v>661.9</v>
      </c>
      <c r="O62" s="100">
        <v>0</v>
      </c>
      <c r="P62" s="100">
        <v>0.6</v>
      </c>
      <c r="Q62" s="100">
        <v>4.67</v>
      </c>
    </row>
    <row r="63" spans="1:17" customFormat="1">
      <c r="A63" s="100" t="s">
        <v>2020</v>
      </c>
      <c r="B63" s="100">
        <v>4.59</v>
      </c>
      <c r="C63" s="100">
        <v>48.61</v>
      </c>
      <c r="D63" s="100">
        <v>28.03</v>
      </c>
      <c r="E63" s="100">
        <v>10.56</v>
      </c>
      <c r="F63" s="100">
        <v>39.44</v>
      </c>
      <c r="G63" s="100">
        <v>56.09</v>
      </c>
      <c r="H63" s="100">
        <v>18.239999999999998</v>
      </c>
      <c r="I63" s="100">
        <v>7.34</v>
      </c>
      <c r="J63" s="100">
        <v>0.64</v>
      </c>
      <c r="K63" s="100">
        <v>12.17</v>
      </c>
      <c r="L63" s="100">
        <v>41.23</v>
      </c>
      <c r="M63" s="100">
        <v>21.62</v>
      </c>
      <c r="N63" s="100">
        <v>714.9</v>
      </c>
      <c r="O63" s="100">
        <v>0</v>
      </c>
      <c r="P63" s="100">
        <v>0.6</v>
      </c>
      <c r="Q63" s="100">
        <v>4.67</v>
      </c>
    </row>
    <row r="64" spans="1:17" customFormat="1">
      <c r="A64" s="100" t="s">
        <v>2021</v>
      </c>
      <c r="B64" s="100">
        <v>4.8600000000000003</v>
      </c>
      <c r="C64" s="100">
        <v>51.19</v>
      </c>
      <c r="D64" s="100">
        <v>29.59</v>
      </c>
      <c r="E64" s="100">
        <v>8.83</v>
      </c>
      <c r="F64" s="100">
        <v>36.28</v>
      </c>
      <c r="G64" s="100">
        <v>56.09</v>
      </c>
      <c r="H64" s="100">
        <v>18.239999999999998</v>
      </c>
      <c r="I64" s="100">
        <v>7.02</v>
      </c>
      <c r="J64" s="100">
        <v>0.67</v>
      </c>
      <c r="K64" s="100">
        <v>290.10000000000002</v>
      </c>
      <c r="L64" s="100">
        <v>41.51</v>
      </c>
      <c r="M64" s="100">
        <v>21.49</v>
      </c>
      <c r="N64" s="100">
        <v>705.2</v>
      </c>
      <c r="O64" s="100">
        <v>0</v>
      </c>
      <c r="P64" s="100">
        <v>0.6</v>
      </c>
      <c r="Q64" s="100">
        <v>4.6900000000000004</v>
      </c>
    </row>
    <row r="65" spans="1:17" customFormat="1">
      <c r="A65" s="100" t="s">
        <v>2022</v>
      </c>
      <c r="B65" s="100">
        <v>4.6500000000000004</v>
      </c>
      <c r="C65" s="100">
        <v>50.06</v>
      </c>
      <c r="D65" s="100">
        <v>28.84</v>
      </c>
      <c r="E65" s="100">
        <v>8.89</v>
      </c>
      <c r="F65" s="100">
        <v>37.36</v>
      </c>
      <c r="G65" s="100">
        <v>55.63</v>
      </c>
      <c r="H65" s="100">
        <v>17.16</v>
      </c>
      <c r="I65" s="100">
        <v>6.63</v>
      </c>
      <c r="J65" s="100">
        <v>0.65</v>
      </c>
      <c r="K65" s="100">
        <v>281.38</v>
      </c>
      <c r="L65" s="100">
        <v>41.34</v>
      </c>
      <c r="M65" s="100">
        <v>21.23</v>
      </c>
      <c r="N65" s="100">
        <v>407.1</v>
      </c>
      <c r="O65" s="100">
        <v>0</v>
      </c>
      <c r="P65" s="100">
        <v>0.5</v>
      </c>
      <c r="Q65" s="100">
        <v>4.74</v>
      </c>
    </row>
    <row r="66" spans="1:17" customFormat="1">
      <c r="A66" s="100" t="s">
        <v>2023</v>
      </c>
      <c r="B66" s="100">
        <v>4.3499999999999996</v>
      </c>
      <c r="C66" s="100">
        <v>48.54</v>
      </c>
      <c r="D66" s="100">
        <v>27.81</v>
      </c>
      <c r="E66" s="100">
        <v>10.16</v>
      </c>
      <c r="F66" s="100">
        <v>41.77</v>
      </c>
      <c r="G66" s="100">
        <v>55.61</v>
      </c>
      <c r="H66" s="100">
        <v>17.16</v>
      </c>
      <c r="I66" s="100">
        <v>6.94</v>
      </c>
      <c r="J66" s="100">
        <v>0.37</v>
      </c>
      <c r="K66" s="100">
        <v>246.21</v>
      </c>
      <c r="L66" s="100">
        <v>41.85</v>
      </c>
      <c r="M66" s="100">
        <v>20.54</v>
      </c>
      <c r="N66" s="100">
        <v>623</v>
      </c>
      <c r="O66" s="100">
        <v>0</v>
      </c>
      <c r="P66" s="100">
        <v>0.5</v>
      </c>
      <c r="Q66" s="100">
        <v>4.7300000000000004</v>
      </c>
    </row>
    <row r="67" spans="1:17" customFormat="1">
      <c r="A67" s="100" t="s">
        <v>2024</v>
      </c>
      <c r="B67" s="100">
        <v>4.45</v>
      </c>
      <c r="C67" s="100">
        <v>49.61</v>
      </c>
      <c r="D67" s="100">
        <v>28.44</v>
      </c>
      <c r="E67" s="100">
        <v>8.58</v>
      </c>
      <c r="F67" s="100">
        <v>33.51</v>
      </c>
      <c r="G67" s="100">
        <v>55.61</v>
      </c>
      <c r="H67" s="100">
        <v>17.16</v>
      </c>
      <c r="I67" s="100">
        <v>6.56</v>
      </c>
      <c r="J67" s="100">
        <v>0.31</v>
      </c>
      <c r="K67" s="100">
        <v>308.3</v>
      </c>
      <c r="L67" s="100">
        <v>41.42</v>
      </c>
      <c r="M67" s="100">
        <v>20.34</v>
      </c>
      <c r="N67" s="100">
        <v>458.4</v>
      </c>
      <c r="O67" s="100">
        <v>0</v>
      </c>
      <c r="P67" s="100">
        <v>0.51</v>
      </c>
      <c r="Q67" s="100">
        <v>4.6900000000000004</v>
      </c>
    </row>
    <row r="68" spans="1:17" customFormat="1">
      <c r="A68" s="100" t="s">
        <v>2025</v>
      </c>
      <c r="B68" s="100">
        <v>6.64</v>
      </c>
      <c r="C68" s="100">
        <v>49.81</v>
      </c>
      <c r="D68" s="100">
        <v>30.3</v>
      </c>
      <c r="E68" s="100">
        <v>10.119999999999999</v>
      </c>
      <c r="F68" s="100">
        <v>40.909999999999997</v>
      </c>
      <c r="G68" s="100">
        <v>55.61</v>
      </c>
      <c r="H68" s="100">
        <v>17.16</v>
      </c>
      <c r="I68" s="100">
        <v>6.3</v>
      </c>
      <c r="J68" s="100">
        <v>0.48</v>
      </c>
      <c r="K68" s="100">
        <v>308.58999999999997</v>
      </c>
      <c r="L68" s="100">
        <v>40.96</v>
      </c>
      <c r="M68" s="100">
        <v>19.91</v>
      </c>
      <c r="N68" s="100">
        <v>380.3</v>
      </c>
      <c r="O68" s="100">
        <v>0</v>
      </c>
      <c r="P68" s="100">
        <v>0.51</v>
      </c>
      <c r="Q68" s="100">
        <v>4.71</v>
      </c>
    </row>
    <row r="69" spans="1:17" customFormat="1">
      <c r="A69" s="100" t="s">
        <v>2026</v>
      </c>
      <c r="B69" s="100">
        <v>4.91</v>
      </c>
      <c r="C69" s="100">
        <v>46.15</v>
      </c>
      <c r="D69" s="100">
        <v>27</v>
      </c>
      <c r="E69" s="100">
        <v>11.12</v>
      </c>
      <c r="F69" s="100">
        <v>50.24</v>
      </c>
      <c r="G69" s="100">
        <v>50.21</v>
      </c>
      <c r="H69" s="100">
        <v>17.22</v>
      </c>
      <c r="I69" s="100">
        <v>6.27</v>
      </c>
      <c r="J69" s="100">
        <v>0.26</v>
      </c>
      <c r="K69" s="100">
        <v>295.47000000000003</v>
      </c>
      <c r="L69" s="100">
        <v>40.56</v>
      </c>
      <c r="M69" s="100">
        <v>22.29</v>
      </c>
      <c r="N69" s="100">
        <v>123.5</v>
      </c>
      <c r="O69" s="100">
        <v>0</v>
      </c>
      <c r="P69" s="100">
        <v>0.48</v>
      </c>
      <c r="Q69" s="100">
        <v>4.74</v>
      </c>
    </row>
    <row r="70" spans="1:17" customFormat="1">
      <c r="A70" s="100" t="s">
        <v>2027</v>
      </c>
      <c r="B70" s="100">
        <v>4.5999999999999996</v>
      </c>
      <c r="C70" s="100">
        <v>49.05</v>
      </c>
      <c r="D70" s="100">
        <v>28.27</v>
      </c>
      <c r="E70" s="100">
        <v>9.6999999999999993</v>
      </c>
      <c r="F70" s="100">
        <v>35.74</v>
      </c>
      <c r="G70" s="100">
        <v>49.96</v>
      </c>
      <c r="H70" s="100">
        <v>17.22</v>
      </c>
      <c r="I70" s="100">
        <v>5.76</v>
      </c>
      <c r="J70" s="100">
        <v>0.66</v>
      </c>
      <c r="K70" s="100">
        <v>267.45999999999998</v>
      </c>
      <c r="L70" s="100">
        <v>38.85</v>
      </c>
      <c r="M70" s="100">
        <v>26.31</v>
      </c>
      <c r="N70" s="100">
        <v>55.2</v>
      </c>
      <c r="O70" s="100">
        <v>0</v>
      </c>
      <c r="P70" s="100">
        <v>0.5</v>
      </c>
      <c r="Q70" s="100">
        <v>4.76</v>
      </c>
    </row>
    <row r="71" spans="1:17" customFormat="1">
      <c r="A71" s="100" t="s">
        <v>2028</v>
      </c>
      <c r="B71" s="100">
        <v>4.68</v>
      </c>
      <c r="C71" s="100">
        <v>49.78</v>
      </c>
      <c r="D71" s="100">
        <v>28.72</v>
      </c>
      <c r="E71" s="100">
        <v>8.7100000000000009</v>
      </c>
      <c r="F71" s="100">
        <v>31.87</v>
      </c>
      <c r="G71" s="100">
        <v>49.96</v>
      </c>
      <c r="H71" s="100">
        <v>17.22</v>
      </c>
      <c r="I71" s="100">
        <v>5.63</v>
      </c>
      <c r="J71" s="100">
        <v>0.41</v>
      </c>
      <c r="K71" s="100">
        <v>166.29</v>
      </c>
      <c r="L71" s="100">
        <v>34.83</v>
      </c>
      <c r="M71" s="100">
        <v>46.26</v>
      </c>
      <c r="N71" s="100">
        <v>51.4</v>
      </c>
      <c r="O71" s="100">
        <v>0</v>
      </c>
      <c r="P71" s="100">
        <v>0.48</v>
      </c>
      <c r="Q71" s="100">
        <v>4.7300000000000004</v>
      </c>
    </row>
    <row r="72" spans="1:17" customFormat="1">
      <c r="A72" s="100" t="s">
        <v>2029</v>
      </c>
      <c r="B72" s="100">
        <v>4.47</v>
      </c>
      <c r="C72" s="100">
        <v>41.62</v>
      </c>
      <c r="D72" s="100">
        <v>24.28</v>
      </c>
      <c r="E72" s="100">
        <v>8.9</v>
      </c>
      <c r="F72" s="100">
        <v>40.630000000000003</v>
      </c>
      <c r="G72" s="100">
        <v>49.96</v>
      </c>
      <c r="H72" s="100">
        <v>17.22</v>
      </c>
      <c r="I72" s="100">
        <v>5.92</v>
      </c>
      <c r="J72" s="100">
        <v>0.33</v>
      </c>
      <c r="K72" s="100">
        <v>236.56</v>
      </c>
      <c r="L72" s="100">
        <v>33.42</v>
      </c>
      <c r="M72" s="100">
        <v>52.65</v>
      </c>
      <c r="N72" s="100">
        <v>58</v>
      </c>
      <c r="O72" s="100">
        <v>0</v>
      </c>
      <c r="P72" s="100">
        <v>0.46</v>
      </c>
      <c r="Q72" s="100">
        <v>4.7</v>
      </c>
    </row>
    <row r="73" spans="1:17" customFormat="1">
      <c r="A73" s="100" t="s">
        <v>2030</v>
      </c>
      <c r="B73" s="100">
        <v>5.35</v>
      </c>
      <c r="C73" s="100">
        <v>44.37</v>
      </c>
      <c r="D73" s="100">
        <v>26.43</v>
      </c>
      <c r="E73" s="100">
        <v>8.9</v>
      </c>
      <c r="F73" s="100">
        <v>33.799999999999997</v>
      </c>
      <c r="G73" s="100">
        <v>53.96</v>
      </c>
      <c r="H73" s="100">
        <v>17</v>
      </c>
      <c r="I73" s="100">
        <v>5.73</v>
      </c>
      <c r="J73" s="100">
        <v>0.52</v>
      </c>
      <c r="K73" s="100">
        <v>5.46</v>
      </c>
      <c r="L73" s="100">
        <v>32.96</v>
      </c>
      <c r="M73" s="100">
        <v>43.47</v>
      </c>
      <c r="N73" s="100">
        <v>35.9</v>
      </c>
      <c r="O73" s="100">
        <v>0</v>
      </c>
      <c r="P73" s="100">
        <v>0.49</v>
      </c>
      <c r="Q73" s="100">
        <v>4.63</v>
      </c>
    </row>
    <row r="74" spans="1:17" customFormat="1">
      <c r="A74" s="100" t="s">
        <v>2031</v>
      </c>
      <c r="B74" s="100">
        <v>6.07</v>
      </c>
      <c r="C74" s="100">
        <v>49.11</v>
      </c>
      <c r="D74" s="100">
        <v>29.48</v>
      </c>
      <c r="E74" s="100">
        <v>8.0299999999999994</v>
      </c>
      <c r="F74" s="100">
        <v>22.59</v>
      </c>
      <c r="G74" s="100">
        <v>54.15</v>
      </c>
      <c r="H74" s="100">
        <v>17</v>
      </c>
      <c r="I74" s="100">
        <v>5.48</v>
      </c>
      <c r="J74" s="100">
        <v>1.41</v>
      </c>
      <c r="K74" s="100">
        <v>35.97</v>
      </c>
      <c r="L74" s="100">
        <v>33.96</v>
      </c>
      <c r="M74" s="100">
        <v>37.659999999999997</v>
      </c>
      <c r="N74" s="100">
        <v>231.9</v>
      </c>
      <c r="O74" s="100">
        <v>0</v>
      </c>
      <c r="P74" s="100">
        <v>0.49</v>
      </c>
      <c r="Q74" s="100">
        <v>4.5999999999999996</v>
      </c>
    </row>
    <row r="75" spans="1:17" customFormat="1">
      <c r="A75" s="100" t="s">
        <v>2032</v>
      </c>
      <c r="B75" s="100">
        <v>6.43</v>
      </c>
      <c r="C75" s="100">
        <v>53.75</v>
      </c>
      <c r="D75" s="100">
        <v>32.19</v>
      </c>
      <c r="E75" s="100">
        <v>8.23</v>
      </c>
      <c r="F75" s="100">
        <v>20.78</v>
      </c>
      <c r="G75" s="100">
        <v>54.15</v>
      </c>
      <c r="H75" s="100">
        <v>17</v>
      </c>
      <c r="I75" s="100">
        <v>5.86</v>
      </c>
      <c r="J75" s="100">
        <v>0.52</v>
      </c>
      <c r="K75" s="100">
        <v>88.4</v>
      </c>
      <c r="L75" s="100">
        <v>33.75</v>
      </c>
      <c r="M75" s="100">
        <v>42.88</v>
      </c>
      <c r="N75" s="100">
        <v>191.4</v>
      </c>
      <c r="O75" s="100">
        <v>0</v>
      </c>
      <c r="P75" s="100">
        <v>0.49</v>
      </c>
      <c r="Q75" s="100">
        <v>4.68</v>
      </c>
    </row>
    <row r="76" spans="1:17" customFormat="1">
      <c r="A76" s="100" t="s">
        <v>2033</v>
      </c>
      <c r="B76" s="100">
        <v>6.03</v>
      </c>
      <c r="C76" s="100">
        <v>49.93</v>
      </c>
      <c r="D76" s="100">
        <v>29.88</v>
      </c>
      <c r="E76" s="100">
        <v>8.11</v>
      </c>
      <c r="F76" s="100">
        <v>24.63</v>
      </c>
      <c r="G76" s="100">
        <v>54.15</v>
      </c>
      <c r="H76" s="100">
        <v>17</v>
      </c>
      <c r="I76" s="100">
        <v>5.94</v>
      </c>
      <c r="J76" s="100">
        <v>0.35</v>
      </c>
      <c r="K76" s="100">
        <v>107.28</v>
      </c>
      <c r="L76" s="100">
        <v>34.380000000000003</v>
      </c>
      <c r="M76" s="100">
        <v>41.26</v>
      </c>
      <c r="N76" s="100">
        <v>117.2</v>
      </c>
      <c r="O76" s="100">
        <v>0</v>
      </c>
      <c r="P76" s="100">
        <v>0.48</v>
      </c>
      <c r="Q76" s="100">
        <v>4.75</v>
      </c>
    </row>
    <row r="77" spans="1:17" customFormat="1">
      <c r="A77" s="100" t="s">
        <v>2034</v>
      </c>
      <c r="B77" s="100">
        <v>5.55</v>
      </c>
      <c r="C77" s="100">
        <v>43.03</v>
      </c>
      <c r="D77" s="100">
        <v>25.89</v>
      </c>
      <c r="E77" s="100">
        <v>9.15</v>
      </c>
      <c r="F77" s="100">
        <v>38.6</v>
      </c>
      <c r="G77" s="100">
        <v>52.75</v>
      </c>
      <c r="H77" s="100">
        <v>15.28</v>
      </c>
      <c r="I77" s="100">
        <v>5.91</v>
      </c>
      <c r="J77" s="100">
        <v>0.27</v>
      </c>
      <c r="K77" s="100">
        <v>105.54</v>
      </c>
      <c r="L77" s="100">
        <v>34.64</v>
      </c>
      <c r="M77" s="100">
        <v>41.46</v>
      </c>
      <c r="N77" s="100">
        <v>92.2</v>
      </c>
      <c r="O77" s="100">
        <v>0</v>
      </c>
      <c r="P77" s="100">
        <v>0.46</v>
      </c>
      <c r="Q77" s="100">
        <v>4.8099999999999996</v>
      </c>
    </row>
    <row r="78" spans="1:17" customFormat="1">
      <c r="A78" s="100" t="s">
        <v>2035</v>
      </c>
      <c r="B78" s="100">
        <v>5.39</v>
      </c>
      <c r="C78" s="100">
        <v>42</v>
      </c>
      <c r="D78" s="100">
        <v>25.23</v>
      </c>
      <c r="E78" s="100">
        <v>8.77</v>
      </c>
      <c r="F78" s="100">
        <v>36.82</v>
      </c>
      <c r="G78" s="100">
        <v>52.69</v>
      </c>
      <c r="H78" s="100">
        <v>15.28</v>
      </c>
      <c r="I78" s="100">
        <v>5.4</v>
      </c>
      <c r="J78" s="100">
        <v>0.17</v>
      </c>
      <c r="K78" s="100">
        <v>181.23</v>
      </c>
      <c r="L78" s="100">
        <v>35.020000000000003</v>
      </c>
      <c r="M78" s="100">
        <v>40.270000000000003</v>
      </c>
      <c r="N78" s="100">
        <v>79.5</v>
      </c>
      <c r="O78" s="100">
        <v>0</v>
      </c>
      <c r="P78" s="100">
        <v>0.44</v>
      </c>
      <c r="Q78" s="100">
        <v>4.7300000000000004</v>
      </c>
    </row>
    <row r="79" spans="1:17" customFormat="1">
      <c r="A79" s="100" t="s">
        <v>2036</v>
      </c>
      <c r="B79" s="100">
        <v>5.32</v>
      </c>
      <c r="C79" s="100">
        <v>44.86</v>
      </c>
      <c r="D79" s="100">
        <v>26.66</v>
      </c>
      <c r="E79" s="100">
        <v>9.68</v>
      </c>
      <c r="F79" s="100">
        <v>36.53</v>
      </c>
      <c r="G79" s="100">
        <v>52.69</v>
      </c>
      <c r="H79" s="100">
        <v>15.28</v>
      </c>
      <c r="I79" s="100">
        <v>4.7</v>
      </c>
      <c r="J79" s="100">
        <v>0.11</v>
      </c>
      <c r="K79" s="100">
        <v>197.94</v>
      </c>
      <c r="L79" s="100">
        <v>34.82</v>
      </c>
      <c r="M79" s="100">
        <v>39.75</v>
      </c>
      <c r="N79" s="100">
        <v>53.8</v>
      </c>
      <c r="O79" s="100">
        <v>0</v>
      </c>
      <c r="P79" s="100">
        <v>0.45</v>
      </c>
      <c r="Q79" s="100">
        <v>4.75</v>
      </c>
    </row>
    <row r="80" spans="1:17" customFormat="1">
      <c r="A80" s="100" t="s">
        <v>2037</v>
      </c>
      <c r="B80" s="100">
        <v>5.0599999999999996</v>
      </c>
      <c r="C80" s="100">
        <v>41.08</v>
      </c>
      <c r="D80" s="100">
        <v>24.48</v>
      </c>
      <c r="E80" s="100">
        <v>9.11</v>
      </c>
      <c r="F80" s="100">
        <v>40.47</v>
      </c>
      <c r="G80" s="100">
        <v>52.69</v>
      </c>
      <c r="H80" s="100">
        <v>15.28</v>
      </c>
      <c r="I80" s="100">
        <v>4.6500000000000004</v>
      </c>
      <c r="J80" s="100">
        <v>0.09</v>
      </c>
      <c r="K80" s="100">
        <v>225.81</v>
      </c>
      <c r="L80" s="100">
        <v>34.22</v>
      </c>
      <c r="M80" s="100">
        <v>40.1</v>
      </c>
      <c r="N80" s="100">
        <v>33.4</v>
      </c>
      <c r="O80" s="100">
        <v>0</v>
      </c>
      <c r="P80" s="100">
        <v>0.44</v>
      </c>
      <c r="Q80" s="100">
        <v>4.75</v>
      </c>
    </row>
    <row r="81" spans="1:17" customFormat="1">
      <c r="A81" s="100" t="s">
        <v>2038</v>
      </c>
      <c r="B81" s="100">
        <v>5.67</v>
      </c>
      <c r="C81" s="100">
        <v>43.15</v>
      </c>
      <c r="D81" s="100">
        <v>26.05</v>
      </c>
      <c r="E81" s="100">
        <v>7.01</v>
      </c>
      <c r="F81" s="100">
        <v>33.85</v>
      </c>
      <c r="G81" s="100">
        <v>42.76</v>
      </c>
      <c r="H81" s="100">
        <v>12.53</v>
      </c>
      <c r="I81" s="100">
        <v>4.68</v>
      </c>
      <c r="J81" s="100">
        <v>0.17</v>
      </c>
      <c r="K81" s="100">
        <v>211.84</v>
      </c>
      <c r="L81" s="100">
        <v>33.520000000000003</v>
      </c>
      <c r="M81" s="100">
        <v>42.81</v>
      </c>
      <c r="N81" s="100">
        <v>9.8000000000000007</v>
      </c>
      <c r="O81" s="100">
        <v>0</v>
      </c>
      <c r="P81" s="100">
        <v>0.43</v>
      </c>
      <c r="Q81" s="100">
        <v>4.6900000000000004</v>
      </c>
    </row>
    <row r="82" spans="1:17" customFormat="1">
      <c r="A82" s="100" t="s">
        <v>2039</v>
      </c>
      <c r="B82" s="100">
        <v>5.15</v>
      </c>
      <c r="C82" s="100">
        <v>41.26</v>
      </c>
      <c r="D82" s="100">
        <v>24.64</v>
      </c>
      <c r="E82" s="100">
        <v>8.1199999999999992</v>
      </c>
      <c r="F82" s="100">
        <v>37.35</v>
      </c>
      <c r="G82" s="100">
        <v>42.3</v>
      </c>
      <c r="H82" s="100">
        <v>12.53</v>
      </c>
      <c r="I82" s="100">
        <v>4.41</v>
      </c>
      <c r="J82" s="100">
        <v>0.13</v>
      </c>
      <c r="K82" s="100">
        <v>197.15</v>
      </c>
      <c r="L82" s="100">
        <v>32.869999999999997</v>
      </c>
      <c r="M82" s="100">
        <v>43.07</v>
      </c>
      <c r="N82" s="100">
        <v>0.2</v>
      </c>
      <c r="O82" s="100">
        <v>0</v>
      </c>
      <c r="P82" s="100">
        <v>0.45</v>
      </c>
      <c r="Q82" s="100">
        <v>4.7699999999999996</v>
      </c>
    </row>
    <row r="83" spans="1:17" customFormat="1">
      <c r="A83" s="100" t="s">
        <v>2040</v>
      </c>
      <c r="B83" s="100">
        <v>5.91</v>
      </c>
      <c r="C83" s="100">
        <v>42.79</v>
      </c>
      <c r="D83" s="100">
        <v>26.06</v>
      </c>
      <c r="E83" s="100">
        <v>7.59</v>
      </c>
      <c r="F83" s="100">
        <v>29.95</v>
      </c>
      <c r="G83" s="100">
        <v>42.3</v>
      </c>
      <c r="H83" s="100">
        <v>12.53</v>
      </c>
      <c r="I83" s="100">
        <v>4.3099999999999996</v>
      </c>
      <c r="J83" s="100">
        <v>0.14000000000000001</v>
      </c>
      <c r="K83" s="100">
        <v>195.91</v>
      </c>
      <c r="L83" s="100">
        <v>32.26</v>
      </c>
      <c r="M83" s="100">
        <v>45.6</v>
      </c>
      <c r="N83" s="100">
        <v>0</v>
      </c>
      <c r="O83" s="100">
        <v>0</v>
      </c>
      <c r="P83" s="100">
        <v>0.44</v>
      </c>
      <c r="Q83" s="100">
        <v>4.6900000000000004</v>
      </c>
    </row>
    <row r="84" spans="1:17" customFormat="1">
      <c r="A84" s="100" t="s">
        <v>2041</v>
      </c>
      <c r="B84" s="100">
        <v>7.3</v>
      </c>
      <c r="C84" s="100">
        <v>47.71</v>
      </c>
      <c r="D84" s="100">
        <v>29.73</v>
      </c>
      <c r="E84" s="100">
        <v>7.25</v>
      </c>
      <c r="F84" s="100">
        <v>24.42</v>
      </c>
      <c r="G84" s="100">
        <v>42.3</v>
      </c>
      <c r="H84" s="100">
        <v>12.53</v>
      </c>
      <c r="I84" s="100">
        <v>4.4400000000000004</v>
      </c>
      <c r="J84" s="100">
        <v>0.34</v>
      </c>
      <c r="K84" s="100">
        <v>59.77</v>
      </c>
      <c r="L84" s="100">
        <v>31.9</v>
      </c>
      <c r="M84" s="100">
        <v>49.57</v>
      </c>
      <c r="N84" s="100">
        <v>0</v>
      </c>
      <c r="O84" s="100">
        <v>0</v>
      </c>
      <c r="P84" s="100">
        <v>0.48</v>
      </c>
      <c r="Q84" s="100">
        <v>4.78</v>
      </c>
    </row>
    <row r="85" spans="1:17" customFormat="1">
      <c r="A85" s="100" t="s">
        <v>2042</v>
      </c>
      <c r="B85" s="100">
        <v>11.18</v>
      </c>
      <c r="C85" s="100">
        <v>55.73</v>
      </c>
      <c r="D85" s="100">
        <v>37.04</v>
      </c>
      <c r="E85" s="100">
        <v>7.86</v>
      </c>
      <c r="F85" s="100">
        <v>10.96</v>
      </c>
      <c r="G85" s="100">
        <v>40.72</v>
      </c>
      <c r="H85" s="100">
        <v>12.25</v>
      </c>
      <c r="I85" s="100">
        <v>4.6500000000000004</v>
      </c>
      <c r="J85" s="100">
        <v>1.33</v>
      </c>
      <c r="K85" s="100">
        <v>62.11</v>
      </c>
      <c r="L85" s="100">
        <v>32.64</v>
      </c>
      <c r="M85" s="100">
        <v>41.38</v>
      </c>
      <c r="N85" s="100">
        <v>0</v>
      </c>
      <c r="O85" s="100">
        <v>0</v>
      </c>
      <c r="P85" s="100">
        <v>0.54</v>
      </c>
      <c r="Q85" s="100">
        <v>4.8099999999999996</v>
      </c>
    </row>
    <row r="86" spans="1:17" customFormat="1">
      <c r="A86" s="100" t="s">
        <v>2043</v>
      </c>
      <c r="B86" s="100">
        <v>9.8000000000000007</v>
      </c>
      <c r="C86" s="100">
        <v>53.86</v>
      </c>
      <c r="D86" s="100">
        <v>34.96</v>
      </c>
      <c r="E86" s="100">
        <v>9.0399999999999991</v>
      </c>
      <c r="F86" s="100">
        <v>13.7</v>
      </c>
      <c r="G86" s="100">
        <v>40.659999999999997</v>
      </c>
      <c r="H86" s="100">
        <v>12.25</v>
      </c>
      <c r="I86" s="100">
        <v>5.24</v>
      </c>
      <c r="J86" s="100">
        <v>1.02</v>
      </c>
      <c r="K86" s="100">
        <v>66.16</v>
      </c>
      <c r="L86" s="100">
        <v>32.68</v>
      </c>
      <c r="M86" s="100">
        <v>37.83</v>
      </c>
      <c r="N86" s="100">
        <v>0</v>
      </c>
      <c r="O86" s="100">
        <v>0</v>
      </c>
      <c r="P86" s="100">
        <v>0.52</v>
      </c>
      <c r="Q86" s="100">
        <v>4.84</v>
      </c>
    </row>
    <row r="87" spans="1:17" customFormat="1">
      <c r="A87" s="100" t="s">
        <v>2044</v>
      </c>
      <c r="B87" s="100">
        <v>9.25</v>
      </c>
      <c r="C87" s="100">
        <v>57.25</v>
      </c>
      <c r="D87" s="100">
        <v>36.28</v>
      </c>
      <c r="E87" s="100">
        <v>8.06</v>
      </c>
      <c r="F87" s="100">
        <v>16.18</v>
      </c>
      <c r="G87" s="100">
        <v>40.659999999999997</v>
      </c>
      <c r="H87" s="100">
        <v>12.25</v>
      </c>
      <c r="I87" s="100">
        <v>5.73</v>
      </c>
      <c r="J87" s="100">
        <v>0.42</v>
      </c>
      <c r="K87" s="100">
        <v>93.65</v>
      </c>
      <c r="L87" s="100">
        <v>32.21</v>
      </c>
      <c r="M87" s="100">
        <v>38.729999999999997</v>
      </c>
      <c r="N87" s="100">
        <v>0</v>
      </c>
      <c r="O87" s="100">
        <v>0</v>
      </c>
      <c r="P87" s="100">
        <v>0.51</v>
      </c>
      <c r="Q87" s="100">
        <v>4.87</v>
      </c>
    </row>
    <row r="88" spans="1:17" customFormat="1">
      <c r="A88" s="100" t="s">
        <v>2045</v>
      </c>
      <c r="B88" s="100">
        <v>9.01</v>
      </c>
      <c r="C88" s="100">
        <v>54.05</v>
      </c>
      <c r="D88" s="100">
        <v>34.42</v>
      </c>
      <c r="E88" s="100">
        <v>8.09</v>
      </c>
      <c r="F88" s="100">
        <v>13.83</v>
      </c>
      <c r="G88" s="100">
        <v>40.659999999999997</v>
      </c>
      <c r="H88" s="100">
        <v>12.25</v>
      </c>
      <c r="I88" s="100">
        <v>5.83</v>
      </c>
      <c r="J88" s="100">
        <v>0.39</v>
      </c>
      <c r="K88" s="100">
        <v>108.71</v>
      </c>
      <c r="L88" s="100">
        <v>31.89</v>
      </c>
      <c r="M88" s="100">
        <v>39.81</v>
      </c>
      <c r="N88" s="100">
        <v>0</v>
      </c>
      <c r="O88" s="100">
        <v>0</v>
      </c>
      <c r="P88" s="100">
        <v>0.5</v>
      </c>
      <c r="Q88" s="100">
        <v>4.83</v>
      </c>
    </row>
    <row r="89" spans="1:17" customFormat="1">
      <c r="A89" s="100" t="s">
        <v>2046</v>
      </c>
      <c r="B89" s="100">
        <v>8.82</v>
      </c>
      <c r="C89" s="100">
        <v>50.55</v>
      </c>
      <c r="D89" s="100">
        <v>32.44</v>
      </c>
      <c r="E89" s="100">
        <v>8.86</v>
      </c>
      <c r="F89" s="100">
        <v>20.2</v>
      </c>
      <c r="G89" s="100">
        <v>41.1</v>
      </c>
      <c r="H89" s="100">
        <v>11.11</v>
      </c>
      <c r="I89" s="100">
        <v>5.62</v>
      </c>
      <c r="J89" s="100">
        <v>0.4</v>
      </c>
      <c r="K89" s="100">
        <v>109.59</v>
      </c>
      <c r="L89" s="100">
        <v>31.38</v>
      </c>
      <c r="M89" s="100">
        <v>42.65</v>
      </c>
      <c r="N89" s="100">
        <v>0</v>
      </c>
      <c r="O89" s="100">
        <v>0</v>
      </c>
      <c r="P89" s="100">
        <v>0.47</v>
      </c>
      <c r="Q89" s="100">
        <v>4.9000000000000004</v>
      </c>
    </row>
    <row r="90" spans="1:17" customFormat="1">
      <c r="A90" s="100" t="s">
        <v>2047</v>
      </c>
      <c r="B90" s="100">
        <v>9.32</v>
      </c>
      <c r="C90" s="100">
        <v>52.97</v>
      </c>
      <c r="D90" s="100">
        <v>34.11</v>
      </c>
      <c r="E90" s="100">
        <v>7.26</v>
      </c>
      <c r="F90" s="100">
        <v>16.41</v>
      </c>
      <c r="G90" s="100">
        <v>41.11</v>
      </c>
      <c r="H90" s="100">
        <v>11.11</v>
      </c>
      <c r="I90" s="100">
        <v>5.33</v>
      </c>
      <c r="J90" s="100">
        <v>0.33</v>
      </c>
      <c r="K90" s="100">
        <v>106.5</v>
      </c>
      <c r="L90" s="100">
        <v>31.15</v>
      </c>
      <c r="M90" s="100">
        <v>43.68</v>
      </c>
      <c r="N90" s="100">
        <v>0</v>
      </c>
      <c r="O90" s="100">
        <v>0</v>
      </c>
      <c r="P90" s="100">
        <v>0.48</v>
      </c>
      <c r="Q90" s="100">
        <v>4.8899999999999997</v>
      </c>
    </row>
    <row r="91" spans="1:17" customFormat="1">
      <c r="A91" s="100" t="s">
        <v>2048</v>
      </c>
      <c r="B91" s="100">
        <v>9.08</v>
      </c>
      <c r="C91" s="100">
        <v>51.66</v>
      </c>
      <c r="D91" s="100">
        <v>33.229999999999997</v>
      </c>
      <c r="E91" s="100">
        <v>6.93</v>
      </c>
      <c r="F91" s="100">
        <v>19.07</v>
      </c>
      <c r="G91" s="100">
        <v>41.11</v>
      </c>
      <c r="H91" s="100">
        <v>11.11</v>
      </c>
      <c r="I91" s="100">
        <v>5.34</v>
      </c>
      <c r="J91" s="100">
        <v>0.47</v>
      </c>
      <c r="K91" s="100">
        <v>94.26</v>
      </c>
      <c r="L91" s="100">
        <v>31.13</v>
      </c>
      <c r="M91" s="100">
        <v>42.36</v>
      </c>
      <c r="N91" s="100">
        <v>0</v>
      </c>
      <c r="O91" s="100">
        <v>0</v>
      </c>
      <c r="P91" s="100">
        <v>0.47</v>
      </c>
      <c r="Q91" s="100">
        <v>4.9000000000000004</v>
      </c>
    </row>
    <row r="92" spans="1:17" customFormat="1">
      <c r="A92" s="100" t="s">
        <v>2049</v>
      </c>
      <c r="B92" s="100">
        <v>8.6999999999999993</v>
      </c>
      <c r="C92" s="100">
        <v>51.62</v>
      </c>
      <c r="D92" s="100">
        <v>32.9</v>
      </c>
      <c r="E92" s="100">
        <v>7.08</v>
      </c>
      <c r="F92" s="100">
        <v>15.07</v>
      </c>
      <c r="G92" s="100">
        <v>41.11</v>
      </c>
      <c r="H92" s="100">
        <v>11.11</v>
      </c>
      <c r="I92" s="100">
        <v>5.18</v>
      </c>
      <c r="J92" s="100">
        <v>0.49</v>
      </c>
      <c r="K92" s="100">
        <v>101.41</v>
      </c>
      <c r="L92" s="100">
        <v>31.18</v>
      </c>
      <c r="M92" s="100">
        <v>41.55</v>
      </c>
      <c r="N92" s="100">
        <v>0</v>
      </c>
      <c r="O92" s="100">
        <v>0</v>
      </c>
      <c r="P92" s="100">
        <v>0.48</v>
      </c>
      <c r="Q92" s="100">
        <v>4.87</v>
      </c>
    </row>
    <row r="93" spans="1:17" customFormat="1">
      <c r="A93" s="100" t="s">
        <v>2050</v>
      </c>
      <c r="B93" s="100">
        <v>8.5399999999999991</v>
      </c>
      <c r="C93" s="100">
        <v>51.93</v>
      </c>
      <c r="D93" s="100">
        <v>32.94</v>
      </c>
      <c r="E93" s="100">
        <v>6.98</v>
      </c>
      <c r="F93" s="100">
        <v>16.760000000000002</v>
      </c>
      <c r="G93" s="100">
        <v>40.57</v>
      </c>
      <c r="H93" s="100">
        <v>10.42</v>
      </c>
      <c r="I93" s="100">
        <v>4.95</v>
      </c>
      <c r="J93" s="100">
        <v>0.48</v>
      </c>
      <c r="K93" s="100">
        <v>128.99</v>
      </c>
      <c r="L93" s="100">
        <v>31.01</v>
      </c>
      <c r="M93" s="100">
        <v>41.16</v>
      </c>
      <c r="N93" s="100">
        <v>0</v>
      </c>
      <c r="O93" s="100">
        <v>0</v>
      </c>
      <c r="P93" s="100">
        <v>0.46</v>
      </c>
      <c r="Q93" s="100">
        <v>4.8600000000000003</v>
      </c>
    </row>
    <row r="94" spans="1:17" customFormat="1">
      <c r="A94" s="100" t="s">
        <v>2051</v>
      </c>
      <c r="B94" s="100">
        <v>8.42</v>
      </c>
      <c r="C94" s="100">
        <v>52.21</v>
      </c>
      <c r="D94" s="100">
        <v>32.99</v>
      </c>
      <c r="E94" s="100">
        <v>7.21</v>
      </c>
      <c r="F94" s="100">
        <v>19.399999999999999</v>
      </c>
      <c r="G94" s="100">
        <v>40.549999999999997</v>
      </c>
      <c r="H94" s="100">
        <v>10.42</v>
      </c>
      <c r="I94" s="100">
        <v>4.95</v>
      </c>
      <c r="J94" s="100">
        <v>0.35</v>
      </c>
      <c r="K94" s="100">
        <v>111.64</v>
      </c>
      <c r="L94" s="100">
        <v>30.72</v>
      </c>
      <c r="M94" s="100">
        <v>41.33</v>
      </c>
      <c r="N94" s="100">
        <v>0</v>
      </c>
      <c r="O94" s="100">
        <v>0</v>
      </c>
      <c r="P94" s="100">
        <v>0.46</v>
      </c>
      <c r="Q94" s="100">
        <v>4.8499999999999996</v>
      </c>
    </row>
    <row r="95" spans="1:17" customFormat="1">
      <c r="A95" s="100" t="s">
        <v>2052</v>
      </c>
      <c r="B95" s="100">
        <v>8.91</v>
      </c>
      <c r="C95" s="100">
        <v>56.06</v>
      </c>
      <c r="D95" s="100">
        <v>35.39</v>
      </c>
      <c r="E95" s="100">
        <v>6.95</v>
      </c>
      <c r="F95" s="100">
        <v>8.24</v>
      </c>
      <c r="G95" s="100">
        <v>40.549999999999997</v>
      </c>
      <c r="H95" s="100">
        <v>10.42</v>
      </c>
      <c r="I95" s="100">
        <v>5.03</v>
      </c>
      <c r="J95" s="100">
        <v>0.36</v>
      </c>
      <c r="K95" s="100">
        <v>106.95</v>
      </c>
      <c r="L95" s="100">
        <v>30.59</v>
      </c>
      <c r="M95" s="100">
        <v>41.78</v>
      </c>
      <c r="N95" s="100">
        <v>0</v>
      </c>
      <c r="O95" s="100">
        <v>0</v>
      </c>
      <c r="P95" s="100">
        <v>0.47</v>
      </c>
      <c r="Q95" s="100">
        <v>4.83</v>
      </c>
    </row>
    <row r="96" spans="1:17" customFormat="1">
      <c r="A96" s="100" t="s">
        <v>2053</v>
      </c>
      <c r="B96" s="100">
        <v>7.9</v>
      </c>
      <c r="C96" s="100">
        <v>52.18</v>
      </c>
      <c r="D96" s="100">
        <v>32.549999999999997</v>
      </c>
      <c r="E96" s="100">
        <v>7.98</v>
      </c>
      <c r="F96" s="100">
        <v>22.17</v>
      </c>
      <c r="G96" s="100">
        <v>40.549999999999997</v>
      </c>
      <c r="H96" s="100">
        <v>10.42</v>
      </c>
      <c r="I96" s="100">
        <v>5.08</v>
      </c>
      <c r="J96" s="100">
        <v>0.34</v>
      </c>
      <c r="K96" s="100">
        <v>121.65</v>
      </c>
      <c r="L96" s="100">
        <v>30.49</v>
      </c>
      <c r="M96" s="100">
        <v>42.52</v>
      </c>
      <c r="N96" s="100">
        <v>0</v>
      </c>
      <c r="O96" s="100">
        <v>0</v>
      </c>
      <c r="P96" s="100">
        <v>0.46</v>
      </c>
      <c r="Q96" s="100">
        <v>4.88</v>
      </c>
    </row>
    <row r="97" spans="1:22" customFormat="1">
      <c r="A97" s="100" t="s">
        <v>2054</v>
      </c>
      <c r="B97" s="100">
        <v>7.56</v>
      </c>
      <c r="C97" s="100">
        <v>51.16</v>
      </c>
      <c r="D97" s="100">
        <v>31.75</v>
      </c>
      <c r="E97" s="100">
        <v>8.19</v>
      </c>
      <c r="F97" s="100">
        <v>19.239999999999998</v>
      </c>
      <c r="G97" s="100">
        <v>35.630000000000003</v>
      </c>
      <c r="H97" s="100">
        <v>13.11</v>
      </c>
      <c r="I97" s="100">
        <v>5.0999999999999996</v>
      </c>
      <c r="J97" s="100">
        <v>0.26</v>
      </c>
      <c r="K97" s="100">
        <v>98.78</v>
      </c>
      <c r="L97" s="100">
        <v>30.29</v>
      </c>
      <c r="M97" s="100">
        <v>43.79</v>
      </c>
      <c r="N97" s="100">
        <v>0</v>
      </c>
      <c r="O97" s="100">
        <v>0</v>
      </c>
      <c r="P97" s="100">
        <v>0.45</v>
      </c>
      <c r="Q97" s="100">
        <v>4.78</v>
      </c>
    </row>
    <row r="98" spans="1:22" customFormat="1">
      <c r="A98" s="100" t="s">
        <v>2055</v>
      </c>
      <c r="B98" s="100">
        <v>7.56</v>
      </c>
      <c r="C98" s="100">
        <v>50.12</v>
      </c>
      <c r="D98" s="100">
        <v>31.21</v>
      </c>
      <c r="E98" s="100">
        <v>7.44</v>
      </c>
      <c r="F98" s="100">
        <v>19.510000000000002</v>
      </c>
      <c r="G98" s="100">
        <v>35.4</v>
      </c>
      <c r="H98" s="100">
        <v>13.11</v>
      </c>
      <c r="I98" s="100">
        <v>4.75</v>
      </c>
      <c r="J98" s="100">
        <v>0.14000000000000001</v>
      </c>
      <c r="K98" s="100">
        <v>102.24</v>
      </c>
      <c r="L98" s="100">
        <v>29.96</v>
      </c>
      <c r="M98" s="100">
        <v>45.93</v>
      </c>
      <c r="N98" s="100">
        <v>0</v>
      </c>
      <c r="O98" s="100">
        <v>0</v>
      </c>
      <c r="P98" s="100">
        <v>0.44</v>
      </c>
      <c r="Q98" s="100">
        <v>4.8</v>
      </c>
    </row>
    <row r="99" spans="1:22" customFormat="1">
      <c r="A99" s="100" t="s">
        <v>2056</v>
      </c>
      <c r="B99" s="100">
        <v>6.98</v>
      </c>
      <c r="C99" s="100">
        <v>52.99</v>
      </c>
      <c r="D99" s="100">
        <v>32.24</v>
      </c>
      <c r="E99" s="100">
        <v>7.18</v>
      </c>
      <c r="F99" s="100">
        <v>18.47</v>
      </c>
      <c r="G99" s="100">
        <v>35.4</v>
      </c>
      <c r="H99" s="100">
        <v>13.11</v>
      </c>
      <c r="I99" s="100">
        <v>4.47</v>
      </c>
      <c r="J99" s="100">
        <v>0.12</v>
      </c>
      <c r="K99" s="100">
        <v>144.26</v>
      </c>
      <c r="L99" s="100">
        <v>29.83</v>
      </c>
      <c r="M99" s="100">
        <v>46.93</v>
      </c>
      <c r="N99" s="100">
        <v>0</v>
      </c>
      <c r="O99" s="100">
        <v>0</v>
      </c>
      <c r="P99" s="100">
        <v>0.44</v>
      </c>
      <c r="Q99" s="100">
        <v>4.79</v>
      </c>
    </row>
    <row r="100" spans="1:22" customFormat="1">
      <c r="A100" s="100" t="s">
        <v>2057</v>
      </c>
      <c r="B100" s="100">
        <v>8.07</v>
      </c>
      <c r="C100" s="100">
        <v>50.95</v>
      </c>
      <c r="D100" s="100">
        <v>32.049999999999997</v>
      </c>
      <c r="E100" s="100">
        <v>6.21</v>
      </c>
      <c r="F100" s="100">
        <v>16.079999999999998</v>
      </c>
      <c r="G100" s="100">
        <v>35.4</v>
      </c>
      <c r="H100" s="100">
        <v>13.11</v>
      </c>
      <c r="I100" s="100">
        <v>4.54</v>
      </c>
      <c r="J100" s="100">
        <v>0.08</v>
      </c>
      <c r="K100" s="100">
        <v>143.15</v>
      </c>
      <c r="L100" s="100">
        <v>29.71</v>
      </c>
      <c r="M100" s="100">
        <v>47.59</v>
      </c>
      <c r="N100" s="100">
        <v>0</v>
      </c>
      <c r="O100" s="100">
        <v>0</v>
      </c>
      <c r="P100" s="100">
        <v>0.43</v>
      </c>
      <c r="Q100" s="100">
        <v>4.78</v>
      </c>
    </row>
    <row r="101" spans="1:22" customFormat="1">
      <c r="A101" s="100" t="s">
        <v>2058</v>
      </c>
      <c r="B101" s="100">
        <v>8.26</v>
      </c>
      <c r="C101" s="100">
        <v>51.2</v>
      </c>
      <c r="D101" s="100">
        <v>32.33</v>
      </c>
      <c r="E101" s="100">
        <v>6.33</v>
      </c>
      <c r="F101" s="100">
        <v>16.23</v>
      </c>
      <c r="G101" s="100">
        <v>32.840000000000003</v>
      </c>
      <c r="H101" s="100">
        <v>13.35</v>
      </c>
      <c r="I101" s="100">
        <v>4.54</v>
      </c>
      <c r="J101" s="100">
        <v>0.15</v>
      </c>
      <c r="K101" s="100">
        <v>146.69999999999999</v>
      </c>
      <c r="L101" s="100">
        <v>29.6</v>
      </c>
      <c r="M101" s="100">
        <v>48.72</v>
      </c>
      <c r="N101" s="100">
        <v>0</v>
      </c>
      <c r="O101" s="100">
        <v>0</v>
      </c>
      <c r="P101" s="100">
        <v>0.43</v>
      </c>
      <c r="Q101" s="100">
        <v>4.83</v>
      </c>
    </row>
    <row r="102" spans="1:22" customFormat="1">
      <c r="A102" s="100" t="s">
        <v>2059</v>
      </c>
      <c r="B102" s="100">
        <v>8.67</v>
      </c>
      <c r="C102" s="100">
        <v>49.21</v>
      </c>
      <c r="D102" s="100">
        <v>31.62</v>
      </c>
      <c r="E102" s="100">
        <v>6.5</v>
      </c>
      <c r="F102" s="100">
        <v>13.72</v>
      </c>
      <c r="G102" s="100">
        <v>32.75</v>
      </c>
      <c r="H102" s="100">
        <v>13.35</v>
      </c>
      <c r="I102" s="100">
        <v>4.3499999999999996</v>
      </c>
      <c r="J102" s="100">
        <v>0.11</v>
      </c>
      <c r="K102" s="100">
        <v>212.09</v>
      </c>
      <c r="L102" s="100">
        <v>29.6</v>
      </c>
      <c r="M102" s="100">
        <v>49</v>
      </c>
      <c r="N102" s="100">
        <v>0</v>
      </c>
      <c r="O102" s="100">
        <v>0</v>
      </c>
      <c r="P102" s="100">
        <v>0.43</v>
      </c>
      <c r="Q102" s="100">
        <v>4.8099999999999996</v>
      </c>
    </row>
    <row r="103" spans="1:22" customFormat="1">
      <c r="A103" s="100" t="s">
        <v>2060</v>
      </c>
      <c r="B103" s="100">
        <v>8.48</v>
      </c>
      <c r="C103" s="100">
        <v>51.36</v>
      </c>
      <c r="D103" s="100">
        <v>32.590000000000003</v>
      </c>
      <c r="E103" s="100">
        <v>6.55</v>
      </c>
      <c r="F103" s="100">
        <v>15.1</v>
      </c>
      <c r="G103" s="100">
        <v>32.75</v>
      </c>
      <c r="H103" s="100">
        <v>13.35</v>
      </c>
      <c r="I103" s="100">
        <v>4.24</v>
      </c>
      <c r="J103" s="100">
        <v>0.18</v>
      </c>
      <c r="K103" s="100">
        <v>255.37</v>
      </c>
      <c r="L103" s="100">
        <v>29.48</v>
      </c>
      <c r="M103" s="100">
        <v>49.34</v>
      </c>
      <c r="N103" s="100">
        <v>0</v>
      </c>
      <c r="O103" s="100">
        <v>0</v>
      </c>
      <c r="P103" s="100">
        <v>0.42</v>
      </c>
      <c r="Q103" s="100">
        <v>4.84</v>
      </c>
    </row>
    <row r="104" spans="1:22" customFormat="1">
      <c r="A104" s="100" t="s">
        <v>2061</v>
      </c>
      <c r="B104" s="100">
        <v>8.8800000000000008</v>
      </c>
      <c r="C104" s="100">
        <v>50.28</v>
      </c>
      <c r="D104" s="100">
        <v>32.340000000000003</v>
      </c>
      <c r="E104" s="100">
        <v>6.27</v>
      </c>
      <c r="F104" s="100">
        <v>14.72</v>
      </c>
      <c r="G104" s="100">
        <v>32.75</v>
      </c>
      <c r="H104" s="100">
        <v>13.35</v>
      </c>
      <c r="I104" s="100">
        <v>4.26</v>
      </c>
      <c r="J104" s="100">
        <v>0.22</v>
      </c>
      <c r="K104" s="100">
        <v>253.82</v>
      </c>
      <c r="L104" s="100">
        <v>29.43</v>
      </c>
      <c r="M104" s="100">
        <v>49.09</v>
      </c>
      <c r="N104" s="100">
        <v>0</v>
      </c>
      <c r="O104" s="100">
        <v>0</v>
      </c>
      <c r="P104" s="100">
        <v>0.42</v>
      </c>
      <c r="Q104" s="100">
        <v>4.83</v>
      </c>
    </row>
    <row r="106" spans="1:22">
      <c r="A106" s="157" t="s">
        <v>48</v>
      </c>
      <c r="B106" s="158">
        <f>MIN(B9:B104)</f>
        <v>4.21</v>
      </c>
      <c r="C106" s="158">
        <f>MIN(C9:C104)</f>
        <v>41.08</v>
      </c>
      <c r="D106" s="158">
        <f t="shared" ref="D106:Q106" si="0">MIN(D9:D104)</f>
        <v>24.28</v>
      </c>
      <c r="E106" s="158">
        <f t="shared" si="0"/>
        <v>6.21</v>
      </c>
      <c r="F106" s="158">
        <f t="shared" si="0"/>
        <v>4.1500000000000004</v>
      </c>
      <c r="G106" s="158">
        <f t="shared" si="0"/>
        <v>32.75</v>
      </c>
      <c r="H106" s="158">
        <f t="shared" si="0"/>
        <v>10.42</v>
      </c>
      <c r="I106" s="158">
        <f t="shared" si="0"/>
        <v>4.24</v>
      </c>
      <c r="J106" s="158">
        <f t="shared" si="0"/>
        <v>0.08</v>
      </c>
      <c r="K106" s="158">
        <f t="shared" si="0"/>
        <v>5.46</v>
      </c>
      <c r="L106" s="158">
        <f t="shared" si="0"/>
        <v>26.63</v>
      </c>
      <c r="M106" s="158">
        <f t="shared" si="0"/>
        <v>19.91</v>
      </c>
      <c r="N106" s="158">
        <f t="shared" si="0"/>
        <v>0</v>
      </c>
      <c r="O106" s="158">
        <f t="shared" si="0"/>
        <v>0</v>
      </c>
      <c r="P106" s="158">
        <f t="shared" si="0"/>
        <v>0.42</v>
      </c>
      <c r="Q106" s="158">
        <f t="shared" si="0"/>
        <v>4.5999999999999996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31.87</v>
      </c>
      <c r="C107" s="157">
        <f t="shared" ref="C107:Q107" si="1">MAX(C9:C104)</f>
        <v>61.48</v>
      </c>
      <c r="D107" s="157">
        <f t="shared" si="1"/>
        <v>55.65</v>
      </c>
      <c r="E107" s="157">
        <f t="shared" si="1"/>
        <v>17.079999999999998</v>
      </c>
      <c r="F107" s="157">
        <f t="shared" si="1"/>
        <v>50.24</v>
      </c>
      <c r="G107" s="157">
        <f t="shared" si="1"/>
        <v>63.78</v>
      </c>
      <c r="H107" s="157">
        <f t="shared" si="1"/>
        <v>21.68</v>
      </c>
      <c r="I107" s="157">
        <f t="shared" si="1"/>
        <v>15.14</v>
      </c>
      <c r="J107" s="157">
        <f t="shared" si="1"/>
        <v>1.41</v>
      </c>
      <c r="K107" s="157">
        <f t="shared" si="1"/>
        <v>308.58999999999997</v>
      </c>
      <c r="L107" s="157">
        <f t="shared" si="1"/>
        <v>41.85</v>
      </c>
      <c r="M107" s="157">
        <f t="shared" si="1"/>
        <v>63.53</v>
      </c>
      <c r="N107" s="157">
        <f t="shared" si="1"/>
        <v>800.2</v>
      </c>
      <c r="O107" s="157">
        <f t="shared" si="1"/>
        <v>0</v>
      </c>
      <c r="P107" s="157">
        <f t="shared" si="1"/>
        <v>1.08</v>
      </c>
      <c r="Q107" s="157">
        <f t="shared" si="1"/>
        <v>5.69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11.348645833333331</v>
      </c>
      <c r="C108" s="158">
        <f t="shared" ref="C108:Q108" si="2">AVERAGE(C9:C104)</f>
        <v>51.880625000000009</v>
      </c>
      <c r="D108" s="158">
        <f t="shared" si="2"/>
        <v>35.161770833333343</v>
      </c>
      <c r="E108" s="158">
        <f t="shared" si="2"/>
        <v>8.7340625000000021</v>
      </c>
      <c r="F108" s="158">
        <f t="shared" si="2"/>
        <v>20.151250000000001</v>
      </c>
      <c r="G108" s="158">
        <f t="shared" si="2"/>
        <v>53.644062500000011</v>
      </c>
      <c r="H108" s="158">
        <f t="shared" si="2"/>
        <v>16.75749999999999</v>
      </c>
      <c r="I108" s="158">
        <f t="shared" si="2"/>
        <v>8.5069791666666656</v>
      </c>
      <c r="J108" s="158">
        <f t="shared" si="2"/>
        <v>0.45218750000000013</v>
      </c>
      <c r="K108" s="158">
        <f t="shared" si="2"/>
        <v>191.22635416666665</v>
      </c>
      <c r="L108" s="158">
        <f t="shared" si="2"/>
        <v>33.153958333333328</v>
      </c>
      <c r="M108" s="158">
        <f t="shared" si="2"/>
        <v>42.466249999999995</v>
      </c>
      <c r="N108" s="158">
        <f t="shared" si="2"/>
        <v>147.45624999999998</v>
      </c>
      <c r="O108" s="158">
        <f t="shared" si="2"/>
        <v>0</v>
      </c>
      <c r="P108" s="158">
        <f t="shared" si="2"/>
        <v>0.69364583333333352</v>
      </c>
      <c r="Q108" s="158">
        <f t="shared" si="2"/>
        <v>5.0132291666666644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6.3804310396863553</v>
      </c>
      <c r="C109" s="158">
        <f t="shared" ref="C109:Q109" si="3">STDEV(C9:C104)</f>
        <v>4.1387485554528629</v>
      </c>
      <c r="D109" s="158">
        <f t="shared" si="3"/>
        <v>6.773733634964958</v>
      </c>
      <c r="E109" s="158">
        <f t="shared" si="3"/>
        <v>1.7448876170265497</v>
      </c>
      <c r="F109" s="158">
        <f t="shared" si="3"/>
        <v>11.688863908596257</v>
      </c>
      <c r="G109" s="158">
        <f t="shared" si="3"/>
        <v>9.355314681829304</v>
      </c>
      <c r="H109" s="158">
        <f t="shared" si="3"/>
        <v>3.2633250721182998</v>
      </c>
      <c r="I109" s="158">
        <f t="shared" si="3"/>
        <v>3.3242313301579243</v>
      </c>
      <c r="J109" s="158">
        <f t="shared" si="3"/>
        <v>0.36099629134995381</v>
      </c>
      <c r="K109" s="158">
        <f t="shared" si="3"/>
        <v>74.469399524337234</v>
      </c>
      <c r="L109" s="158">
        <f t="shared" si="3"/>
        <v>4.6171612329306591</v>
      </c>
      <c r="M109" s="158">
        <f t="shared" si="3"/>
        <v>12.232476725590132</v>
      </c>
      <c r="N109" s="158">
        <f t="shared" si="3"/>
        <v>239.1013534543128</v>
      </c>
      <c r="O109" s="158">
        <f t="shared" si="3"/>
        <v>0</v>
      </c>
      <c r="P109" s="158">
        <f t="shared" si="3"/>
        <v>0.21386724751911745</v>
      </c>
      <c r="Q109" s="158">
        <f t="shared" si="3"/>
        <v>0.30756940095449808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20/05/2023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2062</v>
      </c>
      <c r="B9" s="100">
        <v>8.07</v>
      </c>
      <c r="C9" s="100">
        <v>49.72</v>
      </c>
      <c r="D9" s="100">
        <v>31.4</v>
      </c>
      <c r="E9" s="100">
        <v>5.93</v>
      </c>
      <c r="F9" s="100">
        <v>16.690000000000001</v>
      </c>
      <c r="G9" s="100">
        <v>28.06</v>
      </c>
      <c r="H9" s="100">
        <v>10.81</v>
      </c>
      <c r="I9" s="100">
        <v>4.32</v>
      </c>
      <c r="J9" s="100">
        <v>0.19</v>
      </c>
      <c r="K9" s="100">
        <v>262.32</v>
      </c>
      <c r="L9" s="100">
        <v>29.3</v>
      </c>
      <c r="M9" s="100">
        <v>49.15</v>
      </c>
      <c r="N9" s="100">
        <v>0</v>
      </c>
      <c r="O9" s="100">
        <v>0</v>
      </c>
      <c r="P9" s="100">
        <v>0.4</v>
      </c>
      <c r="Q9" s="100">
        <v>4.82</v>
      </c>
    </row>
    <row r="10" spans="1:21" customFormat="1">
      <c r="A10" s="100" t="s">
        <v>2063</v>
      </c>
      <c r="B10" s="100">
        <v>8.7200000000000006</v>
      </c>
      <c r="C10" s="100">
        <v>51.73</v>
      </c>
      <c r="D10" s="100">
        <v>32.97</v>
      </c>
      <c r="E10" s="100">
        <v>5.99</v>
      </c>
      <c r="F10" s="100">
        <v>12.43</v>
      </c>
      <c r="G10" s="100">
        <v>27.84</v>
      </c>
      <c r="H10" s="100">
        <v>10.81</v>
      </c>
      <c r="I10" s="100">
        <v>4.2699999999999996</v>
      </c>
      <c r="J10" s="100">
        <v>0.33</v>
      </c>
      <c r="K10" s="100">
        <v>250.55</v>
      </c>
      <c r="L10" s="100">
        <v>29.24</v>
      </c>
      <c r="M10" s="100">
        <v>49.5</v>
      </c>
      <c r="N10" s="100">
        <v>0</v>
      </c>
      <c r="O10" s="100">
        <v>0</v>
      </c>
      <c r="P10" s="100">
        <v>0.41</v>
      </c>
      <c r="Q10" s="100">
        <v>4.8</v>
      </c>
    </row>
    <row r="11" spans="1:21" customFormat="1">
      <c r="A11" s="100" t="s">
        <v>2064</v>
      </c>
      <c r="B11" s="100">
        <v>9.33</v>
      </c>
      <c r="C11" s="100">
        <v>52.6</v>
      </c>
      <c r="D11" s="100">
        <v>33.92</v>
      </c>
      <c r="E11" s="100">
        <v>6.3</v>
      </c>
      <c r="F11" s="100">
        <v>10.94</v>
      </c>
      <c r="G11" s="100">
        <v>27.84</v>
      </c>
      <c r="H11" s="100">
        <v>10.81</v>
      </c>
      <c r="I11" s="100">
        <v>4.24</v>
      </c>
      <c r="J11" s="100">
        <v>0.55000000000000004</v>
      </c>
      <c r="K11" s="100">
        <v>258.35000000000002</v>
      </c>
      <c r="L11" s="100">
        <v>29.03</v>
      </c>
      <c r="M11" s="100">
        <v>50.3</v>
      </c>
      <c r="N11" s="100">
        <v>0</v>
      </c>
      <c r="O11" s="100">
        <v>0</v>
      </c>
      <c r="P11" s="100">
        <v>0.41</v>
      </c>
      <c r="Q11" s="100">
        <v>4.8</v>
      </c>
    </row>
    <row r="12" spans="1:21" customFormat="1">
      <c r="A12" s="100" t="s">
        <v>2065</v>
      </c>
      <c r="B12" s="100">
        <v>9.1300000000000008</v>
      </c>
      <c r="C12" s="100">
        <v>50.47</v>
      </c>
      <c r="D12" s="100">
        <v>32.64</v>
      </c>
      <c r="E12" s="100">
        <v>6.52</v>
      </c>
      <c r="F12" s="100">
        <v>13.57</v>
      </c>
      <c r="G12" s="100">
        <v>27.84</v>
      </c>
      <c r="H12" s="100">
        <v>10.81</v>
      </c>
      <c r="I12" s="100">
        <v>4.25</v>
      </c>
      <c r="J12" s="100">
        <v>0.24</v>
      </c>
      <c r="K12" s="100">
        <v>223.33</v>
      </c>
      <c r="L12" s="100">
        <v>28.78</v>
      </c>
      <c r="M12" s="100">
        <v>51.64</v>
      </c>
      <c r="N12" s="100">
        <v>0</v>
      </c>
      <c r="O12" s="100">
        <v>0</v>
      </c>
      <c r="P12" s="100">
        <v>0.41</v>
      </c>
      <c r="Q12" s="100">
        <v>4.8099999999999996</v>
      </c>
    </row>
    <row r="13" spans="1:21" customFormat="1">
      <c r="A13" s="100" t="s">
        <v>2066</v>
      </c>
      <c r="B13" s="100">
        <v>9.24</v>
      </c>
      <c r="C13" s="100">
        <v>51.24</v>
      </c>
      <c r="D13" s="100">
        <v>33.130000000000003</v>
      </c>
      <c r="E13" s="100">
        <v>5.8</v>
      </c>
      <c r="F13" s="100">
        <v>12.02</v>
      </c>
      <c r="G13" s="100">
        <v>23.92</v>
      </c>
      <c r="H13" s="100">
        <v>7.85</v>
      </c>
      <c r="I13" s="100">
        <v>4.25</v>
      </c>
      <c r="J13" s="100">
        <v>0.43</v>
      </c>
      <c r="K13" s="100">
        <v>258.20999999999998</v>
      </c>
      <c r="L13" s="100">
        <v>28.52</v>
      </c>
      <c r="M13" s="100">
        <v>51.73</v>
      </c>
      <c r="N13" s="100">
        <v>0</v>
      </c>
      <c r="O13" s="100">
        <v>0</v>
      </c>
      <c r="P13" s="100">
        <v>0.41</v>
      </c>
      <c r="Q13" s="100">
        <v>4.82</v>
      </c>
    </row>
    <row r="14" spans="1:21" customFormat="1">
      <c r="A14" s="100" t="s">
        <v>2067</v>
      </c>
      <c r="B14" s="100">
        <v>10.26</v>
      </c>
      <c r="C14" s="100">
        <v>54.17</v>
      </c>
      <c r="D14" s="100">
        <v>35.479999999999997</v>
      </c>
      <c r="E14" s="100">
        <v>5.83</v>
      </c>
      <c r="F14" s="100">
        <v>8.31</v>
      </c>
      <c r="G14" s="100">
        <v>23.78</v>
      </c>
      <c r="H14" s="100">
        <v>7.85</v>
      </c>
      <c r="I14" s="100">
        <v>4.1500000000000004</v>
      </c>
      <c r="J14" s="100">
        <v>0.35</v>
      </c>
      <c r="K14" s="100">
        <v>221.88</v>
      </c>
      <c r="L14" s="100">
        <v>28.5</v>
      </c>
      <c r="M14" s="100">
        <v>53.6</v>
      </c>
      <c r="N14" s="100">
        <v>0</v>
      </c>
      <c r="O14" s="100">
        <v>0</v>
      </c>
      <c r="P14" s="100">
        <v>0.41</v>
      </c>
      <c r="Q14" s="100">
        <v>4.8099999999999996</v>
      </c>
    </row>
    <row r="15" spans="1:21" customFormat="1">
      <c r="A15" s="100" t="s">
        <v>2068</v>
      </c>
      <c r="B15" s="100">
        <v>10.64</v>
      </c>
      <c r="C15" s="100">
        <v>56.34</v>
      </c>
      <c r="D15" s="100">
        <v>36.92</v>
      </c>
      <c r="E15" s="100">
        <v>6.1</v>
      </c>
      <c r="F15" s="100">
        <v>8.5</v>
      </c>
      <c r="G15" s="100">
        <v>23.78</v>
      </c>
      <c r="H15" s="100">
        <v>7.85</v>
      </c>
      <c r="I15" s="100">
        <v>4.12</v>
      </c>
      <c r="J15" s="100">
        <v>0.78</v>
      </c>
      <c r="K15" s="100">
        <v>42.06</v>
      </c>
      <c r="L15" s="100">
        <v>26.51</v>
      </c>
      <c r="M15" s="100">
        <v>69.02</v>
      </c>
      <c r="N15" s="100">
        <v>0</v>
      </c>
      <c r="O15" s="100">
        <v>0</v>
      </c>
      <c r="P15" s="100">
        <v>0.41</v>
      </c>
      <c r="Q15" s="100">
        <v>4.8099999999999996</v>
      </c>
    </row>
    <row r="16" spans="1:21" customFormat="1">
      <c r="A16" s="100" t="s">
        <v>2069</v>
      </c>
      <c r="B16" s="100">
        <v>10.74</v>
      </c>
      <c r="C16" s="100">
        <v>53.78</v>
      </c>
      <c r="D16" s="100">
        <v>35.659999999999997</v>
      </c>
      <c r="E16" s="100">
        <v>6.34</v>
      </c>
      <c r="F16" s="100">
        <v>11.9</v>
      </c>
      <c r="G16" s="100">
        <v>23.78</v>
      </c>
      <c r="H16" s="100">
        <v>7.85</v>
      </c>
      <c r="I16" s="100">
        <v>4.28</v>
      </c>
      <c r="J16" s="100">
        <v>1</v>
      </c>
      <c r="K16" s="100">
        <v>39.82</v>
      </c>
      <c r="L16" s="100">
        <v>28.05</v>
      </c>
      <c r="M16" s="100">
        <v>46.81</v>
      </c>
      <c r="N16" s="100">
        <v>0</v>
      </c>
      <c r="O16" s="100">
        <v>0</v>
      </c>
      <c r="P16" s="100">
        <v>0.39</v>
      </c>
      <c r="Q16" s="100">
        <v>4.83</v>
      </c>
    </row>
    <row r="17" spans="1:17" customFormat="1">
      <c r="A17" s="100" t="s">
        <v>2070</v>
      </c>
      <c r="B17" s="100">
        <v>9.85</v>
      </c>
      <c r="C17" s="100">
        <v>52.55</v>
      </c>
      <c r="D17" s="100">
        <v>34.31</v>
      </c>
      <c r="E17" s="100">
        <v>4.6500000000000004</v>
      </c>
      <c r="F17" s="100">
        <v>11.04</v>
      </c>
      <c r="G17" s="100">
        <v>24.75</v>
      </c>
      <c r="H17" s="100">
        <v>6.94</v>
      </c>
      <c r="I17" s="100">
        <v>4.21</v>
      </c>
      <c r="J17" s="100">
        <v>0.47</v>
      </c>
      <c r="K17" s="100">
        <v>175.87</v>
      </c>
      <c r="L17" s="100">
        <v>27.97</v>
      </c>
      <c r="M17" s="100">
        <v>52.01</v>
      </c>
      <c r="N17" s="100">
        <v>0</v>
      </c>
      <c r="O17" s="100">
        <v>0</v>
      </c>
      <c r="P17" s="100">
        <v>0.39</v>
      </c>
      <c r="Q17" s="100">
        <v>4.8499999999999996</v>
      </c>
    </row>
    <row r="18" spans="1:17" customFormat="1">
      <c r="A18" s="100" t="s">
        <v>2071</v>
      </c>
      <c r="B18" s="100">
        <v>10.24</v>
      </c>
      <c r="C18" s="100">
        <v>56.67</v>
      </c>
      <c r="D18" s="100">
        <v>36.78</v>
      </c>
      <c r="E18" s="100">
        <v>5.39</v>
      </c>
      <c r="F18" s="100">
        <v>7.71</v>
      </c>
      <c r="G18" s="100">
        <v>24.79</v>
      </c>
      <c r="H18" s="100">
        <v>6.94</v>
      </c>
      <c r="I18" s="100">
        <v>4.04</v>
      </c>
      <c r="J18" s="100">
        <v>0.41</v>
      </c>
      <c r="K18" s="100">
        <v>236.48</v>
      </c>
      <c r="L18" s="100">
        <v>27.83</v>
      </c>
      <c r="M18" s="100">
        <v>54.98</v>
      </c>
      <c r="N18" s="100">
        <v>0</v>
      </c>
      <c r="O18" s="100">
        <v>0</v>
      </c>
      <c r="P18" s="100">
        <v>0.39</v>
      </c>
      <c r="Q18" s="100">
        <v>4.84</v>
      </c>
    </row>
    <row r="19" spans="1:17" customFormat="1">
      <c r="A19" s="100" t="s">
        <v>2072</v>
      </c>
      <c r="B19" s="100">
        <v>10.25</v>
      </c>
      <c r="C19" s="100">
        <v>57.26</v>
      </c>
      <c r="D19" s="100">
        <v>37.090000000000003</v>
      </c>
      <c r="E19" s="100">
        <v>5.37</v>
      </c>
      <c r="F19" s="100">
        <v>10.210000000000001</v>
      </c>
      <c r="G19" s="100">
        <v>24.79</v>
      </c>
      <c r="H19" s="100">
        <v>6.94</v>
      </c>
      <c r="I19" s="100">
        <v>3.98</v>
      </c>
      <c r="J19" s="100">
        <v>0.55000000000000004</v>
      </c>
      <c r="K19" s="100">
        <v>253.07</v>
      </c>
      <c r="L19" s="100">
        <v>27.72</v>
      </c>
      <c r="M19" s="100">
        <v>57.03</v>
      </c>
      <c r="N19" s="100">
        <v>0</v>
      </c>
      <c r="O19" s="100">
        <v>0</v>
      </c>
      <c r="P19" s="100">
        <v>0.38</v>
      </c>
      <c r="Q19" s="100">
        <v>4.87</v>
      </c>
    </row>
    <row r="20" spans="1:17" customFormat="1">
      <c r="A20" s="100" t="s">
        <v>2073</v>
      </c>
      <c r="B20" s="100">
        <v>10.57</v>
      </c>
      <c r="C20" s="100">
        <v>57.46</v>
      </c>
      <c r="D20" s="100">
        <v>37.450000000000003</v>
      </c>
      <c r="E20" s="100">
        <v>4.97</v>
      </c>
      <c r="F20" s="100">
        <v>8.3699999999999992</v>
      </c>
      <c r="G20" s="100">
        <v>24.79</v>
      </c>
      <c r="H20" s="100">
        <v>6.94</v>
      </c>
      <c r="I20" s="100">
        <v>4.04</v>
      </c>
      <c r="J20" s="100">
        <v>0.43</v>
      </c>
      <c r="K20" s="100">
        <v>239.11</v>
      </c>
      <c r="L20" s="100">
        <v>27.41</v>
      </c>
      <c r="M20" s="100">
        <v>60.89</v>
      </c>
      <c r="N20" s="100">
        <v>0</v>
      </c>
      <c r="O20" s="100">
        <v>0</v>
      </c>
      <c r="P20" s="100">
        <v>0.38</v>
      </c>
      <c r="Q20" s="100">
        <v>4.84</v>
      </c>
    </row>
    <row r="21" spans="1:17" customFormat="1">
      <c r="A21" s="100" t="s">
        <v>2074</v>
      </c>
      <c r="B21" s="100">
        <v>11.02</v>
      </c>
      <c r="C21" s="100">
        <v>57.93</v>
      </c>
      <c r="D21" s="100">
        <v>38.049999999999997</v>
      </c>
      <c r="E21" s="100">
        <v>5.53</v>
      </c>
      <c r="F21" s="100">
        <v>6.93</v>
      </c>
      <c r="G21" s="100">
        <v>23.26</v>
      </c>
      <c r="H21" s="100">
        <v>9.85</v>
      </c>
      <c r="I21" s="100">
        <v>4.01</v>
      </c>
      <c r="J21" s="100">
        <v>0.63</v>
      </c>
      <c r="K21" s="100">
        <v>248.38</v>
      </c>
      <c r="L21" s="100">
        <v>26.95</v>
      </c>
      <c r="M21" s="100">
        <v>63.74</v>
      </c>
      <c r="N21" s="100">
        <v>0</v>
      </c>
      <c r="O21" s="100">
        <v>0</v>
      </c>
      <c r="P21" s="100">
        <v>0.38</v>
      </c>
      <c r="Q21" s="100">
        <v>4.88</v>
      </c>
    </row>
    <row r="22" spans="1:17" customFormat="1">
      <c r="A22" s="100" t="s">
        <v>2075</v>
      </c>
      <c r="B22" s="100">
        <v>11.33</v>
      </c>
      <c r="C22" s="100">
        <v>58.84</v>
      </c>
      <c r="D22" s="100">
        <v>38.78</v>
      </c>
      <c r="E22" s="100">
        <v>4.9800000000000004</v>
      </c>
      <c r="F22" s="100">
        <v>6.33</v>
      </c>
      <c r="G22" s="100">
        <v>23.18</v>
      </c>
      <c r="H22" s="100">
        <v>9.85</v>
      </c>
      <c r="I22" s="100">
        <v>3.98</v>
      </c>
      <c r="J22" s="100">
        <v>0.45</v>
      </c>
      <c r="K22" s="100">
        <v>234.5</v>
      </c>
      <c r="L22" s="100">
        <v>26.51</v>
      </c>
      <c r="M22" s="100">
        <v>64.75</v>
      </c>
      <c r="N22" s="100">
        <v>0</v>
      </c>
      <c r="O22" s="100">
        <v>0</v>
      </c>
      <c r="P22" s="100">
        <v>0.38</v>
      </c>
      <c r="Q22" s="100">
        <v>4.88</v>
      </c>
    </row>
    <row r="23" spans="1:17" customFormat="1">
      <c r="A23" s="100" t="s">
        <v>2076</v>
      </c>
      <c r="B23" s="100">
        <v>11.74</v>
      </c>
      <c r="C23" s="100">
        <v>58.14</v>
      </c>
      <c r="D23" s="100">
        <v>38.74</v>
      </c>
      <c r="E23" s="100">
        <v>5.0599999999999996</v>
      </c>
      <c r="F23" s="100">
        <v>6.01</v>
      </c>
      <c r="G23" s="100">
        <v>23.18</v>
      </c>
      <c r="H23" s="100">
        <v>9.85</v>
      </c>
      <c r="I23" s="100">
        <v>4</v>
      </c>
      <c r="J23" s="100">
        <v>0.38</v>
      </c>
      <c r="K23" s="100">
        <v>236.71</v>
      </c>
      <c r="L23" s="100">
        <v>26.13</v>
      </c>
      <c r="M23" s="100">
        <v>66.47</v>
      </c>
      <c r="N23" s="100">
        <v>0</v>
      </c>
      <c r="O23" s="100">
        <v>0</v>
      </c>
      <c r="P23" s="100">
        <v>0.38</v>
      </c>
      <c r="Q23" s="100">
        <v>4.8899999999999997</v>
      </c>
    </row>
    <row r="24" spans="1:17" customFormat="1">
      <c r="A24" s="100" t="s">
        <v>2077</v>
      </c>
      <c r="B24" s="100">
        <v>12.15</v>
      </c>
      <c r="C24" s="100">
        <v>57.77</v>
      </c>
      <c r="D24" s="100">
        <v>38.880000000000003</v>
      </c>
      <c r="E24" s="100">
        <v>5.15</v>
      </c>
      <c r="F24" s="100">
        <v>5.9</v>
      </c>
      <c r="G24" s="100">
        <v>23.18</v>
      </c>
      <c r="H24" s="100">
        <v>9.85</v>
      </c>
      <c r="I24" s="100">
        <v>4</v>
      </c>
      <c r="J24" s="100">
        <v>0.39</v>
      </c>
      <c r="K24" s="100">
        <v>236.38</v>
      </c>
      <c r="L24" s="100">
        <v>26.06</v>
      </c>
      <c r="M24" s="100">
        <v>66.06</v>
      </c>
      <c r="N24" s="100">
        <v>0</v>
      </c>
      <c r="O24" s="100">
        <v>0</v>
      </c>
      <c r="P24" s="100">
        <v>0.38</v>
      </c>
      <c r="Q24" s="100">
        <v>4.9000000000000004</v>
      </c>
    </row>
    <row r="25" spans="1:17" customFormat="1">
      <c r="A25" s="100" t="s">
        <v>2078</v>
      </c>
      <c r="B25" s="100">
        <v>12.47</v>
      </c>
      <c r="C25" s="100">
        <v>57.68</v>
      </c>
      <c r="D25" s="100">
        <v>39.090000000000003</v>
      </c>
      <c r="E25" s="100">
        <v>5.3</v>
      </c>
      <c r="F25" s="100">
        <v>5.66</v>
      </c>
      <c r="G25" s="100">
        <v>20.46</v>
      </c>
      <c r="H25" s="100">
        <v>9.85</v>
      </c>
      <c r="I25" s="100">
        <v>3.97</v>
      </c>
      <c r="J25" s="100">
        <v>0.4</v>
      </c>
      <c r="K25" s="100">
        <v>230.52</v>
      </c>
      <c r="L25" s="100">
        <v>26.06</v>
      </c>
      <c r="M25" s="100">
        <v>65.94</v>
      </c>
      <c r="N25" s="100">
        <v>0</v>
      </c>
      <c r="O25" s="100">
        <v>0</v>
      </c>
      <c r="P25" s="100">
        <v>0.38</v>
      </c>
      <c r="Q25" s="100">
        <v>4.9400000000000004</v>
      </c>
    </row>
    <row r="26" spans="1:17" customFormat="1">
      <c r="A26" s="100" t="s">
        <v>2079</v>
      </c>
      <c r="B26" s="100">
        <v>12.99</v>
      </c>
      <c r="C26" s="100">
        <v>59.62</v>
      </c>
      <c r="D26" s="100">
        <v>40.520000000000003</v>
      </c>
      <c r="E26" s="100">
        <v>5.13</v>
      </c>
      <c r="F26" s="100">
        <v>4.58</v>
      </c>
      <c r="G26" s="100">
        <v>20.34</v>
      </c>
      <c r="H26" s="100">
        <v>9.85</v>
      </c>
      <c r="I26" s="100">
        <v>3.91</v>
      </c>
      <c r="J26" s="100">
        <v>0.32</v>
      </c>
      <c r="K26" s="100">
        <v>227.06</v>
      </c>
      <c r="L26" s="100">
        <v>25.82</v>
      </c>
      <c r="M26" s="100">
        <v>67.37</v>
      </c>
      <c r="N26" s="100">
        <v>0</v>
      </c>
      <c r="O26" s="100">
        <v>0</v>
      </c>
      <c r="P26" s="100">
        <v>0.37</v>
      </c>
      <c r="Q26" s="100">
        <v>4.93</v>
      </c>
    </row>
    <row r="27" spans="1:17" customFormat="1">
      <c r="A27" s="100" t="s">
        <v>2080</v>
      </c>
      <c r="B27" s="100">
        <v>13.44</v>
      </c>
      <c r="C27" s="100">
        <v>59.89</v>
      </c>
      <c r="D27" s="100">
        <v>41.02</v>
      </c>
      <c r="E27" s="100">
        <v>5.09</v>
      </c>
      <c r="F27" s="100">
        <v>4.3499999999999996</v>
      </c>
      <c r="G27" s="100">
        <v>20.34</v>
      </c>
      <c r="H27" s="100">
        <v>9.85</v>
      </c>
      <c r="I27" s="100">
        <v>3.9</v>
      </c>
      <c r="J27" s="100">
        <v>0.38</v>
      </c>
      <c r="K27" s="100">
        <v>219.89</v>
      </c>
      <c r="L27" s="100">
        <v>25.75</v>
      </c>
      <c r="M27" s="100">
        <v>66.930000000000007</v>
      </c>
      <c r="N27" s="100">
        <v>0</v>
      </c>
      <c r="O27" s="100">
        <v>0</v>
      </c>
      <c r="P27" s="100">
        <v>0.37</v>
      </c>
      <c r="Q27" s="100">
        <v>4.95</v>
      </c>
    </row>
    <row r="28" spans="1:17" customFormat="1">
      <c r="A28" s="100" t="s">
        <v>2081</v>
      </c>
      <c r="B28" s="100">
        <v>13.74</v>
      </c>
      <c r="C28" s="100">
        <v>59.94</v>
      </c>
      <c r="D28" s="100">
        <v>41.29</v>
      </c>
      <c r="E28" s="100">
        <v>4.68</v>
      </c>
      <c r="F28" s="100">
        <v>4.51</v>
      </c>
      <c r="G28" s="100">
        <v>20.34</v>
      </c>
      <c r="H28" s="100">
        <v>9.85</v>
      </c>
      <c r="I28" s="100">
        <v>3.92</v>
      </c>
      <c r="J28" s="100">
        <v>0.39</v>
      </c>
      <c r="K28" s="100">
        <v>222.18</v>
      </c>
      <c r="L28" s="100">
        <v>25.68</v>
      </c>
      <c r="M28" s="100">
        <v>67.06</v>
      </c>
      <c r="N28" s="100">
        <v>0</v>
      </c>
      <c r="O28" s="100">
        <v>0</v>
      </c>
      <c r="P28" s="100">
        <v>0.37</v>
      </c>
      <c r="Q28" s="100">
        <v>4.99</v>
      </c>
    </row>
    <row r="29" spans="1:17" customFormat="1">
      <c r="A29" s="100" t="s">
        <v>2082</v>
      </c>
      <c r="B29" s="100">
        <v>14.03</v>
      </c>
      <c r="C29" s="100">
        <v>59.41</v>
      </c>
      <c r="D29" s="100">
        <v>41.24</v>
      </c>
      <c r="E29" s="100">
        <v>4.58</v>
      </c>
      <c r="F29" s="100">
        <v>5.03</v>
      </c>
      <c r="G29" s="100">
        <v>18.48</v>
      </c>
      <c r="H29" s="100">
        <v>8.85</v>
      </c>
      <c r="I29" s="100">
        <v>3.89</v>
      </c>
      <c r="J29" s="100">
        <v>0.24</v>
      </c>
      <c r="K29" s="100">
        <v>219.98</v>
      </c>
      <c r="L29" s="100">
        <v>25.61</v>
      </c>
      <c r="M29" s="100">
        <v>66.930000000000007</v>
      </c>
      <c r="N29" s="100">
        <v>0</v>
      </c>
      <c r="O29" s="100">
        <v>0</v>
      </c>
      <c r="P29" s="100">
        <v>0.37</v>
      </c>
      <c r="Q29" s="100">
        <v>5.0199999999999996</v>
      </c>
    </row>
    <row r="30" spans="1:17" customFormat="1">
      <c r="A30" s="100" t="s">
        <v>2083</v>
      </c>
      <c r="B30" s="100">
        <v>14.61</v>
      </c>
      <c r="C30" s="100">
        <v>60.56</v>
      </c>
      <c r="D30" s="100">
        <v>42.31</v>
      </c>
      <c r="E30" s="100">
        <v>5.38</v>
      </c>
      <c r="F30" s="100">
        <v>4.47</v>
      </c>
      <c r="G30" s="100">
        <v>18.39</v>
      </c>
      <c r="H30" s="100">
        <v>8.85</v>
      </c>
      <c r="I30" s="100">
        <v>3.84</v>
      </c>
      <c r="J30" s="100">
        <v>0.39</v>
      </c>
      <c r="K30" s="100">
        <v>75.34</v>
      </c>
      <c r="L30" s="100">
        <v>25.4</v>
      </c>
      <c r="M30" s="100">
        <v>67.489999999999995</v>
      </c>
      <c r="N30" s="100">
        <v>0.9</v>
      </c>
      <c r="O30" s="100">
        <v>0</v>
      </c>
      <c r="P30" s="100">
        <v>0.36</v>
      </c>
      <c r="Q30" s="100">
        <v>5.04</v>
      </c>
    </row>
    <row r="31" spans="1:17" customFormat="1">
      <c r="A31" s="100" t="s">
        <v>2084</v>
      </c>
      <c r="B31" s="100">
        <v>15.56</v>
      </c>
      <c r="C31" s="100">
        <v>60.83</v>
      </c>
      <c r="D31" s="100">
        <v>43.21</v>
      </c>
      <c r="E31" s="100">
        <v>4.88</v>
      </c>
      <c r="F31" s="100">
        <v>3.97</v>
      </c>
      <c r="G31" s="100">
        <v>18.39</v>
      </c>
      <c r="H31" s="100">
        <v>8.85</v>
      </c>
      <c r="I31" s="100">
        <v>3.82</v>
      </c>
      <c r="J31" s="100">
        <v>0.24</v>
      </c>
      <c r="K31" s="100">
        <v>66.41</v>
      </c>
      <c r="L31" s="100">
        <v>25.57</v>
      </c>
      <c r="M31" s="100">
        <v>67.650000000000006</v>
      </c>
      <c r="N31" s="100">
        <v>9.8000000000000007</v>
      </c>
      <c r="O31" s="100">
        <v>0</v>
      </c>
      <c r="P31" s="100">
        <v>0.37</v>
      </c>
      <c r="Q31" s="100">
        <v>5.08</v>
      </c>
    </row>
    <row r="32" spans="1:17" customFormat="1">
      <c r="A32" s="100" t="s">
        <v>2085</v>
      </c>
      <c r="B32" s="100">
        <v>17.41</v>
      </c>
      <c r="C32" s="100">
        <v>60.93</v>
      </c>
      <c r="D32" s="100">
        <v>44.75</v>
      </c>
      <c r="E32" s="100">
        <v>4.84</v>
      </c>
      <c r="F32" s="100">
        <v>3.95</v>
      </c>
      <c r="G32" s="100">
        <v>18.39</v>
      </c>
      <c r="H32" s="100">
        <v>8.85</v>
      </c>
      <c r="I32" s="100">
        <v>3.83</v>
      </c>
      <c r="J32" s="100">
        <v>0.4</v>
      </c>
      <c r="K32" s="100">
        <v>66.16</v>
      </c>
      <c r="L32" s="100">
        <v>25.78</v>
      </c>
      <c r="M32" s="100">
        <v>67.39</v>
      </c>
      <c r="N32" s="100">
        <v>18.2</v>
      </c>
      <c r="O32" s="100">
        <v>0</v>
      </c>
      <c r="P32" s="100">
        <v>0.38</v>
      </c>
      <c r="Q32" s="100">
        <v>5.17</v>
      </c>
    </row>
    <row r="33" spans="1:17" customFormat="1">
      <c r="A33" s="100" t="s">
        <v>2086</v>
      </c>
      <c r="B33" s="100">
        <v>19.13</v>
      </c>
      <c r="C33" s="100">
        <v>61.22</v>
      </c>
      <c r="D33" s="100">
        <v>46.28</v>
      </c>
      <c r="E33" s="100">
        <v>4.6900000000000004</v>
      </c>
      <c r="F33" s="100">
        <v>4.07</v>
      </c>
      <c r="G33" s="100">
        <v>16.89</v>
      </c>
      <c r="H33" s="100">
        <v>7.18</v>
      </c>
      <c r="I33" s="100">
        <v>3.81</v>
      </c>
      <c r="J33" s="100">
        <v>0.24</v>
      </c>
      <c r="K33" s="100">
        <v>52.65</v>
      </c>
      <c r="L33" s="100">
        <v>26.15</v>
      </c>
      <c r="M33" s="100">
        <v>65.739999999999995</v>
      </c>
      <c r="N33" s="100">
        <v>31.2</v>
      </c>
      <c r="O33" s="100">
        <v>0</v>
      </c>
      <c r="P33" s="100">
        <v>0.38</v>
      </c>
      <c r="Q33" s="100">
        <v>5.26</v>
      </c>
    </row>
    <row r="34" spans="1:17" customFormat="1">
      <c r="A34" s="100" t="s">
        <v>2087</v>
      </c>
      <c r="B34" s="100">
        <v>19.899999999999999</v>
      </c>
      <c r="C34" s="100">
        <v>61.17</v>
      </c>
      <c r="D34" s="100">
        <v>46.87</v>
      </c>
      <c r="E34" s="100">
        <v>4.67</v>
      </c>
      <c r="F34" s="100">
        <v>4.3099999999999996</v>
      </c>
      <c r="G34" s="100">
        <v>16.82</v>
      </c>
      <c r="H34" s="100">
        <v>7.18</v>
      </c>
      <c r="I34" s="100">
        <v>3.82</v>
      </c>
      <c r="J34" s="100">
        <v>0.17</v>
      </c>
      <c r="K34" s="100">
        <v>179.49</v>
      </c>
      <c r="L34" s="100">
        <v>26.69</v>
      </c>
      <c r="M34" s="100">
        <v>63.39</v>
      </c>
      <c r="N34" s="100">
        <v>42.6</v>
      </c>
      <c r="O34" s="100">
        <v>0</v>
      </c>
      <c r="P34" s="100">
        <v>0.38</v>
      </c>
      <c r="Q34" s="100">
        <v>5.32</v>
      </c>
    </row>
    <row r="35" spans="1:17" customFormat="1">
      <c r="A35" s="100" t="s">
        <v>2088</v>
      </c>
      <c r="B35" s="100">
        <v>19.34</v>
      </c>
      <c r="C35" s="100">
        <v>59.02</v>
      </c>
      <c r="D35" s="100">
        <v>45.3</v>
      </c>
      <c r="E35" s="100">
        <v>4.5599999999999996</v>
      </c>
      <c r="F35" s="100">
        <v>6.07</v>
      </c>
      <c r="G35" s="100">
        <v>16.82</v>
      </c>
      <c r="H35" s="100">
        <v>7.18</v>
      </c>
      <c r="I35" s="100">
        <v>3.91</v>
      </c>
      <c r="J35" s="100">
        <v>0.15</v>
      </c>
      <c r="K35" s="100">
        <v>168.26</v>
      </c>
      <c r="L35" s="100">
        <v>27.22</v>
      </c>
      <c r="M35" s="100">
        <v>62.12</v>
      </c>
      <c r="N35" s="100">
        <v>55.5</v>
      </c>
      <c r="O35" s="100">
        <v>0</v>
      </c>
      <c r="P35" s="100">
        <v>0.38</v>
      </c>
      <c r="Q35" s="100">
        <v>5.35</v>
      </c>
    </row>
    <row r="36" spans="1:17" customFormat="1">
      <c r="A36" s="100" t="s">
        <v>2089</v>
      </c>
      <c r="B36" s="100">
        <v>19.28</v>
      </c>
      <c r="C36" s="100">
        <v>59.4</v>
      </c>
      <c r="D36" s="100">
        <v>45.45</v>
      </c>
      <c r="E36" s="100">
        <v>5.32</v>
      </c>
      <c r="F36" s="100">
        <v>6.26</v>
      </c>
      <c r="G36" s="100">
        <v>16.82</v>
      </c>
      <c r="H36" s="100">
        <v>7.18</v>
      </c>
      <c r="I36" s="100">
        <v>3.94</v>
      </c>
      <c r="J36" s="100">
        <v>7.0000000000000007E-2</v>
      </c>
      <c r="K36" s="100">
        <v>154.63</v>
      </c>
      <c r="L36" s="100">
        <v>28.28</v>
      </c>
      <c r="M36" s="100">
        <v>58.8</v>
      </c>
      <c r="N36" s="100">
        <v>65.2</v>
      </c>
      <c r="O36" s="100">
        <v>0</v>
      </c>
      <c r="P36" s="100">
        <v>0.38</v>
      </c>
      <c r="Q36" s="100">
        <v>5.37</v>
      </c>
    </row>
    <row r="37" spans="1:17" customFormat="1">
      <c r="A37" s="100" t="s">
        <v>2090</v>
      </c>
      <c r="B37" s="100">
        <v>19.809999999999999</v>
      </c>
      <c r="C37" s="100">
        <v>59.28</v>
      </c>
      <c r="D37" s="100">
        <v>45.82</v>
      </c>
      <c r="E37" s="100">
        <v>4.51</v>
      </c>
      <c r="F37" s="100">
        <v>5.68</v>
      </c>
      <c r="G37" s="100">
        <v>18.77</v>
      </c>
      <c r="H37" s="100">
        <v>11.14</v>
      </c>
      <c r="I37" s="100">
        <v>3.9</v>
      </c>
      <c r="J37" s="100">
        <v>0.08</v>
      </c>
      <c r="K37" s="100">
        <v>163.59</v>
      </c>
      <c r="L37" s="100">
        <v>29.27</v>
      </c>
      <c r="M37" s="100">
        <v>53.99</v>
      </c>
      <c r="N37" s="100">
        <v>73.2</v>
      </c>
      <c r="O37" s="100">
        <v>0</v>
      </c>
      <c r="P37" s="100">
        <v>0.39</v>
      </c>
      <c r="Q37" s="100">
        <v>5.36</v>
      </c>
    </row>
    <row r="38" spans="1:17" customFormat="1">
      <c r="A38" s="100" t="s">
        <v>2091</v>
      </c>
      <c r="B38" s="100">
        <v>20.41</v>
      </c>
      <c r="C38" s="100">
        <v>60.6</v>
      </c>
      <c r="D38" s="100">
        <v>46.98</v>
      </c>
      <c r="E38" s="100">
        <v>4.8899999999999997</v>
      </c>
      <c r="F38" s="100">
        <v>4.92</v>
      </c>
      <c r="G38" s="100">
        <v>18.86</v>
      </c>
      <c r="H38" s="100">
        <v>11.14</v>
      </c>
      <c r="I38" s="100">
        <v>3.89</v>
      </c>
      <c r="J38" s="100">
        <v>0.1</v>
      </c>
      <c r="K38" s="100">
        <v>211.89</v>
      </c>
      <c r="L38" s="100">
        <v>29.64</v>
      </c>
      <c r="M38" s="100">
        <v>52.86</v>
      </c>
      <c r="N38" s="100">
        <v>83.2</v>
      </c>
      <c r="O38" s="100">
        <v>0</v>
      </c>
      <c r="P38" s="100">
        <v>0.38</v>
      </c>
      <c r="Q38" s="100">
        <v>5.34</v>
      </c>
    </row>
    <row r="39" spans="1:17" customFormat="1">
      <c r="A39" s="100" t="s">
        <v>2092</v>
      </c>
      <c r="B39" s="100">
        <v>19.649999999999999</v>
      </c>
      <c r="C39" s="100">
        <v>59.1</v>
      </c>
      <c r="D39" s="100">
        <v>45.59</v>
      </c>
      <c r="E39" s="100">
        <v>4.7300000000000004</v>
      </c>
      <c r="F39" s="100">
        <v>5.63</v>
      </c>
      <c r="G39" s="100">
        <v>18.86</v>
      </c>
      <c r="H39" s="100">
        <v>11.14</v>
      </c>
      <c r="I39" s="100">
        <v>3.95</v>
      </c>
      <c r="J39" s="100">
        <v>0.26</v>
      </c>
      <c r="K39" s="100">
        <v>222.41</v>
      </c>
      <c r="L39" s="100">
        <v>30.03</v>
      </c>
      <c r="M39" s="100">
        <v>52.99</v>
      </c>
      <c r="N39" s="100">
        <v>93.9</v>
      </c>
      <c r="O39" s="100">
        <v>0</v>
      </c>
      <c r="P39" s="100">
        <v>0.39</v>
      </c>
      <c r="Q39" s="100">
        <v>5.32</v>
      </c>
    </row>
    <row r="40" spans="1:17" customFormat="1">
      <c r="A40" s="100" t="s">
        <v>2093</v>
      </c>
      <c r="B40" s="100">
        <v>17.690000000000001</v>
      </c>
      <c r="C40" s="100">
        <v>56.59</v>
      </c>
      <c r="D40" s="100">
        <v>42.71</v>
      </c>
      <c r="E40" s="100">
        <v>5</v>
      </c>
      <c r="F40" s="100">
        <v>8.64</v>
      </c>
      <c r="G40" s="100">
        <v>18.86</v>
      </c>
      <c r="H40" s="100">
        <v>11.14</v>
      </c>
      <c r="I40" s="100">
        <v>4.03</v>
      </c>
      <c r="J40" s="100">
        <v>0.33</v>
      </c>
      <c r="K40" s="100">
        <v>224.66</v>
      </c>
      <c r="L40" s="100">
        <v>30.27</v>
      </c>
      <c r="M40" s="100">
        <v>51.25</v>
      </c>
      <c r="N40" s="100">
        <v>102.8</v>
      </c>
      <c r="O40" s="100">
        <v>0</v>
      </c>
      <c r="P40" s="100">
        <v>0.39</v>
      </c>
      <c r="Q40" s="100">
        <v>5.3</v>
      </c>
    </row>
    <row r="41" spans="1:17" customFormat="1">
      <c r="A41" s="100" t="s">
        <v>2094</v>
      </c>
      <c r="B41" s="100">
        <v>17.829999999999998</v>
      </c>
      <c r="C41" s="100">
        <v>58.22</v>
      </c>
      <c r="D41" s="100">
        <v>43.67</v>
      </c>
      <c r="E41" s="100">
        <v>5.0199999999999996</v>
      </c>
      <c r="F41" s="100">
        <v>6.31</v>
      </c>
      <c r="G41" s="100">
        <v>19.079999999999998</v>
      </c>
      <c r="H41" s="100">
        <v>9.6999999999999993</v>
      </c>
      <c r="I41" s="100">
        <v>4.0599999999999996</v>
      </c>
      <c r="J41" s="100">
        <v>0.15</v>
      </c>
      <c r="K41" s="100">
        <v>273.31</v>
      </c>
      <c r="L41" s="100">
        <v>30.82</v>
      </c>
      <c r="M41" s="100">
        <v>49.69</v>
      </c>
      <c r="N41" s="100">
        <v>110.7</v>
      </c>
      <c r="O41" s="100">
        <v>0</v>
      </c>
      <c r="P41" s="100">
        <v>0.39</v>
      </c>
      <c r="Q41" s="100">
        <v>5.27</v>
      </c>
    </row>
    <row r="42" spans="1:17" customFormat="1">
      <c r="A42" s="100" t="s">
        <v>2095</v>
      </c>
      <c r="B42" s="100">
        <v>17.850000000000001</v>
      </c>
      <c r="C42" s="100">
        <v>59.28</v>
      </c>
      <c r="D42" s="100">
        <v>44.24</v>
      </c>
      <c r="E42" s="100">
        <v>4.72</v>
      </c>
      <c r="F42" s="100">
        <v>8.08</v>
      </c>
      <c r="G42" s="100">
        <v>19.09</v>
      </c>
      <c r="H42" s="100">
        <v>9.6999999999999993</v>
      </c>
      <c r="I42" s="100">
        <v>4</v>
      </c>
      <c r="J42" s="100">
        <v>0.24</v>
      </c>
      <c r="K42" s="100">
        <v>270.99</v>
      </c>
      <c r="L42" s="100">
        <v>31.63</v>
      </c>
      <c r="M42" s="100">
        <v>48.74</v>
      </c>
      <c r="N42" s="100">
        <v>118.9</v>
      </c>
      <c r="O42" s="100">
        <v>0</v>
      </c>
      <c r="P42" s="100">
        <v>0.39</v>
      </c>
      <c r="Q42" s="100">
        <v>5.26</v>
      </c>
    </row>
    <row r="43" spans="1:17" customFormat="1">
      <c r="A43" s="100" t="s">
        <v>2096</v>
      </c>
      <c r="B43" s="100">
        <v>17.3</v>
      </c>
      <c r="C43" s="100">
        <v>60.27</v>
      </c>
      <c r="D43" s="100">
        <v>44.32</v>
      </c>
      <c r="E43" s="100">
        <v>4.87</v>
      </c>
      <c r="F43" s="100">
        <v>8.06</v>
      </c>
      <c r="G43" s="100">
        <v>19.09</v>
      </c>
      <c r="H43" s="100">
        <v>9.6999999999999993</v>
      </c>
      <c r="I43" s="100">
        <v>4.04</v>
      </c>
      <c r="J43" s="100">
        <v>0.4</v>
      </c>
      <c r="K43" s="100">
        <v>254.53</v>
      </c>
      <c r="L43" s="100">
        <v>32.08</v>
      </c>
      <c r="M43" s="100">
        <v>47.51</v>
      </c>
      <c r="N43" s="100">
        <v>127.6</v>
      </c>
      <c r="O43" s="100">
        <v>0</v>
      </c>
      <c r="P43" s="100">
        <v>0.39</v>
      </c>
      <c r="Q43" s="100">
        <v>5.26</v>
      </c>
    </row>
    <row r="44" spans="1:17" customFormat="1">
      <c r="A44" s="100" t="s">
        <v>2097</v>
      </c>
      <c r="B44" s="100">
        <v>15.7</v>
      </c>
      <c r="C44" s="100">
        <v>55.19</v>
      </c>
      <c r="D44" s="100">
        <v>40.380000000000003</v>
      </c>
      <c r="E44" s="100">
        <v>4.6399999999999997</v>
      </c>
      <c r="F44" s="100">
        <v>10.25</v>
      </c>
      <c r="G44" s="100">
        <v>19.09</v>
      </c>
      <c r="H44" s="100">
        <v>9.6999999999999993</v>
      </c>
      <c r="I44" s="100">
        <v>4.17</v>
      </c>
      <c r="J44" s="100">
        <v>0.66</v>
      </c>
      <c r="K44" s="100">
        <v>276.22000000000003</v>
      </c>
      <c r="L44" s="100">
        <v>32.35</v>
      </c>
      <c r="M44" s="100">
        <v>47.63</v>
      </c>
      <c r="N44" s="100">
        <v>134.9</v>
      </c>
      <c r="O44" s="100">
        <v>0</v>
      </c>
      <c r="P44" s="100">
        <v>0.4</v>
      </c>
      <c r="Q44" s="100">
        <v>5.16</v>
      </c>
    </row>
    <row r="45" spans="1:17" customFormat="1">
      <c r="A45" s="100" t="s">
        <v>2098</v>
      </c>
      <c r="B45" s="100">
        <v>14.5</v>
      </c>
      <c r="C45" s="100">
        <v>57.33</v>
      </c>
      <c r="D45" s="100">
        <v>40.54</v>
      </c>
      <c r="E45" s="100">
        <v>4.72</v>
      </c>
      <c r="F45" s="100">
        <v>9.4700000000000006</v>
      </c>
      <c r="G45" s="100">
        <v>21.5</v>
      </c>
      <c r="H45" s="100">
        <v>10.59</v>
      </c>
      <c r="I45" s="100">
        <v>4.24</v>
      </c>
      <c r="J45" s="100">
        <v>0.69</v>
      </c>
      <c r="K45" s="100">
        <v>253.97</v>
      </c>
      <c r="L45" s="100">
        <v>32.71</v>
      </c>
      <c r="M45" s="100">
        <v>48.08</v>
      </c>
      <c r="N45" s="100">
        <v>139.80000000000001</v>
      </c>
      <c r="O45" s="100">
        <v>0</v>
      </c>
      <c r="P45" s="100">
        <v>0.42</v>
      </c>
      <c r="Q45" s="100">
        <v>5.21</v>
      </c>
    </row>
    <row r="46" spans="1:17" customFormat="1">
      <c r="A46" s="100" t="s">
        <v>2099</v>
      </c>
      <c r="B46" s="100">
        <v>14.45</v>
      </c>
      <c r="C46" s="100">
        <v>55.61</v>
      </c>
      <c r="D46" s="100">
        <v>39.6</v>
      </c>
      <c r="E46" s="100">
        <v>4.8899999999999997</v>
      </c>
      <c r="F46" s="100">
        <v>10.17</v>
      </c>
      <c r="G46" s="100">
        <v>21.62</v>
      </c>
      <c r="H46" s="100">
        <v>10.59</v>
      </c>
      <c r="I46" s="100">
        <v>4.29</v>
      </c>
      <c r="J46" s="100">
        <v>0.75</v>
      </c>
      <c r="K46" s="100">
        <v>267.05</v>
      </c>
      <c r="L46" s="100">
        <v>32.840000000000003</v>
      </c>
      <c r="M46" s="100">
        <v>48.32</v>
      </c>
      <c r="N46" s="100">
        <v>147.9</v>
      </c>
      <c r="O46" s="100">
        <v>0</v>
      </c>
      <c r="P46" s="100">
        <v>0.41</v>
      </c>
      <c r="Q46" s="100">
        <v>5.09</v>
      </c>
    </row>
    <row r="47" spans="1:17" customFormat="1">
      <c r="A47" s="100" t="s">
        <v>2100</v>
      </c>
      <c r="B47" s="100">
        <v>13.28</v>
      </c>
      <c r="C47" s="100">
        <v>59.87</v>
      </c>
      <c r="D47" s="100">
        <v>40.89</v>
      </c>
      <c r="E47" s="100">
        <v>4.96</v>
      </c>
      <c r="F47" s="100">
        <v>9.25</v>
      </c>
      <c r="G47" s="100">
        <v>21.62</v>
      </c>
      <c r="H47" s="100">
        <v>10.59</v>
      </c>
      <c r="I47" s="100">
        <v>4.3099999999999996</v>
      </c>
      <c r="J47" s="100">
        <v>0.99</v>
      </c>
      <c r="K47" s="100">
        <v>264.73</v>
      </c>
      <c r="L47" s="100">
        <v>33.549999999999997</v>
      </c>
      <c r="M47" s="100">
        <v>46.52</v>
      </c>
      <c r="N47" s="100">
        <v>154.6</v>
      </c>
      <c r="O47" s="100">
        <v>0</v>
      </c>
      <c r="P47" s="100">
        <v>0.42</v>
      </c>
      <c r="Q47" s="100">
        <v>5.08</v>
      </c>
    </row>
    <row r="48" spans="1:17" customFormat="1">
      <c r="A48" s="100" t="s">
        <v>2101</v>
      </c>
      <c r="B48" s="100">
        <v>11.34</v>
      </c>
      <c r="C48" s="100">
        <v>53.47</v>
      </c>
      <c r="D48" s="100">
        <v>35.979999999999997</v>
      </c>
      <c r="E48" s="100">
        <v>5.6</v>
      </c>
      <c r="F48" s="100">
        <v>14.01</v>
      </c>
      <c r="G48" s="100">
        <v>21.62</v>
      </c>
      <c r="H48" s="100">
        <v>10.59</v>
      </c>
      <c r="I48" s="100">
        <v>4.37</v>
      </c>
      <c r="J48" s="100">
        <v>0.86</v>
      </c>
      <c r="K48" s="100">
        <v>269.07</v>
      </c>
      <c r="L48" s="100">
        <v>34.25</v>
      </c>
      <c r="M48" s="100">
        <v>45.49</v>
      </c>
      <c r="N48" s="100">
        <v>163.30000000000001</v>
      </c>
      <c r="O48" s="100">
        <v>0</v>
      </c>
      <c r="P48" s="100">
        <v>0.42</v>
      </c>
      <c r="Q48" s="100">
        <v>5</v>
      </c>
    </row>
    <row r="49" spans="1:17" customFormat="1">
      <c r="A49" s="100" t="s">
        <v>2102</v>
      </c>
      <c r="B49" s="100">
        <v>10.47</v>
      </c>
      <c r="C49" s="100">
        <v>51.77</v>
      </c>
      <c r="D49" s="100">
        <v>34.4</v>
      </c>
      <c r="E49" s="100">
        <v>5.97</v>
      </c>
      <c r="F49" s="100">
        <v>13.73</v>
      </c>
      <c r="G49" s="100">
        <v>27.78</v>
      </c>
      <c r="H49" s="100">
        <v>13.18</v>
      </c>
      <c r="I49" s="100">
        <v>4.4000000000000004</v>
      </c>
      <c r="J49" s="100">
        <v>0.8</v>
      </c>
      <c r="K49" s="100">
        <v>259.14999999999998</v>
      </c>
      <c r="L49" s="100">
        <v>34.79</v>
      </c>
      <c r="M49" s="100">
        <v>44.3</v>
      </c>
      <c r="N49" s="100">
        <v>169.8</v>
      </c>
      <c r="O49" s="100">
        <v>0</v>
      </c>
      <c r="P49" s="100">
        <v>0.42</v>
      </c>
      <c r="Q49" s="100">
        <v>4.8899999999999997</v>
      </c>
    </row>
    <row r="50" spans="1:17" customFormat="1">
      <c r="A50" s="100" t="s">
        <v>2103</v>
      </c>
      <c r="B50" s="100">
        <v>9.07</v>
      </c>
      <c r="C50" s="100">
        <v>49.89</v>
      </c>
      <c r="D50" s="100">
        <v>32.29</v>
      </c>
      <c r="E50" s="100">
        <v>7.65</v>
      </c>
      <c r="F50" s="100">
        <v>17.690000000000001</v>
      </c>
      <c r="G50" s="100">
        <v>28.07</v>
      </c>
      <c r="H50" s="100">
        <v>13.18</v>
      </c>
      <c r="I50" s="100">
        <v>4.38</v>
      </c>
      <c r="J50" s="100">
        <v>0.9</v>
      </c>
      <c r="K50" s="100">
        <v>277.67</v>
      </c>
      <c r="L50" s="100">
        <v>35.54</v>
      </c>
      <c r="M50" s="100">
        <v>43.07</v>
      </c>
      <c r="N50" s="100">
        <v>174.3</v>
      </c>
      <c r="O50" s="100">
        <v>0</v>
      </c>
      <c r="P50" s="100">
        <v>0.44</v>
      </c>
      <c r="Q50" s="100">
        <v>4.79</v>
      </c>
    </row>
    <row r="51" spans="1:17" customFormat="1">
      <c r="A51" s="100" t="s">
        <v>2104</v>
      </c>
      <c r="B51" s="100">
        <v>8.14</v>
      </c>
      <c r="C51" s="100">
        <v>48.1</v>
      </c>
      <c r="D51" s="100">
        <v>30.61</v>
      </c>
      <c r="E51" s="100">
        <v>8.42</v>
      </c>
      <c r="F51" s="100">
        <v>21.06</v>
      </c>
      <c r="G51" s="100">
        <v>28.07</v>
      </c>
      <c r="H51" s="100">
        <v>13.18</v>
      </c>
      <c r="I51" s="100">
        <v>4.42</v>
      </c>
      <c r="J51" s="100">
        <v>0.81</v>
      </c>
      <c r="K51" s="100">
        <v>272.8</v>
      </c>
      <c r="L51" s="100">
        <v>35.979999999999997</v>
      </c>
      <c r="M51" s="100">
        <v>41.98</v>
      </c>
      <c r="N51" s="100">
        <v>184.5</v>
      </c>
      <c r="O51" s="100">
        <v>0</v>
      </c>
      <c r="P51" s="100">
        <v>0.43</v>
      </c>
      <c r="Q51" s="100">
        <v>4.7300000000000004</v>
      </c>
    </row>
    <row r="52" spans="1:17" customFormat="1">
      <c r="A52" s="100" t="s">
        <v>2105</v>
      </c>
      <c r="B52" s="100">
        <v>7.19</v>
      </c>
      <c r="C52" s="100">
        <v>48.2</v>
      </c>
      <c r="D52" s="100">
        <v>29.91</v>
      </c>
      <c r="E52" s="100">
        <v>8.8800000000000008</v>
      </c>
      <c r="F52" s="100">
        <v>16.8</v>
      </c>
      <c r="G52" s="100">
        <v>28.07</v>
      </c>
      <c r="H52" s="100">
        <v>13.18</v>
      </c>
      <c r="I52" s="100">
        <v>4.4800000000000004</v>
      </c>
      <c r="J52" s="100">
        <v>1.08</v>
      </c>
      <c r="K52" s="100">
        <v>262.29000000000002</v>
      </c>
      <c r="L52" s="100">
        <v>36.24</v>
      </c>
      <c r="M52" s="100">
        <v>39.979999999999997</v>
      </c>
      <c r="N52" s="100">
        <v>232</v>
      </c>
      <c r="O52" s="100">
        <v>0</v>
      </c>
      <c r="P52" s="100">
        <v>0.44</v>
      </c>
      <c r="Q52" s="100">
        <v>4.67</v>
      </c>
    </row>
    <row r="53" spans="1:17" customFormat="1">
      <c r="A53" s="100" t="s">
        <v>2106</v>
      </c>
      <c r="B53" s="100">
        <v>6.37</v>
      </c>
      <c r="C53" s="100">
        <v>47.51</v>
      </c>
      <c r="D53" s="100">
        <v>28.89</v>
      </c>
      <c r="E53" s="100">
        <v>11.74</v>
      </c>
      <c r="F53" s="100">
        <v>26.98</v>
      </c>
      <c r="G53" s="100">
        <v>31.82</v>
      </c>
      <c r="H53" s="100">
        <v>12.17</v>
      </c>
      <c r="I53" s="100">
        <v>4.5599999999999996</v>
      </c>
      <c r="J53" s="100">
        <v>1.29</v>
      </c>
      <c r="K53" s="100">
        <v>302.02</v>
      </c>
      <c r="L53" s="100">
        <v>36.53</v>
      </c>
      <c r="M53" s="100">
        <v>38.69</v>
      </c>
      <c r="N53" s="100">
        <v>405.5</v>
      </c>
      <c r="O53" s="100">
        <v>0</v>
      </c>
      <c r="P53" s="100">
        <v>0.47</v>
      </c>
      <c r="Q53" s="100">
        <v>4.63</v>
      </c>
    </row>
    <row r="54" spans="1:17" customFormat="1">
      <c r="A54" s="100" t="s">
        <v>2107</v>
      </c>
      <c r="B54" s="100">
        <v>6.1</v>
      </c>
      <c r="C54" s="100">
        <v>51.01</v>
      </c>
      <c r="D54" s="100">
        <v>30.5</v>
      </c>
      <c r="E54" s="100">
        <v>10.41</v>
      </c>
      <c r="F54" s="100">
        <v>24.41</v>
      </c>
      <c r="G54" s="100">
        <v>31.95</v>
      </c>
      <c r="H54" s="100">
        <v>12.17</v>
      </c>
      <c r="I54" s="100">
        <v>4.7</v>
      </c>
      <c r="J54" s="100">
        <v>1.25</v>
      </c>
      <c r="K54" s="100">
        <v>293.23</v>
      </c>
      <c r="L54" s="100">
        <v>36.93</v>
      </c>
      <c r="M54" s="100">
        <v>36.090000000000003</v>
      </c>
      <c r="N54" s="100">
        <v>327.8</v>
      </c>
      <c r="O54" s="100">
        <v>0</v>
      </c>
      <c r="P54" s="100">
        <v>0.48</v>
      </c>
      <c r="Q54" s="100">
        <v>4.6399999999999997</v>
      </c>
    </row>
    <row r="55" spans="1:17" customFormat="1">
      <c r="A55" s="100" t="s">
        <v>2108</v>
      </c>
      <c r="B55" s="100">
        <v>5.44</v>
      </c>
      <c r="C55" s="100">
        <v>50.54</v>
      </c>
      <c r="D55" s="100">
        <v>29.73</v>
      </c>
      <c r="E55" s="100">
        <v>14.41</v>
      </c>
      <c r="F55" s="100">
        <v>29.73</v>
      </c>
      <c r="G55" s="100">
        <v>31.95</v>
      </c>
      <c r="H55" s="100">
        <v>12.17</v>
      </c>
      <c r="I55" s="100">
        <v>4.93</v>
      </c>
      <c r="J55" s="100">
        <v>1.2</v>
      </c>
      <c r="K55" s="100">
        <v>292.35000000000002</v>
      </c>
      <c r="L55" s="100">
        <v>37.19</v>
      </c>
      <c r="M55" s="100">
        <v>35.659999999999997</v>
      </c>
      <c r="N55" s="100">
        <v>820.9</v>
      </c>
      <c r="O55" s="100">
        <v>0</v>
      </c>
      <c r="P55" s="100">
        <v>0.54</v>
      </c>
      <c r="Q55" s="100">
        <v>4.6100000000000003</v>
      </c>
    </row>
    <row r="56" spans="1:17" customFormat="1">
      <c r="A56" s="100" t="s">
        <v>2109</v>
      </c>
      <c r="B56" s="100">
        <v>4.5</v>
      </c>
      <c r="C56" s="100">
        <v>46.47</v>
      </c>
      <c r="D56" s="100">
        <v>26.84</v>
      </c>
      <c r="E56" s="100">
        <v>19.850000000000001</v>
      </c>
      <c r="F56" s="100">
        <v>41.55</v>
      </c>
      <c r="G56" s="100">
        <v>31.95</v>
      </c>
      <c r="H56" s="100">
        <v>12.17</v>
      </c>
      <c r="I56" s="100">
        <v>5.25</v>
      </c>
      <c r="J56" s="100">
        <v>0.74</v>
      </c>
      <c r="K56" s="100">
        <v>263.73</v>
      </c>
      <c r="L56" s="100">
        <v>37.909999999999997</v>
      </c>
      <c r="M56" s="100">
        <v>33.090000000000003</v>
      </c>
      <c r="N56" s="100">
        <v>726.3</v>
      </c>
      <c r="O56" s="100">
        <v>0</v>
      </c>
      <c r="P56" s="100">
        <v>0.56000000000000005</v>
      </c>
      <c r="Q56" s="100">
        <v>4.57</v>
      </c>
    </row>
    <row r="57" spans="1:17" customFormat="1">
      <c r="A57" s="100" t="s">
        <v>2110</v>
      </c>
      <c r="B57" s="100">
        <v>4.22</v>
      </c>
      <c r="C57" s="100">
        <v>47.82</v>
      </c>
      <c r="D57" s="100">
        <v>27.33</v>
      </c>
      <c r="E57" s="100">
        <v>16.45</v>
      </c>
      <c r="F57" s="100">
        <v>28.3</v>
      </c>
      <c r="G57" s="100">
        <v>33.97</v>
      </c>
      <c r="H57" s="100">
        <v>11.31</v>
      </c>
      <c r="I57" s="100">
        <v>5.71</v>
      </c>
      <c r="J57" s="100">
        <v>0.41</v>
      </c>
      <c r="K57" s="100">
        <v>302.20999999999998</v>
      </c>
      <c r="L57" s="100">
        <v>38.630000000000003</v>
      </c>
      <c r="M57" s="100">
        <v>32.03</v>
      </c>
      <c r="N57" s="100">
        <v>786.2</v>
      </c>
      <c r="O57" s="100">
        <v>0</v>
      </c>
      <c r="P57" s="100">
        <v>0.55000000000000004</v>
      </c>
      <c r="Q57" s="100">
        <v>4.53</v>
      </c>
    </row>
    <row r="58" spans="1:17" customFormat="1">
      <c r="A58" s="100" t="s">
        <v>2111</v>
      </c>
      <c r="B58" s="100">
        <v>4.0999999999999996</v>
      </c>
      <c r="C58" s="100">
        <v>53.92</v>
      </c>
      <c r="D58" s="100">
        <v>30.42</v>
      </c>
      <c r="E58" s="100">
        <v>19.39</v>
      </c>
      <c r="F58" s="100">
        <v>36.42</v>
      </c>
      <c r="G58" s="100">
        <v>34.06</v>
      </c>
      <c r="H58" s="100">
        <v>11.31</v>
      </c>
      <c r="I58" s="100">
        <v>5.91</v>
      </c>
      <c r="J58" s="100">
        <v>0.5</v>
      </c>
      <c r="K58" s="100">
        <v>235.46</v>
      </c>
      <c r="L58" s="100">
        <v>39.020000000000003</v>
      </c>
      <c r="M58" s="100">
        <v>31.66</v>
      </c>
      <c r="N58" s="100">
        <v>835.1</v>
      </c>
      <c r="O58" s="100">
        <v>0</v>
      </c>
      <c r="P58" s="100">
        <v>0.6</v>
      </c>
      <c r="Q58" s="100">
        <v>4.6100000000000003</v>
      </c>
    </row>
    <row r="59" spans="1:17" customFormat="1">
      <c r="A59" s="100" t="s">
        <v>2112</v>
      </c>
      <c r="B59" s="100">
        <v>3.8</v>
      </c>
      <c r="C59" s="100">
        <v>54.94</v>
      </c>
      <c r="D59" s="100">
        <v>30.71</v>
      </c>
      <c r="E59" s="100">
        <v>18.079999999999998</v>
      </c>
      <c r="F59" s="100">
        <v>31.18</v>
      </c>
      <c r="G59" s="100">
        <v>34.06</v>
      </c>
      <c r="H59" s="100">
        <v>11.31</v>
      </c>
      <c r="I59" s="100">
        <v>6.13</v>
      </c>
      <c r="J59" s="100">
        <v>0.83</v>
      </c>
      <c r="K59" s="100">
        <v>263.26</v>
      </c>
      <c r="L59" s="100">
        <v>39.119999999999997</v>
      </c>
      <c r="M59" s="100">
        <v>29.14</v>
      </c>
      <c r="N59" s="100">
        <v>845.2</v>
      </c>
      <c r="O59" s="100">
        <v>0</v>
      </c>
      <c r="P59" s="100">
        <v>0.6</v>
      </c>
      <c r="Q59" s="100">
        <v>4.6399999999999997</v>
      </c>
    </row>
    <row r="60" spans="1:17" customFormat="1">
      <c r="A60" s="100" t="s">
        <v>2113</v>
      </c>
      <c r="B60" s="100">
        <v>3.78</v>
      </c>
      <c r="C60" s="100">
        <v>51.97</v>
      </c>
      <c r="D60" s="100">
        <v>29.14</v>
      </c>
      <c r="E60" s="100">
        <v>19.260000000000002</v>
      </c>
      <c r="F60" s="100">
        <v>49.72</v>
      </c>
      <c r="G60" s="100">
        <v>34.06</v>
      </c>
      <c r="H60" s="100">
        <v>11.31</v>
      </c>
      <c r="I60" s="100">
        <v>6.72</v>
      </c>
      <c r="J60" s="100">
        <v>0.56000000000000005</v>
      </c>
      <c r="K60" s="100">
        <v>312.45999999999998</v>
      </c>
      <c r="L60" s="100">
        <v>39.46</v>
      </c>
      <c r="M60" s="100">
        <v>27.25</v>
      </c>
      <c r="N60" s="100">
        <v>849.6</v>
      </c>
      <c r="O60" s="100">
        <v>0</v>
      </c>
      <c r="P60" s="100">
        <v>0.64</v>
      </c>
      <c r="Q60" s="100">
        <v>4.62</v>
      </c>
    </row>
    <row r="61" spans="1:17" customFormat="1">
      <c r="A61" s="100" t="s">
        <v>2114</v>
      </c>
      <c r="B61" s="100">
        <v>3.58</v>
      </c>
      <c r="C61" s="100">
        <v>51.56</v>
      </c>
      <c r="D61" s="100">
        <v>28.77</v>
      </c>
      <c r="E61" s="100">
        <v>20.350000000000001</v>
      </c>
      <c r="F61" s="100">
        <v>38.979999999999997</v>
      </c>
      <c r="G61" s="100">
        <v>45.47</v>
      </c>
      <c r="H61" s="100">
        <v>14.43</v>
      </c>
      <c r="I61" s="100">
        <v>7.04</v>
      </c>
      <c r="J61" s="100">
        <v>0.45</v>
      </c>
      <c r="K61" s="100">
        <v>264.93</v>
      </c>
      <c r="L61" s="100">
        <v>40.26</v>
      </c>
      <c r="M61" s="100">
        <v>27.43</v>
      </c>
      <c r="N61" s="100">
        <v>802</v>
      </c>
      <c r="O61" s="100">
        <v>0</v>
      </c>
      <c r="P61" s="100">
        <v>0.68</v>
      </c>
      <c r="Q61" s="100">
        <v>4.62</v>
      </c>
    </row>
    <row r="62" spans="1:17" customFormat="1">
      <c r="A62" s="100" t="s">
        <v>2115</v>
      </c>
      <c r="B62" s="100">
        <v>3.45</v>
      </c>
      <c r="C62" s="100">
        <v>50.99</v>
      </c>
      <c r="D62" s="100">
        <v>28.36</v>
      </c>
      <c r="E62" s="100">
        <v>18.82</v>
      </c>
      <c r="F62" s="100">
        <v>41.28</v>
      </c>
      <c r="G62" s="100">
        <v>46</v>
      </c>
      <c r="H62" s="100">
        <v>14.43</v>
      </c>
      <c r="I62" s="100">
        <v>7.13</v>
      </c>
      <c r="J62" s="100">
        <v>0.82</v>
      </c>
      <c r="K62" s="100">
        <v>309.88</v>
      </c>
      <c r="L62" s="100">
        <v>39.89</v>
      </c>
      <c r="M62" s="100">
        <v>24.36</v>
      </c>
      <c r="N62" s="100">
        <v>784.5</v>
      </c>
      <c r="O62" s="100">
        <v>0</v>
      </c>
      <c r="P62" s="100">
        <v>0.69</v>
      </c>
      <c r="Q62" s="100">
        <v>4.59</v>
      </c>
    </row>
    <row r="63" spans="1:17" customFormat="1">
      <c r="A63" s="100" t="s">
        <v>2116</v>
      </c>
      <c r="B63" s="100">
        <v>3.44</v>
      </c>
      <c r="C63" s="100">
        <v>49.24</v>
      </c>
      <c r="D63" s="100">
        <v>27.44</v>
      </c>
      <c r="E63" s="100">
        <v>19.77</v>
      </c>
      <c r="F63" s="100">
        <v>50.28</v>
      </c>
      <c r="G63" s="100">
        <v>46</v>
      </c>
      <c r="H63" s="100">
        <v>14.43</v>
      </c>
      <c r="I63" s="100">
        <v>7.25</v>
      </c>
      <c r="J63" s="100">
        <v>0.4</v>
      </c>
      <c r="K63" s="100">
        <v>324.81</v>
      </c>
      <c r="L63" s="100">
        <v>40.31</v>
      </c>
      <c r="M63" s="100">
        <v>22.15</v>
      </c>
      <c r="N63" s="100">
        <v>707.2</v>
      </c>
      <c r="O63" s="100">
        <v>0</v>
      </c>
      <c r="P63" s="100">
        <v>0.65</v>
      </c>
      <c r="Q63" s="100">
        <v>4.6100000000000003</v>
      </c>
    </row>
    <row r="64" spans="1:17" customFormat="1">
      <c r="A64" s="100" t="s">
        <v>2117</v>
      </c>
      <c r="B64" s="100">
        <v>3.46</v>
      </c>
      <c r="C64" s="100">
        <v>50.63</v>
      </c>
      <c r="D64" s="100">
        <v>28.18</v>
      </c>
      <c r="E64" s="100">
        <v>17.739999999999998</v>
      </c>
      <c r="F64" s="100">
        <v>43.64</v>
      </c>
      <c r="G64" s="100">
        <v>46</v>
      </c>
      <c r="H64" s="100">
        <v>14.43</v>
      </c>
      <c r="I64" s="100">
        <v>7.19</v>
      </c>
      <c r="J64" s="100">
        <v>0.4</v>
      </c>
      <c r="K64" s="100">
        <v>240.96</v>
      </c>
      <c r="L64" s="100">
        <v>40.81</v>
      </c>
      <c r="M64" s="100">
        <v>22.65</v>
      </c>
      <c r="N64" s="100">
        <v>667.5</v>
      </c>
      <c r="O64" s="100">
        <v>0</v>
      </c>
      <c r="P64" s="100">
        <v>0.66</v>
      </c>
      <c r="Q64" s="100">
        <v>4.62</v>
      </c>
    </row>
    <row r="65" spans="1:17" customFormat="1">
      <c r="A65" s="100" t="s">
        <v>2118</v>
      </c>
      <c r="B65" s="100">
        <v>3.39</v>
      </c>
      <c r="C65" s="100">
        <v>48.73</v>
      </c>
      <c r="D65" s="100">
        <v>27.13</v>
      </c>
      <c r="E65" s="100">
        <v>18.91</v>
      </c>
      <c r="F65" s="100">
        <v>44.14</v>
      </c>
      <c r="G65" s="100">
        <v>48.54</v>
      </c>
      <c r="H65" s="100">
        <v>19.12</v>
      </c>
      <c r="I65" s="100">
        <v>7</v>
      </c>
      <c r="J65" s="100">
        <v>0.17</v>
      </c>
      <c r="K65" s="100">
        <v>185.52</v>
      </c>
      <c r="L65" s="100">
        <v>40.93</v>
      </c>
      <c r="M65" s="100">
        <v>21.85</v>
      </c>
      <c r="N65" s="100">
        <v>697.7</v>
      </c>
      <c r="O65" s="100">
        <v>0</v>
      </c>
      <c r="P65" s="100">
        <v>0.63</v>
      </c>
      <c r="Q65" s="100">
        <v>4.6399999999999997</v>
      </c>
    </row>
    <row r="66" spans="1:17" customFormat="1">
      <c r="A66" s="100" t="s">
        <v>2119</v>
      </c>
      <c r="B66" s="100">
        <v>3.24</v>
      </c>
      <c r="C66" s="100">
        <v>47.63</v>
      </c>
      <c r="D66" s="100">
        <v>26.44</v>
      </c>
      <c r="E66" s="100">
        <v>17.850000000000001</v>
      </c>
      <c r="F66" s="100">
        <v>48.37</v>
      </c>
      <c r="G66" s="100">
        <v>48.66</v>
      </c>
      <c r="H66" s="100">
        <v>19.12</v>
      </c>
      <c r="I66" s="100">
        <v>7.09</v>
      </c>
      <c r="J66" s="100">
        <v>0.32</v>
      </c>
      <c r="K66" s="100">
        <v>206.68</v>
      </c>
      <c r="L66" s="100">
        <v>40.6</v>
      </c>
      <c r="M66" s="100">
        <v>23.09</v>
      </c>
      <c r="N66" s="100">
        <v>291.3</v>
      </c>
      <c r="O66" s="100">
        <v>0</v>
      </c>
      <c r="P66" s="100">
        <v>0.65</v>
      </c>
      <c r="Q66" s="100">
        <v>4.63</v>
      </c>
    </row>
    <row r="67" spans="1:17" customFormat="1">
      <c r="A67" s="100" t="s">
        <v>2120</v>
      </c>
      <c r="B67" s="100">
        <v>2.91</v>
      </c>
      <c r="C67" s="100">
        <v>45.13</v>
      </c>
      <c r="D67" s="100">
        <v>24.87</v>
      </c>
      <c r="E67" s="100">
        <v>20.73</v>
      </c>
      <c r="F67" s="100">
        <v>69.02</v>
      </c>
      <c r="G67" s="100">
        <v>48.66</v>
      </c>
      <c r="H67" s="100">
        <v>19.12</v>
      </c>
      <c r="I67" s="100">
        <v>7.11</v>
      </c>
      <c r="J67" s="100">
        <v>0.28999999999999998</v>
      </c>
      <c r="K67" s="100">
        <v>153.78</v>
      </c>
      <c r="L67" s="100">
        <v>39.020000000000003</v>
      </c>
      <c r="M67" s="100">
        <v>26.47</v>
      </c>
      <c r="N67" s="100">
        <v>95.7</v>
      </c>
      <c r="O67" s="100">
        <v>0</v>
      </c>
      <c r="P67" s="100">
        <v>0.63</v>
      </c>
      <c r="Q67" s="100">
        <v>4.5999999999999996</v>
      </c>
    </row>
    <row r="68" spans="1:17" customFormat="1">
      <c r="A68" s="100" t="s">
        <v>2121</v>
      </c>
      <c r="B68" s="100">
        <v>2.68</v>
      </c>
      <c r="C68" s="100">
        <v>40.64</v>
      </c>
      <c r="D68" s="100">
        <v>22.34</v>
      </c>
      <c r="E68" s="100">
        <v>27.57</v>
      </c>
      <c r="F68" s="100">
        <v>80.2</v>
      </c>
      <c r="G68" s="100">
        <v>48.66</v>
      </c>
      <c r="H68" s="100">
        <v>19.12</v>
      </c>
      <c r="I68" s="100">
        <v>7.02</v>
      </c>
      <c r="J68" s="100">
        <v>0.22</v>
      </c>
      <c r="K68" s="100">
        <v>230.94</v>
      </c>
      <c r="L68" s="100">
        <v>38.340000000000003</v>
      </c>
      <c r="M68" s="100">
        <v>28.86</v>
      </c>
      <c r="N68" s="100">
        <v>91.1</v>
      </c>
      <c r="O68" s="100">
        <v>0</v>
      </c>
      <c r="P68" s="100">
        <v>0.64</v>
      </c>
      <c r="Q68" s="100">
        <v>4.59</v>
      </c>
    </row>
    <row r="69" spans="1:17" customFormat="1">
      <c r="A69" s="100" t="s">
        <v>2122</v>
      </c>
      <c r="B69" s="100">
        <v>3.84</v>
      </c>
      <c r="C69" s="100">
        <v>50.28</v>
      </c>
      <c r="D69" s="100">
        <v>28.31</v>
      </c>
      <c r="E69" s="100">
        <v>15.95</v>
      </c>
      <c r="F69" s="100">
        <v>26.12</v>
      </c>
      <c r="G69" s="100">
        <v>51.92</v>
      </c>
      <c r="H69" s="100">
        <v>17.100000000000001</v>
      </c>
      <c r="I69" s="100">
        <v>6.77</v>
      </c>
      <c r="J69" s="100">
        <v>1.1399999999999999</v>
      </c>
      <c r="K69" s="100">
        <v>300.42</v>
      </c>
      <c r="L69" s="100">
        <v>37.79</v>
      </c>
      <c r="M69" s="100">
        <v>25.18</v>
      </c>
      <c r="N69" s="100">
        <v>80.900000000000006</v>
      </c>
      <c r="O69" s="100">
        <v>0</v>
      </c>
      <c r="P69" s="100">
        <v>0.63</v>
      </c>
      <c r="Q69" s="100">
        <v>4.5599999999999996</v>
      </c>
    </row>
    <row r="70" spans="1:17" customFormat="1">
      <c r="A70" s="100" t="s">
        <v>2123</v>
      </c>
      <c r="B70" s="100">
        <v>4.42</v>
      </c>
      <c r="C70" s="100">
        <v>53.4</v>
      </c>
      <c r="D70" s="100">
        <v>30.4</v>
      </c>
      <c r="E70" s="100">
        <v>9.4</v>
      </c>
      <c r="F70" s="100">
        <v>19.510000000000002</v>
      </c>
      <c r="G70" s="100">
        <v>52.07</v>
      </c>
      <c r="H70" s="100">
        <v>17.100000000000001</v>
      </c>
      <c r="I70" s="100">
        <v>6.85</v>
      </c>
      <c r="J70" s="100">
        <v>1.57</v>
      </c>
      <c r="K70" s="100">
        <v>300.33999999999997</v>
      </c>
      <c r="L70" s="100">
        <v>37.14</v>
      </c>
      <c r="M70" s="100">
        <v>22.94</v>
      </c>
      <c r="N70" s="100">
        <v>327.9</v>
      </c>
      <c r="O70" s="100">
        <v>0</v>
      </c>
      <c r="P70" s="100">
        <v>0.61</v>
      </c>
      <c r="Q70" s="100">
        <v>4.59</v>
      </c>
    </row>
    <row r="71" spans="1:17" customFormat="1">
      <c r="A71" s="100" t="s">
        <v>2124</v>
      </c>
      <c r="B71" s="100">
        <v>5.0599999999999996</v>
      </c>
      <c r="C71" s="100">
        <v>52.33</v>
      </c>
      <c r="D71" s="100">
        <v>30.35</v>
      </c>
      <c r="E71" s="100">
        <v>9.2100000000000009</v>
      </c>
      <c r="F71" s="100">
        <v>22.57</v>
      </c>
      <c r="G71" s="100">
        <v>52.07</v>
      </c>
      <c r="H71" s="100">
        <v>17.100000000000001</v>
      </c>
      <c r="I71" s="100">
        <v>7.04</v>
      </c>
      <c r="J71" s="100">
        <v>1.01</v>
      </c>
      <c r="K71" s="100">
        <v>297.64999999999998</v>
      </c>
      <c r="L71" s="100">
        <v>38</v>
      </c>
      <c r="M71" s="100">
        <v>22.24</v>
      </c>
      <c r="N71" s="100">
        <v>506.8</v>
      </c>
      <c r="O71" s="100">
        <v>0</v>
      </c>
      <c r="P71" s="100">
        <v>0.59</v>
      </c>
      <c r="Q71" s="100">
        <v>4.57</v>
      </c>
    </row>
    <row r="72" spans="1:17" customFormat="1">
      <c r="A72" s="100" t="s">
        <v>2125</v>
      </c>
      <c r="B72" s="100">
        <v>6.22</v>
      </c>
      <c r="C72" s="100">
        <v>52.23</v>
      </c>
      <c r="D72" s="100">
        <v>31.24</v>
      </c>
      <c r="E72" s="100">
        <v>11.29</v>
      </c>
      <c r="F72" s="100">
        <v>35.31</v>
      </c>
      <c r="G72" s="100">
        <v>52.07</v>
      </c>
      <c r="H72" s="100">
        <v>17.100000000000001</v>
      </c>
      <c r="I72" s="100">
        <v>6.9</v>
      </c>
      <c r="J72" s="100">
        <v>0.37</v>
      </c>
      <c r="K72" s="100">
        <v>319.08</v>
      </c>
      <c r="L72" s="100">
        <v>39.58</v>
      </c>
      <c r="M72" s="100">
        <v>20.68</v>
      </c>
      <c r="N72" s="100">
        <v>423.3</v>
      </c>
      <c r="O72" s="100">
        <v>0</v>
      </c>
      <c r="P72" s="100">
        <v>0.56000000000000005</v>
      </c>
      <c r="Q72" s="100">
        <v>4.59</v>
      </c>
    </row>
    <row r="73" spans="1:17" customFormat="1">
      <c r="A73" s="100" t="s">
        <v>2126</v>
      </c>
      <c r="B73" s="100">
        <v>5.79</v>
      </c>
      <c r="C73" s="100">
        <v>47.92</v>
      </c>
      <c r="D73" s="100">
        <v>28.63</v>
      </c>
      <c r="E73" s="100">
        <v>11.47</v>
      </c>
      <c r="F73" s="100">
        <v>37.44</v>
      </c>
      <c r="G73" s="100">
        <v>52.5</v>
      </c>
      <c r="H73" s="100">
        <v>20.399999999999999</v>
      </c>
      <c r="I73" s="100">
        <v>6.37</v>
      </c>
      <c r="J73" s="100">
        <v>0.33</v>
      </c>
      <c r="K73" s="100">
        <v>300.57</v>
      </c>
      <c r="L73" s="100">
        <v>40.340000000000003</v>
      </c>
      <c r="M73" s="100">
        <v>18.010000000000002</v>
      </c>
      <c r="N73" s="100">
        <v>359.5</v>
      </c>
      <c r="O73" s="100">
        <v>0</v>
      </c>
      <c r="P73" s="100">
        <v>0.53</v>
      </c>
      <c r="Q73" s="100">
        <v>4.6500000000000004</v>
      </c>
    </row>
    <row r="74" spans="1:17" customFormat="1">
      <c r="A74" s="100" t="s">
        <v>2127</v>
      </c>
      <c r="B74" s="100">
        <v>5.09</v>
      </c>
      <c r="C74" s="100">
        <v>48.94</v>
      </c>
      <c r="D74" s="100">
        <v>28.6</v>
      </c>
      <c r="E74" s="100">
        <v>16.32</v>
      </c>
      <c r="F74" s="100">
        <v>42.78</v>
      </c>
      <c r="G74" s="100">
        <v>52.52</v>
      </c>
      <c r="H74" s="100">
        <v>20.399999999999999</v>
      </c>
      <c r="I74" s="100">
        <v>5.6</v>
      </c>
      <c r="J74" s="100">
        <v>0.38</v>
      </c>
      <c r="K74" s="100">
        <v>260.18</v>
      </c>
      <c r="L74" s="100">
        <v>40.15</v>
      </c>
      <c r="M74" s="100">
        <v>21.57</v>
      </c>
      <c r="N74" s="100">
        <v>304.5</v>
      </c>
      <c r="O74" s="100">
        <v>0</v>
      </c>
      <c r="P74" s="100">
        <v>0.56999999999999995</v>
      </c>
      <c r="Q74" s="100">
        <v>4.71</v>
      </c>
    </row>
    <row r="75" spans="1:17" customFormat="1">
      <c r="A75" s="100" t="s">
        <v>2128</v>
      </c>
      <c r="B75" s="100">
        <v>4.8600000000000003</v>
      </c>
      <c r="C75" s="100">
        <v>49.33</v>
      </c>
      <c r="D75" s="100">
        <v>28.62</v>
      </c>
      <c r="E75" s="100">
        <v>17.16</v>
      </c>
      <c r="F75" s="100">
        <v>36</v>
      </c>
      <c r="G75" s="100">
        <v>52.52</v>
      </c>
      <c r="H75" s="100">
        <v>20.399999999999999</v>
      </c>
      <c r="I75" s="100">
        <v>5.24</v>
      </c>
      <c r="J75" s="100">
        <v>0.55000000000000004</v>
      </c>
      <c r="K75" s="100">
        <v>239.76</v>
      </c>
      <c r="L75" s="100">
        <v>39.369999999999997</v>
      </c>
      <c r="M75" s="100">
        <v>24.17</v>
      </c>
      <c r="N75" s="100">
        <v>250.6</v>
      </c>
      <c r="O75" s="100">
        <v>0</v>
      </c>
      <c r="P75" s="100">
        <v>0.63</v>
      </c>
      <c r="Q75" s="100">
        <v>4.7300000000000004</v>
      </c>
    </row>
    <row r="76" spans="1:17" customFormat="1">
      <c r="A76" s="100" t="s">
        <v>2129</v>
      </c>
      <c r="B76" s="100">
        <v>4.75</v>
      </c>
      <c r="C76" s="100">
        <v>49.34</v>
      </c>
      <c r="D76" s="100">
        <v>28.54</v>
      </c>
      <c r="E76" s="100">
        <v>12.84</v>
      </c>
      <c r="F76" s="100">
        <v>29.1</v>
      </c>
      <c r="G76" s="100">
        <v>52.52</v>
      </c>
      <c r="H76" s="100">
        <v>20.399999999999999</v>
      </c>
      <c r="I76" s="100">
        <v>6.08</v>
      </c>
      <c r="J76" s="100">
        <v>0.5</v>
      </c>
      <c r="K76" s="100">
        <v>240.77</v>
      </c>
      <c r="L76" s="100">
        <v>38.57</v>
      </c>
      <c r="M76" s="100">
        <v>25.66</v>
      </c>
      <c r="N76" s="100">
        <v>170.6</v>
      </c>
      <c r="O76" s="100">
        <v>0</v>
      </c>
      <c r="P76" s="100">
        <v>0.61</v>
      </c>
      <c r="Q76" s="100">
        <v>4.7</v>
      </c>
    </row>
    <row r="77" spans="1:17" customFormat="1">
      <c r="A77" s="100" t="s">
        <v>2130</v>
      </c>
      <c r="B77" s="100">
        <v>6.47</v>
      </c>
      <c r="C77" s="100">
        <v>52.5</v>
      </c>
      <c r="D77" s="100">
        <v>31.57</v>
      </c>
      <c r="E77" s="100">
        <v>13.12</v>
      </c>
      <c r="F77" s="100">
        <v>36.85</v>
      </c>
      <c r="G77" s="100">
        <v>50.62</v>
      </c>
      <c r="H77" s="100">
        <v>22.45</v>
      </c>
      <c r="I77" s="100">
        <v>6.46</v>
      </c>
      <c r="J77" s="100">
        <v>0.61</v>
      </c>
      <c r="K77" s="100">
        <v>49.05</v>
      </c>
      <c r="L77" s="100">
        <v>38.369999999999997</v>
      </c>
      <c r="M77" s="100">
        <v>25.68</v>
      </c>
      <c r="N77" s="100">
        <v>114.4</v>
      </c>
      <c r="O77" s="100">
        <v>0</v>
      </c>
      <c r="P77" s="100">
        <v>0.61</v>
      </c>
      <c r="Q77" s="100">
        <v>4.72</v>
      </c>
    </row>
    <row r="78" spans="1:17" customFormat="1">
      <c r="A78" s="100" t="s">
        <v>2131</v>
      </c>
      <c r="B78" s="100">
        <v>5.72</v>
      </c>
      <c r="C78" s="100">
        <v>50.83</v>
      </c>
      <c r="D78" s="100">
        <v>30.1</v>
      </c>
      <c r="E78" s="100">
        <v>21.09</v>
      </c>
      <c r="F78" s="100">
        <v>43.89</v>
      </c>
      <c r="G78" s="100">
        <v>50.56</v>
      </c>
      <c r="H78" s="100">
        <v>22.45</v>
      </c>
      <c r="I78" s="100">
        <v>6</v>
      </c>
      <c r="J78" s="100">
        <v>0.24</v>
      </c>
      <c r="K78" s="100">
        <v>153.04</v>
      </c>
      <c r="L78" s="100">
        <v>38.07</v>
      </c>
      <c r="M78" s="100">
        <v>26.96</v>
      </c>
      <c r="N78" s="100">
        <v>99.6</v>
      </c>
      <c r="O78" s="100">
        <v>0</v>
      </c>
      <c r="P78" s="100">
        <v>0.56000000000000005</v>
      </c>
      <c r="Q78" s="100">
        <v>4.75</v>
      </c>
    </row>
    <row r="79" spans="1:17" customFormat="1">
      <c r="A79" s="100" t="s">
        <v>2132</v>
      </c>
      <c r="B79" s="100">
        <v>5.35</v>
      </c>
      <c r="C79" s="100">
        <v>52.18</v>
      </c>
      <c r="D79" s="100">
        <v>30.51</v>
      </c>
      <c r="E79" s="100">
        <v>21.81</v>
      </c>
      <c r="F79" s="100">
        <v>32.130000000000003</v>
      </c>
      <c r="G79" s="100">
        <v>50.56</v>
      </c>
      <c r="H79" s="100">
        <v>22.45</v>
      </c>
      <c r="I79" s="100">
        <v>5.79</v>
      </c>
      <c r="J79" s="100">
        <v>0.38</v>
      </c>
      <c r="K79" s="100">
        <v>96.44</v>
      </c>
      <c r="L79" s="100">
        <v>37.18</v>
      </c>
      <c r="M79" s="100">
        <v>28.34</v>
      </c>
      <c r="N79" s="100">
        <v>62.3</v>
      </c>
      <c r="O79" s="100">
        <v>0</v>
      </c>
      <c r="P79" s="100">
        <v>0.56000000000000005</v>
      </c>
      <c r="Q79" s="100">
        <v>4.74</v>
      </c>
    </row>
    <row r="80" spans="1:17" customFormat="1">
      <c r="A80" s="100" t="s">
        <v>2133</v>
      </c>
      <c r="B80" s="100">
        <v>4.91</v>
      </c>
      <c r="C80" s="100">
        <v>50.57</v>
      </c>
      <c r="D80" s="100">
        <v>29.31</v>
      </c>
      <c r="E80" s="100">
        <v>33.1</v>
      </c>
      <c r="F80" s="100">
        <v>32.6</v>
      </c>
      <c r="G80" s="100">
        <v>50.56</v>
      </c>
      <c r="H80" s="100">
        <v>22.45</v>
      </c>
      <c r="I80" s="100">
        <v>5.51</v>
      </c>
      <c r="J80" s="100">
        <v>0.34</v>
      </c>
      <c r="K80" s="100">
        <v>120.83</v>
      </c>
      <c r="L80" s="100">
        <v>36.19</v>
      </c>
      <c r="M80" s="100">
        <v>30.2</v>
      </c>
      <c r="N80" s="100">
        <v>34.4</v>
      </c>
      <c r="O80" s="100">
        <v>0</v>
      </c>
      <c r="P80" s="100">
        <v>0.53</v>
      </c>
      <c r="Q80" s="100">
        <v>4.7</v>
      </c>
    </row>
    <row r="81" spans="1:17" customFormat="1">
      <c r="A81" s="100" t="s">
        <v>2134</v>
      </c>
      <c r="B81" s="100">
        <v>4.66</v>
      </c>
      <c r="C81" s="100">
        <v>46.65</v>
      </c>
      <c r="D81" s="100">
        <v>27.07</v>
      </c>
      <c r="E81" s="100">
        <v>15.55</v>
      </c>
      <c r="F81" s="100">
        <v>38.96</v>
      </c>
      <c r="G81" s="100">
        <v>52.38</v>
      </c>
      <c r="H81" s="100">
        <v>20.61</v>
      </c>
      <c r="I81" s="100">
        <v>5.3</v>
      </c>
      <c r="J81" s="100">
        <v>0.17</v>
      </c>
      <c r="K81" s="100">
        <v>113.91</v>
      </c>
      <c r="L81" s="100">
        <v>35.130000000000003</v>
      </c>
      <c r="M81" s="100">
        <v>32.450000000000003</v>
      </c>
      <c r="N81" s="100">
        <v>11.9</v>
      </c>
      <c r="O81" s="100">
        <v>0</v>
      </c>
      <c r="P81" s="100">
        <v>0.52</v>
      </c>
      <c r="Q81" s="100">
        <v>4.68</v>
      </c>
    </row>
    <row r="82" spans="1:17" customFormat="1">
      <c r="A82" s="100" t="s">
        <v>2135</v>
      </c>
      <c r="B82" s="100">
        <v>4.05</v>
      </c>
      <c r="C82" s="100">
        <v>42.65</v>
      </c>
      <c r="D82" s="100">
        <v>24.49</v>
      </c>
      <c r="E82" s="100">
        <v>13.2</v>
      </c>
      <c r="F82" s="100">
        <v>42.47</v>
      </c>
      <c r="G82" s="100">
        <v>52.44</v>
      </c>
      <c r="H82" s="100">
        <v>20.61</v>
      </c>
      <c r="I82" s="100">
        <v>5.34</v>
      </c>
      <c r="J82" s="100">
        <v>0.21</v>
      </c>
      <c r="K82" s="100">
        <v>203.74</v>
      </c>
      <c r="L82" s="100">
        <v>34.07</v>
      </c>
      <c r="M82" s="100">
        <v>34.770000000000003</v>
      </c>
      <c r="N82" s="100">
        <v>0.5</v>
      </c>
      <c r="O82" s="100">
        <v>0</v>
      </c>
      <c r="P82" s="100">
        <v>0.5</v>
      </c>
      <c r="Q82" s="100">
        <v>4.63</v>
      </c>
    </row>
    <row r="83" spans="1:17" customFormat="1">
      <c r="A83" s="100" t="s">
        <v>2136</v>
      </c>
      <c r="B83" s="100">
        <v>4.3499999999999996</v>
      </c>
      <c r="C83" s="100">
        <v>45.03</v>
      </c>
      <c r="D83" s="100">
        <v>25.97</v>
      </c>
      <c r="E83" s="100">
        <v>11.01</v>
      </c>
      <c r="F83" s="100">
        <v>37.03</v>
      </c>
      <c r="G83" s="100">
        <v>52.44</v>
      </c>
      <c r="H83" s="100">
        <v>20.61</v>
      </c>
      <c r="I83" s="100">
        <v>5.18</v>
      </c>
      <c r="J83" s="100">
        <v>0.22</v>
      </c>
      <c r="K83" s="100">
        <v>196.99</v>
      </c>
      <c r="L83" s="100">
        <v>33.36</v>
      </c>
      <c r="M83" s="100">
        <v>36.06</v>
      </c>
      <c r="N83" s="100">
        <v>0</v>
      </c>
      <c r="O83" s="100">
        <v>0</v>
      </c>
      <c r="P83" s="100">
        <v>0.51</v>
      </c>
      <c r="Q83" s="100">
        <v>4.57</v>
      </c>
    </row>
    <row r="84" spans="1:17" customFormat="1">
      <c r="A84" s="100" t="s">
        <v>2137</v>
      </c>
      <c r="B84" s="100">
        <v>4.18</v>
      </c>
      <c r="C84" s="100">
        <v>45.68</v>
      </c>
      <c r="D84" s="100">
        <v>26.18</v>
      </c>
      <c r="E84" s="100">
        <v>11.91</v>
      </c>
      <c r="F84" s="100">
        <v>46.87</v>
      </c>
      <c r="G84" s="100">
        <v>52.44</v>
      </c>
      <c r="H84" s="100">
        <v>20.61</v>
      </c>
      <c r="I84" s="100">
        <v>4.93</v>
      </c>
      <c r="J84" s="100">
        <v>0.22</v>
      </c>
      <c r="K84" s="100">
        <v>186.8</v>
      </c>
      <c r="L84" s="100">
        <v>32.97</v>
      </c>
      <c r="M84" s="100">
        <v>37.26</v>
      </c>
      <c r="N84" s="100">
        <v>0</v>
      </c>
      <c r="O84" s="100">
        <v>0</v>
      </c>
      <c r="P84" s="100">
        <v>0.52</v>
      </c>
      <c r="Q84" s="100">
        <v>4.66</v>
      </c>
    </row>
    <row r="85" spans="1:17" customFormat="1">
      <c r="A85" s="100" t="s">
        <v>2138</v>
      </c>
      <c r="B85" s="100">
        <v>4.72</v>
      </c>
      <c r="C85" s="100">
        <v>47.79</v>
      </c>
      <c r="D85" s="100">
        <v>27.71</v>
      </c>
      <c r="E85" s="100">
        <v>10.220000000000001</v>
      </c>
      <c r="F85" s="100">
        <v>31.57</v>
      </c>
      <c r="G85" s="100">
        <v>53.12</v>
      </c>
      <c r="H85" s="100">
        <v>20.91</v>
      </c>
      <c r="I85" s="100">
        <v>4.93</v>
      </c>
      <c r="J85" s="100">
        <v>0.17</v>
      </c>
      <c r="K85" s="100">
        <v>209.67</v>
      </c>
      <c r="L85" s="100">
        <v>32.4</v>
      </c>
      <c r="M85" s="100">
        <v>40.19</v>
      </c>
      <c r="N85" s="100">
        <v>0</v>
      </c>
      <c r="O85" s="100">
        <v>0</v>
      </c>
      <c r="P85" s="100">
        <v>0.53</v>
      </c>
      <c r="Q85" s="100">
        <v>4.67</v>
      </c>
    </row>
    <row r="86" spans="1:17" customFormat="1">
      <c r="A86" s="100" t="s">
        <v>2139</v>
      </c>
      <c r="B86" s="100">
        <v>4.5</v>
      </c>
      <c r="C86" s="100">
        <v>44.82</v>
      </c>
      <c r="D86" s="100">
        <v>25.98</v>
      </c>
      <c r="E86" s="100">
        <v>10.14</v>
      </c>
      <c r="F86" s="100">
        <v>35.96</v>
      </c>
      <c r="G86" s="100">
        <v>53.15</v>
      </c>
      <c r="H86" s="100">
        <v>20.91</v>
      </c>
      <c r="I86" s="100">
        <v>5.04</v>
      </c>
      <c r="J86" s="100">
        <v>0.19</v>
      </c>
      <c r="K86" s="100">
        <v>218.6</v>
      </c>
      <c r="L86" s="100">
        <v>31.88</v>
      </c>
      <c r="M86" s="100">
        <v>41.48</v>
      </c>
      <c r="N86" s="100">
        <v>0</v>
      </c>
      <c r="O86" s="100">
        <v>0</v>
      </c>
      <c r="P86" s="100">
        <v>0.55000000000000004</v>
      </c>
      <c r="Q86" s="100">
        <v>4.7</v>
      </c>
    </row>
    <row r="87" spans="1:17" customFormat="1">
      <c r="A87" s="100" t="s">
        <v>2140</v>
      </c>
      <c r="B87" s="100">
        <v>5.05</v>
      </c>
      <c r="C87" s="100">
        <v>46.48</v>
      </c>
      <c r="D87" s="100">
        <v>27.29</v>
      </c>
      <c r="E87" s="100">
        <v>9.67</v>
      </c>
      <c r="F87" s="100">
        <v>27.92</v>
      </c>
      <c r="G87" s="100">
        <v>53.15</v>
      </c>
      <c r="H87" s="100">
        <v>20.91</v>
      </c>
      <c r="I87" s="100">
        <v>5.1100000000000003</v>
      </c>
      <c r="J87" s="100">
        <v>0.13</v>
      </c>
      <c r="K87" s="100">
        <v>212.89</v>
      </c>
      <c r="L87" s="100">
        <v>31.44</v>
      </c>
      <c r="M87" s="100">
        <v>43.01</v>
      </c>
      <c r="N87" s="100">
        <v>0</v>
      </c>
      <c r="O87" s="100">
        <v>0</v>
      </c>
      <c r="P87" s="100">
        <v>0.54</v>
      </c>
      <c r="Q87" s="100">
        <v>4.66</v>
      </c>
    </row>
    <row r="88" spans="1:17" customFormat="1">
      <c r="A88" s="100" t="s">
        <v>2141</v>
      </c>
      <c r="B88" s="100">
        <v>5.38</v>
      </c>
      <c r="C88" s="100">
        <v>48.03</v>
      </c>
      <c r="D88" s="100">
        <v>28.36</v>
      </c>
      <c r="E88" s="100">
        <v>9.2200000000000006</v>
      </c>
      <c r="F88" s="100">
        <v>24.44</v>
      </c>
      <c r="G88" s="100">
        <v>53.15</v>
      </c>
      <c r="H88" s="100">
        <v>20.91</v>
      </c>
      <c r="I88" s="100">
        <v>5.16</v>
      </c>
      <c r="J88" s="100">
        <v>0.18</v>
      </c>
      <c r="K88" s="100">
        <v>187.3</v>
      </c>
      <c r="L88" s="100">
        <v>31.17</v>
      </c>
      <c r="M88" s="100">
        <v>45.37</v>
      </c>
      <c r="N88" s="100">
        <v>0</v>
      </c>
      <c r="O88" s="100">
        <v>0</v>
      </c>
      <c r="P88" s="100">
        <v>0.57999999999999996</v>
      </c>
      <c r="Q88" s="100">
        <v>4.72</v>
      </c>
    </row>
    <row r="89" spans="1:17" customFormat="1">
      <c r="A89" s="100" t="s">
        <v>2142</v>
      </c>
      <c r="B89" s="100">
        <v>5.63</v>
      </c>
      <c r="C89" s="100">
        <v>47.1</v>
      </c>
      <c r="D89" s="100">
        <v>28.08</v>
      </c>
      <c r="E89" s="100">
        <v>8.7799999999999994</v>
      </c>
      <c r="F89" s="100">
        <v>21.06</v>
      </c>
      <c r="G89" s="100">
        <v>49.61</v>
      </c>
      <c r="H89" s="100">
        <v>20.260000000000002</v>
      </c>
      <c r="I89" s="100">
        <v>5.3</v>
      </c>
      <c r="J89" s="100">
        <v>0.22</v>
      </c>
      <c r="K89" s="100">
        <v>215.68</v>
      </c>
      <c r="L89" s="100">
        <v>30.52</v>
      </c>
      <c r="M89" s="100">
        <v>48.34</v>
      </c>
      <c r="N89" s="100">
        <v>0</v>
      </c>
      <c r="O89" s="100">
        <v>0</v>
      </c>
      <c r="P89" s="100">
        <v>0.6</v>
      </c>
      <c r="Q89" s="100">
        <v>4.75</v>
      </c>
    </row>
    <row r="90" spans="1:17" customFormat="1">
      <c r="A90" s="100" t="s">
        <v>2143</v>
      </c>
      <c r="B90" s="100">
        <v>6.04</v>
      </c>
      <c r="C90" s="100">
        <v>49.4</v>
      </c>
      <c r="D90" s="100">
        <v>29.61</v>
      </c>
      <c r="E90" s="100">
        <v>8.92</v>
      </c>
      <c r="F90" s="100">
        <v>23.6</v>
      </c>
      <c r="G90" s="100">
        <v>49.45</v>
      </c>
      <c r="H90" s="100">
        <v>20.260000000000002</v>
      </c>
      <c r="I90" s="100">
        <v>5.59</v>
      </c>
      <c r="J90" s="100">
        <v>0.13</v>
      </c>
      <c r="K90" s="100">
        <v>214.2</v>
      </c>
      <c r="L90" s="100">
        <v>30.79</v>
      </c>
      <c r="M90" s="100">
        <v>46.28</v>
      </c>
      <c r="N90" s="100">
        <v>0</v>
      </c>
      <c r="O90" s="100">
        <v>0</v>
      </c>
      <c r="P90" s="100">
        <v>0.63</v>
      </c>
      <c r="Q90" s="100">
        <v>4.7699999999999996</v>
      </c>
    </row>
    <row r="91" spans="1:17" customFormat="1">
      <c r="A91" s="100" t="s">
        <v>2144</v>
      </c>
      <c r="B91" s="100">
        <v>6.5</v>
      </c>
      <c r="C91" s="100">
        <v>50</v>
      </c>
      <c r="D91" s="100">
        <v>30.29</v>
      </c>
      <c r="E91" s="100">
        <v>9.6</v>
      </c>
      <c r="F91" s="100">
        <v>24.54</v>
      </c>
      <c r="G91" s="100">
        <v>49.45</v>
      </c>
      <c r="H91" s="100">
        <v>20.260000000000002</v>
      </c>
      <c r="I91" s="100">
        <v>5.86</v>
      </c>
      <c r="J91" s="100">
        <v>0.1</v>
      </c>
      <c r="K91" s="100">
        <v>232.49</v>
      </c>
      <c r="L91" s="100">
        <v>31.12</v>
      </c>
      <c r="M91" s="100">
        <v>44.54</v>
      </c>
      <c r="N91" s="100">
        <v>0</v>
      </c>
      <c r="O91" s="100">
        <v>0</v>
      </c>
      <c r="P91" s="100">
        <v>0.62</v>
      </c>
      <c r="Q91" s="100">
        <v>4.79</v>
      </c>
    </row>
    <row r="92" spans="1:17" customFormat="1">
      <c r="A92" s="100" t="s">
        <v>2145</v>
      </c>
      <c r="B92" s="100">
        <v>6.6</v>
      </c>
      <c r="C92" s="100">
        <v>47.55</v>
      </c>
      <c r="D92" s="100">
        <v>29.09</v>
      </c>
      <c r="E92" s="100">
        <v>10.3</v>
      </c>
      <c r="F92" s="100">
        <v>24.58</v>
      </c>
      <c r="G92" s="100">
        <v>49.45</v>
      </c>
      <c r="H92" s="100">
        <v>20.260000000000002</v>
      </c>
      <c r="I92" s="100">
        <v>6.01</v>
      </c>
      <c r="J92" s="100">
        <v>0.19</v>
      </c>
      <c r="K92" s="100">
        <v>225.22</v>
      </c>
      <c r="L92" s="100">
        <v>31.13</v>
      </c>
      <c r="M92" s="100">
        <v>44.39</v>
      </c>
      <c r="N92" s="100">
        <v>0</v>
      </c>
      <c r="O92" s="100">
        <v>0</v>
      </c>
      <c r="P92" s="100">
        <v>0.62</v>
      </c>
      <c r="Q92" s="100">
        <v>4.78</v>
      </c>
    </row>
    <row r="93" spans="1:17" customFormat="1">
      <c r="A93" s="100" t="s">
        <v>2146</v>
      </c>
      <c r="B93" s="100">
        <v>6.62</v>
      </c>
      <c r="C93" s="100">
        <v>49.11</v>
      </c>
      <c r="D93" s="100">
        <v>29.92</v>
      </c>
      <c r="E93" s="100">
        <v>8.94</v>
      </c>
      <c r="F93" s="100">
        <v>23.93</v>
      </c>
      <c r="G93" s="100">
        <v>51.36</v>
      </c>
      <c r="H93" s="100">
        <v>20.39</v>
      </c>
      <c r="I93" s="100">
        <v>5.91</v>
      </c>
      <c r="J93" s="100">
        <v>0.14000000000000001</v>
      </c>
      <c r="K93" s="100">
        <v>205.23</v>
      </c>
      <c r="L93" s="100">
        <v>31.15</v>
      </c>
      <c r="M93" s="100">
        <v>43.47</v>
      </c>
      <c r="N93" s="100">
        <v>0</v>
      </c>
      <c r="O93" s="100">
        <v>0</v>
      </c>
      <c r="P93" s="100">
        <v>0.59</v>
      </c>
      <c r="Q93" s="100">
        <v>4.83</v>
      </c>
    </row>
    <row r="94" spans="1:17" customFormat="1">
      <c r="A94" s="100" t="s">
        <v>2147</v>
      </c>
      <c r="B94" s="100">
        <v>7.23</v>
      </c>
      <c r="C94" s="100">
        <v>49.38</v>
      </c>
      <c r="D94" s="100">
        <v>30.56</v>
      </c>
      <c r="E94" s="100">
        <v>8.06</v>
      </c>
      <c r="F94" s="100">
        <v>23.03</v>
      </c>
      <c r="G94" s="100">
        <v>51.45</v>
      </c>
      <c r="H94" s="100">
        <v>20.39</v>
      </c>
      <c r="I94" s="100">
        <v>5.86</v>
      </c>
      <c r="J94" s="100">
        <v>0.16</v>
      </c>
      <c r="K94" s="100">
        <v>224.98</v>
      </c>
      <c r="L94" s="100">
        <v>31.02</v>
      </c>
      <c r="M94" s="100">
        <v>42.47</v>
      </c>
      <c r="N94" s="100">
        <v>0</v>
      </c>
      <c r="O94" s="100">
        <v>0</v>
      </c>
      <c r="P94" s="100">
        <v>0.56000000000000005</v>
      </c>
      <c r="Q94" s="100">
        <v>4.82</v>
      </c>
    </row>
    <row r="95" spans="1:17" customFormat="1">
      <c r="A95" s="100" t="s">
        <v>2148</v>
      </c>
      <c r="B95" s="100">
        <v>7.13</v>
      </c>
      <c r="C95" s="100">
        <v>47.05</v>
      </c>
      <c r="D95" s="100">
        <v>29.25</v>
      </c>
      <c r="E95" s="100">
        <v>7.51</v>
      </c>
      <c r="F95" s="100">
        <v>23.05</v>
      </c>
      <c r="G95" s="100">
        <v>51.45</v>
      </c>
      <c r="H95" s="100">
        <v>20.39</v>
      </c>
      <c r="I95" s="100">
        <v>5.7</v>
      </c>
      <c r="J95" s="100">
        <v>0.28000000000000003</v>
      </c>
      <c r="K95" s="100">
        <v>240.46</v>
      </c>
      <c r="L95" s="100">
        <v>30.88</v>
      </c>
      <c r="M95" s="100">
        <v>42.07</v>
      </c>
      <c r="N95" s="100">
        <v>0</v>
      </c>
      <c r="O95" s="100">
        <v>0</v>
      </c>
      <c r="P95" s="100">
        <v>0.54</v>
      </c>
      <c r="Q95" s="100">
        <v>4.8</v>
      </c>
    </row>
    <row r="96" spans="1:17" customFormat="1">
      <c r="A96" s="100" t="s">
        <v>2149</v>
      </c>
      <c r="B96" s="100">
        <v>8.23</v>
      </c>
      <c r="C96" s="100">
        <v>53.99</v>
      </c>
      <c r="D96" s="100">
        <v>33.76</v>
      </c>
      <c r="E96" s="100">
        <v>6.63</v>
      </c>
      <c r="F96" s="100">
        <v>15.81</v>
      </c>
      <c r="G96" s="100">
        <v>51.45</v>
      </c>
      <c r="H96" s="100">
        <v>20.39</v>
      </c>
      <c r="I96" s="100">
        <v>5.24</v>
      </c>
      <c r="J96" s="100">
        <v>0.25</v>
      </c>
      <c r="K96" s="100">
        <v>224.83</v>
      </c>
      <c r="L96" s="100">
        <v>30.7</v>
      </c>
      <c r="M96" s="100">
        <v>42.06</v>
      </c>
      <c r="N96" s="100">
        <v>0</v>
      </c>
      <c r="O96" s="100">
        <v>0</v>
      </c>
      <c r="P96" s="100">
        <v>0.56999999999999995</v>
      </c>
      <c r="Q96" s="100">
        <v>4.82</v>
      </c>
    </row>
    <row r="97" spans="1:22" customFormat="1">
      <c r="A97" s="100" t="s">
        <v>2150</v>
      </c>
      <c r="B97" s="100">
        <v>7.62</v>
      </c>
      <c r="C97" s="100">
        <v>47.53</v>
      </c>
      <c r="D97" s="100">
        <v>29.9</v>
      </c>
      <c r="E97" s="100">
        <v>6.32</v>
      </c>
      <c r="F97" s="100">
        <v>23.95</v>
      </c>
      <c r="G97" s="100">
        <v>50.94</v>
      </c>
      <c r="H97" s="100">
        <v>17.12</v>
      </c>
      <c r="I97" s="100">
        <v>5.34</v>
      </c>
      <c r="J97" s="100">
        <v>0.35</v>
      </c>
      <c r="K97" s="100">
        <v>234.18</v>
      </c>
      <c r="L97" s="100">
        <v>30.7</v>
      </c>
      <c r="M97" s="100">
        <v>41.92</v>
      </c>
      <c r="N97" s="100">
        <v>0</v>
      </c>
      <c r="O97" s="100">
        <v>0</v>
      </c>
      <c r="P97" s="100">
        <v>0.52</v>
      </c>
      <c r="Q97" s="100">
        <v>4.88</v>
      </c>
    </row>
    <row r="98" spans="1:22" customFormat="1">
      <c r="A98" s="100" t="s">
        <v>2151</v>
      </c>
      <c r="B98" s="100">
        <v>8.41</v>
      </c>
      <c r="C98" s="100">
        <v>51.94</v>
      </c>
      <c r="D98" s="100">
        <v>32.840000000000003</v>
      </c>
      <c r="E98" s="100">
        <v>6.31</v>
      </c>
      <c r="F98" s="100">
        <v>16.559999999999999</v>
      </c>
      <c r="G98" s="100">
        <v>50.92</v>
      </c>
      <c r="H98" s="100">
        <v>17.12</v>
      </c>
      <c r="I98" s="100">
        <v>5.36</v>
      </c>
      <c r="J98" s="100">
        <v>0.3</v>
      </c>
      <c r="K98" s="100">
        <v>234.15</v>
      </c>
      <c r="L98" s="100">
        <v>30.52</v>
      </c>
      <c r="M98" s="100">
        <v>43</v>
      </c>
      <c r="N98" s="100">
        <v>0</v>
      </c>
      <c r="O98" s="100">
        <v>0</v>
      </c>
      <c r="P98" s="100">
        <v>0.54</v>
      </c>
      <c r="Q98" s="100">
        <v>4.8099999999999996</v>
      </c>
    </row>
    <row r="99" spans="1:22" customFormat="1">
      <c r="A99" s="100" t="s">
        <v>2152</v>
      </c>
      <c r="B99" s="100">
        <v>8.17</v>
      </c>
      <c r="C99" s="100">
        <v>48.21</v>
      </c>
      <c r="D99" s="100">
        <v>30.7</v>
      </c>
      <c r="E99" s="100">
        <v>6.44</v>
      </c>
      <c r="F99" s="100">
        <v>19.45</v>
      </c>
      <c r="G99" s="100">
        <v>50.92</v>
      </c>
      <c r="H99" s="100">
        <v>17.12</v>
      </c>
      <c r="I99" s="100">
        <v>5.01</v>
      </c>
      <c r="J99" s="100">
        <v>0.21</v>
      </c>
      <c r="K99" s="100">
        <v>194.07</v>
      </c>
      <c r="L99" s="100">
        <v>30.3</v>
      </c>
      <c r="M99" s="100">
        <v>44.15</v>
      </c>
      <c r="N99" s="100">
        <v>0</v>
      </c>
      <c r="O99" s="100">
        <v>0</v>
      </c>
      <c r="P99" s="100">
        <v>0.51</v>
      </c>
      <c r="Q99" s="100">
        <v>4.79</v>
      </c>
    </row>
    <row r="100" spans="1:22" customFormat="1">
      <c r="A100" s="100" t="s">
        <v>2153</v>
      </c>
      <c r="B100" s="100">
        <v>7.73</v>
      </c>
      <c r="C100" s="100">
        <v>48.72</v>
      </c>
      <c r="D100" s="100">
        <v>30.61</v>
      </c>
      <c r="E100" s="100">
        <v>6.26</v>
      </c>
      <c r="F100" s="100">
        <v>22.81</v>
      </c>
      <c r="G100" s="100">
        <v>50.92</v>
      </c>
      <c r="H100" s="100">
        <v>17.12</v>
      </c>
      <c r="I100" s="100">
        <v>4.99</v>
      </c>
      <c r="J100" s="100">
        <v>0.09</v>
      </c>
      <c r="K100" s="100">
        <v>198.62</v>
      </c>
      <c r="L100" s="100">
        <v>29.99</v>
      </c>
      <c r="M100" s="100">
        <v>45.62</v>
      </c>
      <c r="N100" s="100">
        <v>0</v>
      </c>
      <c r="O100" s="100">
        <v>0</v>
      </c>
      <c r="P100" s="100">
        <v>0.5</v>
      </c>
      <c r="Q100" s="100">
        <v>4.82</v>
      </c>
    </row>
    <row r="101" spans="1:22" customFormat="1">
      <c r="A101" s="100" t="s">
        <v>2154</v>
      </c>
      <c r="B101" s="100">
        <v>7.91</v>
      </c>
      <c r="C101" s="100">
        <v>48.07</v>
      </c>
      <c r="D101" s="100">
        <v>30.42</v>
      </c>
      <c r="E101" s="100">
        <v>6.07</v>
      </c>
      <c r="F101" s="100">
        <v>21.39</v>
      </c>
      <c r="G101" s="100">
        <v>39.950000000000003</v>
      </c>
      <c r="H101" s="100">
        <v>16.27</v>
      </c>
      <c r="I101" s="100">
        <v>4.7300000000000004</v>
      </c>
      <c r="J101" s="100">
        <v>0.09</v>
      </c>
      <c r="K101" s="100">
        <v>224.55</v>
      </c>
      <c r="L101" s="100">
        <v>29.59</v>
      </c>
      <c r="M101" s="100">
        <v>47.39</v>
      </c>
      <c r="N101" s="100">
        <v>0</v>
      </c>
      <c r="O101" s="100">
        <v>0</v>
      </c>
      <c r="P101" s="100">
        <v>0.5</v>
      </c>
      <c r="Q101" s="100">
        <v>4.8499999999999996</v>
      </c>
    </row>
    <row r="102" spans="1:22" customFormat="1">
      <c r="A102" s="100" t="s">
        <v>2155</v>
      </c>
      <c r="B102" s="100">
        <v>8.58</v>
      </c>
      <c r="C102" s="100">
        <v>50.17</v>
      </c>
      <c r="D102" s="100">
        <v>32.049999999999997</v>
      </c>
      <c r="E102" s="100">
        <v>5.98</v>
      </c>
      <c r="F102" s="100">
        <v>16.62</v>
      </c>
      <c r="G102" s="100">
        <v>39.57</v>
      </c>
      <c r="H102" s="100">
        <v>16.27</v>
      </c>
      <c r="I102" s="100">
        <v>4.76</v>
      </c>
      <c r="J102" s="100">
        <v>0.12</v>
      </c>
      <c r="K102" s="100">
        <v>224.42</v>
      </c>
      <c r="L102" s="100">
        <v>29.27</v>
      </c>
      <c r="M102" s="100">
        <v>48.73</v>
      </c>
      <c r="N102" s="100">
        <v>0</v>
      </c>
      <c r="O102" s="100">
        <v>0</v>
      </c>
      <c r="P102" s="100">
        <v>0.49</v>
      </c>
      <c r="Q102" s="100">
        <v>4.84</v>
      </c>
    </row>
    <row r="103" spans="1:22" customFormat="1">
      <c r="A103" s="100" t="s">
        <v>2156</v>
      </c>
      <c r="B103" s="100">
        <v>8.85</v>
      </c>
      <c r="C103" s="100">
        <v>50.09</v>
      </c>
      <c r="D103" s="100">
        <v>32.22</v>
      </c>
      <c r="E103" s="100">
        <v>6.04</v>
      </c>
      <c r="F103" s="100">
        <v>15.91</v>
      </c>
      <c r="G103" s="100">
        <v>39.57</v>
      </c>
      <c r="H103" s="100">
        <v>16.27</v>
      </c>
      <c r="I103" s="100">
        <v>4.67</v>
      </c>
      <c r="J103" s="100">
        <v>0.16</v>
      </c>
      <c r="K103" s="100">
        <v>226.7</v>
      </c>
      <c r="L103" s="100">
        <v>29.01</v>
      </c>
      <c r="M103" s="100">
        <v>49.73</v>
      </c>
      <c r="N103" s="100">
        <v>0</v>
      </c>
      <c r="O103" s="100">
        <v>0</v>
      </c>
      <c r="P103" s="100">
        <v>0.49</v>
      </c>
      <c r="Q103" s="100">
        <v>4.84</v>
      </c>
    </row>
    <row r="104" spans="1:22" customFormat="1">
      <c r="A104" s="100" t="s">
        <v>2157</v>
      </c>
      <c r="B104" s="100">
        <v>8.8699999999999992</v>
      </c>
      <c r="C104" s="100">
        <v>48.46</v>
      </c>
      <c r="D104" s="100">
        <v>31.38</v>
      </c>
      <c r="E104" s="100">
        <v>6.28</v>
      </c>
      <c r="F104" s="100">
        <v>19.18</v>
      </c>
      <c r="G104" s="100">
        <v>39.57</v>
      </c>
      <c r="H104" s="100">
        <v>16.27</v>
      </c>
      <c r="I104" s="100">
        <v>4.5599999999999996</v>
      </c>
      <c r="J104" s="100">
        <v>0.19</v>
      </c>
      <c r="K104" s="100">
        <v>222.58</v>
      </c>
      <c r="L104" s="100">
        <v>28.9</v>
      </c>
      <c r="M104" s="100">
        <v>50.18</v>
      </c>
      <c r="N104" s="100">
        <v>0</v>
      </c>
      <c r="O104" s="100">
        <v>0</v>
      </c>
      <c r="P104" s="100">
        <v>0.47</v>
      </c>
      <c r="Q104" s="100">
        <v>4.8499999999999996</v>
      </c>
    </row>
    <row r="106" spans="1:22">
      <c r="A106" s="157" t="s">
        <v>48</v>
      </c>
      <c r="B106" s="158">
        <f>MIN(B9:B104)</f>
        <v>2.68</v>
      </c>
      <c r="C106" s="158">
        <f>MIN(C9:C104)</f>
        <v>40.64</v>
      </c>
      <c r="D106" s="158">
        <f t="shared" ref="D106:Q106" si="0">MIN(D9:D104)</f>
        <v>22.34</v>
      </c>
      <c r="E106" s="158">
        <f t="shared" si="0"/>
        <v>4.51</v>
      </c>
      <c r="F106" s="158">
        <f t="shared" si="0"/>
        <v>3.95</v>
      </c>
      <c r="G106" s="158">
        <f t="shared" si="0"/>
        <v>16.82</v>
      </c>
      <c r="H106" s="158">
        <f t="shared" si="0"/>
        <v>6.94</v>
      </c>
      <c r="I106" s="158">
        <f t="shared" si="0"/>
        <v>3.81</v>
      </c>
      <c r="J106" s="158">
        <f t="shared" si="0"/>
        <v>7.0000000000000007E-2</v>
      </c>
      <c r="K106" s="158">
        <f t="shared" si="0"/>
        <v>39.82</v>
      </c>
      <c r="L106" s="158">
        <f t="shared" si="0"/>
        <v>25.4</v>
      </c>
      <c r="M106" s="158">
        <f t="shared" si="0"/>
        <v>18.010000000000002</v>
      </c>
      <c r="N106" s="158">
        <f t="shared" si="0"/>
        <v>0</v>
      </c>
      <c r="O106" s="158">
        <f t="shared" si="0"/>
        <v>0</v>
      </c>
      <c r="P106" s="158">
        <f t="shared" si="0"/>
        <v>0.36</v>
      </c>
      <c r="Q106" s="158">
        <f t="shared" si="0"/>
        <v>4.53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20.41</v>
      </c>
      <c r="C107" s="157">
        <f t="shared" ref="C107:Q107" si="1">MAX(C9:C104)</f>
        <v>61.22</v>
      </c>
      <c r="D107" s="157">
        <f t="shared" si="1"/>
        <v>46.98</v>
      </c>
      <c r="E107" s="157">
        <f t="shared" si="1"/>
        <v>33.1</v>
      </c>
      <c r="F107" s="157">
        <f t="shared" si="1"/>
        <v>80.2</v>
      </c>
      <c r="G107" s="157">
        <f t="shared" si="1"/>
        <v>53.15</v>
      </c>
      <c r="H107" s="157">
        <f t="shared" si="1"/>
        <v>22.45</v>
      </c>
      <c r="I107" s="157">
        <f t="shared" si="1"/>
        <v>7.25</v>
      </c>
      <c r="J107" s="157">
        <f t="shared" si="1"/>
        <v>1.57</v>
      </c>
      <c r="K107" s="157">
        <f t="shared" si="1"/>
        <v>324.81</v>
      </c>
      <c r="L107" s="157">
        <f t="shared" si="1"/>
        <v>40.93</v>
      </c>
      <c r="M107" s="157">
        <f t="shared" si="1"/>
        <v>69.02</v>
      </c>
      <c r="N107" s="157">
        <f t="shared" si="1"/>
        <v>849.6</v>
      </c>
      <c r="O107" s="157">
        <f t="shared" si="1"/>
        <v>0</v>
      </c>
      <c r="P107" s="157">
        <f t="shared" si="1"/>
        <v>0.69</v>
      </c>
      <c r="Q107" s="157">
        <f t="shared" si="1"/>
        <v>5.37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9.102187500000003</v>
      </c>
      <c r="C108" s="158">
        <f t="shared" ref="C108:Q108" si="2">AVERAGE(C9:C104)</f>
        <v>52.516562499999985</v>
      </c>
      <c r="D108" s="158">
        <f t="shared" si="2"/>
        <v>33.692291666666677</v>
      </c>
      <c r="E108" s="158">
        <f t="shared" si="2"/>
        <v>9.7078125000000011</v>
      </c>
      <c r="F108" s="158">
        <f t="shared" si="2"/>
        <v>21.69822916666666</v>
      </c>
      <c r="G108" s="158">
        <f t="shared" si="2"/>
        <v>35.644687500000003</v>
      </c>
      <c r="H108" s="158">
        <f t="shared" si="2"/>
        <v>14.103333333333332</v>
      </c>
      <c r="I108" s="158">
        <f t="shared" si="2"/>
        <v>5.0089583333333332</v>
      </c>
      <c r="J108" s="158">
        <f t="shared" si="2"/>
        <v>0.43552083333333319</v>
      </c>
      <c r="K108" s="158">
        <f t="shared" si="2"/>
        <v>221.42218749999998</v>
      </c>
      <c r="L108" s="158">
        <f t="shared" si="2"/>
        <v>32.439791666666679</v>
      </c>
      <c r="M108" s="158">
        <f t="shared" si="2"/>
        <v>44.207500000000003</v>
      </c>
      <c r="N108" s="158">
        <f t="shared" si="2"/>
        <v>155.37083333333334</v>
      </c>
      <c r="O108" s="158">
        <f t="shared" si="2"/>
        <v>0</v>
      </c>
      <c r="P108" s="158">
        <f t="shared" si="2"/>
        <v>0.48937500000000017</v>
      </c>
      <c r="Q108" s="158">
        <f t="shared" si="2"/>
        <v>4.8405208333333327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4.9305682822090882</v>
      </c>
      <c r="C109" s="158">
        <f t="shared" ref="C109:Q109" si="3">STDEV(C9:C104)</f>
        <v>4.9979167929985424</v>
      </c>
      <c r="D109" s="158">
        <f t="shared" si="3"/>
        <v>6.3006267823825528</v>
      </c>
      <c r="E109" s="158">
        <f t="shared" si="3"/>
        <v>5.9755486342479998</v>
      </c>
      <c r="F109" s="158">
        <f t="shared" si="3"/>
        <v>15.515091057269089</v>
      </c>
      <c r="G109" s="158">
        <f t="shared" si="3"/>
        <v>13.785628363444278</v>
      </c>
      <c r="H109" s="158">
        <f t="shared" si="3"/>
        <v>4.9813966899310866</v>
      </c>
      <c r="I109" s="158">
        <f t="shared" si="3"/>
        <v>1.0615891555058949</v>
      </c>
      <c r="J109" s="158">
        <f t="shared" si="3"/>
        <v>0.31496990596986685</v>
      </c>
      <c r="K109" s="158">
        <f t="shared" si="3"/>
        <v>63.870466763897703</v>
      </c>
      <c r="L109" s="158">
        <f t="shared" si="3"/>
        <v>4.8014977880627594</v>
      </c>
      <c r="M109" s="158">
        <f t="shared" si="3"/>
        <v>14.115120970080284</v>
      </c>
      <c r="N109" s="158">
        <f t="shared" si="3"/>
        <v>249.95280645781992</v>
      </c>
      <c r="O109" s="158">
        <f t="shared" si="3"/>
        <v>0</v>
      </c>
      <c r="P109" s="158">
        <f t="shared" si="3"/>
        <v>9.8939774344639103E-2</v>
      </c>
      <c r="Q109" s="158">
        <f t="shared" si="3"/>
        <v>0.22388610728468103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21/05/2023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2158</v>
      </c>
      <c r="B9" s="100">
        <v>10.1</v>
      </c>
      <c r="C9" s="100">
        <v>53.55</v>
      </c>
      <c r="D9" s="100">
        <v>35.03</v>
      </c>
      <c r="E9" s="100">
        <v>6.14</v>
      </c>
      <c r="F9" s="100">
        <v>15.63</v>
      </c>
      <c r="G9" s="100">
        <v>26.35</v>
      </c>
      <c r="H9" s="100">
        <v>11.77</v>
      </c>
      <c r="I9" s="100">
        <v>4.4000000000000004</v>
      </c>
      <c r="J9" s="100">
        <v>0.19</v>
      </c>
      <c r="K9" s="100">
        <v>220.22</v>
      </c>
      <c r="L9" s="100">
        <v>28.82</v>
      </c>
      <c r="M9" s="100">
        <v>50.48</v>
      </c>
      <c r="N9" s="100">
        <v>0</v>
      </c>
      <c r="O9" s="100">
        <v>0</v>
      </c>
      <c r="P9" s="100">
        <v>0.48</v>
      </c>
      <c r="Q9" s="100">
        <v>4.88</v>
      </c>
    </row>
    <row r="10" spans="1:21" customFormat="1">
      <c r="A10" s="100" t="s">
        <v>2159</v>
      </c>
      <c r="B10" s="100">
        <v>10.029999999999999</v>
      </c>
      <c r="C10" s="100">
        <v>51.81</v>
      </c>
      <c r="D10" s="100">
        <v>34.06</v>
      </c>
      <c r="E10" s="100">
        <v>5.94</v>
      </c>
      <c r="F10" s="100">
        <v>13.93</v>
      </c>
      <c r="G10" s="100">
        <v>25.89</v>
      </c>
      <c r="H10" s="100">
        <v>11.77</v>
      </c>
      <c r="I10" s="100">
        <v>4.55</v>
      </c>
      <c r="J10" s="100">
        <v>0.2</v>
      </c>
      <c r="K10" s="100">
        <v>205.51</v>
      </c>
      <c r="L10" s="100">
        <v>28.78</v>
      </c>
      <c r="M10" s="100">
        <v>50.24</v>
      </c>
      <c r="N10" s="100">
        <v>0</v>
      </c>
      <c r="O10" s="100">
        <v>0</v>
      </c>
      <c r="P10" s="100">
        <v>0.48</v>
      </c>
      <c r="Q10" s="100">
        <v>4.88</v>
      </c>
    </row>
    <row r="11" spans="1:21" customFormat="1">
      <c r="A11" s="100" t="s">
        <v>2160</v>
      </c>
      <c r="B11" s="100">
        <v>10.210000000000001</v>
      </c>
      <c r="C11" s="100">
        <v>51.66</v>
      </c>
      <c r="D11" s="100">
        <v>34.14</v>
      </c>
      <c r="E11" s="100">
        <v>6.14</v>
      </c>
      <c r="F11" s="100">
        <v>12.63</v>
      </c>
      <c r="G11" s="100">
        <v>25.89</v>
      </c>
      <c r="H11" s="100">
        <v>11.77</v>
      </c>
      <c r="I11" s="100">
        <v>4.62</v>
      </c>
      <c r="J11" s="100">
        <v>0.1</v>
      </c>
      <c r="K11" s="100">
        <v>164.36</v>
      </c>
      <c r="L11" s="100">
        <v>28.83</v>
      </c>
      <c r="M11" s="100">
        <v>50.14</v>
      </c>
      <c r="N11" s="100">
        <v>0</v>
      </c>
      <c r="O11" s="100">
        <v>0</v>
      </c>
      <c r="P11" s="100">
        <v>0.48</v>
      </c>
      <c r="Q11" s="100">
        <v>4.87</v>
      </c>
    </row>
    <row r="12" spans="1:21" customFormat="1">
      <c r="A12" s="100" t="s">
        <v>2161</v>
      </c>
      <c r="B12" s="100">
        <v>10.61</v>
      </c>
      <c r="C12" s="100">
        <v>52.65</v>
      </c>
      <c r="D12" s="100">
        <v>34.97</v>
      </c>
      <c r="E12" s="100">
        <v>5.79</v>
      </c>
      <c r="F12" s="100">
        <v>12.84</v>
      </c>
      <c r="G12" s="100">
        <v>25.89</v>
      </c>
      <c r="H12" s="100">
        <v>11.77</v>
      </c>
      <c r="I12" s="100">
        <v>4.53</v>
      </c>
      <c r="J12" s="100">
        <v>0.15</v>
      </c>
      <c r="K12" s="100">
        <v>172.21</v>
      </c>
      <c r="L12" s="100">
        <v>28.38</v>
      </c>
      <c r="M12" s="100">
        <v>52.23</v>
      </c>
      <c r="N12" s="100">
        <v>0</v>
      </c>
      <c r="O12" s="100">
        <v>0</v>
      </c>
      <c r="P12" s="100">
        <v>0.48</v>
      </c>
      <c r="Q12" s="100">
        <v>4.9000000000000004</v>
      </c>
    </row>
    <row r="13" spans="1:21" customFormat="1">
      <c r="A13" s="100" t="s">
        <v>2162</v>
      </c>
      <c r="B13" s="100">
        <v>10.84</v>
      </c>
      <c r="C13" s="100">
        <v>51.47</v>
      </c>
      <c r="D13" s="100">
        <v>34.53</v>
      </c>
      <c r="E13" s="100">
        <v>5.78</v>
      </c>
      <c r="F13" s="100">
        <v>13.03</v>
      </c>
      <c r="G13" s="100">
        <v>28.32</v>
      </c>
      <c r="H13" s="100">
        <v>13.04</v>
      </c>
      <c r="I13" s="100">
        <v>4.49</v>
      </c>
      <c r="J13" s="100">
        <v>0.21</v>
      </c>
      <c r="K13" s="100">
        <v>200.14</v>
      </c>
      <c r="L13" s="100">
        <v>28.27</v>
      </c>
      <c r="M13" s="100">
        <v>51.91</v>
      </c>
      <c r="N13" s="100">
        <v>0</v>
      </c>
      <c r="O13" s="100">
        <v>0</v>
      </c>
      <c r="P13" s="100">
        <v>0.47</v>
      </c>
      <c r="Q13" s="100">
        <v>4.93</v>
      </c>
    </row>
    <row r="14" spans="1:21" customFormat="1">
      <c r="A14" s="100" t="s">
        <v>2163</v>
      </c>
      <c r="B14" s="100">
        <v>11.43</v>
      </c>
      <c r="C14" s="100">
        <v>52.88</v>
      </c>
      <c r="D14" s="100">
        <v>35.75</v>
      </c>
      <c r="E14" s="100">
        <v>5.91</v>
      </c>
      <c r="F14" s="100">
        <v>11.59</v>
      </c>
      <c r="G14" s="100">
        <v>28.41</v>
      </c>
      <c r="H14" s="100">
        <v>13.04</v>
      </c>
      <c r="I14" s="100">
        <v>4.46</v>
      </c>
      <c r="J14" s="100">
        <v>0.19</v>
      </c>
      <c r="K14" s="100">
        <v>200.59</v>
      </c>
      <c r="L14" s="100">
        <v>28.34</v>
      </c>
      <c r="M14" s="100">
        <v>51.57</v>
      </c>
      <c r="N14" s="100">
        <v>0</v>
      </c>
      <c r="O14" s="100">
        <v>0</v>
      </c>
      <c r="P14" s="100">
        <v>0.47</v>
      </c>
      <c r="Q14" s="100">
        <v>4.9400000000000004</v>
      </c>
    </row>
    <row r="15" spans="1:21" customFormat="1">
      <c r="A15" s="100" t="s">
        <v>2164</v>
      </c>
      <c r="B15" s="100">
        <v>11.91</v>
      </c>
      <c r="C15" s="100">
        <v>53.7</v>
      </c>
      <c r="D15" s="100">
        <v>36.57</v>
      </c>
      <c r="E15" s="100">
        <v>6.1</v>
      </c>
      <c r="F15" s="100">
        <v>9.42</v>
      </c>
      <c r="G15" s="100">
        <v>28.41</v>
      </c>
      <c r="H15" s="100">
        <v>13.04</v>
      </c>
      <c r="I15" s="100">
        <v>4.3899999999999997</v>
      </c>
      <c r="J15" s="100">
        <v>0.21</v>
      </c>
      <c r="K15" s="100">
        <v>179.51</v>
      </c>
      <c r="L15" s="100">
        <v>28.05</v>
      </c>
      <c r="M15" s="100">
        <v>53.6</v>
      </c>
      <c r="N15" s="100">
        <v>0</v>
      </c>
      <c r="O15" s="100">
        <v>0</v>
      </c>
      <c r="P15" s="100">
        <v>0.47</v>
      </c>
      <c r="Q15" s="100">
        <v>4.92</v>
      </c>
    </row>
    <row r="16" spans="1:21" customFormat="1">
      <c r="A16" s="100" t="s">
        <v>2165</v>
      </c>
      <c r="B16" s="100">
        <v>12.55</v>
      </c>
      <c r="C16" s="100">
        <v>54.78</v>
      </c>
      <c r="D16" s="100">
        <v>37.64</v>
      </c>
      <c r="E16" s="100">
        <v>5.76</v>
      </c>
      <c r="F16" s="100">
        <v>8.49</v>
      </c>
      <c r="G16" s="100">
        <v>28.41</v>
      </c>
      <c r="H16" s="100">
        <v>13.04</v>
      </c>
      <c r="I16" s="100">
        <v>4.41</v>
      </c>
      <c r="J16" s="100">
        <v>0.22</v>
      </c>
      <c r="K16" s="100">
        <v>196.77</v>
      </c>
      <c r="L16" s="100">
        <v>27.71</v>
      </c>
      <c r="M16" s="100">
        <v>54.77</v>
      </c>
      <c r="N16" s="100">
        <v>0</v>
      </c>
      <c r="O16" s="100">
        <v>0</v>
      </c>
      <c r="P16" s="100">
        <v>0.47</v>
      </c>
      <c r="Q16" s="100">
        <v>4.95</v>
      </c>
    </row>
    <row r="17" spans="1:17" customFormat="1">
      <c r="A17" s="100" t="s">
        <v>2166</v>
      </c>
      <c r="B17" s="100">
        <v>12</v>
      </c>
      <c r="C17" s="100">
        <v>51.88</v>
      </c>
      <c r="D17" s="100">
        <v>35.68</v>
      </c>
      <c r="E17" s="100">
        <v>5.34</v>
      </c>
      <c r="F17" s="100">
        <v>10.75</v>
      </c>
      <c r="G17" s="100">
        <v>25.27</v>
      </c>
      <c r="H17" s="100">
        <v>12.45</v>
      </c>
      <c r="I17" s="100">
        <v>4.43</v>
      </c>
      <c r="J17" s="100">
        <v>0.17</v>
      </c>
      <c r="K17" s="100">
        <v>180.3</v>
      </c>
      <c r="L17" s="100">
        <v>27.69</v>
      </c>
      <c r="M17" s="100">
        <v>54.59</v>
      </c>
      <c r="N17" s="100">
        <v>0</v>
      </c>
      <c r="O17" s="100">
        <v>0</v>
      </c>
      <c r="P17" s="100">
        <v>0.46</v>
      </c>
      <c r="Q17" s="100">
        <v>4.99</v>
      </c>
    </row>
    <row r="18" spans="1:17" customFormat="1">
      <c r="A18" s="100" t="s">
        <v>2167</v>
      </c>
      <c r="B18" s="100">
        <v>12.92</v>
      </c>
      <c r="C18" s="100">
        <v>54.21</v>
      </c>
      <c r="D18" s="100">
        <v>37.64</v>
      </c>
      <c r="E18" s="100">
        <v>6.77</v>
      </c>
      <c r="F18" s="100">
        <v>9.9600000000000009</v>
      </c>
      <c r="G18" s="100">
        <v>25.13</v>
      </c>
      <c r="H18" s="100">
        <v>12.45</v>
      </c>
      <c r="I18" s="100">
        <v>4.4400000000000004</v>
      </c>
      <c r="J18" s="100">
        <v>0.16</v>
      </c>
      <c r="K18" s="100">
        <v>173.93</v>
      </c>
      <c r="L18" s="100">
        <v>27.46</v>
      </c>
      <c r="M18" s="100">
        <v>55.91</v>
      </c>
      <c r="N18" s="100">
        <v>0</v>
      </c>
      <c r="O18" s="100">
        <v>0</v>
      </c>
      <c r="P18" s="100">
        <v>0.46</v>
      </c>
      <c r="Q18" s="100">
        <v>4.99</v>
      </c>
    </row>
    <row r="19" spans="1:17" customFormat="1">
      <c r="A19" s="100" t="s">
        <v>2168</v>
      </c>
      <c r="B19" s="100">
        <v>13.45</v>
      </c>
      <c r="C19" s="100">
        <v>55.91</v>
      </c>
      <c r="D19" s="100">
        <v>38.950000000000003</v>
      </c>
      <c r="E19" s="100">
        <v>6.65</v>
      </c>
      <c r="F19" s="100">
        <v>7.16</v>
      </c>
      <c r="G19" s="100">
        <v>25.13</v>
      </c>
      <c r="H19" s="100">
        <v>12.45</v>
      </c>
      <c r="I19" s="100">
        <v>4.42</v>
      </c>
      <c r="J19" s="100">
        <v>0.14000000000000001</v>
      </c>
      <c r="K19" s="100">
        <v>168.4</v>
      </c>
      <c r="L19" s="100">
        <v>27.34</v>
      </c>
      <c r="M19" s="100">
        <v>56.44</v>
      </c>
      <c r="N19" s="100">
        <v>0</v>
      </c>
      <c r="O19" s="100">
        <v>0</v>
      </c>
      <c r="P19" s="100">
        <v>0.47</v>
      </c>
      <c r="Q19" s="100">
        <v>4.99</v>
      </c>
    </row>
    <row r="20" spans="1:17" customFormat="1">
      <c r="A20" s="100" t="s">
        <v>2169</v>
      </c>
      <c r="B20" s="100">
        <v>14</v>
      </c>
      <c r="C20" s="100">
        <v>56.58</v>
      </c>
      <c r="D20" s="100">
        <v>39.75</v>
      </c>
      <c r="E20" s="100">
        <v>6.29</v>
      </c>
      <c r="F20" s="100">
        <v>7.41</v>
      </c>
      <c r="G20" s="100">
        <v>25.13</v>
      </c>
      <c r="H20" s="100">
        <v>12.45</v>
      </c>
      <c r="I20" s="100">
        <v>4.46</v>
      </c>
      <c r="J20" s="100">
        <v>0.1</v>
      </c>
      <c r="K20" s="100">
        <v>185.92</v>
      </c>
      <c r="L20" s="100">
        <v>26.92</v>
      </c>
      <c r="M20" s="100">
        <v>58.78</v>
      </c>
      <c r="N20" s="100">
        <v>0</v>
      </c>
      <c r="O20" s="100">
        <v>0</v>
      </c>
      <c r="P20" s="100">
        <v>0.46</v>
      </c>
      <c r="Q20" s="100">
        <v>5.0599999999999996</v>
      </c>
    </row>
    <row r="21" spans="1:17" customFormat="1">
      <c r="A21" s="100" t="s">
        <v>2170</v>
      </c>
      <c r="B21" s="100">
        <v>14.03</v>
      </c>
      <c r="C21" s="100">
        <v>54.09</v>
      </c>
      <c r="D21" s="100">
        <v>38.46</v>
      </c>
      <c r="E21" s="100">
        <v>6.28</v>
      </c>
      <c r="F21" s="100">
        <v>7.34</v>
      </c>
      <c r="G21" s="100">
        <v>27.89</v>
      </c>
      <c r="H21" s="100">
        <v>11.65</v>
      </c>
      <c r="I21" s="100">
        <v>4.5199999999999996</v>
      </c>
      <c r="J21" s="100">
        <v>0.13</v>
      </c>
      <c r="K21" s="100">
        <v>185.91</v>
      </c>
      <c r="L21" s="100">
        <v>26.94</v>
      </c>
      <c r="M21" s="100">
        <v>57.99</v>
      </c>
      <c r="N21" s="100">
        <v>0</v>
      </c>
      <c r="O21" s="100">
        <v>0</v>
      </c>
      <c r="P21" s="100">
        <v>0.46</v>
      </c>
      <c r="Q21" s="100">
        <v>5.03</v>
      </c>
    </row>
    <row r="22" spans="1:17" customFormat="1">
      <c r="A22" s="100" t="s">
        <v>2171</v>
      </c>
      <c r="B22" s="100">
        <v>14.96</v>
      </c>
      <c r="C22" s="100">
        <v>55.49</v>
      </c>
      <c r="D22" s="100">
        <v>39.94</v>
      </c>
      <c r="E22" s="100">
        <v>6.3</v>
      </c>
      <c r="F22" s="100">
        <v>6.75</v>
      </c>
      <c r="G22" s="100">
        <v>28.02</v>
      </c>
      <c r="H22" s="100">
        <v>11.65</v>
      </c>
      <c r="I22" s="100">
        <v>4.43</v>
      </c>
      <c r="J22" s="100">
        <v>0.28000000000000003</v>
      </c>
      <c r="K22" s="100">
        <v>81.48</v>
      </c>
      <c r="L22" s="100">
        <v>26.82</v>
      </c>
      <c r="M22" s="100">
        <v>58.6</v>
      </c>
      <c r="N22" s="100">
        <v>0</v>
      </c>
      <c r="O22" s="100">
        <v>0</v>
      </c>
      <c r="P22" s="100">
        <v>0.46</v>
      </c>
      <c r="Q22" s="100">
        <v>5.03</v>
      </c>
    </row>
    <row r="23" spans="1:17" customFormat="1">
      <c r="A23" s="100" t="s">
        <v>2172</v>
      </c>
      <c r="B23" s="100">
        <v>16.43</v>
      </c>
      <c r="C23" s="100">
        <v>57.65</v>
      </c>
      <c r="D23" s="100">
        <v>42.26</v>
      </c>
      <c r="E23" s="100">
        <v>6.31</v>
      </c>
      <c r="F23" s="100">
        <v>5.15</v>
      </c>
      <c r="G23" s="100">
        <v>28.02</v>
      </c>
      <c r="H23" s="100">
        <v>11.65</v>
      </c>
      <c r="I23" s="100">
        <v>4.29</v>
      </c>
      <c r="J23" s="100">
        <v>0.15</v>
      </c>
      <c r="K23" s="100">
        <v>157.19</v>
      </c>
      <c r="L23" s="100">
        <v>26.72</v>
      </c>
      <c r="M23" s="100">
        <v>59.96</v>
      </c>
      <c r="N23" s="100">
        <v>0</v>
      </c>
      <c r="O23" s="100">
        <v>0</v>
      </c>
      <c r="P23" s="100">
        <v>0.46</v>
      </c>
      <c r="Q23" s="100">
        <v>5.07</v>
      </c>
    </row>
    <row r="24" spans="1:17" customFormat="1">
      <c r="A24" s="100" t="s">
        <v>2173</v>
      </c>
      <c r="B24" s="100">
        <v>16.21</v>
      </c>
      <c r="C24" s="100">
        <v>57.2</v>
      </c>
      <c r="D24" s="100">
        <v>41.84</v>
      </c>
      <c r="E24" s="100">
        <v>6.25</v>
      </c>
      <c r="F24" s="100">
        <v>5.78</v>
      </c>
      <c r="G24" s="100">
        <v>28.02</v>
      </c>
      <c r="H24" s="100">
        <v>11.65</v>
      </c>
      <c r="I24" s="100">
        <v>4.3499999999999996</v>
      </c>
      <c r="J24" s="100">
        <v>0.19</v>
      </c>
      <c r="K24" s="100">
        <v>191.29</v>
      </c>
      <c r="L24" s="100">
        <v>26.53</v>
      </c>
      <c r="M24" s="100">
        <v>60.05</v>
      </c>
      <c r="N24" s="100">
        <v>0</v>
      </c>
      <c r="O24" s="100">
        <v>0</v>
      </c>
      <c r="P24" s="100">
        <v>0.45</v>
      </c>
      <c r="Q24" s="100">
        <v>5.13</v>
      </c>
    </row>
    <row r="25" spans="1:17" customFormat="1">
      <c r="A25" s="100" t="s">
        <v>2174</v>
      </c>
      <c r="B25" s="100">
        <v>16.87</v>
      </c>
      <c r="C25" s="100">
        <v>57.73</v>
      </c>
      <c r="D25" s="100">
        <v>42.64</v>
      </c>
      <c r="E25" s="100">
        <v>6.3</v>
      </c>
      <c r="F25" s="100">
        <v>5.27</v>
      </c>
      <c r="G25" s="100">
        <v>27.49</v>
      </c>
      <c r="H25" s="100">
        <v>12.43</v>
      </c>
      <c r="I25" s="100">
        <v>4.37</v>
      </c>
      <c r="J25" s="100">
        <v>0.1</v>
      </c>
      <c r="K25" s="100">
        <v>194.62</v>
      </c>
      <c r="L25" s="100">
        <v>26.11</v>
      </c>
      <c r="M25" s="100">
        <v>63.17</v>
      </c>
      <c r="N25" s="100">
        <v>0</v>
      </c>
      <c r="O25" s="100">
        <v>0</v>
      </c>
      <c r="P25" s="100">
        <v>0.45</v>
      </c>
      <c r="Q25" s="100">
        <v>5.16</v>
      </c>
    </row>
    <row r="26" spans="1:17" customFormat="1">
      <c r="A26" s="100" t="s">
        <v>2175</v>
      </c>
      <c r="B26" s="100">
        <v>17.25</v>
      </c>
      <c r="C26" s="100">
        <v>58.13</v>
      </c>
      <c r="D26" s="100">
        <v>43.16</v>
      </c>
      <c r="E26" s="100">
        <v>6.19</v>
      </c>
      <c r="F26" s="100">
        <v>5.41</v>
      </c>
      <c r="G26" s="100">
        <v>27.46</v>
      </c>
      <c r="H26" s="100">
        <v>12.43</v>
      </c>
      <c r="I26" s="100">
        <v>4.41</v>
      </c>
      <c r="J26" s="100">
        <v>0.14000000000000001</v>
      </c>
      <c r="K26" s="100">
        <v>219.46</v>
      </c>
      <c r="L26" s="100">
        <v>26.11</v>
      </c>
      <c r="M26" s="100">
        <v>61.62</v>
      </c>
      <c r="N26" s="100">
        <v>0</v>
      </c>
      <c r="O26" s="100">
        <v>0</v>
      </c>
      <c r="P26" s="100">
        <v>0.45</v>
      </c>
      <c r="Q26" s="100">
        <v>5.19</v>
      </c>
    </row>
    <row r="27" spans="1:17" customFormat="1">
      <c r="A27" s="100" t="s">
        <v>2176</v>
      </c>
      <c r="B27" s="100">
        <v>17.61</v>
      </c>
      <c r="C27" s="100">
        <v>58.64</v>
      </c>
      <c r="D27" s="100">
        <v>43.71</v>
      </c>
      <c r="E27" s="100">
        <v>5.96</v>
      </c>
      <c r="F27" s="100">
        <v>5.31</v>
      </c>
      <c r="G27" s="100">
        <v>27.46</v>
      </c>
      <c r="H27" s="100">
        <v>12.43</v>
      </c>
      <c r="I27" s="100">
        <v>4.41</v>
      </c>
      <c r="J27" s="100">
        <v>0.23</v>
      </c>
      <c r="K27" s="100">
        <v>83.48</v>
      </c>
      <c r="L27" s="100">
        <v>26.23</v>
      </c>
      <c r="M27" s="100">
        <v>61</v>
      </c>
      <c r="N27" s="100">
        <v>0</v>
      </c>
      <c r="O27" s="100">
        <v>0</v>
      </c>
      <c r="P27" s="100">
        <v>0.46</v>
      </c>
      <c r="Q27" s="100">
        <v>5.19</v>
      </c>
    </row>
    <row r="28" spans="1:17" customFormat="1">
      <c r="A28" s="100" t="s">
        <v>2177</v>
      </c>
      <c r="B28" s="100">
        <v>18.989999999999998</v>
      </c>
      <c r="C28" s="100">
        <v>59.11</v>
      </c>
      <c r="D28" s="100">
        <v>45.06</v>
      </c>
      <c r="E28" s="100">
        <v>5.55</v>
      </c>
      <c r="F28" s="100">
        <v>4.38</v>
      </c>
      <c r="G28" s="100">
        <v>27.46</v>
      </c>
      <c r="H28" s="100">
        <v>12.43</v>
      </c>
      <c r="I28" s="100">
        <v>4.37</v>
      </c>
      <c r="J28" s="100">
        <v>0.09</v>
      </c>
      <c r="K28" s="100">
        <v>256.05</v>
      </c>
      <c r="L28" s="100">
        <v>26.35</v>
      </c>
      <c r="M28" s="100">
        <v>60.77</v>
      </c>
      <c r="N28" s="100">
        <v>0</v>
      </c>
      <c r="O28" s="100">
        <v>0</v>
      </c>
      <c r="P28" s="100">
        <v>0.46</v>
      </c>
      <c r="Q28" s="100">
        <v>5.22</v>
      </c>
    </row>
    <row r="29" spans="1:17" customFormat="1">
      <c r="A29" s="100" t="s">
        <v>2178</v>
      </c>
      <c r="B29" s="100">
        <v>20.18</v>
      </c>
      <c r="C29" s="100">
        <v>59.96</v>
      </c>
      <c r="D29" s="100">
        <v>46.46</v>
      </c>
      <c r="E29" s="100">
        <v>5.86</v>
      </c>
      <c r="F29" s="100">
        <v>4.21</v>
      </c>
      <c r="G29" s="100">
        <v>30.37</v>
      </c>
      <c r="H29" s="100">
        <v>11.45</v>
      </c>
      <c r="I29" s="100">
        <v>4.41</v>
      </c>
      <c r="J29" s="100">
        <v>0.21</v>
      </c>
      <c r="K29" s="100">
        <v>252.29</v>
      </c>
      <c r="L29" s="100">
        <v>26.49</v>
      </c>
      <c r="M29" s="100">
        <v>60.19</v>
      </c>
      <c r="N29" s="100">
        <v>0</v>
      </c>
      <c r="O29" s="100">
        <v>0</v>
      </c>
      <c r="P29" s="100">
        <v>0.46</v>
      </c>
      <c r="Q29" s="100">
        <v>5.32</v>
      </c>
    </row>
    <row r="30" spans="1:17" customFormat="1">
      <c r="A30" s="100" t="s">
        <v>2179</v>
      </c>
      <c r="B30" s="100">
        <v>21.81</v>
      </c>
      <c r="C30" s="100">
        <v>60.1</v>
      </c>
      <c r="D30" s="100">
        <v>47.84</v>
      </c>
      <c r="E30" s="100">
        <v>5.42</v>
      </c>
      <c r="F30" s="100">
        <v>5</v>
      </c>
      <c r="G30" s="100">
        <v>30.51</v>
      </c>
      <c r="H30" s="100">
        <v>11.45</v>
      </c>
      <c r="I30" s="100">
        <v>4.4400000000000004</v>
      </c>
      <c r="J30" s="100">
        <v>0.06</v>
      </c>
      <c r="K30" s="100">
        <v>13.46</v>
      </c>
      <c r="L30" s="100">
        <v>26.79</v>
      </c>
      <c r="M30" s="100">
        <v>59.04</v>
      </c>
      <c r="N30" s="100">
        <v>0.1</v>
      </c>
      <c r="O30" s="100">
        <v>0</v>
      </c>
      <c r="P30" s="100">
        <v>0.46</v>
      </c>
      <c r="Q30" s="100">
        <v>5.38</v>
      </c>
    </row>
    <row r="31" spans="1:17" customFormat="1">
      <c r="A31" s="100" t="s">
        <v>2180</v>
      </c>
      <c r="B31" s="100">
        <v>23.05</v>
      </c>
      <c r="C31" s="100">
        <v>60.68</v>
      </c>
      <c r="D31" s="100">
        <v>49.15</v>
      </c>
      <c r="E31" s="100">
        <v>5.66</v>
      </c>
      <c r="F31" s="100">
        <v>4.47</v>
      </c>
      <c r="G31" s="100">
        <v>30.51</v>
      </c>
      <c r="H31" s="100">
        <v>11.45</v>
      </c>
      <c r="I31" s="100">
        <v>4.3499999999999996</v>
      </c>
      <c r="J31" s="100">
        <v>0.22</v>
      </c>
      <c r="K31" s="100">
        <v>158.1</v>
      </c>
      <c r="L31" s="100">
        <v>26.64</v>
      </c>
      <c r="M31" s="100">
        <v>61.31</v>
      </c>
      <c r="N31" s="100">
        <v>8.1</v>
      </c>
      <c r="O31" s="100">
        <v>0</v>
      </c>
      <c r="P31" s="100">
        <v>0.47</v>
      </c>
      <c r="Q31" s="100">
        <v>5.47</v>
      </c>
    </row>
    <row r="32" spans="1:17" customFormat="1">
      <c r="A32" s="100" t="s">
        <v>2181</v>
      </c>
      <c r="B32" s="100">
        <v>24.01</v>
      </c>
      <c r="C32" s="100">
        <v>61.21</v>
      </c>
      <c r="D32" s="100">
        <v>50.19</v>
      </c>
      <c r="E32" s="100">
        <v>6.2</v>
      </c>
      <c r="F32" s="100">
        <v>3.94</v>
      </c>
      <c r="G32" s="100">
        <v>30.51</v>
      </c>
      <c r="H32" s="100">
        <v>11.45</v>
      </c>
      <c r="I32" s="100">
        <v>4.33</v>
      </c>
      <c r="J32" s="100">
        <v>0.2</v>
      </c>
      <c r="K32" s="100">
        <v>101.9</v>
      </c>
      <c r="L32" s="100">
        <v>26.64</v>
      </c>
      <c r="M32" s="100">
        <v>62.33</v>
      </c>
      <c r="N32" s="100">
        <v>21.3</v>
      </c>
      <c r="O32" s="100">
        <v>0</v>
      </c>
      <c r="P32" s="100">
        <v>0.49</v>
      </c>
      <c r="Q32" s="100">
        <v>5.51</v>
      </c>
    </row>
    <row r="33" spans="1:17" customFormat="1">
      <c r="A33" s="100" t="s">
        <v>2182</v>
      </c>
      <c r="B33" s="100">
        <v>24.16</v>
      </c>
      <c r="C33" s="100">
        <v>60.69</v>
      </c>
      <c r="D33" s="100">
        <v>50.04</v>
      </c>
      <c r="E33" s="100">
        <v>5.72</v>
      </c>
      <c r="F33" s="100">
        <v>4.22</v>
      </c>
      <c r="G33" s="100">
        <v>34.520000000000003</v>
      </c>
      <c r="H33" s="100">
        <v>13.87</v>
      </c>
      <c r="I33" s="100">
        <v>4.45</v>
      </c>
      <c r="J33" s="100">
        <v>0.1</v>
      </c>
      <c r="K33" s="100">
        <v>173.26</v>
      </c>
      <c r="L33" s="100">
        <v>26.96</v>
      </c>
      <c r="M33" s="100">
        <v>63.13</v>
      </c>
      <c r="N33" s="100">
        <v>34</v>
      </c>
      <c r="O33" s="100">
        <v>0</v>
      </c>
      <c r="P33" s="100">
        <v>0.49</v>
      </c>
      <c r="Q33" s="100">
        <v>5.59</v>
      </c>
    </row>
    <row r="34" spans="1:17" customFormat="1">
      <c r="A34" s="100" t="s">
        <v>2183</v>
      </c>
      <c r="B34" s="100">
        <v>24.09</v>
      </c>
      <c r="C34" s="100">
        <v>58.47</v>
      </c>
      <c r="D34" s="100">
        <v>48.82</v>
      </c>
      <c r="E34" s="100">
        <v>5.37</v>
      </c>
      <c r="F34" s="100">
        <v>5.42</v>
      </c>
      <c r="G34" s="100">
        <v>34.700000000000003</v>
      </c>
      <c r="H34" s="100">
        <v>13.87</v>
      </c>
      <c r="I34" s="100">
        <v>4.59</v>
      </c>
      <c r="J34" s="100">
        <v>0.14000000000000001</v>
      </c>
      <c r="K34" s="100">
        <v>150.72</v>
      </c>
      <c r="L34" s="100">
        <v>27.64</v>
      </c>
      <c r="M34" s="100">
        <v>60.81</v>
      </c>
      <c r="N34" s="100">
        <v>46.1</v>
      </c>
      <c r="O34" s="100">
        <v>0</v>
      </c>
      <c r="P34" s="100">
        <v>0.49</v>
      </c>
      <c r="Q34" s="100">
        <v>5.59</v>
      </c>
    </row>
    <row r="35" spans="1:17" customFormat="1">
      <c r="A35" s="100" t="s">
        <v>2184</v>
      </c>
      <c r="B35" s="100">
        <v>24</v>
      </c>
      <c r="C35" s="100">
        <v>58.92</v>
      </c>
      <c r="D35" s="100">
        <v>48.99</v>
      </c>
      <c r="E35" s="100">
        <v>5.79</v>
      </c>
      <c r="F35" s="100">
        <v>5.29</v>
      </c>
      <c r="G35" s="100">
        <v>34.700000000000003</v>
      </c>
      <c r="H35" s="100">
        <v>13.87</v>
      </c>
      <c r="I35" s="100">
        <v>4.68</v>
      </c>
      <c r="J35" s="100">
        <v>0.21</v>
      </c>
      <c r="K35" s="100">
        <v>103.24</v>
      </c>
      <c r="L35" s="100">
        <v>28.15</v>
      </c>
      <c r="M35" s="100">
        <v>60.06</v>
      </c>
      <c r="N35" s="100">
        <v>58.2</v>
      </c>
      <c r="O35" s="100">
        <v>0</v>
      </c>
      <c r="P35" s="100">
        <v>0.5</v>
      </c>
      <c r="Q35" s="100">
        <v>5.59</v>
      </c>
    </row>
    <row r="36" spans="1:17" customFormat="1">
      <c r="A36" s="100" t="s">
        <v>2185</v>
      </c>
      <c r="B36" s="100">
        <v>23.48</v>
      </c>
      <c r="C36" s="100">
        <v>57.38</v>
      </c>
      <c r="D36" s="100">
        <v>47.76</v>
      </c>
      <c r="E36" s="100">
        <v>5.9</v>
      </c>
      <c r="F36" s="100">
        <v>6.48</v>
      </c>
      <c r="G36" s="100">
        <v>34.700000000000003</v>
      </c>
      <c r="H36" s="100">
        <v>13.87</v>
      </c>
      <c r="I36" s="100">
        <v>4.7</v>
      </c>
      <c r="J36" s="100">
        <v>0.21</v>
      </c>
      <c r="K36" s="100">
        <v>147.44</v>
      </c>
      <c r="L36" s="100">
        <v>29.03</v>
      </c>
      <c r="M36" s="100">
        <v>56.34</v>
      </c>
      <c r="N36" s="100">
        <v>68.7</v>
      </c>
      <c r="O36" s="100">
        <v>0</v>
      </c>
      <c r="P36" s="100">
        <v>0.49</v>
      </c>
      <c r="Q36" s="100">
        <v>5.57</v>
      </c>
    </row>
    <row r="37" spans="1:17" customFormat="1">
      <c r="A37" s="100" t="s">
        <v>2186</v>
      </c>
      <c r="B37" s="100">
        <v>21.69</v>
      </c>
      <c r="C37" s="100">
        <v>54.54</v>
      </c>
      <c r="D37" s="100">
        <v>44.84</v>
      </c>
      <c r="E37" s="100">
        <v>5.87</v>
      </c>
      <c r="F37" s="100">
        <v>8.98</v>
      </c>
      <c r="G37" s="100">
        <v>36.76</v>
      </c>
      <c r="H37" s="100">
        <v>13.07</v>
      </c>
      <c r="I37" s="100">
        <v>4.74</v>
      </c>
      <c r="J37" s="100">
        <v>0.17</v>
      </c>
      <c r="K37" s="100">
        <v>160.97</v>
      </c>
      <c r="L37" s="100">
        <v>30.2</v>
      </c>
      <c r="M37" s="100">
        <v>53.46</v>
      </c>
      <c r="N37" s="100">
        <v>79.599999999999994</v>
      </c>
      <c r="O37" s="100">
        <v>0</v>
      </c>
      <c r="P37" s="100">
        <v>0.5</v>
      </c>
      <c r="Q37" s="100">
        <v>5.58</v>
      </c>
    </row>
    <row r="38" spans="1:17" customFormat="1">
      <c r="A38" s="100" t="s">
        <v>2187</v>
      </c>
      <c r="B38" s="100">
        <v>21.9</v>
      </c>
      <c r="C38" s="100">
        <v>56.34</v>
      </c>
      <c r="D38" s="100">
        <v>45.95</v>
      </c>
      <c r="E38" s="100">
        <v>6.18</v>
      </c>
      <c r="F38" s="100">
        <v>8.5500000000000007</v>
      </c>
      <c r="G38" s="100">
        <v>36.86</v>
      </c>
      <c r="H38" s="100">
        <v>13.07</v>
      </c>
      <c r="I38" s="100">
        <v>4.7699999999999996</v>
      </c>
      <c r="J38" s="100">
        <v>0.11</v>
      </c>
      <c r="K38" s="100">
        <v>171.16</v>
      </c>
      <c r="L38" s="100">
        <v>31.25</v>
      </c>
      <c r="M38" s="100">
        <v>51.02</v>
      </c>
      <c r="N38" s="100">
        <v>90.7</v>
      </c>
      <c r="O38" s="100">
        <v>0</v>
      </c>
      <c r="P38" s="100">
        <v>0.51</v>
      </c>
      <c r="Q38" s="100">
        <v>5.55</v>
      </c>
    </row>
    <row r="39" spans="1:17" customFormat="1">
      <c r="A39" s="100" t="s">
        <v>2188</v>
      </c>
      <c r="B39" s="100">
        <v>21.71</v>
      </c>
      <c r="C39" s="100">
        <v>57.38</v>
      </c>
      <c r="D39" s="100">
        <v>46.35</v>
      </c>
      <c r="E39" s="100">
        <v>6.21</v>
      </c>
      <c r="F39" s="100">
        <v>7.68</v>
      </c>
      <c r="G39" s="100">
        <v>36.86</v>
      </c>
      <c r="H39" s="100">
        <v>13.07</v>
      </c>
      <c r="I39" s="100">
        <v>4.79</v>
      </c>
      <c r="J39" s="100">
        <v>0.11</v>
      </c>
      <c r="K39" s="100">
        <v>121.02</v>
      </c>
      <c r="L39" s="100">
        <v>31.64</v>
      </c>
      <c r="M39" s="100">
        <v>49.79</v>
      </c>
      <c r="N39" s="100">
        <v>100.8</v>
      </c>
      <c r="O39" s="100">
        <v>0</v>
      </c>
      <c r="P39" s="100">
        <v>0.52</v>
      </c>
      <c r="Q39" s="100">
        <v>5.54</v>
      </c>
    </row>
    <row r="40" spans="1:17" customFormat="1">
      <c r="A40" s="100" t="s">
        <v>2189</v>
      </c>
      <c r="B40" s="100">
        <v>20.72</v>
      </c>
      <c r="C40" s="100">
        <v>55.14</v>
      </c>
      <c r="D40" s="100">
        <v>44.38</v>
      </c>
      <c r="E40" s="100">
        <v>6.47</v>
      </c>
      <c r="F40" s="100">
        <v>9.3000000000000007</v>
      </c>
      <c r="G40" s="100">
        <v>36.86</v>
      </c>
      <c r="H40" s="100">
        <v>13.07</v>
      </c>
      <c r="I40" s="100">
        <v>4.8600000000000003</v>
      </c>
      <c r="J40" s="100">
        <v>0.37</v>
      </c>
      <c r="K40" s="100">
        <v>240.13</v>
      </c>
      <c r="L40" s="100">
        <v>31.97</v>
      </c>
      <c r="M40" s="100">
        <v>50.02</v>
      </c>
      <c r="N40" s="100">
        <v>106.5</v>
      </c>
      <c r="O40" s="100">
        <v>0</v>
      </c>
      <c r="P40" s="100">
        <v>0.52</v>
      </c>
      <c r="Q40" s="100">
        <v>5.47</v>
      </c>
    </row>
    <row r="41" spans="1:17" customFormat="1">
      <c r="A41" s="100" t="s">
        <v>2190</v>
      </c>
      <c r="B41" s="100">
        <v>19.829999999999998</v>
      </c>
      <c r="C41" s="100">
        <v>57.38</v>
      </c>
      <c r="D41" s="100">
        <v>44.83</v>
      </c>
      <c r="E41" s="100">
        <v>6.91</v>
      </c>
      <c r="F41" s="100">
        <v>8.7899999999999991</v>
      </c>
      <c r="G41" s="100">
        <v>36.6</v>
      </c>
      <c r="H41" s="100">
        <v>17.79</v>
      </c>
      <c r="I41" s="100">
        <v>4.9000000000000004</v>
      </c>
      <c r="J41" s="100">
        <v>0.43</v>
      </c>
      <c r="K41" s="100">
        <v>229.22</v>
      </c>
      <c r="L41" s="100">
        <v>32.5</v>
      </c>
      <c r="M41" s="100">
        <v>49.92</v>
      </c>
      <c r="N41" s="100">
        <v>114</v>
      </c>
      <c r="O41" s="100">
        <v>0</v>
      </c>
      <c r="P41" s="100">
        <v>0.52</v>
      </c>
      <c r="Q41" s="100">
        <v>5.45</v>
      </c>
    </row>
    <row r="42" spans="1:17" customFormat="1">
      <c r="A42" s="100" t="s">
        <v>2191</v>
      </c>
      <c r="B42" s="100">
        <v>18.48</v>
      </c>
      <c r="C42" s="100">
        <v>53.13</v>
      </c>
      <c r="D42" s="100">
        <v>41.54</v>
      </c>
      <c r="E42" s="100">
        <v>6.57</v>
      </c>
      <c r="F42" s="100">
        <v>11.26</v>
      </c>
      <c r="G42" s="100">
        <v>36.58</v>
      </c>
      <c r="H42" s="100">
        <v>17.79</v>
      </c>
      <c r="I42" s="100">
        <v>4.95</v>
      </c>
      <c r="J42" s="100">
        <v>0.38</v>
      </c>
      <c r="K42" s="100">
        <v>228.33</v>
      </c>
      <c r="L42" s="100">
        <v>32.99</v>
      </c>
      <c r="M42" s="100">
        <v>48.29</v>
      </c>
      <c r="N42" s="100">
        <v>121.6</v>
      </c>
      <c r="O42" s="100">
        <v>0</v>
      </c>
      <c r="P42" s="100">
        <v>0.51</v>
      </c>
      <c r="Q42" s="100">
        <v>5.37</v>
      </c>
    </row>
    <row r="43" spans="1:17" customFormat="1">
      <c r="A43" s="100" t="s">
        <v>2192</v>
      </c>
      <c r="B43" s="100">
        <v>16.48</v>
      </c>
      <c r="C43" s="100">
        <v>54.7</v>
      </c>
      <c r="D43" s="100">
        <v>40.75</v>
      </c>
      <c r="E43" s="100">
        <v>6.08</v>
      </c>
      <c r="F43" s="100">
        <v>11.68</v>
      </c>
      <c r="G43" s="100">
        <v>36.58</v>
      </c>
      <c r="H43" s="100">
        <v>17.79</v>
      </c>
      <c r="I43" s="100">
        <v>4.99</v>
      </c>
      <c r="J43" s="100">
        <v>0.66</v>
      </c>
      <c r="K43" s="100">
        <v>254.66</v>
      </c>
      <c r="L43" s="100">
        <v>33.15</v>
      </c>
      <c r="M43" s="100">
        <v>46.78</v>
      </c>
      <c r="N43" s="100">
        <v>130</v>
      </c>
      <c r="O43" s="100">
        <v>0</v>
      </c>
      <c r="P43" s="100">
        <v>0.51</v>
      </c>
      <c r="Q43" s="100">
        <v>5.29</v>
      </c>
    </row>
    <row r="44" spans="1:17" customFormat="1">
      <c r="A44" s="100" t="s">
        <v>2193</v>
      </c>
      <c r="B44" s="100">
        <v>15.41</v>
      </c>
      <c r="C44" s="100">
        <v>54.6</v>
      </c>
      <c r="D44" s="100">
        <v>39.840000000000003</v>
      </c>
      <c r="E44" s="100">
        <v>6.15</v>
      </c>
      <c r="F44" s="100">
        <v>13.34</v>
      </c>
      <c r="G44" s="100">
        <v>36.58</v>
      </c>
      <c r="H44" s="100">
        <v>17.79</v>
      </c>
      <c r="I44" s="100">
        <v>4.96</v>
      </c>
      <c r="J44" s="100">
        <v>0.63</v>
      </c>
      <c r="K44" s="100">
        <v>251.11</v>
      </c>
      <c r="L44" s="100">
        <v>34</v>
      </c>
      <c r="M44" s="100">
        <v>45.18</v>
      </c>
      <c r="N44" s="100">
        <v>137.6</v>
      </c>
      <c r="O44" s="100">
        <v>0</v>
      </c>
      <c r="P44" s="100">
        <v>0.52</v>
      </c>
      <c r="Q44" s="100">
        <v>5.26</v>
      </c>
    </row>
    <row r="45" spans="1:17" customFormat="1">
      <c r="A45" s="100" t="s">
        <v>2194</v>
      </c>
      <c r="B45" s="100">
        <v>13.15</v>
      </c>
      <c r="C45" s="100">
        <v>48.46</v>
      </c>
      <c r="D45" s="100">
        <v>34.82</v>
      </c>
      <c r="E45" s="100">
        <v>7.03</v>
      </c>
      <c r="F45" s="100">
        <v>15.56</v>
      </c>
      <c r="G45" s="100">
        <v>38.15</v>
      </c>
      <c r="H45" s="100">
        <v>16.98</v>
      </c>
      <c r="I45" s="100">
        <v>4.91</v>
      </c>
      <c r="J45" s="100">
        <v>0.6</v>
      </c>
      <c r="K45" s="100">
        <v>232.77</v>
      </c>
      <c r="L45" s="100">
        <v>34.67</v>
      </c>
      <c r="M45" s="100">
        <v>43.41</v>
      </c>
      <c r="N45" s="100">
        <v>144.80000000000001</v>
      </c>
      <c r="O45" s="100">
        <v>0</v>
      </c>
      <c r="P45" s="100">
        <v>0.5</v>
      </c>
      <c r="Q45" s="100">
        <v>5.14</v>
      </c>
    </row>
    <row r="46" spans="1:17" customFormat="1">
      <c r="A46" s="100" t="s">
        <v>2195</v>
      </c>
      <c r="B46" s="100">
        <v>12.66</v>
      </c>
      <c r="C46" s="100">
        <v>56.47</v>
      </c>
      <c r="D46" s="100">
        <v>38.61</v>
      </c>
      <c r="E46" s="100">
        <v>6.53</v>
      </c>
      <c r="F46" s="100">
        <v>12.91</v>
      </c>
      <c r="G46" s="100">
        <v>38.229999999999997</v>
      </c>
      <c r="H46" s="100">
        <v>16.98</v>
      </c>
      <c r="I46" s="100">
        <v>4.8899999999999997</v>
      </c>
      <c r="J46" s="100">
        <v>0.77</v>
      </c>
      <c r="K46" s="100">
        <v>243.26</v>
      </c>
      <c r="L46" s="100">
        <v>35.21</v>
      </c>
      <c r="M46" s="100">
        <v>40.89</v>
      </c>
      <c r="N46" s="100">
        <v>152.1</v>
      </c>
      <c r="O46" s="100">
        <v>0</v>
      </c>
      <c r="P46" s="100">
        <v>0.51</v>
      </c>
      <c r="Q46" s="100">
        <v>5.12</v>
      </c>
    </row>
    <row r="47" spans="1:17" customFormat="1">
      <c r="A47" s="100" t="s">
        <v>2196</v>
      </c>
      <c r="B47" s="100">
        <v>11.69</v>
      </c>
      <c r="C47" s="100">
        <v>53.87</v>
      </c>
      <c r="D47" s="100">
        <v>36.479999999999997</v>
      </c>
      <c r="E47" s="100">
        <v>7.04</v>
      </c>
      <c r="F47" s="100">
        <v>15.4</v>
      </c>
      <c r="G47" s="100">
        <v>38.229999999999997</v>
      </c>
      <c r="H47" s="100">
        <v>16.98</v>
      </c>
      <c r="I47" s="100">
        <v>4.87</v>
      </c>
      <c r="J47" s="100">
        <v>0.69</v>
      </c>
      <c r="K47" s="100">
        <v>255.21</v>
      </c>
      <c r="L47" s="100">
        <v>35.799999999999997</v>
      </c>
      <c r="M47" s="100">
        <v>38.659999999999997</v>
      </c>
      <c r="N47" s="100">
        <v>158.30000000000001</v>
      </c>
      <c r="O47" s="100">
        <v>0</v>
      </c>
      <c r="P47" s="100">
        <v>0.51</v>
      </c>
      <c r="Q47" s="100">
        <v>5.05</v>
      </c>
    </row>
    <row r="48" spans="1:17" customFormat="1">
      <c r="A48" s="100" t="s">
        <v>2197</v>
      </c>
      <c r="B48" s="100">
        <v>10.41</v>
      </c>
      <c r="C48" s="100">
        <v>50.88</v>
      </c>
      <c r="D48" s="100">
        <v>33.880000000000003</v>
      </c>
      <c r="E48" s="100">
        <v>6.73</v>
      </c>
      <c r="F48" s="100">
        <v>19.84</v>
      </c>
      <c r="G48" s="100">
        <v>38.229999999999997</v>
      </c>
      <c r="H48" s="100">
        <v>16.98</v>
      </c>
      <c r="I48" s="100">
        <v>4.92</v>
      </c>
      <c r="J48" s="100">
        <v>0.93</v>
      </c>
      <c r="K48" s="100">
        <v>255.96</v>
      </c>
      <c r="L48" s="100">
        <v>36.19</v>
      </c>
      <c r="M48" s="100">
        <v>37.950000000000003</v>
      </c>
      <c r="N48" s="100">
        <v>166.5</v>
      </c>
      <c r="O48" s="100">
        <v>0</v>
      </c>
      <c r="P48" s="100">
        <v>0.5</v>
      </c>
      <c r="Q48" s="100">
        <v>4.92</v>
      </c>
    </row>
    <row r="49" spans="1:17" customFormat="1">
      <c r="A49" s="100" t="s">
        <v>2198</v>
      </c>
      <c r="B49" s="100">
        <v>8.98</v>
      </c>
      <c r="C49" s="100">
        <v>49.63</v>
      </c>
      <c r="D49" s="100">
        <v>32.090000000000003</v>
      </c>
      <c r="E49" s="100">
        <v>8</v>
      </c>
      <c r="F49" s="100">
        <v>22.03</v>
      </c>
      <c r="G49" s="100">
        <v>38.119999999999997</v>
      </c>
      <c r="H49" s="100">
        <v>16.809999999999999</v>
      </c>
      <c r="I49" s="100">
        <v>4.92</v>
      </c>
      <c r="J49" s="100">
        <v>0.87</v>
      </c>
      <c r="K49" s="100">
        <v>278.05</v>
      </c>
      <c r="L49" s="100">
        <v>36.700000000000003</v>
      </c>
      <c r="M49" s="100">
        <v>34.909999999999997</v>
      </c>
      <c r="N49" s="100">
        <v>171.1</v>
      </c>
      <c r="O49" s="100">
        <v>0</v>
      </c>
      <c r="P49" s="100">
        <v>0.49</v>
      </c>
      <c r="Q49" s="100">
        <v>4.82</v>
      </c>
    </row>
    <row r="50" spans="1:17" customFormat="1">
      <c r="A50" s="100" t="s">
        <v>2199</v>
      </c>
      <c r="B50" s="100">
        <v>7.87</v>
      </c>
      <c r="C50" s="100">
        <v>48.15</v>
      </c>
      <c r="D50" s="100">
        <v>30.42</v>
      </c>
      <c r="E50" s="100">
        <v>11.1</v>
      </c>
      <c r="F50" s="100">
        <v>25.84</v>
      </c>
      <c r="G50" s="100">
        <v>38.11</v>
      </c>
      <c r="H50" s="100">
        <v>16.809999999999999</v>
      </c>
      <c r="I50" s="100">
        <v>4.8</v>
      </c>
      <c r="J50" s="100">
        <v>1.01</v>
      </c>
      <c r="K50" s="100">
        <v>292.87</v>
      </c>
      <c r="L50" s="100">
        <v>37.409999999999997</v>
      </c>
      <c r="M50" s="100">
        <v>32.520000000000003</v>
      </c>
      <c r="N50" s="100">
        <v>181.8</v>
      </c>
      <c r="O50" s="100">
        <v>0</v>
      </c>
      <c r="P50" s="100">
        <v>0.51</v>
      </c>
      <c r="Q50" s="100">
        <v>4.7699999999999996</v>
      </c>
    </row>
    <row r="51" spans="1:17" customFormat="1">
      <c r="A51" s="100" t="s">
        <v>2200</v>
      </c>
      <c r="B51" s="100">
        <v>7.56</v>
      </c>
      <c r="C51" s="100">
        <v>49.96</v>
      </c>
      <c r="D51" s="100">
        <v>31.12</v>
      </c>
      <c r="E51" s="100">
        <v>13.37</v>
      </c>
      <c r="F51" s="100">
        <v>24.06</v>
      </c>
      <c r="G51" s="100">
        <v>38.11</v>
      </c>
      <c r="H51" s="100">
        <v>16.809999999999999</v>
      </c>
      <c r="I51" s="100">
        <v>4.71</v>
      </c>
      <c r="J51" s="100">
        <v>1.1499999999999999</v>
      </c>
      <c r="K51" s="100">
        <v>292.97000000000003</v>
      </c>
      <c r="L51" s="100">
        <v>37.9</v>
      </c>
      <c r="M51" s="100">
        <v>29.57</v>
      </c>
      <c r="N51" s="100">
        <v>190.5</v>
      </c>
      <c r="O51" s="100">
        <v>0</v>
      </c>
      <c r="P51" s="100">
        <v>0.51</v>
      </c>
      <c r="Q51" s="100">
        <v>4.75</v>
      </c>
    </row>
    <row r="52" spans="1:17" customFormat="1">
      <c r="A52" s="100" t="s">
        <v>2201</v>
      </c>
      <c r="B52" s="100">
        <v>6.84</v>
      </c>
      <c r="C52" s="100">
        <v>48.21</v>
      </c>
      <c r="D52" s="100">
        <v>29.63</v>
      </c>
      <c r="E52" s="100">
        <v>15.48</v>
      </c>
      <c r="F52" s="100">
        <v>34.32</v>
      </c>
      <c r="G52" s="100">
        <v>38.11</v>
      </c>
      <c r="H52" s="100">
        <v>16.809999999999999</v>
      </c>
      <c r="I52" s="100">
        <v>4.68</v>
      </c>
      <c r="J52" s="100">
        <v>0.88</v>
      </c>
      <c r="K52" s="100">
        <v>291.07</v>
      </c>
      <c r="L52" s="100">
        <v>38.33</v>
      </c>
      <c r="M52" s="100">
        <v>28.71</v>
      </c>
      <c r="N52" s="100">
        <v>214.1</v>
      </c>
      <c r="O52" s="100">
        <v>0</v>
      </c>
      <c r="P52" s="100">
        <v>0.52</v>
      </c>
      <c r="Q52" s="100">
        <v>4.7300000000000004</v>
      </c>
    </row>
    <row r="53" spans="1:17" customFormat="1">
      <c r="A53" s="100" t="s">
        <v>2202</v>
      </c>
      <c r="B53" s="100">
        <v>5.86</v>
      </c>
      <c r="C53" s="100">
        <v>47.84</v>
      </c>
      <c r="D53" s="100">
        <v>28.65</v>
      </c>
      <c r="E53" s="100">
        <v>19.96</v>
      </c>
      <c r="F53" s="100">
        <v>35.880000000000003</v>
      </c>
      <c r="G53" s="100">
        <v>39.29</v>
      </c>
      <c r="H53" s="100">
        <v>15.31</v>
      </c>
      <c r="I53" s="100">
        <v>4.7300000000000004</v>
      </c>
      <c r="J53" s="100">
        <v>0.74</v>
      </c>
      <c r="K53" s="100">
        <v>264.55</v>
      </c>
      <c r="L53" s="100">
        <v>38.880000000000003</v>
      </c>
      <c r="M53" s="100">
        <v>27.08</v>
      </c>
      <c r="N53" s="100">
        <v>309.8</v>
      </c>
      <c r="O53" s="100">
        <v>0</v>
      </c>
      <c r="P53" s="100">
        <v>0.52</v>
      </c>
      <c r="Q53" s="100">
        <v>4.6900000000000004</v>
      </c>
    </row>
    <row r="54" spans="1:17" customFormat="1">
      <c r="A54" s="100" t="s">
        <v>2203</v>
      </c>
      <c r="B54" s="100">
        <v>5.55</v>
      </c>
      <c r="C54" s="100">
        <v>48.52</v>
      </c>
      <c r="D54" s="100">
        <v>28.76</v>
      </c>
      <c r="E54" s="100">
        <v>24.66</v>
      </c>
      <c r="F54" s="100">
        <v>35.99</v>
      </c>
      <c r="G54" s="100">
        <v>39.35</v>
      </c>
      <c r="H54" s="100">
        <v>15.31</v>
      </c>
      <c r="I54" s="100">
        <v>4.72</v>
      </c>
      <c r="J54" s="100">
        <v>1.02</v>
      </c>
      <c r="K54" s="100">
        <v>291.17</v>
      </c>
      <c r="L54" s="100">
        <v>39.17</v>
      </c>
      <c r="M54" s="100">
        <v>25.85</v>
      </c>
      <c r="N54" s="100">
        <v>270.60000000000002</v>
      </c>
      <c r="O54" s="100">
        <v>0</v>
      </c>
      <c r="P54" s="100">
        <v>0.6</v>
      </c>
      <c r="Q54" s="100">
        <v>4.6399999999999997</v>
      </c>
    </row>
    <row r="55" spans="1:17" customFormat="1">
      <c r="A55" s="100" t="s">
        <v>2204</v>
      </c>
      <c r="B55" s="100">
        <v>4.8600000000000003</v>
      </c>
      <c r="C55" s="100">
        <v>48.68</v>
      </c>
      <c r="D55" s="100">
        <v>28.29</v>
      </c>
      <c r="E55" s="100">
        <v>39.950000000000003</v>
      </c>
      <c r="F55" s="100">
        <v>53.42</v>
      </c>
      <c r="G55" s="100">
        <v>39.35</v>
      </c>
      <c r="H55" s="100">
        <v>15.31</v>
      </c>
      <c r="I55" s="100">
        <v>4.95</v>
      </c>
      <c r="J55" s="100">
        <v>0.7</v>
      </c>
      <c r="K55" s="100">
        <v>295.06</v>
      </c>
      <c r="L55" s="100">
        <v>39.22</v>
      </c>
      <c r="M55" s="100">
        <v>26.01</v>
      </c>
      <c r="N55" s="100">
        <v>701.5</v>
      </c>
      <c r="O55" s="100">
        <v>0</v>
      </c>
      <c r="P55" s="100">
        <v>0.69</v>
      </c>
      <c r="Q55" s="100">
        <v>4.6100000000000003</v>
      </c>
    </row>
    <row r="56" spans="1:17" customFormat="1">
      <c r="A56" s="100" t="s">
        <v>2205</v>
      </c>
      <c r="B56" s="100">
        <v>4.3499999999999996</v>
      </c>
      <c r="C56" s="100">
        <v>48.53</v>
      </c>
      <c r="D56" s="100">
        <v>27.8</v>
      </c>
      <c r="E56" s="100">
        <v>32.82</v>
      </c>
      <c r="F56" s="100">
        <v>47.89</v>
      </c>
      <c r="G56" s="100">
        <v>39.35</v>
      </c>
      <c r="H56" s="100">
        <v>15.31</v>
      </c>
      <c r="I56" s="100">
        <v>5.68</v>
      </c>
      <c r="J56" s="100">
        <v>0.51</v>
      </c>
      <c r="K56" s="100">
        <v>247.58</v>
      </c>
      <c r="L56" s="100">
        <v>40.090000000000003</v>
      </c>
      <c r="M56" s="100">
        <v>25.13</v>
      </c>
      <c r="N56" s="100">
        <v>704</v>
      </c>
      <c r="O56" s="100">
        <v>0</v>
      </c>
      <c r="P56" s="100">
        <v>0.71</v>
      </c>
      <c r="Q56" s="100">
        <v>4.5999999999999996</v>
      </c>
    </row>
    <row r="57" spans="1:17" customFormat="1">
      <c r="A57" s="100" t="s">
        <v>2206</v>
      </c>
      <c r="B57" s="100">
        <v>3.64</v>
      </c>
      <c r="C57" s="100">
        <v>45.55</v>
      </c>
      <c r="D57" s="100">
        <v>25.68</v>
      </c>
      <c r="E57" s="100">
        <v>40.03</v>
      </c>
      <c r="F57" s="100">
        <v>59.17</v>
      </c>
      <c r="G57" s="100">
        <v>48.73</v>
      </c>
      <c r="H57" s="100">
        <v>17.64</v>
      </c>
      <c r="I57" s="100">
        <v>6.14</v>
      </c>
      <c r="J57" s="100">
        <v>0.55000000000000004</v>
      </c>
      <c r="K57" s="100">
        <v>260.86</v>
      </c>
      <c r="L57" s="100">
        <v>40.71</v>
      </c>
      <c r="M57" s="100">
        <v>24.1</v>
      </c>
      <c r="N57" s="100">
        <v>812.9</v>
      </c>
      <c r="O57" s="100">
        <v>0</v>
      </c>
      <c r="P57" s="100">
        <v>0.78</v>
      </c>
      <c r="Q57" s="100">
        <v>4.58</v>
      </c>
    </row>
    <row r="58" spans="1:17" customFormat="1">
      <c r="A58" s="100" t="s">
        <v>2207</v>
      </c>
      <c r="B58" s="100">
        <v>3.45</v>
      </c>
      <c r="C58" s="100">
        <v>49.46</v>
      </c>
      <c r="D58" s="100">
        <v>27.56</v>
      </c>
      <c r="E58" s="100">
        <v>25.8</v>
      </c>
      <c r="F58" s="100">
        <v>43.66</v>
      </c>
      <c r="G58" s="100">
        <v>49.17</v>
      </c>
      <c r="H58" s="100">
        <v>17.64</v>
      </c>
      <c r="I58" s="100">
        <v>6.36</v>
      </c>
      <c r="J58" s="100">
        <v>0.62</v>
      </c>
      <c r="K58" s="100">
        <v>242.35</v>
      </c>
      <c r="L58" s="100">
        <v>40.909999999999997</v>
      </c>
      <c r="M58" s="100">
        <v>22.52</v>
      </c>
      <c r="N58" s="100">
        <v>829.3</v>
      </c>
      <c r="O58" s="100">
        <v>0</v>
      </c>
      <c r="P58" s="100">
        <v>0.71</v>
      </c>
      <c r="Q58" s="100">
        <v>4.58</v>
      </c>
    </row>
    <row r="59" spans="1:17" customFormat="1">
      <c r="A59" s="100" t="s">
        <v>2208</v>
      </c>
      <c r="B59" s="100">
        <v>3.4</v>
      </c>
      <c r="C59" s="100">
        <v>51.87</v>
      </c>
      <c r="D59" s="100">
        <v>28.78</v>
      </c>
      <c r="E59" s="100">
        <v>29.31</v>
      </c>
      <c r="F59" s="100">
        <v>51.35</v>
      </c>
      <c r="G59" s="100">
        <v>49.17</v>
      </c>
      <c r="H59" s="100">
        <v>17.64</v>
      </c>
      <c r="I59" s="100">
        <v>6.38</v>
      </c>
      <c r="J59" s="100">
        <v>0.7</v>
      </c>
      <c r="K59" s="100">
        <v>276.61</v>
      </c>
      <c r="L59" s="100">
        <v>41.32</v>
      </c>
      <c r="M59" s="100">
        <v>21.6</v>
      </c>
      <c r="N59" s="100">
        <v>816</v>
      </c>
      <c r="O59" s="100">
        <v>0</v>
      </c>
      <c r="P59" s="100">
        <v>0.72</v>
      </c>
      <c r="Q59" s="100">
        <v>4.67</v>
      </c>
    </row>
    <row r="60" spans="1:17" customFormat="1">
      <c r="A60" s="100" t="s">
        <v>2209</v>
      </c>
      <c r="B60" s="100">
        <v>3.29</v>
      </c>
      <c r="C60" s="100">
        <v>49.25</v>
      </c>
      <c r="D60" s="100">
        <v>27.32</v>
      </c>
      <c r="E60" s="100">
        <v>25.32</v>
      </c>
      <c r="F60" s="100">
        <v>47.92</v>
      </c>
      <c r="G60" s="100">
        <v>49.17</v>
      </c>
      <c r="H60" s="100">
        <v>17.64</v>
      </c>
      <c r="I60" s="100">
        <v>6.22</v>
      </c>
      <c r="J60" s="100">
        <v>0.38</v>
      </c>
      <c r="K60" s="100">
        <v>251.8</v>
      </c>
      <c r="L60" s="100">
        <v>41.67</v>
      </c>
      <c r="M60" s="100">
        <v>20.25</v>
      </c>
      <c r="N60" s="100">
        <v>844.6</v>
      </c>
      <c r="O60" s="100">
        <v>0</v>
      </c>
      <c r="P60" s="100">
        <v>0.7</v>
      </c>
      <c r="Q60" s="100">
        <v>4.67</v>
      </c>
    </row>
    <row r="61" spans="1:17" customFormat="1">
      <c r="A61" s="100" t="s">
        <v>2210</v>
      </c>
      <c r="B61" s="100">
        <v>3.47</v>
      </c>
      <c r="C61" s="100">
        <v>49.79</v>
      </c>
      <c r="D61" s="100">
        <v>27.75</v>
      </c>
      <c r="E61" s="100">
        <v>17.760000000000002</v>
      </c>
      <c r="F61" s="100">
        <v>41.22</v>
      </c>
      <c r="G61" s="100">
        <v>49.2</v>
      </c>
      <c r="H61" s="100">
        <v>16.57</v>
      </c>
      <c r="I61" s="100">
        <v>6.17</v>
      </c>
      <c r="J61" s="100">
        <v>0.81</v>
      </c>
      <c r="K61" s="100">
        <v>300.97000000000003</v>
      </c>
      <c r="L61" s="100">
        <v>41.52</v>
      </c>
      <c r="M61" s="100">
        <v>17.43</v>
      </c>
      <c r="N61" s="100">
        <v>852.5</v>
      </c>
      <c r="O61" s="100">
        <v>0</v>
      </c>
      <c r="P61" s="100">
        <v>0.64</v>
      </c>
      <c r="Q61" s="100">
        <v>4.63</v>
      </c>
    </row>
    <row r="62" spans="1:17" customFormat="1">
      <c r="A62" s="100" t="s">
        <v>2211</v>
      </c>
      <c r="B62" s="100">
        <v>3.78</v>
      </c>
      <c r="C62" s="100">
        <v>48.64</v>
      </c>
      <c r="D62" s="100">
        <v>27.4</v>
      </c>
      <c r="E62" s="100">
        <v>22.01</v>
      </c>
      <c r="F62" s="100">
        <v>59.92</v>
      </c>
      <c r="G62" s="100">
        <v>49.21</v>
      </c>
      <c r="H62" s="100">
        <v>16.57</v>
      </c>
      <c r="I62" s="100">
        <v>6.12</v>
      </c>
      <c r="J62" s="100">
        <v>0.38</v>
      </c>
      <c r="K62" s="100">
        <v>15.3</v>
      </c>
      <c r="L62" s="100">
        <v>41.99</v>
      </c>
      <c r="M62" s="100">
        <v>17.54</v>
      </c>
      <c r="N62" s="100">
        <v>783.2</v>
      </c>
      <c r="O62" s="100">
        <v>0</v>
      </c>
      <c r="P62" s="100">
        <v>0.62</v>
      </c>
      <c r="Q62" s="100">
        <v>4.6500000000000004</v>
      </c>
    </row>
    <row r="63" spans="1:17" customFormat="1">
      <c r="A63" s="100" t="s">
        <v>2212</v>
      </c>
      <c r="B63" s="100">
        <v>3.76</v>
      </c>
      <c r="C63" s="100">
        <v>49.19</v>
      </c>
      <c r="D63" s="100">
        <v>27.67</v>
      </c>
      <c r="E63" s="100">
        <v>18.91</v>
      </c>
      <c r="F63" s="100">
        <v>40.81</v>
      </c>
      <c r="G63" s="100">
        <v>49.21</v>
      </c>
      <c r="H63" s="100">
        <v>16.57</v>
      </c>
      <c r="I63" s="100">
        <v>5.67</v>
      </c>
      <c r="J63" s="100">
        <v>0.52</v>
      </c>
      <c r="K63" s="100">
        <v>267.12</v>
      </c>
      <c r="L63" s="100">
        <v>42.25</v>
      </c>
      <c r="M63" s="100">
        <v>17.73</v>
      </c>
      <c r="N63" s="100">
        <v>702.2</v>
      </c>
      <c r="O63" s="100">
        <v>0</v>
      </c>
      <c r="P63" s="100">
        <v>0.64</v>
      </c>
      <c r="Q63" s="100">
        <v>4.62</v>
      </c>
    </row>
    <row r="64" spans="1:17" customFormat="1">
      <c r="A64" s="100" t="s">
        <v>2213</v>
      </c>
      <c r="B64" s="100">
        <v>3.7</v>
      </c>
      <c r="C64" s="100">
        <v>47.27</v>
      </c>
      <c r="D64" s="100">
        <v>26.62</v>
      </c>
      <c r="E64" s="100">
        <v>20.059999999999999</v>
      </c>
      <c r="F64" s="100">
        <v>49.45</v>
      </c>
      <c r="G64" s="100">
        <v>49.21</v>
      </c>
      <c r="H64" s="100">
        <v>16.57</v>
      </c>
      <c r="I64" s="100">
        <v>5.51</v>
      </c>
      <c r="J64" s="100">
        <v>0.63</v>
      </c>
      <c r="K64" s="100">
        <v>271.5</v>
      </c>
      <c r="L64" s="100">
        <v>42.46</v>
      </c>
      <c r="M64" s="100">
        <v>17.23</v>
      </c>
      <c r="N64" s="100">
        <v>762.2</v>
      </c>
      <c r="O64" s="100">
        <v>0</v>
      </c>
      <c r="P64" s="100">
        <v>0.64</v>
      </c>
      <c r="Q64" s="100">
        <v>4.62</v>
      </c>
    </row>
    <row r="65" spans="1:17" customFormat="1">
      <c r="A65" s="100" t="s">
        <v>2214</v>
      </c>
      <c r="B65" s="100">
        <v>3.64</v>
      </c>
      <c r="C65" s="100">
        <v>49.55</v>
      </c>
      <c r="D65" s="100">
        <v>27.76</v>
      </c>
      <c r="E65" s="100">
        <v>17.149999999999999</v>
      </c>
      <c r="F65" s="100">
        <v>40.75</v>
      </c>
      <c r="G65" s="100">
        <v>51.72</v>
      </c>
      <c r="H65" s="100">
        <v>20.21</v>
      </c>
      <c r="I65" s="100">
        <v>5.77</v>
      </c>
      <c r="J65" s="100">
        <v>0.5</v>
      </c>
      <c r="K65" s="100">
        <v>213.1</v>
      </c>
      <c r="L65" s="100">
        <v>42.67</v>
      </c>
      <c r="M65" s="100">
        <v>15.69</v>
      </c>
      <c r="N65" s="100">
        <v>481.5</v>
      </c>
      <c r="O65" s="100">
        <v>0</v>
      </c>
      <c r="P65" s="100">
        <v>0.59</v>
      </c>
      <c r="Q65" s="100">
        <v>4.63</v>
      </c>
    </row>
    <row r="66" spans="1:17" customFormat="1">
      <c r="A66" s="100" t="s">
        <v>2215</v>
      </c>
      <c r="B66" s="100">
        <v>3.7</v>
      </c>
      <c r="C66" s="100">
        <v>49.27</v>
      </c>
      <c r="D66" s="100">
        <v>27.66</v>
      </c>
      <c r="E66" s="100">
        <v>18.5</v>
      </c>
      <c r="F66" s="100">
        <v>47.8</v>
      </c>
      <c r="G66" s="100">
        <v>51.8</v>
      </c>
      <c r="H66" s="100">
        <v>20.21</v>
      </c>
      <c r="I66" s="100">
        <v>5.96</v>
      </c>
      <c r="J66" s="100">
        <v>0.68</v>
      </c>
      <c r="K66" s="100">
        <v>2.17</v>
      </c>
      <c r="L66" s="100">
        <v>41.12</v>
      </c>
      <c r="M66" s="100">
        <v>17.04</v>
      </c>
      <c r="N66" s="100">
        <v>173.6</v>
      </c>
      <c r="O66" s="100">
        <v>0</v>
      </c>
      <c r="P66" s="100">
        <v>0.61</v>
      </c>
      <c r="Q66" s="100">
        <v>4.5999999999999996</v>
      </c>
    </row>
    <row r="67" spans="1:17" customFormat="1">
      <c r="A67" s="100" t="s">
        <v>2216</v>
      </c>
      <c r="B67" s="100">
        <v>4.41</v>
      </c>
      <c r="C67" s="100">
        <v>51.28</v>
      </c>
      <c r="D67" s="100">
        <v>29.29</v>
      </c>
      <c r="E67" s="100">
        <v>14.78</v>
      </c>
      <c r="F67" s="100">
        <v>31.24</v>
      </c>
      <c r="G67" s="100">
        <v>51.8</v>
      </c>
      <c r="H67" s="100">
        <v>20.21</v>
      </c>
      <c r="I67" s="100">
        <v>5.79</v>
      </c>
      <c r="J67" s="100">
        <v>1.26</v>
      </c>
      <c r="K67" s="100">
        <v>54.68</v>
      </c>
      <c r="L67" s="100">
        <v>38.729999999999997</v>
      </c>
      <c r="M67" s="100">
        <v>19.690000000000001</v>
      </c>
      <c r="N67" s="100">
        <v>135.80000000000001</v>
      </c>
      <c r="O67" s="100">
        <v>0</v>
      </c>
      <c r="P67" s="100">
        <v>0.6</v>
      </c>
      <c r="Q67" s="100">
        <v>4.62</v>
      </c>
    </row>
    <row r="68" spans="1:17" customFormat="1">
      <c r="A68" s="100" t="s">
        <v>2217</v>
      </c>
      <c r="B68" s="100">
        <v>4.5999999999999996</v>
      </c>
      <c r="C68" s="100">
        <v>50.67</v>
      </c>
      <c r="D68" s="100">
        <v>29.12</v>
      </c>
      <c r="E68" s="100">
        <v>17.27</v>
      </c>
      <c r="F68" s="100">
        <v>45.29</v>
      </c>
      <c r="G68" s="100">
        <v>51.8</v>
      </c>
      <c r="H68" s="100">
        <v>20.21</v>
      </c>
      <c r="I68" s="100">
        <v>5.62</v>
      </c>
      <c r="J68" s="100">
        <v>0.66</v>
      </c>
      <c r="K68" s="100">
        <v>35.58</v>
      </c>
      <c r="L68" s="100">
        <v>38.479999999999997</v>
      </c>
      <c r="M68" s="100">
        <v>20.27</v>
      </c>
      <c r="N68" s="100">
        <v>157.9</v>
      </c>
      <c r="O68" s="100">
        <v>0</v>
      </c>
      <c r="P68" s="100">
        <v>0.56999999999999995</v>
      </c>
      <c r="Q68" s="100">
        <v>4.6500000000000004</v>
      </c>
    </row>
    <row r="69" spans="1:17" customFormat="1">
      <c r="A69" s="100" t="s">
        <v>2218</v>
      </c>
      <c r="B69" s="100">
        <v>7.44</v>
      </c>
      <c r="C69" s="100">
        <v>55.87</v>
      </c>
      <c r="D69" s="100">
        <v>34.11</v>
      </c>
      <c r="E69" s="100">
        <v>20.39</v>
      </c>
      <c r="F69" s="100">
        <v>28.52</v>
      </c>
      <c r="G69" s="100">
        <v>49.86</v>
      </c>
      <c r="H69" s="100">
        <v>19.16</v>
      </c>
      <c r="I69" s="100">
        <v>5.47</v>
      </c>
      <c r="J69" s="100">
        <v>1.04</v>
      </c>
      <c r="K69" s="100">
        <v>23.76</v>
      </c>
      <c r="L69" s="100">
        <v>38.25</v>
      </c>
      <c r="M69" s="100">
        <v>22.82</v>
      </c>
      <c r="N69" s="100">
        <v>205.5</v>
      </c>
      <c r="O69" s="100">
        <v>0</v>
      </c>
      <c r="P69" s="100">
        <v>0.61</v>
      </c>
      <c r="Q69" s="100">
        <v>4.68</v>
      </c>
    </row>
    <row r="70" spans="1:17" customFormat="1">
      <c r="A70" s="100" t="s">
        <v>2219</v>
      </c>
      <c r="B70" s="100">
        <v>6.11</v>
      </c>
      <c r="C70" s="100">
        <v>55.69</v>
      </c>
      <c r="D70" s="100">
        <v>32.950000000000003</v>
      </c>
      <c r="E70" s="100">
        <v>24.93</v>
      </c>
      <c r="F70" s="100">
        <v>29.82</v>
      </c>
      <c r="G70" s="100">
        <v>49.77</v>
      </c>
      <c r="H70" s="100">
        <v>19.16</v>
      </c>
      <c r="I70" s="100">
        <v>5.0599999999999996</v>
      </c>
      <c r="J70" s="100">
        <v>0.52</v>
      </c>
      <c r="K70" s="100">
        <v>295.76</v>
      </c>
      <c r="L70" s="100">
        <v>37.54</v>
      </c>
      <c r="M70" s="100">
        <v>22.75</v>
      </c>
      <c r="N70" s="100">
        <v>94.2</v>
      </c>
      <c r="O70" s="100">
        <v>0</v>
      </c>
      <c r="P70" s="100">
        <v>0.57999999999999996</v>
      </c>
      <c r="Q70" s="100">
        <v>4.72</v>
      </c>
    </row>
    <row r="71" spans="1:17" customFormat="1">
      <c r="A71" s="100" t="s">
        <v>2220</v>
      </c>
      <c r="B71" s="100">
        <v>6.75</v>
      </c>
      <c r="C71" s="100">
        <v>55.28</v>
      </c>
      <c r="D71" s="100">
        <v>33.25</v>
      </c>
      <c r="E71" s="100">
        <v>26.26</v>
      </c>
      <c r="F71" s="100">
        <v>30.36</v>
      </c>
      <c r="G71" s="100">
        <v>49.77</v>
      </c>
      <c r="H71" s="100">
        <v>19.16</v>
      </c>
      <c r="I71" s="100">
        <v>5.28</v>
      </c>
      <c r="J71" s="100">
        <v>0.8</v>
      </c>
      <c r="K71" s="100">
        <v>330.9</v>
      </c>
      <c r="L71" s="100">
        <v>37.49</v>
      </c>
      <c r="M71" s="100">
        <v>23.51</v>
      </c>
      <c r="N71" s="100">
        <v>87.4</v>
      </c>
      <c r="O71" s="100">
        <v>0</v>
      </c>
      <c r="P71" s="100">
        <v>0.6</v>
      </c>
      <c r="Q71" s="100">
        <v>4.75</v>
      </c>
    </row>
    <row r="72" spans="1:17" customFormat="1">
      <c r="A72" s="100" t="s">
        <v>2221</v>
      </c>
      <c r="B72" s="100">
        <v>6.64</v>
      </c>
      <c r="C72" s="100">
        <v>56.56</v>
      </c>
      <c r="D72" s="100">
        <v>33.83</v>
      </c>
      <c r="E72" s="100">
        <v>10.46</v>
      </c>
      <c r="F72" s="100">
        <v>14.38</v>
      </c>
      <c r="G72" s="100">
        <v>49.77</v>
      </c>
      <c r="H72" s="100">
        <v>19.16</v>
      </c>
      <c r="I72" s="100">
        <v>5.41</v>
      </c>
      <c r="J72" s="100">
        <v>2.14</v>
      </c>
      <c r="K72" s="100">
        <v>301.89</v>
      </c>
      <c r="L72" s="100">
        <v>36.020000000000003</v>
      </c>
      <c r="M72" s="100">
        <v>25.57</v>
      </c>
      <c r="N72" s="100">
        <v>72.7</v>
      </c>
      <c r="O72" s="100">
        <v>0</v>
      </c>
      <c r="P72" s="100">
        <v>0.6</v>
      </c>
      <c r="Q72" s="100">
        <v>4.76</v>
      </c>
    </row>
    <row r="73" spans="1:17" customFormat="1">
      <c r="A73" s="100" t="s">
        <v>2222</v>
      </c>
      <c r="B73" s="100">
        <v>6.15</v>
      </c>
      <c r="C73" s="100">
        <v>55.07</v>
      </c>
      <c r="D73" s="100">
        <v>32.659999999999997</v>
      </c>
      <c r="E73" s="100">
        <v>11.2</v>
      </c>
      <c r="F73" s="100">
        <v>17.600000000000001</v>
      </c>
      <c r="G73" s="100">
        <v>65.16</v>
      </c>
      <c r="H73" s="100">
        <v>19.739999999999998</v>
      </c>
      <c r="I73" s="100">
        <v>5.31</v>
      </c>
      <c r="J73" s="100">
        <v>1.51</v>
      </c>
      <c r="K73" s="100">
        <v>301.13</v>
      </c>
      <c r="L73" s="100">
        <v>35.020000000000003</v>
      </c>
      <c r="M73" s="100">
        <v>27.86</v>
      </c>
      <c r="N73" s="100">
        <v>54</v>
      </c>
      <c r="O73" s="100">
        <v>0</v>
      </c>
      <c r="P73" s="100">
        <v>0.56999999999999995</v>
      </c>
      <c r="Q73" s="100">
        <v>4.74</v>
      </c>
    </row>
    <row r="74" spans="1:17" customFormat="1">
      <c r="A74" s="100" t="s">
        <v>2223</v>
      </c>
      <c r="B74" s="100">
        <v>6.42</v>
      </c>
      <c r="C74" s="100">
        <v>52.82</v>
      </c>
      <c r="D74" s="100">
        <v>31.7</v>
      </c>
      <c r="E74" s="100">
        <v>11.52</v>
      </c>
      <c r="F74" s="100">
        <v>25.9</v>
      </c>
      <c r="G74" s="100">
        <v>65.88</v>
      </c>
      <c r="H74" s="100">
        <v>19.739999999999998</v>
      </c>
      <c r="I74" s="100">
        <v>5.73</v>
      </c>
      <c r="J74" s="100">
        <v>0.56000000000000005</v>
      </c>
      <c r="K74" s="100">
        <v>299.98</v>
      </c>
      <c r="L74" s="100">
        <v>35.049999999999997</v>
      </c>
      <c r="M74" s="100">
        <v>27.39</v>
      </c>
      <c r="N74" s="100">
        <v>36.700000000000003</v>
      </c>
      <c r="O74" s="100">
        <v>0</v>
      </c>
      <c r="P74" s="100">
        <v>0.55000000000000004</v>
      </c>
      <c r="Q74" s="100">
        <v>4.72</v>
      </c>
    </row>
    <row r="75" spans="1:17" customFormat="1">
      <c r="A75" s="100" t="s">
        <v>2224</v>
      </c>
      <c r="B75" s="100">
        <v>7.76</v>
      </c>
      <c r="C75" s="100">
        <v>53.25</v>
      </c>
      <c r="D75" s="100">
        <v>33</v>
      </c>
      <c r="E75" s="100">
        <v>13.26</v>
      </c>
      <c r="F75" s="100">
        <v>27.9</v>
      </c>
      <c r="G75" s="100">
        <v>65.88</v>
      </c>
      <c r="H75" s="100">
        <v>19.739999999999998</v>
      </c>
      <c r="I75" s="100">
        <v>5.54</v>
      </c>
      <c r="J75" s="100">
        <v>0.46</v>
      </c>
      <c r="K75" s="100">
        <v>51.88</v>
      </c>
      <c r="L75" s="100">
        <v>34.96</v>
      </c>
      <c r="M75" s="100">
        <v>28.41</v>
      </c>
      <c r="N75" s="100">
        <v>34.9</v>
      </c>
      <c r="O75" s="100">
        <v>0</v>
      </c>
      <c r="P75" s="100">
        <v>0.56000000000000005</v>
      </c>
      <c r="Q75" s="100">
        <v>4.71</v>
      </c>
    </row>
    <row r="76" spans="1:17" customFormat="1">
      <c r="A76" s="100" t="s">
        <v>2225</v>
      </c>
      <c r="B76" s="100">
        <v>9.56</v>
      </c>
      <c r="C76" s="100">
        <v>57.27</v>
      </c>
      <c r="D76" s="100">
        <v>36.549999999999997</v>
      </c>
      <c r="E76" s="100">
        <v>14.53</v>
      </c>
      <c r="F76" s="100">
        <v>27.44</v>
      </c>
      <c r="G76" s="100">
        <v>65.88</v>
      </c>
      <c r="H76" s="100">
        <v>19.739999999999998</v>
      </c>
      <c r="I76" s="100">
        <v>4.9800000000000004</v>
      </c>
      <c r="J76" s="100">
        <v>0.01</v>
      </c>
      <c r="K76" s="100">
        <v>4.82</v>
      </c>
      <c r="L76" s="100">
        <v>35.82</v>
      </c>
      <c r="M76" s="100">
        <v>27.79</v>
      </c>
      <c r="N76" s="100">
        <v>173.2</v>
      </c>
      <c r="O76" s="100">
        <v>0</v>
      </c>
      <c r="P76" s="100">
        <v>0.56999999999999995</v>
      </c>
      <c r="Q76" s="100">
        <v>4.7699999999999996</v>
      </c>
    </row>
    <row r="77" spans="1:17" customFormat="1">
      <c r="A77" s="100" t="s">
        <v>2226</v>
      </c>
      <c r="B77" s="100">
        <v>6.69</v>
      </c>
      <c r="C77" s="100">
        <v>53.28</v>
      </c>
      <c r="D77" s="100">
        <v>32.159999999999997</v>
      </c>
      <c r="E77" s="100">
        <v>15.61</v>
      </c>
      <c r="F77" s="100">
        <v>27.52</v>
      </c>
      <c r="G77" s="100">
        <v>69.19</v>
      </c>
      <c r="H77" s="100">
        <v>20.239999999999998</v>
      </c>
      <c r="I77" s="100">
        <v>4.6100000000000003</v>
      </c>
      <c r="J77" s="100">
        <v>0.2</v>
      </c>
      <c r="K77" s="100">
        <v>226.5</v>
      </c>
      <c r="L77" s="100">
        <v>36.909999999999997</v>
      </c>
      <c r="M77" s="100">
        <v>28.9</v>
      </c>
      <c r="N77" s="100">
        <v>158.1</v>
      </c>
      <c r="O77" s="100">
        <v>0</v>
      </c>
      <c r="P77" s="100">
        <v>0.56000000000000005</v>
      </c>
      <c r="Q77" s="100">
        <v>4.87</v>
      </c>
    </row>
    <row r="78" spans="1:17" customFormat="1">
      <c r="A78" s="100" t="s">
        <v>2227</v>
      </c>
      <c r="B78" s="100">
        <v>10.39</v>
      </c>
      <c r="C78" s="100">
        <v>59.37</v>
      </c>
      <c r="D78" s="100">
        <v>38.31</v>
      </c>
      <c r="E78" s="100">
        <v>17.91</v>
      </c>
      <c r="F78" s="100">
        <v>23.83</v>
      </c>
      <c r="G78" s="100">
        <v>69.31</v>
      </c>
      <c r="H78" s="100">
        <v>20.239999999999998</v>
      </c>
      <c r="I78" s="100">
        <v>4.67</v>
      </c>
      <c r="J78" s="100">
        <v>0.4</v>
      </c>
      <c r="K78" s="100">
        <v>31.96</v>
      </c>
      <c r="L78" s="100">
        <v>36.94</v>
      </c>
      <c r="M78" s="100">
        <v>28.13</v>
      </c>
      <c r="N78" s="100">
        <v>120.9</v>
      </c>
      <c r="O78" s="100">
        <v>0</v>
      </c>
      <c r="P78" s="100">
        <v>0.64</v>
      </c>
      <c r="Q78" s="100">
        <v>4.9000000000000004</v>
      </c>
    </row>
    <row r="79" spans="1:17" customFormat="1">
      <c r="A79" s="100" t="s">
        <v>2228</v>
      </c>
      <c r="B79" s="100">
        <v>11.62</v>
      </c>
      <c r="C79" s="100">
        <v>62.42</v>
      </c>
      <c r="D79" s="100">
        <v>40.880000000000003</v>
      </c>
      <c r="E79" s="100">
        <v>23.69</v>
      </c>
      <c r="F79" s="100">
        <v>19.13</v>
      </c>
      <c r="G79" s="100">
        <v>69.31</v>
      </c>
      <c r="H79" s="100">
        <v>20.239999999999998</v>
      </c>
      <c r="I79" s="100">
        <v>4.75</v>
      </c>
      <c r="J79" s="100">
        <v>0.05</v>
      </c>
      <c r="K79" s="100">
        <v>194.48</v>
      </c>
      <c r="L79" s="100">
        <v>36.94</v>
      </c>
      <c r="M79" s="100">
        <v>28.12</v>
      </c>
      <c r="N79" s="100">
        <v>55.6</v>
      </c>
      <c r="O79" s="100">
        <v>0</v>
      </c>
      <c r="P79" s="100">
        <v>0.7</v>
      </c>
      <c r="Q79" s="100">
        <v>4.95</v>
      </c>
    </row>
    <row r="80" spans="1:17" customFormat="1">
      <c r="A80" s="100" t="s">
        <v>2229</v>
      </c>
      <c r="B80" s="100">
        <v>7.56</v>
      </c>
      <c r="C80" s="100">
        <v>53.29</v>
      </c>
      <c r="D80" s="100">
        <v>32.86</v>
      </c>
      <c r="E80" s="100">
        <v>23.11</v>
      </c>
      <c r="F80" s="100">
        <v>32.44</v>
      </c>
      <c r="G80" s="100">
        <v>69.31</v>
      </c>
      <c r="H80" s="100">
        <v>20.239999999999998</v>
      </c>
      <c r="I80" s="100">
        <v>5.07</v>
      </c>
      <c r="J80" s="100">
        <v>0.22</v>
      </c>
      <c r="K80" s="100">
        <v>167.92</v>
      </c>
      <c r="L80" s="100">
        <v>36.119999999999997</v>
      </c>
      <c r="M80" s="100">
        <v>30.69</v>
      </c>
      <c r="N80" s="100">
        <v>30.4</v>
      </c>
      <c r="O80" s="100">
        <v>0</v>
      </c>
      <c r="P80" s="100">
        <v>0.61</v>
      </c>
      <c r="Q80" s="100">
        <v>4.99</v>
      </c>
    </row>
    <row r="81" spans="1:17" customFormat="1">
      <c r="A81" s="100" t="s">
        <v>2230</v>
      </c>
      <c r="B81" s="100">
        <v>13.31</v>
      </c>
      <c r="C81" s="100">
        <v>60.39</v>
      </c>
      <c r="D81" s="100">
        <v>41.18</v>
      </c>
      <c r="E81" s="100">
        <v>8.57</v>
      </c>
      <c r="F81" s="100">
        <v>20.45</v>
      </c>
      <c r="G81" s="100">
        <v>75.03</v>
      </c>
      <c r="H81" s="100">
        <v>22.18</v>
      </c>
      <c r="I81" s="100">
        <v>5.19</v>
      </c>
      <c r="J81" s="100">
        <v>0.25</v>
      </c>
      <c r="K81" s="100">
        <v>120.03</v>
      </c>
      <c r="L81" s="100">
        <v>35.28</v>
      </c>
      <c r="M81" s="100">
        <v>31.41</v>
      </c>
      <c r="N81" s="100">
        <v>9.8000000000000007</v>
      </c>
      <c r="O81" s="100">
        <v>0</v>
      </c>
      <c r="P81" s="100">
        <v>0.72</v>
      </c>
      <c r="Q81" s="100">
        <v>4.9800000000000004</v>
      </c>
    </row>
    <row r="82" spans="1:17" customFormat="1">
      <c r="A82" s="100" t="s">
        <v>2231</v>
      </c>
      <c r="B82" s="100">
        <v>7.17</v>
      </c>
      <c r="C82" s="100">
        <v>48.94</v>
      </c>
      <c r="D82" s="100">
        <v>30.28</v>
      </c>
      <c r="E82" s="100">
        <v>10.88</v>
      </c>
      <c r="F82" s="100">
        <v>34.93</v>
      </c>
      <c r="G82" s="100">
        <v>75.290000000000006</v>
      </c>
      <c r="H82" s="100">
        <v>22.18</v>
      </c>
      <c r="I82" s="100">
        <v>5.31</v>
      </c>
      <c r="J82" s="100">
        <v>0.16</v>
      </c>
      <c r="K82" s="100">
        <v>179.68</v>
      </c>
      <c r="L82" s="100">
        <v>34.380000000000003</v>
      </c>
      <c r="M82" s="100">
        <v>33.35</v>
      </c>
      <c r="N82" s="100">
        <v>0.3</v>
      </c>
      <c r="O82" s="100">
        <v>0</v>
      </c>
      <c r="P82" s="100">
        <v>0.59</v>
      </c>
      <c r="Q82" s="100">
        <v>5.01</v>
      </c>
    </row>
    <row r="83" spans="1:17" customFormat="1">
      <c r="A83" s="100" t="s">
        <v>2232</v>
      </c>
      <c r="B83" s="100">
        <v>6.83</v>
      </c>
      <c r="C83" s="100">
        <v>46.36</v>
      </c>
      <c r="D83" s="100">
        <v>28.65</v>
      </c>
      <c r="E83" s="100">
        <v>9.6300000000000008</v>
      </c>
      <c r="F83" s="100">
        <v>32.54</v>
      </c>
      <c r="G83" s="100">
        <v>75.290000000000006</v>
      </c>
      <c r="H83" s="100">
        <v>22.18</v>
      </c>
      <c r="I83" s="100">
        <v>5.33</v>
      </c>
      <c r="J83" s="100">
        <v>0.17</v>
      </c>
      <c r="K83" s="100">
        <v>193.91</v>
      </c>
      <c r="L83" s="100">
        <v>33.46</v>
      </c>
      <c r="M83" s="100">
        <v>36.28</v>
      </c>
      <c r="N83" s="100">
        <v>0</v>
      </c>
      <c r="O83" s="100">
        <v>0</v>
      </c>
      <c r="P83" s="100">
        <v>0.6</v>
      </c>
      <c r="Q83" s="100">
        <v>4.99</v>
      </c>
    </row>
    <row r="84" spans="1:17" customFormat="1">
      <c r="A84" s="100" t="s">
        <v>2233</v>
      </c>
      <c r="B84" s="100">
        <v>7.57</v>
      </c>
      <c r="C84" s="100">
        <v>50.15</v>
      </c>
      <c r="D84" s="100">
        <v>31.22</v>
      </c>
      <c r="E84" s="100">
        <v>8.31</v>
      </c>
      <c r="F84" s="100">
        <v>25.24</v>
      </c>
      <c r="G84" s="100">
        <v>75.290000000000006</v>
      </c>
      <c r="H84" s="100">
        <v>22.18</v>
      </c>
      <c r="I84" s="100">
        <v>5.29</v>
      </c>
      <c r="J84" s="100">
        <v>0.15</v>
      </c>
      <c r="K84" s="100">
        <v>164.83</v>
      </c>
      <c r="L84" s="100">
        <v>32.74</v>
      </c>
      <c r="M84" s="100">
        <v>38.18</v>
      </c>
      <c r="N84" s="100">
        <v>0</v>
      </c>
      <c r="O84" s="100">
        <v>0</v>
      </c>
      <c r="P84" s="100">
        <v>0.64</v>
      </c>
      <c r="Q84" s="100">
        <v>4.96</v>
      </c>
    </row>
    <row r="85" spans="1:17" customFormat="1">
      <c r="A85" s="100" t="s">
        <v>2234</v>
      </c>
      <c r="B85" s="100">
        <v>7.49</v>
      </c>
      <c r="C85" s="100">
        <v>48.93</v>
      </c>
      <c r="D85" s="100">
        <v>30.52</v>
      </c>
      <c r="E85" s="100">
        <v>8.24</v>
      </c>
      <c r="F85" s="100">
        <v>27.95</v>
      </c>
      <c r="G85" s="100">
        <v>73.39</v>
      </c>
      <c r="H85" s="100">
        <v>22.29</v>
      </c>
      <c r="I85" s="100">
        <v>5.54</v>
      </c>
      <c r="J85" s="100">
        <v>0.21</v>
      </c>
      <c r="K85" s="100">
        <v>165.41</v>
      </c>
      <c r="L85" s="100">
        <v>32.520000000000003</v>
      </c>
      <c r="M85" s="100">
        <v>36.11</v>
      </c>
      <c r="N85" s="100">
        <v>0</v>
      </c>
      <c r="O85" s="100">
        <v>0</v>
      </c>
      <c r="P85" s="100">
        <v>0.62</v>
      </c>
      <c r="Q85" s="100">
        <v>4.99</v>
      </c>
    </row>
    <row r="86" spans="1:17" customFormat="1">
      <c r="A86" s="100" t="s">
        <v>2235</v>
      </c>
      <c r="B86" s="100">
        <v>7.87</v>
      </c>
      <c r="C86" s="100">
        <v>49.08</v>
      </c>
      <c r="D86" s="100">
        <v>30.91</v>
      </c>
      <c r="E86" s="100">
        <v>7.16</v>
      </c>
      <c r="F86" s="100">
        <v>21.3</v>
      </c>
      <c r="G86" s="100">
        <v>73.3</v>
      </c>
      <c r="H86" s="100">
        <v>22.29</v>
      </c>
      <c r="I86" s="100">
        <v>5.81</v>
      </c>
      <c r="J86" s="100">
        <v>0.25</v>
      </c>
      <c r="K86" s="100">
        <v>161.63</v>
      </c>
      <c r="L86" s="100">
        <v>32.04</v>
      </c>
      <c r="M86" s="100">
        <v>40.92</v>
      </c>
      <c r="N86" s="100">
        <v>0</v>
      </c>
      <c r="O86" s="100">
        <v>0</v>
      </c>
      <c r="P86" s="100">
        <v>0.65</v>
      </c>
      <c r="Q86" s="100">
        <v>4.96</v>
      </c>
    </row>
    <row r="87" spans="1:17" customFormat="1">
      <c r="A87" s="100" t="s">
        <v>2236</v>
      </c>
      <c r="B87" s="100">
        <v>8.11</v>
      </c>
      <c r="C87" s="100">
        <v>49.8</v>
      </c>
      <c r="D87" s="100">
        <v>31.48</v>
      </c>
      <c r="E87" s="100">
        <v>6.53</v>
      </c>
      <c r="F87" s="100">
        <v>16.8</v>
      </c>
      <c r="G87" s="100">
        <v>73.3</v>
      </c>
      <c r="H87" s="100">
        <v>22.29</v>
      </c>
      <c r="I87" s="100">
        <v>5.81</v>
      </c>
      <c r="J87" s="100">
        <v>0.28000000000000003</v>
      </c>
      <c r="K87" s="100">
        <v>171.34</v>
      </c>
      <c r="L87" s="100">
        <v>31.46</v>
      </c>
      <c r="M87" s="100">
        <v>42.62</v>
      </c>
      <c r="N87" s="100">
        <v>0</v>
      </c>
      <c r="O87" s="100">
        <v>0</v>
      </c>
      <c r="P87" s="100">
        <v>0.68</v>
      </c>
      <c r="Q87" s="100">
        <v>4.9400000000000004</v>
      </c>
    </row>
    <row r="88" spans="1:17" customFormat="1">
      <c r="A88" s="100" t="s">
        <v>2237</v>
      </c>
      <c r="B88" s="100">
        <v>9.17</v>
      </c>
      <c r="C88" s="100">
        <v>54.22</v>
      </c>
      <c r="D88" s="100">
        <v>34.64</v>
      </c>
      <c r="E88" s="100">
        <v>5.08</v>
      </c>
      <c r="F88" s="100">
        <v>12.26</v>
      </c>
      <c r="G88" s="100">
        <v>73.3</v>
      </c>
      <c r="H88" s="100">
        <v>22.29</v>
      </c>
      <c r="I88" s="100">
        <v>5.99</v>
      </c>
      <c r="J88" s="100">
        <v>0.26</v>
      </c>
      <c r="K88" s="100">
        <v>194.28</v>
      </c>
      <c r="L88" s="100">
        <v>31.08</v>
      </c>
      <c r="M88" s="100">
        <v>41.17</v>
      </c>
      <c r="N88" s="100">
        <v>0</v>
      </c>
      <c r="O88" s="100">
        <v>0</v>
      </c>
      <c r="P88" s="100">
        <v>0.66</v>
      </c>
      <c r="Q88" s="100">
        <v>4.9400000000000004</v>
      </c>
    </row>
    <row r="89" spans="1:17" customFormat="1">
      <c r="A89" s="100" t="s">
        <v>2238</v>
      </c>
      <c r="B89" s="100">
        <v>8.61</v>
      </c>
      <c r="C89" s="100">
        <v>50.21</v>
      </c>
      <c r="D89" s="100">
        <v>32.090000000000003</v>
      </c>
      <c r="E89" s="100">
        <v>6.16</v>
      </c>
      <c r="F89" s="100">
        <v>16.18</v>
      </c>
      <c r="G89" s="100">
        <v>73.599999999999994</v>
      </c>
      <c r="H89" s="100">
        <v>22.71</v>
      </c>
      <c r="I89" s="100">
        <v>6.35</v>
      </c>
      <c r="J89" s="100">
        <v>0.08</v>
      </c>
      <c r="K89" s="100">
        <v>170.81</v>
      </c>
      <c r="L89" s="100">
        <v>30.83</v>
      </c>
      <c r="M89" s="100">
        <v>41.53</v>
      </c>
      <c r="N89" s="100">
        <v>0</v>
      </c>
      <c r="O89" s="100">
        <v>0</v>
      </c>
      <c r="P89" s="100">
        <v>0.66</v>
      </c>
      <c r="Q89" s="100">
        <v>4.97</v>
      </c>
    </row>
    <row r="90" spans="1:17" customFormat="1">
      <c r="A90" s="100" t="s">
        <v>2239</v>
      </c>
      <c r="B90" s="100">
        <v>9.51</v>
      </c>
      <c r="C90" s="100">
        <v>52.25</v>
      </c>
      <c r="D90" s="100">
        <v>33.880000000000003</v>
      </c>
      <c r="E90" s="100">
        <v>5.38</v>
      </c>
      <c r="F90" s="100">
        <v>11.84</v>
      </c>
      <c r="G90" s="100">
        <v>73.61</v>
      </c>
      <c r="H90" s="100">
        <v>22.71</v>
      </c>
      <c r="I90" s="100">
        <v>6.37</v>
      </c>
      <c r="J90" s="100">
        <v>0.17</v>
      </c>
      <c r="K90" s="100">
        <v>180.3</v>
      </c>
      <c r="L90" s="100">
        <v>30.67</v>
      </c>
      <c r="M90" s="100">
        <v>42.56</v>
      </c>
      <c r="N90" s="100">
        <v>0</v>
      </c>
      <c r="O90" s="100">
        <v>0</v>
      </c>
      <c r="P90" s="100">
        <v>0.68</v>
      </c>
      <c r="Q90" s="100">
        <v>4.96</v>
      </c>
    </row>
    <row r="91" spans="1:17" customFormat="1">
      <c r="A91" s="100" t="s">
        <v>2240</v>
      </c>
      <c r="B91" s="100">
        <v>10.1</v>
      </c>
      <c r="C91" s="100">
        <v>52.98</v>
      </c>
      <c r="D91" s="100">
        <v>34.74</v>
      </c>
      <c r="E91" s="100">
        <v>5.37</v>
      </c>
      <c r="F91" s="100">
        <v>12.23</v>
      </c>
      <c r="G91" s="100">
        <v>73.61</v>
      </c>
      <c r="H91" s="100">
        <v>22.71</v>
      </c>
      <c r="I91" s="100">
        <v>6.44</v>
      </c>
      <c r="J91" s="100">
        <v>0.15</v>
      </c>
      <c r="K91" s="100">
        <v>200.12</v>
      </c>
      <c r="L91" s="100">
        <v>30.28</v>
      </c>
      <c r="M91" s="100">
        <v>43.12</v>
      </c>
      <c r="N91" s="100">
        <v>0</v>
      </c>
      <c r="O91" s="100">
        <v>0</v>
      </c>
      <c r="P91" s="100">
        <v>0.71</v>
      </c>
      <c r="Q91" s="100">
        <v>4.99</v>
      </c>
    </row>
    <row r="92" spans="1:17" customFormat="1">
      <c r="A92" s="100" t="s">
        <v>2241</v>
      </c>
      <c r="B92" s="100">
        <v>10.17</v>
      </c>
      <c r="C92" s="100">
        <v>52.72</v>
      </c>
      <c r="D92" s="100">
        <v>34.659999999999997</v>
      </c>
      <c r="E92" s="100">
        <v>4.92</v>
      </c>
      <c r="F92" s="100">
        <v>9.73</v>
      </c>
      <c r="G92" s="100">
        <v>73.61</v>
      </c>
      <c r="H92" s="100">
        <v>22.71</v>
      </c>
      <c r="I92" s="100">
        <v>6.89</v>
      </c>
      <c r="J92" s="100">
        <v>0.14000000000000001</v>
      </c>
      <c r="K92" s="100">
        <v>175.7</v>
      </c>
      <c r="L92" s="100">
        <v>30.16</v>
      </c>
      <c r="M92" s="100">
        <v>44.51</v>
      </c>
      <c r="N92" s="100">
        <v>0</v>
      </c>
      <c r="O92" s="100">
        <v>0</v>
      </c>
      <c r="P92" s="100">
        <v>0.72</v>
      </c>
      <c r="Q92" s="100">
        <v>4.99</v>
      </c>
    </row>
    <row r="93" spans="1:17" customFormat="1">
      <c r="A93" s="100" t="s">
        <v>2242</v>
      </c>
      <c r="B93" s="100">
        <v>11.2</v>
      </c>
      <c r="C93" s="100">
        <v>54.29</v>
      </c>
      <c r="D93" s="100">
        <v>36.299999999999997</v>
      </c>
      <c r="E93" s="100">
        <v>4.32</v>
      </c>
      <c r="F93" s="100">
        <v>8.4499999999999993</v>
      </c>
      <c r="G93" s="100">
        <v>73.680000000000007</v>
      </c>
      <c r="H93" s="100">
        <v>23.01</v>
      </c>
      <c r="I93" s="100">
        <v>7.03</v>
      </c>
      <c r="J93" s="100">
        <v>0.19</v>
      </c>
      <c r="K93" s="100">
        <v>175.6</v>
      </c>
      <c r="L93" s="100">
        <v>29.76</v>
      </c>
      <c r="M93" s="100">
        <v>46.81</v>
      </c>
      <c r="N93" s="100">
        <v>0</v>
      </c>
      <c r="O93" s="100">
        <v>0</v>
      </c>
      <c r="P93" s="100">
        <v>0.73</v>
      </c>
      <c r="Q93" s="100">
        <v>5.04</v>
      </c>
    </row>
    <row r="94" spans="1:17" customFormat="1">
      <c r="A94" s="100" t="s">
        <v>2243</v>
      </c>
      <c r="B94" s="100">
        <v>11.95</v>
      </c>
      <c r="C94" s="100">
        <v>54.13</v>
      </c>
      <c r="D94" s="100">
        <v>36.82</v>
      </c>
      <c r="E94" s="100">
        <v>3.89</v>
      </c>
      <c r="F94" s="100">
        <v>6.99</v>
      </c>
      <c r="G94" s="100">
        <v>73.680000000000007</v>
      </c>
      <c r="H94" s="100">
        <v>23.01</v>
      </c>
      <c r="I94" s="100">
        <v>7.17</v>
      </c>
      <c r="J94" s="100">
        <v>0.19</v>
      </c>
      <c r="K94" s="100">
        <v>187.21</v>
      </c>
      <c r="L94" s="100">
        <v>29.36</v>
      </c>
      <c r="M94" s="100">
        <v>49.63</v>
      </c>
      <c r="N94" s="100">
        <v>0</v>
      </c>
      <c r="O94" s="100">
        <v>0</v>
      </c>
      <c r="P94" s="100">
        <v>0.74</v>
      </c>
      <c r="Q94" s="100">
        <v>5.05</v>
      </c>
    </row>
    <row r="95" spans="1:17" customFormat="1">
      <c r="A95" s="100" t="s">
        <v>2244</v>
      </c>
      <c r="B95" s="100">
        <v>11.21</v>
      </c>
      <c r="C95" s="100">
        <v>51.15</v>
      </c>
      <c r="D95" s="100">
        <v>34.67</v>
      </c>
      <c r="E95" s="100">
        <v>4.6100000000000003</v>
      </c>
      <c r="F95" s="100">
        <v>14.14</v>
      </c>
      <c r="G95" s="100">
        <v>73.680000000000007</v>
      </c>
      <c r="H95" s="100">
        <v>23.01</v>
      </c>
      <c r="I95" s="100">
        <v>7.35</v>
      </c>
      <c r="J95" s="100">
        <v>0.14000000000000001</v>
      </c>
      <c r="K95" s="100">
        <v>219.13</v>
      </c>
      <c r="L95" s="100">
        <v>29.71</v>
      </c>
      <c r="M95" s="100">
        <v>40.619999999999997</v>
      </c>
      <c r="N95" s="100">
        <v>0</v>
      </c>
      <c r="O95" s="100">
        <v>0</v>
      </c>
      <c r="P95" s="100">
        <v>0.72</v>
      </c>
      <c r="Q95" s="100">
        <v>5.07</v>
      </c>
    </row>
    <row r="96" spans="1:17" customFormat="1">
      <c r="A96" s="100" t="s">
        <v>2245</v>
      </c>
      <c r="B96" s="100">
        <v>11.22</v>
      </c>
      <c r="C96" s="100">
        <v>50.05</v>
      </c>
      <c r="D96" s="100">
        <v>34.1</v>
      </c>
      <c r="E96" s="100">
        <v>4.7</v>
      </c>
      <c r="F96" s="100">
        <v>17.239999999999998</v>
      </c>
      <c r="G96" s="100">
        <v>73.680000000000007</v>
      </c>
      <c r="H96" s="100">
        <v>23.01</v>
      </c>
      <c r="I96" s="100">
        <v>7.46</v>
      </c>
      <c r="J96" s="100">
        <v>0.17</v>
      </c>
      <c r="K96" s="100">
        <v>204.65</v>
      </c>
      <c r="L96" s="100">
        <v>30.34</v>
      </c>
      <c r="M96" s="100">
        <v>36.39</v>
      </c>
      <c r="N96" s="100">
        <v>0</v>
      </c>
      <c r="O96" s="100">
        <v>0</v>
      </c>
      <c r="P96" s="100">
        <v>0.67</v>
      </c>
      <c r="Q96" s="100">
        <v>5.07</v>
      </c>
    </row>
    <row r="97" spans="1:22" customFormat="1">
      <c r="A97" s="100" t="s">
        <v>2246</v>
      </c>
      <c r="B97" s="100">
        <v>12.03</v>
      </c>
      <c r="C97" s="100">
        <v>51.47</v>
      </c>
      <c r="D97" s="100">
        <v>35.49</v>
      </c>
      <c r="E97" s="100">
        <v>4.66</v>
      </c>
      <c r="F97" s="100">
        <v>16.37</v>
      </c>
      <c r="G97" s="100">
        <v>67.14</v>
      </c>
      <c r="H97" s="100">
        <v>18.93</v>
      </c>
      <c r="I97" s="100">
        <v>7.14</v>
      </c>
      <c r="J97" s="100">
        <v>0.32</v>
      </c>
      <c r="K97" s="100">
        <v>227.03</v>
      </c>
      <c r="L97" s="100">
        <v>30.72</v>
      </c>
      <c r="M97" s="100">
        <v>34.96</v>
      </c>
      <c r="N97" s="100">
        <v>0</v>
      </c>
      <c r="O97" s="100">
        <v>0</v>
      </c>
      <c r="P97" s="100">
        <v>0.65</v>
      </c>
      <c r="Q97" s="100">
        <v>5.09</v>
      </c>
    </row>
    <row r="98" spans="1:22" customFormat="1">
      <c r="A98" s="100" t="s">
        <v>2247</v>
      </c>
      <c r="B98" s="100">
        <v>11.34</v>
      </c>
      <c r="C98" s="100">
        <v>48.81</v>
      </c>
      <c r="D98" s="100">
        <v>33.549999999999997</v>
      </c>
      <c r="E98" s="100">
        <v>4.38</v>
      </c>
      <c r="F98" s="100">
        <v>17.059999999999999</v>
      </c>
      <c r="G98" s="100">
        <v>66.92</v>
      </c>
      <c r="H98" s="100">
        <v>18.93</v>
      </c>
      <c r="I98" s="100">
        <v>6.49</v>
      </c>
      <c r="J98" s="100">
        <v>0.27</v>
      </c>
      <c r="K98" s="100">
        <v>219.12</v>
      </c>
      <c r="L98" s="100">
        <v>30.6</v>
      </c>
      <c r="M98" s="100">
        <v>35.97</v>
      </c>
      <c r="N98" s="100">
        <v>0</v>
      </c>
      <c r="O98" s="100">
        <v>0</v>
      </c>
      <c r="P98" s="100">
        <v>0.65</v>
      </c>
      <c r="Q98" s="100">
        <v>5.07</v>
      </c>
    </row>
    <row r="99" spans="1:22" customFormat="1">
      <c r="A99" s="100" t="s">
        <v>2248</v>
      </c>
      <c r="B99" s="100">
        <v>11.25</v>
      </c>
      <c r="C99" s="100">
        <v>49.35</v>
      </c>
      <c r="D99" s="100">
        <v>33.76</v>
      </c>
      <c r="E99" s="100">
        <v>4.1100000000000003</v>
      </c>
      <c r="F99" s="100">
        <v>17.45</v>
      </c>
      <c r="G99" s="100">
        <v>66.92</v>
      </c>
      <c r="H99" s="100">
        <v>18.93</v>
      </c>
      <c r="I99" s="100">
        <v>6.17</v>
      </c>
      <c r="J99" s="100">
        <v>0.24</v>
      </c>
      <c r="K99" s="100">
        <v>217.88</v>
      </c>
      <c r="L99" s="100">
        <v>30.26</v>
      </c>
      <c r="M99" s="100">
        <v>37.29</v>
      </c>
      <c r="N99" s="100">
        <v>0</v>
      </c>
      <c r="O99" s="100">
        <v>0</v>
      </c>
      <c r="P99" s="100">
        <v>0.64</v>
      </c>
      <c r="Q99" s="100">
        <v>5.0599999999999996</v>
      </c>
    </row>
    <row r="100" spans="1:22" customFormat="1">
      <c r="A100" s="100" t="s">
        <v>2249</v>
      </c>
      <c r="B100" s="100">
        <v>11.51</v>
      </c>
      <c r="C100" s="100">
        <v>49.73</v>
      </c>
      <c r="D100" s="100">
        <v>34.17</v>
      </c>
      <c r="E100" s="100">
        <v>4.63</v>
      </c>
      <c r="F100" s="100">
        <v>16.73</v>
      </c>
      <c r="G100" s="100">
        <v>66.92</v>
      </c>
      <c r="H100" s="100">
        <v>18.93</v>
      </c>
      <c r="I100" s="100">
        <v>6</v>
      </c>
      <c r="J100" s="100">
        <v>0.36</v>
      </c>
      <c r="K100" s="100">
        <v>231.48</v>
      </c>
      <c r="L100" s="100">
        <v>30.07</v>
      </c>
      <c r="M100" s="100">
        <v>38.36</v>
      </c>
      <c r="N100" s="100">
        <v>0</v>
      </c>
      <c r="O100" s="100">
        <v>0</v>
      </c>
      <c r="P100" s="100">
        <v>0.63</v>
      </c>
      <c r="Q100" s="100">
        <v>5.07</v>
      </c>
    </row>
    <row r="101" spans="1:22" customFormat="1">
      <c r="A101" s="100" t="s">
        <v>2250</v>
      </c>
      <c r="B101" s="100">
        <v>10.71</v>
      </c>
      <c r="C101" s="100">
        <v>46.23</v>
      </c>
      <c r="D101" s="100">
        <v>31.7</v>
      </c>
      <c r="E101" s="100">
        <v>3.78</v>
      </c>
      <c r="F101" s="100">
        <v>17.48</v>
      </c>
      <c r="G101" s="100">
        <v>61.88</v>
      </c>
      <c r="H101" s="100">
        <v>19.97</v>
      </c>
      <c r="I101" s="100">
        <v>6.04</v>
      </c>
      <c r="J101" s="100">
        <v>0.1</v>
      </c>
      <c r="K101" s="100">
        <v>226.68</v>
      </c>
      <c r="L101" s="100">
        <v>29.8</v>
      </c>
      <c r="M101" s="100">
        <v>40.53</v>
      </c>
      <c r="N101" s="100">
        <v>0</v>
      </c>
      <c r="O101" s="100">
        <v>0</v>
      </c>
      <c r="P101" s="100">
        <v>0.61</v>
      </c>
      <c r="Q101" s="100">
        <v>5.07</v>
      </c>
    </row>
    <row r="102" spans="1:22" customFormat="1">
      <c r="A102" s="100" t="s">
        <v>2251</v>
      </c>
      <c r="B102" s="100">
        <v>11.77</v>
      </c>
      <c r="C102" s="100">
        <v>50.22</v>
      </c>
      <c r="D102" s="100">
        <v>34.630000000000003</v>
      </c>
      <c r="E102" s="100">
        <v>3.44</v>
      </c>
      <c r="F102" s="100">
        <v>14.77</v>
      </c>
      <c r="G102" s="100">
        <v>61.7</v>
      </c>
      <c r="H102" s="100">
        <v>19.97</v>
      </c>
      <c r="I102" s="100">
        <v>5.81</v>
      </c>
      <c r="J102" s="100">
        <v>0.25</v>
      </c>
      <c r="K102" s="100">
        <v>249.36</v>
      </c>
      <c r="L102" s="100">
        <v>29.31</v>
      </c>
      <c r="M102" s="100">
        <v>43.41</v>
      </c>
      <c r="N102" s="100">
        <v>0</v>
      </c>
      <c r="O102" s="100">
        <v>0</v>
      </c>
      <c r="P102" s="100">
        <v>0.6</v>
      </c>
      <c r="Q102" s="100">
        <v>5.05</v>
      </c>
    </row>
    <row r="103" spans="1:22" customFormat="1">
      <c r="A103" s="100" t="s">
        <v>2252</v>
      </c>
      <c r="B103" s="100">
        <v>11.94</v>
      </c>
      <c r="C103" s="100">
        <v>50.29</v>
      </c>
      <c r="D103" s="100">
        <v>34.799999999999997</v>
      </c>
      <c r="E103" s="100">
        <v>3.42</v>
      </c>
      <c r="F103" s="100">
        <v>13.36</v>
      </c>
      <c r="G103" s="100">
        <v>61.7</v>
      </c>
      <c r="H103" s="100">
        <v>19.97</v>
      </c>
      <c r="I103" s="100">
        <v>5.67</v>
      </c>
      <c r="J103" s="100">
        <v>0.35</v>
      </c>
      <c r="K103" s="100">
        <v>240.55</v>
      </c>
      <c r="L103" s="100">
        <v>29.37</v>
      </c>
      <c r="M103" s="100">
        <v>44.22</v>
      </c>
      <c r="N103" s="100">
        <v>0</v>
      </c>
      <c r="O103" s="100">
        <v>0</v>
      </c>
      <c r="P103" s="100">
        <v>0.6</v>
      </c>
      <c r="Q103" s="100">
        <v>5.03</v>
      </c>
    </row>
    <row r="104" spans="1:22" customFormat="1">
      <c r="A104" s="100" t="s">
        <v>2253</v>
      </c>
      <c r="B104" s="100">
        <v>11.57</v>
      </c>
      <c r="C104" s="100">
        <v>48.26</v>
      </c>
      <c r="D104" s="100">
        <v>33.450000000000003</v>
      </c>
      <c r="E104" s="100">
        <v>3.36</v>
      </c>
      <c r="F104" s="100">
        <v>15.77</v>
      </c>
      <c r="G104" s="100">
        <v>61.7</v>
      </c>
      <c r="H104" s="100">
        <v>19.97</v>
      </c>
      <c r="I104" s="100">
        <v>5.71</v>
      </c>
      <c r="J104" s="100">
        <v>0.28999999999999998</v>
      </c>
      <c r="K104" s="100">
        <v>226.43</v>
      </c>
      <c r="L104" s="100">
        <v>29.41</v>
      </c>
      <c r="M104" s="100">
        <v>45.93</v>
      </c>
      <c r="N104" s="100">
        <v>0</v>
      </c>
      <c r="O104" s="100">
        <v>0</v>
      </c>
      <c r="P104" s="100">
        <v>0.57999999999999996</v>
      </c>
      <c r="Q104" s="100">
        <v>5.0199999999999996</v>
      </c>
    </row>
    <row r="106" spans="1:22">
      <c r="A106" s="157" t="s">
        <v>48</v>
      </c>
      <c r="B106" s="158">
        <f>MIN(B9:B104)</f>
        <v>3.29</v>
      </c>
      <c r="C106" s="158">
        <f>MIN(C9:C104)</f>
        <v>45.55</v>
      </c>
      <c r="D106" s="158">
        <f t="shared" ref="D106:Q106" si="0">MIN(D9:D104)</f>
        <v>25.68</v>
      </c>
      <c r="E106" s="158">
        <f t="shared" si="0"/>
        <v>3.36</v>
      </c>
      <c r="F106" s="158">
        <f t="shared" si="0"/>
        <v>3.94</v>
      </c>
      <c r="G106" s="158">
        <f t="shared" si="0"/>
        <v>25.13</v>
      </c>
      <c r="H106" s="158">
        <f t="shared" si="0"/>
        <v>11.45</v>
      </c>
      <c r="I106" s="158">
        <f t="shared" si="0"/>
        <v>4.29</v>
      </c>
      <c r="J106" s="158">
        <f t="shared" si="0"/>
        <v>0.01</v>
      </c>
      <c r="K106" s="158">
        <f t="shared" si="0"/>
        <v>2.17</v>
      </c>
      <c r="L106" s="158">
        <f t="shared" si="0"/>
        <v>26.11</v>
      </c>
      <c r="M106" s="158">
        <f t="shared" si="0"/>
        <v>15.69</v>
      </c>
      <c r="N106" s="158">
        <f t="shared" si="0"/>
        <v>0</v>
      </c>
      <c r="O106" s="158">
        <f t="shared" si="0"/>
        <v>0</v>
      </c>
      <c r="P106" s="158">
        <f t="shared" si="0"/>
        <v>0.45</v>
      </c>
      <c r="Q106" s="158">
        <f t="shared" si="0"/>
        <v>4.58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24.16</v>
      </c>
      <c r="C107" s="157">
        <f t="shared" ref="C107:Q107" si="1">MAX(C9:C104)</f>
        <v>62.42</v>
      </c>
      <c r="D107" s="157">
        <f t="shared" si="1"/>
        <v>50.19</v>
      </c>
      <c r="E107" s="157">
        <f t="shared" si="1"/>
        <v>40.03</v>
      </c>
      <c r="F107" s="157">
        <f t="shared" si="1"/>
        <v>59.92</v>
      </c>
      <c r="G107" s="157">
        <f t="shared" si="1"/>
        <v>75.290000000000006</v>
      </c>
      <c r="H107" s="157">
        <f t="shared" si="1"/>
        <v>23.01</v>
      </c>
      <c r="I107" s="157">
        <f t="shared" si="1"/>
        <v>7.46</v>
      </c>
      <c r="J107" s="157">
        <f t="shared" si="1"/>
        <v>2.14</v>
      </c>
      <c r="K107" s="157">
        <f t="shared" si="1"/>
        <v>330.9</v>
      </c>
      <c r="L107" s="157">
        <f t="shared" si="1"/>
        <v>42.67</v>
      </c>
      <c r="M107" s="157">
        <f t="shared" si="1"/>
        <v>63.17</v>
      </c>
      <c r="N107" s="157">
        <f t="shared" si="1"/>
        <v>852.5</v>
      </c>
      <c r="O107" s="157">
        <f t="shared" si="1"/>
        <v>0</v>
      </c>
      <c r="P107" s="157">
        <f t="shared" si="1"/>
        <v>0.78</v>
      </c>
      <c r="Q107" s="157">
        <f t="shared" si="1"/>
        <v>5.59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11.403333333333334</v>
      </c>
      <c r="C108" s="158">
        <f t="shared" ref="C108:Q108" si="2">AVERAGE(C9:C104)</f>
        <v>53.134479166666694</v>
      </c>
      <c r="D108" s="158">
        <f t="shared" si="2"/>
        <v>35.860624999999992</v>
      </c>
      <c r="E108" s="158">
        <f t="shared" si="2"/>
        <v>10.688333333333333</v>
      </c>
      <c r="F108" s="158">
        <f t="shared" si="2"/>
        <v>20.006874999999997</v>
      </c>
      <c r="G108" s="158">
        <f t="shared" si="2"/>
        <v>47.858125000000001</v>
      </c>
      <c r="H108" s="158">
        <f t="shared" si="2"/>
        <v>17.052916666666672</v>
      </c>
      <c r="I108" s="158">
        <f t="shared" si="2"/>
        <v>5.2540625000000016</v>
      </c>
      <c r="J108" s="158">
        <f t="shared" si="2"/>
        <v>0.39760416666666659</v>
      </c>
      <c r="K108" s="158">
        <f t="shared" si="2"/>
        <v>195.21927083333333</v>
      </c>
      <c r="L108" s="158">
        <f t="shared" si="2"/>
        <v>32.796979166666681</v>
      </c>
      <c r="M108" s="158">
        <f t="shared" si="2"/>
        <v>40.740520833333328</v>
      </c>
      <c r="N108" s="158">
        <f t="shared" si="2"/>
        <v>135.08125000000004</v>
      </c>
      <c r="O108" s="158">
        <f t="shared" si="2"/>
        <v>0</v>
      </c>
      <c r="P108" s="158">
        <f t="shared" si="2"/>
        <v>0.5682291666666669</v>
      </c>
      <c r="Q108" s="158">
        <f t="shared" si="2"/>
        <v>4.9910416666666659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5.7727765219112577</v>
      </c>
      <c r="C109" s="158">
        <f t="shared" ref="C109:Q109" si="3">STDEV(C9:C104)</f>
        <v>3.9928788901167978</v>
      </c>
      <c r="D109" s="158">
        <f t="shared" si="3"/>
        <v>6.2901565226111709</v>
      </c>
      <c r="E109" s="158">
        <f t="shared" si="3"/>
        <v>8.1565065621407822</v>
      </c>
      <c r="F109" s="158">
        <f t="shared" si="3"/>
        <v>14.23027257293408</v>
      </c>
      <c r="G109" s="158">
        <f t="shared" si="3"/>
        <v>17.475859398339402</v>
      </c>
      <c r="H109" s="158">
        <f t="shared" si="3"/>
        <v>3.7969189494604052</v>
      </c>
      <c r="I109" s="158">
        <f t="shared" si="3"/>
        <v>0.80892206133581468</v>
      </c>
      <c r="J109" s="158">
        <f t="shared" si="3"/>
        <v>0.35436153049991997</v>
      </c>
      <c r="K109" s="158">
        <f t="shared" si="3"/>
        <v>75.280546900032448</v>
      </c>
      <c r="L109" s="158">
        <f t="shared" si="3"/>
        <v>4.9413348121612728</v>
      </c>
      <c r="M109" s="158">
        <f t="shared" si="3"/>
        <v>13.994633961839721</v>
      </c>
      <c r="N109" s="158">
        <f t="shared" si="3"/>
        <v>237.27989393496753</v>
      </c>
      <c r="O109" s="158">
        <f t="shared" si="3"/>
        <v>0</v>
      </c>
      <c r="P109" s="158">
        <f t="shared" si="3"/>
        <v>8.9771579040966054E-2</v>
      </c>
      <c r="Q109" s="158">
        <f t="shared" si="3"/>
        <v>0.27403218853061251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117"/>
  <sheetViews>
    <sheetView zoomScale="85" zoomScaleNormal="85" workbookViewId="0">
      <pane xSplit="1" ySplit="8" topLeftCell="B18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22/05/2023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2254</v>
      </c>
      <c r="B9" s="100">
        <v>11.78</v>
      </c>
      <c r="C9" s="100">
        <v>51.77</v>
      </c>
      <c r="D9" s="100">
        <v>35.450000000000003</v>
      </c>
      <c r="E9" s="100">
        <v>3.67</v>
      </c>
      <c r="F9" s="100">
        <v>15</v>
      </c>
      <c r="G9" s="100">
        <v>48.61</v>
      </c>
      <c r="H9" s="100">
        <v>17.03</v>
      </c>
      <c r="I9" s="100">
        <v>5.66</v>
      </c>
      <c r="J9" s="100">
        <v>0.3</v>
      </c>
      <c r="K9" s="100">
        <v>219.4</v>
      </c>
      <c r="L9" s="100">
        <v>29.28</v>
      </c>
      <c r="M9" s="100">
        <v>47.36</v>
      </c>
      <c r="N9" s="100">
        <v>0</v>
      </c>
      <c r="O9" s="100">
        <v>0</v>
      </c>
      <c r="P9" s="100">
        <v>0.56999999999999995</v>
      </c>
      <c r="Q9" s="100">
        <v>5.03</v>
      </c>
    </row>
    <row r="10" spans="1:21" customFormat="1">
      <c r="A10" s="100" t="s">
        <v>2255</v>
      </c>
      <c r="B10" s="100">
        <v>10.89</v>
      </c>
      <c r="C10" s="100">
        <v>46.93</v>
      </c>
      <c r="D10" s="100">
        <v>32.21</v>
      </c>
      <c r="E10" s="100">
        <v>3.56</v>
      </c>
      <c r="F10" s="100">
        <v>15.55</v>
      </c>
      <c r="G10" s="100">
        <v>48.16</v>
      </c>
      <c r="H10" s="100">
        <v>17.03</v>
      </c>
      <c r="I10" s="100">
        <v>5.42</v>
      </c>
      <c r="J10" s="100">
        <v>0.06</v>
      </c>
      <c r="K10" s="100">
        <v>206.92</v>
      </c>
      <c r="L10" s="100">
        <v>29.08</v>
      </c>
      <c r="M10" s="100">
        <v>48.47</v>
      </c>
      <c r="N10" s="100">
        <v>0</v>
      </c>
      <c r="O10" s="100">
        <v>0</v>
      </c>
      <c r="P10" s="100">
        <v>0.56000000000000005</v>
      </c>
      <c r="Q10" s="100">
        <v>5.0199999999999996</v>
      </c>
    </row>
    <row r="11" spans="1:21" customFormat="1">
      <c r="A11" s="100" t="s">
        <v>2256</v>
      </c>
      <c r="B11" s="100">
        <v>11.37</v>
      </c>
      <c r="C11" s="100">
        <v>46.88</v>
      </c>
      <c r="D11" s="100">
        <v>32.56</v>
      </c>
      <c r="E11" s="100">
        <v>3.58</v>
      </c>
      <c r="F11" s="100">
        <v>16.510000000000002</v>
      </c>
      <c r="G11" s="100">
        <v>48.16</v>
      </c>
      <c r="H11" s="100">
        <v>17.03</v>
      </c>
      <c r="I11" s="100">
        <v>5.2</v>
      </c>
      <c r="J11" s="100">
        <v>0.23</v>
      </c>
      <c r="K11" s="100">
        <v>244.26</v>
      </c>
      <c r="L11" s="100">
        <v>29.1</v>
      </c>
      <c r="M11" s="100">
        <v>48.53</v>
      </c>
      <c r="N11" s="100">
        <v>0</v>
      </c>
      <c r="O11" s="100">
        <v>0</v>
      </c>
      <c r="P11" s="100">
        <v>0.54</v>
      </c>
      <c r="Q11" s="100">
        <v>4.97</v>
      </c>
    </row>
    <row r="12" spans="1:21" customFormat="1">
      <c r="A12" s="100" t="s">
        <v>2257</v>
      </c>
      <c r="B12" s="100">
        <v>11.26</v>
      </c>
      <c r="C12" s="100">
        <v>47.94</v>
      </c>
      <c r="D12" s="100">
        <v>33.03</v>
      </c>
      <c r="E12" s="100">
        <v>3.82</v>
      </c>
      <c r="F12" s="100">
        <v>15.51</v>
      </c>
      <c r="G12" s="100">
        <v>48.16</v>
      </c>
      <c r="H12" s="100">
        <v>17.03</v>
      </c>
      <c r="I12" s="100">
        <v>5.14</v>
      </c>
      <c r="J12" s="100">
        <v>0.26</v>
      </c>
      <c r="K12" s="100">
        <v>229.22</v>
      </c>
      <c r="L12" s="100">
        <v>29.19</v>
      </c>
      <c r="M12" s="100">
        <v>48.54</v>
      </c>
      <c r="N12" s="100">
        <v>0</v>
      </c>
      <c r="O12" s="100">
        <v>0</v>
      </c>
      <c r="P12" s="100">
        <v>0.54</v>
      </c>
      <c r="Q12" s="100">
        <v>4.9800000000000004</v>
      </c>
    </row>
    <row r="13" spans="1:21" customFormat="1">
      <c r="A13" s="100" t="s">
        <v>2258</v>
      </c>
      <c r="B13" s="100">
        <v>11.56</v>
      </c>
      <c r="C13" s="100">
        <v>49.35</v>
      </c>
      <c r="D13" s="100">
        <v>34.01</v>
      </c>
      <c r="E13" s="100">
        <v>3.19</v>
      </c>
      <c r="F13" s="100">
        <v>14.6</v>
      </c>
      <c r="G13" s="100">
        <v>41.99</v>
      </c>
      <c r="H13" s="100">
        <v>14.36</v>
      </c>
      <c r="I13" s="100">
        <v>5.01</v>
      </c>
      <c r="J13" s="100">
        <v>0.13</v>
      </c>
      <c r="K13" s="100">
        <v>193.89</v>
      </c>
      <c r="L13" s="100">
        <v>28.72</v>
      </c>
      <c r="M13" s="100">
        <v>50.7</v>
      </c>
      <c r="N13" s="100">
        <v>0</v>
      </c>
      <c r="O13" s="100">
        <v>0</v>
      </c>
      <c r="P13" s="100">
        <v>0.54</v>
      </c>
      <c r="Q13" s="100">
        <v>4.97</v>
      </c>
    </row>
    <row r="14" spans="1:21" customFormat="1">
      <c r="A14" s="100" t="s">
        <v>2259</v>
      </c>
      <c r="B14" s="100">
        <v>11.3</v>
      </c>
      <c r="C14" s="100">
        <v>48.23</v>
      </c>
      <c r="D14" s="100">
        <v>33.21</v>
      </c>
      <c r="E14" s="100">
        <v>3.31</v>
      </c>
      <c r="F14" s="100">
        <v>15.69</v>
      </c>
      <c r="G14" s="100">
        <v>41.78</v>
      </c>
      <c r="H14" s="100">
        <v>14.36</v>
      </c>
      <c r="I14" s="100">
        <v>4.8899999999999997</v>
      </c>
      <c r="J14" s="100">
        <v>0.23</v>
      </c>
      <c r="K14" s="100">
        <v>208.88</v>
      </c>
      <c r="L14" s="100">
        <v>28.48</v>
      </c>
      <c r="M14" s="100">
        <v>50.79</v>
      </c>
      <c r="N14" s="100">
        <v>0</v>
      </c>
      <c r="O14" s="100">
        <v>0</v>
      </c>
      <c r="P14" s="100">
        <v>0.52</v>
      </c>
      <c r="Q14" s="100">
        <v>4.97</v>
      </c>
    </row>
    <row r="15" spans="1:21" customFormat="1">
      <c r="A15" s="100" t="s">
        <v>2260</v>
      </c>
      <c r="B15" s="100">
        <v>11.12</v>
      </c>
      <c r="C15" s="100">
        <v>49.09</v>
      </c>
      <c r="D15" s="100">
        <v>33.520000000000003</v>
      </c>
      <c r="E15" s="100">
        <v>3.4</v>
      </c>
      <c r="F15" s="100">
        <v>12.84</v>
      </c>
      <c r="G15" s="100">
        <v>41.78</v>
      </c>
      <c r="H15" s="100">
        <v>14.36</v>
      </c>
      <c r="I15" s="100">
        <v>4.82</v>
      </c>
      <c r="J15" s="100">
        <v>0.24</v>
      </c>
      <c r="K15" s="100">
        <v>201.56</v>
      </c>
      <c r="L15" s="100">
        <v>28.4</v>
      </c>
      <c r="M15" s="100">
        <v>51.5</v>
      </c>
      <c r="N15" s="100">
        <v>0</v>
      </c>
      <c r="O15" s="100">
        <v>0</v>
      </c>
      <c r="P15" s="100">
        <v>0.53</v>
      </c>
      <c r="Q15" s="100">
        <v>4.95</v>
      </c>
    </row>
    <row r="16" spans="1:21" customFormat="1">
      <c r="A16" s="100" t="s">
        <v>2261</v>
      </c>
      <c r="B16" s="100">
        <v>11.63</v>
      </c>
      <c r="C16" s="100">
        <v>51.13</v>
      </c>
      <c r="D16" s="100">
        <v>34.99</v>
      </c>
      <c r="E16" s="100">
        <v>3.66</v>
      </c>
      <c r="F16" s="100">
        <v>10.75</v>
      </c>
      <c r="G16" s="100">
        <v>41.78</v>
      </c>
      <c r="H16" s="100">
        <v>14.36</v>
      </c>
      <c r="I16" s="100">
        <v>4.82</v>
      </c>
      <c r="J16" s="100">
        <v>0.14000000000000001</v>
      </c>
      <c r="K16" s="100">
        <v>199.14</v>
      </c>
      <c r="L16" s="100">
        <v>27.98</v>
      </c>
      <c r="M16" s="100">
        <v>53.49</v>
      </c>
      <c r="N16" s="100">
        <v>0</v>
      </c>
      <c r="O16" s="100">
        <v>0</v>
      </c>
      <c r="P16" s="100">
        <v>0.52</v>
      </c>
      <c r="Q16" s="100">
        <v>4.95</v>
      </c>
    </row>
    <row r="17" spans="1:17" customFormat="1">
      <c r="A17" s="100" t="s">
        <v>2262</v>
      </c>
      <c r="B17" s="100">
        <v>11.82</v>
      </c>
      <c r="C17" s="100">
        <v>50.66</v>
      </c>
      <c r="D17" s="100">
        <v>34.9</v>
      </c>
      <c r="E17" s="100">
        <v>3.98</v>
      </c>
      <c r="F17" s="100">
        <v>12.11</v>
      </c>
      <c r="G17" s="100">
        <v>37.130000000000003</v>
      </c>
      <c r="H17" s="100">
        <v>12.42</v>
      </c>
      <c r="I17" s="100">
        <v>4.8099999999999996</v>
      </c>
      <c r="J17" s="100">
        <v>0.23</v>
      </c>
      <c r="K17" s="100">
        <v>217.56</v>
      </c>
      <c r="L17" s="100">
        <v>27.76</v>
      </c>
      <c r="M17" s="100">
        <v>53.58</v>
      </c>
      <c r="N17" s="100">
        <v>0</v>
      </c>
      <c r="O17" s="100">
        <v>0</v>
      </c>
      <c r="P17" s="100">
        <v>0.52</v>
      </c>
      <c r="Q17" s="100">
        <v>4.9800000000000004</v>
      </c>
    </row>
    <row r="18" spans="1:17" customFormat="1">
      <c r="A18" s="100" t="s">
        <v>2263</v>
      </c>
      <c r="B18" s="100">
        <v>12.72</v>
      </c>
      <c r="C18" s="100">
        <v>52.43</v>
      </c>
      <c r="D18" s="100">
        <v>36.549999999999997</v>
      </c>
      <c r="E18" s="100">
        <v>5.18</v>
      </c>
      <c r="F18" s="100">
        <v>10.029999999999999</v>
      </c>
      <c r="G18" s="100">
        <v>36.909999999999997</v>
      </c>
      <c r="H18" s="100">
        <v>12.42</v>
      </c>
      <c r="I18" s="100">
        <v>4.8099999999999996</v>
      </c>
      <c r="J18" s="100">
        <v>0.22</v>
      </c>
      <c r="K18" s="100">
        <v>204.73</v>
      </c>
      <c r="L18" s="100">
        <v>27.78</v>
      </c>
      <c r="M18" s="100">
        <v>53.94</v>
      </c>
      <c r="N18" s="100">
        <v>0</v>
      </c>
      <c r="O18" s="100">
        <v>0</v>
      </c>
      <c r="P18" s="100">
        <v>0.51</v>
      </c>
      <c r="Q18" s="100">
        <v>4.9800000000000004</v>
      </c>
    </row>
    <row r="19" spans="1:17" customFormat="1">
      <c r="A19" s="100" t="s">
        <v>2264</v>
      </c>
      <c r="B19" s="100">
        <v>12.79</v>
      </c>
      <c r="C19" s="100">
        <v>53.45</v>
      </c>
      <c r="D19" s="100">
        <v>37.14</v>
      </c>
      <c r="E19" s="100">
        <v>5.1100000000000003</v>
      </c>
      <c r="F19" s="100">
        <v>10.02</v>
      </c>
      <c r="G19" s="100">
        <v>36.909999999999997</v>
      </c>
      <c r="H19" s="100">
        <v>12.42</v>
      </c>
      <c r="I19" s="100">
        <v>4.79</v>
      </c>
      <c r="J19" s="100">
        <v>0.15</v>
      </c>
      <c r="K19" s="100">
        <v>186.64</v>
      </c>
      <c r="L19" s="100">
        <v>27.68</v>
      </c>
      <c r="M19" s="100">
        <v>54.73</v>
      </c>
      <c r="N19" s="100">
        <v>0</v>
      </c>
      <c r="O19" s="100">
        <v>0</v>
      </c>
      <c r="P19" s="100">
        <v>0.5</v>
      </c>
      <c r="Q19" s="100">
        <v>4.96</v>
      </c>
    </row>
    <row r="20" spans="1:17" customFormat="1">
      <c r="A20" s="100" t="s">
        <v>2265</v>
      </c>
      <c r="B20" s="100">
        <v>12.84</v>
      </c>
      <c r="C20" s="100">
        <v>54.81</v>
      </c>
      <c r="D20" s="100">
        <v>37.89</v>
      </c>
      <c r="E20" s="100">
        <v>4.8600000000000003</v>
      </c>
      <c r="F20" s="100">
        <v>7.84</v>
      </c>
      <c r="G20" s="100">
        <v>36.909999999999997</v>
      </c>
      <c r="H20" s="100">
        <v>12.42</v>
      </c>
      <c r="I20" s="100">
        <v>4.7699999999999996</v>
      </c>
      <c r="J20" s="100">
        <v>0.18</v>
      </c>
      <c r="K20" s="100">
        <v>185.92</v>
      </c>
      <c r="L20" s="100">
        <v>27.68</v>
      </c>
      <c r="M20" s="100">
        <v>55</v>
      </c>
      <c r="N20" s="100">
        <v>0</v>
      </c>
      <c r="O20" s="100">
        <v>0</v>
      </c>
      <c r="P20" s="100">
        <v>0.51</v>
      </c>
      <c r="Q20" s="100">
        <v>4.96</v>
      </c>
    </row>
    <row r="21" spans="1:17" customFormat="1">
      <c r="A21" s="100" t="s">
        <v>2266</v>
      </c>
      <c r="B21" s="100">
        <v>12.6</v>
      </c>
      <c r="C21" s="100">
        <v>52.82</v>
      </c>
      <c r="D21" s="100">
        <v>36.659999999999997</v>
      </c>
      <c r="E21" s="100">
        <v>4.8600000000000003</v>
      </c>
      <c r="F21" s="100">
        <v>9.77</v>
      </c>
      <c r="G21" s="100">
        <v>27</v>
      </c>
      <c r="H21" s="100">
        <v>13.16</v>
      </c>
      <c r="I21" s="100">
        <v>4.7699999999999996</v>
      </c>
      <c r="J21" s="100">
        <v>0.11</v>
      </c>
      <c r="K21" s="100">
        <v>198.31</v>
      </c>
      <c r="L21" s="100">
        <v>27.37</v>
      </c>
      <c r="M21" s="100">
        <v>56.65</v>
      </c>
      <c r="N21" s="100">
        <v>0</v>
      </c>
      <c r="O21" s="100">
        <v>0</v>
      </c>
      <c r="P21" s="100">
        <v>0.49</v>
      </c>
      <c r="Q21" s="100">
        <v>5.0199999999999996</v>
      </c>
    </row>
    <row r="22" spans="1:17" customFormat="1">
      <c r="A22" s="100" t="s">
        <v>2267</v>
      </c>
      <c r="B22" s="100">
        <v>13.38</v>
      </c>
      <c r="C22" s="100">
        <v>53.95</v>
      </c>
      <c r="D22" s="100">
        <v>37.869999999999997</v>
      </c>
      <c r="E22" s="100">
        <v>5</v>
      </c>
      <c r="F22" s="100">
        <v>9.77</v>
      </c>
      <c r="G22" s="100">
        <v>26.54</v>
      </c>
      <c r="H22" s="100">
        <v>13.16</v>
      </c>
      <c r="I22" s="100">
        <v>4.6399999999999997</v>
      </c>
      <c r="J22" s="100">
        <v>0.21</v>
      </c>
      <c r="K22" s="100">
        <v>210.2</v>
      </c>
      <c r="L22" s="100">
        <v>27.21</v>
      </c>
      <c r="M22" s="100">
        <v>56.86</v>
      </c>
      <c r="N22" s="100">
        <v>0</v>
      </c>
      <c r="O22" s="100">
        <v>0</v>
      </c>
      <c r="P22" s="100">
        <v>0.48</v>
      </c>
      <c r="Q22" s="100">
        <v>5.03</v>
      </c>
    </row>
    <row r="23" spans="1:17" customFormat="1">
      <c r="A23" s="100" t="s">
        <v>2268</v>
      </c>
      <c r="B23" s="100">
        <v>13.14</v>
      </c>
      <c r="C23" s="100">
        <v>52.7</v>
      </c>
      <c r="D23" s="100">
        <v>37.03</v>
      </c>
      <c r="E23" s="100">
        <v>4.96</v>
      </c>
      <c r="F23" s="100">
        <v>9.32</v>
      </c>
      <c r="G23" s="100">
        <v>26.54</v>
      </c>
      <c r="H23" s="100">
        <v>13.16</v>
      </c>
      <c r="I23" s="100">
        <v>4.5</v>
      </c>
      <c r="J23" s="100">
        <v>0.17</v>
      </c>
      <c r="K23" s="100">
        <v>188.54</v>
      </c>
      <c r="L23" s="100">
        <v>27.05</v>
      </c>
      <c r="M23" s="100">
        <v>57.9</v>
      </c>
      <c r="N23" s="100">
        <v>0</v>
      </c>
      <c r="O23" s="100">
        <v>0</v>
      </c>
      <c r="P23" s="100">
        <v>0.48</v>
      </c>
      <c r="Q23" s="100">
        <v>5.01</v>
      </c>
    </row>
    <row r="24" spans="1:17" customFormat="1">
      <c r="A24" s="100" t="s">
        <v>2269</v>
      </c>
      <c r="B24" s="100">
        <v>13.37</v>
      </c>
      <c r="C24" s="100">
        <v>52.26</v>
      </c>
      <c r="D24" s="100">
        <v>36.979999999999997</v>
      </c>
      <c r="E24" s="100">
        <v>5.13</v>
      </c>
      <c r="F24" s="100">
        <v>10.199999999999999</v>
      </c>
      <c r="G24" s="100">
        <v>26.54</v>
      </c>
      <c r="H24" s="100">
        <v>13.16</v>
      </c>
      <c r="I24" s="100">
        <v>4.57</v>
      </c>
      <c r="J24" s="100">
        <v>0.15</v>
      </c>
      <c r="K24" s="100">
        <v>227.96</v>
      </c>
      <c r="L24" s="100">
        <v>26.85</v>
      </c>
      <c r="M24" s="100">
        <v>58.58</v>
      </c>
      <c r="N24" s="100">
        <v>0</v>
      </c>
      <c r="O24" s="100">
        <v>0</v>
      </c>
      <c r="P24" s="100">
        <v>0.47</v>
      </c>
      <c r="Q24" s="100">
        <v>5.01</v>
      </c>
    </row>
    <row r="25" spans="1:17" customFormat="1">
      <c r="A25" s="100" t="s">
        <v>2270</v>
      </c>
      <c r="B25" s="100">
        <v>13.06</v>
      </c>
      <c r="C25" s="100">
        <v>52.05</v>
      </c>
      <c r="D25" s="100">
        <v>36.619999999999997</v>
      </c>
      <c r="E25" s="100">
        <v>4.91</v>
      </c>
      <c r="F25" s="100">
        <v>9.58</v>
      </c>
      <c r="G25" s="100">
        <v>27.38</v>
      </c>
      <c r="H25" s="100">
        <v>12.17</v>
      </c>
      <c r="I25" s="100">
        <v>4.5</v>
      </c>
      <c r="J25" s="100">
        <v>0.24</v>
      </c>
      <c r="K25" s="100">
        <v>222.37</v>
      </c>
      <c r="L25" s="100">
        <v>26.95</v>
      </c>
      <c r="M25" s="100">
        <v>58.14</v>
      </c>
      <c r="N25" s="100">
        <v>0</v>
      </c>
      <c r="O25" s="100">
        <v>0</v>
      </c>
      <c r="P25" s="100">
        <v>0.46</v>
      </c>
      <c r="Q25" s="100">
        <v>5.07</v>
      </c>
    </row>
    <row r="26" spans="1:17" customFormat="1">
      <c r="A26" s="100" t="s">
        <v>2271</v>
      </c>
      <c r="B26" s="100">
        <v>13.84</v>
      </c>
      <c r="C26" s="100">
        <v>54.69</v>
      </c>
      <c r="D26" s="100">
        <v>38.630000000000003</v>
      </c>
      <c r="E26" s="100">
        <v>4.79</v>
      </c>
      <c r="F26" s="100">
        <v>9.0500000000000007</v>
      </c>
      <c r="G26" s="100">
        <v>27.42</v>
      </c>
      <c r="H26" s="100">
        <v>12.17</v>
      </c>
      <c r="I26" s="100">
        <v>4.4000000000000004</v>
      </c>
      <c r="J26" s="100">
        <v>0.23</v>
      </c>
      <c r="K26" s="100">
        <v>223.4</v>
      </c>
      <c r="L26" s="100">
        <v>27.04</v>
      </c>
      <c r="M26" s="100">
        <v>58.19</v>
      </c>
      <c r="N26" s="100">
        <v>0</v>
      </c>
      <c r="O26" s="100">
        <v>0</v>
      </c>
      <c r="P26" s="100">
        <v>0.48</v>
      </c>
      <c r="Q26" s="100">
        <v>5.0599999999999996</v>
      </c>
    </row>
    <row r="27" spans="1:17" customFormat="1">
      <c r="A27" s="100" t="s">
        <v>2272</v>
      </c>
      <c r="B27" s="100">
        <v>13.82</v>
      </c>
      <c r="C27" s="100">
        <v>54.26</v>
      </c>
      <c r="D27" s="100">
        <v>38.39</v>
      </c>
      <c r="E27" s="100">
        <v>5.31</v>
      </c>
      <c r="F27" s="100">
        <v>8.57</v>
      </c>
      <c r="G27" s="100">
        <v>27.42</v>
      </c>
      <c r="H27" s="100">
        <v>12.17</v>
      </c>
      <c r="I27" s="100">
        <v>4.3499999999999996</v>
      </c>
      <c r="J27" s="100">
        <v>0.26</v>
      </c>
      <c r="K27" s="100">
        <v>219.89</v>
      </c>
      <c r="L27" s="100">
        <v>27.08</v>
      </c>
      <c r="M27" s="100">
        <v>58.16</v>
      </c>
      <c r="N27" s="100">
        <v>0</v>
      </c>
      <c r="O27" s="100">
        <v>0</v>
      </c>
      <c r="P27" s="100">
        <v>0.47</v>
      </c>
      <c r="Q27" s="100">
        <v>5.04</v>
      </c>
    </row>
    <row r="28" spans="1:17" customFormat="1">
      <c r="A28" s="100" t="s">
        <v>2273</v>
      </c>
      <c r="B28" s="100">
        <v>14.62</v>
      </c>
      <c r="C28" s="100">
        <v>55.42</v>
      </c>
      <c r="D28" s="100">
        <v>39.630000000000003</v>
      </c>
      <c r="E28" s="100">
        <v>4.6500000000000004</v>
      </c>
      <c r="F28" s="100">
        <v>7.1</v>
      </c>
      <c r="G28" s="100">
        <v>27.42</v>
      </c>
      <c r="H28" s="100">
        <v>12.17</v>
      </c>
      <c r="I28" s="100">
        <v>4.3899999999999997</v>
      </c>
      <c r="J28" s="100">
        <v>0.24</v>
      </c>
      <c r="K28" s="100">
        <v>220.5</v>
      </c>
      <c r="L28" s="100">
        <v>27.08</v>
      </c>
      <c r="M28" s="100">
        <v>58.25</v>
      </c>
      <c r="N28" s="100">
        <v>0</v>
      </c>
      <c r="O28" s="100">
        <v>0</v>
      </c>
      <c r="P28" s="100">
        <v>0.46</v>
      </c>
      <c r="Q28" s="100">
        <v>5.0199999999999996</v>
      </c>
    </row>
    <row r="29" spans="1:17" customFormat="1">
      <c r="A29" s="100" t="s">
        <v>2274</v>
      </c>
      <c r="B29" s="100">
        <v>14.51</v>
      </c>
      <c r="C29" s="100">
        <v>53.59</v>
      </c>
      <c r="D29" s="100">
        <v>38.590000000000003</v>
      </c>
      <c r="E29" s="100">
        <v>5.74</v>
      </c>
      <c r="F29" s="100">
        <v>9.0500000000000007</v>
      </c>
      <c r="G29" s="100">
        <v>30.65</v>
      </c>
      <c r="H29" s="100">
        <v>13.54</v>
      </c>
      <c r="I29" s="100">
        <v>4.42</v>
      </c>
      <c r="J29" s="100">
        <v>0.24</v>
      </c>
      <c r="K29" s="100">
        <v>207.49</v>
      </c>
      <c r="L29" s="100">
        <v>26.96</v>
      </c>
      <c r="M29" s="100">
        <v>58.76</v>
      </c>
      <c r="N29" s="100">
        <v>0</v>
      </c>
      <c r="O29" s="100">
        <v>0</v>
      </c>
      <c r="P29" s="100">
        <v>0.47</v>
      </c>
      <c r="Q29" s="100">
        <v>5.05</v>
      </c>
    </row>
    <row r="30" spans="1:17" customFormat="1">
      <c r="A30" s="100" t="s">
        <v>2275</v>
      </c>
      <c r="B30" s="100">
        <v>14.83</v>
      </c>
      <c r="C30" s="100">
        <v>55.4</v>
      </c>
      <c r="D30" s="100">
        <v>39.79</v>
      </c>
      <c r="E30" s="100">
        <v>5.39</v>
      </c>
      <c r="F30" s="100">
        <v>7.66</v>
      </c>
      <c r="G30" s="100">
        <v>30.8</v>
      </c>
      <c r="H30" s="100">
        <v>13.54</v>
      </c>
      <c r="I30" s="100">
        <v>4.3499999999999996</v>
      </c>
      <c r="J30" s="100">
        <v>0.23</v>
      </c>
      <c r="K30" s="100">
        <v>217</v>
      </c>
      <c r="L30" s="100">
        <v>26.75</v>
      </c>
      <c r="M30" s="100">
        <v>59.81</v>
      </c>
      <c r="N30" s="100">
        <v>0.1</v>
      </c>
      <c r="O30" s="100">
        <v>0</v>
      </c>
      <c r="P30" s="100">
        <v>0.46</v>
      </c>
      <c r="Q30" s="100">
        <v>5.05</v>
      </c>
    </row>
    <row r="31" spans="1:17" customFormat="1">
      <c r="A31" s="100" t="s">
        <v>2276</v>
      </c>
      <c r="B31" s="100">
        <v>14.95</v>
      </c>
      <c r="C31" s="100">
        <v>54.73</v>
      </c>
      <c r="D31" s="100">
        <v>39.53</v>
      </c>
      <c r="E31" s="100">
        <v>4.8499999999999996</v>
      </c>
      <c r="F31" s="100">
        <v>7.28</v>
      </c>
      <c r="G31" s="100">
        <v>30.8</v>
      </c>
      <c r="H31" s="100">
        <v>13.54</v>
      </c>
      <c r="I31" s="100">
        <v>4.29</v>
      </c>
      <c r="J31" s="100">
        <v>0.17</v>
      </c>
      <c r="K31" s="100">
        <v>200.48</v>
      </c>
      <c r="L31" s="100">
        <v>26.69</v>
      </c>
      <c r="M31" s="100">
        <v>61.01</v>
      </c>
      <c r="N31" s="100">
        <v>7</v>
      </c>
      <c r="O31" s="100">
        <v>0</v>
      </c>
      <c r="P31" s="100">
        <v>0.46</v>
      </c>
      <c r="Q31" s="100">
        <v>5.07</v>
      </c>
    </row>
    <row r="32" spans="1:17" customFormat="1">
      <c r="A32" s="100" t="s">
        <v>2277</v>
      </c>
      <c r="B32" s="100">
        <v>15.23</v>
      </c>
      <c r="C32" s="100">
        <v>54.93</v>
      </c>
      <c r="D32" s="100">
        <v>39.86</v>
      </c>
      <c r="E32" s="100">
        <v>4.9400000000000004</v>
      </c>
      <c r="F32" s="100">
        <v>7.51</v>
      </c>
      <c r="G32" s="100">
        <v>30.8</v>
      </c>
      <c r="H32" s="100">
        <v>13.54</v>
      </c>
      <c r="I32" s="100">
        <v>4.3</v>
      </c>
      <c r="J32" s="100">
        <v>0.18</v>
      </c>
      <c r="K32" s="100">
        <v>194.31</v>
      </c>
      <c r="L32" s="100">
        <v>26.9</v>
      </c>
      <c r="M32" s="100">
        <v>60.74</v>
      </c>
      <c r="N32" s="100">
        <v>19.3</v>
      </c>
      <c r="O32" s="100">
        <v>0</v>
      </c>
      <c r="P32" s="100">
        <v>0.46</v>
      </c>
      <c r="Q32" s="100">
        <v>5.07</v>
      </c>
    </row>
    <row r="33" spans="1:17" customFormat="1">
      <c r="A33" s="100" t="s">
        <v>2278</v>
      </c>
      <c r="B33" s="100">
        <v>14.76</v>
      </c>
      <c r="C33" s="100">
        <v>53.13</v>
      </c>
      <c r="D33" s="100">
        <v>38.549999999999997</v>
      </c>
      <c r="E33" s="100">
        <v>5.12</v>
      </c>
      <c r="F33" s="100">
        <v>9.49</v>
      </c>
      <c r="G33" s="100">
        <v>25.62</v>
      </c>
      <c r="H33" s="100">
        <v>13.73</v>
      </c>
      <c r="I33" s="100">
        <v>4.34</v>
      </c>
      <c r="J33" s="100">
        <v>0.22</v>
      </c>
      <c r="K33" s="100">
        <v>206.89</v>
      </c>
      <c r="L33" s="100">
        <v>27.14</v>
      </c>
      <c r="M33" s="100">
        <v>61.27</v>
      </c>
      <c r="N33" s="100">
        <v>33.6</v>
      </c>
      <c r="O33" s="100">
        <v>0</v>
      </c>
      <c r="P33" s="100">
        <v>0.45</v>
      </c>
      <c r="Q33" s="100">
        <v>5.09</v>
      </c>
    </row>
    <row r="34" spans="1:17" customFormat="1">
      <c r="A34" s="100" t="s">
        <v>2279</v>
      </c>
      <c r="B34" s="100">
        <v>15.46</v>
      </c>
      <c r="C34" s="100">
        <v>54.93</v>
      </c>
      <c r="D34" s="100">
        <v>40.049999999999997</v>
      </c>
      <c r="E34" s="100">
        <v>5.1100000000000003</v>
      </c>
      <c r="F34" s="100">
        <v>8.26</v>
      </c>
      <c r="G34" s="100">
        <v>25.38</v>
      </c>
      <c r="H34" s="100">
        <v>13.73</v>
      </c>
      <c r="I34" s="100">
        <v>4.29</v>
      </c>
      <c r="J34" s="100">
        <v>0.23</v>
      </c>
      <c r="K34" s="100">
        <v>225.63</v>
      </c>
      <c r="L34" s="100">
        <v>27.66</v>
      </c>
      <c r="M34" s="100">
        <v>60.03</v>
      </c>
      <c r="N34" s="100">
        <v>46</v>
      </c>
      <c r="O34" s="100">
        <v>0</v>
      </c>
      <c r="P34" s="100">
        <v>0.46</v>
      </c>
      <c r="Q34" s="100">
        <v>5.05</v>
      </c>
    </row>
    <row r="35" spans="1:17" customFormat="1">
      <c r="A35" s="100" t="s">
        <v>2280</v>
      </c>
      <c r="B35" s="100">
        <v>15.57</v>
      </c>
      <c r="C35" s="100">
        <v>54.65</v>
      </c>
      <c r="D35" s="100">
        <v>40</v>
      </c>
      <c r="E35" s="100">
        <v>4.99</v>
      </c>
      <c r="F35" s="100">
        <v>8.3000000000000007</v>
      </c>
      <c r="G35" s="100">
        <v>25.38</v>
      </c>
      <c r="H35" s="100">
        <v>13.73</v>
      </c>
      <c r="I35" s="100">
        <v>4.25</v>
      </c>
      <c r="J35" s="100">
        <v>0.33</v>
      </c>
      <c r="K35" s="100">
        <v>233.24</v>
      </c>
      <c r="L35" s="100">
        <v>28.29</v>
      </c>
      <c r="M35" s="100">
        <v>57.97</v>
      </c>
      <c r="N35" s="100">
        <v>55</v>
      </c>
      <c r="O35" s="100">
        <v>0</v>
      </c>
      <c r="P35" s="100">
        <v>0.46</v>
      </c>
      <c r="Q35" s="100">
        <v>5.0999999999999996</v>
      </c>
    </row>
    <row r="36" spans="1:17" customFormat="1">
      <c r="A36" s="100" t="s">
        <v>2281</v>
      </c>
      <c r="B36" s="100">
        <v>15.22</v>
      </c>
      <c r="C36" s="100">
        <v>53.51</v>
      </c>
      <c r="D36" s="100">
        <v>39.119999999999997</v>
      </c>
      <c r="E36" s="100">
        <v>5.64</v>
      </c>
      <c r="F36" s="100">
        <v>9.7100000000000009</v>
      </c>
      <c r="G36" s="100">
        <v>25.38</v>
      </c>
      <c r="H36" s="100">
        <v>13.73</v>
      </c>
      <c r="I36" s="100">
        <v>4.3099999999999996</v>
      </c>
      <c r="J36" s="100">
        <v>0.32</v>
      </c>
      <c r="K36" s="100">
        <v>234.82</v>
      </c>
      <c r="L36" s="100">
        <v>28.85</v>
      </c>
      <c r="M36" s="100">
        <v>57.02</v>
      </c>
      <c r="N36" s="100">
        <v>67.5</v>
      </c>
      <c r="O36" s="100">
        <v>0</v>
      </c>
      <c r="P36" s="100">
        <v>0.46</v>
      </c>
      <c r="Q36" s="100">
        <v>5.08</v>
      </c>
    </row>
    <row r="37" spans="1:17" customFormat="1">
      <c r="A37" s="100" t="s">
        <v>2282</v>
      </c>
      <c r="B37" s="100">
        <v>15.27</v>
      </c>
      <c r="C37" s="100">
        <v>55.34</v>
      </c>
      <c r="D37" s="100">
        <v>40.119999999999997</v>
      </c>
      <c r="E37" s="100">
        <v>5.0999999999999996</v>
      </c>
      <c r="F37" s="100">
        <v>9.01</v>
      </c>
      <c r="G37" s="100">
        <v>27.61</v>
      </c>
      <c r="H37" s="100">
        <v>12.98</v>
      </c>
      <c r="I37" s="100">
        <v>4.37</v>
      </c>
      <c r="J37" s="100">
        <v>0.42</v>
      </c>
      <c r="K37" s="100">
        <v>243.43</v>
      </c>
      <c r="L37" s="100">
        <v>29.48</v>
      </c>
      <c r="M37" s="100">
        <v>55.43</v>
      </c>
      <c r="N37" s="100">
        <v>71.5</v>
      </c>
      <c r="O37" s="100">
        <v>0</v>
      </c>
      <c r="P37" s="100">
        <v>0.46</v>
      </c>
      <c r="Q37" s="100">
        <v>5.1100000000000003</v>
      </c>
    </row>
    <row r="38" spans="1:17" customFormat="1">
      <c r="A38" s="100" t="s">
        <v>2283</v>
      </c>
      <c r="B38" s="100">
        <v>15.12</v>
      </c>
      <c r="C38" s="100">
        <v>53.13</v>
      </c>
      <c r="D38" s="100">
        <v>38.840000000000003</v>
      </c>
      <c r="E38" s="100">
        <v>5.23</v>
      </c>
      <c r="F38" s="100">
        <v>7.95</v>
      </c>
      <c r="G38" s="100">
        <v>27.72</v>
      </c>
      <c r="H38" s="100">
        <v>12.98</v>
      </c>
      <c r="I38" s="100">
        <v>4.38</v>
      </c>
      <c r="J38" s="100">
        <v>0.57999999999999996</v>
      </c>
      <c r="K38" s="100">
        <v>248.19</v>
      </c>
      <c r="L38" s="100">
        <v>29.89</v>
      </c>
      <c r="M38" s="100">
        <v>54.31</v>
      </c>
      <c r="N38" s="100">
        <v>91.8</v>
      </c>
      <c r="O38" s="100">
        <v>0</v>
      </c>
      <c r="P38" s="100">
        <v>0.47</v>
      </c>
      <c r="Q38" s="100">
        <v>5.12</v>
      </c>
    </row>
    <row r="39" spans="1:17" customFormat="1">
      <c r="A39" s="100" t="s">
        <v>2284</v>
      </c>
      <c r="B39" s="100">
        <v>14.96</v>
      </c>
      <c r="C39" s="100">
        <v>55.22</v>
      </c>
      <c r="D39" s="100">
        <v>39.799999999999997</v>
      </c>
      <c r="E39" s="100">
        <v>5.6</v>
      </c>
      <c r="F39" s="100">
        <v>7.83</v>
      </c>
      <c r="G39" s="100">
        <v>27.72</v>
      </c>
      <c r="H39" s="100">
        <v>12.98</v>
      </c>
      <c r="I39" s="100">
        <v>4.42</v>
      </c>
      <c r="J39" s="100">
        <v>0.66</v>
      </c>
      <c r="K39" s="100">
        <v>246.38</v>
      </c>
      <c r="L39" s="100">
        <v>30.86</v>
      </c>
      <c r="M39" s="100">
        <v>52.57</v>
      </c>
      <c r="N39" s="100">
        <v>102</v>
      </c>
      <c r="O39" s="100">
        <v>0</v>
      </c>
      <c r="P39" s="100">
        <v>0.47</v>
      </c>
      <c r="Q39" s="100">
        <v>5.09</v>
      </c>
    </row>
    <row r="40" spans="1:17" customFormat="1">
      <c r="A40" s="100" t="s">
        <v>2285</v>
      </c>
      <c r="B40" s="100">
        <v>14.12</v>
      </c>
      <c r="C40" s="100">
        <v>55.03</v>
      </c>
      <c r="D40" s="100">
        <v>39.03</v>
      </c>
      <c r="E40" s="100">
        <v>5.56</v>
      </c>
      <c r="F40" s="100">
        <v>9.2200000000000006</v>
      </c>
      <c r="G40" s="100">
        <v>27.72</v>
      </c>
      <c r="H40" s="100">
        <v>12.98</v>
      </c>
      <c r="I40" s="100">
        <v>4.46</v>
      </c>
      <c r="J40" s="100">
        <v>0.86</v>
      </c>
      <c r="K40" s="100">
        <v>252.97</v>
      </c>
      <c r="L40" s="100">
        <v>31.72</v>
      </c>
      <c r="M40" s="100">
        <v>50.93</v>
      </c>
      <c r="N40" s="100">
        <v>111.8</v>
      </c>
      <c r="O40" s="100">
        <v>0</v>
      </c>
      <c r="P40" s="100">
        <v>0.48</v>
      </c>
      <c r="Q40" s="100">
        <v>5.04</v>
      </c>
    </row>
    <row r="41" spans="1:17" customFormat="1">
      <c r="A41" s="100" t="s">
        <v>2286</v>
      </c>
      <c r="B41" s="100">
        <v>12.75</v>
      </c>
      <c r="C41" s="100">
        <v>54.19</v>
      </c>
      <c r="D41" s="100">
        <v>37.49</v>
      </c>
      <c r="E41" s="100">
        <v>5.5</v>
      </c>
      <c r="F41" s="100">
        <v>10.95</v>
      </c>
      <c r="G41" s="100">
        <v>31.51</v>
      </c>
      <c r="H41" s="100">
        <v>15.36</v>
      </c>
      <c r="I41" s="100">
        <v>4.54</v>
      </c>
      <c r="J41" s="100">
        <v>1.21</v>
      </c>
      <c r="K41" s="100">
        <v>256.23</v>
      </c>
      <c r="L41" s="100">
        <v>32.6</v>
      </c>
      <c r="M41" s="100">
        <v>49.1</v>
      </c>
      <c r="N41" s="100">
        <v>123.1</v>
      </c>
      <c r="O41" s="100">
        <v>0</v>
      </c>
      <c r="P41" s="100">
        <v>0.48</v>
      </c>
      <c r="Q41" s="100">
        <v>5.0199999999999996</v>
      </c>
    </row>
    <row r="42" spans="1:17" customFormat="1">
      <c r="A42" s="100" t="s">
        <v>2287</v>
      </c>
      <c r="B42" s="100">
        <v>11.98</v>
      </c>
      <c r="C42" s="100">
        <v>52.66</v>
      </c>
      <c r="D42" s="100">
        <v>36.08</v>
      </c>
      <c r="E42" s="100">
        <v>5.83</v>
      </c>
      <c r="F42" s="100">
        <v>10.55</v>
      </c>
      <c r="G42" s="100">
        <v>31.68</v>
      </c>
      <c r="H42" s="100">
        <v>15.36</v>
      </c>
      <c r="I42" s="100">
        <v>4.5599999999999996</v>
      </c>
      <c r="J42" s="100">
        <v>1.37</v>
      </c>
      <c r="K42" s="100">
        <v>252.85</v>
      </c>
      <c r="L42" s="100">
        <v>33.31</v>
      </c>
      <c r="M42" s="100">
        <v>46.75</v>
      </c>
      <c r="N42" s="100">
        <v>132.80000000000001</v>
      </c>
      <c r="O42" s="100">
        <v>0</v>
      </c>
      <c r="P42" s="100">
        <v>0.47</v>
      </c>
      <c r="Q42" s="100">
        <v>4.96</v>
      </c>
    </row>
    <row r="43" spans="1:17" customFormat="1">
      <c r="A43" s="100" t="s">
        <v>2288</v>
      </c>
      <c r="B43" s="100">
        <v>10.41</v>
      </c>
      <c r="C43" s="100">
        <v>53.56</v>
      </c>
      <c r="D43" s="100">
        <v>35.29</v>
      </c>
      <c r="E43" s="100">
        <v>6.42</v>
      </c>
      <c r="F43" s="100">
        <v>13.55</v>
      </c>
      <c r="G43" s="100">
        <v>31.68</v>
      </c>
      <c r="H43" s="100">
        <v>15.36</v>
      </c>
      <c r="I43" s="100">
        <v>4.53</v>
      </c>
      <c r="J43" s="100">
        <v>1.22</v>
      </c>
      <c r="K43" s="100">
        <v>259.69</v>
      </c>
      <c r="L43" s="100">
        <v>34.08</v>
      </c>
      <c r="M43" s="100">
        <v>45.48</v>
      </c>
      <c r="N43" s="100">
        <v>141.69999999999999</v>
      </c>
      <c r="O43" s="100">
        <v>0</v>
      </c>
      <c r="P43" s="100">
        <v>0.47</v>
      </c>
      <c r="Q43" s="100">
        <v>4.9000000000000004</v>
      </c>
    </row>
    <row r="44" spans="1:17" customFormat="1">
      <c r="A44" s="100" t="s">
        <v>2289</v>
      </c>
      <c r="B44" s="100">
        <v>9.82</v>
      </c>
      <c r="C44" s="100">
        <v>50.41</v>
      </c>
      <c r="D44" s="100">
        <v>33.17</v>
      </c>
      <c r="E44" s="100">
        <v>6.87</v>
      </c>
      <c r="F44" s="100">
        <v>15.72</v>
      </c>
      <c r="G44" s="100">
        <v>31.68</v>
      </c>
      <c r="H44" s="100">
        <v>15.36</v>
      </c>
      <c r="I44" s="100">
        <v>4.45</v>
      </c>
      <c r="J44" s="100">
        <v>1.25</v>
      </c>
      <c r="K44" s="100">
        <v>259.31</v>
      </c>
      <c r="L44" s="100">
        <v>34.549999999999997</v>
      </c>
      <c r="M44" s="100">
        <v>43.75</v>
      </c>
      <c r="N44" s="100">
        <v>151.1</v>
      </c>
      <c r="O44" s="100">
        <v>0</v>
      </c>
      <c r="P44" s="100">
        <v>0.47</v>
      </c>
      <c r="Q44" s="100">
        <v>4.88</v>
      </c>
    </row>
    <row r="45" spans="1:17" customFormat="1">
      <c r="A45" s="100" t="s">
        <v>2290</v>
      </c>
      <c r="B45" s="100">
        <v>8.8699999999999992</v>
      </c>
      <c r="C45" s="100">
        <v>50.29</v>
      </c>
      <c r="D45" s="100">
        <v>32.35</v>
      </c>
      <c r="E45" s="100">
        <v>7.18</v>
      </c>
      <c r="F45" s="100">
        <v>10.94</v>
      </c>
      <c r="G45" s="100">
        <v>34.44</v>
      </c>
      <c r="H45" s="100">
        <v>15.72</v>
      </c>
      <c r="I45" s="100">
        <v>4.3099999999999996</v>
      </c>
      <c r="J45" s="100">
        <v>1.49</v>
      </c>
      <c r="K45" s="100">
        <v>275.24</v>
      </c>
      <c r="L45" s="100">
        <v>35.07</v>
      </c>
      <c r="M45" s="100">
        <v>42.08</v>
      </c>
      <c r="N45" s="100">
        <v>162.9</v>
      </c>
      <c r="O45" s="100">
        <v>0</v>
      </c>
      <c r="P45" s="100">
        <v>0.47</v>
      </c>
      <c r="Q45" s="100">
        <v>4.8099999999999996</v>
      </c>
    </row>
    <row r="46" spans="1:17" customFormat="1">
      <c r="A46" s="100" t="s">
        <v>2291</v>
      </c>
      <c r="B46" s="100">
        <v>8.5399999999999991</v>
      </c>
      <c r="C46" s="100">
        <v>55.06</v>
      </c>
      <c r="D46" s="100">
        <v>34.57</v>
      </c>
      <c r="E46" s="100">
        <v>7.15</v>
      </c>
      <c r="F46" s="100">
        <v>12.93</v>
      </c>
      <c r="G46" s="100">
        <v>34.57</v>
      </c>
      <c r="H46" s="100">
        <v>15.72</v>
      </c>
      <c r="I46" s="100">
        <v>4.3099999999999996</v>
      </c>
      <c r="J46" s="100">
        <v>1.66</v>
      </c>
      <c r="K46" s="100">
        <v>270.73</v>
      </c>
      <c r="L46" s="100">
        <v>35.33</v>
      </c>
      <c r="M46" s="100">
        <v>41.19</v>
      </c>
      <c r="N46" s="100">
        <v>180.7</v>
      </c>
      <c r="O46" s="100">
        <v>0</v>
      </c>
      <c r="P46" s="100">
        <v>0.49</v>
      </c>
      <c r="Q46" s="100">
        <v>4.83</v>
      </c>
    </row>
    <row r="47" spans="1:17" customFormat="1">
      <c r="A47" s="100" t="s">
        <v>2292</v>
      </c>
      <c r="B47" s="100">
        <v>8.5399999999999991</v>
      </c>
      <c r="C47" s="100">
        <v>52.34</v>
      </c>
      <c r="D47" s="100">
        <v>33.15</v>
      </c>
      <c r="E47" s="100">
        <v>9.31</v>
      </c>
      <c r="F47" s="100">
        <v>15.52</v>
      </c>
      <c r="G47" s="100">
        <v>34.57</v>
      </c>
      <c r="H47" s="100">
        <v>15.72</v>
      </c>
      <c r="I47" s="100">
        <v>4.32</v>
      </c>
      <c r="J47" s="100">
        <v>1.62</v>
      </c>
      <c r="K47" s="100">
        <v>274.19</v>
      </c>
      <c r="L47" s="100">
        <v>35.479999999999997</v>
      </c>
      <c r="M47" s="100">
        <v>40.82</v>
      </c>
      <c r="N47" s="100">
        <v>183.8</v>
      </c>
      <c r="O47" s="100">
        <v>0</v>
      </c>
      <c r="P47" s="100">
        <v>0.54</v>
      </c>
      <c r="Q47" s="100">
        <v>4.76</v>
      </c>
    </row>
    <row r="48" spans="1:17" customFormat="1">
      <c r="A48" s="100" t="s">
        <v>2293</v>
      </c>
      <c r="B48" s="100">
        <v>7.32</v>
      </c>
      <c r="C48" s="100">
        <v>51.29</v>
      </c>
      <c r="D48" s="100">
        <v>31.62</v>
      </c>
      <c r="E48" s="100">
        <v>11.62</v>
      </c>
      <c r="F48" s="100">
        <v>18.440000000000001</v>
      </c>
      <c r="G48" s="100">
        <v>34.57</v>
      </c>
      <c r="H48" s="100">
        <v>15.72</v>
      </c>
      <c r="I48" s="100">
        <v>4.45</v>
      </c>
      <c r="J48" s="100">
        <v>1.1200000000000001</v>
      </c>
      <c r="K48" s="100">
        <v>264.27</v>
      </c>
      <c r="L48" s="100">
        <v>36.08</v>
      </c>
      <c r="M48" s="100">
        <v>40.68</v>
      </c>
      <c r="N48" s="100">
        <v>194.2</v>
      </c>
      <c r="O48" s="100">
        <v>0</v>
      </c>
      <c r="P48" s="100">
        <v>0.55000000000000004</v>
      </c>
      <c r="Q48" s="100">
        <v>4.6900000000000004</v>
      </c>
    </row>
    <row r="49" spans="1:17" customFormat="1">
      <c r="A49" s="100" t="s">
        <v>2294</v>
      </c>
      <c r="B49" s="100">
        <v>6.6</v>
      </c>
      <c r="C49" s="100">
        <v>51.52</v>
      </c>
      <c r="D49" s="100">
        <v>31.16</v>
      </c>
      <c r="E49" s="100">
        <v>11.08</v>
      </c>
      <c r="F49" s="100">
        <v>16.920000000000002</v>
      </c>
      <c r="G49" s="100">
        <v>42.44</v>
      </c>
      <c r="H49" s="100">
        <v>15.79</v>
      </c>
      <c r="I49" s="100">
        <v>4.6900000000000004</v>
      </c>
      <c r="J49" s="100">
        <v>1.4</v>
      </c>
      <c r="K49" s="100">
        <v>288.76</v>
      </c>
      <c r="L49" s="100">
        <v>36.479999999999997</v>
      </c>
      <c r="M49" s="100">
        <v>38.880000000000003</v>
      </c>
      <c r="N49" s="100">
        <v>204.9</v>
      </c>
      <c r="O49" s="100">
        <v>0</v>
      </c>
      <c r="P49" s="100">
        <v>0.59</v>
      </c>
      <c r="Q49" s="100">
        <v>4.6500000000000004</v>
      </c>
    </row>
    <row r="50" spans="1:17" customFormat="1">
      <c r="A50" s="100" t="s">
        <v>2295</v>
      </c>
      <c r="B50" s="100">
        <v>6.27</v>
      </c>
      <c r="C50" s="100">
        <v>53.2</v>
      </c>
      <c r="D50" s="100">
        <v>31.78</v>
      </c>
      <c r="E50" s="100">
        <v>11.49</v>
      </c>
      <c r="F50" s="100">
        <v>15.91</v>
      </c>
      <c r="G50" s="100">
        <v>42.8</v>
      </c>
      <c r="H50" s="100">
        <v>15.79</v>
      </c>
      <c r="I50" s="100">
        <v>5.01</v>
      </c>
      <c r="J50" s="100">
        <v>1.4</v>
      </c>
      <c r="K50" s="100">
        <v>277.07</v>
      </c>
      <c r="L50" s="100">
        <v>36.700000000000003</v>
      </c>
      <c r="M50" s="100">
        <v>37.409999999999997</v>
      </c>
      <c r="N50" s="100">
        <v>200.2</v>
      </c>
      <c r="O50" s="100">
        <v>0</v>
      </c>
      <c r="P50" s="100">
        <v>0.59</v>
      </c>
      <c r="Q50" s="100">
        <v>4.6100000000000003</v>
      </c>
    </row>
    <row r="51" spans="1:17" customFormat="1">
      <c r="A51" s="100" t="s">
        <v>2296</v>
      </c>
      <c r="B51" s="100">
        <v>6.03</v>
      </c>
      <c r="C51" s="100">
        <v>53.62</v>
      </c>
      <c r="D51" s="100">
        <v>31.81</v>
      </c>
      <c r="E51" s="100">
        <v>10.210000000000001</v>
      </c>
      <c r="F51" s="100">
        <v>18.739999999999998</v>
      </c>
      <c r="G51" s="100">
        <v>42.8</v>
      </c>
      <c r="H51" s="100">
        <v>15.79</v>
      </c>
      <c r="I51" s="100">
        <v>5.14</v>
      </c>
      <c r="J51" s="100">
        <v>1.64</v>
      </c>
      <c r="K51" s="100">
        <v>293.35000000000002</v>
      </c>
      <c r="L51" s="100">
        <v>36.72</v>
      </c>
      <c r="M51" s="100">
        <v>35.9</v>
      </c>
      <c r="N51" s="100">
        <v>201.5</v>
      </c>
      <c r="O51" s="100">
        <v>0</v>
      </c>
      <c r="P51" s="100">
        <v>0.57999999999999996</v>
      </c>
      <c r="Q51" s="100">
        <v>4.57</v>
      </c>
    </row>
    <row r="52" spans="1:17" customFormat="1">
      <c r="A52" s="100" t="s">
        <v>2297</v>
      </c>
      <c r="B52" s="100">
        <v>5.67</v>
      </c>
      <c r="C52" s="100">
        <v>49.48</v>
      </c>
      <c r="D52" s="100">
        <v>29.35</v>
      </c>
      <c r="E52" s="100">
        <v>10.050000000000001</v>
      </c>
      <c r="F52" s="100">
        <v>21</v>
      </c>
      <c r="G52" s="100">
        <v>42.8</v>
      </c>
      <c r="H52" s="100">
        <v>15.79</v>
      </c>
      <c r="I52" s="100">
        <v>5.14</v>
      </c>
      <c r="J52" s="100">
        <v>1.47</v>
      </c>
      <c r="K52" s="100">
        <v>282.07</v>
      </c>
      <c r="L52" s="100">
        <v>37.090000000000003</v>
      </c>
      <c r="M52" s="100">
        <v>35.4</v>
      </c>
      <c r="N52" s="100">
        <v>212.5</v>
      </c>
      <c r="O52" s="100">
        <v>0</v>
      </c>
      <c r="P52" s="100">
        <v>0.56999999999999995</v>
      </c>
      <c r="Q52" s="100">
        <v>4.57</v>
      </c>
    </row>
    <row r="53" spans="1:17" customFormat="1">
      <c r="A53" s="100" t="s">
        <v>2298</v>
      </c>
      <c r="B53" s="100">
        <v>4.88</v>
      </c>
      <c r="C53" s="100">
        <v>48.3</v>
      </c>
      <c r="D53" s="100">
        <v>28.1</v>
      </c>
      <c r="E53" s="100">
        <v>10.37</v>
      </c>
      <c r="F53" s="100">
        <v>24.19</v>
      </c>
      <c r="G53" s="100">
        <v>48.42</v>
      </c>
      <c r="H53" s="100">
        <v>17.22</v>
      </c>
      <c r="I53" s="100">
        <v>5.0999999999999996</v>
      </c>
      <c r="J53" s="100">
        <v>1.44</v>
      </c>
      <c r="K53" s="100">
        <v>277.14</v>
      </c>
      <c r="L53" s="100">
        <v>37.32</v>
      </c>
      <c r="M53" s="100">
        <v>35.82</v>
      </c>
      <c r="N53" s="100">
        <v>249.8</v>
      </c>
      <c r="O53" s="100">
        <v>0</v>
      </c>
      <c r="P53" s="100">
        <v>0.56000000000000005</v>
      </c>
      <c r="Q53" s="100">
        <v>4.57</v>
      </c>
    </row>
    <row r="54" spans="1:17" customFormat="1">
      <c r="A54" s="100" t="s">
        <v>2299</v>
      </c>
      <c r="B54" s="100">
        <v>4.78</v>
      </c>
      <c r="C54" s="100">
        <v>49.3</v>
      </c>
      <c r="D54" s="100">
        <v>28.54</v>
      </c>
      <c r="E54" s="100">
        <v>10.220000000000001</v>
      </c>
      <c r="F54" s="100">
        <v>21.79</v>
      </c>
      <c r="G54" s="100">
        <v>48.68</v>
      </c>
      <c r="H54" s="100">
        <v>17.22</v>
      </c>
      <c r="I54" s="100">
        <v>5</v>
      </c>
      <c r="J54" s="100">
        <v>1.4</v>
      </c>
      <c r="K54" s="100">
        <v>294.43</v>
      </c>
      <c r="L54" s="100">
        <v>37.82</v>
      </c>
      <c r="M54" s="100">
        <v>33.14</v>
      </c>
      <c r="N54" s="100">
        <v>238.5</v>
      </c>
      <c r="O54" s="100">
        <v>0</v>
      </c>
      <c r="P54" s="100">
        <v>0.56999999999999995</v>
      </c>
      <c r="Q54" s="100">
        <v>4.54</v>
      </c>
    </row>
    <row r="55" spans="1:17" customFormat="1">
      <c r="A55" s="100" t="s">
        <v>2300</v>
      </c>
      <c r="B55" s="100">
        <v>4.63</v>
      </c>
      <c r="C55" s="100">
        <v>49.69</v>
      </c>
      <c r="D55" s="100">
        <v>28.63</v>
      </c>
      <c r="E55" s="100">
        <v>13.48</v>
      </c>
      <c r="F55" s="100">
        <v>23.97</v>
      </c>
      <c r="G55" s="100">
        <v>48.68</v>
      </c>
      <c r="H55" s="100">
        <v>17.22</v>
      </c>
      <c r="I55" s="100">
        <v>5</v>
      </c>
      <c r="J55" s="100">
        <v>1.5</v>
      </c>
      <c r="K55" s="100">
        <v>289.48</v>
      </c>
      <c r="L55" s="100">
        <v>38.340000000000003</v>
      </c>
      <c r="M55" s="100">
        <v>29</v>
      </c>
      <c r="N55" s="100">
        <v>662.2</v>
      </c>
      <c r="O55" s="100">
        <v>0</v>
      </c>
      <c r="P55" s="100">
        <v>0.55000000000000004</v>
      </c>
      <c r="Q55" s="100">
        <v>4.49</v>
      </c>
    </row>
    <row r="56" spans="1:17" customFormat="1">
      <c r="A56" s="100" t="s">
        <v>2301</v>
      </c>
      <c r="B56" s="100">
        <v>4.57</v>
      </c>
      <c r="C56" s="100">
        <v>50.95</v>
      </c>
      <c r="D56" s="100">
        <v>29.24</v>
      </c>
      <c r="E56" s="100">
        <v>11.5</v>
      </c>
      <c r="F56" s="100">
        <v>17.21</v>
      </c>
      <c r="G56" s="100">
        <v>48.68</v>
      </c>
      <c r="H56" s="100">
        <v>17.22</v>
      </c>
      <c r="I56" s="100">
        <v>4.9400000000000004</v>
      </c>
      <c r="J56" s="100">
        <v>1.78</v>
      </c>
      <c r="K56" s="100">
        <v>281.67</v>
      </c>
      <c r="L56" s="100">
        <v>38.39</v>
      </c>
      <c r="M56" s="100">
        <v>24.85</v>
      </c>
      <c r="N56" s="100">
        <v>822.3</v>
      </c>
      <c r="O56" s="100">
        <v>0</v>
      </c>
      <c r="P56" s="100">
        <v>0.55000000000000004</v>
      </c>
      <c r="Q56" s="100">
        <v>4.49</v>
      </c>
    </row>
    <row r="57" spans="1:17" customFormat="1">
      <c r="A57" s="100" t="s">
        <v>2302</v>
      </c>
      <c r="B57" s="100">
        <v>4.34</v>
      </c>
      <c r="C57" s="100">
        <v>51.21</v>
      </c>
      <c r="D57" s="100">
        <v>29.19</v>
      </c>
      <c r="E57" s="100">
        <v>10.78</v>
      </c>
      <c r="F57" s="100">
        <v>21.5</v>
      </c>
      <c r="G57" s="100">
        <v>50.06</v>
      </c>
      <c r="H57" s="100">
        <v>12.4</v>
      </c>
      <c r="I57" s="100">
        <v>4.8899999999999997</v>
      </c>
      <c r="J57" s="100">
        <v>1.43</v>
      </c>
      <c r="K57" s="100">
        <v>280.76</v>
      </c>
      <c r="L57" s="100">
        <v>38.97</v>
      </c>
      <c r="M57" s="100">
        <v>24.73</v>
      </c>
      <c r="N57" s="100">
        <v>848.2</v>
      </c>
      <c r="O57" s="100">
        <v>0</v>
      </c>
      <c r="P57" s="100">
        <v>0.53</v>
      </c>
      <c r="Q57" s="100">
        <v>4.4800000000000004</v>
      </c>
    </row>
    <row r="58" spans="1:17" customFormat="1">
      <c r="A58" s="100" t="s">
        <v>2303</v>
      </c>
      <c r="B58" s="100">
        <v>4.1399999999999997</v>
      </c>
      <c r="C58" s="100">
        <v>47.8</v>
      </c>
      <c r="D58" s="100">
        <v>27.24</v>
      </c>
      <c r="E58" s="100">
        <v>11.95</v>
      </c>
      <c r="F58" s="100">
        <v>26.14</v>
      </c>
      <c r="G58" s="100">
        <v>50.13</v>
      </c>
      <c r="H58" s="100">
        <v>12.4</v>
      </c>
      <c r="I58" s="100">
        <v>4.93</v>
      </c>
      <c r="J58" s="100">
        <v>1.19</v>
      </c>
      <c r="K58" s="100">
        <v>271.77</v>
      </c>
      <c r="L58" s="100">
        <v>39.520000000000003</v>
      </c>
      <c r="M58" s="100">
        <v>25.31</v>
      </c>
      <c r="N58" s="100">
        <v>842.7</v>
      </c>
      <c r="O58" s="100">
        <v>0</v>
      </c>
      <c r="P58" s="100">
        <v>0.52</v>
      </c>
      <c r="Q58" s="100">
        <v>4.4800000000000004</v>
      </c>
    </row>
    <row r="59" spans="1:17" customFormat="1">
      <c r="A59" s="100" t="s">
        <v>2304</v>
      </c>
      <c r="B59" s="100">
        <v>4.18</v>
      </c>
      <c r="C59" s="100">
        <v>49.72</v>
      </c>
      <c r="D59" s="100">
        <v>28.29</v>
      </c>
      <c r="E59" s="100">
        <v>10.84</v>
      </c>
      <c r="F59" s="100">
        <v>25.47</v>
      </c>
      <c r="G59" s="100">
        <v>50.13</v>
      </c>
      <c r="H59" s="100">
        <v>12.4</v>
      </c>
      <c r="I59" s="100">
        <v>4.8499999999999996</v>
      </c>
      <c r="J59" s="100">
        <v>0.97</v>
      </c>
      <c r="K59" s="100">
        <v>278.08999999999997</v>
      </c>
      <c r="L59" s="100">
        <v>39.99</v>
      </c>
      <c r="M59" s="100">
        <v>24.79</v>
      </c>
      <c r="N59" s="100">
        <v>835.7</v>
      </c>
      <c r="O59" s="100">
        <v>0</v>
      </c>
      <c r="P59" s="100">
        <v>0.53</v>
      </c>
      <c r="Q59" s="100">
        <v>4.5</v>
      </c>
    </row>
    <row r="60" spans="1:17" customFormat="1">
      <c r="A60" s="100" t="s">
        <v>2305</v>
      </c>
      <c r="B60" s="100">
        <v>4.2</v>
      </c>
      <c r="C60" s="100">
        <v>50.73</v>
      </c>
      <c r="D60" s="100">
        <v>28.82</v>
      </c>
      <c r="E60" s="100">
        <v>9.67</v>
      </c>
      <c r="F60" s="100">
        <v>25.71</v>
      </c>
      <c r="G60" s="100">
        <v>50.13</v>
      </c>
      <c r="H60" s="100">
        <v>12.4</v>
      </c>
      <c r="I60" s="100">
        <v>4.72</v>
      </c>
      <c r="J60" s="100">
        <v>1.1499999999999999</v>
      </c>
      <c r="K60" s="100">
        <v>260.39</v>
      </c>
      <c r="L60" s="100">
        <v>40.15</v>
      </c>
      <c r="M60" s="100">
        <v>23.28</v>
      </c>
      <c r="N60" s="100">
        <v>840.5</v>
      </c>
      <c r="O60" s="100">
        <v>0</v>
      </c>
      <c r="P60" s="100">
        <v>0.52</v>
      </c>
      <c r="Q60" s="100">
        <v>4.58</v>
      </c>
    </row>
    <row r="61" spans="1:17" customFormat="1">
      <c r="A61" s="100" t="s">
        <v>2306</v>
      </c>
      <c r="B61" s="100">
        <v>4.29</v>
      </c>
      <c r="C61" s="100">
        <v>49.25</v>
      </c>
      <c r="D61" s="100">
        <v>28.13</v>
      </c>
      <c r="E61" s="100">
        <v>10.52</v>
      </c>
      <c r="F61" s="100">
        <v>27.71</v>
      </c>
      <c r="G61" s="100">
        <v>47.24</v>
      </c>
      <c r="H61" s="100">
        <v>13.2</v>
      </c>
      <c r="I61" s="100">
        <v>4.7</v>
      </c>
      <c r="J61" s="100">
        <v>1.3</v>
      </c>
      <c r="K61" s="100">
        <v>281.41000000000003</v>
      </c>
      <c r="L61" s="100">
        <v>40.26</v>
      </c>
      <c r="M61" s="100">
        <v>22.8</v>
      </c>
      <c r="N61" s="100">
        <v>824.2</v>
      </c>
      <c r="O61" s="100">
        <v>0</v>
      </c>
      <c r="P61" s="100">
        <v>0.5</v>
      </c>
      <c r="Q61" s="100">
        <v>4.5599999999999996</v>
      </c>
    </row>
    <row r="62" spans="1:17" customFormat="1">
      <c r="A62" s="100" t="s">
        <v>2307</v>
      </c>
      <c r="B62" s="100">
        <v>4.37</v>
      </c>
      <c r="C62" s="100">
        <v>51.32</v>
      </c>
      <c r="D62" s="100">
        <v>29.27</v>
      </c>
      <c r="E62" s="100">
        <v>11.12</v>
      </c>
      <c r="F62" s="100">
        <v>27.84</v>
      </c>
      <c r="G62" s="100">
        <v>47.14</v>
      </c>
      <c r="H62" s="100">
        <v>13.2</v>
      </c>
      <c r="I62" s="100">
        <v>4.72</v>
      </c>
      <c r="J62" s="100">
        <v>1.39</v>
      </c>
      <c r="K62" s="100">
        <v>298.77</v>
      </c>
      <c r="L62" s="100">
        <v>40.39</v>
      </c>
      <c r="M62" s="100">
        <v>20.350000000000001</v>
      </c>
      <c r="N62" s="100">
        <v>792.1</v>
      </c>
      <c r="O62" s="100">
        <v>0</v>
      </c>
      <c r="P62" s="100">
        <v>0.5</v>
      </c>
      <c r="Q62" s="100">
        <v>4.58</v>
      </c>
    </row>
    <row r="63" spans="1:17" customFormat="1">
      <c r="A63" s="100" t="s">
        <v>2308</v>
      </c>
      <c r="B63" s="100">
        <v>4.5</v>
      </c>
      <c r="C63" s="100">
        <v>49.16</v>
      </c>
      <c r="D63" s="100">
        <v>28.25</v>
      </c>
      <c r="E63" s="100">
        <v>12.37</v>
      </c>
      <c r="F63" s="100">
        <v>26.62</v>
      </c>
      <c r="G63" s="100">
        <v>47.14</v>
      </c>
      <c r="H63" s="100">
        <v>13.2</v>
      </c>
      <c r="I63" s="100">
        <v>4.72</v>
      </c>
      <c r="J63" s="100">
        <v>1.27</v>
      </c>
      <c r="K63" s="100">
        <v>290.10000000000002</v>
      </c>
      <c r="L63" s="100">
        <v>40.78</v>
      </c>
      <c r="M63" s="100">
        <v>18.68</v>
      </c>
      <c r="N63" s="100">
        <v>676.2</v>
      </c>
      <c r="O63" s="100">
        <v>0</v>
      </c>
      <c r="P63" s="100">
        <v>0.49</v>
      </c>
      <c r="Q63" s="100">
        <v>4.57</v>
      </c>
    </row>
    <row r="64" spans="1:17" customFormat="1">
      <c r="A64" s="100" t="s">
        <v>2309</v>
      </c>
      <c r="B64" s="100">
        <v>4.58</v>
      </c>
      <c r="C64" s="100">
        <v>49.72</v>
      </c>
      <c r="D64" s="100">
        <v>28.6</v>
      </c>
      <c r="E64" s="100">
        <v>12.65</v>
      </c>
      <c r="F64" s="100">
        <v>28.02</v>
      </c>
      <c r="G64" s="100">
        <v>47.14</v>
      </c>
      <c r="H64" s="100">
        <v>13.2</v>
      </c>
      <c r="I64" s="100">
        <v>4.66</v>
      </c>
      <c r="J64" s="100">
        <v>1.19</v>
      </c>
      <c r="K64" s="100">
        <v>276.64999999999998</v>
      </c>
      <c r="L64" s="100">
        <v>40.869999999999997</v>
      </c>
      <c r="M64" s="100">
        <v>17.89</v>
      </c>
      <c r="N64" s="100">
        <v>747.7</v>
      </c>
      <c r="O64" s="100">
        <v>0</v>
      </c>
      <c r="P64" s="100">
        <v>0.47</v>
      </c>
      <c r="Q64" s="100">
        <v>4.58</v>
      </c>
    </row>
    <row r="65" spans="1:17" customFormat="1">
      <c r="A65" s="100" t="s">
        <v>2310</v>
      </c>
      <c r="B65" s="100">
        <v>4.5999999999999996</v>
      </c>
      <c r="C65" s="100">
        <v>51.11</v>
      </c>
      <c r="D65" s="100">
        <v>29.35</v>
      </c>
      <c r="E65" s="100">
        <v>11.24</v>
      </c>
      <c r="F65" s="100">
        <v>22.89</v>
      </c>
      <c r="G65" s="100">
        <v>47.2</v>
      </c>
      <c r="H65" s="100">
        <v>15.6</v>
      </c>
      <c r="I65" s="100">
        <v>4.5</v>
      </c>
      <c r="J65" s="100">
        <v>1.6</v>
      </c>
      <c r="K65" s="100">
        <v>296.95</v>
      </c>
      <c r="L65" s="100">
        <v>40.67</v>
      </c>
      <c r="M65" s="100">
        <v>17.5</v>
      </c>
      <c r="N65" s="100">
        <v>748.6</v>
      </c>
      <c r="O65" s="100">
        <v>0</v>
      </c>
      <c r="P65" s="100">
        <v>0.46</v>
      </c>
      <c r="Q65" s="100">
        <v>4.5999999999999996</v>
      </c>
    </row>
    <row r="66" spans="1:17" customFormat="1">
      <c r="A66" s="100" t="s">
        <v>2311</v>
      </c>
      <c r="B66" s="100">
        <v>4.74</v>
      </c>
      <c r="C66" s="100">
        <v>51.3</v>
      </c>
      <c r="D66" s="100">
        <v>29.56</v>
      </c>
      <c r="E66" s="100">
        <v>10.69</v>
      </c>
      <c r="F66" s="100">
        <v>21.05</v>
      </c>
      <c r="G66" s="100">
        <v>47.21</v>
      </c>
      <c r="H66" s="100">
        <v>15.6</v>
      </c>
      <c r="I66" s="100">
        <v>4.55</v>
      </c>
      <c r="J66" s="100">
        <v>1.33</v>
      </c>
      <c r="K66" s="100">
        <v>268.3</v>
      </c>
      <c r="L66" s="100">
        <v>40.909999999999997</v>
      </c>
      <c r="M66" s="100">
        <v>17.59</v>
      </c>
      <c r="N66" s="100">
        <v>704.1</v>
      </c>
      <c r="O66" s="100">
        <v>0</v>
      </c>
      <c r="P66" s="100">
        <v>0.46</v>
      </c>
      <c r="Q66" s="100">
        <v>4.59</v>
      </c>
    </row>
    <row r="67" spans="1:17" customFormat="1">
      <c r="A67" s="100" t="s">
        <v>2312</v>
      </c>
      <c r="B67" s="100">
        <v>4.75</v>
      </c>
      <c r="C67" s="100">
        <v>52.95</v>
      </c>
      <c r="D67" s="100">
        <v>30.43</v>
      </c>
      <c r="E67" s="100">
        <v>8.1</v>
      </c>
      <c r="F67" s="100">
        <v>18.12</v>
      </c>
      <c r="G67" s="100">
        <v>47.21</v>
      </c>
      <c r="H67" s="100">
        <v>15.6</v>
      </c>
      <c r="I67" s="100">
        <v>4.5</v>
      </c>
      <c r="J67" s="100">
        <v>1.79</v>
      </c>
      <c r="K67" s="100">
        <v>287.7</v>
      </c>
      <c r="L67" s="100">
        <v>40.57</v>
      </c>
      <c r="M67" s="100">
        <v>17.850000000000001</v>
      </c>
      <c r="N67" s="100">
        <v>674.8</v>
      </c>
      <c r="O67" s="100">
        <v>0</v>
      </c>
      <c r="P67" s="100">
        <v>0.47</v>
      </c>
      <c r="Q67" s="100">
        <v>4.58</v>
      </c>
    </row>
    <row r="68" spans="1:17" customFormat="1">
      <c r="A68" s="100" t="s">
        <v>2313</v>
      </c>
      <c r="B68" s="100">
        <v>4.6100000000000003</v>
      </c>
      <c r="C68" s="100">
        <v>51.22</v>
      </c>
      <c r="D68" s="100">
        <v>29.42</v>
      </c>
      <c r="E68" s="100">
        <v>8.3699999999999992</v>
      </c>
      <c r="F68" s="100">
        <v>20.64</v>
      </c>
      <c r="G68" s="100">
        <v>47.21</v>
      </c>
      <c r="H68" s="100">
        <v>15.6</v>
      </c>
      <c r="I68" s="100">
        <v>4.5199999999999996</v>
      </c>
      <c r="J68" s="100">
        <v>1.46</v>
      </c>
      <c r="K68" s="100">
        <v>274.23</v>
      </c>
      <c r="L68" s="100">
        <v>40.5</v>
      </c>
      <c r="M68" s="100">
        <v>18.14</v>
      </c>
      <c r="N68" s="100">
        <v>622.6</v>
      </c>
      <c r="O68" s="100">
        <v>0</v>
      </c>
      <c r="P68" s="100">
        <v>0.44</v>
      </c>
      <c r="Q68" s="100">
        <v>4.58</v>
      </c>
    </row>
    <row r="69" spans="1:17" customFormat="1">
      <c r="A69" s="100" t="s">
        <v>2314</v>
      </c>
      <c r="B69" s="100">
        <v>5.17</v>
      </c>
      <c r="C69" s="100">
        <v>54.92</v>
      </c>
      <c r="D69" s="100">
        <v>31.79</v>
      </c>
      <c r="E69" s="100">
        <v>9.14</v>
      </c>
      <c r="F69" s="100">
        <v>21.78</v>
      </c>
      <c r="G69" s="100">
        <v>42.09</v>
      </c>
      <c r="H69" s="100">
        <v>14.42</v>
      </c>
      <c r="I69" s="100">
        <v>4.58</v>
      </c>
      <c r="J69" s="100">
        <v>1.53</v>
      </c>
      <c r="K69" s="100">
        <v>302.10000000000002</v>
      </c>
      <c r="L69" s="100">
        <v>40.57</v>
      </c>
      <c r="M69" s="100">
        <v>18.34</v>
      </c>
      <c r="N69" s="100">
        <v>610.79999999999995</v>
      </c>
      <c r="O69" s="100">
        <v>0</v>
      </c>
      <c r="P69" s="100">
        <v>0.46</v>
      </c>
      <c r="Q69" s="100">
        <v>4.58</v>
      </c>
    </row>
    <row r="70" spans="1:17" customFormat="1">
      <c r="A70" s="100" t="s">
        <v>2315</v>
      </c>
      <c r="B70" s="100">
        <v>5.01</v>
      </c>
      <c r="C70" s="100">
        <v>54.14</v>
      </c>
      <c r="D70" s="100">
        <v>31.25</v>
      </c>
      <c r="E70" s="100">
        <v>9.1300000000000008</v>
      </c>
      <c r="F70" s="100">
        <v>19.64</v>
      </c>
      <c r="G70" s="100">
        <v>41.86</v>
      </c>
      <c r="H70" s="100">
        <v>14.42</v>
      </c>
      <c r="I70" s="100">
        <v>4.5199999999999996</v>
      </c>
      <c r="J70" s="100">
        <v>1.51</v>
      </c>
      <c r="K70" s="100">
        <v>290.8</v>
      </c>
      <c r="L70" s="100">
        <v>40.31</v>
      </c>
      <c r="M70" s="100">
        <v>17.96</v>
      </c>
      <c r="N70" s="100">
        <v>561.4</v>
      </c>
      <c r="O70" s="100">
        <v>0</v>
      </c>
      <c r="P70" s="100">
        <v>0.44</v>
      </c>
      <c r="Q70" s="100">
        <v>4.62</v>
      </c>
    </row>
    <row r="71" spans="1:17" customFormat="1">
      <c r="A71" s="100" t="s">
        <v>2316</v>
      </c>
      <c r="B71" s="100">
        <v>4.8099999999999996</v>
      </c>
      <c r="C71" s="100">
        <v>52.33</v>
      </c>
      <c r="D71" s="100">
        <v>30.15</v>
      </c>
      <c r="E71" s="100">
        <v>9.18</v>
      </c>
      <c r="F71" s="100">
        <v>21.66</v>
      </c>
      <c r="G71" s="100">
        <v>41.86</v>
      </c>
      <c r="H71" s="100">
        <v>14.42</v>
      </c>
      <c r="I71" s="100">
        <v>4.38</v>
      </c>
      <c r="J71" s="100">
        <v>1.43</v>
      </c>
      <c r="K71" s="100">
        <v>277.95</v>
      </c>
      <c r="L71" s="100">
        <v>40.159999999999997</v>
      </c>
      <c r="M71" s="100">
        <v>17.87</v>
      </c>
      <c r="N71" s="100">
        <v>514.9</v>
      </c>
      <c r="O71" s="100">
        <v>0</v>
      </c>
      <c r="P71" s="100">
        <v>0.44</v>
      </c>
      <c r="Q71" s="100">
        <v>4.66</v>
      </c>
    </row>
    <row r="72" spans="1:17" customFormat="1">
      <c r="A72" s="100" t="s">
        <v>2317</v>
      </c>
      <c r="B72" s="100">
        <v>4.63</v>
      </c>
      <c r="C72" s="100">
        <v>52.49</v>
      </c>
      <c r="D72" s="100">
        <v>30.1</v>
      </c>
      <c r="E72" s="100">
        <v>10.07</v>
      </c>
      <c r="F72" s="100">
        <v>22.99</v>
      </c>
      <c r="G72" s="100">
        <v>41.86</v>
      </c>
      <c r="H72" s="100">
        <v>14.42</v>
      </c>
      <c r="I72" s="100">
        <v>4.32</v>
      </c>
      <c r="J72" s="100">
        <v>1.33</v>
      </c>
      <c r="K72" s="100">
        <v>281.12</v>
      </c>
      <c r="L72" s="100">
        <v>40.26</v>
      </c>
      <c r="M72" s="100">
        <v>17.78</v>
      </c>
      <c r="N72" s="100">
        <v>465.3</v>
      </c>
      <c r="O72" s="100">
        <v>0</v>
      </c>
      <c r="P72" s="100">
        <v>0.42</v>
      </c>
      <c r="Q72" s="100">
        <v>4.62</v>
      </c>
    </row>
    <row r="73" spans="1:17" customFormat="1">
      <c r="A73" s="100" t="s">
        <v>2318</v>
      </c>
      <c r="B73" s="100">
        <v>4.79</v>
      </c>
      <c r="C73" s="100">
        <v>55.99</v>
      </c>
      <c r="D73" s="100">
        <v>32.049999999999997</v>
      </c>
      <c r="E73" s="100">
        <v>10.69</v>
      </c>
      <c r="F73" s="100">
        <v>25.14</v>
      </c>
      <c r="G73" s="100">
        <v>44.35</v>
      </c>
      <c r="H73" s="100">
        <v>14.32</v>
      </c>
      <c r="I73" s="100">
        <v>4.22</v>
      </c>
      <c r="J73" s="100">
        <v>1.21</v>
      </c>
      <c r="K73" s="100">
        <v>296.66000000000003</v>
      </c>
      <c r="L73" s="100">
        <v>40.200000000000003</v>
      </c>
      <c r="M73" s="100">
        <v>17.45</v>
      </c>
      <c r="N73" s="100">
        <v>409.9</v>
      </c>
      <c r="O73" s="100">
        <v>0</v>
      </c>
      <c r="P73" s="100">
        <v>0.43</v>
      </c>
      <c r="Q73" s="100">
        <v>4.6100000000000003</v>
      </c>
    </row>
    <row r="74" spans="1:17" customFormat="1">
      <c r="A74" s="100" t="s">
        <v>2319</v>
      </c>
      <c r="B74" s="100">
        <v>4.8099999999999996</v>
      </c>
      <c r="C74" s="100">
        <v>53.9</v>
      </c>
      <c r="D74" s="100">
        <v>30.97</v>
      </c>
      <c r="E74" s="100">
        <v>11.64</v>
      </c>
      <c r="F74" s="100">
        <v>22.09</v>
      </c>
      <c r="G74" s="100">
        <v>44.46</v>
      </c>
      <c r="H74" s="100">
        <v>14.32</v>
      </c>
      <c r="I74" s="100">
        <v>4.17</v>
      </c>
      <c r="J74" s="100">
        <v>1.25</v>
      </c>
      <c r="K74" s="100">
        <v>275.64</v>
      </c>
      <c r="L74" s="100">
        <v>40.22</v>
      </c>
      <c r="M74" s="100">
        <v>17.45</v>
      </c>
      <c r="N74" s="100">
        <v>352.6</v>
      </c>
      <c r="O74" s="100">
        <v>0</v>
      </c>
      <c r="P74" s="100">
        <v>0.43</v>
      </c>
      <c r="Q74" s="100">
        <v>4.5999999999999996</v>
      </c>
    </row>
    <row r="75" spans="1:17" customFormat="1">
      <c r="A75" s="100" t="s">
        <v>2320</v>
      </c>
      <c r="B75" s="100">
        <v>4.71</v>
      </c>
      <c r="C75" s="100">
        <v>53.17</v>
      </c>
      <c r="D75" s="100">
        <v>30.51</v>
      </c>
      <c r="E75" s="100">
        <v>10.19</v>
      </c>
      <c r="F75" s="100">
        <v>26.77</v>
      </c>
      <c r="G75" s="100">
        <v>44.46</v>
      </c>
      <c r="H75" s="100">
        <v>14.32</v>
      </c>
      <c r="I75" s="100">
        <v>4.1900000000000004</v>
      </c>
      <c r="J75" s="100">
        <v>1.22</v>
      </c>
      <c r="K75" s="100">
        <v>287.61</v>
      </c>
      <c r="L75" s="100">
        <v>39.9</v>
      </c>
      <c r="M75" s="100">
        <v>17.79</v>
      </c>
      <c r="N75" s="100">
        <v>289.5</v>
      </c>
      <c r="O75" s="100">
        <v>0</v>
      </c>
      <c r="P75" s="100">
        <v>0.42</v>
      </c>
      <c r="Q75" s="100">
        <v>4.63</v>
      </c>
    </row>
    <row r="76" spans="1:17" customFormat="1">
      <c r="A76" s="100" t="s">
        <v>2321</v>
      </c>
      <c r="B76" s="100">
        <v>4.5999999999999996</v>
      </c>
      <c r="C76" s="100">
        <v>52.37</v>
      </c>
      <c r="D76" s="100">
        <v>30.01</v>
      </c>
      <c r="E76" s="100">
        <v>11.2</v>
      </c>
      <c r="F76" s="100">
        <v>38.21</v>
      </c>
      <c r="G76" s="100">
        <v>44.46</v>
      </c>
      <c r="H76" s="100">
        <v>14.32</v>
      </c>
      <c r="I76" s="100">
        <v>4.1100000000000003</v>
      </c>
      <c r="J76" s="100">
        <v>0.74</v>
      </c>
      <c r="K76" s="100">
        <v>283.36</v>
      </c>
      <c r="L76" s="100">
        <v>39.96</v>
      </c>
      <c r="M76" s="100">
        <v>18.36</v>
      </c>
      <c r="N76" s="100">
        <v>170.1</v>
      </c>
      <c r="O76" s="100">
        <v>0</v>
      </c>
      <c r="P76" s="100">
        <v>0.42</v>
      </c>
      <c r="Q76" s="100">
        <v>4.6399999999999997</v>
      </c>
    </row>
    <row r="77" spans="1:17" customFormat="1">
      <c r="A77" s="100" t="s">
        <v>2322</v>
      </c>
      <c r="B77" s="100">
        <v>4.33</v>
      </c>
      <c r="C77" s="100">
        <v>48.42</v>
      </c>
      <c r="D77" s="100">
        <v>27.73</v>
      </c>
      <c r="E77" s="100">
        <v>11.82</v>
      </c>
      <c r="F77" s="100">
        <v>39.47</v>
      </c>
      <c r="G77" s="100">
        <v>46.26</v>
      </c>
      <c r="H77" s="100">
        <v>14.63</v>
      </c>
      <c r="I77" s="100">
        <v>4.0199999999999996</v>
      </c>
      <c r="J77" s="100">
        <v>0.98</v>
      </c>
      <c r="K77" s="100">
        <v>275.95</v>
      </c>
      <c r="L77" s="100">
        <v>39.369999999999997</v>
      </c>
      <c r="M77" s="100">
        <v>19.100000000000001</v>
      </c>
      <c r="N77" s="100">
        <v>84.6</v>
      </c>
      <c r="O77" s="100">
        <v>0</v>
      </c>
      <c r="P77" s="100">
        <v>0.41</v>
      </c>
      <c r="Q77" s="100">
        <v>4.6900000000000004</v>
      </c>
    </row>
    <row r="78" spans="1:17" customFormat="1">
      <c r="A78" s="100" t="s">
        <v>2323</v>
      </c>
      <c r="B78" s="100">
        <v>4.2300000000000004</v>
      </c>
      <c r="C78" s="100">
        <v>49.14</v>
      </c>
      <c r="D78" s="100">
        <v>28.02</v>
      </c>
      <c r="E78" s="100">
        <v>9.43</v>
      </c>
      <c r="F78" s="100">
        <v>31.62</v>
      </c>
      <c r="G78" s="100">
        <v>46.32</v>
      </c>
      <c r="H78" s="100">
        <v>14.63</v>
      </c>
      <c r="I78" s="100">
        <v>3.77</v>
      </c>
      <c r="J78" s="100">
        <v>0.79</v>
      </c>
      <c r="K78" s="100">
        <v>256.16000000000003</v>
      </c>
      <c r="L78" s="100">
        <v>38.99</v>
      </c>
      <c r="M78" s="100">
        <v>19.63</v>
      </c>
      <c r="N78" s="100">
        <v>91.5</v>
      </c>
      <c r="O78" s="100">
        <v>0</v>
      </c>
      <c r="P78" s="100">
        <v>0.41</v>
      </c>
      <c r="Q78" s="100">
        <v>4.67</v>
      </c>
    </row>
    <row r="79" spans="1:17" customFormat="1">
      <c r="A79" s="100" t="s">
        <v>2324</v>
      </c>
      <c r="B79" s="100">
        <v>3.99</v>
      </c>
      <c r="C79" s="100">
        <v>49.69</v>
      </c>
      <c r="D79" s="100">
        <v>28.12</v>
      </c>
      <c r="E79" s="100">
        <v>11.11</v>
      </c>
      <c r="F79" s="100">
        <v>42.18</v>
      </c>
      <c r="G79" s="100">
        <v>46.32</v>
      </c>
      <c r="H79" s="100">
        <v>14.63</v>
      </c>
      <c r="I79" s="100">
        <v>3.65</v>
      </c>
      <c r="J79" s="100">
        <v>0.79</v>
      </c>
      <c r="K79" s="100">
        <v>260.26</v>
      </c>
      <c r="L79" s="100">
        <v>38.69</v>
      </c>
      <c r="M79" s="100">
        <v>20.170000000000002</v>
      </c>
      <c r="N79" s="100">
        <v>53.3</v>
      </c>
      <c r="O79" s="100">
        <v>0</v>
      </c>
      <c r="P79" s="100">
        <v>0.42</v>
      </c>
      <c r="Q79" s="100">
        <v>4.6399999999999997</v>
      </c>
    </row>
    <row r="80" spans="1:17" customFormat="1">
      <c r="A80" s="100" t="s">
        <v>2325</v>
      </c>
      <c r="B80" s="100">
        <v>3.86</v>
      </c>
      <c r="C80" s="100">
        <v>45.93</v>
      </c>
      <c r="D80" s="100">
        <v>26.05</v>
      </c>
      <c r="E80" s="100">
        <v>11.92</v>
      </c>
      <c r="F80" s="100">
        <v>46.48</v>
      </c>
      <c r="G80" s="100">
        <v>46.32</v>
      </c>
      <c r="H80" s="100">
        <v>14.63</v>
      </c>
      <c r="I80" s="100">
        <v>3.72</v>
      </c>
      <c r="J80" s="100">
        <v>0.72</v>
      </c>
      <c r="K80" s="100">
        <v>253.27</v>
      </c>
      <c r="L80" s="100">
        <v>38.229999999999997</v>
      </c>
      <c r="M80" s="100">
        <v>20.99</v>
      </c>
      <c r="N80" s="100">
        <v>35.200000000000003</v>
      </c>
      <c r="O80" s="100">
        <v>0</v>
      </c>
      <c r="P80" s="100">
        <v>0.41</v>
      </c>
      <c r="Q80" s="100">
        <v>4.6100000000000003</v>
      </c>
    </row>
    <row r="81" spans="1:17" customFormat="1">
      <c r="A81" s="100" t="s">
        <v>2326</v>
      </c>
      <c r="B81" s="100">
        <v>3.73</v>
      </c>
      <c r="C81" s="100">
        <v>42.24</v>
      </c>
      <c r="D81" s="100">
        <v>24.01</v>
      </c>
      <c r="E81" s="100">
        <v>13.02</v>
      </c>
      <c r="F81" s="100">
        <v>48.22</v>
      </c>
      <c r="G81" s="100">
        <v>41.71</v>
      </c>
      <c r="H81" s="100">
        <v>10.56</v>
      </c>
      <c r="I81" s="100">
        <v>3.59</v>
      </c>
      <c r="J81" s="100">
        <v>0.31</v>
      </c>
      <c r="K81" s="100">
        <v>225.47</v>
      </c>
      <c r="L81" s="100">
        <v>37.520000000000003</v>
      </c>
      <c r="M81" s="100">
        <v>23.08</v>
      </c>
      <c r="N81" s="100">
        <v>11.8</v>
      </c>
      <c r="O81" s="100">
        <v>0</v>
      </c>
      <c r="P81" s="100">
        <v>0.43</v>
      </c>
      <c r="Q81" s="100">
        <v>4.63</v>
      </c>
    </row>
    <row r="82" spans="1:17" customFormat="1">
      <c r="A82" s="100" t="s">
        <v>2327</v>
      </c>
      <c r="B82" s="100">
        <v>3.59</v>
      </c>
      <c r="C82" s="100">
        <v>39.99</v>
      </c>
      <c r="D82" s="100">
        <v>22.73</v>
      </c>
      <c r="E82" s="100">
        <v>20.62</v>
      </c>
      <c r="F82" s="100">
        <v>47.62</v>
      </c>
      <c r="G82" s="100">
        <v>41.55</v>
      </c>
      <c r="H82" s="100">
        <v>10.56</v>
      </c>
      <c r="I82" s="100">
        <v>3.57</v>
      </c>
      <c r="J82" s="100">
        <v>0.3</v>
      </c>
      <c r="K82" s="100">
        <v>237.78</v>
      </c>
      <c r="L82" s="100">
        <v>36.68</v>
      </c>
      <c r="M82" s="100">
        <v>24.18</v>
      </c>
      <c r="N82" s="100">
        <v>0.4</v>
      </c>
      <c r="O82" s="100">
        <v>0</v>
      </c>
      <c r="P82" s="100">
        <v>0.5</v>
      </c>
      <c r="Q82" s="100">
        <v>4.62</v>
      </c>
    </row>
    <row r="83" spans="1:17" customFormat="1">
      <c r="A83" s="100" t="s">
        <v>2328</v>
      </c>
      <c r="B83" s="100">
        <v>3.33</v>
      </c>
      <c r="C83" s="100">
        <v>38.659999999999997</v>
      </c>
      <c r="D83" s="100">
        <v>21.82</v>
      </c>
      <c r="E83" s="100">
        <v>21.96</v>
      </c>
      <c r="F83" s="100">
        <v>47.31</v>
      </c>
      <c r="G83" s="100">
        <v>41.55</v>
      </c>
      <c r="H83" s="100">
        <v>10.56</v>
      </c>
      <c r="I83" s="100">
        <v>3.63</v>
      </c>
      <c r="J83" s="100">
        <v>0.18</v>
      </c>
      <c r="K83" s="100">
        <v>209.87</v>
      </c>
      <c r="L83" s="100">
        <v>35.93</v>
      </c>
      <c r="M83" s="100">
        <v>25.35</v>
      </c>
      <c r="N83" s="100">
        <v>0</v>
      </c>
      <c r="O83" s="100">
        <v>0</v>
      </c>
      <c r="P83" s="100">
        <v>0.51</v>
      </c>
      <c r="Q83" s="100">
        <v>4.58</v>
      </c>
    </row>
    <row r="84" spans="1:17" customFormat="1">
      <c r="A84" s="100" t="s">
        <v>2329</v>
      </c>
      <c r="B84" s="100">
        <v>3.38</v>
      </c>
      <c r="C84" s="100">
        <v>39</v>
      </c>
      <c r="D84" s="100">
        <v>22.04</v>
      </c>
      <c r="E84" s="100">
        <v>17.88</v>
      </c>
      <c r="F84" s="100">
        <v>42.56</v>
      </c>
      <c r="G84" s="100">
        <v>41.55</v>
      </c>
      <c r="H84" s="100">
        <v>10.56</v>
      </c>
      <c r="I84" s="100">
        <v>4.04</v>
      </c>
      <c r="J84" s="100">
        <v>0.22</v>
      </c>
      <c r="K84" s="100">
        <v>190.35</v>
      </c>
      <c r="L84" s="100">
        <v>35.200000000000003</v>
      </c>
      <c r="M84" s="100">
        <v>27.7</v>
      </c>
      <c r="N84" s="100">
        <v>0</v>
      </c>
      <c r="O84" s="100">
        <v>0</v>
      </c>
      <c r="P84" s="100">
        <v>0.49</v>
      </c>
      <c r="Q84" s="100">
        <v>4.5999999999999996</v>
      </c>
    </row>
    <row r="85" spans="1:17" customFormat="1">
      <c r="A85" s="100" t="s">
        <v>2330</v>
      </c>
      <c r="B85" s="100">
        <v>4.29</v>
      </c>
      <c r="C85" s="100">
        <v>44.41</v>
      </c>
      <c r="D85" s="100">
        <v>25.6</v>
      </c>
      <c r="E85" s="100">
        <v>9.27</v>
      </c>
      <c r="F85" s="100">
        <v>27.84</v>
      </c>
      <c r="G85" s="100">
        <v>43.14</v>
      </c>
      <c r="H85" s="100">
        <v>11.76</v>
      </c>
      <c r="I85" s="100">
        <v>4.32</v>
      </c>
      <c r="J85" s="100">
        <v>0.56000000000000005</v>
      </c>
      <c r="K85" s="100">
        <v>245.63</v>
      </c>
      <c r="L85" s="100">
        <v>33.909999999999997</v>
      </c>
      <c r="M85" s="100">
        <v>32.99</v>
      </c>
      <c r="N85" s="100">
        <v>0</v>
      </c>
      <c r="O85" s="100">
        <v>0</v>
      </c>
      <c r="P85" s="100">
        <v>0.44</v>
      </c>
      <c r="Q85" s="100">
        <v>4.57</v>
      </c>
    </row>
    <row r="86" spans="1:17" customFormat="1">
      <c r="A86" s="100" t="s">
        <v>2331</v>
      </c>
      <c r="B86" s="100">
        <v>4.78</v>
      </c>
      <c r="C86" s="100">
        <v>46.03</v>
      </c>
      <c r="D86" s="100">
        <v>26.84</v>
      </c>
      <c r="E86" s="100">
        <v>7.1</v>
      </c>
      <c r="F86" s="100">
        <v>25.78</v>
      </c>
      <c r="G86" s="100">
        <v>43.2</v>
      </c>
      <c r="H86" s="100">
        <v>11.76</v>
      </c>
      <c r="I86" s="100">
        <v>4.1500000000000004</v>
      </c>
      <c r="J86" s="100">
        <v>0.38</v>
      </c>
      <c r="K86" s="100">
        <v>249.11</v>
      </c>
      <c r="L86" s="100">
        <v>32.35</v>
      </c>
      <c r="M86" s="100">
        <v>38.01</v>
      </c>
      <c r="N86" s="100">
        <v>0</v>
      </c>
      <c r="O86" s="100">
        <v>0</v>
      </c>
      <c r="P86" s="100">
        <v>0.44</v>
      </c>
      <c r="Q86" s="100">
        <v>4.54</v>
      </c>
    </row>
    <row r="87" spans="1:17" customFormat="1">
      <c r="A87" s="100" t="s">
        <v>2332</v>
      </c>
      <c r="B87" s="100">
        <v>4.68</v>
      </c>
      <c r="C87" s="100">
        <v>47.54</v>
      </c>
      <c r="D87" s="100">
        <v>27.55</v>
      </c>
      <c r="E87" s="100">
        <v>6.41</v>
      </c>
      <c r="F87" s="100">
        <v>23.58</v>
      </c>
      <c r="G87" s="100">
        <v>43.2</v>
      </c>
      <c r="H87" s="100">
        <v>11.76</v>
      </c>
      <c r="I87" s="100">
        <v>3.98</v>
      </c>
      <c r="J87" s="100">
        <v>0.55000000000000004</v>
      </c>
      <c r="K87" s="100">
        <v>245.82</v>
      </c>
      <c r="L87" s="100">
        <v>31.81</v>
      </c>
      <c r="M87" s="100">
        <v>37.08</v>
      </c>
      <c r="N87" s="100">
        <v>0</v>
      </c>
      <c r="O87" s="100">
        <v>0</v>
      </c>
      <c r="P87" s="100">
        <v>0.44</v>
      </c>
      <c r="Q87" s="100">
        <v>4.51</v>
      </c>
    </row>
    <row r="88" spans="1:17" customFormat="1">
      <c r="A88" s="100" t="s">
        <v>2333</v>
      </c>
      <c r="B88" s="100">
        <v>4.67</v>
      </c>
      <c r="C88" s="100">
        <v>48.04</v>
      </c>
      <c r="D88" s="100">
        <v>27.8</v>
      </c>
      <c r="E88" s="100">
        <v>6.67</v>
      </c>
      <c r="F88" s="100">
        <v>19.12</v>
      </c>
      <c r="G88" s="100">
        <v>43.2</v>
      </c>
      <c r="H88" s="100">
        <v>11.76</v>
      </c>
      <c r="I88" s="100">
        <v>3.98</v>
      </c>
      <c r="J88" s="100">
        <v>0.47</v>
      </c>
      <c r="K88" s="100">
        <v>236.62</v>
      </c>
      <c r="L88" s="100">
        <v>31.38</v>
      </c>
      <c r="M88" s="100">
        <v>35.71</v>
      </c>
      <c r="N88" s="100">
        <v>0</v>
      </c>
      <c r="O88" s="100">
        <v>0</v>
      </c>
      <c r="P88" s="100">
        <v>0.44</v>
      </c>
      <c r="Q88" s="100">
        <v>4.5199999999999996</v>
      </c>
    </row>
    <row r="89" spans="1:17" customFormat="1">
      <c r="A89" s="100" t="s">
        <v>2334</v>
      </c>
      <c r="B89" s="100">
        <v>4.8099999999999996</v>
      </c>
      <c r="C89" s="100">
        <v>46.27</v>
      </c>
      <c r="D89" s="100">
        <v>26.99</v>
      </c>
      <c r="E89" s="100">
        <v>7.14</v>
      </c>
      <c r="F89" s="100">
        <v>19.27</v>
      </c>
      <c r="G89" s="100">
        <v>54.15</v>
      </c>
      <c r="H89" s="100">
        <v>14.01</v>
      </c>
      <c r="I89" s="100">
        <v>3.96</v>
      </c>
      <c r="J89" s="100">
        <v>0.57999999999999996</v>
      </c>
      <c r="K89" s="100">
        <v>253.57</v>
      </c>
      <c r="L89" s="100">
        <v>31.02</v>
      </c>
      <c r="M89" s="100">
        <v>35.18</v>
      </c>
      <c r="N89" s="100">
        <v>0</v>
      </c>
      <c r="O89" s="100">
        <v>0</v>
      </c>
      <c r="P89" s="100">
        <v>0.45</v>
      </c>
      <c r="Q89" s="100">
        <v>4.53</v>
      </c>
    </row>
    <row r="90" spans="1:17" customFormat="1">
      <c r="A90" s="100" t="s">
        <v>2335</v>
      </c>
      <c r="B90" s="100">
        <v>5.36</v>
      </c>
      <c r="C90" s="100">
        <v>50.27</v>
      </c>
      <c r="D90" s="100">
        <v>29.52</v>
      </c>
      <c r="E90" s="100">
        <v>5.99</v>
      </c>
      <c r="F90" s="100">
        <v>17.47</v>
      </c>
      <c r="G90" s="100">
        <v>54.53</v>
      </c>
      <c r="H90" s="100">
        <v>14.01</v>
      </c>
      <c r="I90" s="100">
        <v>3.94</v>
      </c>
      <c r="J90" s="100">
        <v>0.69</v>
      </c>
      <c r="K90" s="100">
        <v>242.09</v>
      </c>
      <c r="L90" s="100">
        <v>30.72</v>
      </c>
      <c r="M90" s="100">
        <v>35.43</v>
      </c>
      <c r="N90" s="100">
        <v>0</v>
      </c>
      <c r="O90" s="100">
        <v>0</v>
      </c>
      <c r="P90" s="100">
        <v>0.44</v>
      </c>
      <c r="Q90" s="100">
        <v>4.53</v>
      </c>
    </row>
    <row r="91" spans="1:17" customFormat="1">
      <c r="A91" s="100" t="s">
        <v>2336</v>
      </c>
      <c r="B91" s="100">
        <v>5.49</v>
      </c>
      <c r="C91" s="100">
        <v>50.1</v>
      </c>
      <c r="D91" s="100">
        <v>29.53</v>
      </c>
      <c r="E91" s="100">
        <v>6</v>
      </c>
      <c r="F91" s="100">
        <v>16.88</v>
      </c>
      <c r="G91" s="100">
        <v>54.53</v>
      </c>
      <c r="H91" s="100">
        <v>14.01</v>
      </c>
      <c r="I91" s="100">
        <v>3.93</v>
      </c>
      <c r="J91" s="100">
        <v>0.85</v>
      </c>
      <c r="K91" s="100">
        <v>253.41</v>
      </c>
      <c r="L91" s="100">
        <v>30.55</v>
      </c>
      <c r="M91" s="100">
        <v>35.96</v>
      </c>
      <c r="N91" s="100">
        <v>0</v>
      </c>
      <c r="O91" s="100">
        <v>0</v>
      </c>
      <c r="P91" s="100">
        <v>0.43</v>
      </c>
      <c r="Q91" s="100">
        <v>4.5199999999999996</v>
      </c>
    </row>
    <row r="92" spans="1:17" customFormat="1">
      <c r="A92" s="100" t="s">
        <v>2337</v>
      </c>
      <c r="B92" s="100">
        <v>5.34</v>
      </c>
      <c r="C92" s="100">
        <v>49.96</v>
      </c>
      <c r="D92" s="100">
        <v>29.34</v>
      </c>
      <c r="E92" s="100">
        <v>6.01</v>
      </c>
      <c r="F92" s="100">
        <v>16.18</v>
      </c>
      <c r="G92" s="100">
        <v>54.53</v>
      </c>
      <c r="H92" s="100">
        <v>14.01</v>
      </c>
      <c r="I92" s="100">
        <v>3.93</v>
      </c>
      <c r="J92" s="100">
        <v>0.8</v>
      </c>
      <c r="K92" s="100">
        <v>244.16</v>
      </c>
      <c r="L92" s="100">
        <v>30.33</v>
      </c>
      <c r="M92" s="100">
        <v>36.39</v>
      </c>
      <c r="N92" s="100">
        <v>0</v>
      </c>
      <c r="O92" s="100">
        <v>0</v>
      </c>
      <c r="P92" s="100">
        <v>0.42</v>
      </c>
      <c r="Q92" s="100">
        <v>4.51</v>
      </c>
    </row>
    <row r="93" spans="1:17" customFormat="1">
      <c r="A93" s="100" t="s">
        <v>2338</v>
      </c>
      <c r="B93" s="100">
        <v>5.52</v>
      </c>
      <c r="C93" s="100">
        <v>51.12</v>
      </c>
      <c r="D93" s="100">
        <v>30.09</v>
      </c>
      <c r="E93" s="100">
        <v>6.07</v>
      </c>
      <c r="F93" s="100">
        <v>12.47</v>
      </c>
      <c r="G93" s="100">
        <v>49.34</v>
      </c>
      <c r="H93" s="100">
        <v>13.77</v>
      </c>
      <c r="I93" s="100">
        <v>3.81</v>
      </c>
      <c r="J93" s="100">
        <v>0.75</v>
      </c>
      <c r="K93" s="100">
        <v>237.05</v>
      </c>
      <c r="L93" s="100">
        <v>30.1</v>
      </c>
      <c r="M93" s="100">
        <v>37.01</v>
      </c>
      <c r="N93" s="100">
        <v>0</v>
      </c>
      <c r="O93" s="100">
        <v>0</v>
      </c>
      <c r="P93" s="100">
        <v>0.43</v>
      </c>
      <c r="Q93" s="100">
        <v>4.51</v>
      </c>
    </row>
    <row r="94" spans="1:17" customFormat="1">
      <c r="A94" s="100" t="s">
        <v>2339</v>
      </c>
      <c r="B94" s="100">
        <v>5.7</v>
      </c>
      <c r="C94" s="100">
        <v>51.83</v>
      </c>
      <c r="D94" s="100">
        <v>30.61</v>
      </c>
      <c r="E94" s="100">
        <v>6.02</v>
      </c>
      <c r="F94" s="100">
        <v>12.6</v>
      </c>
      <c r="G94" s="100">
        <v>49.16</v>
      </c>
      <c r="H94" s="100">
        <v>13.77</v>
      </c>
      <c r="I94" s="100">
        <v>3.75</v>
      </c>
      <c r="J94" s="100">
        <v>0.72</v>
      </c>
      <c r="K94" s="100">
        <v>246.82</v>
      </c>
      <c r="L94" s="100">
        <v>29.84</v>
      </c>
      <c r="M94" s="100">
        <v>38.33</v>
      </c>
      <c r="N94" s="100">
        <v>0</v>
      </c>
      <c r="O94" s="100">
        <v>0</v>
      </c>
      <c r="P94" s="100">
        <v>0.42</v>
      </c>
      <c r="Q94" s="100">
        <v>4.47</v>
      </c>
    </row>
    <row r="95" spans="1:17" customFormat="1">
      <c r="A95" s="100" t="s">
        <v>2340</v>
      </c>
      <c r="B95" s="100">
        <v>5.74</v>
      </c>
      <c r="C95" s="100">
        <v>49.31</v>
      </c>
      <c r="D95" s="100">
        <v>29.32</v>
      </c>
      <c r="E95" s="100">
        <v>5.78</v>
      </c>
      <c r="F95" s="100">
        <v>14.16</v>
      </c>
      <c r="G95" s="100">
        <v>49.16</v>
      </c>
      <c r="H95" s="100">
        <v>13.77</v>
      </c>
      <c r="I95" s="100">
        <v>3.77</v>
      </c>
      <c r="J95" s="100">
        <v>0.68</v>
      </c>
      <c r="K95" s="100">
        <v>242.75</v>
      </c>
      <c r="L95" s="100">
        <v>29.62</v>
      </c>
      <c r="M95" s="100">
        <v>39.04</v>
      </c>
      <c r="N95" s="100">
        <v>0</v>
      </c>
      <c r="O95" s="100">
        <v>0</v>
      </c>
      <c r="P95" s="100">
        <v>0.41</v>
      </c>
      <c r="Q95" s="100">
        <v>4.49</v>
      </c>
    </row>
    <row r="96" spans="1:17" customFormat="1">
      <c r="A96" s="100" t="s">
        <v>2341</v>
      </c>
      <c r="B96" s="100">
        <v>5.75</v>
      </c>
      <c r="C96" s="100">
        <v>49.95</v>
      </c>
      <c r="D96" s="100">
        <v>29.66</v>
      </c>
      <c r="E96" s="100">
        <v>5.9</v>
      </c>
      <c r="F96" s="100">
        <v>12.3</v>
      </c>
      <c r="G96" s="100">
        <v>49.16</v>
      </c>
      <c r="H96" s="100">
        <v>13.77</v>
      </c>
      <c r="I96" s="100">
        <v>3.78</v>
      </c>
      <c r="J96" s="100">
        <v>0.74</v>
      </c>
      <c r="K96" s="100">
        <v>249.99</v>
      </c>
      <c r="L96" s="100">
        <v>29.46</v>
      </c>
      <c r="M96" s="100">
        <v>39.340000000000003</v>
      </c>
      <c r="N96" s="100">
        <v>0</v>
      </c>
      <c r="O96" s="100">
        <v>0</v>
      </c>
      <c r="P96" s="100">
        <v>0.4</v>
      </c>
      <c r="Q96" s="100">
        <v>4.53</v>
      </c>
    </row>
    <row r="97" spans="1:22" customFormat="1">
      <c r="A97" s="100" t="s">
        <v>2342</v>
      </c>
      <c r="B97" s="100">
        <v>5.87</v>
      </c>
      <c r="C97" s="100">
        <v>52.5</v>
      </c>
      <c r="D97" s="100">
        <v>31.09</v>
      </c>
      <c r="E97" s="100">
        <v>5.71</v>
      </c>
      <c r="F97" s="100">
        <v>10.25</v>
      </c>
      <c r="G97" s="100">
        <v>38.49</v>
      </c>
      <c r="H97" s="100">
        <v>10.65</v>
      </c>
      <c r="I97" s="100">
        <v>3.7</v>
      </c>
      <c r="J97" s="100">
        <v>0.79</v>
      </c>
      <c r="K97" s="100">
        <v>245.18</v>
      </c>
      <c r="L97" s="100">
        <v>29.33</v>
      </c>
      <c r="M97" s="100">
        <v>39.54</v>
      </c>
      <c r="N97" s="100">
        <v>0</v>
      </c>
      <c r="O97" s="100">
        <v>0</v>
      </c>
      <c r="P97" s="100">
        <v>0.4</v>
      </c>
      <c r="Q97" s="100">
        <v>4.5199999999999996</v>
      </c>
    </row>
    <row r="98" spans="1:22" customFormat="1">
      <c r="A98" s="100" t="s">
        <v>2343</v>
      </c>
      <c r="B98" s="100">
        <v>5.57</v>
      </c>
      <c r="C98" s="100">
        <v>53.5</v>
      </c>
      <c r="D98" s="100">
        <v>31.38</v>
      </c>
      <c r="E98" s="100">
        <v>5.69</v>
      </c>
      <c r="F98" s="100">
        <v>12.57</v>
      </c>
      <c r="G98" s="100">
        <v>38.119999999999997</v>
      </c>
      <c r="H98" s="100">
        <v>10.65</v>
      </c>
      <c r="I98" s="100">
        <v>3.62</v>
      </c>
      <c r="J98" s="100">
        <v>0.74</v>
      </c>
      <c r="K98" s="100">
        <v>246.22</v>
      </c>
      <c r="L98" s="100">
        <v>29.09</v>
      </c>
      <c r="M98" s="100">
        <v>40.369999999999997</v>
      </c>
      <c r="N98" s="100">
        <v>0</v>
      </c>
      <c r="O98" s="100">
        <v>0</v>
      </c>
      <c r="P98" s="100">
        <v>0.4</v>
      </c>
      <c r="Q98" s="100">
        <v>4.5</v>
      </c>
    </row>
    <row r="99" spans="1:22" customFormat="1">
      <c r="A99" s="100" t="s">
        <v>2344</v>
      </c>
      <c r="B99" s="100">
        <v>5.87</v>
      </c>
      <c r="C99" s="100">
        <v>50.36</v>
      </c>
      <c r="D99" s="100">
        <v>29.98</v>
      </c>
      <c r="E99" s="100">
        <v>5.55</v>
      </c>
      <c r="F99" s="100">
        <v>12.17</v>
      </c>
      <c r="G99" s="100">
        <v>38.119999999999997</v>
      </c>
      <c r="H99" s="100">
        <v>10.65</v>
      </c>
      <c r="I99" s="100">
        <v>3.62</v>
      </c>
      <c r="J99" s="100">
        <v>0.61</v>
      </c>
      <c r="K99" s="100">
        <v>237.53</v>
      </c>
      <c r="L99" s="100">
        <v>28.9</v>
      </c>
      <c r="M99" s="100">
        <v>41.09</v>
      </c>
      <c r="N99" s="100">
        <v>0</v>
      </c>
      <c r="O99" s="100">
        <v>0</v>
      </c>
      <c r="P99" s="100">
        <v>0.4</v>
      </c>
      <c r="Q99" s="100">
        <v>4.5</v>
      </c>
    </row>
    <row r="100" spans="1:22" customFormat="1">
      <c r="A100" s="100" t="s">
        <v>2345</v>
      </c>
      <c r="B100" s="100">
        <v>6.12</v>
      </c>
      <c r="C100" s="100">
        <v>50.5</v>
      </c>
      <c r="D100" s="100">
        <v>30.25</v>
      </c>
      <c r="E100" s="100">
        <v>5.04</v>
      </c>
      <c r="F100" s="100">
        <v>11.63</v>
      </c>
      <c r="G100" s="100">
        <v>38.119999999999997</v>
      </c>
      <c r="H100" s="100">
        <v>10.65</v>
      </c>
      <c r="I100" s="100">
        <v>3.6</v>
      </c>
      <c r="J100" s="100">
        <v>0.51</v>
      </c>
      <c r="K100" s="100">
        <v>242.85</v>
      </c>
      <c r="L100" s="100">
        <v>28.76</v>
      </c>
      <c r="M100" s="100">
        <v>41.82</v>
      </c>
      <c r="N100" s="100">
        <v>0</v>
      </c>
      <c r="O100" s="100">
        <v>0</v>
      </c>
      <c r="P100" s="100">
        <v>0.38</v>
      </c>
      <c r="Q100" s="100">
        <v>4.54</v>
      </c>
    </row>
    <row r="101" spans="1:22" customFormat="1">
      <c r="A101" s="100" t="s">
        <v>2346</v>
      </c>
      <c r="B101" s="100">
        <v>6.1</v>
      </c>
      <c r="C101" s="100">
        <v>50.61</v>
      </c>
      <c r="D101" s="100">
        <v>30.29</v>
      </c>
      <c r="E101" s="100">
        <v>5.61</v>
      </c>
      <c r="F101" s="100">
        <v>11.8</v>
      </c>
      <c r="G101" s="100">
        <v>27.55</v>
      </c>
      <c r="H101" s="100">
        <v>10.16</v>
      </c>
      <c r="I101" s="100">
        <v>3.53</v>
      </c>
      <c r="J101" s="100">
        <v>0.45</v>
      </c>
      <c r="K101" s="100">
        <v>234.75</v>
      </c>
      <c r="L101" s="100">
        <v>28.55</v>
      </c>
      <c r="M101" s="100">
        <v>42.89</v>
      </c>
      <c r="N101" s="100">
        <v>0</v>
      </c>
      <c r="O101" s="100">
        <v>0</v>
      </c>
      <c r="P101" s="100">
        <v>0.38</v>
      </c>
      <c r="Q101" s="100">
        <v>4.55</v>
      </c>
    </row>
    <row r="102" spans="1:22" customFormat="1">
      <c r="A102" s="100" t="s">
        <v>2347</v>
      </c>
      <c r="B102" s="100">
        <v>6.07</v>
      </c>
      <c r="C102" s="100">
        <v>49.88</v>
      </c>
      <c r="D102" s="100">
        <v>29.88</v>
      </c>
      <c r="E102" s="100">
        <v>5.5</v>
      </c>
      <c r="F102" s="100">
        <v>11.58</v>
      </c>
      <c r="G102" s="100">
        <v>27.19</v>
      </c>
      <c r="H102" s="100">
        <v>10.16</v>
      </c>
      <c r="I102" s="100">
        <v>3.46</v>
      </c>
      <c r="J102" s="100">
        <v>0.47</v>
      </c>
      <c r="K102" s="100">
        <v>228.02</v>
      </c>
      <c r="L102" s="100">
        <v>28.33</v>
      </c>
      <c r="M102" s="100">
        <v>43.4</v>
      </c>
      <c r="N102" s="100">
        <v>0</v>
      </c>
      <c r="O102" s="100">
        <v>0</v>
      </c>
      <c r="P102" s="100">
        <v>0.38</v>
      </c>
      <c r="Q102" s="100">
        <v>4.57</v>
      </c>
    </row>
    <row r="103" spans="1:22" customFormat="1">
      <c r="A103" s="100" t="s">
        <v>2348</v>
      </c>
      <c r="B103" s="100">
        <v>6.24</v>
      </c>
      <c r="C103" s="100">
        <v>51.48</v>
      </c>
      <c r="D103" s="100">
        <v>30.86</v>
      </c>
      <c r="E103" s="100">
        <v>5.52</v>
      </c>
      <c r="F103" s="100">
        <v>12.48</v>
      </c>
      <c r="G103" s="100">
        <v>27.19</v>
      </c>
      <c r="H103" s="100">
        <v>10.16</v>
      </c>
      <c r="I103" s="100">
        <v>3.45</v>
      </c>
      <c r="J103" s="100">
        <v>0.37</v>
      </c>
      <c r="K103" s="100">
        <v>234.46</v>
      </c>
      <c r="L103" s="100">
        <v>28.08</v>
      </c>
      <c r="M103" s="100">
        <v>44.28</v>
      </c>
      <c r="N103" s="100">
        <v>0</v>
      </c>
      <c r="O103" s="100">
        <v>0</v>
      </c>
      <c r="P103" s="100">
        <v>0.37</v>
      </c>
      <c r="Q103" s="100">
        <v>4.55</v>
      </c>
    </row>
    <row r="104" spans="1:22" customFormat="1">
      <c r="A104" s="100" t="s">
        <v>2349</v>
      </c>
      <c r="B104" s="100">
        <v>6.36</v>
      </c>
      <c r="C104" s="100">
        <v>51.36</v>
      </c>
      <c r="D104" s="100">
        <v>30.89</v>
      </c>
      <c r="E104" s="100">
        <v>5.48</v>
      </c>
      <c r="F104" s="100">
        <v>14.47</v>
      </c>
      <c r="G104" s="100">
        <v>27.19</v>
      </c>
      <c r="H104" s="100">
        <v>10.16</v>
      </c>
      <c r="I104" s="100">
        <v>3.49</v>
      </c>
      <c r="J104" s="100">
        <v>0.33</v>
      </c>
      <c r="K104" s="100">
        <v>229.54</v>
      </c>
      <c r="L104" s="100">
        <v>27.91</v>
      </c>
      <c r="M104" s="100">
        <v>44.77</v>
      </c>
      <c r="N104" s="100">
        <v>0</v>
      </c>
      <c r="O104" s="100">
        <v>0</v>
      </c>
      <c r="P104" s="100">
        <v>0.36</v>
      </c>
      <c r="Q104" s="100">
        <v>4.57</v>
      </c>
    </row>
    <row r="106" spans="1:22">
      <c r="A106" s="157" t="s">
        <v>48</v>
      </c>
      <c r="B106" s="158">
        <f>MIN(B9:B104)</f>
        <v>3.33</v>
      </c>
      <c r="C106" s="158">
        <f>MIN(C9:C104)</f>
        <v>38.659999999999997</v>
      </c>
      <c r="D106" s="158">
        <f t="shared" ref="D106:Q106" si="0">MIN(D9:D104)</f>
        <v>21.82</v>
      </c>
      <c r="E106" s="158">
        <f t="shared" si="0"/>
        <v>3.19</v>
      </c>
      <c r="F106" s="158">
        <f t="shared" si="0"/>
        <v>7.1</v>
      </c>
      <c r="G106" s="158">
        <f t="shared" si="0"/>
        <v>25.38</v>
      </c>
      <c r="H106" s="158">
        <f t="shared" si="0"/>
        <v>10.16</v>
      </c>
      <c r="I106" s="158">
        <f t="shared" si="0"/>
        <v>3.45</v>
      </c>
      <c r="J106" s="158">
        <f t="shared" si="0"/>
        <v>0.06</v>
      </c>
      <c r="K106" s="158">
        <f t="shared" si="0"/>
        <v>185.92</v>
      </c>
      <c r="L106" s="158">
        <f t="shared" si="0"/>
        <v>26.69</v>
      </c>
      <c r="M106" s="158">
        <f t="shared" si="0"/>
        <v>17.45</v>
      </c>
      <c r="N106" s="158">
        <f t="shared" si="0"/>
        <v>0</v>
      </c>
      <c r="O106" s="158">
        <f t="shared" si="0"/>
        <v>0</v>
      </c>
      <c r="P106" s="158">
        <f t="shared" si="0"/>
        <v>0.36</v>
      </c>
      <c r="Q106" s="158">
        <f t="shared" si="0"/>
        <v>4.47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15.57</v>
      </c>
      <c r="C107" s="157">
        <f t="shared" ref="C107:Q107" si="1">MAX(C9:C104)</f>
        <v>55.99</v>
      </c>
      <c r="D107" s="157">
        <f t="shared" si="1"/>
        <v>40.119999999999997</v>
      </c>
      <c r="E107" s="157">
        <f t="shared" si="1"/>
        <v>21.96</v>
      </c>
      <c r="F107" s="157">
        <f t="shared" si="1"/>
        <v>48.22</v>
      </c>
      <c r="G107" s="157">
        <f t="shared" si="1"/>
        <v>54.53</v>
      </c>
      <c r="H107" s="157">
        <f t="shared" si="1"/>
        <v>17.22</v>
      </c>
      <c r="I107" s="157">
        <f t="shared" si="1"/>
        <v>5.66</v>
      </c>
      <c r="J107" s="157">
        <f t="shared" si="1"/>
        <v>1.79</v>
      </c>
      <c r="K107" s="157">
        <f t="shared" si="1"/>
        <v>302.10000000000002</v>
      </c>
      <c r="L107" s="157">
        <f t="shared" si="1"/>
        <v>40.909999999999997</v>
      </c>
      <c r="M107" s="157">
        <f t="shared" si="1"/>
        <v>61.27</v>
      </c>
      <c r="N107" s="157">
        <f t="shared" si="1"/>
        <v>848.2</v>
      </c>
      <c r="O107" s="157">
        <f t="shared" si="1"/>
        <v>0</v>
      </c>
      <c r="P107" s="157">
        <f t="shared" si="1"/>
        <v>0.59</v>
      </c>
      <c r="Q107" s="157">
        <f t="shared" si="1"/>
        <v>5.12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8.1580208333333335</v>
      </c>
      <c r="C108" s="158">
        <f t="shared" ref="C108:Q108" si="2">AVERAGE(C9:C104)</f>
        <v>50.970416666666658</v>
      </c>
      <c r="D108" s="158">
        <f t="shared" si="2"/>
        <v>32.127604166666679</v>
      </c>
      <c r="E108" s="158">
        <f t="shared" si="2"/>
        <v>7.7941666666666656</v>
      </c>
      <c r="F108" s="158">
        <f t="shared" si="2"/>
        <v>18.223541666666666</v>
      </c>
      <c r="G108" s="158">
        <f t="shared" si="2"/>
        <v>39.732395833333349</v>
      </c>
      <c r="H108" s="158">
        <f t="shared" si="2"/>
        <v>13.706666666666676</v>
      </c>
      <c r="I108" s="158">
        <f t="shared" si="2"/>
        <v>4.3795833333333318</v>
      </c>
      <c r="J108" s="158">
        <f t="shared" si="2"/>
        <v>0.77093749999999994</v>
      </c>
      <c r="K108" s="158">
        <f t="shared" si="2"/>
        <v>247.20458333333332</v>
      </c>
      <c r="L108" s="158">
        <f t="shared" si="2"/>
        <v>33.126249999999992</v>
      </c>
      <c r="M108" s="158">
        <f t="shared" si="2"/>
        <v>38.96041666666666</v>
      </c>
      <c r="N108" s="158">
        <f t="shared" si="2"/>
        <v>182.04687499999997</v>
      </c>
      <c r="O108" s="158">
        <f t="shared" si="2"/>
        <v>0</v>
      </c>
      <c r="P108" s="158">
        <f t="shared" si="2"/>
        <v>0.47260416666666666</v>
      </c>
      <c r="Q108" s="158">
        <f t="shared" si="2"/>
        <v>4.7442708333333323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4.1255350197957767</v>
      </c>
      <c r="C109" s="158">
        <f t="shared" ref="C109:Q109" si="3">STDEV(C9:C104)</f>
        <v>3.4230321789672997</v>
      </c>
      <c r="D109" s="158">
        <f t="shared" si="3"/>
        <v>4.5202179138880556</v>
      </c>
      <c r="E109" s="158">
        <f t="shared" si="3"/>
        <v>3.6067818187020033</v>
      </c>
      <c r="F109" s="158">
        <f t="shared" si="3"/>
        <v>10.01254696859124</v>
      </c>
      <c r="G109" s="158">
        <f t="shared" si="3"/>
        <v>8.6709886214459519</v>
      </c>
      <c r="H109" s="158">
        <f t="shared" si="3"/>
        <v>1.8672775942625617</v>
      </c>
      <c r="I109" s="158">
        <f t="shared" si="3"/>
        <v>0.48683276425368771</v>
      </c>
      <c r="J109" s="158">
        <f t="shared" si="3"/>
        <v>0.52008719537157777</v>
      </c>
      <c r="K109" s="158">
        <f t="shared" si="3"/>
        <v>31.156947114709606</v>
      </c>
      <c r="L109" s="158">
        <f t="shared" si="3"/>
        <v>5.0979389540232871</v>
      </c>
      <c r="M109" s="158">
        <f t="shared" si="3"/>
        <v>14.417385843536433</v>
      </c>
      <c r="N109" s="158">
        <f t="shared" si="3"/>
        <v>273.87338255906167</v>
      </c>
      <c r="O109" s="158">
        <f t="shared" si="3"/>
        <v>0</v>
      </c>
      <c r="P109" s="158">
        <f t="shared" si="3"/>
        <v>5.3473944302794417E-2</v>
      </c>
      <c r="Q109" s="158">
        <f t="shared" si="3"/>
        <v>0.22414161309158595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G110" sqref="G110:H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23/05/2023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2350</v>
      </c>
      <c r="B9" s="100">
        <v>7.38</v>
      </c>
      <c r="C9" s="100">
        <v>53.8</v>
      </c>
      <c r="D9" s="100">
        <v>32.979999999999997</v>
      </c>
      <c r="E9" s="100">
        <v>5.43</v>
      </c>
      <c r="F9" s="100">
        <v>12.66</v>
      </c>
      <c r="G9" s="100">
        <v>24.49</v>
      </c>
      <c r="H9" s="100">
        <v>7.48</v>
      </c>
      <c r="I9" s="100">
        <v>3.44</v>
      </c>
      <c r="J9" s="100">
        <v>0.28000000000000003</v>
      </c>
      <c r="K9" s="100">
        <v>209.45</v>
      </c>
      <c r="L9" s="100">
        <v>27.79</v>
      </c>
      <c r="M9" s="100">
        <v>45.17</v>
      </c>
      <c r="N9" s="100">
        <v>0</v>
      </c>
      <c r="O9" s="100">
        <v>0</v>
      </c>
      <c r="P9" s="100">
        <v>0.36</v>
      </c>
      <c r="Q9" s="100">
        <v>4.5599999999999996</v>
      </c>
    </row>
    <row r="10" spans="1:21" customFormat="1">
      <c r="A10" s="100" t="s">
        <v>2351</v>
      </c>
      <c r="B10" s="100">
        <v>7.02</v>
      </c>
      <c r="C10" s="100">
        <v>50.25</v>
      </c>
      <c r="D10" s="100">
        <v>30.84</v>
      </c>
      <c r="E10" s="100">
        <v>5.07</v>
      </c>
      <c r="F10" s="100">
        <v>11.41</v>
      </c>
      <c r="G10" s="100">
        <v>24.39</v>
      </c>
      <c r="H10" s="100">
        <v>7.48</v>
      </c>
      <c r="I10" s="100">
        <v>3.32</v>
      </c>
      <c r="J10" s="100">
        <v>0.15</v>
      </c>
      <c r="K10" s="100">
        <v>222.22</v>
      </c>
      <c r="L10" s="100">
        <v>27.79</v>
      </c>
      <c r="M10" s="100">
        <v>45.51</v>
      </c>
      <c r="N10" s="100">
        <v>0</v>
      </c>
      <c r="O10" s="100">
        <v>0</v>
      </c>
      <c r="P10" s="100">
        <v>0.36</v>
      </c>
      <c r="Q10" s="100">
        <v>4.5599999999999996</v>
      </c>
    </row>
    <row r="11" spans="1:21" customFormat="1">
      <c r="A11" s="100" t="s">
        <v>2352</v>
      </c>
      <c r="B11" s="100">
        <v>7.11</v>
      </c>
      <c r="C11" s="100">
        <v>51.38</v>
      </c>
      <c r="D11" s="100">
        <v>31.5</v>
      </c>
      <c r="E11" s="100">
        <v>5.41</v>
      </c>
      <c r="F11" s="100">
        <v>9.89</v>
      </c>
      <c r="G11" s="100">
        <v>24.39</v>
      </c>
      <c r="H11" s="100">
        <v>7.48</v>
      </c>
      <c r="I11" s="100">
        <v>3.26</v>
      </c>
      <c r="J11" s="100">
        <v>0.25</v>
      </c>
      <c r="K11" s="100">
        <v>234</v>
      </c>
      <c r="L11" s="100">
        <v>27.75</v>
      </c>
      <c r="M11" s="100">
        <v>45.69</v>
      </c>
      <c r="N11" s="100">
        <v>0</v>
      </c>
      <c r="O11" s="100">
        <v>0</v>
      </c>
      <c r="P11" s="100">
        <v>0.36</v>
      </c>
      <c r="Q11" s="100">
        <v>4.5599999999999996</v>
      </c>
    </row>
    <row r="12" spans="1:21" customFormat="1">
      <c r="A12" s="100" t="s">
        <v>2353</v>
      </c>
      <c r="B12" s="100">
        <v>7.45</v>
      </c>
      <c r="C12" s="100">
        <v>53.35</v>
      </c>
      <c r="D12" s="100">
        <v>32.799999999999997</v>
      </c>
      <c r="E12" s="100">
        <v>4.9400000000000004</v>
      </c>
      <c r="F12" s="100">
        <v>9.48</v>
      </c>
      <c r="G12" s="100">
        <v>24.39</v>
      </c>
      <c r="H12" s="100">
        <v>7.48</v>
      </c>
      <c r="I12" s="100">
        <v>3.29</v>
      </c>
      <c r="J12" s="100">
        <v>0.25</v>
      </c>
      <c r="K12" s="100">
        <v>205.15</v>
      </c>
      <c r="L12" s="100">
        <v>27.54</v>
      </c>
      <c r="M12" s="100">
        <v>46.43</v>
      </c>
      <c r="N12" s="100">
        <v>0</v>
      </c>
      <c r="O12" s="100">
        <v>0</v>
      </c>
      <c r="P12" s="100">
        <v>0.36</v>
      </c>
      <c r="Q12" s="100">
        <v>4.59</v>
      </c>
    </row>
    <row r="13" spans="1:21" customFormat="1">
      <c r="A13" s="70">
        <v>45069.052083333336</v>
      </c>
      <c r="B13" s="100">
        <v>7.67</v>
      </c>
      <c r="C13" s="100">
        <v>53.69</v>
      </c>
      <c r="D13" s="100">
        <v>33.159999999999997</v>
      </c>
      <c r="E13" s="100">
        <v>5.3</v>
      </c>
      <c r="F13" s="100">
        <v>10.1</v>
      </c>
      <c r="G13" s="100">
        <v>17.54</v>
      </c>
      <c r="H13" s="100">
        <v>7.99</v>
      </c>
      <c r="I13" s="100">
        <v>3.29</v>
      </c>
      <c r="J13" s="100">
        <v>0.32</v>
      </c>
      <c r="K13" s="100">
        <v>205.84</v>
      </c>
      <c r="L13" s="100">
        <v>27.32</v>
      </c>
      <c r="M13" s="100">
        <v>47.25</v>
      </c>
      <c r="N13" s="100">
        <v>0</v>
      </c>
      <c r="O13" s="100">
        <v>0</v>
      </c>
      <c r="P13" s="100">
        <v>0.36</v>
      </c>
      <c r="Q13" s="100">
        <v>4.6100000000000003</v>
      </c>
    </row>
    <row r="14" spans="1:21" customFormat="1">
      <c r="A14" s="100" t="s">
        <v>2354</v>
      </c>
      <c r="B14" s="100">
        <v>7.93</v>
      </c>
      <c r="C14" s="100">
        <v>55.39</v>
      </c>
      <c r="D14" s="100">
        <v>34.25</v>
      </c>
      <c r="E14" s="100">
        <v>4.91</v>
      </c>
      <c r="F14" s="100">
        <v>8.15</v>
      </c>
      <c r="G14" s="100">
        <v>17.3</v>
      </c>
      <c r="H14" s="100">
        <v>7.99</v>
      </c>
      <c r="I14" s="100">
        <v>3.3</v>
      </c>
      <c r="J14" s="100">
        <v>0.3</v>
      </c>
      <c r="K14" s="100">
        <v>217.66</v>
      </c>
      <c r="L14" s="100">
        <v>27.04</v>
      </c>
      <c r="M14" s="100">
        <v>48.51</v>
      </c>
      <c r="N14" s="100">
        <v>0</v>
      </c>
      <c r="O14" s="100">
        <v>0</v>
      </c>
      <c r="P14" s="100">
        <v>0.36</v>
      </c>
      <c r="Q14" s="100">
        <v>4.6100000000000003</v>
      </c>
    </row>
    <row r="15" spans="1:21" customFormat="1">
      <c r="A15" s="100" t="s">
        <v>2355</v>
      </c>
      <c r="B15" s="100">
        <v>8.17</v>
      </c>
      <c r="C15" s="100">
        <v>55.28</v>
      </c>
      <c r="D15" s="100">
        <v>34.39</v>
      </c>
      <c r="E15" s="100">
        <v>5.28</v>
      </c>
      <c r="F15" s="100">
        <v>8.32</v>
      </c>
      <c r="G15" s="100">
        <v>17.3</v>
      </c>
      <c r="H15" s="100">
        <v>7.99</v>
      </c>
      <c r="I15" s="100">
        <v>3.3</v>
      </c>
      <c r="J15" s="100">
        <v>0.18</v>
      </c>
      <c r="K15" s="100">
        <v>190.12</v>
      </c>
      <c r="L15" s="100">
        <v>26.89</v>
      </c>
      <c r="M15" s="100">
        <v>49.12</v>
      </c>
      <c r="N15" s="100">
        <v>0</v>
      </c>
      <c r="O15" s="100">
        <v>0</v>
      </c>
      <c r="P15" s="100">
        <v>0.35</v>
      </c>
      <c r="Q15" s="100">
        <v>4.63</v>
      </c>
    </row>
    <row r="16" spans="1:21" customFormat="1">
      <c r="A16" s="100" t="s">
        <v>2356</v>
      </c>
      <c r="B16" s="100">
        <v>8.2899999999999991</v>
      </c>
      <c r="C16" s="100">
        <v>53.64</v>
      </c>
      <c r="D16" s="100">
        <v>33.630000000000003</v>
      </c>
      <c r="E16" s="100">
        <v>5.28</v>
      </c>
      <c r="F16" s="100">
        <v>10.35</v>
      </c>
      <c r="G16" s="100">
        <v>17.3</v>
      </c>
      <c r="H16" s="100">
        <v>7.99</v>
      </c>
      <c r="I16" s="100">
        <v>3.31</v>
      </c>
      <c r="J16" s="100">
        <v>0.19</v>
      </c>
      <c r="K16" s="100">
        <v>199.96</v>
      </c>
      <c r="L16" s="100">
        <v>26.77</v>
      </c>
      <c r="M16" s="100">
        <v>49.71</v>
      </c>
      <c r="N16" s="100">
        <v>0</v>
      </c>
      <c r="O16" s="100">
        <v>0</v>
      </c>
      <c r="P16" s="100">
        <v>0.35</v>
      </c>
      <c r="Q16" s="100">
        <v>4.6500000000000004</v>
      </c>
    </row>
    <row r="17" spans="1:17" customFormat="1">
      <c r="A17" s="100" t="s">
        <v>2357</v>
      </c>
      <c r="B17" s="100">
        <v>8.57</v>
      </c>
      <c r="C17" s="100">
        <v>53.89</v>
      </c>
      <c r="D17" s="100">
        <v>33.979999999999997</v>
      </c>
      <c r="E17" s="100">
        <v>4.55</v>
      </c>
      <c r="F17" s="100">
        <v>8.6300000000000008</v>
      </c>
      <c r="G17" s="100">
        <v>15.97</v>
      </c>
      <c r="H17" s="100">
        <v>6.58</v>
      </c>
      <c r="I17" s="100">
        <v>3.33</v>
      </c>
      <c r="J17" s="100">
        <v>0.14000000000000001</v>
      </c>
      <c r="K17" s="100">
        <v>224.35</v>
      </c>
      <c r="L17" s="100">
        <v>26.82</v>
      </c>
      <c r="M17" s="100">
        <v>50.09</v>
      </c>
      <c r="N17" s="100">
        <v>0</v>
      </c>
      <c r="O17" s="100">
        <v>0</v>
      </c>
      <c r="P17" s="100">
        <v>0.36</v>
      </c>
      <c r="Q17" s="100">
        <v>4.6500000000000004</v>
      </c>
    </row>
    <row r="18" spans="1:17" customFormat="1">
      <c r="A18" s="100" t="s">
        <v>2358</v>
      </c>
      <c r="B18" s="100">
        <v>8.76</v>
      </c>
      <c r="C18" s="100">
        <v>53.29</v>
      </c>
      <c r="D18" s="100">
        <v>33.83</v>
      </c>
      <c r="E18" s="100">
        <v>5.37</v>
      </c>
      <c r="F18" s="100">
        <v>8.09</v>
      </c>
      <c r="G18" s="100">
        <v>15.91</v>
      </c>
      <c r="H18" s="100">
        <v>6.58</v>
      </c>
      <c r="I18" s="100">
        <v>3.29</v>
      </c>
      <c r="J18" s="100">
        <v>0.15</v>
      </c>
      <c r="K18" s="100">
        <v>128.38</v>
      </c>
      <c r="L18" s="100">
        <v>26.72</v>
      </c>
      <c r="M18" s="100">
        <v>50.75</v>
      </c>
      <c r="N18" s="100">
        <v>0</v>
      </c>
      <c r="O18" s="100">
        <v>0</v>
      </c>
      <c r="P18" s="100">
        <v>0.35</v>
      </c>
      <c r="Q18" s="100">
        <v>4.66</v>
      </c>
    </row>
    <row r="19" spans="1:17" customFormat="1">
      <c r="A19" s="100" t="s">
        <v>2359</v>
      </c>
      <c r="B19" s="100">
        <v>9.34</v>
      </c>
      <c r="C19" s="100">
        <v>55.93</v>
      </c>
      <c r="D19" s="100">
        <v>35.659999999999997</v>
      </c>
      <c r="E19" s="100">
        <v>5.41</v>
      </c>
      <c r="F19" s="100">
        <v>6.66</v>
      </c>
      <c r="G19" s="100">
        <v>15.91</v>
      </c>
      <c r="H19" s="100">
        <v>6.58</v>
      </c>
      <c r="I19" s="100">
        <v>3.26</v>
      </c>
      <c r="J19" s="100">
        <v>0.04</v>
      </c>
      <c r="K19" s="100">
        <v>147.78</v>
      </c>
      <c r="L19" s="100">
        <v>26.67</v>
      </c>
      <c r="M19" s="100">
        <v>51.68</v>
      </c>
      <c r="N19" s="100">
        <v>0</v>
      </c>
      <c r="O19" s="100">
        <v>0</v>
      </c>
      <c r="P19" s="100">
        <v>0.36</v>
      </c>
      <c r="Q19" s="100">
        <v>4.68</v>
      </c>
    </row>
    <row r="20" spans="1:17" customFormat="1">
      <c r="A20" s="100" t="s">
        <v>2360</v>
      </c>
      <c r="B20" s="100">
        <v>9.6999999999999993</v>
      </c>
      <c r="C20" s="100">
        <v>56.89</v>
      </c>
      <c r="D20" s="100">
        <v>36.46</v>
      </c>
      <c r="E20" s="100">
        <v>5.04</v>
      </c>
      <c r="F20" s="100">
        <v>6.2</v>
      </c>
      <c r="G20" s="100">
        <v>15.91</v>
      </c>
      <c r="H20" s="100">
        <v>6.58</v>
      </c>
      <c r="I20" s="100">
        <v>3.28</v>
      </c>
      <c r="J20" s="100">
        <v>0.17</v>
      </c>
      <c r="K20" s="100">
        <v>118</v>
      </c>
      <c r="L20" s="100">
        <v>26.54</v>
      </c>
      <c r="M20" s="100">
        <v>52.17</v>
      </c>
      <c r="N20" s="100">
        <v>0</v>
      </c>
      <c r="O20" s="100">
        <v>0</v>
      </c>
      <c r="P20" s="100">
        <v>0.35</v>
      </c>
      <c r="Q20" s="100">
        <v>4.68</v>
      </c>
    </row>
    <row r="21" spans="1:17" customFormat="1">
      <c r="A21" s="100" t="s">
        <v>2361</v>
      </c>
      <c r="B21" s="100">
        <v>10.28</v>
      </c>
      <c r="C21" s="100">
        <v>58.51</v>
      </c>
      <c r="D21" s="100">
        <v>37.770000000000003</v>
      </c>
      <c r="E21" s="100">
        <v>5.46</v>
      </c>
      <c r="F21" s="100">
        <v>5.0999999999999996</v>
      </c>
      <c r="G21" s="100">
        <v>16.2</v>
      </c>
      <c r="H21" s="100">
        <v>7.78</v>
      </c>
      <c r="I21" s="100">
        <v>3.27</v>
      </c>
      <c r="J21" s="100">
        <v>0.12</v>
      </c>
      <c r="K21" s="100">
        <v>81.44</v>
      </c>
      <c r="L21" s="100">
        <v>26.5</v>
      </c>
      <c r="M21" s="100">
        <v>52.31</v>
      </c>
      <c r="N21" s="100">
        <v>0</v>
      </c>
      <c r="O21" s="100">
        <v>0</v>
      </c>
      <c r="P21" s="100">
        <v>0.35</v>
      </c>
      <c r="Q21" s="100">
        <v>4.75</v>
      </c>
    </row>
    <row r="22" spans="1:17" customFormat="1">
      <c r="A22" s="100" t="s">
        <v>2362</v>
      </c>
      <c r="B22" s="100">
        <v>10.8</v>
      </c>
      <c r="C22" s="100">
        <v>57.9</v>
      </c>
      <c r="D22" s="100">
        <v>37.869999999999997</v>
      </c>
      <c r="E22" s="100">
        <v>5.0199999999999996</v>
      </c>
      <c r="F22" s="100">
        <v>5.49</v>
      </c>
      <c r="G22" s="100">
        <v>16.21</v>
      </c>
      <c r="H22" s="100">
        <v>7.78</v>
      </c>
      <c r="I22" s="100">
        <v>3.3</v>
      </c>
      <c r="J22" s="100">
        <v>0.33</v>
      </c>
      <c r="K22" s="100">
        <v>73.16</v>
      </c>
      <c r="L22" s="100">
        <v>26.41</v>
      </c>
      <c r="M22" s="100">
        <v>51.79</v>
      </c>
      <c r="N22" s="100">
        <v>0</v>
      </c>
      <c r="O22" s="100">
        <v>0</v>
      </c>
      <c r="P22" s="100">
        <v>0.35</v>
      </c>
      <c r="Q22" s="100">
        <v>4.78</v>
      </c>
    </row>
    <row r="23" spans="1:17" customFormat="1">
      <c r="A23" s="100" t="s">
        <v>2363</v>
      </c>
      <c r="B23" s="100">
        <v>11.51</v>
      </c>
      <c r="C23" s="100">
        <v>58.75</v>
      </c>
      <c r="D23" s="100">
        <v>38.89</v>
      </c>
      <c r="E23" s="100">
        <v>5.26</v>
      </c>
      <c r="F23" s="100">
        <v>4.87</v>
      </c>
      <c r="G23" s="100">
        <v>16.21</v>
      </c>
      <c r="H23" s="100">
        <v>7.78</v>
      </c>
      <c r="I23" s="100">
        <v>3.34</v>
      </c>
      <c r="J23" s="100">
        <v>0.17</v>
      </c>
      <c r="K23" s="100">
        <v>122.94</v>
      </c>
      <c r="L23" s="100">
        <v>26.34</v>
      </c>
      <c r="M23" s="100">
        <v>53.38</v>
      </c>
      <c r="N23" s="100">
        <v>0</v>
      </c>
      <c r="O23" s="100">
        <v>0</v>
      </c>
      <c r="P23" s="100">
        <v>0.35</v>
      </c>
      <c r="Q23" s="100">
        <v>4.79</v>
      </c>
    </row>
    <row r="24" spans="1:17" customFormat="1">
      <c r="A24" s="100" t="s">
        <v>2364</v>
      </c>
      <c r="B24" s="100">
        <v>12.13</v>
      </c>
      <c r="C24" s="100">
        <v>59.19</v>
      </c>
      <c r="D24" s="100">
        <v>39.61</v>
      </c>
      <c r="E24" s="100">
        <v>4.92</v>
      </c>
      <c r="F24" s="100">
        <v>4.6900000000000004</v>
      </c>
      <c r="G24" s="100">
        <v>16.21</v>
      </c>
      <c r="H24" s="100">
        <v>7.78</v>
      </c>
      <c r="I24" s="100">
        <v>3.26</v>
      </c>
      <c r="J24" s="100">
        <v>0.12</v>
      </c>
      <c r="K24" s="100">
        <v>102.05</v>
      </c>
      <c r="L24" s="100">
        <v>25.99</v>
      </c>
      <c r="M24" s="100">
        <v>54.41</v>
      </c>
      <c r="N24" s="100">
        <v>0</v>
      </c>
      <c r="O24" s="100">
        <v>0</v>
      </c>
      <c r="P24" s="100">
        <v>0.35</v>
      </c>
      <c r="Q24" s="100">
        <v>4.83</v>
      </c>
    </row>
    <row r="25" spans="1:17" customFormat="1">
      <c r="A25" s="100" t="s">
        <v>2365</v>
      </c>
      <c r="B25" s="100">
        <v>12.71</v>
      </c>
      <c r="C25" s="100">
        <v>59.5</v>
      </c>
      <c r="D25" s="100">
        <v>40.24</v>
      </c>
      <c r="E25" s="100">
        <v>5.12</v>
      </c>
      <c r="F25" s="100">
        <v>4.84</v>
      </c>
      <c r="G25" s="100">
        <v>18.53</v>
      </c>
      <c r="H25" s="100">
        <v>6.81</v>
      </c>
      <c r="I25" s="100">
        <v>3.25</v>
      </c>
      <c r="J25" s="100">
        <v>0.34</v>
      </c>
      <c r="K25" s="100">
        <v>95.4</v>
      </c>
      <c r="L25" s="100">
        <v>26.14</v>
      </c>
      <c r="M25" s="100">
        <v>53.09</v>
      </c>
      <c r="N25" s="100">
        <v>0</v>
      </c>
      <c r="O25" s="100">
        <v>0</v>
      </c>
      <c r="P25" s="100">
        <v>0.35</v>
      </c>
      <c r="Q25" s="100">
        <v>4.92</v>
      </c>
    </row>
    <row r="26" spans="1:17" customFormat="1">
      <c r="A26" s="100" t="s">
        <v>2366</v>
      </c>
      <c r="B26" s="100">
        <v>13.15</v>
      </c>
      <c r="C26" s="100">
        <v>59.52</v>
      </c>
      <c r="D26" s="100">
        <v>40.590000000000003</v>
      </c>
      <c r="E26" s="100">
        <v>5.41</v>
      </c>
      <c r="F26" s="100">
        <v>4.87</v>
      </c>
      <c r="G26" s="100">
        <v>18.64</v>
      </c>
      <c r="H26" s="100">
        <v>6.81</v>
      </c>
      <c r="I26" s="100">
        <v>3.27</v>
      </c>
      <c r="J26" s="100">
        <v>0.15</v>
      </c>
      <c r="K26" s="100">
        <v>183.91</v>
      </c>
      <c r="L26" s="100">
        <v>26.05</v>
      </c>
      <c r="M26" s="100">
        <v>54.48</v>
      </c>
      <c r="N26" s="100">
        <v>0</v>
      </c>
      <c r="O26" s="100">
        <v>0</v>
      </c>
      <c r="P26" s="100">
        <v>0.35</v>
      </c>
      <c r="Q26" s="100">
        <v>4.8899999999999997</v>
      </c>
    </row>
    <row r="27" spans="1:17" customFormat="1">
      <c r="A27" s="100" t="s">
        <v>2367</v>
      </c>
      <c r="B27" s="100">
        <v>13.6</v>
      </c>
      <c r="C27" s="100">
        <v>60</v>
      </c>
      <c r="D27" s="100">
        <v>41.21</v>
      </c>
      <c r="E27" s="100">
        <v>5.38</v>
      </c>
      <c r="F27" s="100">
        <v>4.3099999999999996</v>
      </c>
      <c r="G27" s="100">
        <v>18.64</v>
      </c>
      <c r="H27" s="100">
        <v>6.81</v>
      </c>
      <c r="I27" s="100">
        <v>3.29</v>
      </c>
      <c r="J27" s="100">
        <v>0.13</v>
      </c>
      <c r="K27" s="100">
        <v>179.82</v>
      </c>
      <c r="L27" s="100">
        <v>25.43</v>
      </c>
      <c r="M27" s="100">
        <v>57.62</v>
      </c>
      <c r="N27" s="100">
        <v>0</v>
      </c>
      <c r="O27" s="100">
        <v>0</v>
      </c>
      <c r="P27" s="100">
        <v>0.36</v>
      </c>
      <c r="Q27" s="100">
        <v>4.92</v>
      </c>
    </row>
    <row r="28" spans="1:17" customFormat="1">
      <c r="A28" s="100" t="s">
        <v>2368</v>
      </c>
      <c r="B28" s="100">
        <v>14.13</v>
      </c>
      <c r="C28" s="100">
        <v>60.05</v>
      </c>
      <c r="D28" s="100">
        <v>41.66</v>
      </c>
      <c r="E28" s="100">
        <v>4.9400000000000004</v>
      </c>
      <c r="F28" s="100">
        <v>4.18</v>
      </c>
      <c r="G28" s="100">
        <v>18.64</v>
      </c>
      <c r="H28" s="100">
        <v>6.81</v>
      </c>
      <c r="I28" s="100">
        <v>3.35</v>
      </c>
      <c r="J28" s="100">
        <v>0.22</v>
      </c>
      <c r="K28" s="100">
        <v>201.19</v>
      </c>
      <c r="L28" s="100">
        <v>24.93</v>
      </c>
      <c r="M28" s="100">
        <v>57.24</v>
      </c>
      <c r="N28" s="100">
        <v>0</v>
      </c>
      <c r="O28" s="100">
        <v>0</v>
      </c>
      <c r="P28" s="100">
        <v>0.36</v>
      </c>
      <c r="Q28" s="100">
        <v>4.96</v>
      </c>
    </row>
    <row r="29" spans="1:17" customFormat="1">
      <c r="A29" s="100" t="s">
        <v>2369</v>
      </c>
      <c r="B29" s="100">
        <v>14.37</v>
      </c>
      <c r="C29" s="100">
        <v>59.09</v>
      </c>
      <c r="D29" s="100">
        <v>41.35</v>
      </c>
      <c r="E29" s="100">
        <v>4.88</v>
      </c>
      <c r="F29" s="100">
        <v>4.38</v>
      </c>
      <c r="G29" s="100">
        <v>28.8</v>
      </c>
      <c r="H29" s="100">
        <v>8.5399999999999991</v>
      </c>
      <c r="I29" s="100">
        <v>3.38</v>
      </c>
      <c r="J29" s="100">
        <v>0.16</v>
      </c>
      <c r="K29" s="100">
        <v>193.37</v>
      </c>
      <c r="L29" s="100">
        <v>24.84</v>
      </c>
      <c r="M29" s="100">
        <v>56.78</v>
      </c>
      <c r="N29" s="100">
        <v>0</v>
      </c>
      <c r="O29" s="100">
        <v>0</v>
      </c>
      <c r="P29" s="100">
        <v>0.37</v>
      </c>
      <c r="Q29" s="100">
        <v>4.9800000000000004</v>
      </c>
    </row>
    <row r="30" spans="1:17" customFormat="1">
      <c r="A30" s="100" t="s">
        <v>2370</v>
      </c>
      <c r="B30" s="100">
        <v>14.96</v>
      </c>
      <c r="C30" s="100">
        <v>59.43</v>
      </c>
      <c r="D30" s="100">
        <v>42</v>
      </c>
      <c r="E30" s="100">
        <v>5.24</v>
      </c>
      <c r="F30" s="100">
        <v>4.22</v>
      </c>
      <c r="G30" s="100">
        <v>29.27</v>
      </c>
      <c r="H30" s="100">
        <v>8.5399999999999991</v>
      </c>
      <c r="I30" s="100">
        <v>3.54</v>
      </c>
      <c r="J30" s="100">
        <v>0.13</v>
      </c>
      <c r="K30" s="100">
        <v>198.55</v>
      </c>
      <c r="L30" s="100">
        <v>24.82</v>
      </c>
      <c r="M30" s="100">
        <v>57.89</v>
      </c>
      <c r="N30" s="100">
        <v>0.3</v>
      </c>
      <c r="O30" s="100">
        <v>0</v>
      </c>
      <c r="P30" s="100">
        <v>0.37</v>
      </c>
      <c r="Q30" s="100">
        <v>4.99</v>
      </c>
    </row>
    <row r="31" spans="1:17" customFormat="1">
      <c r="A31" s="100" t="s">
        <v>2371</v>
      </c>
      <c r="B31" s="100">
        <v>15.43</v>
      </c>
      <c r="C31" s="100">
        <v>59.97</v>
      </c>
      <c r="D31" s="100">
        <v>42.66</v>
      </c>
      <c r="E31" s="100">
        <v>5.44</v>
      </c>
      <c r="F31" s="100">
        <v>4.0599999999999996</v>
      </c>
      <c r="G31" s="100">
        <v>29.27</v>
      </c>
      <c r="H31" s="100">
        <v>8.5399999999999991</v>
      </c>
      <c r="I31" s="100">
        <v>3.87</v>
      </c>
      <c r="J31" s="100">
        <v>0.19</v>
      </c>
      <c r="K31" s="100">
        <v>211.78</v>
      </c>
      <c r="L31" s="100">
        <v>24.7</v>
      </c>
      <c r="M31" s="100">
        <v>58.68</v>
      </c>
      <c r="N31" s="100">
        <v>8.3000000000000007</v>
      </c>
      <c r="O31" s="100">
        <v>0</v>
      </c>
      <c r="P31" s="100">
        <v>0.38</v>
      </c>
      <c r="Q31" s="100">
        <v>5</v>
      </c>
    </row>
    <row r="32" spans="1:17" customFormat="1">
      <c r="A32" s="100" t="s">
        <v>2372</v>
      </c>
      <c r="B32" s="100">
        <v>15.8</v>
      </c>
      <c r="C32" s="100">
        <v>60.16</v>
      </c>
      <c r="D32" s="100">
        <v>43.06</v>
      </c>
      <c r="E32" s="100">
        <v>5.57</v>
      </c>
      <c r="F32" s="100">
        <v>3.85</v>
      </c>
      <c r="G32" s="100">
        <v>29.27</v>
      </c>
      <c r="H32" s="100">
        <v>8.5399999999999991</v>
      </c>
      <c r="I32" s="100">
        <v>4.03</v>
      </c>
      <c r="J32" s="100">
        <v>0.37</v>
      </c>
      <c r="K32" s="100">
        <v>184.63</v>
      </c>
      <c r="L32" s="100">
        <v>24.83</v>
      </c>
      <c r="M32" s="100">
        <v>58.07</v>
      </c>
      <c r="N32" s="100">
        <v>20.3</v>
      </c>
      <c r="O32" s="100">
        <v>0</v>
      </c>
      <c r="P32" s="100">
        <v>0.39</v>
      </c>
      <c r="Q32" s="100">
        <v>5.05</v>
      </c>
    </row>
    <row r="33" spans="1:17" customFormat="1">
      <c r="A33" s="100" t="s">
        <v>2373</v>
      </c>
      <c r="B33" s="100">
        <v>15.71</v>
      </c>
      <c r="C33" s="100">
        <v>58.84</v>
      </c>
      <c r="D33" s="100">
        <v>42.29</v>
      </c>
      <c r="E33" s="100">
        <v>5.58</v>
      </c>
      <c r="F33" s="100">
        <v>4.76</v>
      </c>
      <c r="G33" s="100">
        <v>46.31</v>
      </c>
      <c r="H33" s="100">
        <v>11.69</v>
      </c>
      <c r="I33" s="100">
        <v>4.17</v>
      </c>
      <c r="J33" s="100">
        <v>0.26</v>
      </c>
      <c r="K33" s="100">
        <v>178.39</v>
      </c>
      <c r="L33" s="100">
        <v>25.34</v>
      </c>
      <c r="M33" s="100">
        <v>57.17</v>
      </c>
      <c r="N33" s="100">
        <v>31.5</v>
      </c>
      <c r="O33" s="100">
        <v>0</v>
      </c>
      <c r="P33" s="100">
        <v>0.4</v>
      </c>
      <c r="Q33" s="100">
        <v>5.07</v>
      </c>
    </row>
    <row r="34" spans="1:17" customFormat="1">
      <c r="A34" s="100" t="s">
        <v>2374</v>
      </c>
      <c r="B34" s="100">
        <v>16.07</v>
      </c>
      <c r="C34" s="100">
        <v>58.47</v>
      </c>
      <c r="D34" s="100">
        <v>42.39</v>
      </c>
      <c r="E34" s="100">
        <v>4.97</v>
      </c>
      <c r="F34" s="100">
        <v>4.6500000000000004</v>
      </c>
      <c r="G34" s="100">
        <v>47.1</v>
      </c>
      <c r="H34" s="100">
        <v>11.69</v>
      </c>
      <c r="I34" s="100">
        <v>4.28</v>
      </c>
      <c r="J34" s="100">
        <v>0.23</v>
      </c>
      <c r="K34" s="100">
        <v>173.26</v>
      </c>
      <c r="L34" s="100">
        <v>26.04</v>
      </c>
      <c r="M34" s="100">
        <v>56.11</v>
      </c>
      <c r="N34" s="100">
        <v>42</v>
      </c>
      <c r="O34" s="100">
        <v>0</v>
      </c>
      <c r="P34" s="100">
        <v>0.4</v>
      </c>
      <c r="Q34" s="100">
        <v>5.05</v>
      </c>
    </row>
    <row r="35" spans="1:17" customFormat="1">
      <c r="A35" s="100" t="s">
        <v>2375</v>
      </c>
      <c r="B35" s="100">
        <v>17.18</v>
      </c>
      <c r="C35" s="100">
        <v>58.52</v>
      </c>
      <c r="D35" s="100">
        <v>43.31</v>
      </c>
      <c r="E35" s="100">
        <v>4.8099999999999996</v>
      </c>
      <c r="F35" s="100">
        <v>6.16</v>
      </c>
      <c r="G35" s="100">
        <v>47.1</v>
      </c>
      <c r="H35" s="100">
        <v>11.69</v>
      </c>
      <c r="I35" s="100">
        <v>4.29</v>
      </c>
      <c r="J35" s="100">
        <v>0.09</v>
      </c>
      <c r="K35" s="100">
        <v>7.41</v>
      </c>
      <c r="L35" s="100">
        <v>27.05</v>
      </c>
      <c r="M35" s="100">
        <v>53.53</v>
      </c>
      <c r="N35" s="100">
        <v>52.1</v>
      </c>
      <c r="O35" s="100">
        <v>0</v>
      </c>
      <c r="P35" s="100">
        <v>0.41</v>
      </c>
      <c r="Q35" s="100">
        <v>5.0999999999999996</v>
      </c>
    </row>
    <row r="36" spans="1:17" customFormat="1">
      <c r="A36" s="100" t="s">
        <v>2376</v>
      </c>
      <c r="B36" s="100">
        <v>18.079999999999998</v>
      </c>
      <c r="C36" s="100">
        <v>59</v>
      </c>
      <c r="D36" s="100">
        <v>44.28</v>
      </c>
      <c r="E36" s="100">
        <v>4.74</v>
      </c>
      <c r="F36" s="100">
        <v>5.48</v>
      </c>
      <c r="G36" s="100">
        <v>47.1</v>
      </c>
      <c r="H36" s="100">
        <v>11.69</v>
      </c>
      <c r="I36" s="100">
        <v>4.32</v>
      </c>
      <c r="J36" s="100">
        <v>0.17</v>
      </c>
      <c r="K36" s="100">
        <v>256.44</v>
      </c>
      <c r="L36" s="100">
        <v>28.21</v>
      </c>
      <c r="M36" s="100">
        <v>50.7</v>
      </c>
      <c r="N36" s="100">
        <v>61.9</v>
      </c>
      <c r="O36" s="100">
        <v>0</v>
      </c>
      <c r="P36" s="100">
        <v>0.42</v>
      </c>
      <c r="Q36" s="100">
        <v>5.1100000000000003</v>
      </c>
    </row>
    <row r="37" spans="1:17" customFormat="1">
      <c r="A37" s="100" t="s">
        <v>2377</v>
      </c>
      <c r="B37" s="100">
        <v>16.600000000000001</v>
      </c>
      <c r="C37" s="100">
        <v>58.26</v>
      </c>
      <c r="D37" s="100">
        <v>42.71</v>
      </c>
      <c r="E37" s="100">
        <v>4.93</v>
      </c>
      <c r="F37" s="100">
        <v>7.27</v>
      </c>
      <c r="G37" s="100">
        <v>45.81</v>
      </c>
      <c r="H37" s="100">
        <v>12.21</v>
      </c>
      <c r="I37" s="100">
        <v>4.4800000000000004</v>
      </c>
      <c r="J37" s="100">
        <v>0.22</v>
      </c>
      <c r="K37" s="100">
        <v>230.48</v>
      </c>
      <c r="L37" s="100">
        <v>28.84</v>
      </c>
      <c r="M37" s="100">
        <v>48.61</v>
      </c>
      <c r="N37" s="100">
        <v>70.099999999999994</v>
      </c>
      <c r="O37" s="100">
        <v>0</v>
      </c>
      <c r="P37" s="100">
        <v>0.42</v>
      </c>
      <c r="Q37" s="100">
        <v>5.12</v>
      </c>
    </row>
    <row r="38" spans="1:17" customFormat="1">
      <c r="A38" s="100" t="s">
        <v>2378</v>
      </c>
      <c r="B38" s="100">
        <v>15.94</v>
      </c>
      <c r="C38" s="100">
        <v>58.05</v>
      </c>
      <c r="D38" s="100">
        <v>42.07</v>
      </c>
      <c r="E38" s="100">
        <v>5.07</v>
      </c>
      <c r="F38" s="100">
        <v>7.81</v>
      </c>
      <c r="G38" s="100">
        <v>45.75</v>
      </c>
      <c r="H38" s="100">
        <v>12.21</v>
      </c>
      <c r="I38" s="100">
        <v>4.58</v>
      </c>
      <c r="J38" s="100">
        <v>0.39</v>
      </c>
      <c r="K38" s="100">
        <v>265.02</v>
      </c>
      <c r="L38" s="100">
        <v>29.65</v>
      </c>
      <c r="M38" s="100">
        <v>45.45</v>
      </c>
      <c r="N38" s="100">
        <v>77.400000000000006</v>
      </c>
      <c r="O38" s="100">
        <v>0</v>
      </c>
      <c r="P38" s="100">
        <v>0.43</v>
      </c>
      <c r="Q38" s="100">
        <v>5.14</v>
      </c>
    </row>
    <row r="39" spans="1:17" customFormat="1">
      <c r="A39" s="100" t="s">
        <v>2379</v>
      </c>
      <c r="B39" s="100">
        <v>15.54</v>
      </c>
      <c r="C39" s="100">
        <v>58.92</v>
      </c>
      <c r="D39" s="100">
        <v>42.2</v>
      </c>
      <c r="E39" s="100">
        <v>4.96</v>
      </c>
      <c r="F39" s="100">
        <v>6.71</v>
      </c>
      <c r="G39" s="100">
        <v>45.75</v>
      </c>
      <c r="H39" s="100">
        <v>12.21</v>
      </c>
      <c r="I39" s="100">
        <v>4.57</v>
      </c>
      <c r="J39" s="100">
        <v>0.31</v>
      </c>
      <c r="K39" s="100">
        <v>220.59</v>
      </c>
      <c r="L39" s="100">
        <v>30.39</v>
      </c>
      <c r="M39" s="100">
        <v>43.56</v>
      </c>
      <c r="N39" s="100">
        <v>86.2</v>
      </c>
      <c r="O39" s="100">
        <v>0</v>
      </c>
      <c r="P39" s="100">
        <v>0.44</v>
      </c>
      <c r="Q39" s="100">
        <v>5.1100000000000003</v>
      </c>
    </row>
    <row r="40" spans="1:17" customFormat="1">
      <c r="A40" s="100" t="s">
        <v>2380</v>
      </c>
      <c r="B40" s="100">
        <v>15.05</v>
      </c>
      <c r="C40" s="100">
        <v>57.98</v>
      </c>
      <c r="D40" s="100">
        <v>41.32</v>
      </c>
      <c r="E40" s="100">
        <v>5.14</v>
      </c>
      <c r="F40" s="100">
        <v>9.91</v>
      </c>
      <c r="G40" s="100">
        <v>45.75</v>
      </c>
      <c r="H40" s="100">
        <v>12.21</v>
      </c>
      <c r="I40" s="100">
        <v>4.62</v>
      </c>
      <c r="J40" s="100">
        <v>0.22</v>
      </c>
      <c r="K40" s="100">
        <v>300.57</v>
      </c>
      <c r="L40" s="100">
        <v>31.25</v>
      </c>
      <c r="M40" s="100">
        <v>41.26</v>
      </c>
      <c r="N40" s="100">
        <v>97.8</v>
      </c>
      <c r="O40" s="100">
        <v>0</v>
      </c>
      <c r="P40" s="100">
        <v>0.45</v>
      </c>
      <c r="Q40" s="100">
        <v>5.1100000000000003</v>
      </c>
    </row>
    <row r="41" spans="1:17" customFormat="1">
      <c r="A41" s="100" t="s">
        <v>2381</v>
      </c>
      <c r="B41" s="100">
        <v>15.17</v>
      </c>
      <c r="C41" s="100">
        <v>57.2</v>
      </c>
      <c r="D41" s="100">
        <v>41.01</v>
      </c>
      <c r="E41" s="100">
        <v>7.7</v>
      </c>
      <c r="F41" s="100">
        <v>10.36</v>
      </c>
      <c r="G41" s="100">
        <v>38.67</v>
      </c>
      <c r="H41" s="100">
        <v>12.72</v>
      </c>
      <c r="I41" s="100">
        <v>4.67</v>
      </c>
      <c r="J41" s="100">
        <v>0.74</v>
      </c>
      <c r="K41" s="100">
        <v>309.58999999999997</v>
      </c>
      <c r="L41" s="100">
        <v>31.49</v>
      </c>
      <c r="M41" s="100">
        <v>40.83</v>
      </c>
      <c r="N41" s="100">
        <v>108.1</v>
      </c>
      <c r="O41" s="100">
        <v>0</v>
      </c>
      <c r="P41" s="100">
        <v>0.5</v>
      </c>
      <c r="Q41" s="100">
        <v>5.1100000000000003</v>
      </c>
    </row>
    <row r="42" spans="1:17" customFormat="1">
      <c r="A42" s="100" t="s">
        <v>2382</v>
      </c>
      <c r="B42" s="100">
        <v>13.38</v>
      </c>
      <c r="C42" s="100">
        <v>58.49</v>
      </c>
      <c r="D42" s="100">
        <v>40.24</v>
      </c>
      <c r="E42" s="100">
        <v>9.43</v>
      </c>
      <c r="F42" s="100">
        <v>12.28</v>
      </c>
      <c r="G42" s="100">
        <v>38.340000000000003</v>
      </c>
      <c r="H42" s="100">
        <v>12.72</v>
      </c>
      <c r="I42" s="100">
        <v>4.76</v>
      </c>
      <c r="J42" s="100">
        <v>0.56999999999999995</v>
      </c>
      <c r="K42" s="100">
        <v>289.74</v>
      </c>
      <c r="L42" s="100">
        <v>32.17</v>
      </c>
      <c r="M42" s="100">
        <v>39.68</v>
      </c>
      <c r="N42" s="100">
        <v>113.5</v>
      </c>
      <c r="O42" s="100">
        <v>0</v>
      </c>
      <c r="P42" s="100">
        <v>0.54</v>
      </c>
      <c r="Q42" s="100">
        <v>5.08</v>
      </c>
    </row>
    <row r="43" spans="1:17" customFormat="1">
      <c r="A43" s="100" t="s">
        <v>2383</v>
      </c>
      <c r="B43" s="100">
        <v>12.84</v>
      </c>
      <c r="C43" s="100">
        <v>60.47</v>
      </c>
      <c r="D43" s="100">
        <v>40.85</v>
      </c>
      <c r="E43" s="100">
        <v>14.67</v>
      </c>
      <c r="F43" s="100">
        <v>13.3</v>
      </c>
      <c r="G43" s="100">
        <v>38.340000000000003</v>
      </c>
      <c r="H43" s="100">
        <v>12.72</v>
      </c>
      <c r="I43" s="100">
        <v>5.05</v>
      </c>
      <c r="J43" s="100">
        <v>0.95</v>
      </c>
      <c r="K43" s="100">
        <v>295.69</v>
      </c>
      <c r="L43" s="100">
        <v>32.82</v>
      </c>
      <c r="M43" s="100">
        <v>37.97</v>
      </c>
      <c r="N43" s="100">
        <v>121.3</v>
      </c>
      <c r="O43" s="100">
        <v>0</v>
      </c>
      <c r="P43" s="100">
        <v>0.57999999999999996</v>
      </c>
      <c r="Q43" s="100">
        <v>5.1100000000000003</v>
      </c>
    </row>
    <row r="44" spans="1:17" customFormat="1">
      <c r="A44" s="100" t="s">
        <v>2384</v>
      </c>
      <c r="B44" s="100">
        <v>12.04</v>
      </c>
      <c r="C44" s="100">
        <v>60.22</v>
      </c>
      <c r="D44" s="100">
        <v>40.07</v>
      </c>
      <c r="E44" s="100">
        <v>10.99</v>
      </c>
      <c r="F44" s="100">
        <v>13.33</v>
      </c>
      <c r="G44" s="100">
        <v>38.340000000000003</v>
      </c>
      <c r="H44" s="100">
        <v>12.72</v>
      </c>
      <c r="I44" s="100">
        <v>5.45</v>
      </c>
      <c r="J44" s="100">
        <v>1.07</v>
      </c>
      <c r="K44" s="100">
        <v>296.26</v>
      </c>
      <c r="L44" s="100">
        <v>33.090000000000003</v>
      </c>
      <c r="M44" s="100">
        <v>37.43</v>
      </c>
      <c r="N44" s="100">
        <v>133.80000000000001</v>
      </c>
      <c r="O44" s="100">
        <v>0</v>
      </c>
      <c r="P44" s="100">
        <v>0.61</v>
      </c>
      <c r="Q44" s="100">
        <v>5.0999999999999996</v>
      </c>
    </row>
    <row r="45" spans="1:17" customFormat="1">
      <c r="A45" s="100" t="s">
        <v>2385</v>
      </c>
      <c r="B45" s="100">
        <v>11.08</v>
      </c>
      <c r="C45" s="100">
        <v>58.82</v>
      </c>
      <c r="D45" s="100">
        <v>38.57</v>
      </c>
      <c r="E45" s="100">
        <v>9.27</v>
      </c>
      <c r="F45" s="100">
        <v>11.4</v>
      </c>
      <c r="G45" s="100">
        <v>50.65</v>
      </c>
      <c r="H45" s="100">
        <v>17.489999999999998</v>
      </c>
      <c r="I45" s="100">
        <v>5.69</v>
      </c>
      <c r="J45" s="100">
        <v>0.87</v>
      </c>
      <c r="K45" s="100">
        <v>266.3</v>
      </c>
      <c r="L45" s="100">
        <v>33.54</v>
      </c>
      <c r="M45" s="100">
        <v>37.14</v>
      </c>
      <c r="N45" s="100">
        <v>143.19999999999999</v>
      </c>
      <c r="O45" s="100">
        <v>0</v>
      </c>
      <c r="P45" s="100">
        <v>0.62</v>
      </c>
      <c r="Q45" s="100">
        <v>5.0599999999999996</v>
      </c>
    </row>
    <row r="46" spans="1:17" customFormat="1">
      <c r="A46" s="100" t="s">
        <v>2386</v>
      </c>
      <c r="B46" s="100">
        <v>10.49</v>
      </c>
      <c r="C46" s="100">
        <v>61.16</v>
      </c>
      <c r="D46" s="100">
        <v>39.32</v>
      </c>
      <c r="E46" s="100">
        <v>10.71</v>
      </c>
      <c r="F46" s="100">
        <v>13.1</v>
      </c>
      <c r="G46" s="100">
        <v>51.22</v>
      </c>
      <c r="H46" s="100">
        <v>17.489999999999998</v>
      </c>
      <c r="I46" s="100">
        <v>5.93</v>
      </c>
      <c r="J46" s="100">
        <v>1.21</v>
      </c>
      <c r="K46" s="100">
        <v>283.5</v>
      </c>
      <c r="L46" s="100">
        <v>33.85</v>
      </c>
      <c r="M46" s="100">
        <v>37.090000000000003</v>
      </c>
      <c r="N46" s="100">
        <v>151.19999999999999</v>
      </c>
      <c r="O46" s="100">
        <v>0</v>
      </c>
      <c r="P46" s="100">
        <v>0.66</v>
      </c>
      <c r="Q46" s="100">
        <v>5</v>
      </c>
    </row>
    <row r="47" spans="1:17" customFormat="1">
      <c r="A47" s="100" t="s">
        <v>2387</v>
      </c>
      <c r="B47" s="100">
        <v>9.66</v>
      </c>
      <c r="C47" s="100">
        <v>61.38</v>
      </c>
      <c r="D47" s="100">
        <v>38.770000000000003</v>
      </c>
      <c r="E47" s="100">
        <v>12.43</v>
      </c>
      <c r="F47" s="100">
        <v>15.68</v>
      </c>
      <c r="G47" s="100">
        <v>51.22</v>
      </c>
      <c r="H47" s="100">
        <v>17.489999999999998</v>
      </c>
      <c r="I47" s="100">
        <v>6.26</v>
      </c>
      <c r="J47" s="100">
        <v>1.27</v>
      </c>
      <c r="K47" s="100">
        <v>284.5</v>
      </c>
      <c r="L47" s="100">
        <v>34.17</v>
      </c>
      <c r="M47" s="100">
        <v>36.770000000000003</v>
      </c>
      <c r="N47" s="100">
        <v>156</v>
      </c>
      <c r="O47" s="100">
        <v>0</v>
      </c>
      <c r="P47" s="100">
        <v>0.71</v>
      </c>
      <c r="Q47" s="100">
        <v>4.9800000000000004</v>
      </c>
    </row>
    <row r="48" spans="1:17" customFormat="1">
      <c r="A48" s="100" t="s">
        <v>2388</v>
      </c>
      <c r="B48" s="100">
        <v>9.01</v>
      </c>
      <c r="C48" s="100">
        <v>62.21</v>
      </c>
      <c r="D48" s="100">
        <v>38.69</v>
      </c>
      <c r="E48" s="100">
        <v>12.04</v>
      </c>
      <c r="F48" s="100">
        <v>16.27</v>
      </c>
      <c r="G48" s="100">
        <v>51.22</v>
      </c>
      <c r="H48" s="100">
        <v>17.489999999999998</v>
      </c>
      <c r="I48" s="100">
        <v>6.6</v>
      </c>
      <c r="J48" s="100">
        <v>1.3</v>
      </c>
      <c r="K48" s="100">
        <v>290.64</v>
      </c>
      <c r="L48" s="100">
        <v>34.75</v>
      </c>
      <c r="M48" s="100">
        <v>36.06</v>
      </c>
      <c r="N48" s="100">
        <v>162.9</v>
      </c>
      <c r="O48" s="100">
        <v>0</v>
      </c>
      <c r="P48" s="100">
        <v>0.77</v>
      </c>
      <c r="Q48" s="100">
        <v>4.93</v>
      </c>
    </row>
    <row r="49" spans="1:17" customFormat="1">
      <c r="A49" s="100" t="s">
        <v>2389</v>
      </c>
      <c r="B49" s="100">
        <v>7.81</v>
      </c>
      <c r="C49" s="100">
        <v>60.29</v>
      </c>
      <c r="D49" s="100">
        <v>36.72</v>
      </c>
      <c r="E49" s="100">
        <v>9.59</v>
      </c>
      <c r="F49" s="100">
        <v>17.739999999999998</v>
      </c>
      <c r="G49" s="100">
        <v>59.23</v>
      </c>
      <c r="H49" s="100">
        <v>17.559999999999999</v>
      </c>
      <c r="I49" s="100">
        <v>6.91</v>
      </c>
      <c r="J49" s="100">
        <v>1.01</v>
      </c>
      <c r="K49" s="100">
        <v>272.39</v>
      </c>
      <c r="L49" s="100">
        <v>35.28</v>
      </c>
      <c r="M49" s="100">
        <v>36.26</v>
      </c>
      <c r="N49" s="100">
        <v>167.8</v>
      </c>
      <c r="O49" s="100">
        <v>0</v>
      </c>
      <c r="P49" s="100">
        <v>0.78</v>
      </c>
      <c r="Q49" s="100">
        <v>4.8899999999999997</v>
      </c>
    </row>
    <row r="50" spans="1:17" customFormat="1">
      <c r="A50" s="100" t="s">
        <v>2390</v>
      </c>
      <c r="B50" s="100">
        <v>6.95</v>
      </c>
      <c r="C50" s="100">
        <v>59.73</v>
      </c>
      <c r="D50" s="100">
        <v>35.729999999999997</v>
      </c>
      <c r="E50" s="100">
        <v>11.64</v>
      </c>
      <c r="F50" s="100">
        <v>18.09</v>
      </c>
      <c r="G50" s="100">
        <v>59.61</v>
      </c>
      <c r="H50" s="100">
        <v>17.559999999999999</v>
      </c>
      <c r="I50" s="100">
        <v>7.2</v>
      </c>
      <c r="J50" s="100">
        <v>1.4</v>
      </c>
      <c r="K50" s="100">
        <v>263.45</v>
      </c>
      <c r="L50" s="100">
        <v>35.479999999999997</v>
      </c>
      <c r="M50" s="100">
        <v>35.950000000000003</v>
      </c>
      <c r="N50" s="100">
        <v>175.6</v>
      </c>
      <c r="O50" s="100">
        <v>0</v>
      </c>
      <c r="P50" s="100">
        <v>0.76</v>
      </c>
      <c r="Q50" s="100">
        <v>4.84</v>
      </c>
    </row>
    <row r="51" spans="1:17" customFormat="1">
      <c r="A51" s="100" t="s">
        <v>2391</v>
      </c>
      <c r="B51" s="100">
        <v>6.05</v>
      </c>
      <c r="C51" s="100">
        <v>60.37</v>
      </c>
      <c r="D51" s="100">
        <v>35.35</v>
      </c>
      <c r="E51" s="100">
        <v>11.48</v>
      </c>
      <c r="F51" s="100">
        <v>17.12</v>
      </c>
      <c r="G51" s="100">
        <v>59.61</v>
      </c>
      <c r="H51" s="100">
        <v>17.559999999999999</v>
      </c>
      <c r="I51" s="100">
        <v>7.28</v>
      </c>
      <c r="J51" s="100">
        <v>1.27</v>
      </c>
      <c r="K51" s="100">
        <v>266.69</v>
      </c>
      <c r="L51" s="100">
        <v>35.950000000000003</v>
      </c>
      <c r="M51" s="100">
        <v>35.090000000000003</v>
      </c>
      <c r="N51" s="100">
        <v>183.7</v>
      </c>
      <c r="O51" s="100">
        <v>0</v>
      </c>
      <c r="P51" s="100">
        <v>0.76</v>
      </c>
      <c r="Q51" s="100">
        <v>4.8</v>
      </c>
    </row>
    <row r="52" spans="1:17" customFormat="1">
      <c r="A52" s="100" t="s">
        <v>2392</v>
      </c>
      <c r="B52" s="100">
        <v>5.1100000000000003</v>
      </c>
      <c r="C52" s="100">
        <v>55.28</v>
      </c>
      <c r="D52" s="100">
        <v>31.93</v>
      </c>
      <c r="E52" s="100">
        <v>10.51</v>
      </c>
      <c r="F52" s="100">
        <v>22.59</v>
      </c>
      <c r="G52" s="100">
        <v>59.61</v>
      </c>
      <c r="H52" s="100">
        <v>17.559999999999999</v>
      </c>
      <c r="I52" s="100">
        <v>7.32</v>
      </c>
      <c r="J52" s="100">
        <v>1.49</v>
      </c>
      <c r="K52" s="100">
        <v>282.98</v>
      </c>
      <c r="L52" s="100">
        <v>36.6</v>
      </c>
      <c r="M52" s="100">
        <v>33.69</v>
      </c>
      <c r="N52" s="100">
        <v>184.4</v>
      </c>
      <c r="O52" s="100">
        <v>0</v>
      </c>
      <c r="P52" s="100">
        <v>0.76</v>
      </c>
      <c r="Q52" s="100">
        <v>4.72</v>
      </c>
    </row>
    <row r="53" spans="1:17" customFormat="1">
      <c r="A53" s="100" t="s">
        <v>2393</v>
      </c>
      <c r="B53" s="100">
        <v>4.9400000000000004</v>
      </c>
      <c r="C53" s="100">
        <v>53.93</v>
      </c>
      <c r="D53" s="100">
        <v>31.09</v>
      </c>
      <c r="E53" s="100">
        <v>10.37</v>
      </c>
      <c r="F53" s="100">
        <v>24.93</v>
      </c>
      <c r="G53" s="100">
        <v>58.92</v>
      </c>
      <c r="H53" s="100">
        <v>21.37</v>
      </c>
      <c r="I53" s="100">
        <v>7.25</v>
      </c>
      <c r="J53" s="100">
        <v>1.21</v>
      </c>
      <c r="K53" s="100">
        <v>258.08999999999997</v>
      </c>
      <c r="L53" s="100">
        <v>36.79</v>
      </c>
      <c r="M53" s="100">
        <v>33.159999999999997</v>
      </c>
      <c r="N53" s="100">
        <v>195</v>
      </c>
      <c r="O53" s="100">
        <v>0</v>
      </c>
      <c r="P53" s="100">
        <v>0.73</v>
      </c>
      <c r="Q53" s="100">
        <v>4.7</v>
      </c>
    </row>
    <row r="54" spans="1:17" customFormat="1">
      <c r="A54" s="100" t="s">
        <v>2394</v>
      </c>
      <c r="B54" s="100">
        <v>4.68</v>
      </c>
      <c r="C54" s="100">
        <v>55.06</v>
      </c>
      <c r="D54" s="100">
        <v>31.48</v>
      </c>
      <c r="E54" s="100">
        <v>10.84</v>
      </c>
      <c r="F54" s="100">
        <v>21.46</v>
      </c>
      <c r="G54" s="100">
        <v>58.89</v>
      </c>
      <c r="H54" s="100">
        <v>21.37</v>
      </c>
      <c r="I54" s="100">
        <v>6.94</v>
      </c>
      <c r="J54" s="100">
        <v>1.39</v>
      </c>
      <c r="K54" s="100">
        <v>280.2</v>
      </c>
      <c r="L54" s="100">
        <v>37.479999999999997</v>
      </c>
      <c r="M54" s="100">
        <v>31.51</v>
      </c>
      <c r="N54" s="100">
        <v>207.5</v>
      </c>
      <c r="O54" s="100">
        <v>0</v>
      </c>
      <c r="P54" s="100">
        <v>0.73</v>
      </c>
      <c r="Q54" s="100">
        <v>4.66</v>
      </c>
    </row>
    <row r="55" spans="1:17" customFormat="1">
      <c r="A55" s="100" t="s">
        <v>2395</v>
      </c>
      <c r="B55" s="100">
        <v>4.16</v>
      </c>
      <c r="C55" s="100">
        <v>49.5</v>
      </c>
      <c r="D55" s="100">
        <v>28.16</v>
      </c>
      <c r="E55" s="100">
        <v>18.59</v>
      </c>
      <c r="F55" s="100">
        <v>44.14</v>
      </c>
      <c r="G55" s="100">
        <v>58.89</v>
      </c>
      <c r="H55" s="100">
        <v>21.37</v>
      </c>
      <c r="I55" s="100">
        <v>6.88</v>
      </c>
      <c r="J55" s="100">
        <v>1.33</v>
      </c>
      <c r="K55" s="100">
        <v>282.25</v>
      </c>
      <c r="L55" s="100">
        <v>37.89</v>
      </c>
      <c r="M55" s="100">
        <v>30.27</v>
      </c>
      <c r="N55" s="100">
        <v>719.4</v>
      </c>
      <c r="O55" s="100">
        <v>0</v>
      </c>
      <c r="P55" s="100">
        <v>0.77</v>
      </c>
      <c r="Q55" s="100">
        <v>4.6399999999999997</v>
      </c>
    </row>
    <row r="56" spans="1:17" customFormat="1">
      <c r="A56" s="100" t="s">
        <v>2396</v>
      </c>
      <c r="B56" s="100">
        <v>2.38</v>
      </c>
      <c r="C56" s="100">
        <v>33.15</v>
      </c>
      <c r="D56" s="100">
        <v>18.18</v>
      </c>
      <c r="E56" s="100">
        <v>44.2</v>
      </c>
      <c r="F56" s="100">
        <v>90.01</v>
      </c>
      <c r="G56" s="100">
        <v>58.89</v>
      </c>
      <c r="H56" s="100">
        <v>21.37</v>
      </c>
      <c r="I56" s="100">
        <v>6.88</v>
      </c>
      <c r="J56" s="100">
        <v>1.1499999999999999</v>
      </c>
      <c r="K56" s="100">
        <v>272.94</v>
      </c>
      <c r="L56" s="100">
        <v>38.450000000000003</v>
      </c>
      <c r="M56" s="100">
        <v>28.48</v>
      </c>
      <c r="N56" s="100">
        <v>838.2</v>
      </c>
      <c r="O56" s="100">
        <v>0</v>
      </c>
      <c r="P56" s="100">
        <v>0.85</v>
      </c>
      <c r="Q56" s="100">
        <v>4.47</v>
      </c>
    </row>
    <row r="57" spans="1:17" customFormat="1">
      <c r="A57" s="100" t="s">
        <v>2397</v>
      </c>
      <c r="B57" s="100">
        <v>2.08</v>
      </c>
      <c r="C57" s="100">
        <v>28.36</v>
      </c>
      <c r="D57" s="100">
        <v>15.44</v>
      </c>
      <c r="E57" s="100">
        <v>45.43</v>
      </c>
      <c r="F57" s="100">
        <v>103.5</v>
      </c>
      <c r="G57" s="100">
        <v>53.3</v>
      </c>
      <c r="H57" s="100">
        <v>18.05</v>
      </c>
      <c r="I57" s="100">
        <v>6.85</v>
      </c>
      <c r="J57" s="100">
        <v>1.1200000000000001</v>
      </c>
      <c r="K57" s="100">
        <v>262.04000000000002</v>
      </c>
      <c r="L57" s="100">
        <v>38.69</v>
      </c>
      <c r="M57" s="100">
        <v>26.58</v>
      </c>
      <c r="N57" s="100">
        <v>846.2</v>
      </c>
      <c r="O57" s="100">
        <v>0</v>
      </c>
      <c r="P57" s="100">
        <v>0.77</v>
      </c>
      <c r="Q57" s="100">
        <v>4.29</v>
      </c>
    </row>
    <row r="58" spans="1:17" customFormat="1">
      <c r="A58" s="100" t="s">
        <v>2398</v>
      </c>
      <c r="B58" s="100">
        <v>2.14</v>
      </c>
      <c r="C58" s="100">
        <v>26.56</v>
      </c>
      <c r="D58" s="100">
        <v>14.55</v>
      </c>
      <c r="E58" s="100">
        <v>42.24</v>
      </c>
      <c r="F58" s="100">
        <v>103.71</v>
      </c>
      <c r="G58" s="100">
        <v>53.04</v>
      </c>
      <c r="H58" s="100">
        <v>18.05</v>
      </c>
      <c r="I58" s="100">
        <v>6.76</v>
      </c>
      <c r="J58" s="100">
        <v>1.29</v>
      </c>
      <c r="K58" s="100">
        <v>284.88</v>
      </c>
      <c r="L58" s="100">
        <v>39.1</v>
      </c>
      <c r="M58" s="100">
        <v>25.93</v>
      </c>
      <c r="N58" s="100">
        <v>839.8</v>
      </c>
      <c r="O58" s="100">
        <v>0</v>
      </c>
      <c r="P58" s="100">
        <v>0.7</v>
      </c>
      <c r="Q58" s="100">
        <v>4.16</v>
      </c>
    </row>
    <row r="59" spans="1:17" customFormat="1">
      <c r="A59" s="100" t="s">
        <v>2399</v>
      </c>
      <c r="B59" s="100">
        <v>2.81</v>
      </c>
      <c r="C59" s="100">
        <v>27.78</v>
      </c>
      <c r="D59" s="100">
        <v>15.72</v>
      </c>
      <c r="E59" s="100">
        <v>39.130000000000003</v>
      </c>
      <c r="F59" s="100">
        <v>83.28</v>
      </c>
      <c r="G59" s="100">
        <v>53.04</v>
      </c>
      <c r="H59" s="100">
        <v>18.05</v>
      </c>
      <c r="I59" s="100">
        <v>6.36</v>
      </c>
      <c r="J59" s="100">
        <v>1.29</v>
      </c>
      <c r="K59" s="100">
        <v>278.45999999999998</v>
      </c>
      <c r="L59" s="100">
        <v>39.4</v>
      </c>
      <c r="M59" s="100">
        <v>24.65</v>
      </c>
      <c r="N59" s="100">
        <v>831.6</v>
      </c>
      <c r="O59" s="100">
        <v>0</v>
      </c>
      <c r="P59" s="100">
        <v>0.74</v>
      </c>
      <c r="Q59" s="100">
        <v>4.07</v>
      </c>
    </row>
    <row r="60" spans="1:17" customFormat="1">
      <c r="A60" s="100" t="s">
        <v>2400</v>
      </c>
      <c r="B60" s="100">
        <v>2.04</v>
      </c>
      <c r="C60" s="100">
        <v>28.97</v>
      </c>
      <c r="D60" s="100">
        <v>15.73</v>
      </c>
      <c r="E60" s="100">
        <v>37.75</v>
      </c>
      <c r="F60" s="100">
        <v>89.16</v>
      </c>
      <c r="G60" s="135" t="s">
        <v>12</v>
      </c>
      <c r="H60" s="135" t="s">
        <v>12</v>
      </c>
      <c r="I60" s="100">
        <v>6.09</v>
      </c>
      <c r="J60" s="100">
        <v>0.98</v>
      </c>
      <c r="K60" s="100">
        <v>282.38</v>
      </c>
      <c r="L60" s="100">
        <v>39.67</v>
      </c>
      <c r="M60" s="100">
        <v>23.72</v>
      </c>
      <c r="N60" s="100">
        <v>820.9</v>
      </c>
      <c r="O60" s="100">
        <v>0</v>
      </c>
      <c r="P60" s="100">
        <v>0.8</v>
      </c>
      <c r="Q60" s="100">
        <v>4.0999999999999996</v>
      </c>
    </row>
    <row r="61" spans="1:17" customFormat="1">
      <c r="A61" s="100" t="s">
        <v>2401</v>
      </c>
      <c r="B61" s="100">
        <v>1.72</v>
      </c>
      <c r="C61" s="100">
        <v>28.25</v>
      </c>
      <c r="D61" s="100">
        <v>15.09</v>
      </c>
      <c r="E61" s="100">
        <v>26.19</v>
      </c>
      <c r="F61" s="100">
        <v>69.040000000000006</v>
      </c>
      <c r="G61" s="135" t="s">
        <v>12</v>
      </c>
      <c r="H61" s="135" t="s">
        <v>12</v>
      </c>
      <c r="I61" s="100">
        <v>5.99</v>
      </c>
      <c r="J61" s="100">
        <v>1.24</v>
      </c>
      <c r="K61" s="100">
        <v>276.18</v>
      </c>
      <c r="L61" s="100">
        <v>39.799999999999997</v>
      </c>
      <c r="M61" s="100">
        <v>22.66</v>
      </c>
      <c r="N61" s="100">
        <v>833.3</v>
      </c>
      <c r="O61" s="100">
        <v>0</v>
      </c>
      <c r="P61" s="100">
        <v>0.69</v>
      </c>
      <c r="Q61" s="100">
        <v>4.16</v>
      </c>
    </row>
    <row r="62" spans="1:17" customFormat="1">
      <c r="A62" s="100" t="s">
        <v>2402</v>
      </c>
      <c r="B62" s="100">
        <v>2.2200000000000002</v>
      </c>
      <c r="C62" s="100">
        <v>36.32</v>
      </c>
      <c r="D62" s="100">
        <v>19.71</v>
      </c>
      <c r="E62" s="100">
        <v>13.26</v>
      </c>
      <c r="F62" s="100">
        <v>35.43</v>
      </c>
      <c r="G62" s="135" t="s">
        <v>12</v>
      </c>
      <c r="H62" s="135" t="s">
        <v>12</v>
      </c>
      <c r="I62" s="100">
        <v>5.74</v>
      </c>
      <c r="J62" s="100">
        <v>1.4</v>
      </c>
      <c r="K62" s="100">
        <v>278.01</v>
      </c>
      <c r="L62" s="100">
        <v>39.94</v>
      </c>
      <c r="M62" s="100">
        <v>21.94</v>
      </c>
      <c r="N62" s="100">
        <v>793.3</v>
      </c>
      <c r="O62" s="100">
        <v>0</v>
      </c>
      <c r="P62" s="100">
        <v>0.77</v>
      </c>
      <c r="Q62" s="100">
        <v>4.24</v>
      </c>
    </row>
    <row r="63" spans="1:17" customFormat="1">
      <c r="A63" s="100" t="s">
        <v>2403</v>
      </c>
      <c r="B63" s="100">
        <v>1.92</v>
      </c>
      <c r="C63" s="100">
        <v>38.65</v>
      </c>
      <c r="D63" s="100">
        <v>20.69</v>
      </c>
      <c r="E63" s="100">
        <v>13.14</v>
      </c>
      <c r="F63" s="100">
        <v>28.44</v>
      </c>
      <c r="G63" s="135" t="s">
        <v>12</v>
      </c>
      <c r="H63" s="135" t="s">
        <v>12</v>
      </c>
      <c r="I63" s="100">
        <v>6.47</v>
      </c>
      <c r="J63" s="100">
        <v>1.1100000000000001</v>
      </c>
      <c r="K63" s="100">
        <v>270.13</v>
      </c>
      <c r="L63" s="100">
        <v>40.29</v>
      </c>
      <c r="M63" s="100">
        <v>22.1</v>
      </c>
      <c r="N63" s="100">
        <v>695</v>
      </c>
      <c r="O63" s="100">
        <v>0</v>
      </c>
      <c r="P63" s="100">
        <v>0.78</v>
      </c>
      <c r="Q63" s="100">
        <v>4.3</v>
      </c>
    </row>
    <row r="64" spans="1:17" customFormat="1">
      <c r="A64" s="100" t="s">
        <v>2404</v>
      </c>
      <c r="B64" s="100">
        <v>2.64</v>
      </c>
      <c r="C64" s="100">
        <v>40</v>
      </c>
      <c r="D64" s="100">
        <v>21.97</v>
      </c>
      <c r="E64" s="100">
        <v>10.31</v>
      </c>
      <c r="F64" s="100">
        <v>25.04</v>
      </c>
      <c r="G64" s="135" t="s">
        <v>12</v>
      </c>
      <c r="H64" s="135" t="s">
        <v>12</v>
      </c>
      <c r="I64" s="100">
        <v>7.33</v>
      </c>
      <c r="J64" s="100">
        <v>1.23</v>
      </c>
      <c r="K64" s="100">
        <v>283.61</v>
      </c>
      <c r="L64" s="100">
        <v>40.39</v>
      </c>
      <c r="M64" s="100">
        <v>21.02</v>
      </c>
      <c r="N64" s="100">
        <v>724.6</v>
      </c>
      <c r="O64" s="100">
        <v>0</v>
      </c>
      <c r="P64" s="100">
        <v>0.77</v>
      </c>
      <c r="Q64" s="100">
        <v>4.32</v>
      </c>
    </row>
    <row r="65" spans="1:17" customFormat="1">
      <c r="A65" s="100" t="s">
        <v>2405</v>
      </c>
      <c r="B65" s="100">
        <v>2.76</v>
      </c>
      <c r="C65" s="100">
        <v>40.33</v>
      </c>
      <c r="D65" s="100">
        <v>22.24</v>
      </c>
      <c r="E65" s="100">
        <v>11.15</v>
      </c>
      <c r="F65" s="100">
        <v>29.99</v>
      </c>
      <c r="G65" s="135" t="s">
        <v>12</v>
      </c>
      <c r="H65" s="135" t="s">
        <v>12</v>
      </c>
      <c r="I65" s="100">
        <v>7.18</v>
      </c>
      <c r="J65" s="100">
        <v>0.94</v>
      </c>
      <c r="K65" s="100">
        <v>272.51</v>
      </c>
      <c r="L65" s="100">
        <v>40.380000000000003</v>
      </c>
      <c r="M65" s="100">
        <v>21.25</v>
      </c>
      <c r="N65" s="100">
        <v>743.1</v>
      </c>
      <c r="O65" s="100">
        <v>0</v>
      </c>
      <c r="P65" s="100">
        <v>0.73</v>
      </c>
      <c r="Q65" s="100">
        <v>4.3</v>
      </c>
    </row>
    <row r="66" spans="1:17" customFormat="1">
      <c r="A66" s="100" t="s">
        <v>2406</v>
      </c>
      <c r="B66" s="100">
        <v>1.8</v>
      </c>
      <c r="C66" s="100">
        <v>29.3</v>
      </c>
      <c r="D66" s="100">
        <v>15.71</v>
      </c>
      <c r="E66" s="100">
        <v>26.12</v>
      </c>
      <c r="F66" s="100">
        <v>74.36</v>
      </c>
      <c r="G66" s="100">
        <v>18.84</v>
      </c>
      <c r="H66" s="100">
        <v>0</v>
      </c>
      <c r="I66" s="100">
        <v>7.06</v>
      </c>
      <c r="J66" s="100">
        <v>0.87</v>
      </c>
      <c r="K66" s="100">
        <v>272.07</v>
      </c>
      <c r="L66" s="100">
        <v>40.97</v>
      </c>
      <c r="M66" s="100">
        <v>20.440000000000001</v>
      </c>
      <c r="N66" s="100">
        <v>706.2</v>
      </c>
      <c r="O66" s="100">
        <v>0</v>
      </c>
      <c r="P66" s="100">
        <v>0.56999999999999995</v>
      </c>
      <c r="Q66" s="100">
        <v>4.25</v>
      </c>
    </row>
    <row r="67" spans="1:17" customFormat="1">
      <c r="A67" s="100" t="s">
        <v>2407</v>
      </c>
      <c r="B67" s="100">
        <v>1.85</v>
      </c>
      <c r="C67" s="100">
        <v>37.549999999999997</v>
      </c>
      <c r="D67" s="100">
        <v>20.05</v>
      </c>
      <c r="E67" s="100">
        <v>13.3</v>
      </c>
      <c r="F67" s="100">
        <v>35.54</v>
      </c>
      <c r="G67" s="100">
        <v>18.84</v>
      </c>
      <c r="H67" s="100">
        <v>0</v>
      </c>
      <c r="I67" s="100">
        <v>6.76</v>
      </c>
      <c r="J67" s="100">
        <v>0.87</v>
      </c>
      <c r="K67" s="100">
        <v>263.41000000000003</v>
      </c>
      <c r="L67" s="100">
        <v>40.770000000000003</v>
      </c>
      <c r="M67" s="100">
        <v>20.02</v>
      </c>
      <c r="N67" s="100">
        <v>631.20000000000005</v>
      </c>
      <c r="O67" s="100">
        <v>0</v>
      </c>
      <c r="P67" s="100">
        <v>0.65</v>
      </c>
      <c r="Q67" s="100">
        <v>4.1399999999999997</v>
      </c>
    </row>
    <row r="68" spans="1:17" customFormat="1">
      <c r="A68" s="100" t="s">
        <v>2408</v>
      </c>
      <c r="B68" s="100">
        <v>1.89</v>
      </c>
      <c r="C68" s="100">
        <v>38.630000000000003</v>
      </c>
      <c r="D68" s="100">
        <v>20.65</v>
      </c>
      <c r="E68" s="100">
        <v>15.64</v>
      </c>
      <c r="F68" s="100">
        <v>37.770000000000003</v>
      </c>
      <c r="G68" s="100">
        <v>18.84</v>
      </c>
      <c r="H68" s="100">
        <v>0</v>
      </c>
      <c r="I68" s="100">
        <v>6.12</v>
      </c>
      <c r="J68" s="100">
        <v>1.01</v>
      </c>
      <c r="K68" s="100">
        <v>271.75</v>
      </c>
      <c r="L68" s="100">
        <v>40.81</v>
      </c>
      <c r="M68" s="100">
        <v>20.079999999999998</v>
      </c>
      <c r="N68" s="100">
        <v>608.20000000000005</v>
      </c>
      <c r="O68" s="100">
        <v>0</v>
      </c>
      <c r="P68" s="100">
        <v>0.63</v>
      </c>
      <c r="Q68" s="100">
        <v>4.13</v>
      </c>
    </row>
    <row r="69" spans="1:17" customFormat="1">
      <c r="A69" s="100" t="s">
        <v>2409</v>
      </c>
      <c r="B69" s="100">
        <v>1.97</v>
      </c>
      <c r="C69" s="100">
        <v>38.72</v>
      </c>
      <c r="D69" s="100">
        <v>20.76</v>
      </c>
      <c r="E69" s="100">
        <v>14.37</v>
      </c>
      <c r="F69" s="100">
        <v>33.57</v>
      </c>
      <c r="G69" s="100">
        <v>18.84</v>
      </c>
      <c r="H69" s="100">
        <v>0</v>
      </c>
      <c r="I69" s="100">
        <v>6.2</v>
      </c>
      <c r="J69" s="100">
        <v>0.59</v>
      </c>
      <c r="K69" s="100">
        <v>238.3</v>
      </c>
      <c r="L69" s="100">
        <v>41.16</v>
      </c>
      <c r="M69" s="100">
        <v>19.760000000000002</v>
      </c>
      <c r="N69" s="100">
        <v>581.79999999999995</v>
      </c>
      <c r="O69" s="100">
        <v>0</v>
      </c>
      <c r="P69" s="100">
        <v>0.6</v>
      </c>
      <c r="Q69" s="100">
        <v>4.17</v>
      </c>
    </row>
    <row r="70" spans="1:17" customFormat="1">
      <c r="A70" s="100" t="s">
        <v>2410</v>
      </c>
      <c r="B70" s="100">
        <v>2.35</v>
      </c>
      <c r="C70" s="100">
        <v>38.01</v>
      </c>
      <c r="D70" s="100">
        <v>20.69</v>
      </c>
      <c r="E70" s="100">
        <v>18.02</v>
      </c>
      <c r="F70" s="100">
        <v>40.950000000000003</v>
      </c>
      <c r="G70" s="100">
        <v>23.1</v>
      </c>
      <c r="H70" s="100">
        <v>1.08</v>
      </c>
      <c r="I70" s="100">
        <v>6.22</v>
      </c>
      <c r="J70" s="100">
        <v>0.83</v>
      </c>
      <c r="K70" s="100">
        <v>271.89999999999998</v>
      </c>
      <c r="L70" s="100">
        <v>41.17</v>
      </c>
      <c r="M70" s="100">
        <v>19.13</v>
      </c>
      <c r="N70" s="100">
        <v>529.6</v>
      </c>
      <c r="O70" s="100">
        <v>0</v>
      </c>
      <c r="P70" s="100">
        <v>0.59</v>
      </c>
      <c r="Q70" s="100">
        <v>4.2</v>
      </c>
    </row>
    <row r="71" spans="1:17" customFormat="1">
      <c r="A71" s="100" t="s">
        <v>2411</v>
      </c>
      <c r="B71" s="100">
        <v>2.63</v>
      </c>
      <c r="C71" s="100">
        <v>40.5</v>
      </c>
      <c r="D71" s="100">
        <v>22.23</v>
      </c>
      <c r="E71" s="100">
        <v>16.809999999999999</v>
      </c>
      <c r="F71" s="100">
        <v>37.549999999999997</v>
      </c>
      <c r="G71" s="100">
        <v>29.19</v>
      </c>
      <c r="H71" s="100">
        <v>1.97</v>
      </c>
      <c r="I71" s="100">
        <v>5.98</v>
      </c>
      <c r="J71" s="100">
        <v>0.75</v>
      </c>
      <c r="K71" s="100">
        <v>246.64</v>
      </c>
      <c r="L71" s="100">
        <v>40.82</v>
      </c>
      <c r="M71" s="100">
        <v>19.739999999999998</v>
      </c>
      <c r="N71" s="100">
        <v>481.5</v>
      </c>
      <c r="O71" s="100">
        <v>0</v>
      </c>
      <c r="P71" s="100">
        <v>0.57999999999999996</v>
      </c>
      <c r="Q71" s="100">
        <v>4.25</v>
      </c>
    </row>
    <row r="72" spans="1:17" customFormat="1">
      <c r="A72" s="100" t="s">
        <v>2412</v>
      </c>
      <c r="B72" s="100">
        <v>2.67</v>
      </c>
      <c r="C72" s="100">
        <v>39.94</v>
      </c>
      <c r="D72" s="100">
        <v>21.96</v>
      </c>
      <c r="E72" s="100">
        <v>16.86</v>
      </c>
      <c r="F72" s="100">
        <v>33.64</v>
      </c>
      <c r="G72" s="100">
        <v>29.19</v>
      </c>
      <c r="H72" s="100">
        <v>1.97</v>
      </c>
      <c r="I72" s="100">
        <v>5.9</v>
      </c>
      <c r="J72" s="100">
        <v>0.69</v>
      </c>
      <c r="K72" s="100">
        <v>239.85</v>
      </c>
      <c r="L72" s="100">
        <v>40.9</v>
      </c>
      <c r="M72" s="100">
        <v>19.73</v>
      </c>
      <c r="N72" s="100">
        <v>431.6</v>
      </c>
      <c r="O72" s="100">
        <v>0</v>
      </c>
      <c r="P72" s="100">
        <v>0.57999999999999996</v>
      </c>
      <c r="Q72" s="100">
        <v>4.2699999999999996</v>
      </c>
    </row>
    <row r="73" spans="1:17" customFormat="1">
      <c r="A73" s="100" t="s">
        <v>2413</v>
      </c>
      <c r="B73" s="100">
        <v>2.77</v>
      </c>
      <c r="C73" s="100">
        <v>40.130000000000003</v>
      </c>
      <c r="D73" s="100">
        <v>22.15</v>
      </c>
      <c r="E73" s="100">
        <v>16.39</v>
      </c>
      <c r="F73" s="100">
        <v>40.9</v>
      </c>
      <c r="G73" s="100">
        <v>29.19</v>
      </c>
      <c r="H73" s="100">
        <v>1.97</v>
      </c>
      <c r="I73" s="100">
        <v>5.94</v>
      </c>
      <c r="J73" s="100">
        <v>0.78</v>
      </c>
      <c r="K73" s="100">
        <v>254.2</v>
      </c>
      <c r="L73" s="100">
        <v>40.630000000000003</v>
      </c>
      <c r="M73" s="100">
        <v>19.47</v>
      </c>
      <c r="N73" s="100">
        <v>377.5</v>
      </c>
      <c r="O73" s="100">
        <v>0</v>
      </c>
      <c r="P73" s="100">
        <v>0.56999999999999995</v>
      </c>
      <c r="Q73" s="100">
        <v>4.3</v>
      </c>
    </row>
    <row r="74" spans="1:17" customFormat="1">
      <c r="A74" s="100" t="s">
        <v>2414</v>
      </c>
      <c r="B74" s="100">
        <v>2.77</v>
      </c>
      <c r="C74" s="100">
        <v>37.549999999999997</v>
      </c>
      <c r="D74" s="100">
        <v>20.8</v>
      </c>
      <c r="E74" s="100">
        <v>19.13</v>
      </c>
      <c r="F74" s="100">
        <v>48.19</v>
      </c>
      <c r="G74" s="100">
        <v>29.64</v>
      </c>
      <c r="H74" s="100">
        <v>4.8600000000000003</v>
      </c>
      <c r="I74" s="100">
        <v>5.95</v>
      </c>
      <c r="J74" s="100">
        <v>0.54</v>
      </c>
      <c r="K74" s="100">
        <v>248.94</v>
      </c>
      <c r="L74" s="100">
        <v>40.409999999999997</v>
      </c>
      <c r="M74" s="100">
        <v>20.2</v>
      </c>
      <c r="N74" s="100">
        <v>326.3</v>
      </c>
      <c r="O74" s="100">
        <v>0</v>
      </c>
      <c r="P74" s="100">
        <v>0.53</v>
      </c>
      <c r="Q74" s="100">
        <v>4.3</v>
      </c>
    </row>
    <row r="75" spans="1:17" customFormat="1">
      <c r="A75" s="100" t="s">
        <v>2415</v>
      </c>
      <c r="B75" s="100">
        <v>3.47</v>
      </c>
      <c r="C75" s="100">
        <v>41.19</v>
      </c>
      <c r="D75" s="100">
        <v>23.26</v>
      </c>
      <c r="E75" s="100">
        <v>16.86</v>
      </c>
      <c r="F75" s="100">
        <v>37.770000000000003</v>
      </c>
      <c r="G75" s="100">
        <v>30.28</v>
      </c>
      <c r="H75" s="100">
        <v>7.27</v>
      </c>
      <c r="I75" s="100">
        <v>5.93</v>
      </c>
      <c r="J75" s="100">
        <v>0.72</v>
      </c>
      <c r="K75" s="100">
        <v>269.14999999999998</v>
      </c>
      <c r="L75" s="100">
        <v>40.29</v>
      </c>
      <c r="M75" s="100">
        <v>19.350000000000001</v>
      </c>
      <c r="N75" s="100">
        <v>272</v>
      </c>
      <c r="O75" s="100">
        <v>0</v>
      </c>
      <c r="P75" s="100">
        <v>0.54</v>
      </c>
      <c r="Q75" s="100">
        <v>4.3099999999999996</v>
      </c>
    </row>
    <row r="76" spans="1:17" customFormat="1">
      <c r="A76" s="100" t="s">
        <v>2416</v>
      </c>
      <c r="B76" s="100">
        <v>3.26</v>
      </c>
      <c r="C76" s="100">
        <v>39.880000000000003</v>
      </c>
      <c r="D76" s="100">
        <v>22.4</v>
      </c>
      <c r="E76" s="100">
        <v>17.170000000000002</v>
      </c>
      <c r="F76" s="100">
        <v>41.5</v>
      </c>
      <c r="G76" s="100">
        <v>30.28</v>
      </c>
      <c r="H76" s="100">
        <v>7.27</v>
      </c>
      <c r="I76" s="100">
        <v>5.7</v>
      </c>
      <c r="J76" s="100">
        <v>0.66</v>
      </c>
      <c r="K76" s="100">
        <v>251.75</v>
      </c>
      <c r="L76" s="100">
        <v>39.97</v>
      </c>
      <c r="M76" s="100">
        <v>20.59</v>
      </c>
      <c r="N76" s="100">
        <v>161.9</v>
      </c>
      <c r="O76" s="100">
        <v>0</v>
      </c>
      <c r="P76" s="100">
        <v>0.53</v>
      </c>
      <c r="Q76" s="100">
        <v>4.3499999999999996</v>
      </c>
    </row>
    <row r="77" spans="1:17" customFormat="1">
      <c r="A77" s="100" t="s">
        <v>2417</v>
      </c>
      <c r="B77" s="100">
        <v>3.21</v>
      </c>
      <c r="C77" s="100">
        <v>39</v>
      </c>
      <c r="D77" s="100">
        <v>21.9</v>
      </c>
      <c r="E77" s="100">
        <v>17.5</v>
      </c>
      <c r="F77" s="100">
        <v>43.33</v>
      </c>
      <c r="G77" s="100">
        <v>30.28</v>
      </c>
      <c r="H77" s="100">
        <v>7.27</v>
      </c>
      <c r="I77" s="100">
        <v>5.59</v>
      </c>
      <c r="J77" s="100">
        <v>0.59</v>
      </c>
      <c r="K77" s="100">
        <v>253.19</v>
      </c>
      <c r="L77" s="100">
        <v>39.520000000000003</v>
      </c>
      <c r="M77" s="100">
        <v>20.99</v>
      </c>
      <c r="N77" s="100">
        <v>85</v>
      </c>
      <c r="O77" s="100">
        <v>0</v>
      </c>
      <c r="P77" s="100">
        <v>0.52</v>
      </c>
      <c r="Q77" s="100">
        <v>4.3600000000000003</v>
      </c>
    </row>
    <row r="78" spans="1:17" customFormat="1">
      <c r="A78" s="100" t="s">
        <v>2418</v>
      </c>
      <c r="B78" s="100">
        <v>3.33</v>
      </c>
      <c r="C78" s="100">
        <v>39.49</v>
      </c>
      <c r="D78" s="100">
        <v>22.26</v>
      </c>
      <c r="E78" s="100">
        <v>17.809999999999999</v>
      </c>
      <c r="F78" s="100">
        <v>41.79</v>
      </c>
      <c r="G78" s="100">
        <v>32.14</v>
      </c>
      <c r="H78" s="100">
        <v>9.0299999999999994</v>
      </c>
      <c r="I78" s="100">
        <v>5.46</v>
      </c>
      <c r="J78" s="100">
        <v>0.75</v>
      </c>
      <c r="K78" s="100">
        <v>260.22000000000003</v>
      </c>
      <c r="L78" s="100">
        <v>39.04</v>
      </c>
      <c r="M78" s="100">
        <v>20.99</v>
      </c>
      <c r="N78" s="100">
        <v>94.5</v>
      </c>
      <c r="O78" s="100">
        <v>0</v>
      </c>
      <c r="P78" s="100">
        <v>0.51</v>
      </c>
      <c r="Q78" s="100">
        <v>4.3899999999999997</v>
      </c>
    </row>
    <row r="79" spans="1:17" customFormat="1">
      <c r="A79" s="100" t="s">
        <v>2419</v>
      </c>
      <c r="B79" s="100">
        <v>3.76</v>
      </c>
      <c r="C79" s="100">
        <v>45.29</v>
      </c>
      <c r="D79" s="100">
        <v>25.63</v>
      </c>
      <c r="E79" s="100">
        <v>13.93</v>
      </c>
      <c r="F79" s="100">
        <v>32.56</v>
      </c>
      <c r="G79" s="100">
        <v>34.799999999999997</v>
      </c>
      <c r="H79" s="100">
        <v>10.5</v>
      </c>
      <c r="I79" s="100">
        <v>5.19</v>
      </c>
      <c r="J79" s="100">
        <v>0.61</v>
      </c>
      <c r="K79" s="100">
        <v>252.2</v>
      </c>
      <c r="L79" s="100">
        <v>38.700000000000003</v>
      </c>
      <c r="M79" s="100">
        <v>21.13</v>
      </c>
      <c r="N79" s="100">
        <v>47.9</v>
      </c>
      <c r="O79" s="100">
        <v>0</v>
      </c>
      <c r="P79" s="100">
        <v>0.56000000000000005</v>
      </c>
      <c r="Q79" s="100">
        <v>4.46</v>
      </c>
    </row>
    <row r="80" spans="1:17" customFormat="1">
      <c r="A80" s="100" t="s">
        <v>2420</v>
      </c>
      <c r="B80" s="100">
        <v>3.57</v>
      </c>
      <c r="C80" s="100">
        <v>44.17</v>
      </c>
      <c r="D80" s="100">
        <v>24.89</v>
      </c>
      <c r="E80" s="100">
        <v>17.940000000000001</v>
      </c>
      <c r="F80" s="100">
        <v>45.99</v>
      </c>
      <c r="G80" s="100">
        <v>34.799999999999997</v>
      </c>
      <c r="H80" s="100">
        <v>10.5</v>
      </c>
      <c r="I80" s="100">
        <v>5.42</v>
      </c>
      <c r="J80" s="100">
        <v>0.46</v>
      </c>
      <c r="K80" s="100">
        <v>231.78</v>
      </c>
      <c r="L80" s="100">
        <v>38.24</v>
      </c>
      <c r="M80" s="100">
        <v>22.27</v>
      </c>
      <c r="N80" s="100">
        <v>30.3</v>
      </c>
      <c r="O80" s="100">
        <v>0</v>
      </c>
      <c r="P80" s="100">
        <v>0.54</v>
      </c>
      <c r="Q80" s="100">
        <v>4.5599999999999996</v>
      </c>
    </row>
    <row r="81" spans="1:17" customFormat="1">
      <c r="A81" s="100" t="s">
        <v>2421</v>
      </c>
      <c r="B81" s="100">
        <v>3.47</v>
      </c>
      <c r="C81" s="100">
        <v>40.700000000000003</v>
      </c>
      <c r="D81" s="100">
        <v>23</v>
      </c>
      <c r="E81" s="100">
        <v>10.5</v>
      </c>
      <c r="F81" s="100">
        <v>51.48</v>
      </c>
      <c r="G81" s="100">
        <v>34.799999999999997</v>
      </c>
      <c r="H81" s="100">
        <v>10.5</v>
      </c>
      <c r="I81" s="100">
        <v>5.63</v>
      </c>
      <c r="J81" s="100">
        <v>0.27</v>
      </c>
      <c r="K81" s="100">
        <v>225.66</v>
      </c>
      <c r="L81" s="100">
        <v>37.409999999999997</v>
      </c>
      <c r="M81" s="100">
        <v>24.8</v>
      </c>
      <c r="N81" s="100">
        <v>11.2</v>
      </c>
      <c r="O81" s="100">
        <v>0</v>
      </c>
      <c r="P81" s="100">
        <v>0.5</v>
      </c>
      <c r="Q81" s="100">
        <v>4.51</v>
      </c>
    </row>
    <row r="82" spans="1:17" customFormat="1">
      <c r="A82" s="100" t="s">
        <v>2422</v>
      </c>
      <c r="B82" s="100">
        <v>3.52</v>
      </c>
      <c r="C82" s="100">
        <v>37.72</v>
      </c>
      <c r="D82" s="100">
        <v>21.49</v>
      </c>
      <c r="E82" s="100">
        <v>15.46</v>
      </c>
      <c r="F82" s="100">
        <v>54.83</v>
      </c>
      <c r="G82" s="100">
        <v>35.36</v>
      </c>
      <c r="H82" s="100">
        <v>9.5</v>
      </c>
      <c r="I82" s="100">
        <v>5.17</v>
      </c>
      <c r="J82" s="100">
        <v>0.21</v>
      </c>
      <c r="K82" s="100">
        <v>212.02</v>
      </c>
      <c r="L82" s="100">
        <v>36.79</v>
      </c>
      <c r="M82" s="100">
        <v>26.32</v>
      </c>
      <c r="N82" s="100">
        <v>0.7</v>
      </c>
      <c r="O82" s="100">
        <v>0</v>
      </c>
      <c r="P82" s="100">
        <v>0.48</v>
      </c>
      <c r="Q82" s="100">
        <v>4.51</v>
      </c>
    </row>
    <row r="83" spans="1:17" customFormat="1">
      <c r="A83" s="100" t="s">
        <v>2423</v>
      </c>
      <c r="B83" s="100">
        <v>3.71</v>
      </c>
      <c r="C83" s="100">
        <v>36.82</v>
      </c>
      <c r="D83" s="100">
        <v>21.17</v>
      </c>
      <c r="E83" s="100">
        <v>14.7</v>
      </c>
      <c r="F83" s="100">
        <v>55.35</v>
      </c>
      <c r="G83" s="100">
        <v>36.159999999999997</v>
      </c>
      <c r="H83" s="100">
        <v>8.64</v>
      </c>
      <c r="I83" s="100">
        <v>4.8899999999999997</v>
      </c>
      <c r="J83" s="100">
        <v>0.23</v>
      </c>
      <c r="K83" s="100">
        <v>229.97</v>
      </c>
      <c r="L83" s="100">
        <v>36.19</v>
      </c>
      <c r="M83" s="100">
        <v>27.4</v>
      </c>
      <c r="N83" s="100">
        <v>0</v>
      </c>
      <c r="O83" s="100">
        <v>0</v>
      </c>
      <c r="P83" s="100">
        <v>0.47</v>
      </c>
      <c r="Q83" s="100">
        <v>4.5</v>
      </c>
    </row>
    <row r="84" spans="1:17" customFormat="1">
      <c r="A84" s="100" t="s">
        <v>2424</v>
      </c>
      <c r="B84" s="100">
        <v>3.72</v>
      </c>
      <c r="C84" s="100">
        <v>36.1</v>
      </c>
      <c r="D84" s="100">
        <v>20.8</v>
      </c>
      <c r="E84" s="100">
        <v>14.93</v>
      </c>
      <c r="F84" s="100">
        <v>51.34</v>
      </c>
      <c r="G84" s="100">
        <v>36.159999999999997</v>
      </c>
      <c r="H84" s="100">
        <v>8.64</v>
      </c>
      <c r="I84" s="100">
        <v>4.6399999999999997</v>
      </c>
      <c r="J84" s="100">
        <v>0.24</v>
      </c>
      <c r="K84" s="100">
        <v>239.42</v>
      </c>
      <c r="L84" s="100">
        <v>35.83</v>
      </c>
      <c r="M84" s="100">
        <v>28.27</v>
      </c>
      <c r="N84" s="100">
        <v>0</v>
      </c>
      <c r="O84" s="100">
        <v>0</v>
      </c>
      <c r="P84" s="100">
        <v>0.47</v>
      </c>
      <c r="Q84" s="100">
        <v>4.49</v>
      </c>
    </row>
    <row r="85" spans="1:17" customFormat="1">
      <c r="A85" s="100" t="s">
        <v>2425</v>
      </c>
      <c r="B85" s="100">
        <v>3.81</v>
      </c>
      <c r="C85" s="100">
        <v>36.6</v>
      </c>
      <c r="D85" s="100">
        <v>21.13</v>
      </c>
      <c r="E85" s="100">
        <v>15.2</v>
      </c>
      <c r="F85" s="100">
        <v>48.41</v>
      </c>
      <c r="G85" s="100">
        <v>36.159999999999997</v>
      </c>
      <c r="H85" s="100">
        <v>8.64</v>
      </c>
      <c r="I85" s="100">
        <v>4.4800000000000004</v>
      </c>
      <c r="J85" s="100">
        <v>0.21</v>
      </c>
      <c r="K85" s="100">
        <v>236.97</v>
      </c>
      <c r="L85" s="100">
        <v>35.4</v>
      </c>
      <c r="M85" s="100">
        <v>29.05</v>
      </c>
      <c r="N85" s="100">
        <v>0</v>
      </c>
      <c r="O85" s="100">
        <v>0</v>
      </c>
      <c r="P85" s="100">
        <v>0.48</v>
      </c>
      <c r="Q85" s="100">
        <v>4.4800000000000004</v>
      </c>
    </row>
    <row r="86" spans="1:17" customFormat="1">
      <c r="A86" s="100" t="s">
        <v>2426</v>
      </c>
      <c r="B86" s="100">
        <v>3.79</v>
      </c>
      <c r="C86" s="100">
        <v>36.47</v>
      </c>
      <c r="D86" s="100">
        <v>21.05</v>
      </c>
      <c r="E86" s="100">
        <v>16.82</v>
      </c>
      <c r="F86" s="100">
        <v>50.65</v>
      </c>
      <c r="G86" s="100">
        <v>37.22</v>
      </c>
      <c r="H86" s="100">
        <v>10.25</v>
      </c>
      <c r="I86" s="100">
        <v>4.46</v>
      </c>
      <c r="J86" s="100">
        <v>0.17</v>
      </c>
      <c r="K86" s="100">
        <v>220.99</v>
      </c>
      <c r="L86" s="100">
        <v>35</v>
      </c>
      <c r="M86" s="100">
        <v>29.71</v>
      </c>
      <c r="N86" s="100">
        <v>0</v>
      </c>
      <c r="O86" s="100">
        <v>0</v>
      </c>
      <c r="P86" s="100">
        <v>0.51</v>
      </c>
      <c r="Q86" s="100">
        <v>4.47</v>
      </c>
    </row>
    <row r="87" spans="1:17" customFormat="1">
      <c r="A87" s="100" t="s">
        <v>2427</v>
      </c>
      <c r="B87" s="100">
        <v>4.72</v>
      </c>
      <c r="C87" s="100">
        <v>43.17</v>
      </c>
      <c r="D87" s="100">
        <v>25.3</v>
      </c>
      <c r="E87" s="100">
        <v>16.010000000000002</v>
      </c>
      <c r="F87" s="100">
        <v>36.909999999999997</v>
      </c>
      <c r="G87" s="100">
        <v>38.729999999999997</v>
      </c>
      <c r="H87" s="100">
        <v>13.98</v>
      </c>
      <c r="I87" s="100">
        <v>4.53</v>
      </c>
      <c r="J87" s="100">
        <v>0.18</v>
      </c>
      <c r="K87" s="100">
        <v>208.53</v>
      </c>
      <c r="L87" s="100">
        <v>34.619999999999997</v>
      </c>
      <c r="M87" s="100">
        <v>30.46</v>
      </c>
      <c r="N87" s="100">
        <v>0</v>
      </c>
      <c r="O87" s="100">
        <v>0</v>
      </c>
      <c r="P87" s="100">
        <v>0.53</v>
      </c>
      <c r="Q87" s="100">
        <v>4.5599999999999996</v>
      </c>
    </row>
    <row r="88" spans="1:17" customFormat="1">
      <c r="A88" s="100" t="s">
        <v>2428</v>
      </c>
      <c r="B88" s="100">
        <v>4.63</v>
      </c>
      <c r="C88" s="100">
        <v>41.65</v>
      </c>
      <c r="D88" s="100">
        <v>24.43</v>
      </c>
      <c r="E88" s="100">
        <v>15.42</v>
      </c>
      <c r="F88" s="100">
        <v>44.31</v>
      </c>
      <c r="G88" s="100">
        <v>38.729999999999997</v>
      </c>
      <c r="H88" s="100">
        <v>13.98</v>
      </c>
      <c r="I88" s="100">
        <v>5.01</v>
      </c>
      <c r="J88" s="100">
        <v>0.25</v>
      </c>
      <c r="K88" s="100">
        <v>222.93</v>
      </c>
      <c r="L88" s="100">
        <v>34.520000000000003</v>
      </c>
      <c r="M88" s="100">
        <v>30.93</v>
      </c>
      <c r="N88" s="100">
        <v>0</v>
      </c>
      <c r="O88" s="100">
        <v>0</v>
      </c>
      <c r="P88" s="100">
        <v>0.51</v>
      </c>
      <c r="Q88" s="100">
        <v>4.67</v>
      </c>
    </row>
    <row r="89" spans="1:17" customFormat="1">
      <c r="A89" s="100" t="s">
        <v>2429</v>
      </c>
      <c r="B89" s="100">
        <v>4.66</v>
      </c>
      <c r="C89" s="100">
        <v>39.53</v>
      </c>
      <c r="D89" s="100">
        <v>23.35</v>
      </c>
      <c r="E89" s="100">
        <v>15.48</v>
      </c>
      <c r="F89" s="100">
        <v>45.96</v>
      </c>
      <c r="G89" s="100">
        <v>38.729999999999997</v>
      </c>
      <c r="H89" s="100">
        <v>13.98</v>
      </c>
      <c r="I89" s="100">
        <v>5.36</v>
      </c>
      <c r="J89" s="100">
        <v>0.22</v>
      </c>
      <c r="K89" s="100">
        <v>228.71</v>
      </c>
      <c r="L89" s="100">
        <v>34.340000000000003</v>
      </c>
      <c r="M89" s="100">
        <v>31.64</v>
      </c>
      <c r="N89" s="100">
        <v>0</v>
      </c>
      <c r="O89" s="100">
        <v>0</v>
      </c>
      <c r="P89" s="100">
        <v>0.51</v>
      </c>
      <c r="Q89" s="100">
        <v>4.6399999999999997</v>
      </c>
    </row>
    <row r="90" spans="1:17" customFormat="1">
      <c r="A90" s="100" t="s">
        <v>2430</v>
      </c>
      <c r="B90" s="100">
        <v>4.53</v>
      </c>
      <c r="C90" s="100">
        <v>37.36</v>
      </c>
      <c r="D90" s="100">
        <v>22.11</v>
      </c>
      <c r="E90" s="100">
        <v>15.43</v>
      </c>
      <c r="F90" s="100">
        <v>47.1</v>
      </c>
      <c r="G90" s="100">
        <v>40.67</v>
      </c>
      <c r="H90" s="100">
        <v>14.21</v>
      </c>
      <c r="I90" s="100">
        <v>5.15</v>
      </c>
      <c r="J90" s="100">
        <v>0.27</v>
      </c>
      <c r="K90" s="100">
        <v>233.39</v>
      </c>
      <c r="L90" s="100">
        <v>34.090000000000003</v>
      </c>
      <c r="M90" s="100">
        <v>32.340000000000003</v>
      </c>
      <c r="N90" s="100">
        <v>0</v>
      </c>
      <c r="O90" s="100">
        <v>0</v>
      </c>
      <c r="P90" s="100">
        <v>0.48</v>
      </c>
      <c r="Q90" s="100">
        <v>4.58</v>
      </c>
    </row>
    <row r="91" spans="1:17" customFormat="1">
      <c r="A91" s="100" t="s">
        <v>2431</v>
      </c>
      <c r="B91" s="100">
        <v>5.1100000000000003</v>
      </c>
      <c r="C91" s="100">
        <v>42.08</v>
      </c>
      <c r="D91" s="100">
        <v>25.03</v>
      </c>
      <c r="E91" s="100">
        <v>13.52</v>
      </c>
      <c r="F91" s="100">
        <v>35.57</v>
      </c>
      <c r="G91" s="100">
        <v>43.46</v>
      </c>
      <c r="H91" s="100">
        <v>14.4</v>
      </c>
      <c r="I91" s="100">
        <v>4.96</v>
      </c>
      <c r="J91" s="100">
        <v>0.26</v>
      </c>
      <c r="K91" s="100">
        <v>234.35</v>
      </c>
      <c r="L91" s="100">
        <v>33.74</v>
      </c>
      <c r="M91" s="100">
        <v>33.520000000000003</v>
      </c>
      <c r="N91" s="100">
        <v>0</v>
      </c>
      <c r="O91" s="100">
        <v>0</v>
      </c>
      <c r="P91" s="100">
        <v>0.5</v>
      </c>
      <c r="Q91" s="100">
        <v>4.58</v>
      </c>
    </row>
    <row r="92" spans="1:17" customFormat="1">
      <c r="A92" s="100" t="s">
        <v>2432</v>
      </c>
      <c r="B92" s="100">
        <v>5.18</v>
      </c>
      <c r="C92" s="100">
        <v>46.11</v>
      </c>
      <c r="D92" s="100">
        <v>27.2</v>
      </c>
      <c r="E92" s="100">
        <v>13.65</v>
      </c>
      <c r="F92" s="100">
        <v>39.74</v>
      </c>
      <c r="G92" s="100">
        <v>43.46</v>
      </c>
      <c r="H92" s="100">
        <v>14.4</v>
      </c>
      <c r="I92" s="100">
        <v>4.6399999999999997</v>
      </c>
      <c r="J92" s="100">
        <v>0.25</v>
      </c>
      <c r="K92" s="100">
        <v>241.53</v>
      </c>
      <c r="L92" s="100">
        <v>33.47</v>
      </c>
      <c r="M92" s="100">
        <v>34.14</v>
      </c>
      <c r="N92" s="100">
        <v>0</v>
      </c>
      <c r="O92" s="100">
        <v>0</v>
      </c>
      <c r="P92" s="100">
        <v>0.53</v>
      </c>
      <c r="Q92" s="100">
        <v>4.7699999999999996</v>
      </c>
    </row>
    <row r="93" spans="1:17" customFormat="1">
      <c r="A93" s="100" t="s">
        <v>2433</v>
      </c>
      <c r="B93" s="100">
        <v>5.0999999999999996</v>
      </c>
      <c r="C93" s="100">
        <v>41.97</v>
      </c>
      <c r="D93" s="100">
        <v>24.97</v>
      </c>
      <c r="E93" s="100">
        <v>13.87</v>
      </c>
      <c r="F93" s="100">
        <v>37.520000000000003</v>
      </c>
      <c r="G93" s="100">
        <v>43.46</v>
      </c>
      <c r="H93" s="100">
        <v>14.4</v>
      </c>
      <c r="I93" s="100">
        <v>4.79</v>
      </c>
      <c r="J93" s="100">
        <v>0.25</v>
      </c>
      <c r="K93" s="100">
        <v>234.59</v>
      </c>
      <c r="L93" s="100">
        <v>33.32</v>
      </c>
      <c r="M93" s="100">
        <v>34.630000000000003</v>
      </c>
      <c r="N93" s="100">
        <v>0</v>
      </c>
      <c r="O93" s="100">
        <v>0</v>
      </c>
      <c r="P93" s="100">
        <v>0.53</v>
      </c>
      <c r="Q93" s="100">
        <v>4.6900000000000004</v>
      </c>
    </row>
    <row r="94" spans="1:17" customFormat="1">
      <c r="A94" s="100" t="s">
        <v>2434</v>
      </c>
      <c r="B94" s="100">
        <v>6.47</v>
      </c>
      <c r="C94" s="100">
        <v>49.04</v>
      </c>
      <c r="D94" s="100">
        <v>29.77</v>
      </c>
      <c r="E94" s="100">
        <v>11.99</v>
      </c>
      <c r="F94" s="100">
        <v>26.98</v>
      </c>
      <c r="G94" s="100">
        <v>43.04</v>
      </c>
      <c r="H94" s="100">
        <v>15.53</v>
      </c>
      <c r="I94" s="100">
        <v>5.01</v>
      </c>
      <c r="J94" s="100">
        <v>0.27</v>
      </c>
      <c r="K94" s="100">
        <v>225.35</v>
      </c>
      <c r="L94" s="100">
        <v>33.14</v>
      </c>
      <c r="M94" s="100">
        <v>34.86</v>
      </c>
      <c r="N94" s="100">
        <v>0</v>
      </c>
      <c r="O94" s="100">
        <v>0</v>
      </c>
      <c r="P94" s="100">
        <v>0.53</v>
      </c>
      <c r="Q94" s="100">
        <v>4.6900000000000004</v>
      </c>
    </row>
    <row r="95" spans="1:17" customFormat="1">
      <c r="A95" s="100" t="s">
        <v>2435</v>
      </c>
      <c r="B95" s="100">
        <v>6</v>
      </c>
      <c r="C95" s="100">
        <v>47.03</v>
      </c>
      <c r="D95" s="100">
        <v>28.34</v>
      </c>
      <c r="E95" s="100">
        <v>12.76</v>
      </c>
      <c r="F95" s="100">
        <v>35.5</v>
      </c>
      <c r="G95" s="100">
        <v>42.44</v>
      </c>
      <c r="H95" s="100">
        <v>16.47</v>
      </c>
      <c r="I95" s="100">
        <v>4.8899999999999997</v>
      </c>
      <c r="J95" s="100">
        <v>0.26</v>
      </c>
      <c r="K95" s="100">
        <v>242.51</v>
      </c>
      <c r="L95" s="100">
        <v>33.07</v>
      </c>
      <c r="M95" s="100">
        <v>34.93</v>
      </c>
      <c r="N95" s="100">
        <v>0</v>
      </c>
      <c r="O95" s="100">
        <v>0</v>
      </c>
      <c r="P95" s="100">
        <v>0.54</v>
      </c>
      <c r="Q95" s="100">
        <v>4.8099999999999996</v>
      </c>
    </row>
    <row r="96" spans="1:17" customFormat="1">
      <c r="A96" s="100" t="s">
        <v>2436</v>
      </c>
      <c r="B96" s="100">
        <v>6.08</v>
      </c>
      <c r="C96" s="100">
        <v>42.76</v>
      </c>
      <c r="D96" s="100">
        <v>26.17</v>
      </c>
      <c r="E96" s="100">
        <v>12.73</v>
      </c>
      <c r="F96" s="100">
        <v>35</v>
      </c>
      <c r="G96" s="100">
        <v>42.44</v>
      </c>
      <c r="H96" s="100">
        <v>16.47</v>
      </c>
      <c r="I96" s="100">
        <v>4.87</v>
      </c>
      <c r="J96" s="100">
        <v>0.28000000000000003</v>
      </c>
      <c r="K96" s="100">
        <v>247.19</v>
      </c>
      <c r="L96" s="100">
        <v>32.869999999999997</v>
      </c>
      <c r="M96" s="100">
        <v>35.76</v>
      </c>
      <c r="N96" s="100">
        <v>0</v>
      </c>
      <c r="O96" s="100">
        <v>0</v>
      </c>
      <c r="P96" s="100">
        <v>0.51</v>
      </c>
      <c r="Q96" s="100">
        <v>4.7</v>
      </c>
    </row>
    <row r="97" spans="1:22" customFormat="1">
      <c r="A97" s="100" t="s">
        <v>2437</v>
      </c>
      <c r="B97" s="100">
        <v>7.19</v>
      </c>
      <c r="C97" s="100">
        <v>50.57</v>
      </c>
      <c r="D97" s="100">
        <v>31.14</v>
      </c>
      <c r="E97" s="100">
        <v>10.93</v>
      </c>
      <c r="F97" s="100">
        <v>25.89</v>
      </c>
      <c r="G97" s="100">
        <v>42.44</v>
      </c>
      <c r="H97" s="100">
        <v>16.47</v>
      </c>
      <c r="I97" s="100">
        <v>4.68</v>
      </c>
      <c r="J97" s="100">
        <v>0.22</v>
      </c>
      <c r="K97" s="100">
        <v>235.83</v>
      </c>
      <c r="L97" s="100">
        <v>32.69</v>
      </c>
      <c r="M97" s="100">
        <v>36.49</v>
      </c>
      <c r="N97" s="100">
        <v>0</v>
      </c>
      <c r="O97" s="100">
        <v>0</v>
      </c>
      <c r="P97" s="100">
        <v>0.54</v>
      </c>
      <c r="Q97" s="100">
        <v>4.76</v>
      </c>
    </row>
    <row r="98" spans="1:22" customFormat="1">
      <c r="A98" s="100" t="s">
        <v>2438</v>
      </c>
      <c r="B98" s="100">
        <v>7.31</v>
      </c>
      <c r="C98" s="100">
        <v>50.39</v>
      </c>
      <c r="D98" s="100">
        <v>31.15</v>
      </c>
      <c r="E98" s="100">
        <v>10.81</v>
      </c>
      <c r="F98" s="100">
        <v>19.47</v>
      </c>
      <c r="G98" s="100">
        <v>42.66</v>
      </c>
      <c r="H98" s="100">
        <v>17.600000000000001</v>
      </c>
      <c r="I98" s="100">
        <v>4.6900000000000004</v>
      </c>
      <c r="J98" s="100">
        <v>0.26</v>
      </c>
      <c r="K98" s="100">
        <v>247.14</v>
      </c>
      <c r="L98" s="100">
        <v>32.54</v>
      </c>
      <c r="M98" s="100">
        <v>36.89</v>
      </c>
      <c r="N98" s="100">
        <v>0</v>
      </c>
      <c r="O98" s="100">
        <v>0</v>
      </c>
      <c r="P98" s="100">
        <v>0.55000000000000004</v>
      </c>
      <c r="Q98" s="100">
        <v>4.83</v>
      </c>
    </row>
    <row r="99" spans="1:22" customFormat="1">
      <c r="A99" s="100" t="s">
        <v>2439</v>
      </c>
      <c r="B99" s="100">
        <v>7.12</v>
      </c>
      <c r="C99" s="100">
        <v>49.59</v>
      </c>
      <c r="D99" s="100">
        <v>30.57</v>
      </c>
      <c r="E99" s="100">
        <v>10.52</v>
      </c>
      <c r="F99" s="100">
        <v>30.03</v>
      </c>
      <c r="G99" s="100">
        <v>42.99</v>
      </c>
      <c r="H99" s="100">
        <v>18.510000000000002</v>
      </c>
      <c r="I99" s="100">
        <v>4.84</v>
      </c>
      <c r="J99" s="100">
        <v>0.28000000000000003</v>
      </c>
      <c r="K99" s="100">
        <v>242.3</v>
      </c>
      <c r="L99" s="100">
        <v>32.43</v>
      </c>
      <c r="M99" s="100">
        <v>37.049999999999997</v>
      </c>
      <c r="N99" s="100">
        <v>0</v>
      </c>
      <c r="O99" s="100">
        <v>0</v>
      </c>
      <c r="P99" s="100">
        <v>0.55000000000000004</v>
      </c>
      <c r="Q99" s="100">
        <v>4.8600000000000003</v>
      </c>
    </row>
    <row r="100" spans="1:22" customFormat="1">
      <c r="A100" s="100" t="s">
        <v>2440</v>
      </c>
      <c r="B100" s="100">
        <v>6.73</v>
      </c>
      <c r="C100" s="100">
        <v>43.49</v>
      </c>
      <c r="D100" s="100">
        <v>27.07</v>
      </c>
      <c r="E100" s="100">
        <v>10.86</v>
      </c>
      <c r="F100" s="100">
        <v>31.7</v>
      </c>
      <c r="G100" s="100">
        <v>42.99</v>
      </c>
      <c r="H100" s="100">
        <v>18.510000000000002</v>
      </c>
      <c r="I100" s="100">
        <v>4.8499999999999996</v>
      </c>
      <c r="J100" s="100">
        <v>0.23</v>
      </c>
      <c r="K100" s="100">
        <v>250.59</v>
      </c>
      <c r="L100" s="100">
        <v>32.119999999999997</v>
      </c>
      <c r="M100" s="100">
        <v>37.96</v>
      </c>
      <c r="N100" s="100">
        <v>0</v>
      </c>
      <c r="O100" s="100">
        <v>0</v>
      </c>
      <c r="P100" s="100">
        <v>0.52</v>
      </c>
      <c r="Q100" s="100">
        <v>4.79</v>
      </c>
    </row>
    <row r="101" spans="1:22" customFormat="1">
      <c r="A101" s="100" t="s">
        <v>2441</v>
      </c>
      <c r="B101" s="100">
        <v>8.0299999999999994</v>
      </c>
      <c r="C101" s="100">
        <v>50.65</v>
      </c>
      <c r="D101" s="100">
        <v>31.86</v>
      </c>
      <c r="E101" s="100">
        <v>9.67</v>
      </c>
      <c r="F101" s="100">
        <v>21.4</v>
      </c>
      <c r="G101" s="100">
        <v>42.99</v>
      </c>
      <c r="H101" s="100">
        <v>18.510000000000002</v>
      </c>
      <c r="I101" s="100">
        <v>4.7699999999999996</v>
      </c>
      <c r="J101" s="100">
        <v>0.2</v>
      </c>
      <c r="K101" s="100">
        <v>224.3</v>
      </c>
      <c r="L101" s="100">
        <v>31.9</v>
      </c>
      <c r="M101" s="100">
        <v>39.04</v>
      </c>
      <c r="N101" s="100">
        <v>0</v>
      </c>
      <c r="O101" s="100">
        <v>0</v>
      </c>
      <c r="P101" s="100">
        <v>0.54</v>
      </c>
      <c r="Q101" s="100">
        <v>4.7699999999999996</v>
      </c>
    </row>
    <row r="102" spans="1:22" customFormat="1">
      <c r="A102" s="100" t="s">
        <v>2442</v>
      </c>
      <c r="B102" s="100">
        <v>7.2</v>
      </c>
      <c r="C102" s="100">
        <v>45.99</v>
      </c>
      <c r="D102" s="100">
        <v>28.76</v>
      </c>
      <c r="E102" s="100">
        <v>11.24</v>
      </c>
      <c r="F102" s="100">
        <v>34.53</v>
      </c>
      <c r="G102" s="100">
        <v>43.19</v>
      </c>
      <c r="H102" s="100">
        <v>17.47</v>
      </c>
      <c r="I102" s="100">
        <v>4.63</v>
      </c>
      <c r="J102" s="100">
        <v>0.16</v>
      </c>
      <c r="K102" s="100">
        <v>213.96</v>
      </c>
      <c r="L102" s="100">
        <v>31.74</v>
      </c>
      <c r="M102" s="100">
        <v>39.6</v>
      </c>
      <c r="N102" s="100">
        <v>0</v>
      </c>
      <c r="O102" s="100">
        <v>0</v>
      </c>
      <c r="P102" s="100">
        <v>0.52</v>
      </c>
      <c r="Q102" s="100">
        <v>4.8499999999999996</v>
      </c>
    </row>
    <row r="103" spans="1:22" customFormat="1">
      <c r="A103" s="100" t="s">
        <v>2443</v>
      </c>
      <c r="B103" s="100">
        <v>8.1</v>
      </c>
      <c r="C103" s="100">
        <v>48.52</v>
      </c>
      <c r="D103" s="100">
        <v>30.8</v>
      </c>
      <c r="E103" s="100">
        <v>9.64</v>
      </c>
      <c r="F103" s="100">
        <v>20.85</v>
      </c>
      <c r="G103" s="100">
        <v>43.48</v>
      </c>
      <c r="H103" s="100">
        <v>16.63</v>
      </c>
      <c r="I103" s="100">
        <v>4.6399999999999997</v>
      </c>
      <c r="J103" s="100">
        <v>0.12</v>
      </c>
      <c r="K103" s="100">
        <v>186.35</v>
      </c>
      <c r="L103" s="100">
        <v>31.35</v>
      </c>
      <c r="M103" s="100">
        <v>40.700000000000003</v>
      </c>
      <c r="N103" s="100">
        <v>0</v>
      </c>
      <c r="O103" s="100">
        <v>0</v>
      </c>
      <c r="P103" s="100">
        <v>0.53</v>
      </c>
      <c r="Q103" s="100">
        <v>4.7699999999999996</v>
      </c>
    </row>
    <row r="104" spans="1:22" customFormat="1">
      <c r="A104" s="100" t="s">
        <v>2444</v>
      </c>
      <c r="B104" s="100">
        <v>8.3800000000000008</v>
      </c>
      <c r="C104" s="100">
        <v>52.92</v>
      </c>
      <c r="D104" s="100">
        <v>33.32</v>
      </c>
      <c r="E104" s="100">
        <v>9.9600000000000009</v>
      </c>
      <c r="F104" s="100">
        <v>25.94</v>
      </c>
      <c r="G104" s="100">
        <v>43.48</v>
      </c>
      <c r="H104" s="100">
        <v>16.63</v>
      </c>
      <c r="I104" s="100">
        <v>4.49</v>
      </c>
      <c r="J104" s="100">
        <v>0.15</v>
      </c>
      <c r="K104" s="100">
        <v>216.16</v>
      </c>
      <c r="L104" s="100">
        <v>31.21</v>
      </c>
      <c r="M104" s="100">
        <v>41.25</v>
      </c>
      <c r="N104" s="100">
        <v>0</v>
      </c>
      <c r="O104" s="100">
        <v>0</v>
      </c>
      <c r="P104" s="100">
        <v>0.54</v>
      </c>
      <c r="Q104" s="100">
        <v>4.9000000000000004</v>
      </c>
    </row>
    <row r="106" spans="1:22">
      <c r="A106" s="157" t="s">
        <v>48</v>
      </c>
      <c r="B106" s="158">
        <f>MIN(B9:B104)</f>
        <v>1.72</v>
      </c>
      <c r="C106" s="158">
        <f>MIN(C9:C104)</f>
        <v>26.56</v>
      </c>
      <c r="D106" s="158">
        <f t="shared" ref="D106:Q106" si="0">MIN(D9:D104)</f>
        <v>14.55</v>
      </c>
      <c r="E106" s="158">
        <f t="shared" si="0"/>
        <v>4.55</v>
      </c>
      <c r="F106" s="158">
        <f t="shared" si="0"/>
        <v>3.85</v>
      </c>
      <c r="G106" s="158">
        <f t="shared" si="0"/>
        <v>15.91</v>
      </c>
      <c r="H106" s="158">
        <f t="shared" si="0"/>
        <v>0</v>
      </c>
      <c r="I106" s="158">
        <f t="shared" si="0"/>
        <v>3.25</v>
      </c>
      <c r="J106" s="158">
        <f t="shared" si="0"/>
        <v>0.04</v>
      </c>
      <c r="K106" s="158">
        <f t="shared" si="0"/>
        <v>7.41</v>
      </c>
      <c r="L106" s="158">
        <f t="shared" si="0"/>
        <v>24.7</v>
      </c>
      <c r="M106" s="158">
        <f t="shared" si="0"/>
        <v>19.13</v>
      </c>
      <c r="N106" s="158">
        <f t="shared" si="0"/>
        <v>0</v>
      </c>
      <c r="O106" s="158">
        <f t="shared" si="0"/>
        <v>0</v>
      </c>
      <c r="P106" s="158">
        <f t="shared" si="0"/>
        <v>0.35</v>
      </c>
      <c r="Q106" s="158">
        <f t="shared" si="0"/>
        <v>4.07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18.079999999999998</v>
      </c>
      <c r="C107" s="157">
        <f t="shared" ref="C107:Q107" si="1">MAX(C9:C104)</f>
        <v>62.21</v>
      </c>
      <c r="D107" s="157">
        <f t="shared" si="1"/>
        <v>44.28</v>
      </c>
      <c r="E107" s="157">
        <f t="shared" si="1"/>
        <v>45.43</v>
      </c>
      <c r="F107" s="157">
        <f t="shared" si="1"/>
        <v>103.71</v>
      </c>
      <c r="G107" s="157">
        <f t="shared" si="1"/>
        <v>59.61</v>
      </c>
      <c r="H107" s="157">
        <f t="shared" si="1"/>
        <v>21.37</v>
      </c>
      <c r="I107" s="157">
        <f t="shared" si="1"/>
        <v>7.33</v>
      </c>
      <c r="J107" s="157">
        <f t="shared" si="1"/>
        <v>1.49</v>
      </c>
      <c r="K107" s="157">
        <f t="shared" si="1"/>
        <v>309.58999999999997</v>
      </c>
      <c r="L107" s="157">
        <f t="shared" si="1"/>
        <v>41.17</v>
      </c>
      <c r="M107" s="157">
        <f t="shared" si="1"/>
        <v>58.68</v>
      </c>
      <c r="N107" s="157">
        <f t="shared" si="1"/>
        <v>846.2</v>
      </c>
      <c r="O107" s="157">
        <f t="shared" si="1"/>
        <v>0</v>
      </c>
      <c r="P107" s="157">
        <f t="shared" si="1"/>
        <v>0.85</v>
      </c>
      <c r="Q107" s="157">
        <f t="shared" si="1"/>
        <v>5.14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7.4830208333333346</v>
      </c>
      <c r="C108" s="158">
        <f t="shared" ref="C108:Q108" si="2">AVERAGE(C9:C104)</f>
        <v>48.603645833333339</v>
      </c>
      <c r="D108" s="158">
        <f t="shared" si="2"/>
        <v>30.34979166666669</v>
      </c>
      <c r="E108" s="158">
        <f t="shared" si="2"/>
        <v>12.373333333333333</v>
      </c>
      <c r="F108" s="158">
        <f t="shared" si="2"/>
        <v>27.904270833333328</v>
      </c>
      <c r="G108" s="158">
        <f t="shared" si="2"/>
        <v>35.909777777777776</v>
      </c>
      <c r="H108" s="158">
        <f t="shared" si="2"/>
        <v>11.278222222222222</v>
      </c>
      <c r="I108" s="158">
        <f t="shared" si="2"/>
        <v>5.0152083333333319</v>
      </c>
      <c r="J108" s="158">
        <f t="shared" si="2"/>
        <v>0.53885416666666652</v>
      </c>
      <c r="K108" s="158">
        <f t="shared" si="2"/>
        <v>229.92510416666656</v>
      </c>
      <c r="L108" s="158">
        <f t="shared" si="2"/>
        <v>33.229479166666657</v>
      </c>
      <c r="M108" s="158">
        <f t="shared" si="2"/>
        <v>36.802812499999995</v>
      </c>
      <c r="N108" s="158">
        <f t="shared" si="2"/>
        <v>175.15312500000005</v>
      </c>
      <c r="O108" s="158">
        <f t="shared" si="2"/>
        <v>0</v>
      </c>
      <c r="P108" s="158">
        <f t="shared" si="2"/>
        <v>0.52843749999999989</v>
      </c>
      <c r="Q108" s="158">
        <f t="shared" si="2"/>
        <v>4.6641666666666666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4.6286026355106475</v>
      </c>
      <c r="C109" s="158">
        <f t="shared" ref="C109:Q109" si="3">STDEV(C9:C104)</f>
        <v>10.054327491424958</v>
      </c>
      <c r="D109" s="158">
        <f t="shared" si="3"/>
        <v>8.611424599934054</v>
      </c>
      <c r="E109" s="158">
        <f t="shared" si="3"/>
        <v>8.5452622351023706</v>
      </c>
      <c r="F109" s="158">
        <f t="shared" si="3"/>
        <v>22.996319739644935</v>
      </c>
      <c r="G109" s="158">
        <f t="shared" si="3"/>
        <v>13.351104400539603</v>
      </c>
      <c r="H109" s="158">
        <f t="shared" si="3"/>
        <v>5.4699312030219129</v>
      </c>
      <c r="I109" s="158">
        <f t="shared" si="3"/>
        <v>1.2637821091067274</v>
      </c>
      <c r="J109" s="158">
        <f t="shared" si="3"/>
        <v>0.42823965201905795</v>
      </c>
      <c r="K109" s="158">
        <f t="shared" si="3"/>
        <v>54.312652301181934</v>
      </c>
      <c r="L109" s="158">
        <f t="shared" si="3"/>
        <v>5.3285788309320035</v>
      </c>
      <c r="M109" s="158">
        <f t="shared" si="3"/>
        <v>12.230138674871181</v>
      </c>
      <c r="N109" s="158">
        <f t="shared" si="3"/>
        <v>271.74733386698711</v>
      </c>
      <c r="O109" s="158">
        <f t="shared" si="3"/>
        <v>0</v>
      </c>
      <c r="P109" s="158">
        <f t="shared" si="3"/>
        <v>0.14134934792171752</v>
      </c>
      <c r="Q109" s="158">
        <f t="shared" si="3"/>
        <v>0.2951562179295163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v>96</v>
      </c>
      <c r="H110" s="157"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24/05/2023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2445</v>
      </c>
      <c r="B9" s="100">
        <v>8.4600000000000009</v>
      </c>
      <c r="C9" s="100">
        <v>46.93</v>
      </c>
      <c r="D9" s="100">
        <v>30.26</v>
      </c>
      <c r="E9" s="100">
        <v>10</v>
      </c>
      <c r="F9" s="100">
        <v>20.38</v>
      </c>
      <c r="G9" s="100">
        <v>43.48</v>
      </c>
      <c r="H9" s="100">
        <v>16.63</v>
      </c>
      <c r="I9" s="100">
        <v>4.6100000000000003</v>
      </c>
      <c r="J9" s="100">
        <v>0.2</v>
      </c>
      <c r="K9" s="100">
        <v>207.88</v>
      </c>
      <c r="L9" s="100">
        <v>31.15</v>
      </c>
      <c r="M9" s="100">
        <v>41.73</v>
      </c>
      <c r="N9" s="100">
        <v>0</v>
      </c>
      <c r="O9" s="100">
        <v>0</v>
      </c>
      <c r="P9" s="100">
        <v>0.53</v>
      </c>
      <c r="Q9" s="100">
        <v>4.82</v>
      </c>
    </row>
    <row r="10" spans="1:21" customFormat="1">
      <c r="A10" s="100" t="s">
        <v>2446</v>
      </c>
      <c r="B10" s="100">
        <v>9.1300000000000008</v>
      </c>
      <c r="C10" s="100">
        <v>53.89</v>
      </c>
      <c r="D10" s="100">
        <v>34.43</v>
      </c>
      <c r="E10" s="100">
        <v>9.82</v>
      </c>
      <c r="F10" s="100">
        <v>22.97</v>
      </c>
      <c r="G10" s="100">
        <v>42.23</v>
      </c>
      <c r="H10" s="100">
        <v>17.32</v>
      </c>
      <c r="I10" s="100">
        <v>4.67</v>
      </c>
      <c r="J10" s="100">
        <v>0.24</v>
      </c>
      <c r="K10" s="100">
        <v>231.92</v>
      </c>
      <c r="L10" s="100">
        <v>31.01</v>
      </c>
      <c r="M10" s="100">
        <v>41.89</v>
      </c>
      <c r="N10" s="100">
        <v>0</v>
      </c>
      <c r="O10" s="100">
        <v>0</v>
      </c>
      <c r="P10" s="100">
        <v>0.56000000000000005</v>
      </c>
      <c r="Q10" s="100">
        <v>4.93</v>
      </c>
    </row>
    <row r="11" spans="1:21" customFormat="1">
      <c r="A11" s="100" t="s">
        <v>2447</v>
      </c>
      <c r="B11" s="100">
        <v>9.0399999999999991</v>
      </c>
      <c r="C11" s="100">
        <v>49.92</v>
      </c>
      <c r="D11" s="100">
        <v>32.28</v>
      </c>
      <c r="E11" s="100">
        <v>9.64</v>
      </c>
      <c r="F11" s="100">
        <v>18.77</v>
      </c>
      <c r="G11" s="100">
        <v>40.44</v>
      </c>
      <c r="H11" s="100">
        <v>17.88</v>
      </c>
      <c r="I11" s="100">
        <v>4.71</v>
      </c>
      <c r="J11" s="100">
        <v>0.34</v>
      </c>
      <c r="K11" s="100">
        <v>243.05</v>
      </c>
      <c r="L11" s="100">
        <v>31.01</v>
      </c>
      <c r="M11" s="100">
        <v>41.81</v>
      </c>
      <c r="N11" s="100">
        <v>0</v>
      </c>
      <c r="O11" s="100">
        <v>0</v>
      </c>
      <c r="P11" s="100">
        <v>0.54</v>
      </c>
      <c r="Q11" s="100">
        <v>4.8899999999999997</v>
      </c>
    </row>
    <row r="12" spans="1:21" customFormat="1">
      <c r="A12" s="100" t="s">
        <v>2448</v>
      </c>
      <c r="B12" s="100">
        <v>10.130000000000001</v>
      </c>
      <c r="C12" s="100">
        <v>57.36</v>
      </c>
      <c r="D12" s="100">
        <v>37.04</v>
      </c>
      <c r="E12" s="100">
        <v>9.0500000000000007</v>
      </c>
      <c r="F12" s="100">
        <v>17.649999999999999</v>
      </c>
      <c r="G12" s="100">
        <v>40.44</v>
      </c>
      <c r="H12" s="100">
        <v>17.88</v>
      </c>
      <c r="I12" s="100">
        <v>4.8899999999999997</v>
      </c>
      <c r="J12" s="100">
        <v>0.3</v>
      </c>
      <c r="K12" s="100">
        <v>236.87</v>
      </c>
      <c r="L12" s="100">
        <v>31</v>
      </c>
      <c r="M12" s="100">
        <v>41.75</v>
      </c>
      <c r="N12" s="100">
        <v>0</v>
      </c>
      <c r="O12" s="100">
        <v>0</v>
      </c>
      <c r="P12" s="100">
        <v>0.56000000000000005</v>
      </c>
      <c r="Q12" s="100">
        <v>4.9800000000000004</v>
      </c>
    </row>
    <row r="13" spans="1:21" customFormat="1">
      <c r="A13" s="100" t="s">
        <v>2449</v>
      </c>
      <c r="B13" s="100">
        <v>9.76</v>
      </c>
      <c r="C13" s="100">
        <v>49.49</v>
      </c>
      <c r="D13" s="100">
        <v>32.64</v>
      </c>
      <c r="E13" s="100">
        <v>9.2200000000000006</v>
      </c>
      <c r="F13" s="100">
        <v>17.87</v>
      </c>
      <c r="G13" s="100">
        <v>40.44</v>
      </c>
      <c r="H13" s="100">
        <v>17.88</v>
      </c>
      <c r="I13" s="100">
        <v>4.8600000000000003</v>
      </c>
      <c r="J13" s="100">
        <v>0.39</v>
      </c>
      <c r="K13" s="100">
        <v>236.38</v>
      </c>
      <c r="L13" s="100">
        <v>30.98</v>
      </c>
      <c r="M13" s="100">
        <v>41.7</v>
      </c>
      <c r="N13" s="100">
        <v>0</v>
      </c>
      <c r="O13" s="100">
        <v>0</v>
      </c>
      <c r="P13" s="100">
        <v>0.54</v>
      </c>
      <c r="Q13" s="100">
        <v>4.91</v>
      </c>
    </row>
    <row r="14" spans="1:21" customFormat="1">
      <c r="A14" s="100" t="s">
        <v>2450</v>
      </c>
      <c r="B14" s="100">
        <v>10.64</v>
      </c>
      <c r="C14" s="100">
        <v>56.66</v>
      </c>
      <c r="D14" s="100">
        <v>37.1</v>
      </c>
      <c r="E14" s="100">
        <v>8.52</v>
      </c>
      <c r="F14" s="100">
        <v>14.3</v>
      </c>
      <c r="G14" s="100">
        <v>40.1</v>
      </c>
      <c r="H14" s="100">
        <v>17.64</v>
      </c>
      <c r="I14" s="100">
        <v>4.92</v>
      </c>
      <c r="J14" s="100">
        <v>0.54</v>
      </c>
      <c r="K14" s="100">
        <v>245.32</v>
      </c>
      <c r="L14" s="100">
        <v>31.07</v>
      </c>
      <c r="M14" s="100">
        <v>41.49</v>
      </c>
      <c r="N14" s="100">
        <v>0</v>
      </c>
      <c r="O14" s="100">
        <v>0</v>
      </c>
      <c r="P14" s="100">
        <v>0.56999999999999995</v>
      </c>
      <c r="Q14" s="100">
        <v>4.95</v>
      </c>
    </row>
    <row r="15" spans="1:21" customFormat="1">
      <c r="A15" s="100" t="s">
        <v>2451</v>
      </c>
      <c r="B15" s="100">
        <v>10.32</v>
      </c>
      <c r="C15" s="100">
        <v>51.18</v>
      </c>
      <c r="D15" s="100">
        <v>33.97</v>
      </c>
      <c r="E15" s="100">
        <v>8.93</v>
      </c>
      <c r="F15" s="100">
        <v>15.75</v>
      </c>
      <c r="G15" s="100">
        <v>39.6</v>
      </c>
      <c r="H15" s="100">
        <v>17.079999999999998</v>
      </c>
      <c r="I15" s="100">
        <v>4.8899999999999997</v>
      </c>
      <c r="J15" s="100">
        <v>0.63</v>
      </c>
      <c r="K15" s="100">
        <v>243.73</v>
      </c>
      <c r="L15" s="100">
        <v>31.19</v>
      </c>
      <c r="M15" s="100">
        <v>41.59</v>
      </c>
      <c r="N15" s="100">
        <v>0</v>
      </c>
      <c r="O15" s="100">
        <v>0</v>
      </c>
      <c r="P15" s="100">
        <v>0.54</v>
      </c>
      <c r="Q15" s="100">
        <v>4.95</v>
      </c>
    </row>
    <row r="16" spans="1:21" customFormat="1">
      <c r="A16" s="100" t="s">
        <v>2452</v>
      </c>
      <c r="B16" s="100">
        <v>11.13</v>
      </c>
      <c r="C16" s="100">
        <v>58.04</v>
      </c>
      <c r="D16" s="100">
        <v>38.200000000000003</v>
      </c>
      <c r="E16" s="100">
        <v>8.4600000000000009</v>
      </c>
      <c r="F16" s="100">
        <v>12.14</v>
      </c>
      <c r="G16" s="100">
        <v>39.6</v>
      </c>
      <c r="H16" s="100">
        <v>17.079999999999998</v>
      </c>
      <c r="I16" s="100">
        <v>4.96</v>
      </c>
      <c r="J16" s="100">
        <v>0.61</v>
      </c>
      <c r="K16" s="100">
        <v>249.08</v>
      </c>
      <c r="L16" s="100">
        <v>31.49</v>
      </c>
      <c r="M16" s="100">
        <v>41</v>
      </c>
      <c r="N16" s="100">
        <v>0</v>
      </c>
      <c r="O16" s="100">
        <v>0</v>
      </c>
      <c r="P16" s="100">
        <v>0.56999999999999995</v>
      </c>
      <c r="Q16" s="100">
        <v>4.97</v>
      </c>
    </row>
    <row r="17" spans="1:17" customFormat="1">
      <c r="A17" s="100" t="s">
        <v>2453</v>
      </c>
      <c r="B17" s="100">
        <v>10.11</v>
      </c>
      <c r="C17" s="100">
        <v>50.48</v>
      </c>
      <c r="D17" s="100">
        <v>33.43</v>
      </c>
      <c r="E17" s="100">
        <v>7.53</v>
      </c>
      <c r="F17" s="100">
        <v>21.17</v>
      </c>
      <c r="G17" s="100">
        <v>39.6</v>
      </c>
      <c r="H17" s="100">
        <v>17.079999999999998</v>
      </c>
      <c r="I17" s="100">
        <v>4.8899999999999997</v>
      </c>
      <c r="J17" s="100">
        <v>0.55000000000000004</v>
      </c>
      <c r="K17" s="100">
        <v>242</v>
      </c>
      <c r="L17" s="100">
        <v>31.56</v>
      </c>
      <c r="M17" s="100">
        <v>40.86</v>
      </c>
      <c r="N17" s="100">
        <v>0</v>
      </c>
      <c r="O17" s="100">
        <v>0</v>
      </c>
      <c r="P17" s="100">
        <v>0.54</v>
      </c>
      <c r="Q17" s="100">
        <v>4.96</v>
      </c>
    </row>
    <row r="18" spans="1:17" customFormat="1">
      <c r="A18" s="100" t="s">
        <v>2454</v>
      </c>
      <c r="B18" s="100">
        <v>10.67</v>
      </c>
      <c r="C18" s="100">
        <v>53.63</v>
      </c>
      <c r="D18" s="100">
        <v>35.53</v>
      </c>
      <c r="E18" s="100">
        <v>7.94</v>
      </c>
      <c r="F18" s="100">
        <v>10.58</v>
      </c>
      <c r="G18" s="100">
        <v>38.42</v>
      </c>
      <c r="H18" s="100">
        <v>17.45</v>
      </c>
      <c r="I18" s="100">
        <v>4.92</v>
      </c>
      <c r="J18" s="100">
        <v>0.64</v>
      </c>
      <c r="K18" s="100">
        <v>249.21</v>
      </c>
      <c r="L18" s="100">
        <v>31.47</v>
      </c>
      <c r="M18" s="100">
        <v>41.01</v>
      </c>
      <c r="N18" s="100">
        <v>0</v>
      </c>
      <c r="O18" s="100">
        <v>0</v>
      </c>
      <c r="P18" s="100">
        <v>0.54</v>
      </c>
      <c r="Q18" s="100">
        <v>4.88</v>
      </c>
    </row>
    <row r="19" spans="1:17" customFormat="1">
      <c r="A19" s="100" t="s">
        <v>2455</v>
      </c>
      <c r="B19" s="100">
        <v>10.37</v>
      </c>
      <c r="C19" s="100">
        <v>55.21</v>
      </c>
      <c r="D19" s="100">
        <v>36.119999999999997</v>
      </c>
      <c r="E19" s="100">
        <v>8.5299999999999994</v>
      </c>
      <c r="F19" s="100">
        <v>20.02</v>
      </c>
      <c r="G19" s="100">
        <v>36.72</v>
      </c>
      <c r="H19" s="100">
        <v>17.760000000000002</v>
      </c>
      <c r="I19" s="100">
        <v>4.6900000000000004</v>
      </c>
      <c r="J19" s="100">
        <v>0.5</v>
      </c>
      <c r="K19" s="100">
        <v>237.07</v>
      </c>
      <c r="L19" s="100">
        <v>31.28</v>
      </c>
      <c r="M19" s="100">
        <v>41.96</v>
      </c>
      <c r="N19" s="100">
        <v>0</v>
      </c>
      <c r="O19" s="100">
        <v>0</v>
      </c>
      <c r="P19" s="100">
        <v>0.54</v>
      </c>
      <c r="Q19" s="100">
        <v>5.01</v>
      </c>
    </row>
    <row r="20" spans="1:17" customFormat="1">
      <c r="A20" s="100" t="s">
        <v>2456</v>
      </c>
      <c r="B20" s="100">
        <v>10.66</v>
      </c>
      <c r="C20" s="100">
        <v>51.46</v>
      </c>
      <c r="D20" s="100">
        <v>34.380000000000003</v>
      </c>
      <c r="E20" s="100">
        <v>7.9</v>
      </c>
      <c r="F20" s="100">
        <v>10.87</v>
      </c>
      <c r="G20" s="100">
        <v>36.72</v>
      </c>
      <c r="H20" s="100">
        <v>17.760000000000002</v>
      </c>
      <c r="I20" s="100">
        <v>4.7699999999999996</v>
      </c>
      <c r="J20" s="100">
        <v>0.61</v>
      </c>
      <c r="K20" s="100">
        <v>248.27</v>
      </c>
      <c r="L20" s="100">
        <v>31.08</v>
      </c>
      <c r="M20" s="100">
        <v>42.32</v>
      </c>
      <c r="N20" s="100">
        <v>0</v>
      </c>
      <c r="O20" s="100">
        <v>0</v>
      </c>
      <c r="P20" s="100">
        <v>0.54</v>
      </c>
      <c r="Q20" s="100">
        <v>4.91</v>
      </c>
    </row>
    <row r="21" spans="1:17" customFormat="1">
      <c r="A21" s="100" t="s">
        <v>2457</v>
      </c>
      <c r="B21" s="100">
        <v>11.18</v>
      </c>
      <c r="C21" s="100">
        <v>57.46</v>
      </c>
      <c r="D21" s="100">
        <v>37.94</v>
      </c>
      <c r="E21" s="100">
        <v>8.1999999999999993</v>
      </c>
      <c r="F21" s="100">
        <v>12.06</v>
      </c>
      <c r="G21" s="100">
        <v>36.72</v>
      </c>
      <c r="H21" s="100">
        <v>17.760000000000002</v>
      </c>
      <c r="I21" s="100">
        <v>4.75</v>
      </c>
      <c r="J21" s="100">
        <v>0.41</v>
      </c>
      <c r="K21" s="100">
        <v>247.38</v>
      </c>
      <c r="L21" s="100">
        <v>30.79</v>
      </c>
      <c r="M21" s="100">
        <v>43.56</v>
      </c>
      <c r="N21" s="100">
        <v>0</v>
      </c>
      <c r="O21" s="100">
        <v>0</v>
      </c>
      <c r="P21" s="100">
        <v>0.55000000000000004</v>
      </c>
      <c r="Q21" s="100">
        <v>5.03</v>
      </c>
    </row>
    <row r="22" spans="1:17" customFormat="1">
      <c r="A22" s="100" t="s">
        <v>2458</v>
      </c>
      <c r="B22" s="100">
        <v>11.33</v>
      </c>
      <c r="C22" s="100">
        <v>56.51</v>
      </c>
      <c r="D22" s="100">
        <v>37.57</v>
      </c>
      <c r="E22" s="100">
        <v>7.81</v>
      </c>
      <c r="F22" s="100">
        <v>13.85</v>
      </c>
      <c r="G22" s="100">
        <v>36.43</v>
      </c>
      <c r="H22" s="100">
        <v>16.84</v>
      </c>
      <c r="I22" s="100">
        <v>4.75</v>
      </c>
      <c r="J22" s="100">
        <v>0.25</v>
      </c>
      <c r="K22" s="100">
        <v>225.12</v>
      </c>
      <c r="L22" s="100">
        <v>30.44</v>
      </c>
      <c r="M22" s="100">
        <v>45.18</v>
      </c>
      <c r="N22" s="100">
        <v>0</v>
      </c>
      <c r="O22" s="100">
        <v>0</v>
      </c>
      <c r="P22" s="100">
        <v>0.56000000000000005</v>
      </c>
      <c r="Q22" s="100">
        <v>5.01</v>
      </c>
    </row>
    <row r="23" spans="1:17" customFormat="1">
      <c r="A23" s="100" t="s">
        <v>2459</v>
      </c>
      <c r="B23" s="100">
        <v>11.05</v>
      </c>
      <c r="C23" s="100">
        <v>50.75</v>
      </c>
      <c r="D23" s="100">
        <v>34.33</v>
      </c>
      <c r="E23" s="100">
        <v>7.49</v>
      </c>
      <c r="F23" s="100">
        <v>15.68</v>
      </c>
      <c r="G23" s="100">
        <v>36.01</v>
      </c>
      <c r="H23" s="100">
        <v>16.04</v>
      </c>
      <c r="I23" s="100">
        <v>4.88</v>
      </c>
      <c r="J23" s="100">
        <v>0.22</v>
      </c>
      <c r="K23" s="100">
        <v>161.26</v>
      </c>
      <c r="L23" s="100">
        <v>30.2</v>
      </c>
      <c r="M23" s="100">
        <v>46.32</v>
      </c>
      <c r="N23" s="100">
        <v>0</v>
      </c>
      <c r="O23" s="100">
        <v>0</v>
      </c>
      <c r="P23" s="100">
        <v>0.54</v>
      </c>
      <c r="Q23" s="100">
        <v>4.92</v>
      </c>
    </row>
    <row r="24" spans="1:17" customFormat="1">
      <c r="A24" s="100" t="s">
        <v>2460</v>
      </c>
      <c r="B24" s="100">
        <v>11.86</v>
      </c>
      <c r="C24" s="100">
        <v>56.44</v>
      </c>
      <c r="D24" s="100">
        <v>37.950000000000003</v>
      </c>
      <c r="E24" s="100">
        <v>7.52</v>
      </c>
      <c r="F24" s="100">
        <v>11.8</v>
      </c>
      <c r="G24" s="100">
        <v>36.01</v>
      </c>
      <c r="H24" s="100">
        <v>16.04</v>
      </c>
      <c r="I24" s="100">
        <v>4.79</v>
      </c>
      <c r="J24" s="100">
        <v>0.2</v>
      </c>
      <c r="K24" s="100">
        <v>93.62</v>
      </c>
      <c r="L24" s="100">
        <v>29.58</v>
      </c>
      <c r="M24" s="100">
        <v>48.74</v>
      </c>
      <c r="N24" s="100">
        <v>0</v>
      </c>
      <c r="O24" s="100">
        <v>0</v>
      </c>
      <c r="P24" s="100">
        <v>0.55000000000000004</v>
      </c>
      <c r="Q24" s="100">
        <v>4.99</v>
      </c>
    </row>
    <row r="25" spans="1:17" customFormat="1">
      <c r="A25" s="100" t="s">
        <v>2461</v>
      </c>
      <c r="B25" s="100">
        <v>12.2</v>
      </c>
      <c r="C25" s="100">
        <v>53.09</v>
      </c>
      <c r="D25" s="100">
        <v>36.479999999999997</v>
      </c>
      <c r="E25" s="100">
        <v>7.09</v>
      </c>
      <c r="F25" s="100">
        <v>10.39</v>
      </c>
      <c r="G25" s="100">
        <v>36.01</v>
      </c>
      <c r="H25" s="100">
        <v>16.04</v>
      </c>
      <c r="I25" s="100">
        <v>4.75</v>
      </c>
      <c r="J25" s="100">
        <v>0.05</v>
      </c>
      <c r="K25" s="100">
        <v>144.13999999999999</v>
      </c>
      <c r="L25" s="100">
        <v>29.13</v>
      </c>
      <c r="M25" s="100">
        <v>50.59</v>
      </c>
      <c r="N25" s="100">
        <v>0</v>
      </c>
      <c r="O25" s="100">
        <v>0</v>
      </c>
      <c r="P25" s="100">
        <v>0.55000000000000004</v>
      </c>
      <c r="Q25" s="100">
        <v>4.9400000000000004</v>
      </c>
    </row>
    <row r="26" spans="1:17" customFormat="1">
      <c r="A26" s="100" t="s">
        <v>2462</v>
      </c>
      <c r="B26" s="100">
        <v>12.55</v>
      </c>
      <c r="C26" s="100">
        <v>56.78</v>
      </c>
      <c r="D26" s="100">
        <v>38.68</v>
      </c>
      <c r="E26" s="100">
        <v>7.1</v>
      </c>
      <c r="F26" s="100">
        <v>12.07</v>
      </c>
      <c r="G26" s="100">
        <v>37.619999999999997</v>
      </c>
      <c r="H26" s="100">
        <v>16.39</v>
      </c>
      <c r="I26" s="100">
        <v>4.8600000000000003</v>
      </c>
      <c r="J26" s="100">
        <v>0.34</v>
      </c>
      <c r="K26" s="100">
        <v>93.24</v>
      </c>
      <c r="L26" s="100">
        <v>29.07</v>
      </c>
      <c r="M26" s="100">
        <v>50.67</v>
      </c>
      <c r="N26" s="100">
        <v>0</v>
      </c>
      <c r="O26" s="100">
        <v>0</v>
      </c>
      <c r="P26" s="100">
        <v>0.56000000000000005</v>
      </c>
      <c r="Q26" s="100">
        <v>5.0599999999999996</v>
      </c>
    </row>
    <row r="27" spans="1:17" customFormat="1">
      <c r="A27" s="100" t="s">
        <v>2463</v>
      </c>
      <c r="B27" s="100">
        <v>12.8</v>
      </c>
      <c r="C27" s="100">
        <v>53.43</v>
      </c>
      <c r="D27" s="100">
        <v>37.14</v>
      </c>
      <c r="E27" s="100">
        <v>7.1</v>
      </c>
      <c r="F27" s="100">
        <v>10.91</v>
      </c>
      <c r="G27" s="100">
        <v>40.04</v>
      </c>
      <c r="H27" s="100">
        <v>16.68</v>
      </c>
      <c r="I27" s="100">
        <v>4.92</v>
      </c>
      <c r="J27" s="100">
        <v>0.2</v>
      </c>
      <c r="K27" s="100">
        <v>83.82</v>
      </c>
      <c r="L27" s="100">
        <v>29.37</v>
      </c>
      <c r="M27" s="100">
        <v>49.72</v>
      </c>
      <c r="N27" s="100">
        <v>0</v>
      </c>
      <c r="O27" s="100">
        <v>0</v>
      </c>
      <c r="P27" s="100">
        <v>0.54</v>
      </c>
      <c r="Q27" s="100">
        <v>5</v>
      </c>
    </row>
    <row r="28" spans="1:17" customFormat="1">
      <c r="A28" s="100" t="s">
        <v>2464</v>
      </c>
      <c r="B28" s="100">
        <v>13.33</v>
      </c>
      <c r="C28" s="100">
        <v>57.99</v>
      </c>
      <c r="D28" s="100">
        <v>39.94</v>
      </c>
      <c r="E28" s="100">
        <v>7.56</v>
      </c>
      <c r="F28" s="100">
        <v>11.3</v>
      </c>
      <c r="G28" s="100">
        <v>40.04</v>
      </c>
      <c r="H28" s="100">
        <v>16.68</v>
      </c>
      <c r="I28" s="100">
        <v>4.84</v>
      </c>
      <c r="J28" s="100">
        <v>0.28999999999999998</v>
      </c>
      <c r="K28" s="100">
        <v>243.6</v>
      </c>
      <c r="L28" s="100">
        <v>29.48</v>
      </c>
      <c r="M28" s="100">
        <v>49.91</v>
      </c>
      <c r="N28" s="100">
        <v>0</v>
      </c>
      <c r="O28" s="100">
        <v>0</v>
      </c>
      <c r="P28" s="100">
        <v>0.55000000000000004</v>
      </c>
      <c r="Q28" s="100">
        <v>5.0999999999999996</v>
      </c>
    </row>
    <row r="29" spans="1:17" customFormat="1">
      <c r="A29" s="100" t="s">
        <v>2465</v>
      </c>
      <c r="B29" s="100">
        <v>12.42</v>
      </c>
      <c r="C29" s="100">
        <v>49.75</v>
      </c>
      <c r="D29" s="100">
        <v>34.909999999999997</v>
      </c>
      <c r="E29" s="100">
        <v>7.85</v>
      </c>
      <c r="F29" s="100">
        <v>16.37</v>
      </c>
      <c r="G29" s="100">
        <v>40.04</v>
      </c>
      <c r="H29" s="100">
        <v>16.68</v>
      </c>
      <c r="I29" s="100">
        <v>4.79</v>
      </c>
      <c r="J29" s="100">
        <v>0.21</v>
      </c>
      <c r="K29" s="100">
        <v>232.47</v>
      </c>
      <c r="L29" s="100">
        <v>29.82</v>
      </c>
      <c r="M29" s="100">
        <v>48.83</v>
      </c>
      <c r="N29" s="100">
        <v>0</v>
      </c>
      <c r="O29" s="100">
        <v>0</v>
      </c>
      <c r="P29" s="100">
        <v>0.53</v>
      </c>
      <c r="Q29" s="100">
        <v>5.0199999999999996</v>
      </c>
    </row>
    <row r="30" spans="1:17" customFormat="1">
      <c r="A30" s="100" t="s">
        <v>2466</v>
      </c>
      <c r="B30" s="100">
        <v>12.25</v>
      </c>
      <c r="C30" s="100">
        <v>54.25</v>
      </c>
      <c r="D30" s="100">
        <v>37.119999999999997</v>
      </c>
      <c r="E30" s="100">
        <v>7.73</v>
      </c>
      <c r="F30" s="100">
        <v>19.100000000000001</v>
      </c>
      <c r="G30" s="100">
        <v>41.02</v>
      </c>
      <c r="H30" s="100">
        <v>16.37</v>
      </c>
      <c r="I30" s="100">
        <v>4.76</v>
      </c>
      <c r="J30" s="100">
        <v>7.0000000000000007E-2</v>
      </c>
      <c r="K30" s="100">
        <v>167.83</v>
      </c>
      <c r="L30" s="100">
        <v>29.62</v>
      </c>
      <c r="M30" s="100">
        <v>50.09</v>
      </c>
      <c r="N30" s="100">
        <v>0.1</v>
      </c>
      <c r="O30" s="100">
        <v>0</v>
      </c>
      <c r="P30" s="100">
        <v>0.55000000000000004</v>
      </c>
      <c r="Q30" s="100">
        <v>5.12</v>
      </c>
    </row>
    <row r="31" spans="1:17" customFormat="1">
      <c r="A31" s="100" t="s">
        <v>2467</v>
      </c>
      <c r="B31" s="100">
        <v>12.44</v>
      </c>
      <c r="C31" s="100">
        <v>50.48</v>
      </c>
      <c r="D31" s="100">
        <v>35.299999999999997</v>
      </c>
      <c r="E31" s="100">
        <v>8.2899999999999991</v>
      </c>
      <c r="F31" s="100">
        <v>15.87</v>
      </c>
      <c r="G31" s="100">
        <v>42.49</v>
      </c>
      <c r="H31" s="100">
        <v>16.11</v>
      </c>
      <c r="I31" s="100">
        <v>4.6900000000000004</v>
      </c>
      <c r="J31" s="100">
        <v>0.3</v>
      </c>
      <c r="K31" s="100">
        <v>257.10000000000002</v>
      </c>
      <c r="L31" s="100">
        <v>29.6</v>
      </c>
      <c r="M31" s="100">
        <v>50.52</v>
      </c>
      <c r="N31" s="100">
        <v>7.6</v>
      </c>
      <c r="O31" s="100">
        <v>0</v>
      </c>
      <c r="P31" s="100">
        <v>0.54</v>
      </c>
      <c r="Q31" s="100">
        <v>5.0999999999999996</v>
      </c>
    </row>
    <row r="32" spans="1:17" customFormat="1">
      <c r="A32" s="100" t="s">
        <v>2468</v>
      </c>
      <c r="B32" s="100">
        <v>13.79</v>
      </c>
      <c r="C32" s="100">
        <v>58.29</v>
      </c>
      <c r="D32" s="100">
        <v>40.46</v>
      </c>
      <c r="E32" s="100">
        <v>7.58</v>
      </c>
      <c r="F32" s="100">
        <v>11.43</v>
      </c>
      <c r="G32" s="100">
        <v>42.49</v>
      </c>
      <c r="H32" s="100">
        <v>16.11</v>
      </c>
      <c r="I32" s="100">
        <v>4.5599999999999996</v>
      </c>
      <c r="J32" s="100">
        <v>0.39</v>
      </c>
      <c r="K32" s="100">
        <v>252.17</v>
      </c>
      <c r="L32" s="100">
        <v>29.75</v>
      </c>
      <c r="M32" s="100">
        <v>50.67</v>
      </c>
      <c r="N32" s="100">
        <v>20.3</v>
      </c>
      <c r="O32" s="100">
        <v>0</v>
      </c>
      <c r="P32" s="100">
        <v>0.56000000000000005</v>
      </c>
      <c r="Q32" s="100">
        <v>5.13</v>
      </c>
    </row>
    <row r="33" spans="1:17" customFormat="1">
      <c r="A33" s="100" t="s">
        <v>2469</v>
      </c>
      <c r="B33" s="100">
        <v>12.98</v>
      </c>
      <c r="C33" s="100">
        <v>50.52</v>
      </c>
      <c r="D33" s="100">
        <v>35.76</v>
      </c>
      <c r="E33" s="100">
        <v>7.81</v>
      </c>
      <c r="F33" s="100">
        <v>13.99</v>
      </c>
      <c r="G33" s="100">
        <v>42.49</v>
      </c>
      <c r="H33" s="100">
        <v>16.11</v>
      </c>
      <c r="I33" s="100">
        <v>4.57</v>
      </c>
      <c r="J33" s="100">
        <v>0.27</v>
      </c>
      <c r="K33" s="100">
        <v>236.46</v>
      </c>
      <c r="L33" s="100">
        <v>29.83</v>
      </c>
      <c r="M33" s="100">
        <v>51.7</v>
      </c>
      <c r="N33" s="100">
        <v>33.4</v>
      </c>
      <c r="O33" s="100">
        <v>0</v>
      </c>
      <c r="P33" s="100">
        <v>0.54</v>
      </c>
      <c r="Q33" s="100">
        <v>5.05</v>
      </c>
    </row>
    <row r="34" spans="1:17" customFormat="1">
      <c r="A34" s="100" t="s">
        <v>2470</v>
      </c>
      <c r="B34" s="100">
        <v>14.06</v>
      </c>
      <c r="C34" s="100">
        <v>55.47</v>
      </c>
      <c r="D34" s="100">
        <v>39.21</v>
      </c>
      <c r="E34" s="100">
        <v>7.63</v>
      </c>
      <c r="F34" s="100">
        <v>11.18</v>
      </c>
      <c r="G34" s="100">
        <v>40.42</v>
      </c>
      <c r="H34" s="100">
        <v>17.13</v>
      </c>
      <c r="I34" s="100">
        <v>4.79</v>
      </c>
      <c r="J34" s="100">
        <v>0.31</v>
      </c>
      <c r="K34" s="100">
        <v>231.64</v>
      </c>
      <c r="L34" s="100">
        <v>30.08</v>
      </c>
      <c r="M34" s="100">
        <v>51.91</v>
      </c>
      <c r="N34" s="100">
        <v>45.5</v>
      </c>
      <c r="O34" s="100">
        <v>0</v>
      </c>
      <c r="P34" s="100">
        <v>0.56999999999999995</v>
      </c>
      <c r="Q34" s="100">
        <v>5.16</v>
      </c>
    </row>
    <row r="35" spans="1:17" customFormat="1">
      <c r="A35" s="100" t="s">
        <v>2471</v>
      </c>
      <c r="B35" s="100">
        <v>13.93</v>
      </c>
      <c r="C35" s="100">
        <v>51.2</v>
      </c>
      <c r="D35" s="100">
        <v>36.880000000000003</v>
      </c>
      <c r="E35" s="100">
        <v>7.83</v>
      </c>
      <c r="F35" s="100">
        <v>12.51</v>
      </c>
      <c r="G35" s="100">
        <v>37.47</v>
      </c>
      <c r="H35" s="100">
        <v>18.010000000000002</v>
      </c>
      <c r="I35" s="100">
        <v>4.7699999999999996</v>
      </c>
      <c r="J35" s="100">
        <v>0.33</v>
      </c>
      <c r="K35" s="100">
        <v>237.69</v>
      </c>
      <c r="L35" s="100">
        <v>30.69</v>
      </c>
      <c r="M35" s="100">
        <v>50.36</v>
      </c>
      <c r="N35" s="100">
        <v>55.7</v>
      </c>
      <c r="O35" s="100">
        <v>0</v>
      </c>
      <c r="P35" s="100">
        <v>0.55000000000000004</v>
      </c>
      <c r="Q35" s="100">
        <v>5.1100000000000003</v>
      </c>
    </row>
    <row r="36" spans="1:17" customFormat="1">
      <c r="A36" s="100" t="s">
        <v>2472</v>
      </c>
      <c r="B36" s="100">
        <v>14.57</v>
      </c>
      <c r="C36" s="100">
        <v>57.11</v>
      </c>
      <c r="D36" s="100">
        <v>40.479999999999997</v>
      </c>
      <c r="E36" s="100">
        <v>8.14</v>
      </c>
      <c r="F36" s="100">
        <v>10.82</v>
      </c>
      <c r="G36" s="100">
        <v>37.47</v>
      </c>
      <c r="H36" s="100">
        <v>18.010000000000002</v>
      </c>
      <c r="I36" s="100">
        <v>4.8499999999999996</v>
      </c>
      <c r="J36" s="100">
        <v>0.3</v>
      </c>
      <c r="K36" s="100">
        <v>210.24</v>
      </c>
      <c r="L36" s="100">
        <v>31.49</v>
      </c>
      <c r="M36" s="100">
        <v>48.4</v>
      </c>
      <c r="N36" s="100">
        <v>64.599999999999994</v>
      </c>
      <c r="O36" s="100">
        <v>0</v>
      </c>
      <c r="P36" s="100">
        <v>0.57999999999999996</v>
      </c>
      <c r="Q36" s="100">
        <v>5.17</v>
      </c>
    </row>
    <row r="37" spans="1:17" customFormat="1">
      <c r="A37" s="100" t="s">
        <v>2473</v>
      </c>
      <c r="B37" s="100">
        <v>14.58</v>
      </c>
      <c r="C37" s="100">
        <v>52.46</v>
      </c>
      <c r="D37" s="100">
        <v>38.06</v>
      </c>
      <c r="E37" s="100">
        <v>7.62</v>
      </c>
      <c r="F37" s="100">
        <v>11.48</v>
      </c>
      <c r="G37" s="100">
        <v>37.47</v>
      </c>
      <c r="H37" s="100">
        <v>18.010000000000002</v>
      </c>
      <c r="I37" s="100">
        <v>4.82</v>
      </c>
      <c r="J37" s="100">
        <v>0.44</v>
      </c>
      <c r="K37" s="100">
        <v>230.61</v>
      </c>
      <c r="L37" s="100">
        <v>31.9</v>
      </c>
      <c r="M37" s="100">
        <v>47.11</v>
      </c>
      <c r="N37" s="100">
        <v>72.5</v>
      </c>
      <c r="O37" s="100">
        <v>0</v>
      </c>
      <c r="P37" s="100">
        <v>0.56000000000000005</v>
      </c>
      <c r="Q37" s="100">
        <v>5.0999999999999996</v>
      </c>
    </row>
    <row r="38" spans="1:17" customFormat="1">
      <c r="A38" s="100" t="s">
        <v>2474</v>
      </c>
      <c r="B38" s="100">
        <v>14.52</v>
      </c>
      <c r="C38" s="100">
        <v>56.99</v>
      </c>
      <c r="D38" s="100">
        <v>40.380000000000003</v>
      </c>
      <c r="E38" s="100">
        <v>7.04</v>
      </c>
      <c r="F38" s="100">
        <v>9.4</v>
      </c>
      <c r="G38" s="100">
        <v>37.74</v>
      </c>
      <c r="H38" s="100">
        <v>18.010000000000002</v>
      </c>
      <c r="I38" s="100">
        <v>4.9000000000000004</v>
      </c>
      <c r="J38" s="100">
        <v>0.76</v>
      </c>
      <c r="K38" s="100">
        <v>254.26</v>
      </c>
      <c r="L38" s="100">
        <v>32.229999999999997</v>
      </c>
      <c r="M38" s="100">
        <v>46.07</v>
      </c>
      <c r="N38" s="100">
        <v>80.2</v>
      </c>
      <c r="O38" s="100">
        <v>0</v>
      </c>
      <c r="P38" s="100">
        <v>0.57999999999999996</v>
      </c>
      <c r="Q38" s="100">
        <v>5.16</v>
      </c>
    </row>
    <row r="39" spans="1:17" customFormat="1">
      <c r="A39" s="100" t="s">
        <v>2475</v>
      </c>
      <c r="B39" s="100">
        <v>13.87</v>
      </c>
      <c r="C39" s="100">
        <v>50.4</v>
      </c>
      <c r="D39" s="100">
        <v>36.409999999999997</v>
      </c>
      <c r="E39" s="100">
        <v>7.94</v>
      </c>
      <c r="F39" s="100">
        <v>14.16</v>
      </c>
      <c r="G39" s="100">
        <v>38.15</v>
      </c>
      <c r="H39" s="100">
        <v>17.989999999999998</v>
      </c>
      <c r="I39" s="100">
        <v>4.83</v>
      </c>
      <c r="J39" s="100">
        <v>0.55000000000000004</v>
      </c>
      <c r="K39" s="100">
        <v>243.2</v>
      </c>
      <c r="L39" s="100">
        <v>32.71</v>
      </c>
      <c r="M39" s="100">
        <v>45.29</v>
      </c>
      <c r="N39" s="100">
        <v>87.6</v>
      </c>
      <c r="O39" s="100">
        <v>0</v>
      </c>
      <c r="P39" s="100">
        <v>0.56000000000000005</v>
      </c>
      <c r="Q39" s="100">
        <v>5.0999999999999996</v>
      </c>
    </row>
    <row r="40" spans="1:17" customFormat="1">
      <c r="A40" s="100" t="s">
        <v>2476</v>
      </c>
      <c r="B40" s="100">
        <v>13.13</v>
      </c>
      <c r="C40" s="100">
        <v>50.17</v>
      </c>
      <c r="D40" s="100">
        <v>35.700000000000003</v>
      </c>
      <c r="E40" s="100">
        <v>7.3</v>
      </c>
      <c r="F40" s="100">
        <v>10.47</v>
      </c>
      <c r="G40" s="100">
        <v>38.15</v>
      </c>
      <c r="H40" s="100">
        <v>17.989999999999998</v>
      </c>
      <c r="I40" s="100">
        <v>4.87</v>
      </c>
      <c r="J40" s="100">
        <v>0.66</v>
      </c>
      <c r="K40" s="100">
        <v>244.33</v>
      </c>
      <c r="L40" s="100">
        <v>33.270000000000003</v>
      </c>
      <c r="M40" s="100">
        <v>44.03</v>
      </c>
      <c r="N40" s="100">
        <v>95.5</v>
      </c>
      <c r="O40" s="100">
        <v>0</v>
      </c>
      <c r="P40" s="100">
        <v>0.55000000000000004</v>
      </c>
      <c r="Q40" s="100">
        <v>4.99</v>
      </c>
    </row>
    <row r="41" spans="1:17" customFormat="1">
      <c r="A41" s="100" t="s">
        <v>2477</v>
      </c>
      <c r="B41" s="100">
        <v>13.52</v>
      </c>
      <c r="C41" s="100">
        <v>61.07</v>
      </c>
      <c r="D41" s="100">
        <v>41.7</v>
      </c>
      <c r="E41" s="100">
        <v>7.4</v>
      </c>
      <c r="F41" s="100">
        <v>6.96</v>
      </c>
      <c r="G41" s="100">
        <v>38.15</v>
      </c>
      <c r="H41" s="100">
        <v>17.989999999999998</v>
      </c>
      <c r="I41" s="100">
        <v>4.82</v>
      </c>
      <c r="J41" s="100">
        <v>1.03</v>
      </c>
      <c r="K41" s="100">
        <v>256.75</v>
      </c>
      <c r="L41" s="100">
        <v>33.630000000000003</v>
      </c>
      <c r="M41" s="100">
        <v>42.51</v>
      </c>
      <c r="N41" s="100">
        <v>103.7</v>
      </c>
      <c r="O41" s="100">
        <v>0</v>
      </c>
      <c r="P41" s="100">
        <v>0.59</v>
      </c>
      <c r="Q41" s="100">
        <v>5.13</v>
      </c>
    </row>
    <row r="42" spans="1:17" customFormat="1">
      <c r="A42" s="100" t="s">
        <v>2478</v>
      </c>
      <c r="B42" s="100">
        <v>11.75</v>
      </c>
      <c r="C42" s="100">
        <v>52.1</v>
      </c>
      <c r="D42" s="100">
        <v>35.6</v>
      </c>
      <c r="E42" s="100">
        <v>8.39</v>
      </c>
      <c r="F42" s="100">
        <v>15.28</v>
      </c>
      <c r="G42" s="100">
        <v>37.729999999999997</v>
      </c>
      <c r="H42" s="100">
        <v>19.2</v>
      </c>
      <c r="I42" s="100">
        <v>4.91</v>
      </c>
      <c r="J42" s="100">
        <v>0.87</v>
      </c>
      <c r="K42" s="100">
        <v>252.74</v>
      </c>
      <c r="L42" s="100">
        <v>34.340000000000003</v>
      </c>
      <c r="M42" s="100">
        <v>40.159999999999997</v>
      </c>
      <c r="N42" s="100">
        <v>110.1</v>
      </c>
      <c r="O42" s="100">
        <v>0</v>
      </c>
      <c r="P42" s="100">
        <v>0.56999999999999995</v>
      </c>
      <c r="Q42" s="100">
        <v>5.14</v>
      </c>
    </row>
    <row r="43" spans="1:17" customFormat="1">
      <c r="A43" s="100" t="s">
        <v>2479</v>
      </c>
      <c r="B43" s="100">
        <v>11.1</v>
      </c>
      <c r="C43" s="100">
        <v>49.9</v>
      </c>
      <c r="D43" s="100">
        <v>33.93</v>
      </c>
      <c r="E43" s="100">
        <v>8.23</v>
      </c>
      <c r="F43" s="100">
        <v>16.2</v>
      </c>
      <c r="G43" s="100">
        <v>37.119999999999997</v>
      </c>
      <c r="H43" s="100">
        <v>20.25</v>
      </c>
      <c r="I43" s="100">
        <v>4.96</v>
      </c>
      <c r="J43" s="100">
        <v>0.91</v>
      </c>
      <c r="K43" s="100">
        <v>252.67</v>
      </c>
      <c r="L43" s="100">
        <v>34.86</v>
      </c>
      <c r="M43" s="100">
        <v>38.4</v>
      </c>
      <c r="N43" s="100">
        <v>116.9</v>
      </c>
      <c r="O43" s="100">
        <v>0</v>
      </c>
      <c r="P43" s="100">
        <v>0.55000000000000004</v>
      </c>
      <c r="Q43" s="100">
        <v>4.95</v>
      </c>
    </row>
    <row r="44" spans="1:17" customFormat="1">
      <c r="A44" s="100" t="s">
        <v>2480</v>
      </c>
      <c r="B44" s="100">
        <v>10.54</v>
      </c>
      <c r="C44" s="100">
        <v>49.78</v>
      </c>
      <c r="D44" s="100">
        <v>33.409999999999997</v>
      </c>
      <c r="E44" s="100">
        <v>8.26</v>
      </c>
      <c r="F44" s="100">
        <v>17.329999999999998</v>
      </c>
      <c r="G44" s="100">
        <v>37.119999999999997</v>
      </c>
      <c r="H44" s="100">
        <v>20.25</v>
      </c>
      <c r="I44" s="100">
        <v>4.79</v>
      </c>
      <c r="J44" s="100">
        <v>1.05</v>
      </c>
      <c r="K44" s="100">
        <v>259.87</v>
      </c>
      <c r="L44" s="100">
        <v>35.26</v>
      </c>
      <c r="M44" s="100">
        <v>36.71</v>
      </c>
      <c r="N44" s="100">
        <v>121.9</v>
      </c>
      <c r="O44" s="100">
        <v>0</v>
      </c>
      <c r="P44" s="100">
        <v>0.54</v>
      </c>
      <c r="Q44" s="100">
        <v>4.82</v>
      </c>
    </row>
    <row r="45" spans="1:17" customFormat="1">
      <c r="A45" s="100" t="s">
        <v>2481</v>
      </c>
      <c r="B45" s="100">
        <v>9.3000000000000007</v>
      </c>
      <c r="C45" s="100">
        <v>46.62</v>
      </c>
      <c r="D45" s="100">
        <v>30.77</v>
      </c>
      <c r="E45" s="100">
        <v>9.3000000000000007</v>
      </c>
      <c r="F45" s="100">
        <v>17.54</v>
      </c>
      <c r="G45" s="100">
        <v>37.119999999999997</v>
      </c>
      <c r="H45" s="100">
        <v>20.25</v>
      </c>
      <c r="I45" s="100">
        <v>4.75</v>
      </c>
      <c r="J45" s="100">
        <v>0.98</v>
      </c>
      <c r="K45" s="100">
        <v>262.74</v>
      </c>
      <c r="L45" s="100">
        <v>35.950000000000003</v>
      </c>
      <c r="M45" s="100">
        <v>35.28</v>
      </c>
      <c r="N45" s="100">
        <v>125.7</v>
      </c>
      <c r="O45" s="100">
        <v>0</v>
      </c>
      <c r="P45" s="100">
        <v>0.53</v>
      </c>
      <c r="Q45" s="100">
        <v>4.7699999999999996</v>
      </c>
    </row>
    <row r="46" spans="1:17" customFormat="1">
      <c r="A46" s="100" t="s">
        <v>2482</v>
      </c>
      <c r="B46" s="100">
        <v>8.44</v>
      </c>
      <c r="C46" s="100">
        <v>46.91</v>
      </c>
      <c r="D46" s="100">
        <v>30.23</v>
      </c>
      <c r="E46" s="100">
        <v>10.68</v>
      </c>
      <c r="F46" s="100">
        <v>20.97</v>
      </c>
      <c r="G46" s="100">
        <v>38.15</v>
      </c>
      <c r="H46" s="100">
        <v>19.010000000000002</v>
      </c>
      <c r="I46" s="100">
        <v>4.72</v>
      </c>
      <c r="J46" s="100">
        <v>1.01</v>
      </c>
      <c r="K46" s="100">
        <v>268.48</v>
      </c>
      <c r="L46" s="100">
        <v>36.409999999999997</v>
      </c>
      <c r="M46" s="100">
        <v>33.22</v>
      </c>
      <c r="N46" s="100">
        <v>130.19999999999999</v>
      </c>
      <c r="O46" s="100">
        <v>0</v>
      </c>
      <c r="P46" s="100">
        <v>0.53</v>
      </c>
      <c r="Q46" s="100">
        <v>4.72</v>
      </c>
    </row>
    <row r="47" spans="1:17" customFormat="1">
      <c r="A47" s="100" t="s">
        <v>2483</v>
      </c>
      <c r="B47" s="100">
        <v>7.52</v>
      </c>
      <c r="C47" s="100">
        <v>44.59</v>
      </c>
      <c r="D47" s="100">
        <v>28.28</v>
      </c>
      <c r="E47" s="100">
        <v>10.95</v>
      </c>
      <c r="F47" s="100">
        <v>22.4</v>
      </c>
      <c r="G47" s="100">
        <v>39.68</v>
      </c>
      <c r="H47" s="100">
        <v>17.940000000000001</v>
      </c>
      <c r="I47" s="100">
        <v>4.71</v>
      </c>
      <c r="J47" s="100">
        <v>1.01</v>
      </c>
      <c r="K47" s="100">
        <v>258.37</v>
      </c>
      <c r="L47" s="100">
        <v>37.1</v>
      </c>
      <c r="M47" s="100">
        <v>31.97</v>
      </c>
      <c r="N47" s="100">
        <v>135.6</v>
      </c>
      <c r="O47" s="100">
        <v>0</v>
      </c>
      <c r="P47" s="100">
        <v>0.53</v>
      </c>
      <c r="Q47" s="100">
        <v>4.67</v>
      </c>
    </row>
    <row r="48" spans="1:17" customFormat="1">
      <c r="A48" s="100" t="s">
        <v>2484</v>
      </c>
      <c r="B48" s="100">
        <v>7.04</v>
      </c>
      <c r="C48" s="100">
        <v>43.77</v>
      </c>
      <c r="D48" s="100">
        <v>27.47</v>
      </c>
      <c r="E48" s="100">
        <v>12.83</v>
      </c>
      <c r="F48" s="100">
        <v>25.79</v>
      </c>
      <c r="G48" s="100">
        <v>39.68</v>
      </c>
      <c r="H48" s="100">
        <v>17.940000000000001</v>
      </c>
      <c r="I48" s="100">
        <v>4.74</v>
      </c>
      <c r="J48" s="100">
        <v>0.67</v>
      </c>
      <c r="K48" s="100">
        <v>262.72000000000003</v>
      </c>
      <c r="L48" s="100">
        <v>37.79</v>
      </c>
      <c r="M48" s="100">
        <v>29.21</v>
      </c>
      <c r="N48" s="100">
        <v>145.80000000000001</v>
      </c>
      <c r="O48" s="100">
        <v>0</v>
      </c>
      <c r="P48" s="100">
        <v>0.55000000000000004</v>
      </c>
      <c r="Q48" s="100">
        <v>4.5999999999999996</v>
      </c>
    </row>
    <row r="49" spans="1:17" customFormat="1">
      <c r="A49" s="100" t="s">
        <v>2485</v>
      </c>
      <c r="B49" s="100">
        <v>6.79</v>
      </c>
      <c r="C49" s="100">
        <v>46.25</v>
      </c>
      <c r="D49" s="100">
        <v>28.56</v>
      </c>
      <c r="E49" s="100">
        <v>8.76</v>
      </c>
      <c r="F49" s="100">
        <v>22.68</v>
      </c>
      <c r="G49" s="100">
        <v>39.68</v>
      </c>
      <c r="H49" s="100">
        <v>17.940000000000001</v>
      </c>
      <c r="I49" s="100">
        <v>4.76</v>
      </c>
      <c r="J49" s="100">
        <v>0.97</v>
      </c>
      <c r="K49" s="100">
        <v>284.2</v>
      </c>
      <c r="L49" s="100">
        <v>38.14</v>
      </c>
      <c r="M49" s="100">
        <v>27.57</v>
      </c>
      <c r="N49" s="100">
        <v>156.6</v>
      </c>
      <c r="O49" s="100">
        <v>0</v>
      </c>
      <c r="P49" s="100">
        <v>0.57999999999999996</v>
      </c>
      <c r="Q49" s="100">
        <v>4.57</v>
      </c>
    </row>
    <row r="50" spans="1:17" customFormat="1">
      <c r="A50" s="100" t="s">
        <v>2486</v>
      </c>
      <c r="B50" s="100">
        <v>6.63</v>
      </c>
      <c r="C50" s="100">
        <v>43.49</v>
      </c>
      <c r="D50" s="100">
        <v>27</v>
      </c>
      <c r="E50" s="100">
        <v>12.37</v>
      </c>
      <c r="F50" s="100">
        <v>34.72</v>
      </c>
      <c r="G50" s="100">
        <v>40.29</v>
      </c>
      <c r="H50" s="100">
        <v>18.21</v>
      </c>
      <c r="I50" s="100">
        <v>4.9000000000000004</v>
      </c>
      <c r="J50" s="100">
        <v>1.03</v>
      </c>
      <c r="K50" s="100">
        <v>295.45999999999998</v>
      </c>
      <c r="L50" s="100">
        <v>38.25</v>
      </c>
      <c r="M50" s="100">
        <v>26.38</v>
      </c>
      <c r="N50" s="100">
        <v>161.80000000000001</v>
      </c>
      <c r="O50" s="100">
        <v>0</v>
      </c>
      <c r="P50" s="100">
        <v>0.56999999999999995</v>
      </c>
      <c r="Q50" s="100">
        <v>4.54</v>
      </c>
    </row>
    <row r="51" spans="1:17" customFormat="1">
      <c r="A51" s="100" t="s">
        <v>2487</v>
      </c>
      <c r="B51" s="100">
        <v>6.09</v>
      </c>
      <c r="C51" s="100">
        <v>44.53</v>
      </c>
      <c r="D51" s="100">
        <v>27.1</v>
      </c>
      <c r="E51" s="100">
        <v>10.75</v>
      </c>
      <c r="F51" s="100">
        <v>29.94</v>
      </c>
      <c r="G51" s="100">
        <v>41.17</v>
      </c>
      <c r="H51" s="100">
        <v>18.440000000000001</v>
      </c>
      <c r="I51" s="100">
        <v>5.07</v>
      </c>
      <c r="J51" s="100">
        <v>1.1000000000000001</v>
      </c>
      <c r="K51" s="100">
        <v>304.2</v>
      </c>
      <c r="L51" s="100">
        <v>38.75</v>
      </c>
      <c r="M51" s="100">
        <v>26.17</v>
      </c>
      <c r="N51" s="100">
        <v>171.9</v>
      </c>
      <c r="O51" s="100">
        <v>0</v>
      </c>
      <c r="P51" s="100">
        <v>0.56000000000000005</v>
      </c>
      <c r="Q51" s="100">
        <v>4.51</v>
      </c>
    </row>
    <row r="52" spans="1:17" customFormat="1">
      <c r="A52" s="100" t="s">
        <v>2488</v>
      </c>
      <c r="B52" s="100">
        <v>5.87</v>
      </c>
      <c r="C52" s="100">
        <v>45.37</v>
      </c>
      <c r="D52" s="100">
        <v>27.37</v>
      </c>
      <c r="E52" s="100">
        <v>9.9499999999999993</v>
      </c>
      <c r="F52" s="100">
        <v>25.37</v>
      </c>
      <c r="G52" s="100">
        <v>41.17</v>
      </c>
      <c r="H52" s="100">
        <v>18.440000000000001</v>
      </c>
      <c r="I52" s="100">
        <v>5.01</v>
      </c>
      <c r="J52" s="100">
        <v>1.06</v>
      </c>
      <c r="K52" s="100">
        <v>273.48</v>
      </c>
      <c r="L52" s="100">
        <v>39</v>
      </c>
      <c r="M52" s="100">
        <v>25.08</v>
      </c>
      <c r="N52" s="100">
        <v>179.6</v>
      </c>
      <c r="O52" s="100">
        <v>0</v>
      </c>
      <c r="P52" s="100">
        <v>0.56000000000000005</v>
      </c>
      <c r="Q52" s="100">
        <v>4.51</v>
      </c>
    </row>
    <row r="53" spans="1:17" customFormat="1">
      <c r="A53" s="100" t="s">
        <v>2489</v>
      </c>
      <c r="B53" s="100">
        <v>5.68</v>
      </c>
      <c r="C53" s="100">
        <v>45.95</v>
      </c>
      <c r="D53" s="100">
        <v>27.52</v>
      </c>
      <c r="E53" s="100">
        <v>11.46</v>
      </c>
      <c r="F53" s="100">
        <v>29.48</v>
      </c>
      <c r="G53" s="100">
        <v>41.17</v>
      </c>
      <c r="H53" s="100">
        <v>18.440000000000001</v>
      </c>
      <c r="I53" s="100">
        <v>5.01</v>
      </c>
      <c r="J53" s="100">
        <v>1.19</v>
      </c>
      <c r="K53" s="100">
        <v>295.66000000000003</v>
      </c>
      <c r="L53" s="100">
        <v>39.17</v>
      </c>
      <c r="M53" s="100">
        <v>23.41</v>
      </c>
      <c r="N53" s="100">
        <v>188.5</v>
      </c>
      <c r="O53" s="100">
        <v>0</v>
      </c>
      <c r="P53" s="100">
        <v>0.55000000000000004</v>
      </c>
      <c r="Q53" s="100">
        <v>4.49</v>
      </c>
    </row>
    <row r="54" spans="1:17" customFormat="1">
      <c r="A54" s="100" t="s">
        <v>2490</v>
      </c>
      <c r="B54" s="100">
        <v>5.8</v>
      </c>
      <c r="C54" s="100">
        <v>44.67</v>
      </c>
      <c r="D54" s="100">
        <v>26.94</v>
      </c>
      <c r="E54" s="100">
        <v>14.34</v>
      </c>
      <c r="F54" s="100">
        <v>43.79</v>
      </c>
      <c r="G54" s="100">
        <v>43.43</v>
      </c>
      <c r="H54" s="100">
        <v>18.14</v>
      </c>
      <c r="I54" s="100">
        <v>5.0599999999999996</v>
      </c>
      <c r="J54" s="100">
        <v>0.77</v>
      </c>
      <c r="K54" s="100">
        <v>300.7</v>
      </c>
      <c r="L54" s="100">
        <v>39.619999999999997</v>
      </c>
      <c r="M54" s="100">
        <v>22.98</v>
      </c>
      <c r="N54" s="100">
        <v>205.5</v>
      </c>
      <c r="O54" s="100">
        <v>0</v>
      </c>
      <c r="P54" s="100">
        <v>0.54</v>
      </c>
      <c r="Q54" s="100">
        <v>4.4800000000000004</v>
      </c>
    </row>
    <row r="55" spans="1:17" customFormat="1">
      <c r="A55" s="100" t="s">
        <v>2491</v>
      </c>
      <c r="B55" s="100">
        <v>5.3</v>
      </c>
      <c r="C55" s="100">
        <v>41.29</v>
      </c>
      <c r="D55" s="100">
        <v>24.78</v>
      </c>
      <c r="E55" s="100">
        <v>13.77</v>
      </c>
      <c r="F55" s="100">
        <v>48.79</v>
      </c>
      <c r="G55" s="100">
        <v>46.66</v>
      </c>
      <c r="H55" s="100">
        <v>17.88</v>
      </c>
      <c r="I55" s="100">
        <v>4.84</v>
      </c>
      <c r="J55" s="100">
        <v>0.57999999999999996</v>
      </c>
      <c r="K55" s="100">
        <v>305.48</v>
      </c>
      <c r="L55" s="100">
        <v>39.979999999999997</v>
      </c>
      <c r="M55" s="100">
        <v>22.55</v>
      </c>
      <c r="N55" s="100">
        <v>715.2</v>
      </c>
      <c r="O55" s="100">
        <v>0</v>
      </c>
      <c r="P55" s="100">
        <v>0.53</v>
      </c>
      <c r="Q55" s="100">
        <v>4.45</v>
      </c>
    </row>
    <row r="56" spans="1:17" customFormat="1">
      <c r="A56" s="100" t="s">
        <v>2492</v>
      </c>
      <c r="B56" s="100">
        <v>5.16</v>
      </c>
      <c r="C56" s="100">
        <v>43.6</v>
      </c>
      <c r="D56" s="100">
        <v>25.87</v>
      </c>
      <c r="E56" s="100">
        <v>12.41</v>
      </c>
      <c r="F56" s="100">
        <v>35.01</v>
      </c>
      <c r="G56" s="100">
        <v>46.66</v>
      </c>
      <c r="H56" s="100">
        <v>17.88</v>
      </c>
      <c r="I56" s="100">
        <v>4.68</v>
      </c>
      <c r="J56" s="100">
        <v>0.88</v>
      </c>
      <c r="K56" s="100">
        <v>282.94</v>
      </c>
      <c r="L56" s="100">
        <v>40.65</v>
      </c>
      <c r="M56" s="100">
        <v>21.78</v>
      </c>
      <c r="N56" s="100">
        <v>802.3</v>
      </c>
      <c r="O56" s="100">
        <v>0</v>
      </c>
      <c r="P56" s="100">
        <v>0.55000000000000004</v>
      </c>
      <c r="Q56" s="100">
        <v>4.43</v>
      </c>
    </row>
    <row r="57" spans="1:17" customFormat="1">
      <c r="A57" s="100" t="s">
        <v>2493</v>
      </c>
      <c r="B57" s="100">
        <v>4.6900000000000004</v>
      </c>
      <c r="C57" s="100">
        <v>42.79</v>
      </c>
      <c r="D57" s="100">
        <v>25.07</v>
      </c>
      <c r="E57" s="100">
        <v>12.25</v>
      </c>
      <c r="F57" s="100">
        <v>45.85</v>
      </c>
      <c r="G57" s="100">
        <v>46.66</v>
      </c>
      <c r="H57" s="100">
        <v>17.88</v>
      </c>
      <c r="I57" s="100">
        <v>4.6500000000000004</v>
      </c>
      <c r="J57" s="100">
        <v>0.53</v>
      </c>
      <c r="K57" s="100">
        <v>268.87</v>
      </c>
      <c r="L57" s="100">
        <v>40.909999999999997</v>
      </c>
      <c r="M57" s="100">
        <v>21.61</v>
      </c>
      <c r="N57" s="100">
        <v>810.3</v>
      </c>
      <c r="O57" s="100">
        <v>0</v>
      </c>
      <c r="P57" s="100">
        <v>0.53</v>
      </c>
      <c r="Q57" s="100">
        <v>4.43</v>
      </c>
    </row>
    <row r="58" spans="1:17" customFormat="1">
      <c r="A58" s="100" t="s">
        <v>2494</v>
      </c>
      <c r="B58" s="100">
        <v>5.12</v>
      </c>
      <c r="C58" s="100">
        <v>43.2</v>
      </c>
      <c r="D58" s="100">
        <v>25.64</v>
      </c>
      <c r="E58" s="100">
        <v>13.5</v>
      </c>
      <c r="F58" s="100">
        <v>46.27</v>
      </c>
      <c r="G58" s="100">
        <v>48.5</v>
      </c>
      <c r="H58" s="100">
        <v>18.510000000000002</v>
      </c>
      <c r="I58" s="100">
        <v>4.67</v>
      </c>
      <c r="J58" s="100">
        <v>0.73</v>
      </c>
      <c r="K58" s="100">
        <v>295.27</v>
      </c>
      <c r="L58" s="100">
        <v>41.61</v>
      </c>
      <c r="M58" s="100">
        <v>19.829999999999998</v>
      </c>
      <c r="N58" s="100">
        <v>815.7</v>
      </c>
      <c r="O58" s="100">
        <v>0</v>
      </c>
      <c r="P58" s="100">
        <v>0.53</v>
      </c>
      <c r="Q58" s="100">
        <v>4.43</v>
      </c>
    </row>
    <row r="59" spans="1:17" customFormat="1">
      <c r="A59" s="100" t="s">
        <v>2495</v>
      </c>
      <c r="B59" s="100">
        <v>4.95</v>
      </c>
      <c r="C59" s="100">
        <v>43.58</v>
      </c>
      <c r="D59" s="100">
        <v>25.69</v>
      </c>
      <c r="E59" s="100">
        <v>10.3</v>
      </c>
      <c r="F59" s="100">
        <v>41.42</v>
      </c>
      <c r="G59" s="100">
        <v>51.14</v>
      </c>
      <c r="H59" s="100">
        <v>19.059999999999999</v>
      </c>
      <c r="I59" s="100">
        <v>4.76</v>
      </c>
      <c r="J59" s="100">
        <v>0.72</v>
      </c>
      <c r="K59" s="100">
        <v>278.22000000000003</v>
      </c>
      <c r="L59" s="100">
        <v>41.6</v>
      </c>
      <c r="M59" s="100">
        <v>19</v>
      </c>
      <c r="N59" s="100">
        <v>809</v>
      </c>
      <c r="O59" s="100">
        <v>0</v>
      </c>
      <c r="P59" s="100">
        <v>0.51</v>
      </c>
      <c r="Q59" s="100">
        <v>4.43</v>
      </c>
    </row>
    <row r="60" spans="1:17" customFormat="1">
      <c r="A60" s="100" t="s">
        <v>2496</v>
      </c>
      <c r="B60" s="100">
        <v>4.59</v>
      </c>
      <c r="C60" s="100">
        <v>43.85</v>
      </c>
      <c r="D60" s="100">
        <v>25.55</v>
      </c>
      <c r="E60" s="100">
        <v>9.16</v>
      </c>
      <c r="F60" s="100">
        <v>27.57</v>
      </c>
      <c r="G60" s="100">
        <v>51.14</v>
      </c>
      <c r="H60" s="100">
        <v>19.059999999999999</v>
      </c>
      <c r="I60" s="100">
        <v>4.68</v>
      </c>
      <c r="J60" s="100">
        <v>0.86</v>
      </c>
      <c r="K60" s="100">
        <v>272.72000000000003</v>
      </c>
      <c r="L60" s="100">
        <v>42.11</v>
      </c>
      <c r="M60" s="100">
        <v>17.95</v>
      </c>
      <c r="N60" s="100">
        <v>826.3</v>
      </c>
      <c r="O60" s="100">
        <v>0</v>
      </c>
      <c r="P60" s="100">
        <v>0.52</v>
      </c>
      <c r="Q60" s="100">
        <v>4.43</v>
      </c>
    </row>
    <row r="61" spans="1:17" customFormat="1">
      <c r="A61" s="100" t="s">
        <v>2497</v>
      </c>
      <c r="B61" s="100">
        <v>4.87</v>
      </c>
      <c r="C61" s="100">
        <v>51.58</v>
      </c>
      <c r="D61" s="100">
        <v>29.81</v>
      </c>
      <c r="E61" s="100">
        <v>8.08</v>
      </c>
      <c r="F61" s="100">
        <v>27.93</v>
      </c>
      <c r="G61" s="100">
        <v>51.14</v>
      </c>
      <c r="H61" s="100">
        <v>19.059999999999999</v>
      </c>
      <c r="I61" s="100">
        <v>4.7300000000000004</v>
      </c>
      <c r="J61" s="100">
        <v>0.86</v>
      </c>
      <c r="K61" s="100">
        <v>273.99</v>
      </c>
      <c r="L61" s="100">
        <v>42.06</v>
      </c>
      <c r="M61" s="100">
        <v>17.12</v>
      </c>
      <c r="N61" s="100">
        <v>824.1</v>
      </c>
      <c r="O61" s="100">
        <v>0</v>
      </c>
      <c r="P61" s="100">
        <v>0.53</v>
      </c>
      <c r="Q61" s="100">
        <v>4.6100000000000003</v>
      </c>
    </row>
    <row r="62" spans="1:17" customFormat="1">
      <c r="A62" s="100" t="s">
        <v>2498</v>
      </c>
      <c r="B62" s="100">
        <v>5.0999999999999996</v>
      </c>
      <c r="C62" s="100">
        <v>50.22</v>
      </c>
      <c r="D62" s="100">
        <v>29.29</v>
      </c>
      <c r="E62" s="100">
        <v>6.75</v>
      </c>
      <c r="F62" s="100">
        <v>30.22</v>
      </c>
      <c r="G62" s="100">
        <v>52.26</v>
      </c>
      <c r="H62" s="100">
        <v>19.29</v>
      </c>
      <c r="I62" s="100">
        <v>4.92</v>
      </c>
      <c r="J62" s="100">
        <v>1.1299999999999999</v>
      </c>
      <c r="K62" s="100">
        <v>276.29000000000002</v>
      </c>
      <c r="L62" s="100">
        <v>42.03</v>
      </c>
      <c r="M62" s="100">
        <v>15.76</v>
      </c>
      <c r="N62" s="100">
        <v>793.9</v>
      </c>
      <c r="O62" s="100">
        <v>0</v>
      </c>
      <c r="P62" s="100">
        <v>0.53</v>
      </c>
      <c r="Q62" s="100">
        <v>4.59</v>
      </c>
    </row>
    <row r="63" spans="1:17" customFormat="1">
      <c r="A63" s="100" t="s">
        <v>2499</v>
      </c>
      <c r="B63" s="100">
        <v>5.21</v>
      </c>
      <c r="C63" s="100">
        <v>43.71</v>
      </c>
      <c r="D63" s="100">
        <v>25.97</v>
      </c>
      <c r="E63" s="100">
        <v>7.3</v>
      </c>
      <c r="F63" s="100">
        <v>31.64</v>
      </c>
      <c r="G63" s="100">
        <v>53.86</v>
      </c>
      <c r="H63" s="100">
        <v>19.829999999999998</v>
      </c>
      <c r="I63" s="100">
        <v>5.19</v>
      </c>
      <c r="J63" s="100">
        <v>1.02</v>
      </c>
      <c r="K63" s="100">
        <v>314.14</v>
      </c>
      <c r="L63" s="100">
        <v>42.19</v>
      </c>
      <c r="M63" s="100">
        <v>15.25</v>
      </c>
      <c r="N63" s="100">
        <v>721.5</v>
      </c>
      <c r="O63" s="100">
        <v>0</v>
      </c>
      <c r="P63" s="100">
        <v>0.48</v>
      </c>
      <c r="Q63" s="100">
        <v>4.53</v>
      </c>
    </row>
    <row r="64" spans="1:17" customFormat="1">
      <c r="A64" s="100" t="s">
        <v>2500</v>
      </c>
      <c r="B64" s="100">
        <v>5.57</v>
      </c>
      <c r="C64" s="100">
        <v>44.94</v>
      </c>
      <c r="D64" s="100">
        <v>26.91</v>
      </c>
      <c r="E64" s="100">
        <v>6.95</v>
      </c>
      <c r="F64" s="100">
        <v>30.42</v>
      </c>
      <c r="G64" s="100">
        <v>53.86</v>
      </c>
      <c r="H64" s="100">
        <v>19.829999999999998</v>
      </c>
      <c r="I64" s="100">
        <v>5.05</v>
      </c>
      <c r="J64" s="100">
        <v>1.18</v>
      </c>
      <c r="K64" s="100">
        <v>323.31</v>
      </c>
      <c r="L64" s="100">
        <v>42.2</v>
      </c>
      <c r="M64" s="100">
        <v>15.4</v>
      </c>
      <c r="N64" s="100">
        <v>741</v>
      </c>
      <c r="O64" s="100">
        <v>0</v>
      </c>
      <c r="P64" s="100">
        <v>0.48</v>
      </c>
      <c r="Q64" s="100">
        <v>4.54</v>
      </c>
    </row>
    <row r="65" spans="1:17" customFormat="1">
      <c r="A65" s="100" t="s">
        <v>2501</v>
      </c>
      <c r="B65" s="100">
        <v>5.71</v>
      </c>
      <c r="C65" s="100">
        <v>46.05</v>
      </c>
      <c r="D65" s="100">
        <v>27.6</v>
      </c>
      <c r="E65" s="100">
        <v>6.56</v>
      </c>
      <c r="F65" s="100">
        <v>29.35</v>
      </c>
      <c r="G65" s="100">
        <v>53.86</v>
      </c>
      <c r="H65" s="100">
        <v>19.829999999999998</v>
      </c>
      <c r="I65" s="100">
        <v>4.72</v>
      </c>
      <c r="J65" s="100">
        <v>0.62</v>
      </c>
      <c r="K65" s="100">
        <v>279.42</v>
      </c>
      <c r="L65" s="100">
        <v>42.56</v>
      </c>
      <c r="M65" s="100">
        <v>15.29</v>
      </c>
      <c r="N65" s="100">
        <v>626.20000000000005</v>
      </c>
      <c r="O65" s="100">
        <v>0</v>
      </c>
      <c r="P65" s="100">
        <v>0.46</v>
      </c>
      <c r="Q65" s="100">
        <v>4.53</v>
      </c>
    </row>
    <row r="66" spans="1:17" customFormat="1">
      <c r="A66" s="100" t="s">
        <v>2502</v>
      </c>
      <c r="B66" s="100">
        <v>6.07</v>
      </c>
      <c r="C66" s="100">
        <v>44.68</v>
      </c>
      <c r="D66" s="100">
        <v>27.16</v>
      </c>
      <c r="E66" s="100">
        <v>7.14</v>
      </c>
      <c r="F66" s="100">
        <v>35.61</v>
      </c>
      <c r="G66" s="100">
        <v>52.08</v>
      </c>
      <c r="H66" s="100">
        <v>17.149999999999999</v>
      </c>
      <c r="I66" s="100">
        <v>4.72</v>
      </c>
      <c r="J66" s="100">
        <v>0.98</v>
      </c>
      <c r="K66" s="100">
        <v>304.64999999999998</v>
      </c>
      <c r="L66" s="100">
        <v>41.93</v>
      </c>
      <c r="M66" s="100">
        <v>15.72</v>
      </c>
      <c r="N66" s="100">
        <v>356</v>
      </c>
      <c r="O66" s="100">
        <v>0</v>
      </c>
      <c r="P66" s="100">
        <v>0.47</v>
      </c>
      <c r="Q66" s="100">
        <v>4.54</v>
      </c>
    </row>
    <row r="67" spans="1:17" customFormat="1">
      <c r="A67" s="100" t="s">
        <v>2503</v>
      </c>
      <c r="B67" s="100">
        <v>6.73</v>
      </c>
      <c r="C67" s="100">
        <v>47.49</v>
      </c>
      <c r="D67" s="100">
        <v>29.17</v>
      </c>
      <c r="E67" s="100">
        <v>6.31</v>
      </c>
      <c r="F67" s="100">
        <v>29.42</v>
      </c>
      <c r="G67" s="100">
        <v>49.53</v>
      </c>
      <c r="H67" s="100">
        <v>14.84</v>
      </c>
      <c r="I67" s="100">
        <v>4.8600000000000003</v>
      </c>
      <c r="J67" s="100">
        <v>1.07</v>
      </c>
      <c r="K67" s="100">
        <v>292.73</v>
      </c>
      <c r="L67" s="100">
        <v>41.04</v>
      </c>
      <c r="M67" s="100">
        <v>15.85</v>
      </c>
      <c r="N67" s="100">
        <v>244.5</v>
      </c>
      <c r="O67" s="100">
        <v>0</v>
      </c>
      <c r="P67" s="100">
        <v>0.47</v>
      </c>
      <c r="Q67" s="100">
        <v>4.51</v>
      </c>
    </row>
    <row r="68" spans="1:17" customFormat="1">
      <c r="A68" s="100" t="s">
        <v>2504</v>
      </c>
      <c r="B68" s="100">
        <v>6.49</v>
      </c>
      <c r="C68" s="100">
        <v>43.54</v>
      </c>
      <c r="D68" s="100">
        <v>26.91</v>
      </c>
      <c r="E68" s="100">
        <v>6.48</v>
      </c>
      <c r="F68" s="100">
        <v>31.17</v>
      </c>
      <c r="G68" s="100">
        <v>49.53</v>
      </c>
      <c r="H68" s="100">
        <v>14.84</v>
      </c>
      <c r="I68" s="100">
        <v>4.6900000000000004</v>
      </c>
      <c r="J68" s="100">
        <v>0.94</v>
      </c>
      <c r="K68" s="100">
        <v>294.93</v>
      </c>
      <c r="L68" s="100">
        <v>41.67</v>
      </c>
      <c r="M68" s="100">
        <v>15.88</v>
      </c>
      <c r="N68" s="100">
        <v>623.4</v>
      </c>
      <c r="O68" s="100">
        <v>0</v>
      </c>
      <c r="P68" s="100">
        <v>0.45</v>
      </c>
      <c r="Q68" s="100">
        <v>4.55</v>
      </c>
    </row>
    <row r="69" spans="1:17" customFormat="1">
      <c r="A69" s="100" t="s">
        <v>2505</v>
      </c>
      <c r="B69" s="100">
        <v>6.66</v>
      </c>
      <c r="C69" s="100">
        <v>46.38</v>
      </c>
      <c r="D69" s="100">
        <v>28.53</v>
      </c>
      <c r="E69" s="100">
        <v>5.6</v>
      </c>
      <c r="F69" s="100">
        <v>18.88</v>
      </c>
      <c r="G69" s="100">
        <v>49.53</v>
      </c>
      <c r="H69" s="100">
        <v>14.84</v>
      </c>
      <c r="I69" s="100">
        <v>4.53</v>
      </c>
      <c r="J69" s="100">
        <v>1.46</v>
      </c>
      <c r="K69" s="100">
        <v>279.44</v>
      </c>
      <c r="L69" s="100">
        <v>41.6</v>
      </c>
      <c r="M69" s="100">
        <v>15.22</v>
      </c>
      <c r="N69" s="100">
        <v>481.1</v>
      </c>
      <c r="O69" s="100">
        <v>0</v>
      </c>
      <c r="P69" s="100">
        <v>0.48</v>
      </c>
      <c r="Q69" s="100">
        <v>4.54</v>
      </c>
    </row>
    <row r="70" spans="1:17" customFormat="1">
      <c r="A70" s="100" t="s">
        <v>2506</v>
      </c>
      <c r="B70" s="100">
        <v>7</v>
      </c>
      <c r="C70" s="100">
        <v>47.52</v>
      </c>
      <c r="D70" s="100">
        <v>29.39</v>
      </c>
      <c r="E70" s="100">
        <v>6.31</v>
      </c>
      <c r="F70" s="100">
        <v>25.51</v>
      </c>
      <c r="G70" s="100">
        <v>48.99</v>
      </c>
      <c r="H70" s="100">
        <v>15.79</v>
      </c>
      <c r="I70" s="100">
        <v>4.59</v>
      </c>
      <c r="J70" s="100">
        <v>1.18</v>
      </c>
      <c r="K70" s="100">
        <v>309.39999999999998</v>
      </c>
      <c r="L70" s="100">
        <v>40.78</v>
      </c>
      <c r="M70" s="100">
        <v>16.32</v>
      </c>
      <c r="N70" s="100">
        <v>126.9</v>
      </c>
      <c r="O70" s="100">
        <v>0</v>
      </c>
      <c r="P70" s="100">
        <v>0.47</v>
      </c>
      <c r="Q70" s="100">
        <v>4.53</v>
      </c>
    </row>
    <row r="71" spans="1:17" customFormat="1">
      <c r="A71" s="100" t="s">
        <v>2507</v>
      </c>
      <c r="B71" s="100">
        <v>8.65</v>
      </c>
      <c r="C71" s="100">
        <v>43.36</v>
      </c>
      <c r="D71" s="100">
        <v>28.54</v>
      </c>
      <c r="E71" s="100">
        <v>9.0399999999999991</v>
      </c>
      <c r="F71" s="100">
        <v>19.190000000000001</v>
      </c>
      <c r="G71" s="100">
        <v>48.21</v>
      </c>
      <c r="H71" s="100">
        <v>16.61</v>
      </c>
      <c r="I71" s="100">
        <v>4.74</v>
      </c>
      <c r="J71" s="100">
        <v>2.13</v>
      </c>
      <c r="K71" s="100">
        <v>33.26</v>
      </c>
      <c r="L71" s="100">
        <v>38.64</v>
      </c>
      <c r="M71" s="100">
        <v>21.04</v>
      </c>
      <c r="N71" s="100">
        <v>60.3</v>
      </c>
      <c r="O71" s="100">
        <v>0</v>
      </c>
      <c r="P71" s="100">
        <v>0.46</v>
      </c>
      <c r="Q71" s="100">
        <v>4.53</v>
      </c>
    </row>
    <row r="72" spans="1:17" customFormat="1">
      <c r="A72" s="100" t="s">
        <v>2508</v>
      </c>
      <c r="B72" s="100">
        <v>8.3000000000000007</v>
      </c>
      <c r="C72" s="100">
        <v>43.33</v>
      </c>
      <c r="D72" s="100">
        <v>28.25</v>
      </c>
      <c r="E72" s="100">
        <v>9.2200000000000006</v>
      </c>
      <c r="F72" s="100">
        <v>20.6</v>
      </c>
      <c r="G72" s="100">
        <v>48.21</v>
      </c>
      <c r="H72" s="100">
        <v>16.61</v>
      </c>
      <c r="I72" s="100">
        <v>4.66</v>
      </c>
      <c r="J72" s="100">
        <v>1.71</v>
      </c>
      <c r="K72" s="100">
        <v>43.19</v>
      </c>
      <c r="L72" s="100">
        <v>35.79</v>
      </c>
      <c r="M72" s="100">
        <v>27.97</v>
      </c>
      <c r="N72" s="100">
        <v>100.1</v>
      </c>
      <c r="O72" s="100">
        <v>0</v>
      </c>
      <c r="P72" s="100">
        <v>0.44</v>
      </c>
      <c r="Q72" s="100">
        <v>4.4400000000000004</v>
      </c>
    </row>
    <row r="73" spans="1:17" customFormat="1">
      <c r="A73" s="100" t="s">
        <v>2509</v>
      </c>
      <c r="B73" s="100">
        <v>9.66</v>
      </c>
      <c r="C73" s="100">
        <v>48.43</v>
      </c>
      <c r="D73" s="100">
        <v>32</v>
      </c>
      <c r="E73" s="100">
        <v>8.7200000000000006</v>
      </c>
      <c r="F73" s="100">
        <v>23.48</v>
      </c>
      <c r="G73" s="100">
        <v>48.21</v>
      </c>
      <c r="H73" s="100">
        <v>16.61</v>
      </c>
      <c r="I73" s="100">
        <v>4.66</v>
      </c>
      <c r="J73" s="100">
        <v>0.98</v>
      </c>
      <c r="K73" s="100">
        <v>337.9</v>
      </c>
      <c r="L73" s="100">
        <v>36.57</v>
      </c>
      <c r="M73" s="100">
        <v>24.42</v>
      </c>
      <c r="N73" s="100">
        <v>51.2</v>
      </c>
      <c r="O73" s="100">
        <v>0</v>
      </c>
      <c r="P73" s="100">
        <v>0.44</v>
      </c>
      <c r="Q73" s="100">
        <v>4.49</v>
      </c>
    </row>
    <row r="74" spans="1:17" customFormat="1">
      <c r="A74" s="100" t="s">
        <v>2510</v>
      </c>
      <c r="B74" s="100">
        <v>7.5</v>
      </c>
      <c r="C74" s="100">
        <v>42.83</v>
      </c>
      <c r="D74" s="100">
        <v>27.35</v>
      </c>
      <c r="E74" s="100">
        <v>5.05</v>
      </c>
      <c r="F74" s="100">
        <v>23.49</v>
      </c>
      <c r="G74" s="100">
        <v>112.96</v>
      </c>
      <c r="H74" s="100">
        <v>17.55</v>
      </c>
      <c r="I74" s="100">
        <v>4.51</v>
      </c>
      <c r="J74" s="100">
        <v>1.59</v>
      </c>
      <c r="K74" s="100">
        <v>343.4</v>
      </c>
      <c r="L74" s="100">
        <v>36.119999999999997</v>
      </c>
      <c r="M74" s="100">
        <v>21.25</v>
      </c>
      <c r="N74" s="100">
        <v>94</v>
      </c>
      <c r="O74" s="100">
        <v>0</v>
      </c>
      <c r="P74" s="100">
        <v>0.43</v>
      </c>
      <c r="Q74" s="100">
        <v>4.53</v>
      </c>
    </row>
    <row r="75" spans="1:17" customFormat="1">
      <c r="A75" s="100" t="s">
        <v>2511</v>
      </c>
      <c r="B75" s="100">
        <v>7.19</v>
      </c>
      <c r="C75" s="100">
        <v>44.97</v>
      </c>
      <c r="D75" s="100">
        <v>28.21</v>
      </c>
      <c r="E75" s="100">
        <v>4.13</v>
      </c>
      <c r="F75" s="100">
        <v>20.84</v>
      </c>
      <c r="G75" s="100">
        <v>205.7</v>
      </c>
      <c r="H75" s="100">
        <v>18.37</v>
      </c>
      <c r="I75" s="100">
        <v>4.42</v>
      </c>
      <c r="J75" s="100">
        <v>0.43</v>
      </c>
      <c r="K75" s="100">
        <v>262.33</v>
      </c>
      <c r="L75" s="100">
        <v>34.18</v>
      </c>
      <c r="M75" s="100">
        <v>38.92</v>
      </c>
      <c r="N75" s="100">
        <v>205.9</v>
      </c>
      <c r="O75" s="100">
        <v>0</v>
      </c>
      <c r="P75" s="100">
        <v>0.41</v>
      </c>
      <c r="Q75" s="100">
        <v>4.5</v>
      </c>
    </row>
    <row r="76" spans="1:17" customFormat="1">
      <c r="A76" s="100" t="s">
        <v>2512</v>
      </c>
      <c r="B76" s="100">
        <v>7.37</v>
      </c>
      <c r="C76" s="100">
        <v>43.03</v>
      </c>
      <c r="D76" s="100">
        <v>27.35</v>
      </c>
      <c r="E76" s="100">
        <v>5.24</v>
      </c>
      <c r="F76" s="100">
        <v>28.57</v>
      </c>
      <c r="G76" s="100">
        <v>205.7</v>
      </c>
      <c r="H76" s="100">
        <v>18.37</v>
      </c>
      <c r="I76" s="100">
        <v>4.45</v>
      </c>
      <c r="J76" s="100">
        <v>0.18</v>
      </c>
      <c r="K76" s="100">
        <v>209.41</v>
      </c>
      <c r="L76" s="100">
        <v>35.18</v>
      </c>
      <c r="M76" s="100">
        <v>35.9</v>
      </c>
      <c r="N76" s="100">
        <v>205.4</v>
      </c>
      <c r="O76" s="100">
        <v>0</v>
      </c>
      <c r="P76" s="100">
        <v>0.43</v>
      </c>
      <c r="Q76" s="100">
        <v>4.5</v>
      </c>
    </row>
    <row r="77" spans="1:17" customFormat="1">
      <c r="A77" s="100" t="s">
        <v>2513</v>
      </c>
      <c r="B77" s="100">
        <v>8.2799999999999994</v>
      </c>
      <c r="C77" s="100">
        <v>52.02</v>
      </c>
      <c r="D77" s="100">
        <v>32.770000000000003</v>
      </c>
      <c r="E77" s="100">
        <v>8.56</v>
      </c>
      <c r="F77" s="100">
        <v>22.9</v>
      </c>
      <c r="G77" s="100">
        <v>205.7</v>
      </c>
      <c r="H77" s="100">
        <v>18.37</v>
      </c>
      <c r="I77" s="100">
        <v>3.96</v>
      </c>
      <c r="J77" s="100">
        <v>0.23</v>
      </c>
      <c r="K77" s="100">
        <v>210.41</v>
      </c>
      <c r="L77" s="100">
        <v>36.79</v>
      </c>
      <c r="M77" s="100">
        <v>31.37</v>
      </c>
      <c r="N77" s="100">
        <v>73.099999999999994</v>
      </c>
      <c r="O77" s="100">
        <v>0</v>
      </c>
      <c r="P77" s="100">
        <v>0.62</v>
      </c>
      <c r="Q77" s="100">
        <v>4.57</v>
      </c>
    </row>
    <row r="78" spans="1:17" customFormat="1">
      <c r="A78" s="100" t="s">
        <v>2514</v>
      </c>
      <c r="B78" s="100">
        <v>7.07</v>
      </c>
      <c r="C78" s="100">
        <v>51.35</v>
      </c>
      <c r="D78" s="100">
        <v>31.45</v>
      </c>
      <c r="E78" s="100">
        <v>8.17</v>
      </c>
      <c r="F78" s="100">
        <v>30.82</v>
      </c>
      <c r="G78" s="100">
        <v>147.84</v>
      </c>
      <c r="H78" s="100">
        <v>18.88</v>
      </c>
      <c r="I78" s="100">
        <v>4.04</v>
      </c>
      <c r="J78" s="100">
        <v>0.25</v>
      </c>
      <c r="K78" s="100">
        <v>238.52</v>
      </c>
      <c r="L78" s="100">
        <v>37.18</v>
      </c>
      <c r="M78" s="100">
        <v>29.13</v>
      </c>
      <c r="N78" s="100">
        <v>116.7</v>
      </c>
      <c r="O78" s="100">
        <v>0</v>
      </c>
      <c r="P78" s="100">
        <v>0.57999999999999996</v>
      </c>
      <c r="Q78" s="100">
        <v>4.5999999999999996</v>
      </c>
    </row>
    <row r="79" spans="1:17" customFormat="1">
      <c r="A79" s="100" t="s">
        <v>2515</v>
      </c>
      <c r="B79" s="100">
        <v>6.65</v>
      </c>
      <c r="C79" s="100">
        <v>44.56</v>
      </c>
      <c r="D79" s="100">
        <v>27.57</v>
      </c>
      <c r="E79" s="100">
        <v>8.01</v>
      </c>
      <c r="F79" s="100">
        <v>37.15</v>
      </c>
      <c r="G79" s="100">
        <v>64.97</v>
      </c>
      <c r="H79" s="100">
        <v>19.32</v>
      </c>
      <c r="I79" s="100">
        <v>4.7</v>
      </c>
      <c r="J79" s="100">
        <v>0.22</v>
      </c>
      <c r="K79" s="100">
        <v>223.42</v>
      </c>
      <c r="L79" s="100">
        <v>37.71</v>
      </c>
      <c r="M79" s="100">
        <v>26.43</v>
      </c>
      <c r="N79" s="100">
        <v>60.1</v>
      </c>
      <c r="O79" s="100">
        <v>0</v>
      </c>
      <c r="P79" s="100">
        <v>0.49</v>
      </c>
      <c r="Q79" s="100">
        <v>4.6399999999999997</v>
      </c>
    </row>
    <row r="80" spans="1:17" customFormat="1">
      <c r="A80" s="100" t="s">
        <v>2516</v>
      </c>
      <c r="B80" s="100">
        <v>6.62</v>
      </c>
      <c r="C80" s="100">
        <v>40.93</v>
      </c>
      <c r="D80" s="100">
        <v>25.65</v>
      </c>
      <c r="E80" s="100">
        <v>7.06</v>
      </c>
      <c r="F80" s="100">
        <v>41.42</v>
      </c>
      <c r="G80" s="100">
        <v>64.97</v>
      </c>
      <c r="H80" s="100">
        <v>19.32</v>
      </c>
      <c r="I80" s="100">
        <v>4.55</v>
      </c>
      <c r="J80" s="100">
        <v>0.16</v>
      </c>
      <c r="K80" s="100">
        <v>176.96</v>
      </c>
      <c r="L80" s="100">
        <v>37.29</v>
      </c>
      <c r="M80" s="100">
        <v>27.1</v>
      </c>
      <c r="N80" s="100">
        <v>35.299999999999997</v>
      </c>
      <c r="O80" s="100">
        <v>0</v>
      </c>
      <c r="P80" s="100">
        <v>0.46</v>
      </c>
      <c r="Q80" s="100">
        <v>4.75</v>
      </c>
    </row>
    <row r="81" spans="1:17" customFormat="1">
      <c r="A81" s="100" t="s">
        <v>2517</v>
      </c>
      <c r="B81" s="100">
        <v>6.08</v>
      </c>
      <c r="C81" s="100">
        <v>39.06</v>
      </c>
      <c r="D81" s="100">
        <v>24.23</v>
      </c>
      <c r="E81" s="100">
        <v>5.5</v>
      </c>
      <c r="F81" s="100">
        <v>38.590000000000003</v>
      </c>
      <c r="G81" s="100">
        <v>64.97</v>
      </c>
      <c r="H81" s="100">
        <v>19.32</v>
      </c>
      <c r="I81" s="100">
        <v>4.3499999999999996</v>
      </c>
      <c r="J81" s="100">
        <v>0.18</v>
      </c>
      <c r="K81" s="100">
        <v>192.3</v>
      </c>
      <c r="L81" s="100">
        <v>36.53</v>
      </c>
      <c r="M81" s="100">
        <v>28.55</v>
      </c>
      <c r="N81" s="100">
        <v>10.9</v>
      </c>
      <c r="O81" s="100">
        <v>0</v>
      </c>
      <c r="P81" s="100">
        <v>0.48</v>
      </c>
      <c r="Q81" s="100">
        <v>4.8</v>
      </c>
    </row>
    <row r="82" spans="1:17" customFormat="1">
      <c r="A82" s="100" t="s">
        <v>2518</v>
      </c>
      <c r="B82" s="100">
        <v>5.91</v>
      </c>
      <c r="C82" s="100">
        <v>38.200000000000003</v>
      </c>
      <c r="D82" s="100">
        <v>23.66</v>
      </c>
      <c r="E82" s="100">
        <v>7.27</v>
      </c>
      <c r="F82" s="100">
        <v>40.29</v>
      </c>
      <c r="G82" s="100">
        <v>51.96</v>
      </c>
      <c r="H82" s="100">
        <v>17.32</v>
      </c>
      <c r="I82" s="100">
        <v>3.93</v>
      </c>
      <c r="J82" s="100">
        <v>0.14000000000000001</v>
      </c>
      <c r="K82" s="100">
        <v>209.8</v>
      </c>
      <c r="L82" s="100">
        <v>35.76</v>
      </c>
      <c r="M82" s="100">
        <v>28.45</v>
      </c>
      <c r="N82" s="100">
        <v>0.4</v>
      </c>
      <c r="O82" s="100">
        <v>0</v>
      </c>
      <c r="P82" s="100">
        <v>0.48</v>
      </c>
      <c r="Q82" s="100">
        <v>4.78</v>
      </c>
    </row>
    <row r="83" spans="1:17" customFormat="1">
      <c r="A83" s="100" t="s">
        <v>2519</v>
      </c>
      <c r="B83" s="100">
        <v>6.09</v>
      </c>
      <c r="C83" s="100">
        <v>39.82</v>
      </c>
      <c r="D83" s="100">
        <v>24.64</v>
      </c>
      <c r="E83" s="100">
        <v>8.09</v>
      </c>
      <c r="F83" s="100">
        <v>32.909999999999997</v>
      </c>
      <c r="G83" s="100">
        <v>33.32</v>
      </c>
      <c r="H83" s="100">
        <v>15.61</v>
      </c>
      <c r="I83" s="100">
        <v>3.82</v>
      </c>
      <c r="J83" s="100">
        <v>0.22</v>
      </c>
      <c r="K83" s="100">
        <v>210.13</v>
      </c>
      <c r="L83" s="100">
        <v>35.200000000000003</v>
      </c>
      <c r="M83" s="100">
        <v>29.5</v>
      </c>
      <c r="N83" s="100">
        <v>0</v>
      </c>
      <c r="O83" s="100">
        <v>0</v>
      </c>
      <c r="P83" s="100">
        <v>0.55000000000000004</v>
      </c>
      <c r="Q83" s="100">
        <v>4.74</v>
      </c>
    </row>
    <row r="84" spans="1:17" customFormat="1">
      <c r="A84" s="100" t="s">
        <v>2520</v>
      </c>
      <c r="B84" s="100">
        <v>6.2</v>
      </c>
      <c r="C84" s="100">
        <v>40.049999999999997</v>
      </c>
      <c r="D84" s="100">
        <v>24.85</v>
      </c>
      <c r="E84" s="100">
        <v>13.58</v>
      </c>
      <c r="F84" s="100">
        <v>34.53</v>
      </c>
      <c r="G84" s="100">
        <v>33.32</v>
      </c>
      <c r="H84" s="100">
        <v>15.61</v>
      </c>
      <c r="I84" s="100">
        <v>4.22</v>
      </c>
      <c r="J84" s="100">
        <v>0.35</v>
      </c>
      <c r="K84" s="100">
        <v>231.47</v>
      </c>
      <c r="L84" s="100">
        <v>35.340000000000003</v>
      </c>
      <c r="M84" s="100">
        <v>27.16</v>
      </c>
      <c r="N84" s="100">
        <v>0</v>
      </c>
      <c r="O84" s="100">
        <v>0</v>
      </c>
      <c r="P84" s="100">
        <v>0.61</v>
      </c>
      <c r="Q84" s="100">
        <v>4.71</v>
      </c>
    </row>
    <row r="85" spans="1:17" customFormat="1">
      <c r="A85" s="100" t="s">
        <v>2521</v>
      </c>
      <c r="B85" s="100">
        <v>6.41</v>
      </c>
      <c r="C85" s="100">
        <v>40.54</v>
      </c>
      <c r="D85" s="100">
        <v>25.27</v>
      </c>
      <c r="E85" s="100">
        <v>16.04</v>
      </c>
      <c r="F85" s="100">
        <v>34.54</v>
      </c>
      <c r="G85" s="100">
        <v>33.32</v>
      </c>
      <c r="H85" s="100">
        <v>15.61</v>
      </c>
      <c r="I85" s="100">
        <v>4.9000000000000004</v>
      </c>
      <c r="J85" s="100">
        <v>0.51</v>
      </c>
      <c r="K85" s="100">
        <v>247.7</v>
      </c>
      <c r="L85" s="100">
        <v>35.74</v>
      </c>
      <c r="M85" s="100">
        <v>25.48</v>
      </c>
      <c r="N85" s="100">
        <v>0</v>
      </c>
      <c r="O85" s="100">
        <v>0</v>
      </c>
      <c r="P85" s="100">
        <v>0.63</v>
      </c>
      <c r="Q85" s="100">
        <v>4.7</v>
      </c>
    </row>
    <row r="86" spans="1:17" customFormat="1">
      <c r="A86" s="100" t="s">
        <v>2522</v>
      </c>
      <c r="B86" s="100">
        <v>7.21</v>
      </c>
      <c r="C86" s="100">
        <v>46.94</v>
      </c>
      <c r="D86" s="100">
        <v>29.26</v>
      </c>
      <c r="E86" s="100">
        <v>13.13</v>
      </c>
      <c r="F86" s="100">
        <v>24.92</v>
      </c>
      <c r="G86" s="100">
        <v>43.81</v>
      </c>
      <c r="H86" s="100">
        <v>16.18</v>
      </c>
      <c r="I86" s="100">
        <v>5.52</v>
      </c>
      <c r="J86" s="100">
        <v>0.53</v>
      </c>
      <c r="K86" s="100">
        <v>242.7</v>
      </c>
      <c r="L86" s="100">
        <v>35.950000000000003</v>
      </c>
      <c r="M86" s="100">
        <v>25.42</v>
      </c>
      <c r="N86" s="100">
        <v>0</v>
      </c>
      <c r="O86" s="100">
        <v>0</v>
      </c>
      <c r="P86" s="100">
        <v>0.64</v>
      </c>
      <c r="Q86" s="100">
        <v>4.74</v>
      </c>
    </row>
    <row r="87" spans="1:17" customFormat="1">
      <c r="A87" s="100" t="s">
        <v>2523</v>
      </c>
      <c r="B87" s="100">
        <v>7.08</v>
      </c>
      <c r="C87" s="100">
        <v>52.25</v>
      </c>
      <c r="D87" s="100">
        <v>31.93</v>
      </c>
      <c r="E87" s="100">
        <v>12.88</v>
      </c>
      <c r="F87" s="100">
        <v>27.87</v>
      </c>
      <c r="G87" s="100">
        <v>58.85</v>
      </c>
      <c r="H87" s="100">
        <v>17.53</v>
      </c>
      <c r="I87" s="100">
        <v>5.81</v>
      </c>
      <c r="J87" s="100">
        <v>0.51</v>
      </c>
      <c r="K87" s="100">
        <v>247.67</v>
      </c>
      <c r="L87" s="100">
        <v>35.74</v>
      </c>
      <c r="M87" s="100">
        <v>26.04</v>
      </c>
      <c r="N87" s="100">
        <v>0</v>
      </c>
      <c r="O87" s="100">
        <v>0</v>
      </c>
      <c r="P87" s="100">
        <v>0.69</v>
      </c>
      <c r="Q87" s="100">
        <v>4.99</v>
      </c>
    </row>
    <row r="88" spans="1:17" customFormat="1">
      <c r="A88" s="100" t="s">
        <v>2524</v>
      </c>
      <c r="B88" s="100">
        <v>6.95</v>
      </c>
      <c r="C88" s="100">
        <v>51.7</v>
      </c>
      <c r="D88" s="100">
        <v>31.54</v>
      </c>
      <c r="E88" s="100">
        <v>12.39</v>
      </c>
      <c r="F88" s="100">
        <v>29.54</v>
      </c>
      <c r="G88" s="100">
        <v>58.85</v>
      </c>
      <c r="H88" s="100">
        <v>17.53</v>
      </c>
      <c r="I88" s="100">
        <v>6.15</v>
      </c>
      <c r="J88" s="100">
        <v>0.46</v>
      </c>
      <c r="K88" s="100">
        <v>236.72</v>
      </c>
      <c r="L88" s="100">
        <v>35.56</v>
      </c>
      <c r="M88" s="100">
        <v>26.58</v>
      </c>
      <c r="N88" s="100">
        <v>0</v>
      </c>
      <c r="O88" s="100">
        <v>0</v>
      </c>
      <c r="P88" s="100">
        <v>0.68</v>
      </c>
      <c r="Q88" s="100">
        <v>4.9400000000000004</v>
      </c>
    </row>
    <row r="89" spans="1:17" customFormat="1">
      <c r="A89" s="100" t="s">
        <v>2525</v>
      </c>
      <c r="B89" s="100">
        <v>7.02</v>
      </c>
      <c r="C89" s="100">
        <v>46.32</v>
      </c>
      <c r="D89" s="100">
        <v>28.79</v>
      </c>
      <c r="E89" s="100">
        <v>11.67</v>
      </c>
      <c r="F89" s="100">
        <v>29.3</v>
      </c>
      <c r="G89" s="100">
        <v>58.85</v>
      </c>
      <c r="H89" s="100">
        <v>17.53</v>
      </c>
      <c r="I89" s="100">
        <v>6.52</v>
      </c>
      <c r="J89" s="100">
        <v>0.24</v>
      </c>
      <c r="K89" s="100">
        <v>180.32</v>
      </c>
      <c r="L89" s="100">
        <v>34.57</v>
      </c>
      <c r="M89" s="100">
        <v>30.32</v>
      </c>
      <c r="N89" s="100">
        <v>0</v>
      </c>
      <c r="O89" s="100">
        <v>0</v>
      </c>
      <c r="P89" s="100">
        <v>0.67</v>
      </c>
      <c r="Q89" s="100">
        <v>4.83</v>
      </c>
    </row>
    <row r="90" spans="1:17" customFormat="1">
      <c r="A90" s="100" t="s">
        <v>2526</v>
      </c>
      <c r="B90" s="100">
        <v>7.2</v>
      </c>
      <c r="C90" s="100">
        <v>45.08</v>
      </c>
      <c r="D90" s="100">
        <v>28.28</v>
      </c>
      <c r="E90" s="100">
        <v>11.8</v>
      </c>
      <c r="F90" s="100">
        <v>23.37</v>
      </c>
      <c r="G90" s="100">
        <v>59.59</v>
      </c>
      <c r="H90" s="100">
        <v>17.670000000000002</v>
      </c>
      <c r="I90" s="100">
        <v>6.36</v>
      </c>
      <c r="J90" s="100">
        <v>0.2</v>
      </c>
      <c r="K90" s="100">
        <v>158.62</v>
      </c>
      <c r="L90" s="100">
        <v>33.51</v>
      </c>
      <c r="M90" s="100">
        <v>34.33</v>
      </c>
      <c r="N90" s="100">
        <v>0</v>
      </c>
      <c r="O90" s="100">
        <v>0</v>
      </c>
      <c r="P90" s="100">
        <v>0.74</v>
      </c>
      <c r="Q90" s="100">
        <v>4.8</v>
      </c>
    </row>
    <row r="91" spans="1:17" customFormat="1">
      <c r="A91" s="100" t="s">
        <v>2527</v>
      </c>
      <c r="B91" s="100">
        <v>9.32</v>
      </c>
      <c r="C91" s="100">
        <v>53.09</v>
      </c>
      <c r="D91" s="100">
        <v>34.159999999999997</v>
      </c>
      <c r="E91" s="100">
        <v>9.99</v>
      </c>
      <c r="F91" s="100">
        <v>14.23</v>
      </c>
      <c r="G91" s="100">
        <v>60.64</v>
      </c>
      <c r="H91" s="100">
        <v>17.79</v>
      </c>
      <c r="I91" s="100">
        <v>6.41</v>
      </c>
      <c r="J91" s="100">
        <v>0.16</v>
      </c>
      <c r="K91" s="100">
        <v>169.35</v>
      </c>
      <c r="L91" s="100">
        <v>32.909999999999997</v>
      </c>
      <c r="M91" s="100">
        <v>36.26</v>
      </c>
      <c r="N91" s="100">
        <v>0</v>
      </c>
      <c r="O91" s="100">
        <v>0</v>
      </c>
      <c r="P91" s="100">
        <v>0.69</v>
      </c>
      <c r="Q91" s="100">
        <v>4.83</v>
      </c>
    </row>
    <row r="92" spans="1:17" customFormat="1">
      <c r="A92" s="100" t="s">
        <v>2528</v>
      </c>
      <c r="B92" s="100">
        <v>9.09</v>
      </c>
      <c r="C92" s="100">
        <v>53.59</v>
      </c>
      <c r="D92" s="100">
        <v>34.24</v>
      </c>
      <c r="E92" s="100">
        <v>12.44</v>
      </c>
      <c r="F92" s="100">
        <v>17.22</v>
      </c>
      <c r="G92" s="100">
        <v>60.64</v>
      </c>
      <c r="H92" s="100">
        <v>17.79</v>
      </c>
      <c r="I92" s="100">
        <v>6.68</v>
      </c>
      <c r="J92" s="100">
        <v>0.12</v>
      </c>
      <c r="K92" s="100">
        <v>163.54</v>
      </c>
      <c r="L92" s="100">
        <v>32.409999999999997</v>
      </c>
      <c r="M92" s="100">
        <v>36.42</v>
      </c>
      <c r="N92" s="100">
        <v>0</v>
      </c>
      <c r="O92" s="100">
        <v>0</v>
      </c>
      <c r="P92" s="100">
        <v>0.78</v>
      </c>
      <c r="Q92" s="100">
        <v>5.04</v>
      </c>
    </row>
    <row r="93" spans="1:17" customFormat="1">
      <c r="A93" s="100" t="s">
        <v>2529</v>
      </c>
      <c r="B93" s="100">
        <v>9.36</v>
      </c>
      <c r="C93" s="100">
        <v>48.84</v>
      </c>
      <c r="D93" s="100">
        <v>31.98</v>
      </c>
      <c r="E93" s="100">
        <v>12.56</v>
      </c>
      <c r="F93" s="100">
        <v>17.739999999999998</v>
      </c>
      <c r="G93" s="100">
        <v>60.64</v>
      </c>
      <c r="H93" s="100">
        <v>17.79</v>
      </c>
      <c r="I93" s="100">
        <v>6.84</v>
      </c>
      <c r="J93" s="100">
        <v>0.12</v>
      </c>
      <c r="K93" s="100">
        <v>152.12</v>
      </c>
      <c r="L93" s="100">
        <v>32.28</v>
      </c>
      <c r="M93" s="100">
        <v>38.24</v>
      </c>
      <c r="N93" s="100">
        <v>0</v>
      </c>
      <c r="O93" s="100">
        <v>0</v>
      </c>
      <c r="P93" s="100">
        <v>0.79</v>
      </c>
      <c r="Q93" s="100">
        <v>4.9400000000000004</v>
      </c>
    </row>
    <row r="94" spans="1:17" customFormat="1">
      <c r="A94" s="100" t="s">
        <v>2530</v>
      </c>
      <c r="B94" s="100">
        <v>10.59</v>
      </c>
      <c r="C94" s="100">
        <v>56.03</v>
      </c>
      <c r="D94" s="100">
        <v>36.72</v>
      </c>
      <c r="E94" s="100">
        <v>9.5</v>
      </c>
      <c r="F94" s="100">
        <v>15.57</v>
      </c>
      <c r="G94" s="100">
        <v>64.209999999999994</v>
      </c>
      <c r="H94" s="100">
        <v>18.36</v>
      </c>
      <c r="I94" s="100">
        <v>7.21</v>
      </c>
      <c r="J94" s="100">
        <v>0.12</v>
      </c>
      <c r="K94" s="100">
        <v>157.88</v>
      </c>
      <c r="L94" s="100">
        <v>31.77</v>
      </c>
      <c r="M94" s="100">
        <v>39.46</v>
      </c>
      <c r="N94" s="100">
        <v>0</v>
      </c>
      <c r="O94" s="100">
        <v>0</v>
      </c>
      <c r="P94" s="100">
        <v>0.76</v>
      </c>
      <c r="Q94" s="100">
        <v>5.09</v>
      </c>
    </row>
    <row r="95" spans="1:17" customFormat="1">
      <c r="A95" s="100" t="s">
        <v>2531</v>
      </c>
      <c r="B95" s="100">
        <v>9.85</v>
      </c>
      <c r="C95" s="100">
        <v>48.89</v>
      </c>
      <c r="D95" s="100">
        <v>32.39</v>
      </c>
      <c r="E95" s="100">
        <v>11.1</v>
      </c>
      <c r="F95" s="100">
        <v>19.27</v>
      </c>
      <c r="G95" s="100">
        <v>69.33</v>
      </c>
      <c r="H95" s="100">
        <v>18.84</v>
      </c>
      <c r="I95" s="100">
        <v>7.31</v>
      </c>
      <c r="J95" s="100">
        <v>0.11</v>
      </c>
      <c r="K95" s="100">
        <v>152.44</v>
      </c>
      <c r="L95" s="100">
        <v>31.67</v>
      </c>
      <c r="M95" s="100">
        <v>39.21</v>
      </c>
      <c r="N95" s="100">
        <v>0</v>
      </c>
      <c r="O95" s="100">
        <v>0</v>
      </c>
      <c r="P95" s="100">
        <v>0.76</v>
      </c>
      <c r="Q95" s="100">
        <v>5.07</v>
      </c>
    </row>
    <row r="96" spans="1:17" customFormat="1">
      <c r="A96" s="100" t="s">
        <v>2532</v>
      </c>
      <c r="B96" s="100">
        <v>11.47</v>
      </c>
      <c r="C96" s="100">
        <v>49.64</v>
      </c>
      <c r="D96" s="100">
        <v>34.090000000000003</v>
      </c>
      <c r="E96" s="100">
        <v>8.14</v>
      </c>
      <c r="F96" s="100">
        <v>13.89</v>
      </c>
      <c r="G96" s="100">
        <v>69.33</v>
      </c>
      <c r="H96" s="100">
        <v>18.84</v>
      </c>
      <c r="I96" s="100">
        <v>7.02</v>
      </c>
      <c r="J96" s="100">
        <v>0.09</v>
      </c>
      <c r="K96" s="100">
        <v>164.81</v>
      </c>
      <c r="L96" s="100">
        <v>31.54</v>
      </c>
      <c r="M96" s="100">
        <v>40.79</v>
      </c>
      <c r="N96" s="100">
        <v>0</v>
      </c>
      <c r="O96" s="100">
        <v>0</v>
      </c>
      <c r="P96" s="100">
        <v>0.76</v>
      </c>
      <c r="Q96" s="100">
        <v>4.97</v>
      </c>
    </row>
    <row r="97" spans="1:22" customFormat="1">
      <c r="A97" s="100" t="s">
        <v>2533</v>
      </c>
      <c r="B97" s="100">
        <v>11.99</v>
      </c>
      <c r="C97" s="100">
        <v>55.58</v>
      </c>
      <c r="D97" s="100">
        <v>37.61</v>
      </c>
      <c r="E97" s="100">
        <v>7.71</v>
      </c>
      <c r="F97" s="100">
        <v>14.13</v>
      </c>
      <c r="G97" s="100">
        <v>69.33</v>
      </c>
      <c r="H97" s="100">
        <v>18.84</v>
      </c>
      <c r="I97" s="100">
        <v>7</v>
      </c>
      <c r="J97" s="100">
        <v>0.11</v>
      </c>
      <c r="K97" s="100">
        <v>162.15</v>
      </c>
      <c r="L97" s="100">
        <v>31.78</v>
      </c>
      <c r="M97" s="100">
        <v>39.6</v>
      </c>
      <c r="N97" s="100">
        <v>0</v>
      </c>
      <c r="O97" s="100">
        <v>0</v>
      </c>
      <c r="P97" s="100">
        <v>0.77</v>
      </c>
      <c r="Q97" s="100">
        <v>5.16</v>
      </c>
    </row>
    <row r="98" spans="1:22" customFormat="1">
      <c r="A98" s="100" t="s">
        <v>2534</v>
      </c>
      <c r="B98" s="100">
        <v>10.58</v>
      </c>
      <c r="C98" s="100">
        <v>46.82</v>
      </c>
      <c r="D98" s="100">
        <v>31.91</v>
      </c>
      <c r="E98" s="100">
        <v>8.64</v>
      </c>
      <c r="F98" s="100">
        <v>18.329999999999998</v>
      </c>
      <c r="G98" s="100">
        <v>61.61</v>
      </c>
      <c r="H98" s="100">
        <v>20.420000000000002</v>
      </c>
      <c r="I98" s="100">
        <v>6.98</v>
      </c>
      <c r="J98" s="100">
        <v>0.12</v>
      </c>
      <c r="K98" s="100">
        <v>167.3</v>
      </c>
      <c r="L98" s="100">
        <v>31.7</v>
      </c>
      <c r="M98" s="100">
        <v>40.479999999999997</v>
      </c>
      <c r="N98" s="100">
        <v>0</v>
      </c>
      <c r="O98" s="100">
        <v>0</v>
      </c>
      <c r="P98" s="100">
        <v>0.76</v>
      </c>
      <c r="Q98" s="100">
        <v>5.14</v>
      </c>
    </row>
    <row r="99" spans="1:22" customFormat="1">
      <c r="A99" s="100" t="s">
        <v>2535</v>
      </c>
      <c r="B99" s="100">
        <v>13.55</v>
      </c>
      <c r="C99" s="100">
        <v>52.98</v>
      </c>
      <c r="D99" s="100">
        <v>37.51</v>
      </c>
      <c r="E99" s="100">
        <v>6.73</v>
      </c>
      <c r="F99" s="100">
        <v>11.68</v>
      </c>
      <c r="G99" s="100">
        <v>50.55</v>
      </c>
      <c r="H99" s="100">
        <v>21.78</v>
      </c>
      <c r="I99" s="100">
        <v>6.77</v>
      </c>
      <c r="J99" s="100">
        <v>0.1</v>
      </c>
      <c r="K99" s="100">
        <v>168.1</v>
      </c>
      <c r="L99" s="100">
        <v>31.64</v>
      </c>
      <c r="M99" s="100">
        <v>39.82</v>
      </c>
      <c r="N99" s="100">
        <v>0</v>
      </c>
      <c r="O99" s="100">
        <v>0</v>
      </c>
      <c r="P99" s="100">
        <v>0.74</v>
      </c>
      <c r="Q99" s="100">
        <v>5.05</v>
      </c>
    </row>
    <row r="100" spans="1:22" customFormat="1">
      <c r="A100" s="100" t="s">
        <v>2536</v>
      </c>
      <c r="B100" s="100">
        <v>11.79</v>
      </c>
      <c r="C100" s="100">
        <v>50.15</v>
      </c>
      <c r="D100" s="100">
        <v>34.61</v>
      </c>
      <c r="E100" s="100">
        <v>8.6300000000000008</v>
      </c>
      <c r="F100" s="100">
        <v>21.37</v>
      </c>
      <c r="G100" s="100">
        <v>50.55</v>
      </c>
      <c r="H100" s="100">
        <v>21.78</v>
      </c>
      <c r="I100" s="100">
        <v>6.69</v>
      </c>
      <c r="J100" s="100">
        <v>0.11</v>
      </c>
      <c r="K100" s="100">
        <v>228.38</v>
      </c>
      <c r="L100" s="100">
        <v>32.01</v>
      </c>
      <c r="M100" s="100">
        <v>36.81</v>
      </c>
      <c r="N100" s="100">
        <v>0</v>
      </c>
      <c r="O100" s="100">
        <v>0</v>
      </c>
      <c r="P100" s="100">
        <v>0.69</v>
      </c>
      <c r="Q100" s="100">
        <v>5.19</v>
      </c>
    </row>
    <row r="101" spans="1:22" customFormat="1">
      <c r="A101" s="100" t="s">
        <v>2537</v>
      </c>
      <c r="B101" s="100">
        <v>11.14</v>
      </c>
      <c r="C101" s="100">
        <v>43.82</v>
      </c>
      <c r="D101" s="100">
        <v>30.79</v>
      </c>
      <c r="E101" s="100">
        <v>8.42</v>
      </c>
      <c r="F101" s="100">
        <v>22.29</v>
      </c>
      <c r="G101" s="100">
        <v>50.55</v>
      </c>
      <c r="H101" s="100">
        <v>21.78</v>
      </c>
      <c r="I101" s="100">
        <v>6.52</v>
      </c>
      <c r="J101" s="100">
        <v>0.18</v>
      </c>
      <c r="K101" s="100">
        <v>151.38</v>
      </c>
      <c r="L101" s="100">
        <v>32.06</v>
      </c>
      <c r="M101" s="100">
        <v>38.950000000000003</v>
      </c>
      <c r="N101" s="100">
        <v>0</v>
      </c>
      <c r="O101" s="100">
        <v>0</v>
      </c>
      <c r="P101" s="100">
        <v>0.68</v>
      </c>
      <c r="Q101" s="100">
        <v>5.09</v>
      </c>
    </row>
    <row r="102" spans="1:22" customFormat="1">
      <c r="A102" s="100" t="s">
        <v>2538</v>
      </c>
      <c r="B102" s="100">
        <v>14.46</v>
      </c>
      <c r="C102" s="100">
        <v>54.63</v>
      </c>
      <c r="D102" s="100">
        <v>39.090000000000003</v>
      </c>
      <c r="E102" s="100">
        <v>6.82</v>
      </c>
      <c r="F102" s="100">
        <v>10.71</v>
      </c>
      <c r="G102" s="100">
        <v>53.83</v>
      </c>
      <c r="H102" s="100">
        <v>20.96</v>
      </c>
      <c r="I102" s="100">
        <v>6.06</v>
      </c>
      <c r="J102" s="100">
        <v>0.13</v>
      </c>
      <c r="K102" s="100">
        <v>160.96</v>
      </c>
      <c r="L102" s="100">
        <v>31.35</v>
      </c>
      <c r="M102" s="100">
        <v>42.12</v>
      </c>
      <c r="N102" s="100">
        <v>0</v>
      </c>
      <c r="O102" s="100">
        <v>0</v>
      </c>
      <c r="P102" s="100">
        <v>0.73</v>
      </c>
      <c r="Q102" s="100">
        <v>5.08</v>
      </c>
    </row>
    <row r="103" spans="1:22" customFormat="1">
      <c r="A103" s="100" t="s">
        <v>2539</v>
      </c>
      <c r="B103" s="100">
        <v>13.07</v>
      </c>
      <c r="C103" s="100">
        <v>51.13</v>
      </c>
      <c r="D103" s="100">
        <v>36.15</v>
      </c>
      <c r="E103" s="100">
        <v>7.64</v>
      </c>
      <c r="F103" s="100">
        <v>15.06</v>
      </c>
      <c r="G103" s="100">
        <v>58.54</v>
      </c>
      <c r="H103" s="100">
        <v>20.25</v>
      </c>
      <c r="I103" s="100">
        <v>6.06</v>
      </c>
      <c r="J103" s="100">
        <v>0.1</v>
      </c>
      <c r="K103" s="100">
        <v>163.78</v>
      </c>
      <c r="L103" s="100">
        <v>30.83</v>
      </c>
      <c r="M103" s="100">
        <v>42.51</v>
      </c>
      <c r="N103" s="100">
        <v>0</v>
      </c>
      <c r="O103" s="100">
        <v>0</v>
      </c>
      <c r="P103" s="100">
        <v>0.72</v>
      </c>
      <c r="Q103" s="100">
        <v>5.22</v>
      </c>
    </row>
    <row r="104" spans="1:22" customFormat="1">
      <c r="A104" s="100" t="s">
        <v>2540</v>
      </c>
      <c r="B104" s="100">
        <v>13.66</v>
      </c>
      <c r="C104" s="100">
        <v>48.12</v>
      </c>
      <c r="D104" s="100">
        <v>35.049999999999997</v>
      </c>
      <c r="E104" s="100">
        <v>7.15</v>
      </c>
      <c r="F104" s="100">
        <v>15.46</v>
      </c>
      <c r="G104" s="100">
        <v>58.54</v>
      </c>
      <c r="H104" s="100">
        <v>20.25</v>
      </c>
      <c r="I104" s="100">
        <v>6.32</v>
      </c>
      <c r="J104" s="100">
        <v>0.1</v>
      </c>
      <c r="K104" s="100">
        <v>163.80000000000001</v>
      </c>
      <c r="L104" s="100">
        <v>30.85</v>
      </c>
      <c r="M104" s="100">
        <v>41.26</v>
      </c>
      <c r="N104" s="100">
        <v>0</v>
      </c>
      <c r="O104" s="100">
        <v>0</v>
      </c>
      <c r="P104" s="100">
        <v>0.68</v>
      </c>
      <c r="Q104" s="100">
        <v>5.0999999999999996</v>
      </c>
    </row>
    <row r="106" spans="1:22">
      <c r="A106" s="157" t="s">
        <v>48</v>
      </c>
      <c r="B106" s="158">
        <f>MIN(B9:B104)</f>
        <v>4.59</v>
      </c>
      <c r="C106" s="158">
        <f>MIN(C9:C104)</f>
        <v>38.200000000000003</v>
      </c>
      <c r="D106" s="158">
        <f t="shared" ref="D106:Q106" si="0">MIN(D9:D104)</f>
        <v>23.66</v>
      </c>
      <c r="E106" s="158">
        <f t="shared" si="0"/>
        <v>4.13</v>
      </c>
      <c r="F106" s="158">
        <f t="shared" si="0"/>
        <v>6.96</v>
      </c>
      <c r="G106" s="158">
        <f t="shared" si="0"/>
        <v>33.32</v>
      </c>
      <c r="H106" s="158">
        <f t="shared" si="0"/>
        <v>14.84</v>
      </c>
      <c r="I106" s="158">
        <f t="shared" si="0"/>
        <v>3.82</v>
      </c>
      <c r="J106" s="158">
        <f t="shared" si="0"/>
        <v>0.05</v>
      </c>
      <c r="K106" s="158">
        <f t="shared" si="0"/>
        <v>33.26</v>
      </c>
      <c r="L106" s="158">
        <f t="shared" si="0"/>
        <v>29.07</v>
      </c>
      <c r="M106" s="158">
        <f t="shared" si="0"/>
        <v>15.22</v>
      </c>
      <c r="N106" s="158">
        <f t="shared" si="0"/>
        <v>0</v>
      </c>
      <c r="O106" s="158">
        <f t="shared" si="0"/>
        <v>0</v>
      </c>
      <c r="P106" s="158">
        <f t="shared" si="0"/>
        <v>0.41</v>
      </c>
      <c r="Q106" s="158">
        <f t="shared" si="0"/>
        <v>4.43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14.58</v>
      </c>
      <c r="C107" s="157">
        <f t="shared" ref="C107:Q107" si="1">MAX(C9:C104)</f>
        <v>61.07</v>
      </c>
      <c r="D107" s="157">
        <f t="shared" si="1"/>
        <v>41.7</v>
      </c>
      <c r="E107" s="157">
        <f t="shared" si="1"/>
        <v>16.04</v>
      </c>
      <c r="F107" s="157">
        <f t="shared" si="1"/>
        <v>48.79</v>
      </c>
      <c r="G107" s="157">
        <f t="shared" si="1"/>
        <v>205.7</v>
      </c>
      <c r="H107" s="157">
        <f t="shared" si="1"/>
        <v>21.78</v>
      </c>
      <c r="I107" s="157">
        <f t="shared" si="1"/>
        <v>7.31</v>
      </c>
      <c r="J107" s="157">
        <f t="shared" si="1"/>
        <v>2.13</v>
      </c>
      <c r="K107" s="157">
        <f t="shared" si="1"/>
        <v>343.4</v>
      </c>
      <c r="L107" s="157">
        <f t="shared" si="1"/>
        <v>42.56</v>
      </c>
      <c r="M107" s="157">
        <f t="shared" si="1"/>
        <v>51.91</v>
      </c>
      <c r="N107" s="157">
        <f t="shared" si="1"/>
        <v>826.3</v>
      </c>
      <c r="O107" s="157">
        <f t="shared" si="1"/>
        <v>0</v>
      </c>
      <c r="P107" s="157">
        <f t="shared" si="1"/>
        <v>0.79</v>
      </c>
      <c r="Q107" s="157">
        <f t="shared" si="1"/>
        <v>5.22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9.249062500000008</v>
      </c>
      <c r="C108" s="158">
        <f t="shared" ref="C108:Q108" si="2">AVERAGE(C9:C104)</f>
        <v>49.075937499999981</v>
      </c>
      <c r="D108" s="158">
        <f t="shared" si="2"/>
        <v>32.012395833333336</v>
      </c>
      <c r="E108" s="158">
        <f t="shared" si="2"/>
        <v>8.8721874999999972</v>
      </c>
      <c r="F108" s="158">
        <f t="shared" si="2"/>
        <v>22.209270833333335</v>
      </c>
      <c r="G108" s="158">
        <f t="shared" si="2"/>
        <v>53.090937500000024</v>
      </c>
      <c r="H108" s="158">
        <f t="shared" si="2"/>
        <v>17.935833333333317</v>
      </c>
      <c r="I108" s="158">
        <f t="shared" si="2"/>
        <v>5.0848958333333334</v>
      </c>
      <c r="J108" s="158">
        <f t="shared" si="2"/>
        <v>0.55604166666666666</v>
      </c>
      <c r="K108" s="158">
        <f t="shared" si="2"/>
        <v>229.19812499999998</v>
      </c>
      <c r="L108" s="158">
        <f t="shared" si="2"/>
        <v>34.694583333333327</v>
      </c>
      <c r="M108" s="158">
        <f t="shared" si="2"/>
        <v>34.43385416666667</v>
      </c>
      <c r="N108" s="158">
        <f t="shared" si="2"/>
        <v>145.28749999999999</v>
      </c>
      <c r="O108" s="158">
        <f t="shared" si="2"/>
        <v>0</v>
      </c>
      <c r="P108" s="158">
        <f t="shared" si="2"/>
        <v>0.56895833333333312</v>
      </c>
      <c r="Q108" s="158">
        <f t="shared" si="2"/>
        <v>4.8222916666666649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2.9783397275822314</v>
      </c>
      <c r="C109" s="158">
        <f t="shared" ref="C109:Q109" si="3">STDEV(C9:C104)</f>
        <v>5.2351260132878341</v>
      </c>
      <c r="D109" s="158">
        <f t="shared" si="3"/>
        <v>4.7795608132947462</v>
      </c>
      <c r="E109" s="158">
        <f t="shared" si="3"/>
        <v>2.284330699224848</v>
      </c>
      <c r="F109" s="158">
        <f t="shared" si="3"/>
        <v>9.8078155993646252</v>
      </c>
      <c r="G109" s="158">
        <f t="shared" si="3"/>
        <v>31.595365718746081</v>
      </c>
      <c r="H109" s="158">
        <f t="shared" si="3"/>
        <v>1.4983630834429158</v>
      </c>
      <c r="I109" s="158">
        <f t="shared" si="3"/>
        <v>0.78723232014264422</v>
      </c>
      <c r="J109" s="158">
        <f t="shared" si="3"/>
        <v>0.42134990876234352</v>
      </c>
      <c r="K109" s="158">
        <f t="shared" si="3"/>
        <v>60.665560598771044</v>
      </c>
      <c r="L109" s="158">
        <f t="shared" si="3"/>
        <v>4.112835599275412</v>
      </c>
      <c r="M109" s="158">
        <f t="shared" si="3"/>
        <v>11.03554204137386</v>
      </c>
      <c r="N109" s="158">
        <f t="shared" si="3"/>
        <v>248.55375834912186</v>
      </c>
      <c r="O109" s="158">
        <f t="shared" si="3"/>
        <v>0</v>
      </c>
      <c r="P109" s="158">
        <f t="shared" si="3"/>
        <v>8.8929057079126475E-2</v>
      </c>
      <c r="Q109" s="158">
        <f t="shared" si="3"/>
        <v>0.24774978534874831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25/05/2023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2541</v>
      </c>
      <c r="B9" s="100">
        <v>13.83</v>
      </c>
      <c r="C9" s="100">
        <v>56.99</v>
      </c>
      <c r="D9" s="100">
        <v>39.82</v>
      </c>
      <c r="E9" s="100">
        <v>6.79</v>
      </c>
      <c r="F9" s="100">
        <v>12.22</v>
      </c>
      <c r="G9" s="100">
        <v>58.54</v>
      </c>
      <c r="H9" s="100">
        <v>20.25</v>
      </c>
      <c r="I9" s="100">
        <v>6.03</v>
      </c>
      <c r="J9" s="100">
        <v>0.1</v>
      </c>
      <c r="K9" s="100">
        <v>181.74</v>
      </c>
      <c r="L9" s="100">
        <v>30.66</v>
      </c>
      <c r="M9" s="100">
        <v>42.91</v>
      </c>
      <c r="N9" s="100">
        <v>0</v>
      </c>
      <c r="O9" s="100">
        <v>0</v>
      </c>
      <c r="P9" s="100">
        <v>0.72</v>
      </c>
      <c r="Q9" s="100">
        <v>5.21</v>
      </c>
    </row>
    <row r="10" spans="1:21" customFormat="1">
      <c r="A10" s="100" t="s">
        <v>2542</v>
      </c>
      <c r="B10" s="100">
        <v>13.15</v>
      </c>
      <c r="C10" s="100">
        <v>48.96</v>
      </c>
      <c r="D10" s="100">
        <v>35.08</v>
      </c>
      <c r="E10" s="100">
        <v>7.22</v>
      </c>
      <c r="F10" s="100">
        <v>15.81</v>
      </c>
      <c r="G10" s="100">
        <v>54.44</v>
      </c>
      <c r="H10" s="100">
        <v>18.43</v>
      </c>
      <c r="I10" s="100">
        <v>6.1</v>
      </c>
      <c r="J10" s="100">
        <v>0.14000000000000001</v>
      </c>
      <c r="K10" s="100">
        <v>255.95</v>
      </c>
      <c r="L10" s="100">
        <v>30.45</v>
      </c>
      <c r="M10" s="100">
        <v>42.14</v>
      </c>
      <c r="N10" s="100">
        <v>0</v>
      </c>
      <c r="O10" s="100">
        <v>0</v>
      </c>
      <c r="P10" s="100">
        <v>0.69</v>
      </c>
      <c r="Q10" s="100">
        <v>5.22</v>
      </c>
    </row>
    <row r="11" spans="1:21" customFormat="1">
      <c r="A11" s="100" t="s">
        <v>2543</v>
      </c>
      <c r="B11" s="100">
        <v>14.93</v>
      </c>
      <c r="C11" s="100">
        <v>56.25</v>
      </c>
      <c r="D11" s="100">
        <v>40.32</v>
      </c>
      <c r="E11" s="100">
        <v>6.59</v>
      </c>
      <c r="F11" s="100">
        <v>13.84</v>
      </c>
      <c r="G11" s="100">
        <v>48.56</v>
      </c>
      <c r="H11" s="100">
        <v>16.86</v>
      </c>
      <c r="I11" s="100">
        <v>6.25</v>
      </c>
      <c r="J11" s="100">
        <v>0.34</v>
      </c>
      <c r="K11" s="100">
        <v>245.84</v>
      </c>
      <c r="L11" s="100">
        <v>31.26</v>
      </c>
      <c r="M11" s="100">
        <v>39.1</v>
      </c>
      <c r="N11" s="100">
        <v>0</v>
      </c>
      <c r="O11" s="100">
        <v>0</v>
      </c>
      <c r="P11" s="100">
        <v>0.72</v>
      </c>
      <c r="Q11" s="100">
        <v>5.28</v>
      </c>
    </row>
    <row r="12" spans="1:21" customFormat="1">
      <c r="A12" s="100" t="s">
        <v>2544</v>
      </c>
      <c r="B12" s="100">
        <v>13.03</v>
      </c>
      <c r="C12" s="100">
        <v>45.64</v>
      </c>
      <c r="D12" s="100">
        <v>33.25</v>
      </c>
      <c r="E12" s="100">
        <v>7.59</v>
      </c>
      <c r="F12" s="100">
        <v>22.25</v>
      </c>
      <c r="G12" s="100">
        <v>48.56</v>
      </c>
      <c r="H12" s="100">
        <v>16.86</v>
      </c>
      <c r="I12" s="100">
        <v>6.09</v>
      </c>
      <c r="J12" s="100">
        <v>0.18</v>
      </c>
      <c r="K12" s="100">
        <v>238.28</v>
      </c>
      <c r="L12" s="100">
        <v>31.43</v>
      </c>
      <c r="M12" s="100">
        <v>40</v>
      </c>
      <c r="N12" s="100">
        <v>0</v>
      </c>
      <c r="O12" s="100">
        <v>0</v>
      </c>
      <c r="P12" s="100">
        <v>0.64</v>
      </c>
      <c r="Q12" s="100">
        <v>5.23</v>
      </c>
    </row>
    <row r="13" spans="1:21" customFormat="1">
      <c r="A13" s="100" t="s">
        <v>2545</v>
      </c>
      <c r="B13" s="100">
        <v>14.85</v>
      </c>
      <c r="C13" s="100">
        <v>51.5</v>
      </c>
      <c r="D13" s="100">
        <v>37.770000000000003</v>
      </c>
      <c r="E13" s="100">
        <v>6.83</v>
      </c>
      <c r="F13" s="100">
        <v>13.91</v>
      </c>
      <c r="G13" s="100">
        <v>48.56</v>
      </c>
      <c r="H13" s="100">
        <v>16.86</v>
      </c>
      <c r="I13" s="100">
        <v>6.02</v>
      </c>
      <c r="J13" s="100">
        <v>0.18</v>
      </c>
      <c r="K13" s="100">
        <v>217.96</v>
      </c>
      <c r="L13" s="100">
        <v>31.33</v>
      </c>
      <c r="M13" s="100">
        <v>41.16</v>
      </c>
      <c r="N13" s="100">
        <v>0</v>
      </c>
      <c r="O13" s="100">
        <v>0</v>
      </c>
      <c r="P13" s="100">
        <v>0.67</v>
      </c>
      <c r="Q13" s="100">
        <v>5.14</v>
      </c>
    </row>
    <row r="14" spans="1:21" customFormat="1">
      <c r="A14" s="100" t="s">
        <v>2546</v>
      </c>
      <c r="B14" s="100">
        <v>13.38</v>
      </c>
      <c r="C14" s="100">
        <v>48.64</v>
      </c>
      <c r="D14" s="100">
        <v>35.1</v>
      </c>
      <c r="E14" s="100">
        <v>7.51</v>
      </c>
      <c r="F14" s="100">
        <v>22.29</v>
      </c>
      <c r="G14" s="100">
        <v>47.66</v>
      </c>
      <c r="H14" s="100">
        <v>17.7</v>
      </c>
      <c r="I14" s="100">
        <v>5.53</v>
      </c>
      <c r="J14" s="100">
        <v>0.18</v>
      </c>
      <c r="K14" s="100">
        <v>190.17</v>
      </c>
      <c r="L14" s="100">
        <v>30.99</v>
      </c>
      <c r="M14" s="100">
        <v>42.7</v>
      </c>
      <c r="N14" s="100">
        <v>0</v>
      </c>
      <c r="O14" s="100">
        <v>0</v>
      </c>
      <c r="P14" s="100">
        <v>0.63</v>
      </c>
      <c r="Q14" s="100">
        <v>5.29</v>
      </c>
    </row>
    <row r="15" spans="1:21" customFormat="1">
      <c r="A15" s="100" t="s">
        <v>2547</v>
      </c>
      <c r="B15" s="100">
        <v>13.94</v>
      </c>
      <c r="C15" s="100">
        <v>47.91</v>
      </c>
      <c r="D15" s="100">
        <v>35.159999999999997</v>
      </c>
      <c r="E15" s="100">
        <v>7.44</v>
      </c>
      <c r="F15" s="100">
        <v>17.68</v>
      </c>
      <c r="G15" s="100">
        <v>46.32</v>
      </c>
      <c r="H15" s="100">
        <v>19.7</v>
      </c>
      <c r="I15" s="100">
        <v>5.64</v>
      </c>
      <c r="J15" s="100">
        <v>0.2</v>
      </c>
      <c r="K15" s="100">
        <v>205.26</v>
      </c>
      <c r="L15" s="100">
        <v>30.8</v>
      </c>
      <c r="M15" s="100">
        <v>44.05</v>
      </c>
      <c r="N15" s="100">
        <v>0</v>
      </c>
      <c r="O15" s="100">
        <v>0</v>
      </c>
      <c r="P15" s="100">
        <v>0.63</v>
      </c>
      <c r="Q15" s="100">
        <v>5.2</v>
      </c>
    </row>
    <row r="16" spans="1:21" customFormat="1">
      <c r="A16" s="100" t="s">
        <v>2548</v>
      </c>
      <c r="B16" s="100">
        <v>15</v>
      </c>
      <c r="C16" s="100">
        <v>55.39</v>
      </c>
      <c r="D16" s="100">
        <v>39.92</v>
      </c>
      <c r="E16" s="100">
        <v>6.53</v>
      </c>
      <c r="F16" s="100">
        <v>13.71</v>
      </c>
      <c r="G16" s="100">
        <v>46.32</v>
      </c>
      <c r="H16" s="100">
        <v>19.7</v>
      </c>
      <c r="I16" s="100">
        <v>5.46</v>
      </c>
      <c r="J16" s="100">
        <v>0.31</v>
      </c>
      <c r="K16" s="100">
        <v>212.06</v>
      </c>
      <c r="L16" s="100">
        <v>30.85</v>
      </c>
      <c r="M16" s="100">
        <v>44.29</v>
      </c>
      <c r="N16" s="100">
        <v>0</v>
      </c>
      <c r="O16" s="100">
        <v>0</v>
      </c>
      <c r="P16" s="100">
        <v>0.67</v>
      </c>
      <c r="Q16" s="100">
        <v>5.31</v>
      </c>
    </row>
    <row r="17" spans="1:17" customFormat="1">
      <c r="A17" s="100" t="s">
        <v>2549</v>
      </c>
      <c r="B17" s="100">
        <v>14.01</v>
      </c>
      <c r="C17" s="100">
        <v>48.84</v>
      </c>
      <c r="D17" s="100">
        <v>35.71</v>
      </c>
      <c r="E17" s="100">
        <v>5.77</v>
      </c>
      <c r="F17" s="100">
        <v>18.350000000000001</v>
      </c>
      <c r="G17" s="100">
        <v>46.32</v>
      </c>
      <c r="H17" s="100">
        <v>19.7</v>
      </c>
      <c r="I17" s="100">
        <v>5.49</v>
      </c>
      <c r="J17" s="100">
        <v>0.42</v>
      </c>
      <c r="K17" s="100">
        <v>243.81</v>
      </c>
      <c r="L17" s="100">
        <v>30.96</v>
      </c>
      <c r="M17" s="100">
        <v>44.47</v>
      </c>
      <c r="N17" s="100">
        <v>0</v>
      </c>
      <c r="O17" s="100">
        <v>0</v>
      </c>
      <c r="P17" s="100">
        <v>0.63</v>
      </c>
      <c r="Q17" s="100">
        <v>5.23</v>
      </c>
    </row>
    <row r="18" spans="1:17" customFormat="1">
      <c r="A18" s="100" t="s">
        <v>2550</v>
      </c>
      <c r="B18" s="100">
        <v>15.99</v>
      </c>
      <c r="C18" s="100">
        <v>54.22</v>
      </c>
      <c r="D18" s="100">
        <v>40.11</v>
      </c>
      <c r="E18" s="100">
        <v>6.52</v>
      </c>
      <c r="F18" s="100">
        <v>9.51</v>
      </c>
      <c r="G18" s="100">
        <v>43.35</v>
      </c>
      <c r="H18" s="100">
        <v>19.309999999999999</v>
      </c>
      <c r="I18" s="100">
        <v>5.81</v>
      </c>
      <c r="J18" s="100">
        <v>0.51</v>
      </c>
      <c r="K18" s="100">
        <v>246.24</v>
      </c>
      <c r="L18" s="100">
        <v>31.16</v>
      </c>
      <c r="M18" s="100">
        <v>43.61</v>
      </c>
      <c r="N18" s="100">
        <v>0</v>
      </c>
      <c r="O18" s="100">
        <v>0</v>
      </c>
      <c r="P18" s="100">
        <v>0.67</v>
      </c>
      <c r="Q18" s="100">
        <v>5.18</v>
      </c>
    </row>
    <row r="19" spans="1:17" customFormat="1">
      <c r="A19" s="100" t="s">
        <v>2551</v>
      </c>
      <c r="B19" s="100">
        <v>14.94</v>
      </c>
      <c r="C19" s="100">
        <v>54.02</v>
      </c>
      <c r="D19" s="100">
        <v>39.159999999999997</v>
      </c>
      <c r="E19" s="100">
        <v>7.48</v>
      </c>
      <c r="F19" s="100">
        <v>15.62</v>
      </c>
      <c r="G19" s="100">
        <v>38.89</v>
      </c>
      <c r="H19" s="100">
        <v>18.97</v>
      </c>
      <c r="I19" s="100">
        <v>5.51</v>
      </c>
      <c r="J19" s="100">
        <v>0.43</v>
      </c>
      <c r="K19" s="100">
        <v>234.22</v>
      </c>
      <c r="L19" s="100">
        <v>31.2</v>
      </c>
      <c r="M19" s="100">
        <v>43.35</v>
      </c>
      <c r="N19" s="100">
        <v>0</v>
      </c>
      <c r="O19" s="100">
        <v>0</v>
      </c>
      <c r="P19" s="100">
        <v>0.65</v>
      </c>
      <c r="Q19" s="100">
        <v>5.33</v>
      </c>
    </row>
    <row r="20" spans="1:17" customFormat="1">
      <c r="A20" s="100" t="s">
        <v>2552</v>
      </c>
      <c r="B20" s="100">
        <v>14.68</v>
      </c>
      <c r="C20" s="100">
        <v>50.83</v>
      </c>
      <c r="D20" s="100">
        <v>37.28</v>
      </c>
      <c r="E20" s="100">
        <v>7.29</v>
      </c>
      <c r="F20" s="100">
        <v>14.9</v>
      </c>
      <c r="G20" s="100">
        <v>38.89</v>
      </c>
      <c r="H20" s="100">
        <v>18.97</v>
      </c>
      <c r="I20" s="100">
        <v>5.73</v>
      </c>
      <c r="J20" s="100">
        <v>0.32</v>
      </c>
      <c r="K20" s="100">
        <v>213.82</v>
      </c>
      <c r="L20" s="100">
        <v>30.86</v>
      </c>
      <c r="M20" s="100">
        <v>44.75</v>
      </c>
      <c r="N20" s="100">
        <v>0</v>
      </c>
      <c r="O20" s="100">
        <v>0</v>
      </c>
      <c r="P20" s="100">
        <v>0.63</v>
      </c>
      <c r="Q20" s="100">
        <v>5.22</v>
      </c>
    </row>
    <row r="21" spans="1:17" customFormat="1">
      <c r="A21" s="100" t="s">
        <v>2553</v>
      </c>
      <c r="B21" s="100">
        <v>15.18</v>
      </c>
      <c r="C21" s="100">
        <v>56.63</v>
      </c>
      <c r="D21" s="100">
        <v>40.71</v>
      </c>
      <c r="E21" s="100">
        <v>7.29</v>
      </c>
      <c r="F21" s="100">
        <v>14.48</v>
      </c>
      <c r="G21" s="100">
        <v>38.89</v>
      </c>
      <c r="H21" s="100">
        <v>18.97</v>
      </c>
      <c r="I21" s="100">
        <v>5.57</v>
      </c>
      <c r="J21" s="100">
        <v>0.28000000000000003</v>
      </c>
      <c r="K21" s="100">
        <v>222.48</v>
      </c>
      <c r="L21" s="100">
        <v>30.56</v>
      </c>
      <c r="M21" s="100">
        <v>45.54</v>
      </c>
      <c r="N21" s="100">
        <v>0</v>
      </c>
      <c r="O21" s="100">
        <v>0</v>
      </c>
      <c r="P21" s="100">
        <v>0.66</v>
      </c>
      <c r="Q21" s="100">
        <v>5.3</v>
      </c>
    </row>
    <row r="22" spans="1:17" customFormat="1">
      <c r="A22" s="100" t="s">
        <v>2554</v>
      </c>
      <c r="B22" s="100">
        <v>15.09</v>
      </c>
      <c r="C22" s="100">
        <v>51.79</v>
      </c>
      <c r="D22" s="100">
        <v>38.11</v>
      </c>
      <c r="E22" s="100">
        <v>7.15</v>
      </c>
      <c r="F22" s="100">
        <v>12.91</v>
      </c>
      <c r="G22" s="100">
        <v>32.82</v>
      </c>
      <c r="H22" s="100">
        <v>17.68</v>
      </c>
      <c r="I22" s="100">
        <v>5.49</v>
      </c>
      <c r="J22" s="100">
        <v>0.24</v>
      </c>
      <c r="K22" s="100">
        <v>214.75</v>
      </c>
      <c r="L22" s="100">
        <v>30.34</v>
      </c>
      <c r="M22" s="100">
        <v>45.78</v>
      </c>
      <c r="N22" s="100">
        <v>0</v>
      </c>
      <c r="O22" s="100">
        <v>0</v>
      </c>
      <c r="P22" s="100">
        <v>0.63</v>
      </c>
      <c r="Q22" s="100">
        <v>5.22</v>
      </c>
    </row>
    <row r="23" spans="1:17" customFormat="1">
      <c r="A23" s="100" t="s">
        <v>2555</v>
      </c>
      <c r="B23" s="100">
        <v>16.239999999999998</v>
      </c>
      <c r="C23" s="100">
        <v>58.1</v>
      </c>
      <c r="D23" s="100">
        <v>42.33</v>
      </c>
      <c r="E23" s="100">
        <v>7.12</v>
      </c>
      <c r="F23" s="100">
        <v>10.81</v>
      </c>
      <c r="G23" s="100">
        <v>24.13</v>
      </c>
      <c r="H23" s="100">
        <v>16.57</v>
      </c>
      <c r="I23" s="100">
        <v>5.5</v>
      </c>
      <c r="J23" s="100">
        <v>0.38</v>
      </c>
      <c r="K23" s="100">
        <v>238.68</v>
      </c>
      <c r="L23" s="100">
        <v>30.26</v>
      </c>
      <c r="M23" s="100">
        <v>45.55</v>
      </c>
      <c r="N23" s="100">
        <v>0</v>
      </c>
      <c r="O23" s="100">
        <v>0</v>
      </c>
      <c r="P23" s="100">
        <v>0.66</v>
      </c>
      <c r="Q23" s="100">
        <v>5.31</v>
      </c>
    </row>
    <row r="24" spans="1:17" customFormat="1">
      <c r="A24" s="100" t="s">
        <v>2556</v>
      </c>
      <c r="B24" s="100">
        <v>15.06</v>
      </c>
      <c r="C24" s="100">
        <v>48.8</v>
      </c>
      <c r="D24" s="100">
        <v>36.53</v>
      </c>
      <c r="E24" s="100">
        <v>7.25</v>
      </c>
      <c r="F24" s="100">
        <v>16.57</v>
      </c>
      <c r="G24" s="100">
        <v>24.13</v>
      </c>
      <c r="H24" s="100">
        <v>16.57</v>
      </c>
      <c r="I24" s="100">
        <v>5.43</v>
      </c>
      <c r="J24" s="100">
        <v>0.45</v>
      </c>
      <c r="K24" s="100">
        <v>234.77</v>
      </c>
      <c r="L24" s="100">
        <v>30.42</v>
      </c>
      <c r="M24" s="100">
        <v>44.62</v>
      </c>
      <c r="N24" s="100">
        <v>0</v>
      </c>
      <c r="O24" s="100">
        <v>0</v>
      </c>
      <c r="P24" s="100">
        <v>0.62</v>
      </c>
      <c r="Q24" s="100">
        <v>5.27</v>
      </c>
    </row>
    <row r="25" spans="1:17" customFormat="1">
      <c r="A25" s="100" t="s">
        <v>2557</v>
      </c>
      <c r="B25" s="100">
        <v>16.04</v>
      </c>
      <c r="C25" s="100">
        <v>54.14</v>
      </c>
      <c r="D25" s="100">
        <v>40.1</v>
      </c>
      <c r="E25" s="100">
        <v>6.52</v>
      </c>
      <c r="F25" s="100">
        <v>9.68</v>
      </c>
      <c r="G25" s="100">
        <v>24.13</v>
      </c>
      <c r="H25" s="100">
        <v>16.57</v>
      </c>
      <c r="I25" s="100">
        <v>5.58</v>
      </c>
      <c r="J25" s="100">
        <v>0.46</v>
      </c>
      <c r="K25" s="100">
        <v>239.08</v>
      </c>
      <c r="L25" s="100">
        <v>30.64</v>
      </c>
      <c r="M25" s="100">
        <v>43.33</v>
      </c>
      <c r="N25" s="100">
        <v>0</v>
      </c>
      <c r="O25" s="100">
        <v>0</v>
      </c>
      <c r="P25" s="100">
        <v>0.63</v>
      </c>
      <c r="Q25" s="100">
        <v>5.18</v>
      </c>
    </row>
    <row r="26" spans="1:17" customFormat="1">
      <c r="A26" s="100" t="s">
        <v>2558</v>
      </c>
      <c r="B26" s="100">
        <v>15.52</v>
      </c>
      <c r="C26" s="100">
        <v>51.42</v>
      </c>
      <c r="D26" s="100">
        <v>38.270000000000003</v>
      </c>
      <c r="E26" s="100">
        <v>7.02</v>
      </c>
      <c r="F26" s="100">
        <v>13.87</v>
      </c>
      <c r="G26" s="100">
        <v>30.2</v>
      </c>
      <c r="H26" s="100">
        <v>15.95</v>
      </c>
      <c r="I26" s="100">
        <v>5.39</v>
      </c>
      <c r="J26" s="100">
        <v>0.61</v>
      </c>
      <c r="K26" s="100">
        <v>246.95</v>
      </c>
      <c r="L26" s="100">
        <v>30.87</v>
      </c>
      <c r="M26" s="100">
        <v>42.2</v>
      </c>
      <c r="N26" s="100">
        <v>0</v>
      </c>
      <c r="O26" s="100">
        <v>0</v>
      </c>
      <c r="P26" s="100">
        <v>0.62</v>
      </c>
      <c r="Q26" s="100">
        <v>5.25</v>
      </c>
    </row>
    <row r="27" spans="1:17" customFormat="1">
      <c r="A27" s="100" t="s">
        <v>2559</v>
      </c>
      <c r="B27" s="100">
        <v>16.22</v>
      </c>
      <c r="C27" s="100">
        <v>56.57</v>
      </c>
      <c r="D27" s="100">
        <v>41.52</v>
      </c>
      <c r="E27" s="100">
        <v>6.67</v>
      </c>
      <c r="F27" s="100">
        <v>10.71</v>
      </c>
      <c r="G27" s="100">
        <v>39.299999999999997</v>
      </c>
      <c r="H27" s="100">
        <v>15.4</v>
      </c>
      <c r="I27" s="100">
        <v>5.44</v>
      </c>
      <c r="J27" s="100">
        <v>0.49</v>
      </c>
      <c r="K27" s="100">
        <v>245.32</v>
      </c>
      <c r="L27" s="100">
        <v>30.62</v>
      </c>
      <c r="M27" s="100">
        <v>43.41</v>
      </c>
      <c r="N27" s="100">
        <v>0</v>
      </c>
      <c r="O27" s="100">
        <v>0</v>
      </c>
      <c r="P27" s="100">
        <v>0.64</v>
      </c>
      <c r="Q27" s="100">
        <v>5.3</v>
      </c>
    </row>
    <row r="28" spans="1:17" customFormat="1">
      <c r="A28" s="100" t="s">
        <v>2560</v>
      </c>
      <c r="B28" s="100">
        <v>15.53</v>
      </c>
      <c r="C28" s="100">
        <v>51.11</v>
      </c>
      <c r="D28" s="100">
        <v>38.11</v>
      </c>
      <c r="E28" s="100">
        <v>6.98</v>
      </c>
      <c r="F28" s="100">
        <v>16.05</v>
      </c>
      <c r="G28" s="100">
        <v>39.299999999999997</v>
      </c>
      <c r="H28" s="100">
        <v>15.4</v>
      </c>
      <c r="I28" s="100">
        <v>5.49</v>
      </c>
      <c r="J28" s="100">
        <v>0.46</v>
      </c>
      <c r="K28" s="100">
        <v>241.59</v>
      </c>
      <c r="L28" s="100">
        <v>30.53</v>
      </c>
      <c r="M28" s="100">
        <v>43.89</v>
      </c>
      <c r="N28" s="100">
        <v>0</v>
      </c>
      <c r="O28" s="100">
        <v>0</v>
      </c>
      <c r="P28" s="100">
        <v>0.6</v>
      </c>
      <c r="Q28" s="100">
        <v>5.26</v>
      </c>
    </row>
    <row r="29" spans="1:17" customFormat="1">
      <c r="A29" s="100" t="s">
        <v>2561</v>
      </c>
      <c r="B29" s="100">
        <v>16.14</v>
      </c>
      <c r="C29" s="100">
        <v>54.93</v>
      </c>
      <c r="D29" s="100">
        <v>40.6</v>
      </c>
      <c r="E29" s="100">
        <v>6.37</v>
      </c>
      <c r="F29" s="100">
        <v>8.08</v>
      </c>
      <c r="G29" s="100">
        <v>39.299999999999997</v>
      </c>
      <c r="H29" s="100">
        <v>15.4</v>
      </c>
      <c r="I29" s="100">
        <v>5.51</v>
      </c>
      <c r="J29" s="100">
        <v>0.47</v>
      </c>
      <c r="K29" s="100">
        <v>245.78</v>
      </c>
      <c r="L29" s="100">
        <v>30.38</v>
      </c>
      <c r="M29" s="100">
        <v>45.23</v>
      </c>
      <c r="N29" s="100">
        <v>0</v>
      </c>
      <c r="O29" s="100">
        <v>0</v>
      </c>
      <c r="P29" s="100">
        <v>0.62</v>
      </c>
      <c r="Q29" s="100">
        <v>5.18</v>
      </c>
    </row>
    <row r="30" spans="1:17" customFormat="1">
      <c r="A30" s="100" t="s">
        <v>2562</v>
      </c>
      <c r="B30" s="100">
        <v>14.38</v>
      </c>
      <c r="C30" s="100">
        <v>49.51</v>
      </c>
      <c r="D30" s="100">
        <v>36.35</v>
      </c>
      <c r="E30" s="100">
        <v>7.11</v>
      </c>
      <c r="F30" s="100">
        <v>18.87</v>
      </c>
      <c r="G30" s="100">
        <v>37.86</v>
      </c>
      <c r="H30" s="100">
        <v>14.54</v>
      </c>
      <c r="I30" s="100">
        <v>5.33</v>
      </c>
      <c r="J30" s="100">
        <v>0.45</v>
      </c>
      <c r="K30" s="100">
        <v>247.96</v>
      </c>
      <c r="L30" s="100">
        <v>30.32</v>
      </c>
      <c r="M30" s="100">
        <v>46.49</v>
      </c>
      <c r="N30" s="100">
        <v>0</v>
      </c>
      <c r="O30" s="100">
        <v>0</v>
      </c>
      <c r="P30" s="100">
        <v>0.57999999999999996</v>
      </c>
      <c r="Q30" s="100">
        <v>5.26</v>
      </c>
    </row>
    <row r="31" spans="1:17" customFormat="1">
      <c r="A31" s="100" t="s">
        <v>2563</v>
      </c>
      <c r="B31" s="100">
        <v>15.17</v>
      </c>
      <c r="C31" s="100">
        <v>53.26</v>
      </c>
      <c r="D31" s="100">
        <v>38.950000000000003</v>
      </c>
      <c r="E31" s="100">
        <v>5.94</v>
      </c>
      <c r="F31" s="100">
        <v>10.32</v>
      </c>
      <c r="G31" s="100">
        <v>35.79</v>
      </c>
      <c r="H31" s="100">
        <v>13.81</v>
      </c>
      <c r="I31" s="100">
        <v>5.31</v>
      </c>
      <c r="J31" s="100">
        <v>0.39</v>
      </c>
      <c r="K31" s="100">
        <v>239.27</v>
      </c>
      <c r="L31" s="100">
        <v>30.17</v>
      </c>
      <c r="M31" s="100">
        <v>47.89</v>
      </c>
      <c r="N31" s="100">
        <v>6</v>
      </c>
      <c r="O31" s="100">
        <v>0</v>
      </c>
      <c r="P31" s="100">
        <v>0.6</v>
      </c>
      <c r="Q31" s="100">
        <v>5.17</v>
      </c>
    </row>
    <row r="32" spans="1:17" customFormat="1">
      <c r="A32" s="100" t="s">
        <v>2564</v>
      </c>
      <c r="B32" s="100">
        <v>14.52</v>
      </c>
      <c r="C32" s="100">
        <v>51.01</v>
      </c>
      <c r="D32" s="100">
        <v>37.25</v>
      </c>
      <c r="E32" s="100">
        <v>6.62</v>
      </c>
      <c r="F32" s="100">
        <v>16.95</v>
      </c>
      <c r="G32" s="100">
        <v>35.79</v>
      </c>
      <c r="H32" s="100">
        <v>13.81</v>
      </c>
      <c r="I32" s="100">
        <v>5.26</v>
      </c>
      <c r="J32" s="100">
        <v>0.33</v>
      </c>
      <c r="K32" s="100">
        <v>233.56</v>
      </c>
      <c r="L32" s="100">
        <v>30.09</v>
      </c>
      <c r="M32" s="100">
        <v>49.33</v>
      </c>
      <c r="N32" s="100">
        <v>20.8</v>
      </c>
      <c r="O32" s="100">
        <v>0</v>
      </c>
      <c r="P32" s="100">
        <v>0.56999999999999995</v>
      </c>
      <c r="Q32" s="100">
        <v>5.23</v>
      </c>
    </row>
    <row r="33" spans="1:17" customFormat="1">
      <c r="A33" s="100" t="s">
        <v>2565</v>
      </c>
      <c r="B33" s="100">
        <v>15.61</v>
      </c>
      <c r="C33" s="100">
        <v>54.71</v>
      </c>
      <c r="D33" s="100">
        <v>40.06</v>
      </c>
      <c r="E33" s="100">
        <v>6.54</v>
      </c>
      <c r="F33" s="100">
        <v>8.16</v>
      </c>
      <c r="G33" s="100">
        <v>35.79</v>
      </c>
      <c r="H33" s="100">
        <v>13.81</v>
      </c>
      <c r="I33" s="100">
        <v>5.34</v>
      </c>
      <c r="J33" s="100">
        <v>0.35</v>
      </c>
      <c r="K33" s="100">
        <v>208.33</v>
      </c>
      <c r="L33" s="100">
        <v>30.25</v>
      </c>
      <c r="M33" s="100">
        <v>50.05</v>
      </c>
      <c r="N33" s="100">
        <v>57.1</v>
      </c>
      <c r="O33" s="100">
        <v>0</v>
      </c>
      <c r="P33" s="100">
        <v>0.6</v>
      </c>
      <c r="Q33" s="100">
        <v>5.15</v>
      </c>
    </row>
    <row r="34" spans="1:17" customFormat="1">
      <c r="A34" s="100" t="s">
        <v>2566</v>
      </c>
      <c r="B34" s="100">
        <v>15.38</v>
      </c>
      <c r="C34" s="100">
        <v>51.08</v>
      </c>
      <c r="D34" s="100">
        <v>37.979999999999997</v>
      </c>
      <c r="E34" s="100">
        <v>6.99</v>
      </c>
      <c r="F34" s="100">
        <v>11.82</v>
      </c>
      <c r="G34" s="100">
        <v>31.47</v>
      </c>
      <c r="H34" s="100">
        <v>15.2</v>
      </c>
      <c r="I34" s="100">
        <v>5.47</v>
      </c>
      <c r="J34" s="100">
        <v>0.61</v>
      </c>
      <c r="K34" s="100">
        <v>249.7</v>
      </c>
      <c r="L34" s="100">
        <v>31.05</v>
      </c>
      <c r="M34" s="100">
        <v>47.79</v>
      </c>
      <c r="N34" s="100">
        <v>65.3</v>
      </c>
      <c r="O34" s="100">
        <v>0</v>
      </c>
      <c r="P34" s="100">
        <v>0.59</v>
      </c>
      <c r="Q34" s="100">
        <v>5.19</v>
      </c>
    </row>
    <row r="35" spans="1:17" customFormat="1">
      <c r="A35" s="100" t="s">
        <v>2567</v>
      </c>
      <c r="B35" s="100">
        <v>15.29</v>
      </c>
      <c r="C35" s="100">
        <v>56.55</v>
      </c>
      <c r="D35" s="100">
        <v>40.76</v>
      </c>
      <c r="E35" s="100">
        <v>6.83</v>
      </c>
      <c r="F35" s="100">
        <v>10.95</v>
      </c>
      <c r="G35" s="100">
        <v>24.99</v>
      </c>
      <c r="H35" s="100">
        <v>16.39</v>
      </c>
      <c r="I35" s="100">
        <v>5.46</v>
      </c>
      <c r="J35" s="100">
        <v>0.67</v>
      </c>
      <c r="K35" s="100">
        <v>245.5</v>
      </c>
      <c r="L35" s="100">
        <v>31.44</v>
      </c>
      <c r="M35" s="100">
        <v>47.08</v>
      </c>
      <c r="N35" s="100">
        <v>38.1</v>
      </c>
      <c r="O35" s="100">
        <v>0</v>
      </c>
      <c r="P35" s="100">
        <v>0.6</v>
      </c>
      <c r="Q35" s="100">
        <v>5.26</v>
      </c>
    </row>
    <row r="36" spans="1:17" customFormat="1">
      <c r="A36" s="100" t="s">
        <v>2568</v>
      </c>
      <c r="B36" s="100">
        <v>14.86</v>
      </c>
      <c r="C36" s="100">
        <v>49.24</v>
      </c>
      <c r="D36" s="100">
        <v>36.6</v>
      </c>
      <c r="E36" s="100">
        <v>6.93</v>
      </c>
      <c r="F36" s="100">
        <v>15.31</v>
      </c>
      <c r="G36" s="100">
        <v>24.99</v>
      </c>
      <c r="H36" s="100">
        <v>16.39</v>
      </c>
      <c r="I36" s="100">
        <v>5.4</v>
      </c>
      <c r="J36" s="100">
        <v>0.56000000000000005</v>
      </c>
      <c r="K36" s="100">
        <v>242.24</v>
      </c>
      <c r="L36" s="100">
        <v>31.37</v>
      </c>
      <c r="M36" s="100">
        <v>47.79</v>
      </c>
      <c r="N36" s="100">
        <v>46.9</v>
      </c>
      <c r="O36" s="100">
        <v>0</v>
      </c>
      <c r="P36" s="100">
        <v>0.56999999999999995</v>
      </c>
      <c r="Q36" s="100">
        <v>5.18</v>
      </c>
    </row>
    <row r="37" spans="1:17" customFormat="1">
      <c r="A37" s="100" t="s">
        <v>2569</v>
      </c>
      <c r="B37" s="100">
        <v>15.18</v>
      </c>
      <c r="C37" s="100">
        <v>54.38</v>
      </c>
      <c r="D37" s="100">
        <v>39.54</v>
      </c>
      <c r="E37" s="100">
        <v>6.68</v>
      </c>
      <c r="F37" s="100">
        <v>9.49</v>
      </c>
      <c r="G37" s="100">
        <v>24.99</v>
      </c>
      <c r="H37" s="100">
        <v>16.39</v>
      </c>
      <c r="I37" s="100">
        <v>5.36</v>
      </c>
      <c r="J37" s="100">
        <v>0.51</v>
      </c>
      <c r="K37" s="100">
        <v>243.57</v>
      </c>
      <c r="L37" s="100">
        <v>31.38</v>
      </c>
      <c r="M37" s="100">
        <v>48.58</v>
      </c>
      <c r="N37" s="100">
        <v>77.3</v>
      </c>
      <c r="O37" s="100">
        <v>0</v>
      </c>
      <c r="P37" s="100">
        <v>0.6</v>
      </c>
      <c r="Q37" s="100">
        <v>5.13</v>
      </c>
    </row>
    <row r="38" spans="1:17" customFormat="1">
      <c r="A38" s="100" t="s">
        <v>2570</v>
      </c>
      <c r="B38" s="100">
        <v>13.58</v>
      </c>
      <c r="C38" s="100">
        <v>48.16</v>
      </c>
      <c r="D38" s="100">
        <v>35.01</v>
      </c>
      <c r="E38" s="100">
        <v>7.66</v>
      </c>
      <c r="F38" s="100">
        <v>17.78</v>
      </c>
      <c r="G38" s="100">
        <v>31.69</v>
      </c>
      <c r="H38" s="100">
        <v>16.690000000000001</v>
      </c>
      <c r="I38" s="100">
        <v>5.36</v>
      </c>
      <c r="J38" s="100">
        <v>0.54</v>
      </c>
      <c r="K38" s="100">
        <v>246.75</v>
      </c>
      <c r="L38" s="100">
        <v>31.64</v>
      </c>
      <c r="M38" s="100">
        <v>48.44</v>
      </c>
      <c r="N38" s="100">
        <v>98.8</v>
      </c>
      <c r="O38" s="100">
        <v>0</v>
      </c>
      <c r="P38" s="100">
        <v>0.57999999999999996</v>
      </c>
      <c r="Q38" s="100">
        <v>5.21</v>
      </c>
    </row>
    <row r="39" spans="1:17" customFormat="1">
      <c r="A39" s="100" t="s">
        <v>2571</v>
      </c>
      <c r="B39" s="100">
        <v>15.07</v>
      </c>
      <c r="C39" s="100">
        <v>53.7</v>
      </c>
      <c r="D39" s="100">
        <v>39.090000000000003</v>
      </c>
      <c r="E39" s="100">
        <v>6.89</v>
      </c>
      <c r="F39" s="100">
        <v>9.11</v>
      </c>
      <c r="G39" s="100">
        <v>41.28</v>
      </c>
      <c r="H39" s="100">
        <v>17.41</v>
      </c>
      <c r="I39" s="100">
        <v>5.38</v>
      </c>
      <c r="J39" s="100">
        <v>0.85</v>
      </c>
      <c r="K39" s="100">
        <v>261.57</v>
      </c>
      <c r="L39" s="100">
        <v>32.200000000000003</v>
      </c>
      <c r="M39" s="100">
        <v>46.03</v>
      </c>
      <c r="N39" s="100">
        <v>153.4</v>
      </c>
      <c r="O39" s="100">
        <v>0</v>
      </c>
      <c r="P39" s="100">
        <v>0.59</v>
      </c>
      <c r="Q39" s="100">
        <v>5.13</v>
      </c>
    </row>
    <row r="40" spans="1:17" customFormat="1">
      <c r="A40" s="100" t="s">
        <v>2572</v>
      </c>
      <c r="B40" s="100">
        <v>13.96</v>
      </c>
      <c r="C40" s="100">
        <v>55.12</v>
      </c>
      <c r="D40" s="100">
        <v>38.950000000000003</v>
      </c>
      <c r="E40" s="100">
        <v>6.97</v>
      </c>
      <c r="F40" s="100">
        <v>10.36</v>
      </c>
      <c r="G40" s="100">
        <v>41.28</v>
      </c>
      <c r="H40" s="100">
        <v>17.41</v>
      </c>
      <c r="I40" s="100">
        <v>5.35</v>
      </c>
      <c r="J40" s="100">
        <v>1.07</v>
      </c>
      <c r="K40" s="100">
        <v>258.27</v>
      </c>
      <c r="L40" s="100">
        <v>33.1</v>
      </c>
      <c r="M40" s="100">
        <v>40.86</v>
      </c>
      <c r="N40" s="100">
        <v>188.4</v>
      </c>
      <c r="O40" s="100">
        <v>0</v>
      </c>
      <c r="P40" s="100">
        <v>0.59</v>
      </c>
      <c r="Q40" s="100">
        <v>5.19</v>
      </c>
    </row>
    <row r="41" spans="1:17" customFormat="1">
      <c r="A41" s="100" t="s">
        <v>2573</v>
      </c>
      <c r="B41" s="100">
        <v>13.8</v>
      </c>
      <c r="C41" s="100">
        <v>49.78</v>
      </c>
      <c r="D41" s="100">
        <v>36.03</v>
      </c>
      <c r="E41" s="100">
        <v>7.21</v>
      </c>
      <c r="F41" s="100">
        <v>11.66</v>
      </c>
      <c r="G41" s="100">
        <v>41.28</v>
      </c>
      <c r="H41" s="100">
        <v>17.41</v>
      </c>
      <c r="I41" s="100">
        <v>5.44</v>
      </c>
      <c r="J41" s="100">
        <v>1.27</v>
      </c>
      <c r="K41" s="100">
        <v>261.26</v>
      </c>
      <c r="L41" s="100">
        <v>33.86</v>
      </c>
      <c r="M41" s="100">
        <v>36.03</v>
      </c>
      <c r="N41" s="100">
        <v>237.2</v>
      </c>
      <c r="O41" s="100">
        <v>0</v>
      </c>
      <c r="P41" s="100">
        <v>0.56000000000000005</v>
      </c>
      <c r="Q41" s="100">
        <v>5.0599999999999996</v>
      </c>
    </row>
    <row r="42" spans="1:17" customFormat="1">
      <c r="A42" s="100" t="s">
        <v>2574</v>
      </c>
      <c r="B42" s="100">
        <v>13.92</v>
      </c>
      <c r="C42" s="100">
        <v>55.55</v>
      </c>
      <c r="D42" s="100">
        <v>39.14</v>
      </c>
      <c r="E42" s="100">
        <v>6.48</v>
      </c>
      <c r="F42" s="100">
        <v>9.2799999999999994</v>
      </c>
      <c r="G42" s="100">
        <v>34.659999999999997</v>
      </c>
      <c r="H42" s="100">
        <v>16.66</v>
      </c>
      <c r="I42" s="100">
        <v>5.43</v>
      </c>
      <c r="J42" s="100">
        <v>1.28</v>
      </c>
      <c r="K42" s="100">
        <v>258.97000000000003</v>
      </c>
      <c r="L42" s="100">
        <v>34.020000000000003</v>
      </c>
      <c r="M42" s="100">
        <v>34.68</v>
      </c>
      <c r="N42" s="100">
        <v>176.4</v>
      </c>
      <c r="O42" s="100">
        <v>0</v>
      </c>
      <c r="P42" s="100">
        <v>0.59</v>
      </c>
      <c r="Q42" s="100">
        <v>5.0199999999999996</v>
      </c>
    </row>
    <row r="43" spans="1:17" customFormat="1">
      <c r="A43" s="100" t="s">
        <v>2575</v>
      </c>
      <c r="B43" s="100">
        <v>12.94</v>
      </c>
      <c r="C43" s="100">
        <v>55.31</v>
      </c>
      <c r="D43" s="100">
        <v>38.229999999999997</v>
      </c>
      <c r="E43" s="100">
        <v>6.73</v>
      </c>
      <c r="F43" s="100">
        <v>9.93</v>
      </c>
      <c r="G43" s="100">
        <v>25.16</v>
      </c>
      <c r="H43" s="100">
        <v>16.02</v>
      </c>
      <c r="I43" s="100">
        <v>5.38</v>
      </c>
      <c r="J43" s="100">
        <v>1.3</v>
      </c>
      <c r="K43" s="100">
        <v>259.20999999999998</v>
      </c>
      <c r="L43" s="100">
        <v>33.82</v>
      </c>
      <c r="M43" s="100">
        <v>34.78</v>
      </c>
      <c r="N43" s="100">
        <v>193</v>
      </c>
      <c r="O43" s="100">
        <v>0</v>
      </c>
      <c r="P43" s="100">
        <v>0.56999999999999995</v>
      </c>
      <c r="Q43" s="100">
        <v>5.04</v>
      </c>
    </row>
    <row r="44" spans="1:17" customFormat="1">
      <c r="A44" s="100" t="s">
        <v>2576</v>
      </c>
      <c r="B44" s="100">
        <v>12.44</v>
      </c>
      <c r="C44" s="100">
        <v>51.65</v>
      </c>
      <c r="D44" s="100">
        <v>35.92</v>
      </c>
      <c r="E44" s="100">
        <v>6.63</v>
      </c>
      <c r="F44" s="100">
        <v>8.81</v>
      </c>
      <c r="G44" s="100">
        <v>25.16</v>
      </c>
      <c r="H44" s="100">
        <v>16.02</v>
      </c>
      <c r="I44" s="100">
        <v>5.38</v>
      </c>
      <c r="J44" s="100">
        <v>1.61</v>
      </c>
      <c r="K44" s="100">
        <v>260.45</v>
      </c>
      <c r="L44" s="100">
        <v>34.28</v>
      </c>
      <c r="M44" s="100">
        <v>34.020000000000003</v>
      </c>
      <c r="N44" s="100">
        <v>259.7</v>
      </c>
      <c r="O44" s="100">
        <v>0</v>
      </c>
      <c r="P44" s="100">
        <v>0.57999999999999996</v>
      </c>
      <c r="Q44" s="100">
        <v>4.8899999999999997</v>
      </c>
    </row>
    <row r="45" spans="1:17" customFormat="1">
      <c r="A45" s="100" t="s">
        <v>2577</v>
      </c>
      <c r="B45" s="100">
        <v>11.7</v>
      </c>
      <c r="C45" s="100">
        <v>50.37</v>
      </c>
      <c r="D45" s="100">
        <v>34.65</v>
      </c>
      <c r="E45" s="100">
        <v>8.3800000000000008</v>
      </c>
      <c r="F45" s="100">
        <v>8.2899999999999991</v>
      </c>
      <c r="G45" s="100">
        <v>25.16</v>
      </c>
      <c r="H45" s="100">
        <v>16.02</v>
      </c>
      <c r="I45" s="100">
        <v>5.24</v>
      </c>
      <c r="J45" s="100">
        <v>1.69</v>
      </c>
      <c r="K45" s="100">
        <v>261.58999999999997</v>
      </c>
      <c r="L45" s="100">
        <v>33.520000000000003</v>
      </c>
      <c r="M45" s="100">
        <v>35.49</v>
      </c>
      <c r="N45" s="100">
        <v>67.8</v>
      </c>
      <c r="O45" s="100">
        <v>0</v>
      </c>
      <c r="P45" s="100">
        <v>0.57999999999999996</v>
      </c>
      <c r="Q45" s="100">
        <v>4.8</v>
      </c>
    </row>
    <row r="46" spans="1:17" customFormat="1">
      <c r="A46" s="100" t="s">
        <v>2578</v>
      </c>
      <c r="B46" s="100">
        <v>11.29</v>
      </c>
      <c r="C46" s="100">
        <v>53.21</v>
      </c>
      <c r="D46" s="100">
        <v>35.81</v>
      </c>
      <c r="E46" s="100">
        <v>6.18</v>
      </c>
      <c r="F46" s="100">
        <v>6.31</v>
      </c>
      <c r="G46" s="100">
        <v>34.770000000000003</v>
      </c>
      <c r="H46" s="100">
        <v>17.28</v>
      </c>
      <c r="I46" s="100">
        <v>5.31</v>
      </c>
      <c r="J46" s="100">
        <v>0.84</v>
      </c>
      <c r="K46" s="100">
        <v>264.45999999999998</v>
      </c>
      <c r="L46" s="100">
        <v>31.48</v>
      </c>
      <c r="M46" s="100">
        <v>46.35</v>
      </c>
      <c r="N46" s="100">
        <v>88.6</v>
      </c>
      <c r="O46" s="100">
        <v>0</v>
      </c>
      <c r="P46" s="100">
        <v>0.6</v>
      </c>
      <c r="Q46" s="100">
        <v>4.8</v>
      </c>
    </row>
    <row r="47" spans="1:17" customFormat="1">
      <c r="A47" s="100" t="s">
        <v>2579</v>
      </c>
      <c r="B47" s="100">
        <v>11.42</v>
      </c>
      <c r="C47" s="100">
        <v>58.76</v>
      </c>
      <c r="D47" s="100">
        <v>38.82</v>
      </c>
      <c r="E47" s="100">
        <v>6.5</v>
      </c>
      <c r="F47" s="100">
        <v>7.15</v>
      </c>
      <c r="G47" s="100">
        <v>49.17</v>
      </c>
      <c r="H47" s="100">
        <v>18.37</v>
      </c>
      <c r="I47" s="100">
        <v>5.49</v>
      </c>
      <c r="J47" s="100">
        <v>0.74</v>
      </c>
      <c r="K47" s="100">
        <v>248.84</v>
      </c>
      <c r="L47" s="100">
        <v>31.14</v>
      </c>
      <c r="M47" s="100">
        <v>49.37</v>
      </c>
      <c r="N47" s="100">
        <v>150.69999999999999</v>
      </c>
      <c r="O47" s="100">
        <v>0</v>
      </c>
      <c r="P47" s="100">
        <v>0.63</v>
      </c>
      <c r="Q47" s="100">
        <v>5.0199999999999996</v>
      </c>
    </row>
    <row r="48" spans="1:17" customFormat="1">
      <c r="A48" s="100" t="s">
        <v>2580</v>
      </c>
      <c r="B48" s="100">
        <v>11.13</v>
      </c>
      <c r="C48" s="100">
        <v>53.02</v>
      </c>
      <c r="D48" s="100">
        <v>35.58</v>
      </c>
      <c r="E48" s="100">
        <v>7.62</v>
      </c>
      <c r="F48" s="100">
        <v>11.46</v>
      </c>
      <c r="G48" s="100">
        <v>49.17</v>
      </c>
      <c r="H48" s="100">
        <v>18.37</v>
      </c>
      <c r="I48" s="100">
        <v>5.65</v>
      </c>
      <c r="J48" s="100">
        <v>0.34</v>
      </c>
      <c r="K48" s="100">
        <v>222.86</v>
      </c>
      <c r="L48" s="100">
        <v>31.72</v>
      </c>
      <c r="M48" s="100">
        <v>47.8</v>
      </c>
      <c r="N48" s="100">
        <v>253.1</v>
      </c>
      <c r="O48" s="100">
        <v>0</v>
      </c>
      <c r="P48" s="100">
        <v>0.61</v>
      </c>
      <c r="Q48" s="100">
        <v>4.9000000000000004</v>
      </c>
    </row>
    <row r="49" spans="1:17" customFormat="1">
      <c r="A49" s="100" t="s">
        <v>2581</v>
      </c>
      <c r="B49" s="100">
        <v>11</v>
      </c>
      <c r="C49" s="100">
        <v>53.26</v>
      </c>
      <c r="D49" s="100">
        <v>35.6</v>
      </c>
      <c r="E49" s="100">
        <v>5.74</v>
      </c>
      <c r="F49" s="100">
        <v>6.75</v>
      </c>
      <c r="G49" s="100">
        <v>49.17</v>
      </c>
      <c r="H49" s="100">
        <v>18.37</v>
      </c>
      <c r="I49" s="100">
        <v>5.78</v>
      </c>
      <c r="J49" s="100">
        <v>0.83</v>
      </c>
      <c r="K49" s="100">
        <v>263.83999999999997</v>
      </c>
      <c r="L49" s="100">
        <v>32.76</v>
      </c>
      <c r="M49" s="100">
        <v>43.6</v>
      </c>
      <c r="N49" s="100">
        <v>273.5</v>
      </c>
      <c r="O49" s="100">
        <v>0</v>
      </c>
      <c r="P49" s="100">
        <v>0.62</v>
      </c>
      <c r="Q49" s="100">
        <v>4.88</v>
      </c>
    </row>
    <row r="50" spans="1:17" customFormat="1">
      <c r="A50" s="100" t="s">
        <v>2582</v>
      </c>
      <c r="B50" s="100">
        <v>10.7</v>
      </c>
      <c r="C50" s="100">
        <v>53.67</v>
      </c>
      <c r="D50" s="100">
        <v>35.57</v>
      </c>
      <c r="E50" s="100">
        <v>7.01</v>
      </c>
      <c r="F50" s="100">
        <v>14.64</v>
      </c>
      <c r="G50" s="100">
        <v>51.91</v>
      </c>
      <c r="H50" s="100">
        <v>16.21</v>
      </c>
      <c r="I50" s="100">
        <v>5.83</v>
      </c>
      <c r="J50" s="100">
        <v>0.64</v>
      </c>
      <c r="K50" s="100">
        <v>246.64</v>
      </c>
      <c r="L50" s="100">
        <v>34.590000000000003</v>
      </c>
      <c r="M50" s="100">
        <v>39.11</v>
      </c>
      <c r="N50" s="100">
        <v>192.6</v>
      </c>
      <c r="O50" s="100">
        <v>0</v>
      </c>
      <c r="P50" s="100">
        <v>0.62</v>
      </c>
      <c r="Q50" s="100">
        <v>5</v>
      </c>
    </row>
    <row r="51" spans="1:17" customFormat="1">
      <c r="A51" s="100" t="s">
        <v>2583</v>
      </c>
      <c r="B51" s="100">
        <v>10.11</v>
      </c>
      <c r="C51" s="100">
        <v>50.07</v>
      </c>
      <c r="D51" s="100">
        <v>33.22</v>
      </c>
      <c r="E51" s="100">
        <v>8.24</v>
      </c>
      <c r="F51" s="100">
        <v>16.89</v>
      </c>
      <c r="G51" s="100">
        <v>55.83</v>
      </c>
      <c r="H51" s="100">
        <v>14.34</v>
      </c>
      <c r="I51" s="100">
        <v>5.77</v>
      </c>
      <c r="J51" s="100">
        <v>0.91</v>
      </c>
      <c r="K51" s="100">
        <v>255.99</v>
      </c>
      <c r="L51" s="100">
        <v>35.909999999999997</v>
      </c>
      <c r="M51" s="100">
        <v>34.71</v>
      </c>
      <c r="N51" s="100">
        <v>172.8</v>
      </c>
      <c r="O51" s="100">
        <v>0</v>
      </c>
      <c r="P51" s="100">
        <v>0.61</v>
      </c>
      <c r="Q51" s="100">
        <v>4.87</v>
      </c>
    </row>
    <row r="52" spans="1:17" customFormat="1">
      <c r="A52" s="100" t="s">
        <v>2584</v>
      </c>
      <c r="B52" s="100">
        <v>9.49</v>
      </c>
      <c r="C52" s="100">
        <v>48.62</v>
      </c>
      <c r="D52" s="100">
        <v>31.96</v>
      </c>
      <c r="E52" s="100">
        <v>9.44</v>
      </c>
      <c r="F52" s="100">
        <v>20.07</v>
      </c>
      <c r="G52" s="100">
        <v>55.83</v>
      </c>
      <c r="H52" s="100">
        <v>14.34</v>
      </c>
      <c r="I52" s="100">
        <v>5.62</v>
      </c>
      <c r="J52" s="100">
        <v>0.92</v>
      </c>
      <c r="K52" s="100">
        <v>277.5</v>
      </c>
      <c r="L52" s="100">
        <v>37.08</v>
      </c>
      <c r="M52" s="100">
        <v>31.63</v>
      </c>
      <c r="N52" s="100">
        <v>186.7</v>
      </c>
      <c r="O52" s="100">
        <v>0</v>
      </c>
      <c r="P52" s="100">
        <v>0.61</v>
      </c>
      <c r="Q52" s="100">
        <v>4.8</v>
      </c>
    </row>
    <row r="53" spans="1:17" customFormat="1">
      <c r="A53" s="100" t="s">
        <v>2585</v>
      </c>
      <c r="B53" s="100">
        <v>9.06</v>
      </c>
      <c r="C53" s="100">
        <v>49.6</v>
      </c>
      <c r="D53" s="100">
        <v>32.14</v>
      </c>
      <c r="E53" s="100">
        <v>10.52</v>
      </c>
      <c r="F53" s="100">
        <v>24.43</v>
      </c>
      <c r="G53" s="100">
        <v>55.83</v>
      </c>
      <c r="H53" s="100">
        <v>14.34</v>
      </c>
      <c r="I53" s="100">
        <v>5.55</v>
      </c>
      <c r="J53" s="100">
        <v>1.27</v>
      </c>
      <c r="K53" s="100">
        <v>309.8</v>
      </c>
      <c r="L53" s="100">
        <v>37.6</v>
      </c>
      <c r="M53" s="100">
        <v>27.13</v>
      </c>
      <c r="N53" s="100">
        <v>199.9</v>
      </c>
      <c r="O53" s="100">
        <v>0</v>
      </c>
      <c r="P53" s="100">
        <v>0.65</v>
      </c>
      <c r="Q53" s="100">
        <v>4.7300000000000004</v>
      </c>
    </row>
    <row r="54" spans="1:17" customFormat="1">
      <c r="A54" s="100" t="s">
        <v>2586</v>
      </c>
      <c r="B54" s="100">
        <v>8.0399999999999991</v>
      </c>
      <c r="C54" s="100">
        <v>47.02</v>
      </c>
      <c r="D54" s="100">
        <v>29.97</v>
      </c>
      <c r="E54" s="100">
        <v>9.07</v>
      </c>
      <c r="F54" s="100">
        <v>26.35</v>
      </c>
      <c r="G54" s="100">
        <v>51.05</v>
      </c>
      <c r="H54" s="100">
        <v>15.35</v>
      </c>
      <c r="I54" s="100">
        <v>5.79</v>
      </c>
      <c r="J54" s="100">
        <v>1.19</v>
      </c>
      <c r="K54" s="100">
        <v>272.67</v>
      </c>
      <c r="L54" s="100">
        <v>38</v>
      </c>
      <c r="M54" s="100">
        <v>26.2</v>
      </c>
      <c r="N54" s="100">
        <v>212.1</v>
      </c>
      <c r="O54" s="100">
        <v>0</v>
      </c>
      <c r="P54" s="100">
        <v>0.61</v>
      </c>
      <c r="Q54" s="100">
        <v>4.6900000000000004</v>
      </c>
    </row>
    <row r="55" spans="1:17" customFormat="1">
      <c r="A55" s="100" t="s">
        <v>2587</v>
      </c>
      <c r="B55" s="100">
        <v>7.04</v>
      </c>
      <c r="C55" s="100">
        <v>47.46</v>
      </c>
      <c r="D55" s="100">
        <v>29.4</v>
      </c>
      <c r="E55" s="100">
        <v>9.15</v>
      </c>
      <c r="F55" s="100">
        <v>25.16</v>
      </c>
      <c r="G55" s="100">
        <v>44.22</v>
      </c>
      <c r="H55" s="100">
        <v>16.22</v>
      </c>
      <c r="I55" s="100">
        <v>6.06</v>
      </c>
      <c r="J55" s="100">
        <v>1.42</v>
      </c>
      <c r="K55" s="100">
        <v>295.08</v>
      </c>
      <c r="L55" s="100">
        <v>38.340000000000003</v>
      </c>
      <c r="M55" s="100">
        <v>25.49</v>
      </c>
      <c r="N55" s="100">
        <v>685.5</v>
      </c>
      <c r="O55" s="100">
        <v>0</v>
      </c>
      <c r="P55" s="100">
        <v>0.62</v>
      </c>
      <c r="Q55" s="100">
        <v>4.5999999999999996</v>
      </c>
    </row>
    <row r="56" spans="1:17" customFormat="1">
      <c r="A56" s="100" t="s">
        <v>2588</v>
      </c>
      <c r="B56" s="100">
        <v>6.64</v>
      </c>
      <c r="C56" s="100">
        <v>48.36</v>
      </c>
      <c r="D56" s="100">
        <v>29.54</v>
      </c>
      <c r="E56" s="100">
        <v>8.24</v>
      </c>
      <c r="F56" s="100">
        <v>20.170000000000002</v>
      </c>
      <c r="G56" s="100">
        <v>44.22</v>
      </c>
      <c r="H56" s="100">
        <v>16.22</v>
      </c>
      <c r="I56" s="100">
        <v>6.07</v>
      </c>
      <c r="J56" s="100">
        <v>1.45</v>
      </c>
      <c r="K56" s="100">
        <v>279.83999999999997</v>
      </c>
      <c r="L56" s="100">
        <v>38.520000000000003</v>
      </c>
      <c r="M56" s="100">
        <v>24.75</v>
      </c>
      <c r="N56" s="100">
        <v>832.4</v>
      </c>
      <c r="O56" s="100">
        <v>0</v>
      </c>
      <c r="P56" s="100">
        <v>0.62</v>
      </c>
      <c r="Q56" s="100">
        <v>4.58</v>
      </c>
    </row>
    <row r="57" spans="1:17" customFormat="1">
      <c r="A57" s="100" t="s">
        <v>2589</v>
      </c>
      <c r="B57" s="100">
        <v>6.24</v>
      </c>
      <c r="C57" s="100">
        <v>47.43</v>
      </c>
      <c r="D57" s="100">
        <v>28.74</v>
      </c>
      <c r="E57" s="100">
        <v>9.11</v>
      </c>
      <c r="F57" s="100">
        <v>25.95</v>
      </c>
      <c r="G57" s="100">
        <v>44.22</v>
      </c>
      <c r="H57" s="100">
        <v>16.22</v>
      </c>
      <c r="I57" s="100">
        <v>6.09</v>
      </c>
      <c r="J57" s="100">
        <v>1.31</v>
      </c>
      <c r="K57" s="100">
        <v>285.79000000000002</v>
      </c>
      <c r="L57" s="100">
        <v>38.979999999999997</v>
      </c>
      <c r="M57" s="100">
        <v>23.53</v>
      </c>
      <c r="N57" s="100">
        <v>839.5</v>
      </c>
      <c r="O57" s="100">
        <v>0</v>
      </c>
      <c r="P57" s="100">
        <v>0.61</v>
      </c>
      <c r="Q57" s="100">
        <v>4.53</v>
      </c>
    </row>
    <row r="58" spans="1:17" customFormat="1">
      <c r="A58" s="100" t="s">
        <v>2590</v>
      </c>
      <c r="B58" s="100">
        <v>4.87</v>
      </c>
      <c r="C58" s="100">
        <v>41.86</v>
      </c>
      <c r="D58" s="100">
        <v>24.74</v>
      </c>
      <c r="E58" s="100">
        <v>7.65</v>
      </c>
      <c r="F58" s="100">
        <v>25.09</v>
      </c>
      <c r="G58" s="100">
        <v>51.18</v>
      </c>
      <c r="H58" s="100">
        <v>16.41</v>
      </c>
      <c r="I58" s="100">
        <v>6.11</v>
      </c>
      <c r="J58" s="100">
        <v>1.1499999999999999</v>
      </c>
      <c r="K58" s="100">
        <v>271.39</v>
      </c>
      <c r="L58" s="100">
        <v>39.76</v>
      </c>
      <c r="M58" s="100">
        <v>21.65</v>
      </c>
      <c r="N58" s="100">
        <v>857.4</v>
      </c>
      <c r="O58" s="100">
        <v>0</v>
      </c>
      <c r="P58" s="100">
        <v>0.57999999999999996</v>
      </c>
      <c r="Q58" s="100">
        <v>4.5</v>
      </c>
    </row>
    <row r="59" spans="1:17" customFormat="1">
      <c r="A59" s="100" t="s">
        <v>2591</v>
      </c>
      <c r="B59" s="100">
        <v>4.76</v>
      </c>
      <c r="C59" s="100">
        <v>44.06</v>
      </c>
      <c r="D59" s="100">
        <v>25.79</v>
      </c>
      <c r="E59" s="100">
        <v>7.24</v>
      </c>
      <c r="F59" s="100">
        <v>24.32</v>
      </c>
      <c r="G59" s="100">
        <v>61.15</v>
      </c>
      <c r="H59" s="100">
        <v>16.57</v>
      </c>
      <c r="I59" s="100">
        <v>5.94</v>
      </c>
      <c r="J59" s="100">
        <v>0.92</v>
      </c>
      <c r="K59" s="100">
        <v>246.45</v>
      </c>
      <c r="L59" s="100">
        <v>40.049999999999997</v>
      </c>
      <c r="M59" s="100">
        <v>21.72</v>
      </c>
      <c r="N59" s="100">
        <v>844.5</v>
      </c>
      <c r="O59" s="100">
        <v>0</v>
      </c>
      <c r="P59" s="100">
        <v>0.59</v>
      </c>
      <c r="Q59" s="100">
        <v>4.46</v>
      </c>
    </row>
    <row r="60" spans="1:17" customFormat="1">
      <c r="A60" s="100" t="s">
        <v>2592</v>
      </c>
      <c r="B60" s="100">
        <v>4.5599999999999996</v>
      </c>
      <c r="C60" s="100">
        <v>43.89</v>
      </c>
      <c r="D60" s="100">
        <v>25.54</v>
      </c>
      <c r="E60" s="100">
        <v>7.06</v>
      </c>
      <c r="F60" s="100">
        <v>22.04</v>
      </c>
      <c r="G60" s="100">
        <v>61.15</v>
      </c>
      <c r="H60" s="100">
        <v>16.57</v>
      </c>
      <c r="I60" s="100">
        <v>5.84</v>
      </c>
      <c r="J60" s="100">
        <v>1.21</v>
      </c>
      <c r="K60" s="100">
        <v>273.3</v>
      </c>
      <c r="L60" s="100">
        <v>40.22</v>
      </c>
      <c r="M60" s="100">
        <v>21.23</v>
      </c>
      <c r="N60" s="100">
        <v>844</v>
      </c>
      <c r="O60" s="100">
        <v>0</v>
      </c>
      <c r="P60" s="100">
        <v>0.56999999999999995</v>
      </c>
      <c r="Q60" s="100">
        <v>4.42</v>
      </c>
    </row>
    <row r="61" spans="1:17" customFormat="1">
      <c r="A61" s="100" t="s">
        <v>2593</v>
      </c>
      <c r="B61" s="100">
        <v>4.49</v>
      </c>
      <c r="C61" s="100">
        <v>49.26</v>
      </c>
      <c r="D61" s="100">
        <v>28.29</v>
      </c>
      <c r="E61" s="100">
        <v>5.86</v>
      </c>
      <c r="F61" s="100">
        <v>13.69</v>
      </c>
      <c r="G61" s="100">
        <v>61.15</v>
      </c>
      <c r="H61" s="100">
        <v>16.57</v>
      </c>
      <c r="I61" s="100">
        <v>5.84</v>
      </c>
      <c r="J61" s="100">
        <v>1.26</v>
      </c>
      <c r="K61" s="100">
        <v>271.86</v>
      </c>
      <c r="L61" s="100">
        <v>40.07</v>
      </c>
      <c r="M61" s="100">
        <v>20.94</v>
      </c>
      <c r="N61" s="100">
        <v>834.7</v>
      </c>
      <c r="O61" s="100">
        <v>0</v>
      </c>
      <c r="P61" s="100">
        <v>0.6</v>
      </c>
      <c r="Q61" s="100">
        <v>4.45</v>
      </c>
    </row>
    <row r="62" spans="1:17" customFormat="1">
      <c r="A62" s="100" t="s">
        <v>2594</v>
      </c>
      <c r="B62" s="100">
        <v>4.16</v>
      </c>
      <c r="C62" s="100">
        <v>46.56</v>
      </c>
      <c r="D62" s="100">
        <v>26.62</v>
      </c>
      <c r="E62" s="100">
        <v>6.08</v>
      </c>
      <c r="F62" s="100">
        <v>28.15</v>
      </c>
      <c r="G62" s="100">
        <v>58.19</v>
      </c>
      <c r="H62" s="100">
        <v>16.93</v>
      </c>
      <c r="I62" s="100">
        <v>6.02</v>
      </c>
      <c r="J62" s="100">
        <v>1.21</v>
      </c>
      <c r="K62" s="100">
        <v>278.22000000000003</v>
      </c>
      <c r="L62" s="100">
        <v>40</v>
      </c>
      <c r="M62" s="100">
        <v>20.84</v>
      </c>
      <c r="N62" s="100">
        <v>769.2</v>
      </c>
      <c r="O62" s="100">
        <v>0</v>
      </c>
      <c r="P62" s="100">
        <v>0.56999999999999995</v>
      </c>
      <c r="Q62" s="100">
        <v>4.53</v>
      </c>
    </row>
    <row r="63" spans="1:17" customFormat="1">
      <c r="A63" s="100" t="s">
        <v>2595</v>
      </c>
      <c r="B63" s="100">
        <v>4.29</v>
      </c>
      <c r="C63" s="100">
        <v>47.12</v>
      </c>
      <c r="D63" s="100">
        <v>27.02</v>
      </c>
      <c r="E63" s="100">
        <v>5.52</v>
      </c>
      <c r="F63" s="100">
        <v>20.43</v>
      </c>
      <c r="G63" s="100">
        <v>53.94</v>
      </c>
      <c r="H63" s="100">
        <v>17.86</v>
      </c>
      <c r="I63" s="100">
        <v>6.15</v>
      </c>
      <c r="J63" s="100">
        <v>1.56</v>
      </c>
      <c r="K63" s="100">
        <v>282.86</v>
      </c>
      <c r="L63" s="100">
        <v>40.61</v>
      </c>
      <c r="M63" s="100">
        <v>19.5</v>
      </c>
      <c r="N63" s="100">
        <v>673.9</v>
      </c>
      <c r="O63" s="100">
        <v>0</v>
      </c>
      <c r="P63" s="100">
        <v>0.56000000000000005</v>
      </c>
      <c r="Q63" s="100">
        <v>4.49</v>
      </c>
    </row>
    <row r="64" spans="1:17" customFormat="1">
      <c r="A64" s="100" t="s">
        <v>2596</v>
      </c>
      <c r="B64" s="100">
        <v>4.45</v>
      </c>
      <c r="C64" s="100">
        <v>47.54</v>
      </c>
      <c r="D64" s="100">
        <v>27.36</v>
      </c>
      <c r="E64" s="100">
        <v>5.35</v>
      </c>
      <c r="F64" s="100">
        <v>20.52</v>
      </c>
      <c r="G64" s="100">
        <v>53.94</v>
      </c>
      <c r="H64" s="100">
        <v>17.86</v>
      </c>
      <c r="I64" s="100">
        <v>5.92</v>
      </c>
      <c r="J64" s="100">
        <v>1.21</v>
      </c>
      <c r="K64" s="100">
        <v>265.48</v>
      </c>
      <c r="L64" s="100">
        <v>40.799999999999997</v>
      </c>
      <c r="M64" s="100">
        <v>18.93</v>
      </c>
      <c r="N64" s="100">
        <v>765.2</v>
      </c>
      <c r="O64" s="100">
        <v>0</v>
      </c>
      <c r="P64" s="100">
        <v>0.54</v>
      </c>
      <c r="Q64" s="100">
        <v>4.49</v>
      </c>
    </row>
    <row r="65" spans="1:17" customFormat="1">
      <c r="A65" s="100" t="s">
        <v>2597</v>
      </c>
      <c r="B65" s="100">
        <v>4.37</v>
      </c>
      <c r="C65" s="100">
        <v>47.64</v>
      </c>
      <c r="D65" s="100">
        <v>27.35</v>
      </c>
      <c r="E65" s="100">
        <v>5.34</v>
      </c>
      <c r="F65" s="100">
        <v>19.91</v>
      </c>
      <c r="G65" s="100">
        <v>53.94</v>
      </c>
      <c r="H65" s="100">
        <v>17.86</v>
      </c>
      <c r="I65" s="100">
        <v>5.79</v>
      </c>
      <c r="J65" s="100">
        <v>1.44</v>
      </c>
      <c r="K65" s="100">
        <v>257.24</v>
      </c>
      <c r="L65" s="100">
        <v>40.82</v>
      </c>
      <c r="M65" s="100">
        <v>18.14</v>
      </c>
      <c r="N65" s="100">
        <v>739.2</v>
      </c>
      <c r="O65" s="100">
        <v>0</v>
      </c>
      <c r="P65" s="100">
        <v>0.51</v>
      </c>
      <c r="Q65" s="100">
        <v>4.4800000000000004</v>
      </c>
    </row>
    <row r="66" spans="1:17" customFormat="1">
      <c r="A66" s="100" t="s">
        <v>2598</v>
      </c>
      <c r="B66" s="100">
        <v>4.4800000000000004</v>
      </c>
      <c r="C66" s="100">
        <v>45.9</v>
      </c>
      <c r="D66" s="100">
        <v>26.53</v>
      </c>
      <c r="E66" s="100">
        <v>5.59</v>
      </c>
      <c r="F66" s="100">
        <v>23.87</v>
      </c>
      <c r="G66" s="100">
        <v>49.28</v>
      </c>
      <c r="H66" s="100">
        <v>16.98</v>
      </c>
      <c r="I66" s="100">
        <v>5.84</v>
      </c>
      <c r="J66" s="100">
        <v>1.41</v>
      </c>
      <c r="K66" s="100">
        <v>272.37</v>
      </c>
      <c r="L66" s="100">
        <v>41.01</v>
      </c>
      <c r="M66" s="100">
        <v>17.68</v>
      </c>
      <c r="N66" s="100">
        <v>716.4</v>
      </c>
      <c r="O66" s="100">
        <v>0</v>
      </c>
      <c r="P66" s="100">
        <v>0.52</v>
      </c>
      <c r="Q66" s="100">
        <v>4.42</v>
      </c>
    </row>
    <row r="67" spans="1:17" customFormat="1">
      <c r="A67" s="100" t="s">
        <v>2599</v>
      </c>
      <c r="B67" s="100">
        <v>4.45</v>
      </c>
      <c r="C67" s="100">
        <v>46</v>
      </c>
      <c r="D67" s="100">
        <v>26.56</v>
      </c>
      <c r="E67" s="100">
        <v>5.75</v>
      </c>
      <c r="F67" s="100">
        <v>17.73</v>
      </c>
      <c r="G67" s="100">
        <v>42.61</v>
      </c>
      <c r="H67" s="100">
        <v>16.22</v>
      </c>
      <c r="I67" s="100">
        <v>5.78</v>
      </c>
      <c r="J67" s="100">
        <v>1.48</v>
      </c>
      <c r="K67" s="100">
        <v>278.18</v>
      </c>
      <c r="L67" s="100">
        <v>40.869999999999997</v>
      </c>
      <c r="M67" s="100">
        <v>17.23</v>
      </c>
      <c r="N67" s="100">
        <v>658.6</v>
      </c>
      <c r="O67" s="100">
        <v>0</v>
      </c>
      <c r="P67" s="100">
        <v>0.52</v>
      </c>
      <c r="Q67" s="100">
        <v>4.41</v>
      </c>
    </row>
    <row r="68" spans="1:17" customFormat="1">
      <c r="A68" s="100" t="s">
        <v>2600</v>
      </c>
      <c r="B68" s="100">
        <v>4.51</v>
      </c>
      <c r="C68" s="100">
        <v>45.21</v>
      </c>
      <c r="D68" s="100">
        <v>26.19</v>
      </c>
      <c r="E68" s="100">
        <v>4.92</v>
      </c>
      <c r="F68" s="100">
        <v>15.24</v>
      </c>
      <c r="G68" s="100">
        <v>42.61</v>
      </c>
      <c r="H68" s="100">
        <v>16.22</v>
      </c>
      <c r="I68" s="100">
        <v>5.72</v>
      </c>
      <c r="J68" s="100">
        <v>1.64</v>
      </c>
      <c r="K68" s="100">
        <v>259.45999999999998</v>
      </c>
      <c r="L68" s="100">
        <v>40.79</v>
      </c>
      <c r="M68" s="100">
        <v>16.64</v>
      </c>
      <c r="N68" s="100">
        <v>618.9</v>
      </c>
      <c r="O68" s="100">
        <v>0</v>
      </c>
      <c r="P68" s="100">
        <v>0.51</v>
      </c>
      <c r="Q68" s="100">
        <v>4.3899999999999997</v>
      </c>
    </row>
    <row r="69" spans="1:17" customFormat="1">
      <c r="A69" s="100" t="s">
        <v>2601</v>
      </c>
      <c r="B69" s="100">
        <v>4.38</v>
      </c>
      <c r="C69" s="100">
        <v>44.91</v>
      </c>
      <c r="D69" s="100">
        <v>25.93</v>
      </c>
      <c r="E69" s="100">
        <v>4.3499999999999996</v>
      </c>
      <c r="F69" s="100">
        <v>18.510000000000002</v>
      </c>
      <c r="G69" s="100">
        <v>42.61</v>
      </c>
      <c r="H69" s="100">
        <v>16.22</v>
      </c>
      <c r="I69" s="100">
        <v>5.74</v>
      </c>
      <c r="J69" s="100">
        <v>1.67</v>
      </c>
      <c r="K69" s="100">
        <v>268.41000000000003</v>
      </c>
      <c r="L69" s="100">
        <v>40.79</v>
      </c>
      <c r="M69" s="100">
        <v>16.66</v>
      </c>
      <c r="N69" s="100">
        <v>608.1</v>
      </c>
      <c r="O69" s="100">
        <v>0</v>
      </c>
      <c r="P69" s="100">
        <v>0.5</v>
      </c>
      <c r="Q69" s="100">
        <v>4.4000000000000004</v>
      </c>
    </row>
    <row r="70" spans="1:17" customFormat="1">
      <c r="A70" s="100" t="s">
        <v>2602</v>
      </c>
      <c r="B70" s="100">
        <v>4.33</v>
      </c>
      <c r="C70" s="100">
        <v>45.71</v>
      </c>
      <c r="D70" s="100">
        <v>26.3</v>
      </c>
      <c r="E70" s="100">
        <v>4.3899999999999997</v>
      </c>
      <c r="F70" s="100">
        <v>15.72</v>
      </c>
      <c r="G70" s="100">
        <v>48.28</v>
      </c>
      <c r="H70" s="100">
        <v>15.23</v>
      </c>
      <c r="I70" s="100">
        <v>5.74</v>
      </c>
      <c r="J70" s="100">
        <v>1.66</v>
      </c>
      <c r="K70" s="100">
        <v>275.68</v>
      </c>
      <c r="L70" s="100">
        <v>40.71</v>
      </c>
      <c r="M70" s="100">
        <v>16.12</v>
      </c>
      <c r="N70" s="100">
        <v>567.6</v>
      </c>
      <c r="O70" s="100">
        <v>0</v>
      </c>
      <c r="P70" s="100">
        <v>0.49</v>
      </c>
      <c r="Q70" s="100">
        <v>4.37</v>
      </c>
    </row>
    <row r="71" spans="1:17" customFormat="1">
      <c r="A71" s="100" t="s">
        <v>2603</v>
      </c>
      <c r="B71" s="100">
        <v>4.38</v>
      </c>
      <c r="C71" s="100">
        <v>45.93</v>
      </c>
      <c r="D71" s="100">
        <v>26.47</v>
      </c>
      <c r="E71" s="100">
        <v>4.09</v>
      </c>
      <c r="F71" s="100">
        <v>15.9</v>
      </c>
      <c r="G71" s="100">
        <v>56.41</v>
      </c>
      <c r="H71" s="100">
        <v>14.37</v>
      </c>
      <c r="I71" s="100">
        <v>5.63</v>
      </c>
      <c r="J71" s="100">
        <v>1.77</v>
      </c>
      <c r="K71" s="100">
        <v>281.93</v>
      </c>
      <c r="L71" s="100">
        <v>40.700000000000003</v>
      </c>
      <c r="M71" s="100">
        <v>16.059999999999999</v>
      </c>
      <c r="N71" s="100">
        <v>520.79999999999995</v>
      </c>
      <c r="O71" s="100">
        <v>0</v>
      </c>
      <c r="P71" s="100">
        <v>0.48</v>
      </c>
      <c r="Q71" s="100">
        <v>4.37</v>
      </c>
    </row>
    <row r="72" spans="1:17" customFormat="1">
      <c r="A72" s="100" t="s">
        <v>2604</v>
      </c>
      <c r="B72" s="100">
        <v>4.8499999999999996</v>
      </c>
      <c r="C72" s="100">
        <v>46.66</v>
      </c>
      <c r="D72" s="100">
        <v>27.22</v>
      </c>
      <c r="E72" s="100">
        <v>4.3499999999999996</v>
      </c>
      <c r="F72" s="100">
        <v>16.649999999999999</v>
      </c>
      <c r="G72" s="100">
        <v>56.41</v>
      </c>
      <c r="H72" s="100">
        <v>14.37</v>
      </c>
      <c r="I72" s="100">
        <v>5.38</v>
      </c>
      <c r="J72" s="100">
        <v>1.59</v>
      </c>
      <c r="K72" s="100">
        <v>287.89999999999998</v>
      </c>
      <c r="L72" s="100">
        <v>40.6</v>
      </c>
      <c r="M72" s="100">
        <v>16.36</v>
      </c>
      <c r="N72" s="100">
        <v>464.8</v>
      </c>
      <c r="O72" s="100">
        <v>0</v>
      </c>
      <c r="P72" s="100">
        <v>0.47</v>
      </c>
      <c r="Q72" s="100">
        <v>4.37</v>
      </c>
    </row>
    <row r="73" spans="1:17" customFormat="1">
      <c r="A73" s="100" t="s">
        <v>2605</v>
      </c>
      <c r="B73" s="100">
        <v>5.24</v>
      </c>
      <c r="C73" s="100">
        <v>45.18</v>
      </c>
      <c r="D73" s="100">
        <v>26.76</v>
      </c>
      <c r="E73" s="100">
        <v>4.3899999999999997</v>
      </c>
      <c r="F73" s="100">
        <v>19.559999999999999</v>
      </c>
      <c r="G73" s="100">
        <v>56.41</v>
      </c>
      <c r="H73" s="100">
        <v>14.37</v>
      </c>
      <c r="I73" s="100">
        <v>5.23</v>
      </c>
      <c r="J73" s="100">
        <v>1.38</v>
      </c>
      <c r="K73" s="100">
        <v>280.2</v>
      </c>
      <c r="L73" s="100">
        <v>40.35</v>
      </c>
      <c r="M73" s="100">
        <v>17.14</v>
      </c>
      <c r="N73" s="100">
        <v>395.2</v>
      </c>
      <c r="O73" s="100">
        <v>0</v>
      </c>
      <c r="P73" s="100">
        <v>0.47</v>
      </c>
      <c r="Q73" s="100">
        <v>4.43</v>
      </c>
    </row>
    <row r="74" spans="1:17" customFormat="1">
      <c r="A74" s="100" t="s">
        <v>2606</v>
      </c>
      <c r="B74" s="100">
        <v>5.17</v>
      </c>
      <c r="C74" s="100">
        <v>44.1</v>
      </c>
      <c r="D74" s="100">
        <v>26.14</v>
      </c>
      <c r="E74" s="100">
        <v>5.08</v>
      </c>
      <c r="F74" s="100">
        <v>23.89</v>
      </c>
      <c r="G74" s="100">
        <v>55.11</v>
      </c>
      <c r="H74" s="100">
        <v>15.01</v>
      </c>
      <c r="I74" s="100">
        <v>5.07</v>
      </c>
      <c r="J74" s="100">
        <v>1.3</v>
      </c>
      <c r="K74" s="100">
        <v>283.48</v>
      </c>
      <c r="L74" s="100">
        <v>40.31</v>
      </c>
      <c r="M74" s="100">
        <v>17.920000000000002</v>
      </c>
      <c r="N74" s="100">
        <v>345.3</v>
      </c>
      <c r="O74" s="100">
        <v>0</v>
      </c>
      <c r="P74" s="100">
        <v>0.46</v>
      </c>
      <c r="Q74" s="100">
        <v>4.4400000000000004</v>
      </c>
    </row>
    <row r="75" spans="1:17" customFormat="1">
      <c r="A75" s="100" t="s">
        <v>2607</v>
      </c>
      <c r="B75" s="100">
        <v>5.13</v>
      </c>
      <c r="C75" s="100">
        <v>46.47</v>
      </c>
      <c r="D75" s="100">
        <v>27.35</v>
      </c>
      <c r="E75" s="100">
        <v>4.53</v>
      </c>
      <c r="F75" s="100">
        <v>20.99</v>
      </c>
      <c r="G75" s="100">
        <v>53.26</v>
      </c>
      <c r="H75" s="100">
        <v>15.56</v>
      </c>
      <c r="I75" s="100">
        <v>4.83</v>
      </c>
      <c r="J75" s="100">
        <v>1.26</v>
      </c>
      <c r="K75" s="100">
        <v>284.37</v>
      </c>
      <c r="L75" s="100">
        <v>40.130000000000003</v>
      </c>
      <c r="M75" s="100">
        <v>18.239999999999998</v>
      </c>
      <c r="N75" s="100">
        <v>297.7</v>
      </c>
      <c r="O75" s="100">
        <v>0</v>
      </c>
      <c r="P75" s="100">
        <v>0.45</v>
      </c>
      <c r="Q75" s="100">
        <v>4.45</v>
      </c>
    </row>
    <row r="76" spans="1:17" customFormat="1">
      <c r="A76" s="100" t="s">
        <v>2608</v>
      </c>
      <c r="B76" s="100">
        <v>5.57</v>
      </c>
      <c r="C76" s="100">
        <v>48.09</v>
      </c>
      <c r="D76" s="100">
        <v>28.55</v>
      </c>
      <c r="E76" s="100">
        <v>4.32</v>
      </c>
      <c r="F76" s="100">
        <v>18</v>
      </c>
      <c r="G76" s="100">
        <v>53.26</v>
      </c>
      <c r="H76" s="100">
        <v>15.56</v>
      </c>
      <c r="I76" s="100">
        <v>4.75</v>
      </c>
      <c r="J76" s="100">
        <v>1.71</v>
      </c>
      <c r="K76" s="100">
        <v>299.06</v>
      </c>
      <c r="L76" s="100">
        <v>39.700000000000003</v>
      </c>
      <c r="M76" s="100">
        <v>18.93</v>
      </c>
      <c r="N76" s="100">
        <v>141.4</v>
      </c>
      <c r="O76" s="100">
        <v>0</v>
      </c>
      <c r="P76" s="100">
        <v>0.47</v>
      </c>
      <c r="Q76" s="100">
        <v>4.47</v>
      </c>
    </row>
    <row r="77" spans="1:17" customFormat="1">
      <c r="A77" s="100" t="s">
        <v>2609</v>
      </c>
      <c r="B77" s="100">
        <v>6.04</v>
      </c>
      <c r="C77" s="100">
        <v>48.67</v>
      </c>
      <c r="D77" s="100">
        <v>29.23</v>
      </c>
      <c r="E77" s="100">
        <v>4.12</v>
      </c>
      <c r="F77" s="100">
        <v>20.59</v>
      </c>
      <c r="G77" s="100">
        <v>53.26</v>
      </c>
      <c r="H77" s="100">
        <v>15.56</v>
      </c>
      <c r="I77" s="100">
        <v>4.72</v>
      </c>
      <c r="J77" s="100">
        <v>1.48</v>
      </c>
      <c r="K77" s="100">
        <v>297.22000000000003</v>
      </c>
      <c r="L77" s="100">
        <v>39.19</v>
      </c>
      <c r="M77" s="100">
        <v>19.34</v>
      </c>
      <c r="N77" s="100">
        <v>87.4</v>
      </c>
      <c r="O77" s="100">
        <v>0</v>
      </c>
      <c r="P77" s="100">
        <v>0.47</v>
      </c>
      <c r="Q77" s="100">
        <v>4.4800000000000004</v>
      </c>
    </row>
    <row r="78" spans="1:17" customFormat="1">
      <c r="A78" s="100" t="s">
        <v>2610</v>
      </c>
      <c r="B78" s="100">
        <v>5.95</v>
      </c>
      <c r="C78" s="100">
        <v>46.61</v>
      </c>
      <c r="D78" s="100">
        <v>28.08</v>
      </c>
      <c r="E78" s="100">
        <v>4.92</v>
      </c>
      <c r="F78" s="100">
        <v>24.75</v>
      </c>
      <c r="G78" s="100">
        <v>53.64</v>
      </c>
      <c r="H78" s="100">
        <v>14.7</v>
      </c>
      <c r="I78" s="100">
        <v>4.68</v>
      </c>
      <c r="J78" s="100">
        <v>1.3</v>
      </c>
      <c r="K78" s="100">
        <v>295.04000000000002</v>
      </c>
      <c r="L78" s="100">
        <v>39.07</v>
      </c>
      <c r="M78" s="100">
        <v>19.27</v>
      </c>
      <c r="N78" s="100">
        <v>95.5</v>
      </c>
      <c r="O78" s="100">
        <v>0</v>
      </c>
      <c r="P78" s="100">
        <v>0.48</v>
      </c>
      <c r="Q78" s="100">
        <v>4.5</v>
      </c>
    </row>
    <row r="79" spans="1:17" customFormat="1">
      <c r="A79" s="100" t="s">
        <v>2611</v>
      </c>
      <c r="B79" s="100">
        <v>7.39</v>
      </c>
      <c r="C79" s="100">
        <v>50.15</v>
      </c>
      <c r="D79" s="100">
        <v>31.08</v>
      </c>
      <c r="E79" s="100">
        <v>4.9000000000000004</v>
      </c>
      <c r="F79" s="100">
        <v>16.940000000000001</v>
      </c>
      <c r="G79" s="100">
        <v>54.2</v>
      </c>
      <c r="H79" s="100">
        <v>13.95</v>
      </c>
      <c r="I79" s="100">
        <v>4.54</v>
      </c>
      <c r="J79" s="100">
        <v>1.72</v>
      </c>
      <c r="K79" s="100">
        <v>298.35000000000002</v>
      </c>
      <c r="L79" s="100">
        <v>38.909999999999997</v>
      </c>
      <c r="M79" s="100">
        <v>18.7</v>
      </c>
      <c r="N79" s="100">
        <v>52.6</v>
      </c>
      <c r="O79" s="100">
        <v>0</v>
      </c>
      <c r="P79" s="100">
        <v>0.47</v>
      </c>
      <c r="Q79" s="100">
        <v>4.4800000000000004</v>
      </c>
    </row>
    <row r="80" spans="1:17" customFormat="1">
      <c r="A80" s="100" t="s">
        <v>2612</v>
      </c>
      <c r="B80" s="100">
        <v>7.42</v>
      </c>
      <c r="C80" s="100">
        <v>52.55</v>
      </c>
      <c r="D80" s="100">
        <v>32.36</v>
      </c>
      <c r="E80" s="100">
        <v>4.18</v>
      </c>
      <c r="F80" s="100">
        <v>11.45</v>
      </c>
      <c r="G80" s="100">
        <v>54.2</v>
      </c>
      <c r="H80" s="100">
        <v>13.95</v>
      </c>
      <c r="I80" s="100">
        <v>4.4400000000000004</v>
      </c>
      <c r="J80" s="100">
        <v>1.61</v>
      </c>
      <c r="K80" s="100">
        <v>303.32</v>
      </c>
      <c r="L80" s="100">
        <v>38.729999999999997</v>
      </c>
      <c r="M80" s="100">
        <v>17.89</v>
      </c>
      <c r="N80" s="100">
        <v>35.799999999999997</v>
      </c>
      <c r="O80" s="100">
        <v>0</v>
      </c>
      <c r="P80" s="100">
        <v>0.48</v>
      </c>
      <c r="Q80" s="100">
        <v>4.51</v>
      </c>
    </row>
    <row r="81" spans="1:17" customFormat="1">
      <c r="A81" s="100" t="s">
        <v>2613</v>
      </c>
      <c r="B81" s="100">
        <v>9.0399999999999991</v>
      </c>
      <c r="C81" s="100">
        <v>57.47</v>
      </c>
      <c r="D81" s="100">
        <v>36.229999999999997</v>
      </c>
      <c r="E81" s="100">
        <v>4.72</v>
      </c>
      <c r="F81" s="100">
        <v>18.86</v>
      </c>
      <c r="G81" s="100">
        <v>54.2</v>
      </c>
      <c r="H81" s="100">
        <v>13.95</v>
      </c>
      <c r="I81" s="100">
        <v>4.54</v>
      </c>
      <c r="J81" s="100">
        <v>1.05</v>
      </c>
      <c r="K81" s="100">
        <v>297.43</v>
      </c>
      <c r="L81" s="100">
        <v>38.31</v>
      </c>
      <c r="M81" s="100">
        <v>18.73</v>
      </c>
      <c r="N81" s="100">
        <v>12.3</v>
      </c>
      <c r="O81" s="100">
        <v>0</v>
      </c>
      <c r="P81" s="100">
        <v>0.52</v>
      </c>
      <c r="Q81" s="100">
        <v>4.72</v>
      </c>
    </row>
    <row r="82" spans="1:17" customFormat="1">
      <c r="A82" s="100" t="s">
        <v>2614</v>
      </c>
      <c r="B82" s="100">
        <v>8.23</v>
      </c>
      <c r="C82" s="100">
        <v>54.99</v>
      </c>
      <c r="D82" s="100">
        <v>34.28</v>
      </c>
      <c r="E82" s="100">
        <v>6.69</v>
      </c>
      <c r="F82" s="100">
        <v>22.2</v>
      </c>
      <c r="G82" s="100">
        <v>57.34</v>
      </c>
      <c r="H82" s="100">
        <v>13.04</v>
      </c>
      <c r="I82" s="100">
        <v>4.49</v>
      </c>
      <c r="J82" s="100">
        <v>0.79</v>
      </c>
      <c r="K82" s="100">
        <v>271.92</v>
      </c>
      <c r="L82" s="100">
        <v>37.86</v>
      </c>
      <c r="M82" s="100">
        <v>19.239999999999998</v>
      </c>
      <c r="N82" s="100">
        <v>0.8</v>
      </c>
      <c r="O82" s="100">
        <v>0</v>
      </c>
      <c r="P82" s="100">
        <v>0.51</v>
      </c>
      <c r="Q82" s="100">
        <v>4.7699999999999996</v>
      </c>
    </row>
    <row r="83" spans="1:17" customFormat="1">
      <c r="A83" s="100" t="s">
        <v>2615</v>
      </c>
      <c r="B83" s="100">
        <v>8.51</v>
      </c>
      <c r="C83" s="100">
        <v>54.21</v>
      </c>
      <c r="D83" s="100">
        <v>34.1</v>
      </c>
      <c r="E83" s="100">
        <v>6.42</v>
      </c>
      <c r="F83" s="100">
        <v>17.649999999999999</v>
      </c>
      <c r="G83" s="100">
        <v>61.84</v>
      </c>
      <c r="H83" s="100">
        <v>12.26</v>
      </c>
      <c r="I83" s="100">
        <v>4.25</v>
      </c>
      <c r="J83" s="100">
        <v>1.1599999999999999</v>
      </c>
      <c r="K83" s="100">
        <v>280.2</v>
      </c>
      <c r="L83" s="100">
        <v>37.78</v>
      </c>
      <c r="M83" s="100">
        <v>18.36</v>
      </c>
      <c r="N83" s="100">
        <v>0</v>
      </c>
      <c r="O83" s="100">
        <v>0</v>
      </c>
      <c r="P83" s="100">
        <v>0.5</v>
      </c>
      <c r="Q83" s="100">
        <v>4.74</v>
      </c>
    </row>
    <row r="84" spans="1:17" customFormat="1">
      <c r="A84" s="100" t="s">
        <v>2616</v>
      </c>
      <c r="B84" s="100">
        <v>8.6199999999999992</v>
      </c>
      <c r="C84" s="100">
        <v>54.13</v>
      </c>
      <c r="D84" s="100">
        <v>34.15</v>
      </c>
      <c r="E84" s="100">
        <v>6.76</v>
      </c>
      <c r="F84" s="100">
        <v>18.989999999999998</v>
      </c>
      <c r="G84" s="100">
        <v>61.84</v>
      </c>
      <c r="H84" s="100">
        <v>12.26</v>
      </c>
      <c r="I84" s="100">
        <v>4.18</v>
      </c>
      <c r="J84" s="100">
        <v>0.8</v>
      </c>
      <c r="K84" s="100">
        <v>273.01</v>
      </c>
      <c r="L84" s="100">
        <v>37.4</v>
      </c>
      <c r="M84" s="100">
        <v>18.989999999999998</v>
      </c>
      <c r="N84" s="100">
        <v>0</v>
      </c>
      <c r="O84" s="100">
        <v>0</v>
      </c>
      <c r="P84" s="100">
        <v>0.54</v>
      </c>
      <c r="Q84" s="100">
        <v>4.7699999999999996</v>
      </c>
    </row>
    <row r="85" spans="1:17" customFormat="1">
      <c r="A85" s="100" t="s">
        <v>2617</v>
      </c>
      <c r="B85" s="100">
        <v>7.58</v>
      </c>
      <c r="C85" s="100">
        <v>50.06</v>
      </c>
      <c r="D85" s="100">
        <v>31.19</v>
      </c>
      <c r="E85" s="100">
        <v>6.61</v>
      </c>
      <c r="F85" s="100">
        <v>24.87</v>
      </c>
      <c r="G85" s="100">
        <v>61.84</v>
      </c>
      <c r="H85" s="100">
        <v>12.26</v>
      </c>
      <c r="I85" s="100">
        <v>4.34</v>
      </c>
      <c r="J85" s="100">
        <v>0.67</v>
      </c>
      <c r="K85" s="100">
        <v>251.25</v>
      </c>
      <c r="L85" s="100">
        <v>36.85</v>
      </c>
      <c r="M85" s="100">
        <v>19.75</v>
      </c>
      <c r="N85" s="100">
        <v>0</v>
      </c>
      <c r="O85" s="100">
        <v>0</v>
      </c>
      <c r="P85" s="100">
        <v>0.51</v>
      </c>
      <c r="Q85" s="100">
        <v>4.79</v>
      </c>
    </row>
    <row r="86" spans="1:17" customFormat="1">
      <c r="A86" s="100" t="s">
        <v>2618</v>
      </c>
      <c r="B86" s="100">
        <v>6.59</v>
      </c>
      <c r="C86" s="100">
        <v>45.55</v>
      </c>
      <c r="D86" s="100">
        <v>28.03</v>
      </c>
      <c r="E86" s="100">
        <v>7.76</v>
      </c>
      <c r="F86" s="100">
        <v>30.37</v>
      </c>
      <c r="G86" s="100">
        <v>57.99</v>
      </c>
      <c r="H86" s="100">
        <v>11.97</v>
      </c>
      <c r="I86" s="100">
        <v>4.42</v>
      </c>
      <c r="J86" s="100">
        <v>0.54</v>
      </c>
      <c r="K86" s="100">
        <v>249.37</v>
      </c>
      <c r="L86" s="100">
        <v>36.42</v>
      </c>
      <c r="M86" s="100">
        <v>20.51</v>
      </c>
      <c r="N86" s="100">
        <v>0</v>
      </c>
      <c r="O86" s="100">
        <v>0</v>
      </c>
      <c r="P86" s="100">
        <v>0.5</v>
      </c>
      <c r="Q86" s="100">
        <v>4.76</v>
      </c>
    </row>
    <row r="87" spans="1:17" customFormat="1">
      <c r="A87" s="100" t="s">
        <v>2619</v>
      </c>
      <c r="B87" s="100">
        <v>5.94</v>
      </c>
      <c r="C87" s="100">
        <v>42.14</v>
      </c>
      <c r="D87" s="100">
        <v>25.74</v>
      </c>
      <c r="E87" s="100">
        <v>8.69</v>
      </c>
      <c r="F87" s="100">
        <v>33.42</v>
      </c>
      <c r="G87" s="100">
        <v>52.47</v>
      </c>
      <c r="H87" s="100">
        <v>11.2</v>
      </c>
      <c r="I87" s="100">
        <v>4.59</v>
      </c>
      <c r="J87" s="100">
        <v>0.32</v>
      </c>
      <c r="K87" s="100">
        <v>224.44</v>
      </c>
      <c r="L87" s="100">
        <v>35.99</v>
      </c>
      <c r="M87" s="100">
        <v>21.96</v>
      </c>
      <c r="N87" s="100">
        <v>0</v>
      </c>
      <c r="O87" s="100">
        <v>0</v>
      </c>
      <c r="P87" s="100">
        <v>0.49</v>
      </c>
      <c r="Q87" s="100">
        <v>4.78</v>
      </c>
    </row>
    <row r="88" spans="1:17" customFormat="1">
      <c r="A88" s="100" t="s">
        <v>2620</v>
      </c>
      <c r="B88" s="100">
        <v>5.9</v>
      </c>
      <c r="C88" s="100">
        <v>39.950000000000003</v>
      </c>
      <c r="D88" s="100">
        <v>24.56</v>
      </c>
      <c r="E88" s="100">
        <v>9.3800000000000008</v>
      </c>
      <c r="F88" s="100">
        <v>33.619999999999997</v>
      </c>
      <c r="G88" s="100">
        <v>52.47</v>
      </c>
      <c r="H88" s="100">
        <v>11.2</v>
      </c>
      <c r="I88" s="100">
        <v>4.95</v>
      </c>
      <c r="J88" s="100">
        <v>0.21</v>
      </c>
      <c r="K88" s="100">
        <v>211.18</v>
      </c>
      <c r="L88" s="100">
        <v>35.4</v>
      </c>
      <c r="M88" s="100">
        <v>23.72</v>
      </c>
      <c r="N88" s="100">
        <v>0</v>
      </c>
      <c r="O88" s="100">
        <v>0</v>
      </c>
      <c r="P88" s="100">
        <v>0.5</v>
      </c>
      <c r="Q88" s="100">
        <v>4.76</v>
      </c>
    </row>
    <row r="89" spans="1:17" customFormat="1">
      <c r="A89" s="100" t="s">
        <v>2621</v>
      </c>
      <c r="B89" s="100">
        <v>6.17</v>
      </c>
      <c r="C89" s="100">
        <v>40.33</v>
      </c>
      <c r="D89" s="100">
        <v>24.97</v>
      </c>
      <c r="E89" s="100">
        <v>11.36</v>
      </c>
      <c r="F89" s="100">
        <v>28.78</v>
      </c>
      <c r="G89" s="100">
        <v>52.47</v>
      </c>
      <c r="H89" s="100">
        <v>11.2</v>
      </c>
      <c r="I89" s="100">
        <v>4.96</v>
      </c>
      <c r="J89" s="100">
        <v>0.23</v>
      </c>
      <c r="K89" s="100">
        <v>175.78</v>
      </c>
      <c r="L89" s="100">
        <v>34.76</v>
      </c>
      <c r="M89" s="100">
        <v>25.67</v>
      </c>
      <c r="N89" s="100">
        <v>0</v>
      </c>
      <c r="O89" s="100">
        <v>0</v>
      </c>
      <c r="P89" s="100">
        <v>0.53</v>
      </c>
      <c r="Q89" s="100">
        <v>4.74</v>
      </c>
    </row>
    <row r="90" spans="1:17" customFormat="1">
      <c r="A90" s="100" t="s">
        <v>2622</v>
      </c>
      <c r="B90" s="100">
        <v>7.7</v>
      </c>
      <c r="C90" s="100">
        <v>50.93</v>
      </c>
      <c r="D90" s="100">
        <v>31.74</v>
      </c>
      <c r="E90" s="100">
        <v>10.15</v>
      </c>
      <c r="F90" s="100">
        <v>17.88</v>
      </c>
      <c r="G90" s="100">
        <v>49.5</v>
      </c>
      <c r="H90" s="100">
        <v>9.75</v>
      </c>
      <c r="I90" s="100">
        <v>4.68</v>
      </c>
      <c r="J90" s="100">
        <v>0.25</v>
      </c>
      <c r="K90" s="100">
        <v>169.21</v>
      </c>
      <c r="L90" s="100">
        <v>33.92</v>
      </c>
      <c r="M90" s="100">
        <v>28.56</v>
      </c>
      <c r="N90" s="100">
        <v>0</v>
      </c>
      <c r="O90" s="100">
        <v>0</v>
      </c>
      <c r="P90" s="100">
        <v>0.57999999999999996</v>
      </c>
      <c r="Q90" s="100">
        <v>4.87</v>
      </c>
    </row>
    <row r="91" spans="1:17" customFormat="1">
      <c r="A91" s="100" t="s">
        <v>2623</v>
      </c>
      <c r="B91" s="100">
        <v>7.56</v>
      </c>
      <c r="C91" s="100">
        <v>50.27</v>
      </c>
      <c r="D91" s="100">
        <v>31.28</v>
      </c>
      <c r="E91" s="100">
        <v>11.48</v>
      </c>
      <c r="F91" s="100">
        <v>18.45</v>
      </c>
      <c r="G91" s="100">
        <v>45.24</v>
      </c>
      <c r="H91" s="100">
        <v>8.49</v>
      </c>
      <c r="I91" s="100">
        <v>4.92</v>
      </c>
      <c r="J91" s="100">
        <v>0.19</v>
      </c>
      <c r="K91" s="100">
        <v>167.74</v>
      </c>
      <c r="L91" s="100">
        <v>33.11</v>
      </c>
      <c r="M91" s="100">
        <v>30.63</v>
      </c>
      <c r="N91" s="100">
        <v>0</v>
      </c>
      <c r="O91" s="100">
        <v>0</v>
      </c>
      <c r="P91" s="100">
        <v>0.6</v>
      </c>
      <c r="Q91" s="100">
        <v>4.99</v>
      </c>
    </row>
    <row r="92" spans="1:17" customFormat="1">
      <c r="A92" s="100" t="s">
        <v>2624</v>
      </c>
      <c r="B92" s="100">
        <v>8.58</v>
      </c>
      <c r="C92" s="100">
        <v>50.57</v>
      </c>
      <c r="D92" s="100">
        <v>32.25</v>
      </c>
      <c r="E92" s="100">
        <v>12.96</v>
      </c>
      <c r="F92" s="100">
        <v>14.65</v>
      </c>
      <c r="G92" s="100">
        <v>45.24</v>
      </c>
      <c r="H92" s="100">
        <v>8.49</v>
      </c>
      <c r="I92" s="100">
        <v>5.33</v>
      </c>
      <c r="J92" s="100">
        <v>0.14000000000000001</v>
      </c>
      <c r="K92" s="100">
        <v>205.09</v>
      </c>
      <c r="L92" s="100">
        <v>32.75</v>
      </c>
      <c r="M92" s="100">
        <v>31.54</v>
      </c>
      <c r="N92" s="100">
        <v>0</v>
      </c>
      <c r="O92" s="100">
        <v>0</v>
      </c>
      <c r="P92" s="100">
        <v>0.63</v>
      </c>
      <c r="Q92" s="100">
        <v>4.8899999999999997</v>
      </c>
    </row>
    <row r="93" spans="1:17" customFormat="1">
      <c r="A93" s="100" t="s">
        <v>2625</v>
      </c>
      <c r="B93" s="100">
        <v>9.3800000000000008</v>
      </c>
      <c r="C93" s="100">
        <v>57.22</v>
      </c>
      <c r="D93" s="100">
        <v>36.369999999999997</v>
      </c>
      <c r="E93" s="100">
        <v>11.72</v>
      </c>
      <c r="F93" s="100">
        <v>14.31</v>
      </c>
      <c r="G93" s="100">
        <v>45.24</v>
      </c>
      <c r="H93" s="100">
        <v>8.49</v>
      </c>
      <c r="I93" s="100">
        <v>5.56</v>
      </c>
      <c r="J93" s="100">
        <v>0.1</v>
      </c>
      <c r="K93" s="100">
        <v>170.29</v>
      </c>
      <c r="L93" s="100">
        <v>32.4</v>
      </c>
      <c r="M93" s="100">
        <v>33.06</v>
      </c>
      <c r="N93" s="100">
        <v>0</v>
      </c>
      <c r="O93" s="100">
        <v>0</v>
      </c>
      <c r="P93" s="100">
        <v>0.68</v>
      </c>
      <c r="Q93" s="100">
        <v>5.0599999999999996</v>
      </c>
    </row>
    <row r="94" spans="1:17" customFormat="1">
      <c r="A94" s="100" t="s">
        <v>2626</v>
      </c>
      <c r="B94" s="100">
        <v>9.4600000000000009</v>
      </c>
      <c r="C94" s="100">
        <v>51.36</v>
      </c>
      <c r="D94" s="100">
        <v>33.369999999999997</v>
      </c>
      <c r="E94" s="100">
        <v>11.81</v>
      </c>
      <c r="F94" s="100">
        <v>15.64</v>
      </c>
      <c r="G94" s="100">
        <v>51.55</v>
      </c>
      <c r="H94" s="100">
        <v>11.04</v>
      </c>
      <c r="I94" s="100">
        <v>5.76</v>
      </c>
      <c r="J94" s="100">
        <v>0.13</v>
      </c>
      <c r="K94" s="100">
        <v>155.58000000000001</v>
      </c>
      <c r="L94" s="100">
        <v>32.03</v>
      </c>
      <c r="M94" s="100">
        <v>35.21</v>
      </c>
      <c r="N94" s="100">
        <v>0</v>
      </c>
      <c r="O94" s="100">
        <v>0</v>
      </c>
      <c r="P94" s="100">
        <v>0.66</v>
      </c>
      <c r="Q94" s="100">
        <v>5.04</v>
      </c>
    </row>
    <row r="95" spans="1:17" customFormat="1">
      <c r="A95" s="100" t="s">
        <v>2627</v>
      </c>
      <c r="B95" s="100">
        <v>10.42</v>
      </c>
      <c r="C95" s="100">
        <v>54.46</v>
      </c>
      <c r="D95" s="100">
        <v>35.770000000000003</v>
      </c>
      <c r="E95" s="100">
        <v>9.9499999999999993</v>
      </c>
      <c r="F95" s="100">
        <v>18.29</v>
      </c>
      <c r="G95" s="100">
        <v>60.59</v>
      </c>
      <c r="H95" s="100">
        <v>13.24</v>
      </c>
      <c r="I95" s="100">
        <v>5.85</v>
      </c>
      <c r="J95" s="100">
        <v>0.11</v>
      </c>
      <c r="K95" s="100">
        <v>239.35</v>
      </c>
      <c r="L95" s="100">
        <v>31.92</v>
      </c>
      <c r="M95" s="100">
        <v>36.31</v>
      </c>
      <c r="N95" s="100">
        <v>0</v>
      </c>
      <c r="O95" s="100">
        <v>0</v>
      </c>
      <c r="P95" s="100">
        <v>0.65</v>
      </c>
      <c r="Q95" s="100">
        <v>5.05</v>
      </c>
    </row>
    <row r="96" spans="1:17" customFormat="1">
      <c r="A96" s="100" t="s">
        <v>2628</v>
      </c>
      <c r="B96" s="100">
        <v>9.1999999999999993</v>
      </c>
      <c r="C96" s="100">
        <v>47.44</v>
      </c>
      <c r="D96" s="100">
        <v>31.12</v>
      </c>
      <c r="E96" s="100">
        <v>12.77</v>
      </c>
      <c r="F96" s="100">
        <v>27.46</v>
      </c>
      <c r="G96" s="100">
        <v>60.59</v>
      </c>
      <c r="H96" s="100">
        <v>13.24</v>
      </c>
      <c r="I96" s="100">
        <v>5.81</v>
      </c>
      <c r="J96" s="100">
        <v>0.32</v>
      </c>
      <c r="K96" s="100">
        <v>245.41</v>
      </c>
      <c r="L96" s="100">
        <v>32.56</v>
      </c>
      <c r="M96" s="100">
        <v>35.96</v>
      </c>
      <c r="N96" s="100">
        <v>0</v>
      </c>
      <c r="O96" s="100">
        <v>0</v>
      </c>
      <c r="P96" s="100">
        <v>0.65</v>
      </c>
      <c r="Q96" s="100">
        <v>5.0599999999999996</v>
      </c>
    </row>
    <row r="97" spans="1:22" customFormat="1">
      <c r="A97" s="100" t="s">
        <v>2629</v>
      </c>
      <c r="B97" s="100">
        <v>10.7</v>
      </c>
      <c r="C97" s="100">
        <v>54.43</v>
      </c>
      <c r="D97" s="100">
        <v>35.979999999999997</v>
      </c>
      <c r="E97" s="100">
        <v>12.39</v>
      </c>
      <c r="F97" s="100">
        <v>15.93</v>
      </c>
      <c r="G97" s="100">
        <v>60.59</v>
      </c>
      <c r="H97" s="100">
        <v>13.24</v>
      </c>
      <c r="I97" s="100">
        <v>5.77</v>
      </c>
      <c r="J97" s="100">
        <v>0.22</v>
      </c>
      <c r="K97" s="100">
        <v>219.42</v>
      </c>
      <c r="L97" s="100">
        <v>33.119999999999997</v>
      </c>
      <c r="M97" s="100">
        <v>35.119999999999997</v>
      </c>
      <c r="N97" s="100">
        <v>0</v>
      </c>
      <c r="O97" s="100">
        <v>0</v>
      </c>
      <c r="P97" s="100">
        <v>0.68</v>
      </c>
      <c r="Q97" s="100">
        <v>5.05</v>
      </c>
    </row>
    <row r="98" spans="1:22" customFormat="1">
      <c r="A98" s="100" t="s">
        <v>2630</v>
      </c>
      <c r="B98" s="100">
        <v>9.43</v>
      </c>
      <c r="C98" s="100">
        <v>51.02</v>
      </c>
      <c r="D98" s="100">
        <v>33.17</v>
      </c>
      <c r="E98" s="100">
        <v>12.87</v>
      </c>
      <c r="F98" s="100">
        <v>24.09</v>
      </c>
      <c r="G98" s="100">
        <v>64.260000000000005</v>
      </c>
      <c r="H98" s="100">
        <v>14.4</v>
      </c>
      <c r="I98" s="100">
        <v>5.67</v>
      </c>
      <c r="J98" s="100">
        <v>0.2</v>
      </c>
      <c r="K98" s="100">
        <v>162.94999999999999</v>
      </c>
      <c r="L98" s="100">
        <v>32.479999999999997</v>
      </c>
      <c r="M98" s="100">
        <v>38.06</v>
      </c>
      <c r="N98" s="100">
        <v>0</v>
      </c>
      <c r="O98" s="100">
        <v>0</v>
      </c>
      <c r="P98" s="100">
        <v>0.68</v>
      </c>
      <c r="Q98" s="100">
        <v>5.1100000000000003</v>
      </c>
    </row>
    <row r="99" spans="1:22" customFormat="1">
      <c r="A99" s="100" t="s">
        <v>2631</v>
      </c>
      <c r="B99" s="100">
        <v>12.82</v>
      </c>
      <c r="C99" s="100">
        <v>58.68</v>
      </c>
      <c r="D99" s="100">
        <v>39.89</v>
      </c>
      <c r="E99" s="100">
        <v>8.32</v>
      </c>
      <c r="F99" s="100">
        <v>9.43</v>
      </c>
      <c r="G99" s="100">
        <v>69.52</v>
      </c>
      <c r="H99" s="100">
        <v>15.41</v>
      </c>
      <c r="I99" s="100">
        <v>5.53</v>
      </c>
      <c r="J99" s="100">
        <v>0.22</v>
      </c>
      <c r="K99" s="100">
        <v>184.61</v>
      </c>
      <c r="L99" s="100">
        <v>31.47</v>
      </c>
      <c r="M99" s="100">
        <v>40.98</v>
      </c>
      <c r="N99" s="100">
        <v>0</v>
      </c>
      <c r="O99" s="100">
        <v>0</v>
      </c>
      <c r="P99" s="100">
        <v>0.66</v>
      </c>
      <c r="Q99" s="100">
        <v>5.0999999999999996</v>
      </c>
    </row>
    <row r="100" spans="1:22" customFormat="1">
      <c r="A100" s="100" t="s">
        <v>2632</v>
      </c>
      <c r="B100" s="100">
        <v>12.4</v>
      </c>
      <c r="C100" s="100">
        <v>62.01</v>
      </c>
      <c r="D100" s="100">
        <v>41.3</v>
      </c>
      <c r="E100" s="100">
        <v>8.3699999999999992</v>
      </c>
      <c r="F100" s="100">
        <v>13.4</v>
      </c>
      <c r="G100" s="100">
        <v>69.52</v>
      </c>
      <c r="H100" s="100">
        <v>15.41</v>
      </c>
      <c r="I100" s="100">
        <v>5.59</v>
      </c>
      <c r="J100" s="100">
        <v>0.18</v>
      </c>
      <c r="K100" s="100">
        <v>173.39</v>
      </c>
      <c r="L100" s="100">
        <v>30.97</v>
      </c>
      <c r="M100" s="100">
        <v>42.85</v>
      </c>
      <c r="N100" s="100">
        <v>0</v>
      </c>
      <c r="O100" s="100">
        <v>0</v>
      </c>
      <c r="P100" s="100">
        <v>0.69</v>
      </c>
      <c r="Q100" s="100">
        <v>5.33</v>
      </c>
    </row>
    <row r="101" spans="1:22" customFormat="1">
      <c r="A101" s="100" t="s">
        <v>2633</v>
      </c>
      <c r="B101" s="100">
        <v>11.44</v>
      </c>
      <c r="C101" s="100">
        <v>52.71</v>
      </c>
      <c r="D101" s="100">
        <v>35.67</v>
      </c>
      <c r="E101" s="100">
        <v>9.41</v>
      </c>
      <c r="F101" s="100">
        <v>17.84</v>
      </c>
      <c r="G101" s="100">
        <v>69.52</v>
      </c>
      <c r="H101" s="100">
        <v>15.41</v>
      </c>
      <c r="I101" s="100">
        <v>5.8</v>
      </c>
      <c r="J101" s="100">
        <v>0.17</v>
      </c>
      <c r="K101" s="100">
        <v>158.41</v>
      </c>
      <c r="L101" s="100">
        <v>30.66</v>
      </c>
      <c r="M101" s="100">
        <v>44.02</v>
      </c>
      <c r="N101" s="100">
        <v>0</v>
      </c>
      <c r="O101" s="100">
        <v>0</v>
      </c>
      <c r="P101" s="100">
        <v>0.69</v>
      </c>
      <c r="Q101" s="100">
        <v>5.22</v>
      </c>
    </row>
    <row r="102" spans="1:22" customFormat="1">
      <c r="A102" s="100" t="s">
        <v>2634</v>
      </c>
      <c r="B102" s="100">
        <v>13.27</v>
      </c>
      <c r="C102" s="100">
        <v>57.5</v>
      </c>
      <c r="D102" s="100">
        <v>39.64</v>
      </c>
      <c r="E102" s="100">
        <v>7.7</v>
      </c>
      <c r="F102" s="100">
        <v>10.93</v>
      </c>
      <c r="G102" s="100">
        <v>66.92</v>
      </c>
      <c r="H102" s="100">
        <v>16.55</v>
      </c>
      <c r="I102" s="100">
        <v>5.85</v>
      </c>
      <c r="J102" s="100">
        <v>0.16</v>
      </c>
      <c r="K102" s="100">
        <v>194.5</v>
      </c>
      <c r="L102" s="100">
        <v>30.27</v>
      </c>
      <c r="M102" s="100">
        <v>45.49</v>
      </c>
      <c r="N102" s="100">
        <v>0</v>
      </c>
      <c r="O102" s="100">
        <v>0</v>
      </c>
      <c r="P102" s="100">
        <v>0.69</v>
      </c>
      <c r="Q102" s="100">
        <v>5.14</v>
      </c>
    </row>
    <row r="103" spans="1:22" customFormat="1">
      <c r="A103" s="100" t="s">
        <v>2635</v>
      </c>
      <c r="B103" s="100">
        <v>12.5</v>
      </c>
      <c r="C103" s="100">
        <v>53.42</v>
      </c>
      <c r="D103" s="100">
        <v>36.89</v>
      </c>
      <c r="E103" s="100">
        <v>9.26</v>
      </c>
      <c r="F103" s="100">
        <v>14.66</v>
      </c>
      <c r="G103" s="100">
        <v>63.18</v>
      </c>
      <c r="H103" s="100">
        <v>17.52</v>
      </c>
      <c r="I103" s="100">
        <v>5.83</v>
      </c>
      <c r="J103" s="100">
        <v>0.13</v>
      </c>
      <c r="K103" s="100">
        <v>164.14</v>
      </c>
      <c r="L103" s="100">
        <v>30.15</v>
      </c>
      <c r="M103" s="100">
        <v>45.69</v>
      </c>
      <c r="N103" s="100">
        <v>0</v>
      </c>
      <c r="O103" s="100">
        <v>0</v>
      </c>
      <c r="P103" s="100">
        <v>0.68</v>
      </c>
      <c r="Q103" s="100">
        <v>5.2</v>
      </c>
    </row>
    <row r="104" spans="1:22" customFormat="1">
      <c r="A104" s="100" t="s">
        <v>2636</v>
      </c>
      <c r="B104" s="100">
        <v>14.23</v>
      </c>
      <c r="C104" s="100">
        <v>58.6</v>
      </c>
      <c r="D104" s="100">
        <v>40.98</v>
      </c>
      <c r="E104" s="100">
        <v>7.99</v>
      </c>
      <c r="F104" s="100">
        <v>9.1</v>
      </c>
      <c r="G104" s="100">
        <v>63.18</v>
      </c>
      <c r="H104" s="100">
        <v>17.52</v>
      </c>
      <c r="I104" s="100">
        <v>5.83</v>
      </c>
      <c r="J104" s="100">
        <v>0.18</v>
      </c>
      <c r="K104" s="100">
        <v>196.6</v>
      </c>
      <c r="L104" s="100">
        <v>29.91</v>
      </c>
      <c r="M104" s="100">
        <v>46.94</v>
      </c>
      <c r="N104" s="100">
        <v>0</v>
      </c>
      <c r="O104" s="100">
        <v>0</v>
      </c>
      <c r="P104" s="100">
        <v>0.7</v>
      </c>
      <c r="Q104" s="100">
        <v>5.2</v>
      </c>
    </row>
    <row r="106" spans="1:22">
      <c r="A106" s="157" t="s">
        <v>48</v>
      </c>
      <c r="B106" s="158">
        <f>MIN(B9:B104)</f>
        <v>4.16</v>
      </c>
      <c r="C106" s="158">
        <f>MIN(C9:C104)</f>
        <v>39.950000000000003</v>
      </c>
      <c r="D106" s="158">
        <f t="shared" ref="D106:Q106" si="0">MIN(D9:D104)</f>
        <v>24.56</v>
      </c>
      <c r="E106" s="158">
        <f t="shared" si="0"/>
        <v>4.09</v>
      </c>
      <c r="F106" s="158">
        <f t="shared" si="0"/>
        <v>6.31</v>
      </c>
      <c r="G106" s="158">
        <f t="shared" si="0"/>
        <v>24.13</v>
      </c>
      <c r="H106" s="158">
        <f t="shared" si="0"/>
        <v>8.49</v>
      </c>
      <c r="I106" s="158">
        <f t="shared" si="0"/>
        <v>4.18</v>
      </c>
      <c r="J106" s="158">
        <f t="shared" si="0"/>
        <v>0.1</v>
      </c>
      <c r="K106" s="158">
        <f t="shared" si="0"/>
        <v>155.58000000000001</v>
      </c>
      <c r="L106" s="158">
        <f t="shared" si="0"/>
        <v>29.91</v>
      </c>
      <c r="M106" s="158">
        <f t="shared" si="0"/>
        <v>16.059999999999999</v>
      </c>
      <c r="N106" s="158">
        <f t="shared" si="0"/>
        <v>0</v>
      </c>
      <c r="O106" s="158">
        <f t="shared" si="0"/>
        <v>0</v>
      </c>
      <c r="P106" s="158">
        <f t="shared" si="0"/>
        <v>0.45</v>
      </c>
      <c r="Q106" s="158">
        <f t="shared" si="0"/>
        <v>4.37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16.239999999999998</v>
      </c>
      <c r="C107" s="157">
        <f t="shared" ref="C107:Q107" si="1">MAX(C9:C104)</f>
        <v>62.01</v>
      </c>
      <c r="D107" s="157">
        <f t="shared" si="1"/>
        <v>42.33</v>
      </c>
      <c r="E107" s="157">
        <f t="shared" si="1"/>
        <v>12.96</v>
      </c>
      <c r="F107" s="157">
        <f t="shared" si="1"/>
        <v>33.619999999999997</v>
      </c>
      <c r="G107" s="157">
        <f t="shared" si="1"/>
        <v>69.52</v>
      </c>
      <c r="H107" s="157">
        <f t="shared" si="1"/>
        <v>20.25</v>
      </c>
      <c r="I107" s="157">
        <f t="shared" si="1"/>
        <v>6.25</v>
      </c>
      <c r="J107" s="157">
        <f t="shared" si="1"/>
        <v>1.77</v>
      </c>
      <c r="K107" s="157">
        <f t="shared" si="1"/>
        <v>309.8</v>
      </c>
      <c r="L107" s="157">
        <f t="shared" si="1"/>
        <v>41.01</v>
      </c>
      <c r="M107" s="157">
        <f t="shared" si="1"/>
        <v>50.05</v>
      </c>
      <c r="N107" s="157">
        <f t="shared" si="1"/>
        <v>857.4</v>
      </c>
      <c r="O107" s="157">
        <f t="shared" si="1"/>
        <v>0</v>
      </c>
      <c r="P107" s="157">
        <f t="shared" si="1"/>
        <v>0.72</v>
      </c>
      <c r="Q107" s="157">
        <f t="shared" si="1"/>
        <v>5.33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10.350208333333336</v>
      </c>
      <c r="C108" s="158">
        <f t="shared" ref="C108:Q108" si="2">AVERAGE(C9:C104)</f>
        <v>50.750625000000014</v>
      </c>
      <c r="D108" s="158">
        <f t="shared" si="2"/>
        <v>33.770312499999989</v>
      </c>
      <c r="E108" s="158">
        <f t="shared" si="2"/>
        <v>7.279791666666668</v>
      </c>
      <c r="F108" s="158">
        <f t="shared" si="2"/>
        <v>16.879479166666666</v>
      </c>
      <c r="G108" s="158">
        <f t="shared" si="2"/>
        <v>47.75656250000003</v>
      </c>
      <c r="H108" s="158">
        <f t="shared" si="2"/>
        <v>15.561145833333335</v>
      </c>
      <c r="I108" s="158">
        <f t="shared" si="2"/>
        <v>5.46</v>
      </c>
      <c r="J108" s="158">
        <f t="shared" si="2"/>
        <v>0.76979166666666643</v>
      </c>
      <c r="K108" s="158">
        <f t="shared" si="2"/>
        <v>244.47187499999995</v>
      </c>
      <c r="L108" s="158">
        <f t="shared" si="2"/>
        <v>34.561249999999994</v>
      </c>
      <c r="M108" s="158">
        <f t="shared" si="2"/>
        <v>33.453749999999978</v>
      </c>
      <c r="N108" s="158">
        <f t="shared" si="2"/>
        <v>184.59270833333335</v>
      </c>
      <c r="O108" s="158">
        <f t="shared" si="2"/>
        <v>0</v>
      </c>
      <c r="P108" s="158">
        <f t="shared" si="2"/>
        <v>0.5903124999999998</v>
      </c>
      <c r="Q108" s="158">
        <f t="shared" si="2"/>
        <v>4.9048958333333355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4.096796432430077</v>
      </c>
      <c r="C109" s="158">
        <f t="shared" ref="C109:Q109" si="3">STDEV(C9:C104)</f>
        <v>4.513405718989878</v>
      </c>
      <c r="D109" s="158">
        <f t="shared" si="3"/>
        <v>5.1580803146999896</v>
      </c>
      <c r="E109" s="158">
        <f t="shared" si="3"/>
        <v>2.0560718701173077</v>
      </c>
      <c r="F109" s="158">
        <f t="shared" si="3"/>
        <v>6.1351550179517282</v>
      </c>
      <c r="G109" s="158">
        <f t="shared" si="3"/>
        <v>11.709210933738689</v>
      </c>
      <c r="H109" s="158">
        <f t="shared" si="3"/>
        <v>2.4795181491961205</v>
      </c>
      <c r="I109" s="158">
        <f t="shared" si="3"/>
        <v>0.47466109793697742</v>
      </c>
      <c r="J109" s="158">
        <f t="shared" si="3"/>
        <v>0.53252324716572741</v>
      </c>
      <c r="K109" s="158">
        <f t="shared" si="3"/>
        <v>37.538551364599471</v>
      </c>
      <c r="L109" s="158">
        <f t="shared" si="3"/>
        <v>3.9369053435675685</v>
      </c>
      <c r="M109" s="158">
        <f t="shared" si="3"/>
        <v>11.655674132099168</v>
      </c>
      <c r="N109" s="158">
        <f t="shared" si="3"/>
        <v>275.0127848682834</v>
      </c>
      <c r="O109" s="158">
        <f t="shared" si="3"/>
        <v>0</v>
      </c>
      <c r="P109" s="158">
        <f t="shared" si="3"/>
        <v>6.8739831783940261E-2</v>
      </c>
      <c r="Q109" s="158">
        <f t="shared" si="3"/>
        <v>0.31886309483164399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26/05/2023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2637</v>
      </c>
      <c r="B9" s="100">
        <v>14.58</v>
      </c>
      <c r="C9" s="100">
        <v>53.91</v>
      </c>
      <c r="D9" s="100">
        <v>38.82</v>
      </c>
      <c r="E9" s="100">
        <v>7.39</v>
      </c>
      <c r="F9" s="100">
        <v>9.7799999999999994</v>
      </c>
      <c r="G9" s="100">
        <v>63.18</v>
      </c>
      <c r="H9" s="100">
        <v>17.52</v>
      </c>
      <c r="I9" s="100">
        <v>5.84</v>
      </c>
      <c r="J9" s="100">
        <v>0.2</v>
      </c>
      <c r="K9" s="100">
        <v>183.07</v>
      </c>
      <c r="L9" s="100">
        <v>29.64</v>
      </c>
      <c r="M9" s="100">
        <v>47.38</v>
      </c>
      <c r="N9" s="100">
        <v>0</v>
      </c>
      <c r="O9" s="100">
        <v>0</v>
      </c>
      <c r="P9" s="100">
        <v>0.69</v>
      </c>
      <c r="Q9" s="100">
        <v>5.2</v>
      </c>
    </row>
    <row r="10" spans="1:21" customFormat="1">
      <c r="A10" s="100" t="s">
        <v>2638</v>
      </c>
      <c r="B10" s="100">
        <v>14.36</v>
      </c>
      <c r="C10" s="100">
        <v>54.68</v>
      </c>
      <c r="D10" s="100">
        <v>39.04</v>
      </c>
      <c r="E10" s="100">
        <v>8.56</v>
      </c>
      <c r="F10" s="100">
        <v>12.13</v>
      </c>
      <c r="G10" s="100">
        <v>63.78</v>
      </c>
      <c r="H10" s="100">
        <v>17.510000000000002</v>
      </c>
      <c r="I10" s="100">
        <v>5.93</v>
      </c>
      <c r="J10" s="100">
        <v>0.22</v>
      </c>
      <c r="K10" s="100">
        <v>190.14</v>
      </c>
      <c r="L10" s="100">
        <v>29.39</v>
      </c>
      <c r="M10" s="100">
        <v>47.94</v>
      </c>
      <c r="N10" s="100">
        <v>0</v>
      </c>
      <c r="O10" s="100">
        <v>0</v>
      </c>
      <c r="P10" s="100">
        <v>0.68</v>
      </c>
      <c r="Q10" s="100">
        <v>5.29</v>
      </c>
    </row>
    <row r="11" spans="1:21" customFormat="1">
      <c r="A11" s="100" t="s">
        <v>2639</v>
      </c>
      <c r="B11" s="100">
        <v>15.69</v>
      </c>
      <c r="C11" s="100">
        <v>60.44</v>
      </c>
      <c r="D11" s="100">
        <v>43.11</v>
      </c>
      <c r="E11" s="100">
        <v>7.21</v>
      </c>
      <c r="F11" s="100">
        <v>8</v>
      </c>
      <c r="G11" s="100">
        <v>64.64</v>
      </c>
      <c r="H11" s="100">
        <v>17.5</v>
      </c>
      <c r="I11" s="100">
        <v>5.91</v>
      </c>
      <c r="J11" s="100">
        <v>0.13</v>
      </c>
      <c r="K11" s="100">
        <v>194.55</v>
      </c>
      <c r="L11" s="100">
        <v>29.12</v>
      </c>
      <c r="M11" s="100">
        <v>48.56</v>
      </c>
      <c r="N11" s="100">
        <v>0</v>
      </c>
      <c r="O11" s="100">
        <v>0</v>
      </c>
      <c r="P11" s="100">
        <v>0.7</v>
      </c>
      <c r="Q11" s="100">
        <v>5.33</v>
      </c>
    </row>
    <row r="12" spans="1:21" customFormat="1">
      <c r="A12" s="100" t="s">
        <v>2640</v>
      </c>
      <c r="B12" s="100">
        <v>14.46</v>
      </c>
      <c r="C12" s="100">
        <v>54.21</v>
      </c>
      <c r="D12" s="100">
        <v>38.880000000000003</v>
      </c>
      <c r="E12" s="100">
        <v>8.85</v>
      </c>
      <c r="F12" s="100">
        <v>13.44</v>
      </c>
      <c r="G12" s="100">
        <v>64.64</v>
      </c>
      <c r="H12" s="100">
        <v>17.5</v>
      </c>
      <c r="I12" s="100">
        <v>6.06</v>
      </c>
      <c r="J12" s="100">
        <v>0.18</v>
      </c>
      <c r="K12" s="100">
        <v>189.61</v>
      </c>
      <c r="L12" s="100">
        <v>29.39</v>
      </c>
      <c r="M12" s="100">
        <v>47.66</v>
      </c>
      <c r="N12" s="100">
        <v>0</v>
      </c>
      <c r="O12" s="100">
        <v>0</v>
      </c>
      <c r="P12" s="100">
        <v>0.67</v>
      </c>
      <c r="Q12" s="100">
        <v>5.32</v>
      </c>
    </row>
    <row r="13" spans="1:21" customFormat="1">
      <c r="A13" s="100" t="s">
        <v>2641</v>
      </c>
      <c r="B13" s="100">
        <v>15.98</v>
      </c>
      <c r="C13" s="100">
        <v>58.04</v>
      </c>
      <c r="D13" s="100">
        <v>42.09</v>
      </c>
      <c r="E13" s="100">
        <v>7.59</v>
      </c>
      <c r="F13" s="100">
        <v>10.86</v>
      </c>
      <c r="G13" s="100">
        <v>64.64</v>
      </c>
      <c r="H13" s="100">
        <v>17.5</v>
      </c>
      <c r="I13" s="100">
        <v>5.95</v>
      </c>
      <c r="J13" s="100">
        <v>0.22</v>
      </c>
      <c r="K13" s="100">
        <v>182.97</v>
      </c>
      <c r="L13" s="100">
        <v>29.3</v>
      </c>
      <c r="M13" s="100">
        <v>48.2</v>
      </c>
      <c r="N13" s="100">
        <v>0</v>
      </c>
      <c r="O13" s="100">
        <v>0</v>
      </c>
      <c r="P13" s="100">
        <v>0.69</v>
      </c>
      <c r="Q13" s="100">
        <v>5.29</v>
      </c>
    </row>
    <row r="14" spans="1:21" customFormat="1">
      <c r="A14" s="100" t="s">
        <v>2642</v>
      </c>
      <c r="B14" s="100">
        <v>15.75</v>
      </c>
      <c r="C14" s="100">
        <v>54.56</v>
      </c>
      <c r="D14" s="100">
        <v>40.1</v>
      </c>
      <c r="E14" s="100">
        <v>7.86</v>
      </c>
      <c r="F14" s="100">
        <v>11.44</v>
      </c>
      <c r="G14" s="100">
        <v>63.13</v>
      </c>
      <c r="H14" s="100">
        <v>17.850000000000001</v>
      </c>
      <c r="I14" s="100">
        <v>5.84</v>
      </c>
      <c r="J14" s="100">
        <v>0.2</v>
      </c>
      <c r="K14" s="100">
        <v>169.86</v>
      </c>
      <c r="L14" s="100">
        <v>29.15</v>
      </c>
      <c r="M14" s="100">
        <v>48.94</v>
      </c>
      <c r="N14" s="100">
        <v>0</v>
      </c>
      <c r="O14" s="100">
        <v>0</v>
      </c>
      <c r="P14" s="100">
        <v>0.68</v>
      </c>
      <c r="Q14" s="100">
        <v>5.28</v>
      </c>
    </row>
    <row r="15" spans="1:21" customFormat="1">
      <c r="A15" s="100" t="s">
        <v>2643</v>
      </c>
      <c r="B15" s="100">
        <v>17.010000000000002</v>
      </c>
      <c r="C15" s="100">
        <v>61.04</v>
      </c>
      <c r="D15" s="100">
        <v>44.48</v>
      </c>
      <c r="E15" s="100">
        <v>7.37</v>
      </c>
      <c r="F15" s="100">
        <v>10.6</v>
      </c>
      <c r="G15" s="100">
        <v>60.95</v>
      </c>
      <c r="H15" s="100">
        <v>18.68</v>
      </c>
      <c r="I15" s="100">
        <v>5.88</v>
      </c>
      <c r="J15" s="100">
        <v>0.23</v>
      </c>
      <c r="K15" s="100">
        <v>179.41</v>
      </c>
      <c r="L15" s="100">
        <v>28.89</v>
      </c>
      <c r="M15" s="100">
        <v>49.68</v>
      </c>
      <c r="N15" s="100">
        <v>0</v>
      </c>
      <c r="O15" s="100">
        <v>0</v>
      </c>
      <c r="P15" s="100">
        <v>0.7</v>
      </c>
      <c r="Q15" s="100">
        <v>5.4</v>
      </c>
    </row>
    <row r="16" spans="1:21" customFormat="1">
      <c r="A16" s="100" t="s">
        <v>2644</v>
      </c>
      <c r="B16" s="100">
        <v>17.36</v>
      </c>
      <c r="C16" s="100">
        <v>59.23</v>
      </c>
      <c r="D16" s="100">
        <v>43.82</v>
      </c>
      <c r="E16" s="100">
        <v>7.44</v>
      </c>
      <c r="F16" s="100">
        <v>9.18</v>
      </c>
      <c r="G16" s="100">
        <v>60.95</v>
      </c>
      <c r="H16" s="100">
        <v>18.68</v>
      </c>
      <c r="I16" s="100">
        <v>5.91</v>
      </c>
      <c r="J16" s="100">
        <v>0.21</v>
      </c>
      <c r="K16" s="100">
        <v>194.42</v>
      </c>
      <c r="L16" s="100">
        <v>28.94</v>
      </c>
      <c r="M16" s="100">
        <v>49.02</v>
      </c>
      <c r="N16" s="100">
        <v>0</v>
      </c>
      <c r="O16" s="100">
        <v>0</v>
      </c>
      <c r="P16" s="100">
        <v>0.69</v>
      </c>
      <c r="Q16" s="100">
        <v>5.35</v>
      </c>
    </row>
    <row r="17" spans="1:17" customFormat="1">
      <c r="A17" s="100" t="s">
        <v>2645</v>
      </c>
      <c r="B17" s="100">
        <v>17</v>
      </c>
      <c r="C17" s="100">
        <v>55.11</v>
      </c>
      <c r="D17" s="100">
        <v>41.38</v>
      </c>
      <c r="E17" s="100">
        <v>5.54</v>
      </c>
      <c r="F17" s="100">
        <v>11.38</v>
      </c>
      <c r="G17" s="100">
        <v>60.95</v>
      </c>
      <c r="H17" s="100">
        <v>18.68</v>
      </c>
      <c r="I17" s="100">
        <v>6.08</v>
      </c>
      <c r="J17" s="100">
        <v>0.13</v>
      </c>
      <c r="K17" s="100">
        <v>166.22</v>
      </c>
      <c r="L17" s="100">
        <v>28.88</v>
      </c>
      <c r="M17" s="100">
        <v>49.61</v>
      </c>
      <c r="N17" s="100">
        <v>0</v>
      </c>
      <c r="O17" s="100">
        <v>0</v>
      </c>
      <c r="P17" s="100">
        <v>0.67</v>
      </c>
      <c r="Q17" s="100">
        <v>5.37</v>
      </c>
    </row>
    <row r="18" spans="1:17" customFormat="1">
      <c r="A18" s="100" t="s">
        <v>2646</v>
      </c>
      <c r="B18" s="100">
        <v>17.5</v>
      </c>
      <c r="C18" s="100">
        <v>58.31</v>
      </c>
      <c r="D18" s="100">
        <v>43.46</v>
      </c>
      <c r="E18" s="100">
        <v>6.49</v>
      </c>
      <c r="F18" s="100">
        <v>8.89</v>
      </c>
      <c r="G18" s="100">
        <v>60.99</v>
      </c>
      <c r="H18" s="100">
        <v>17.54</v>
      </c>
      <c r="I18" s="100">
        <v>5.88</v>
      </c>
      <c r="J18" s="100">
        <v>0.12</v>
      </c>
      <c r="K18" s="100">
        <v>176.15</v>
      </c>
      <c r="L18" s="100">
        <v>28.68</v>
      </c>
      <c r="M18" s="100">
        <v>50.01</v>
      </c>
      <c r="N18" s="100">
        <v>0</v>
      </c>
      <c r="O18" s="100">
        <v>0</v>
      </c>
      <c r="P18" s="100">
        <v>0.69</v>
      </c>
      <c r="Q18" s="100">
        <v>5.39</v>
      </c>
    </row>
    <row r="19" spans="1:17" customFormat="1">
      <c r="A19" s="100" t="s">
        <v>2647</v>
      </c>
      <c r="B19" s="100">
        <v>17.489999999999998</v>
      </c>
      <c r="C19" s="100">
        <v>55.43</v>
      </c>
      <c r="D19" s="100">
        <v>41.94</v>
      </c>
      <c r="E19" s="100">
        <v>6.12</v>
      </c>
      <c r="F19" s="100">
        <v>10.029999999999999</v>
      </c>
      <c r="G19" s="100">
        <v>61.05</v>
      </c>
      <c r="H19" s="100">
        <v>16.55</v>
      </c>
      <c r="I19" s="100">
        <v>5.84</v>
      </c>
      <c r="J19" s="100">
        <v>0.19</v>
      </c>
      <c r="K19" s="100">
        <v>175.76</v>
      </c>
      <c r="L19" s="100">
        <v>28.47</v>
      </c>
      <c r="M19" s="100">
        <v>51</v>
      </c>
      <c r="N19" s="100">
        <v>0</v>
      </c>
      <c r="O19" s="100">
        <v>0</v>
      </c>
      <c r="P19" s="100">
        <v>0.67</v>
      </c>
      <c r="Q19" s="100">
        <v>5.4</v>
      </c>
    </row>
    <row r="20" spans="1:17" customFormat="1">
      <c r="A20" s="100" t="s">
        <v>2648</v>
      </c>
      <c r="B20" s="100">
        <v>19.329999999999998</v>
      </c>
      <c r="C20" s="100">
        <v>60.73</v>
      </c>
      <c r="D20" s="100">
        <v>46.19</v>
      </c>
      <c r="E20" s="100">
        <v>5.37</v>
      </c>
      <c r="F20" s="100">
        <v>6.19</v>
      </c>
      <c r="G20" s="100">
        <v>61.05</v>
      </c>
      <c r="H20" s="100">
        <v>16.55</v>
      </c>
      <c r="I20" s="100">
        <v>5.82</v>
      </c>
      <c r="J20" s="100">
        <v>0.18</v>
      </c>
      <c r="K20" s="100">
        <v>184.43</v>
      </c>
      <c r="L20" s="100">
        <v>28.26</v>
      </c>
      <c r="M20" s="100">
        <v>52.35</v>
      </c>
      <c r="N20" s="100">
        <v>0</v>
      </c>
      <c r="O20" s="100">
        <v>0</v>
      </c>
      <c r="P20" s="100">
        <v>0.7</v>
      </c>
      <c r="Q20" s="100">
        <v>5.42</v>
      </c>
    </row>
    <row r="21" spans="1:17" customFormat="1">
      <c r="A21" s="100" t="s">
        <v>2649</v>
      </c>
      <c r="B21" s="100">
        <v>19.920000000000002</v>
      </c>
      <c r="C21" s="100">
        <v>59.97</v>
      </c>
      <c r="D21" s="100">
        <v>46.26</v>
      </c>
      <c r="E21" s="100">
        <v>5.99</v>
      </c>
      <c r="F21" s="100">
        <v>6.76</v>
      </c>
      <c r="G21" s="100">
        <v>61.05</v>
      </c>
      <c r="H21" s="100">
        <v>16.55</v>
      </c>
      <c r="I21" s="100">
        <v>5.81</v>
      </c>
      <c r="J21" s="100">
        <v>0.11</v>
      </c>
      <c r="K21" s="100">
        <v>188.67</v>
      </c>
      <c r="L21" s="100">
        <v>28.08</v>
      </c>
      <c r="M21" s="100">
        <v>53.04</v>
      </c>
      <c r="N21" s="100">
        <v>0</v>
      </c>
      <c r="O21" s="100">
        <v>0</v>
      </c>
      <c r="P21" s="100">
        <v>0.7</v>
      </c>
      <c r="Q21" s="100">
        <v>5.44</v>
      </c>
    </row>
    <row r="22" spans="1:17" customFormat="1">
      <c r="A22" s="100" t="s">
        <v>2650</v>
      </c>
      <c r="B22" s="100">
        <v>18.88</v>
      </c>
      <c r="C22" s="100">
        <v>54.67</v>
      </c>
      <c r="D22" s="100">
        <v>42.66</v>
      </c>
      <c r="E22" s="100">
        <v>6.17</v>
      </c>
      <c r="F22" s="100">
        <v>9.67</v>
      </c>
      <c r="G22" s="100">
        <v>58.9</v>
      </c>
      <c r="H22" s="100">
        <v>15.99</v>
      </c>
      <c r="I22" s="100">
        <v>5.99</v>
      </c>
      <c r="J22" s="100">
        <v>0.13</v>
      </c>
      <c r="K22" s="100">
        <v>205.74</v>
      </c>
      <c r="L22" s="100">
        <v>28.19</v>
      </c>
      <c r="M22" s="100">
        <v>52.22</v>
      </c>
      <c r="N22" s="100">
        <v>0</v>
      </c>
      <c r="O22" s="100">
        <v>0</v>
      </c>
      <c r="P22" s="100">
        <v>0.67</v>
      </c>
      <c r="Q22" s="100">
        <v>5.45</v>
      </c>
    </row>
    <row r="23" spans="1:17" customFormat="1">
      <c r="A23" s="100" t="s">
        <v>2651</v>
      </c>
      <c r="B23" s="100">
        <v>20.7</v>
      </c>
      <c r="C23" s="100">
        <v>62.01</v>
      </c>
      <c r="D23" s="100">
        <v>47.95</v>
      </c>
      <c r="E23" s="100">
        <v>6.17</v>
      </c>
      <c r="F23" s="100">
        <v>6.28</v>
      </c>
      <c r="G23" s="100">
        <v>55.81</v>
      </c>
      <c r="H23" s="100">
        <v>15.5</v>
      </c>
      <c r="I23" s="100">
        <v>5.76</v>
      </c>
      <c r="J23" s="100">
        <v>0.12</v>
      </c>
      <c r="K23" s="100">
        <v>200.4</v>
      </c>
      <c r="L23" s="100">
        <v>28.13</v>
      </c>
      <c r="M23" s="100">
        <v>53</v>
      </c>
      <c r="N23" s="100">
        <v>0</v>
      </c>
      <c r="O23" s="100">
        <v>0</v>
      </c>
      <c r="P23" s="100">
        <v>0.7</v>
      </c>
      <c r="Q23" s="100">
        <v>5.51</v>
      </c>
    </row>
    <row r="24" spans="1:17" customFormat="1">
      <c r="A24" s="100" t="s">
        <v>2652</v>
      </c>
      <c r="B24" s="100">
        <v>20.41</v>
      </c>
      <c r="C24" s="100">
        <v>57.96</v>
      </c>
      <c r="D24" s="100">
        <v>45.61</v>
      </c>
      <c r="E24" s="100">
        <v>5.66</v>
      </c>
      <c r="F24" s="100">
        <v>7.84</v>
      </c>
      <c r="G24" s="100">
        <v>55.81</v>
      </c>
      <c r="H24" s="100">
        <v>15.5</v>
      </c>
      <c r="I24" s="100">
        <v>5.74</v>
      </c>
      <c r="J24" s="100">
        <v>0.13</v>
      </c>
      <c r="K24" s="100">
        <v>195.65</v>
      </c>
      <c r="L24" s="100">
        <v>28.12</v>
      </c>
      <c r="M24" s="100">
        <v>53.25</v>
      </c>
      <c r="N24" s="100">
        <v>0</v>
      </c>
      <c r="O24" s="100">
        <v>0</v>
      </c>
      <c r="P24" s="100">
        <v>0.68</v>
      </c>
      <c r="Q24" s="100">
        <v>5.53</v>
      </c>
    </row>
    <row r="25" spans="1:17" customFormat="1">
      <c r="A25" s="100" t="s">
        <v>2653</v>
      </c>
      <c r="B25" s="100">
        <v>21.1</v>
      </c>
      <c r="C25" s="100">
        <v>57.38</v>
      </c>
      <c r="D25" s="100">
        <v>45.85</v>
      </c>
      <c r="E25" s="100">
        <v>5.23</v>
      </c>
      <c r="F25" s="100">
        <v>6.76</v>
      </c>
      <c r="G25" s="100">
        <v>55.81</v>
      </c>
      <c r="H25" s="100">
        <v>15.5</v>
      </c>
      <c r="I25" s="100">
        <v>5.9</v>
      </c>
      <c r="J25" s="100">
        <v>0.16</v>
      </c>
      <c r="K25" s="100">
        <v>177.91</v>
      </c>
      <c r="L25" s="100">
        <v>27.98</v>
      </c>
      <c r="M25" s="100">
        <v>54.16</v>
      </c>
      <c r="N25" s="100">
        <v>0</v>
      </c>
      <c r="O25" s="100">
        <v>0</v>
      </c>
      <c r="P25" s="100">
        <v>0.68</v>
      </c>
      <c r="Q25" s="100">
        <v>5.44</v>
      </c>
    </row>
    <row r="26" spans="1:17" customFormat="1">
      <c r="A26" s="100" t="s">
        <v>2654</v>
      </c>
      <c r="B26" s="100">
        <v>20.78</v>
      </c>
      <c r="C26" s="100">
        <v>56.52</v>
      </c>
      <c r="D26" s="100">
        <v>45.15</v>
      </c>
      <c r="E26" s="100">
        <v>5.68</v>
      </c>
      <c r="F26" s="100">
        <v>7.92</v>
      </c>
      <c r="G26" s="100">
        <v>54.25</v>
      </c>
      <c r="H26" s="100">
        <v>15.83</v>
      </c>
      <c r="I26" s="100">
        <v>5.78</v>
      </c>
      <c r="J26" s="100">
        <v>0.18</v>
      </c>
      <c r="K26" s="100">
        <v>165.44</v>
      </c>
      <c r="L26" s="100">
        <v>27.93</v>
      </c>
      <c r="M26" s="100">
        <v>54.35</v>
      </c>
      <c r="N26" s="100">
        <v>0</v>
      </c>
      <c r="O26" s="100">
        <v>0</v>
      </c>
      <c r="P26" s="100">
        <v>0.67</v>
      </c>
      <c r="Q26" s="100">
        <v>5.49</v>
      </c>
    </row>
    <row r="27" spans="1:17" customFormat="1">
      <c r="A27" s="100" t="s">
        <v>2655</v>
      </c>
      <c r="B27" s="100">
        <v>21.36</v>
      </c>
      <c r="C27" s="100">
        <v>57.51</v>
      </c>
      <c r="D27" s="100">
        <v>46.13</v>
      </c>
      <c r="E27" s="100">
        <v>5.86</v>
      </c>
      <c r="F27" s="100">
        <v>7.55</v>
      </c>
      <c r="G27" s="100">
        <v>51.89</v>
      </c>
      <c r="H27" s="100">
        <v>16.11</v>
      </c>
      <c r="I27" s="100">
        <v>5.69</v>
      </c>
      <c r="J27" s="100">
        <v>0.17</v>
      </c>
      <c r="K27" s="100">
        <v>149.57</v>
      </c>
      <c r="L27" s="100">
        <v>27.85</v>
      </c>
      <c r="M27" s="100">
        <v>54.76</v>
      </c>
      <c r="N27" s="100">
        <v>0</v>
      </c>
      <c r="O27" s="100">
        <v>0</v>
      </c>
      <c r="P27" s="100">
        <v>0.66</v>
      </c>
      <c r="Q27" s="100">
        <v>5.51</v>
      </c>
    </row>
    <row r="28" spans="1:17" customFormat="1">
      <c r="A28" s="100" t="s">
        <v>2656</v>
      </c>
      <c r="B28" s="100">
        <v>22.36</v>
      </c>
      <c r="C28" s="100">
        <v>59.66</v>
      </c>
      <c r="D28" s="100">
        <v>48.05</v>
      </c>
      <c r="E28" s="100">
        <v>6.11</v>
      </c>
      <c r="F28" s="100">
        <v>6.07</v>
      </c>
      <c r="G28" s="100">
        <v>51.89</v>
      </c>
      <c r="H28" s="100">
        <v>16.11</v>
      </c>
      <c r="I28" s="100">
        <v>5.69</v>
      </c>
      <c r="J28" s="100">
        <v>0.15</v>
      </c>
      <c r="K28" s="100">
        <v>164.69</v>
      </c>
      <c r="L28" s="100">
        <v>27.69</v>
      </c>
      <c r="M28" s="100">
        <v>55.88</v>
      </c>
      <c r="N28" s="100">
        <v>0</v>
      </c>
      <c r="O28" s="100">
        <v>0</v>
      </c>
      <c r="P28" s="100">
        <v>0.67</v>
      </c>
      <c r="Q28" s="100">
        <v>5.5</v>
      </c>
    </row>
    <row r="29" spans="1:17" customFormat="1">
      <c r="A29" s="100" t="s">
        <v>2657</v>
      </c>
      <c r="B29" s="100">
        <v>22.38</v>
      </c>
      <c r="C29" s="100">
        <v>57.1</v>
      </c>
      <c r="D29" s="100">
        <v>46.74</v>
      </c>
      <c r="E29" s="100">
        <v>6.11</v>
      </c>
      <c r="F29" s="100">
        <v>6.68</v>
      </c>
      <c r="G29" s="100">
        <v>51.89</v>
      </c>
      <c r="H29" s="100">
        <v>16.11</v>
      </c>
      <c r="I29" s="100">
        <v>5.81</v>
      </c>
      <c r="J29" s="100">
        <v>0.1</v>
      </c>
      <c r="K29" s="100">
        <v>163.99</v>
      </c>
      <c r="L29" s="100">
        <v>27.61</v>
      </c>
      <c r="M29" s="100">
        <v>56.26</v>
      </c>
      <c r="N29" s="100">
        <v>0</v>
      </c>
      <c r="O29" s="100">
        <v>0</v>
      </c>
      <c r="P29" s="100">
        <v>0.67</v>
      </c>
      <c r="Q29" s="100">
        <v>5.51</v>
      </c>
    </row>
    <row r="30" spans="1:17" customFormat="1">
      <c r="A30" s="100" t="s">
        <v>2658</v>
      </c>
      <c r="B30" s="100">
        <v>20.97</v>
      </c>
      <c r="C30" s="100">
        <v>54.19</v>
      </c>
      <c r="D30" s="100">
        <v>44.08</v>
      </c>
      <c r="E30" s="100">
        <v>5.78</v>
      </c>
      <c r="F30" s="100">
        <v>9.1300000000000008</v>
      </c>
      <c r="G30" s="100">
        <v>50.27</v>
      </c>
      <c r="H30" s="100">
        <v>16.8</v>
      </c>
      <c r="I30" s="100">
        <v>5.75</v>
      </c>
      <c r="J30" s="100">
        <v>0.16</v>
      </c>
      <c r="K30" s="100">
        <v>133.08000000000001</v>
      </c>
      <c r="L30" s="100">
        <v>27.64</v>
      </c>
      <c r="M30" s="100">
        <v>56.39</v>
      </c>
      <c r="N30" s="100">
        <v>0.8</v>
      </c>
      <c r="O30" s="100">
        <v>0</v>
      </c>
      <c r="P30" s="100">
        <v>0.66</v>
      </c>
      <c r="Q30" s="100">
        <v>5.55</v>
      </c>
    </row>
    <row r="31" spans="1:17" customFormat="1">
      <c r="A31" s="100" t="s">
        <v>2659</v>
      </c>
      <c r="B31" s="100">
        <v>22.4</v>
      </c>
      <c r="C31" s="100">
        <v>57.62</v>
      </c>
      <c r="D31" s="100">
        <v>47.03</v>
      </c>
      <c r="E31" s="100">
        <v>5.73</v>
      </c>
      <c r="F31" s="100">
        <v>6.42</v>
      </c>
      <c r="G31" s="100">
        <v>47.95</v>
      </c>
      <c r="H31" s="100">
        <v>17.399999999999999</v>
      </c>
      <c r="I31" s="100">
        <v>5.66</v>
      </c>
      <c r="J31" s="100">
        <v>0.19</v>
      </c>
      <c r="K31" s="100">
        <v>113.84</v>
      </c>
      <c r="L31" s="100">
        <v>27.9</v>
      </c>
      <c r="M31" s="100">
        <v>55.32</v>
      </c>
      <c r="N31" s="100">
        <v>13.8</v>
      </c>
      <c r="O31" s="100">
        <v>0</v>
      </c>
      <c r="P31" s="100">
        <v>0.67</v>
      </c>
      <c r="Q31" s="100">
        <v>5.57</v>
      </c>
    </row>
    <row r="32" spans="1:17" customFormat="1">
      <c r="A32" s="100" t="s">
        <v>2660</v>
      </c>
      <c r="B32" s="100">
        <v>22.66</v>
      </c>
      <c r="C32" s="100">
        <v>56.38</v>
      </c>
      <c r="D32" s="100">
        <v>46.58</v>
      </c>
      <c r="E32" s="100">
        <v>5.8</v>
      </c>
      <c r="F32" s="100">
        <v>7.12</v>
      </c>
      <c r="G32" s="100">
        <v>47.95</v>
      </c>
      <c r="H32" s="100">
        <v>17.399999999999999</v>
      </c>
      <c r="I32" s="100">
        <v>5.73</v>
      </c>
      <c r="J32" s="100">
        <v>0.14000000000000001</v>
      </c>
      <c r="K32" s="100">
        <v>195.53</v>
      </c>
      <c r="L32" s="100">
        <v>28.08</v>
      </c>
      <c r="M32" s="100">
        <v>56.84</v>
      </c>
      <c r="N32" s="100">
        <v>34</v>
      </c>
      <c r="O32" s="100">
        <v>0</v>
      </c>
      <c r="P32" s="100">
        <v>0.66</v>
      </c>
      <c r="Q32" s="100">
        <v>5.55</v>
      </c>
    </row>
    <row r="33" spans="1:17" customFormat="1">
      <c r="A33" s="100" t="s">
        <v>2661</v>
      </c>
      <c r="B33" s="100">
        <v>22.26</v>
      </c>
      <c r="C33" s="100">
        <v>53.97</v>
      </c>
      <c r="D33" s="100">
        <v>45</v>
      </c>
      <c r="E33" s="100">
        <v>5.96</v>
      </c>
      <c r="F33" s="100">
        <v>8.1999999999999993</v>
      </c>
      <c r="G33" s="100">
        <v>47.95</v>
      </c>
      <c r="H33" s="100">
        <v>17.399999999999999</v>
      </c>
      <c r="I33" s="100">
        <v>5.7</v>
      </c>
      <c r="J33" s="100">
        <v>0.19</v>
      </c>
      <c r="K33" s="100">
        <v>163.92</v>
      </c>
      <c r="L33" s="100">
        <v>28.53</v>
      </c>
      <c r="M33" s="100">
        <v>56.26</v>
      </c>
      <c r="N33" s="100">
        <v>51.9</v>
      </c>
      <c r="O33" s="100">
        <v>0</v>
      </c>
      <c r="P33" s="100">
        <v>0.65</v>
      </c>
      <c r="Q33" s="100">
        <v>5.57</v>
      </c>
    </row>
    <row r="34" spans="1:17" customFormat="1">
      <c r="A34" s="100" t="s">
        <v>2662</v>
      </c>
      <c r="B34" s="100">
        <v>21.98</v>
      </c>
      <c r="C34" s="100">
        <v>55.71</v>
      </c>
      <c r="D34" s="100">
        <v>45.69</v>
      </c>
      <c r="E34" s="100">
        <v>5.87</v>
      </c>
      <c r="F34" s="100">
        <v>8.67</v>
      </c>
      <c r="G34" s="100">
        <v>48.97</v>
      </c>
      <c r="H34" s="100">
        <v>17.989999999999998</v>
      </c>
      <c r="I34" s="100">
        <v>5.6</v>
      </c>
      <c r="J34" s="100">
        <v>0.14000000000000001</v>
      </c>
      <c r="K34" s="100">
        <v>250.82</v>
      </c>
      <c r="L34" s="100">
        <v>29.31</v>
      </c>
      <c r="M34" s="100">
        <v>54.04</v>
      </c>
      <c r="N34" s="100">
        <v>69.7</v>
      </c>
      <c r="O34" s="100">
        <v>0</v>
      </c>
      <c r="P34" s="100">
        <v>0.66</v>
      </c>
      <c r="Q34" s="100">
        <v>5.57</v>
      </c>
    </row>
    <row r="35" spans="1:17" customFormat="1">
      <c r="A35" s="100" t="s">
        <v>2663</v>
      </c>
      <c r="B35" s="100">
        <v>21.83</v>
      </c>
      <c r="C35" s="100">
        <v>53.16</v>
      </c>
      <c r="D35" s="100">
        <v>44.23</v>
      </c>
      <c r="E35" s="100">
        <v>6</v>
      </c>
      <c r="F35" s="100">
        <v>8.51</v>
      </c>
      <c r="G35" s="100">
        <v>50.43</v>
      </c>
      <c r="H35" s="100">
        <v>18.489999999999998</v>
      </c>
      <c r="I35" s="100">
        <v>5.64</v>
      </c>
      <c r="J35" s="100">
        <v>0.45</v>
      </c>
      <c r="K35" s="100">
        <v>298.55</v>
      </c>
      <c r="L35" s="100">
        <v>29.76</v>
      </c>
      <c r="M35" s="100">
        <v>51.35</v>
      </c>
      <c r="N35" s="100">
        <v>66.5</v>
      </c>
      <c r="O35" s="100">
        <v>0</v>
      </c>
      <c r="P35" s="100">
        <v>0.65</v>
      </c>
      <c r="Q35" s="100">
        <v>5.55</v>
      </c>
    </row>
    <row r="36" spans="1:17" customFormat="1">
      <c r="A36" s="100" t="s">
        <v>2664</v>
      </c>
      <c r="B36" s="100">
        <v>23.4</v>
      </c>
      <c r="C36" s="100">
        <v>57.09</v>
      </c>
      <c r="D36" s="100">
        <v>47.55</v>
      </c>
      <c r="E36" s="100">
        <v>8.31</v>
      </c>
      <c r="F36" s="100">
        <v>7.07</v>
      </c>
      <c r="G36" s="100">
        <v>50.43</v>
      </c>
      <c r="H36" s="100">
        <v>18.489999999999998</v>
      </c>
      <c r="I36" s="100">
        <v>5.57</v>
      </c>
      <c r="J36" s="100">
        <v>1.18</v>
      </c>
      <c r="K36" s="100">
        <v>303.92</v>
      </c>
      <c r="L36" s="100">
        <v>30.51</v>
      </c>
      <c r="M36" s="100">
        <v>45.28</v>
      </c>
      <c r="N36" s="100">
        <v>68</v>
      </c>
      <c r="O36" s="100">
        <v>0</v>
      </c>
      <c r="P36" s="100">
        <v>0.68</v>
      </c>
      <c r="Q36" s="100">
        <v>5.59</v>
      </c>
    </row>
    <row r="37" spans="1:17" customFormat="1">
      <c r="A37" s="100" t="s">
        <v>2665</v>
      </c>
      <c r="B37" s="100">
        <v>23.37</v>
      </c>
      <c r="C37" s="100">
        <v>56.58</v>
      </c>
      <c r="D37" s="100">
        <v>47.26</v>
      </c>
      <c r="E37" s="100">
        <v>8.74</v>
      </c>
      <c r="F37" s="100">
        <v>7.18</v>
      </c>
      <c r="G37" s="100">
        <v>50.43</v>
      </c>
      <c r="H37" s="100">
        <v>18.489999999999998</v>
      </c>
      <c r="I37" s="100">
        <v>5.67</v>
      </c>
      <c r="J37" s="100">
        <v>0.66</v>
      </c>
      <c r="K37" s="100">
        <v>340.55</v>
      </c>
      <c r="L37" s="100">
        <v>31.1</v>
      </c>
      <c r="M37" s="100">
        <v>40.98</v>
      </c>
      <c r="N37" s="100">
        <v>88.4</v>
      </c>
      <c r="O37" s="100">
        <v>0</v>
      </c>
      <c r="P37" s="100">
        <v>0.69</v>
      </c>
      <c r="Q37" s="100">
        <v>5.58</v>
      </c>
    </row>
    <row r="38" spans="1:17" customFormat="1">
      <c r="A38" s="100" t="s">
        <v>2666</v>
      </c>
      <c r="B38" s="100">
        <v>22.18</v>
      </c>
      <c r="C38" s="100">
        <v>52.31</v>
      </c>
      <c r="D38" s="100">
        <v>44.08</v>
      </c>
      <c r="E38" s="100">
        <v>12.88</v>
      </c>
      <c r="F38" s="100">
        <v>10.18</v>
      </c>
      <c r="G38" s="100">
        <v>52.56</v>
      </c>
      <c r="H38" s="100">
        <v>18.04</v>
      </c>
      <c r="I38" s="100">
        <v>6.05</v>
      </c>
      <c r="J38" s="100">
        <v>0.74</v>
      </c>
      <c r="K38" s="100">
        <v>38.65</v>
      </c>
      <c r="L38" s="100">
        <v>31.78</v>
      </c>
      <c r="M38" s="100">
        <v>39.56</v>
      </c>
      <c r="N38" s="100">
        <v>96.7</v>
      </c>
      <c r="O38" s="100">
        <v>0</v>
      </c>
      <c r="P38" s="100">
        <v>0.68</v>
      </c>
      <c r="Q38" s="100">
        <v>5.52</v>
      </c>
    </row>
    <row r="39" spans="1:17" customFormat="1">
      <c r="A39" s="100" t="s">
        <v>2667</v>
      </c>
      <c r="B39" s="100">
        <v>22.96</v>
      </c>
      <c r="C39" s="100">
        <v>56.2</v>
      </c>
      <c r="D39" s="100">
        <v>46.73</v>
      </c>
      <c r="E39" s="100">
        <v>21.42</v>
      </c>
      <c r="F39" s="100">
        <v>8.66</v>
      </c>
      <c r="G39" s="100">
        <v>55.62</v>
      </c>
      <c r="H39" s="100">
        <v>16.96</v>
      </c>
      <c r="I39" s="100">
        <v>6.09</v>
      </c>
      <c r="J39" s="100">
        <v>0.69</v>
      </c>
      <c r="K39" s="100">
        <v>26.59</v>
      </c>
      <c r="L39" s="100">
        <v>32.119999999999997</v>
      </c>
      <c r="M39" s="100">
        <v>38.479999999999997</v>
      </c>
      <c r="N39" s="100">
        <v>97.2</v>
      </c>
      <c r="O39" s="100">
        <v>0</v>
      </c>
      <c r="P39" s="100">
        <v>0.71</v>
      </c>
      <c r="Q39" s="100">
        <v>5.61</v>
      </c>
    </row>
    <row r="40" spans="1:17" customFormat="1">
      <c r="A40" s="100" t="s">
        <v>2668</v>
      </c>
      <c r="B40" s="100">
        <v>22.79</v>
      </c>
      <c r="C40" s="100">
        <v>54.25</v>
      </c>
      <c r="D40" s="100">
        <v>45.58</v>
      </c>
      <c r="E40" s="100">
        <v>24.15</v>
      </c>
      <c r="F40" s="100">
        <v>9.2100000000000009</v>
      </c>
      <c r="G40" s="100">
        <v>55.62</v>
      </c>
      <c r="H40" s="100">
        <v>16.96</v>
      </c>
      <c r="I40" s="100">
        <v>6.15</v>
      </c>
      <c r="J40" s="100">
        <v>0.88</v>
      </c>
      <c r="K40" s="100">
        <v>40.46</v>
      </c>
      <c r="L40" s="100">
        <v>32.68</v>
      </c>
      <c r="M40" s="100">
        <v>37.54</v>
      </c>
      <c r="N40" s="100">
        <v>106</v>
      </c>
      <c r="O40" s="100">
        <v>0</v>
      </c>
      <c r="P40" s="100">
        <v>0.71</v>
      </c>
      <c r="Q40" s="100">
        <v>5.59</v>
      </c>
    </row>
    <row r="41" spans="1:17" customFormat="1">
      <c r="A41" s="100" t="s">
        <v>2669</v>
      </c>
      <c r="B41" s="100">
        <v>22.47</v>
      </c>
      <c r="C41" s="100">
        <v>56.18</v>
      </c>
      <c r="D41" s="100">
        <v>46.33</v>
      </c>
      <c r="E41" s="100">
        <v>14.45</v>
      </c>
      <c r="F41" s="100">
        <v>10.54</v>
      </c>
      <c r="G41" s="100">
        <v>55.62</v>
      </c>
      <c r="H41" s="100">
        <v>16.96</v>
      </c>
      <c r="I41" s="100">
        <v>6.23</v>
      </c>
      <c r="J41" s="100">
        <v>1.35</v>
      </c>
      <c r="K41" s="100">
        <v>49.96</v>
      </c>
      <c r="L41" s="100">
        <v>32.840000000000003</v>
      </c>
      <c r="M41" s="100">
        <v>36.51</v>
      </c>
      <c r="N41" s="100">
        <v>112.7</v>
      </c>
      <c r="O41" s="100">
        <v>0</v>
      </c>
      <c r="P41" s="100">
        <v>0.69</v>
      </c>
      <c r="Q41" s="100">
        <v>5.66</v>
      </c>
    </row>
    <row r="42" spans="1:17" customFormat="1">
      <c r="A42" s="100" t="s">
        <v>2670</v>
      </c>
      <c r="B42" s="100">
        <v>20.8</v>
      </c>
      <c r="C42" s="100">
        <v>52.42</v>
      </c>
      <c r="D42" s="100">
        <v>43.02</v>
      </c>
      <c r="E42" s="100">
        <v>8.43</v>
      </c>
      <c r="F42" s="100">
        <v>12.31</v>
      </c>
      <c r="G42" s="100">
        <v>63.1</v>
      </c>
      <c r="H42" s="100">
        <v>17.440000000000001</v>
      </c>
      <c r="I42" s="100">
        <v>6.23</v>
      </c>
      <c r="J42" s="100">
        <v>1.08</v>
      </c>
      <c r="K42" s="100">
        <v>53.79</v>
      </c>
      <c r="L42" s="100">
        <v>33.380000000000003</v>
      </c>
      <c r="M42" s="100">
        <v>35.68</v>
      </c>
      <c r="N42" s="100">
        <v>113.6</v>
      </c>
      <c r="O42" s="100">
        <v>0</v>
      </c>
      <c r="P42" s="100">
        <v>0.66</v>
      </c>
      <c r="Q42" s="100">
        <v>5.51</v>
      </c>
    </row>
    <row r="43" spans="1:17" customFormat="1">
      <c r="A43" s="100" t="s">
        <v>2671</v>
      </c>
      <c r="B43" s="100">
        <v>21.14</v>
      </c>
      <c r="C43" s="100">
        <v>58.85</v>
      </c>
      <c r="D43" s="100">
        <v>46.66</v>
      </c>
      <c r="E43" s="100">
        <v>7.31</v>
      </c>
      <c r="F43" s="100">
        <v>9.64</v>
      </c>
      <c r="G43" s="100">
        <v>73.8</v>
      </c>
      <c r="H43" s="100">
        <v>17.86</v>
      </c>
      <c r="I43" s="100">
        <v>6.06</v>
      </c>
      <c r="J43" s="100">
        <v>0.98</v>
      </c>
      <c r="K43" s="100">
        <v>70.81</v>
      </c>
      <c r="L43" s="100">
        <v>33.76</v>
      </c>
      <c r="M43" s="100">
        <v>35.19</v>
      </c>
      <c r="N43" s="100">
        <v>118.4</v>
      </c>
      <c r="O43" s="100">
        <v>0</v>
      </c>
      <c r="P43" s="100">
        <v>0.7</v>
      </c>
      <c r="Q43" s="100">
        <v>5.58</v>
      </c>
    </row>
    <row r="44" spans="1:17" customFormat="1">
      <c r="A44" s="100" t="s">
        <v>2672</v>
      </c>
      <c r="B44" s="100">
        <v>20.420000000000002</v>
      </c>
      <c r="C44" s="100">
        <v>58.22</v>
      </c>
      <c r="D44" s="100">
        <v>45.75</v>
      </c>
      <c r="E44" s="100">
        <v>6.63</v>
      </c>
      <c r="F44" s="100">
        <v>9.4700000000000006</v>
      </c>
      <c r="G44" s="100">
        <v>73.8</v>
      </c>
      <c r="H44" s="100">
        <v>17.86</v>
      </c>
      <c r="I44" s="100">
        <v>5.99</v>
      </c>
      <c r="J44" s="100">
        <v>0.84</v>
      </c>
      <c r="K44" s="100">
        <v>75.03</v>
      </c>
      <c r="L44" s="100">
        <v>34.17</v>
      </c>
      <c r="M44" s="100">
        <v>34.08</v>
      </c>
      <c r="N44" s="100">
        <v>123.8</v>
      </c>
      <c r="O44" s="100">
        <v>0</v>
      </c>
      <c r="P44" s="100">
        <v>0.69</v>
      </c>
      <c r="Q44" s="100">
        <v>5.53</v>
      </c>
    </row>
    <row r="45" spans="1:17" customFormat="1">
      <c r="A45" s="100" t="s">
        <v>2673</v>
      </c>
      <c r="B45" s="100">
        <v>18.649999999999999</v>
      </c>
      <c r="C45" s="100">
        <v>53.54</v>
      </c>
      <c r="D45" s="100">
        <v>41.89</v>
      </c>
      <c r="E45" s="100">
        <v>6.86</v>
      </c>
      <c r="F45" s="100">
        <v>13.48</v>
      </c>
      <c r="G45" s="100">
        <v>73.8</v>
      </c>
      <c r="H45" s="100">
        <v>17.86</v>
      </c>
      <c r="I45" s="100">
        <v>6.14</v>
      </c>
      <c r="J45" s="100">
        <v>0.92</v>
      </c>
      <c r="K45" s="100">
        <v>53.83</v>
      </c>
      <c r="L45" s="100">
        <v>34.29</v>
      </c>
      <c r="M45" s="100">
        <v>32.979999999999997</v>
      </c>
      <c r="N45" s="100">
        <v>130.1</v>
      </c>
      <c r="O45" s="100">
        <v>0</v>
      </c>
      <c r="P45" s="100">
        <v>0.66</v>
      </c>
      <c r="Q45" s="100">
        <v>5.42</v>
      </c>
    </row>
    <row r="46" spans="1:17" customFormat="1">
      <c r="A46" s="100" t="s">
        <v>2674</v>
      </c>
      <c r="B46" s="100">
        <v>17.13</v>
      </c>
      <c r="C46" s="100">
        <v>50.67</v>
      </c>
      <c r="D46" s="100">
        <v>39.17</v>
      </c>
      <c r="E46" s="100">
        <v>7.98</v>
      </c>
      <c r="F46" s="100">
        <v>16.79</v>
      </c>
      <c r="G46" s="100">
        <v>71.680000000000007</v>
      </c>
      <c r="H46" s="100">
        <v>18.149999999999999</v>
      </c>
      <c r="I46" s="100">
        <v>6.03</v>
      </c>
      <c r="J46" s="100">
        <v>0.97</v>
      </c>
      <c r="K46" s="100">
        <v>56.14</v>
      </c>
      <c r="L46" s="100">
        <v>34.880000000000003</v>
      </c>
      <c r="M46" s="100">
        <v>32.03</v>
      </c>
      <c r="N46" s="100">
        <v>142.19999999999999</v>
      </c>
      <c r="O46" s="100">
        <v>0</v>
      </c>
      <c r="P46" s="100">
        <v>0.65</v>
      </c>
      <c r="Q46" s="100">
        <v>5.3</v>
      </c>
    </row>
    <row r="47" spans="1:17" customFormat="1">
      <c r="A47" s="100" t="s">
        <v>2675</v>
      </c>
      <c r="B47" s="100">
        <v>16.309999999999999</v>
      </c>
      <c r="C47" s="100">
        <v>51</v>
      </c>
      <c r="D47" s="100">
        <v>38.68</v>
      </c>
      <c r="E47" s="100">
        <v>8.49</v>
      </c>
      <c r="F47" s="100">
        <v>16.36</v>
      </c>
      <c r="G47" s="100">
        <v>68.5</v>
      </c>
      <c r="H47" s="100">
        <v>18.5</v>
      </c>
      <c r="I47" s="100">
        <v>5.92</v>
      </c>
      <c r="J47" s="100">
        <v>0.86</v>
      </c>
      <c r="K47" s="100">
        <v>64.97</v>
      </c>
      <c r="L47" s="100">
        <v>35.39</v>
      </c>
      <c r="M47" s="100">
        <v>31.36</v>
      </c>
      <c r="N47" s="100">
        <v>146.4</v>
      </c>
      <c r="O47" s="100">
        <v>0</v>
      </c>
      <c r="P47" s="100">
        <v>0.63</v>
      </c>
      <c r="Q47" s="100">
        <v>5.22</v>
      </c>
    </row>
    <row r="48" spans="1:17" customFormat="1">
      <c r="A48" s="100" t="s">
        <v>2676</v>
      </c>
      <c r="B48" s="100">
        <v>15.35</v>
      </c>
      <c r="C48" s="100">
        <v>50.47</v>
      </c>
      <c r="D48" s="100">
        <v>37.64</v>
      </c>
      <c r="E48" s="100">
        <v>9.34</v>
      </c>
      <c r="F48" s="100">
        <v>18.649999999999999</v>
      </c>
      <c r="G48" s="100">
        <v>68.5</v>
      </c>
      <c r="H48" s="100">
        <v>18.5</v>
      </c>
      <c r="I48" s="100">
        <v>5.92</v>
      </c>
      <c r="J48" s="100">
        <v>0.53</v>
      </c>
      <c r="K48" s="100">
        <v>55.04</v>
      </c>
      <c r="L48" s="100">
        <v>35.74</v>
      </c>
      <c r="M48" s="100">
        <v>30.83</v>
      </c>
      <c r="N48" s="100">
        <v>151.9</v>
      </c>
      <c r="O48" s="100">
        <v>0</v>
      </c>
      <c r="P48" s="100">
        <v>0.62</v>
      </c>
      <c r="Q48" s="100">
        <v>5.19</v>
      </c>
    </row>
    <row r="49" spans="1:17" customFormat="1">
      <c r="A49" s="100" t="s">
        <v>2677</v>
      </c>
      <c r="B49" s="100">
        <v>14.58</v>
      </c>
      <c r="C49" s="100">
        <v>48.79</v>
      </c>
      <c r="D49" s="100">
        <v>36.14</v>
      </c>
      <c r="E49" s="100">
        <v>10</v>
      </c>
      <c r="F49" s="100">
        <v>19.41</v>
      </c>
      <c r="G49" s="100">
        <v>68.5</v>
      </c>
      <c r="H49" s="100">
        <v>18.5</v>
      </c>
      <c r="I49" s="100">
        <v>5.92</v>
      </c>
      <c r="J49" s="100">
        <v>1.17</v>
      </c>
      <c r="K49" s="100">
        <v>54.16</v>
      </c>
      <c r="L49" s="100">
        <v>36.340000000000003</v>
      </c>
      <c r="M49" s="100">
        <v>29.53</v>
      </c>
      <c r="N49" s="100">
        <v>154.6</v>
      </c>
      <c r="O49" s="100">
        <v>0</v>
      </c>
      <c r="P49" s="100">
        <v>0.63</v>
      </c>
      <c r="Q49" s="100">
        <v>5.1100000000000003</v>
      </c>
    </row>
    <row r="50" spans="1:17" customFormat="1">
      <c r="A50" s="100" t="s">
        <v>2678</v>
      </c>
      <c r="B50" s="100">
        <v>13.04</v>
      </c>
      <c r="C50" s="100">
        <v>47.55</v>
      </c>
      <c r="D50" s="100">
        <v>34.26</v>
      </c>
      <c r="E50" s="100">
        <v>14.86</v>
      </c>
      <c r="F50" s="100">
        <v>28.29</v>
      </c>
      <c r="G50" s="100">
        <v>69.97</v>
      </c>
      <c r="H50" s="100">
        <v>19.600000000000001</v>
      </c>
      <c r="I50" s="100">
        <v>5.88</v>
      </c>
      <c r="J50" s="100">
        <v>0.57999999999999996</v>
      </c>
      <c r="K50" s="100">
        <v>44.5</v>
      </c>
      <c r="L50" s="100">
        <v>36.909999999999997</v>
      </c>
      <c r="M50" s="100">
        <v>28.78</v>
      </c>
      <c r="N50" s="100">
        <v>162.80000000000001</v>
      </c>
      <c r="O50" s="100">
        <v>0</v>
      </c>
      <c r="P50" s="100">
        <v>0.61</v>
      </c>
      <c r="Q50" s="100">
        <v>5.07</v>
      </c>
    </row>
    <row r="51" spans="1:17" customFormat="1">
      <c r="A51" s="100" t="s">
        <v>2679</v>
      </c>
      <c r="B51" s="100">
        <v>11.87</v>
      </c>
      <c r="C51" s="100">
        <v>45.93</v>
      </c>
      <c r="D51" s="100">
        <v>32.47</v>
      </c>
      <c r="E51" s="100">
        <v>16.739999999999998</v>
      </c>
      <c r="F51" s="100">
        <v>27.82</v>
      </c>
      <c r="G51" s="100">
        <v>72.069999999999993</v>
      </c>
      <c r="H51" s="100">
        <v>20.54</v>
      </c>
      <c r="I51" s="100">
        <v>5.77</v>
      </c>
      <c r="J51" s="100">
        <v>0.59</v>
      </c>
      <c r="K51" s="100">
        <v>54.38</v>
      </c>
      <c r="L51" s="100">
        <v>37.21</v>
      </c>
      <c r="M51" s="100">
        <v>27.8</v>
      </c>
      <c r="N51" s="100">
        <v>177.4</v>
      </c>
      <c r="O51" s="100">
        <v>0</v>
      </c>
      <c r="P51" s="100">
        <v>0.59</v>
      </c>
      <c r="Q51" s="100">
        <v>4.99</v>
      </c>
    </row>
    <row r="52" spans="1:17" customFormat="1">
      <c r="A52" s="100" t="s">
        <v>2680</v>
      </c>
      <c r="B52" s="100">
        <v>11.96</v>
      </c>
      <c r="C52" s="100">
        <v>46.23</v>
      </c>
      <c r="D52" s="100">
        <v>32.700000000000003</v>
      </c>
      <c r="E52" s="100">
        <v>20.2</v>
      </c>
      <c r="F52" s="100">
        <v>27.26</v>
      </c>
      <c r="G52" s="100">
        <v>72.069999999999993</v>
      </c>
      <c r="H52" s="100">
        <v>20.54</v>
      </c>
      <c r="I52" s="100">
        <v>5.62</v>
      </c>
      <c r="J52" s="100">
        <v>0.59</v>
      </c>
      <c r="K52" s="100">
        <v>45.06</v>
      </c>
      <c r="L52" s="100">
        <v>37.590000000000003</v>
      </c>
      <c r="M52" s="100">
        <v>27.27</v>
      </c>
      <c r="N52" s="100">
        <v>191.6</v>
      </c>
      <c r="O52" s="100">
        <v>0</v>
      </c>
      <c r="P52" s="100">
        <v>0.6</v>
      </c>
      <c r="Q52" s="100">
        <v>4.95</v>
      </c>
    </row>
    <row r="53" spans="1:17" customFormat="1">
      <c r="A53" s="100" t="s">
        <v>2681</v>
      </c>
      <c r="B53" s="100">
        <v>11.26</v>
      </c>
      <c r="C53" s="100">
        <v>47.68</v>
      </c>
      <c r="D53" s="100">
        <v>32.9</v>
      </c>
      <c r="E53" s="100">
        <v>24.19</v>
      </c>
      <c r="F53" s="100">
        <v>29.21</v>
      </c>
      <c r="G53" s="100">
        <v>72.069999999999993</v>
      </c>
      <c r="H53" s="100">
        <v>20.54</v>
      </c>
      <c r="I53" s="100">
        <v>5.55</v>
      </c>
      <c r="J53" s="100">
        <v>0.48</v>
      </c>
      <c r="K53" s="100">
        <v>349.81</v>
      </c>
      <c r="L53" s="100">
        <v>38.11</v>
      </c>
      <c r="M53" s="100">
        <v>26.42</v>
      </c>
      <c r="N53" s="100">
        <v>200.4</v>
      </c>
      <c r="O53" s="100">
        <v>0</v>
      </c>
      <c r="P53" s="100">
        <v>0.59</v>
      </c>
      <c r="Q53" s="100">
        <v>4.8899999999999997</v>
      </c>
    </row>
    <row r="54" spans="1:17" customFormat="1">
      <c r="A54" s="100" t="s">
        <v>2682</v>
      </c>
      <c r="B54" s="100">
        <v>10.24</v>
      </c>
      <c r="C54" s="100">
        <v>46.37</v>
      </c>
      <c r="D54" s="100">
        <v>31.39</v>
      </c>
      <c r="E54" s="100">
        <v>16.64</v>
      </c>
      <c r="F54" s="100">
        <v>25.61</v>
      </c>
      <c r="G54" s="100">
        <v>72.55</v>
      </c>
      <c r="H54" s="100">
        <v>18.97</v>
      </c>
      <c r="I54" s="100">
        <v>5.43</v>
      </c>
      <c r="J54" s="100">
        <v>0.45</v>
      </c>
      <c r="K54" s="100">
        <v>325.02999999999997</v>
      </c>
      <c r="L54" s="100">
        <v>37.64</v>
      </c>
      <c r="M54" s="100">
        <v>26.8</v>
      </c>
      <c r="N54" s="100">
        <v>209</v>
      </c>
      <c r="O54" s="100">
        <v>0</v>
      </c>
      <c r="P54" s="100">
        <v>0.57999999999999996</v>
      </c>
      <c r="Q54" s="100">
        <v>4.87</v>
      </c>
    </row>
    <row r="55" spans="1:17" customFormat="1">
      <c r="A55" s="100" t="s">
        <v>2683</v>
      </c>
      <c r="B55" s="100">
        <v>9.5399999999999991</v>
      </c>
      <c r="C55" s="100">
        <v>45.31</v>
      </c>
      <c r="D55" s="100">
        <v>30.28</v>
      </c>
      <c r="E55" s="100">
        <v>14.22</v>
      </c>
      <c r="F55" s="100">
        <v>28.57</v>
      </c>
      <c r="G55" s="100">
        <v>73.25</v>
      </c>
      <c r="H55" s="100">
        <v>17.61</v>
      </c>
      <c r="I55" s="100">
        <v>5.43</v>
      </c>
      <c r="J55" s="100">
        <v>0.56000000000000005</v>
      </c>
      <c r="K55" s="100">
        <v>9.1999999999999993</v>
      </c>
      <c r="L55" s="100">
        <v>37.880000000000003</v>
      </c>
      <c r="M55" s="100">
        <v>25.61</v>
      </c>
      <c r="N55" s="100">
        <v>642.1</v>
      </c>
      <c r="O55" s="100">
        <v>0</v>
      </c>
      <c r="P55" s="100">
        <v>0.56999999999999995</v>
      </c>
      <c r="Q55" s="100">
        <v>4.83</v>
      </c>
    </row>
    <row r="56" spans="1:17" customFormat="1">
      <c r="A56" s="100" t="s">
        <v>2684</v>
      </c>
      <c r="B56" s="100">
        <v>9.33</v>
      </c>
      <c r="C56" s="100">
        <v>46.86</v>
      </c>
      <c r="D56" s="100">
        <v>30.92</v>
      </c>
      <c r="E56" s="100">
        <v>11.51</v>
      </c>
      <c r="F56" s="100">
        <v>24.57</v>
      </c>
      <c r="G56" s="100">
        <v>73.25</v>
      </c>
      <c r="H56" s="100">
        <v>17.61</v>
      </c>
      <c r="I56" s="100">
        <v>5.49</v>
      </c>
      <c r="J56" s="100">
        <v>0.78</v>
      </c>
      <c r="K56" s="100">
        <v>314.39</v>
      </c>
      <c r="L56" s="100">
        <v>38.200000000000003</v>
      </c>
      <c r="M56" s="100">
        <v>25.3</v>
      </c>
      <c r="N56" s="100">
        <v>850.6</v>
      </c>
      <c r="O56" s="100">
        <v>0</v>
      </c>
      <c r="P56" s="100">
        <v>0.57999999999999996</v>
      </c>
      <c r="Q56" s="100">
        <v>4.8</v>
      </c>
    </row>
    <row r="57" spans="1:17" customFormat="1">
      <c r="A57" s="100" t="s">
        <v>2685</v>
      </c>
      <c r="B57" s="100">
        <v>8.91</v>
      </c>
      <c r="C57" s="100">
        <v>44.08</v>
      </c>
      <c r="D57" s="100">
        <v>29.13</v>
      </c>
      <c r="E57" s="100">
        <v>9.9499999999999993</v>
      </c>
      <c r="F57" s="100">
        <v>25.01</v>
      </c>
      <c r="G57" s="100">
        <v>73.25</v>
      </c>
      <c r="H57" s="100">
        <v>17.61</v>
      </c>
      <c r="I57" s="100">
        <v>5.46</v>
      </c>
      <c r="J57" s="100">
        <v>0.71</v>
      </c>
      <c r="K57" s="100">
        <v>288.64</v>
      </c>
      <c r="L57" s="100">
        <v>38.71</v>
      </c>
      <c r="M57" s="100">
        <v>24.56</v>
      </c>
      <c r="N57" s="100">
        <v>851.8</v>
      </c>
      <c r="O57" s="100">
        <v>0</v>
      </c>
      <c r="P57" s="100">
        <v>0.56000000000000005</v>
      </c>
      <c r="Q57" s="100">
        <v>4.78</v>
      </c>
    </row>
    <row r="58" spans="1:17" customFormat="1">
      <c r="A58" s="100" t="s">
        <v>2686</v>
      </c>
      <c r="B58" s="100">
        <v>8.01</v>
      </c>
      <c r="C58" s="100">
        <v>45.06</v>
      </c>
      <c r="D58" s="100">
        <v>28.92</v>
      </c>
      <c r="E58" s="100">
        <v>11.22</v>
      </c>
      <c r="F58" s="100">
        <v>36.1</v>
      </c>
      <c r="G58" s="100">
        <v>71.989999999999995</v>
      </c>
      <c r="H58" s="100">
        <v>18.72</v>
      </c>
      <c r="I58" s="100">
        <v>5.46</v>
      </c>
      <c r="J58" s="100">
        <v>0.5</v>
      </c>
      <c r="K58" s="100">
        <v>304.27</v>
      </c>
      <c r="L58" s="100">
        <v>38.630000000000003</v>
      </c>
      <c r="M58" s="100">
        <v>25.11</v>
      </c>
      <c r="N58" s="100">
        <v>862.9</v>
      </c>
      <c r="O58" s="100">
        <v>0</v>
      </c>
      <c r="P58" s="100">
        <v>0.55000000000000004</v>
      </c>
      <c r="Q58" s="100">
        <v>4.75</v>
      </c>
    </row>
    <row r="59" spans="1:17" customFormat="1">
      <c r="A59" s="100" t="s">
        <v>2687</v>
      </c>
      <c r="B59" s="100">
        <v>7.56</v>
      </c>
      <c r="C59" s="100">
        <v>46.04</v>
      </c>
      <c r="D59" s="100">
        <v>29.07</v>
      </c>
      <c r="E59" s="100">
        <v>10.69</v>
      </c>
      <c r="F59" s="100">
        <v>34</v>
      </c>
      <c r="G59" s="100">
        <v>70.2</v>
      </c>
      <c r="H59" s="100">
        <v>19.68</v>
      </c>
      <c r="I59" s="100">
        <v>5.48</v>
      </c>
      <c r="J59" s="100">
        <v>0.46</v>
      </c>
      <c r="K59" s="100">
        <v>347.77</v>
      </c>
      <c r="L59" s="100">
        <v>39.270000000000003</v>
      </c>
      <c r="M59" s="100">
        <v>24.1</v>
      </c>
      <c r="N59" s="100">
        <v>837</v>
      </c>
      <c r="O59" s="100">
        <v>0</v>
      </c>
      <c r="P59" s="100">
        <v>0.55000000000000004</v>
      </c>
      <c r="Q59" s="100">
        <v>4.72</v>
      </c>
    </row>
    <row r="60" spans="1:17" customFormat="1">
      <c r="A60" s="100" t="s">
        <v>2688</v>
      </c>
      <c r="B60" s="100">
        <v>8.3800000000000008</v>
      </c>
      <c r="C60" s="100">
        <v>49.84</v>
      </c>
      <c r="D60" s="100">
        <v>31.72</v>
      </c>
      <c r="E60" s="100">
        <v>8.89</v>
      </c>
      <c r="F60" s="100">
        <v>18</v>
      </c>
      <c r="G60" s="100">
        <v>70.2</v>
      </c>
      <c r="H60" s="100">
        <v>19.68</v>
      </c>
      <c r="I60" s="100">
        <v>5.42</v>
      </c>
      <c r="J60" s="100">
        <v>1.1000000000000001</v>
      </c>
      <c r="K60" s="100">
        <v>307.23</v>
      </c>
      <c r="L60" s="100">
        <v>39.25</v>
      </c>
      <c r="M60" s="100">
        <v>23.04</v>
      </c>
      <c r="N60" s="100">
        <v>854.1</v>
      </c>
      <c r="O60" s="100">
        <v>0</v>
      </c>
      <c r="P60" s="100">
        <v>0.57999999999999996</v>
      </c>
      <c r="Q60" s="100">
        <v>4.6900000000000004</v>
      </c>
    </row>
    <row r="61" spans="1:17" customFormat="1">
      <c r="A61" s="100" t="s">
        <v>2689</v>
      </c>
      <c r="B61" s="100">
        <v>6.95</v>
      </c>
      <c r="C61" s="100">
        <v>45.61</v>
      </c>
      <c r="D61" s="100">
        <v>28.36</v>
      </c>
      <c r="E61" s="100">
        <v>8.26</v>
      </c>
      <c r="F61" s="100">
        <v>27.66</v>
      </c>
      <c r="G61" s="100">
        <v>70.2</v>
      </c>
      <c r="H61" s="100">
        <v>19.68</v>
      </c>
      <c r="I61" s="100">
        <v>5.51</v>
      </c>
      <c r="J61" s="100">
        <v>0.63</v>
      </c>
      <c r="K61" s="100">
        <v>273.47000000000003</v>
      </c>
      <c r="L61" s="100">
        <v>39.56</v>
      </c>
      <c r="M61" s="100">
        <v>23.22</v>
      </c>
      <c r="N61" s="100">
        <v>841.8</v>
      </c>
      <c r="O61" s="100">
        <v>0</v>
      </c>
      <c r="P61" s="100">
        <v>0.55000000000000004</v>
      </c>
      <c r="Q61" s="100">
        <v>4.68</v>
      </c>
    </row>
    <row r="62" spans="1:17" customFormat="1">
      <c r="A62" s="100" t="s">
        <v>2690</v>
      </c>
      <c r="B62" s="100">
        <v>6.37</v>
      </c>
      <c r="C62" s="100">
        <v>50.65</v>
      </c>
      <c r="D62" s="100">
        <v>30.53</v>
      </c>
      <c r="E62" s="100">
        <v>7.4</v>
      </c>
      <c r="F62" s="100">
        <v>25.07</v>
      </c>
      <c r="G62" s="100">
        <v>68.7</v>
      </c>
      <c r="H62" s="100">
        <v>19.32</v>
      </c>
      <c r="I62" s="100">
        <v>5.68</v>
      </c>
      <c r="J62" s="100">
        <v>0.84</v>
      </c>
      <c r="K62" s="100">
        <v>272.26</v>
      </c>
      <c r="L62" s="100">
        <v>40.08</v>
      </c>
      <c r="M62" s="100">
        <v>22.37</v>
      </c>
      <c r="N62" s="100">
        <v>775.2</v>
      </c>
      <c r="O62" s="100">
        <v>0</v>
      </c>
      <c r="P62" s="100">
        <v>0.56000000000000005</v>
      </c>
      <c r="Q62" s="100">
        <v>4.75</v>
      </c>
    </row>
    <row r="63" spans="1:17" customFormat="1">
      <c r="A63" s="100" t="s">
        <v>2691</v>
      </c>
      <c r="B63" s="100">
        <v>6.09</v>
      </c>
      <c r="C63" s="100">
        <v>50.84</v>
      </c>
      <c r="D63" s="100">
        <v>30.4</v>
      </c>
      <c r="E63" s="100">
        <v>7.98</v>
      </c>
      <c r="F63" s="100">
        <v>21.74</v>
      </c>
      <c r="G63" s="100">
        <v>66.55</v>
      </c>
      <c r="H63" s="100">
        <v>18.47</v>
      </c>
      <c r="I63" s="100">
        <v>5.77</v>
      </c>
      <c r="J63" s="100">
        <v>1.08</v>
      </c>
      <c r="K63" s="100">
        <v>267.08999999999997</v>
      </c>
      <c r="L63" s="100">
        <v>39.75</v>
      </c>
      <c r="M63" s="100">
        <v>22.3</v>
      </c>
      <c r="N63" s="100">
        <v>741.3</v>
      </c>
      <c r="O63" s="100">
        <v>0</v>
      </c>
      <c r="P63" s="100">
        <v>0.56999999999999995</v>
      </c>
      <c r="Q63" s="100">
        <v>4.8099999999999996</v>
      </c>
    </row>
    <row r="64" spans="1:17" customFormat="1">
      <c r="A64" s="100" t="s">
        <v>2692</v>
      </c>
      <c r="B64" s="100">
        <v>5.87</v>
      </c>
      <c r="C64" s="100">
        <v>49.85</v>
      </c>
      <c r="D64" s="100">
        <v>29.71</v>
      </c>
      <c r="E64" s="100">
        <v>8.3000000000000007</v>
      </c>
      <c r="F64" s="100">
        <v>28.19</v>
      </c>
      <c r="G64" s="100">
        <v>66.55</v>
      </c>
      <c r="H64" s="100">
        <v>18.47</v>
      </c>
      <c r="I64" s="100">
        <v>5.73</v>
      </c>
      <c r="J64" s="100">
        <v>0.46</v>
      </c>
      <c r="K64" s="100">
        <v>240.8</v>
      </c>
      <c r="L64" s="100">
        <v>40.28</v>
      </c>
      <c r="M64" s="100">
        <v>22.28</v>
      </c>
      <c r="N64" s="100">
        <v>708.8</v>
      </c>
      <c r="O64" s="100">
        <v>0</v>
      </c>
      <c r="P64" s="100">
        <v>0.54</v>
      </c>
      <c r="Q64" s="100">
        <v>4.71</v>
      </c>
    </row>
    <row r="65" spans="1:17" customFormat="1">
      <c r="A65" s="100" t="s">
        <v>2693</v>
      </c>
      <c r="B65" s="100">
        <v>5.91</v>
      </c>
      <c r="C65" s="100">
        <v>52.21</v>
      </c>
      <c r="D65" s="100">
        <v>30.98</v>
      </c>
      <c r="E65" s="100">
        <v>6.45</v>
      </c>
      <c r="F65" s="100">
        <v>12.96</v>
      </c>
      <c r="G65" s="100">
        <v>66.55</v>
      </c>
      <c r="H65" s="100">
        <v>18.47</v>
      </c>
      <c r="I65" s="100">
        <v>5.56</v>
      </c>
      <c r="J65" s="100">
        <v>1.35</v>
      </c>
      <c r="K65" s="100">
        <v>255.23</v>
      </c>
      <c r="L65" s="100">
        <v>40.24</v>
      </c>
      <c r="M65" s="100">
        <v>19.59</v>
      </c>
      <c r="N65" s="100">
        <v>763.4</v>
      </c>
      <c r="O65" s="100">
        <v>0</v>
      </c>
      <c r="P65" s="100">
        <v>0.54</v>
      </c>
      <c r="Q65" s="100">
        <v>4.67</v>
      </c>
    </row>
    <row r="66" spans="1:17" customFormat="1">
      <c r="A66" s="100" t="s">
        <v>2694</v>
      </c>
      <c r="B66" s="100">
        <v>5.59</v>
      </c>
      <c r="C66" s="100">
        <v>50.08</v>
      </c>
      <c r="D66" s="100">
        <v>29.61</v>
      </c>
      <c r="E66" s="100">
        <v>6.79</v>
      </c>
      <c r="F66" s="100">
        <v>20.34</v>
      </c>
      <c r="G66" s="100">
        <v>65.790000000000006</v>
      </c>
      <c r="H66" s="100">
        <v>17.510000000000002</v>
      </c>
      <c r="I66" s="100">
        <v>5.68</v>
      </c>
      <c r="J66" s="100">
        <v>1.25</v>
      </c>
      <c r="K66" s="100">
        <v>265.67</v>
      </c>
      <c r="L66" s="100">
        <v>40.31</v>
      </c>
      <c r="M66" s="100">
        <v>19.64</v>
      </c>
      <c r="N66" s="100">
        <v>678.8</v>
      </c>
      <c r="O66" s="100">
        <v>0</v>
      </c>
      <c r="P66" s="100">
        <v>0.52</v>
      </c>
      <c r="Q66" s="100">
        <v>4.62</v>
      </c>
    </row>
    <row r="67" spans="1:17" customFormat="1">
      <c r="A67" s="100" t="s">
        <v>2695</v>
      </c>
      <c r="B67" s="100">
        <v>5.74</v>
      </c>
      <c r="C67" s="100">
        <v>50.12</v>
      </c>
      <c r="D67" s="100">
        <v>29.74</v>
      </c>
      <c r="E67" s="100">
        <v>6.25</v>
      </c>
      <c r="F67" s="100">
        <v>17.39</v>
      </c>
      <c r="G67" s="100">
        <v>64.69</v>
      </c>
      <c r="H67" s="100">
        <v>16.68</v>
      </c>
      <c r="I67" s="100">
        <v>5.72</v>
      </c>
      <c r="J67" s="100">
        <v>1.08</v>
      </c>
      <c r="K67" s="100">
        <v>267.02999999999997</v>
      </c>
      <c r="L67" s="100">
        <v>39.9</v>
      </c>
      <c r="M67" s="100">
        <v>19.89</v>
      </c>
      <c r="N67" s="100">
        <v>417.1</v>
      </c>
      <c r="O67" s="100">
        <v>0</v>
      </c>
      <c r="P67" s="100">
        <v>0.51</v>
      </c>
      <c r="Q67" s="100">
        <v>4.58</v>
      </c>
    </row>
    <row r="68" spans="1:17" customFormat="1">
      <c r="A68" s="100" t="s">
        <v>2696</v>
      </c>
      <c r="B68" s="100">
        <v>5.89</v>
      </c>
      <c r="C68" s="100">
        <v>46.61</v>
      </c>
      <c r="D68" s="100">
        <v>28.03</v>
      </c>
      <c r="E68" s="100">
        <v>6.35</v>
      </c>
      <c r="F68" s="100">
        <v>19.03</v>
      </c>
      <c r="G68" s="100">
        <v>64.69</v>
      </c>
      <c r="H68" s="100">
        <v>16.68</v>
      </c>
      <c r="I68" s="100">
        <v>5.54</v>
      </c>
      <c r="J68" s="100">
        <v>1.21</v>
      </c>
      <c r="K68" s="100">
        <v>271.62</v>
      </c>
      <c r="L68" s="100">
        <v>39.93</v>
      </c>
      <c r="M68" s="100">
        <v>19.66</v>
      </c>
      <c r="N68" s="100">
        <v>557.5</v>
      </c>
      <c r="O68" s="100">
        <v>0</v>
      </c>
      <c r="P68" s="100">
        <v>0.51</v>
      </c>
      <c r="Q68" s="100">
        <v>4.55</v>
      </c>
    </row>
    <row r="69" spans="1:17" customFormat="1">
      <c r="A69" s="100" t="s">
        <v>2697</v>
      </c>
      <c r="B69" s="100">
        <v>5.85</v>
      </c>
      <c r="C69" s="100">
        <v>45.61</v>
      </c>
      <c r="D69" s="100">
        <v>27.48</v>
      </c>
      <c r="E69" s="100">
        <v>6.55</v>
      </c>
      <c r="F69" s="100">
        <v>19.73</v>
      </c>
      <c r="G69" s="100">
        <v>64.69</v>
      </c>
      <c r="H69" s="100">
        <v>16.68</v>
      </c>
      <c r="I69" s="100">
        <v>5.36</v>
      </c>
      <c r="J69" s="100">
        <v>0.84</v>
      </c>
      <c r="K69" s="100">
        <v>257.26</v>
      </c>
      <c r="L69" s="100">
        <v>39.5</v>
      </c>
      <c r="M69" s="100">
        <v>20.5</v>
      </c>
      <c r="N69" s="100">
        <v>345.1</v>
      </c>
      <c r="O69" s="100">
        <v>0</v>
      </c>
      <c r="P69" s="100">
        <v>0.49</v>
      </c>
      <c r="Q69" s="100">
        <v>4.54</v>
      </c>
    </row>
    <row r="70" spans="1:17" customFormat="1">
      <c r="A70" s="100" t="s">
        <v>2698</v>
      </c>
      <c r="B70" s="100">
        <v>5.57</v>
      </c>
      <c r="C70" s="100">
        <v>43.52</v>
      </c>
      <c r="D70" s="100">
        <v>26.16</v>
      </c>
      <c r="E70" s="100">
        <v>6.41</v>
      </c>
      <c r="F70" s="100">
        <v>22.99</v>
      </c>
      <c r="G70" s="100">
        <v>60.88</v>
      </c>
      <c r="H70" s="100">
        <v>15.61</v>
      </c>
      <c r="I70" s="100">
        <v>5.22</v>
      </c>
      <c r="J70" s="100">
        <v>1.02</v>
      </c>
      <c r="K70" s="100">
        <v>254.8</v>
      </c>
      <c r="L70" s="100">
        <v>39.56</v>
      </c>
      <c r="M70" s="100">
        <v>21.42</v>
      </c>
      <c r="N70" s="100">
        <v>461.9</v>
      </c>
      <c r="O70" s="100">
        <v>0</v>
      </c>
      <c r="P70" s="100">
        <v>0.47</v>
      </c>
      <c r="Q70" s="100">
        <v>4.53</v>
      </c>
    </row>
    <row r="71" spans="1:17" customFormat="1">
      <c r="A71" s="100" t="s">
        <v>2699</v>
      </c>
      <c r="B71" s="100">
        <v>5.73</v>
      </c>
      <c r="C71" s="100">
        <v>45.15</v>
      </c>
      <c r="D71" s="100">
        <v>27.13</v>
      </c>
      <c r="E71" s="100">
        <v>6.67</v>
      </c>
      <c r="F71" s="100">
        <v>20.93</v>
      </c>
      <c r="G71" s="100">
        <v>55.43</v>
      </c>
      <c r="H71" s="100">
        <v>14.68</v>
      </c>
      <c r="I71" s="100">
        <v>5.0999999999999996</v>
      </c>
      <c r="J71" s="100">
        <v>1.01</v>
      </c>
      <c r="K71" s="100">
        <v>280.8</v>
      </c>
      <c r="L71" s="100">
        <v>39.840000000000003</v>
      </c>
      <c r="M71" s="100">
        <v>18.66</v>
      </c>
      <c r="N71" s="100">
        <v>360.7</v>
      </c>
      <c r="O71" s="100">
        <v>0</v>
      </c>
      <c r="P71" s="100">
        <v>0.47</v>
      </c>
      <c r="Q71" s="100">
        <v>4.5</v>
      </c>
    </row>
    <row r="72" spans="1:17" customFormat="1">
      <c r="A72" s="100" t="s">
        <v>2700</v>
      </c>
      <c r="B72" s="100">
        <v>5.99</v>
      </c>
      <c r="C72" s="100">
        <v>46.05</v>
      </c>
      <c r="D72" s="100">
        <v>27.82</v>
      </c>
      <c r="E72" s="100">
        <v>7.46</v>
      </c>
      <c r="F72" s="100">
        <v>17.28</v>
      </c>
      <c r="G72" s="100">
        <v>55.43</v>
      </c>
      <c r="H72" s="100">
        <v>14.68</v>
      </c>
      <c r="I72" s="100">
        <v>4.8899999999999997</v>
      </c>
      <c r="J72" s="100">
        <v>1.4</v>
      </c>
      <c r="K72" s="100">
        <v>262.33999999999997</v>
      </c>
      <c r="L72" s="100">
        <v>39.44</v>
      </c>
      <c r="M72" s="100">
        <v>17.43</v>
      </c>
      <c r="N72" s="100">
        <v>309.3</v>
      </c>
      <c r="O72" s="100">
        <v>0</v>
      </c>
      <c r="P72" s="100">
        <v>0.48</v>
      </c>
      <c r="Q72" s="100">
        <v>4.51</v>
      </c>
    </row>
    <row r="73" spans="1:17" customFormat="1">
      <c r="A73" s="100" t="s">
        <v>2701</v>
      </c>
      <c r="B73" s="100">
        <v>6.11</v>
      </c>
      <c r="C73" s="100">
        <v>45.64</v>
      </c>
      <c r="D73" s="100">
        <v>27.7</v>
      </c>
      <c r="E73" s="100">
        <v>7.07</v>
      </c>
      <c r="F73" s="100">
        <v>17.39</v>
      </c>
      <c r="G73" s="100">
        <v>55.43</v>
      </c>
      <c r="H73" s="100">
        <v>14.68</v>
      </c>
      <c r="I73" s="100">
        <v>4.9400000000000004</v>
      </c>
      <c r="J73" s="100">
        <v>1</v>
      </c>
      <c r="K73" s="100">
        <v>269.11</v>
      </c>
      <c r="L73" s="100">
        <v>39.090000000000003</v>
      </c>
      <c r="M73" s="100">
        <v>17.649999999999999</v>
      </c>
      <c r="N73" s="100">
        <v>273.10000000000002</v>
      </c>
      <c r="O73" s="100">
        <v>0</v>
      </c>
      <c r="P73" s="100">
        <v>0.48</v>
      </c>
      <c r="Q73" s="100">
        <v>4.51</v>
      </c>
    </row>
    <row r="74" spans="1:17" customFormat="1">
      <c r="A74" s="100" t="s">
        <v>2702</v>
      </c>
      <c r="B74" s="100">
        <v>6.34</v>
      </c>
      <c r="C74" s="100">
        <v>47.2</v>
      </c>
      <c r="D74" s="100">
        <v>28.69</v>
      </c>
      <c r="E74" s="100">
        <v>6.57</v>
      </c>
      <c r="F74" s="100">
        <v>16.57</v>
      </c>
      <c r="G74" s="100">
        <v>53.39</v>
      </c>
      <c r="H74" s="100">
        <v>13.69</v>
      </c>
      <c r="I74" s="100">
        <v>5.0199999999999996</v>
      </c>
      <c r="J74" s="100">
        <v>1.76</v>
      </c>
      <c r="K74" s="100">
        <v>291.5</v>
      </c>
      <c r="L74" s="100">
        <v>39.39</v>
      </c>
      <c r="M74" s="100">
        <v>15.56</v>
      </c>
      <c r="N74" s="100">
        <v>209.6</v>
      </c>
      <c r="O74" s="100">
        <v>0</v>
      </c>
      <c r="P74" s="100">
        <v>0.47</v>
      </c>
      <c r="Q74" s="100">
        <v>4.51</v>
      </c>
    </row>
    <row r="75" spans="1:17" customFormat="1">
      <c r="A75" s="100" t="s">
        <v>2703</v>
      </c>
      <c r="B75" s="100">
        <v>6.86</v>
      </c>
      <c r="C75" s="100">
        <v>48.54</v>
      </c>
      <c r="D75" s="100">
        <v>29.81</v>
      </c>
      <c r="E75" s="100">
        <v>5.75</v>
      </c>
      <c r="F75" s="100">
        <v>13.35</v>
      </c>
      <c r="G75" s="100">
        <v>50.48</v>
      </c>
      <c r="H75" s="100">
        <v>12.83</v>
      </c>
      <c r="I75" s="100">
        <v>4.93</v>
      </c>
      <c r="J75" s="100">
        <v>1.48</v>
      </c>
      <c r="K75" s="100">
        <v>289.82</v>
      </c>
      <c r="L75" s="100">
        <v>38.9</v>
      </c>
      <c r="M75" s="100">
        <v>16.32</v>
      </c>
      <c r="N75" s="100">
        <v>214</v>
      </c>
      <c r="O75" s="100">
        <v>0</v>
      </c>
      <c r="P75" s="100">
        <v>0.46</v>
      </c>
      <c r="Q75" s="100">
        <v>4.5199999999999996</v>
      </c>
    </row>
    <row r="76" spans="1:17" customFormat="1">
      <c r="A76" s="100" t="s">
        <v>2704</v>
      </c>
      <c r="B76" s="100">
        <v>6.89</v>
      </c>
      <c r="C76" s="100">
        <v>47.08</v>
      </c>
      <c r="D76" s="100">
        <v>29.08</v>
      </c>
      <c r="E76" s="100">
        <v>5.89</v>
      </c>
      <c r="F76" s="100">
        <v>16.41</v>
      </c>
      <c r="G76" s="100">
        <v>50.48</v>
      </c>
      <c r="H76" s="100">
        <v>12.83</v>
      </c>
      <c r="I76" s="100">
        <v>4.9000000000000004</v>
      </c>
      <c r="J76" s="100">
        <v>1.25</v>
      </c>
      <c r="K76" s="100">
        <v>282.91000000000003</v>
      </c>
      <c r="L76" s="100">
        <v>38.549999999999997</v>
      </c>
      <c r="M76" s="100">
        <v>17.73</v>
      </c>
      <c r="N76" s="100">
        <v>76.3</v>
      </c>
      <c r="O76" s="100">
        <v>0</v>
      </c>
      <c r="P76" s="100">
        <v>0.45</v>
      </c>
      <c r="Q76" s="100">
        <v>4.53</v>
      </c>
    </row>
    <row r="77" spans="1:17" customFormat="1">
      <c r="A77" s="100" t="s">
        <v>2705</v>
      </c>
      <c r="B77" s="100">
        <v>8</v>
      </c>
      <c r="C77" s="100">
        <v>48.59</v>
      </c>
      <c r="D77" s="100">
        <v>30.76</v>
      </c>
      <c r="E77" s="100">
        <v>5.77</v>
      </c>
      <c r="F77" s="100">
        <v>14.43</v>
      </c>
      <c r="G77" s="100">
        <v>50.48</v>
      </c>
      <c r="H77" s="100">
        <v>12.83</v>
      </c>
      <c r="I77" s="100">
        <v>4.7300000000000004</v>
      </c>
      <c r="J77" s="100">
        <v>1.85</v>
      </c>
      <c r="K77" s="100">
        <v>301.83999999999997</v>
      </c>
      <c r="L77" s="100">
        <v>38.19</v>
      </c>
      <c r="M77" s="100">
        <v>19.47</v>
      </c>
      <c r="N77" s="100">
        <v>87.7</v>
      </c>
      <c r="O77" s="100">
        <v>0</v>
      </c>
      <c r="P77" s="100">
        <v>0.47</v>
      </c>
      <c r="Q77" s="100">
        <v>4.57</v>
      </c>
    </row>
    <row r="78" spans="1:17" customFormat="1">
      <c r="A78" s="100" t="s">
        <v>2706</v>
      </c>
      <c r="B78" s="100">
        <v>8.42</v>
      </c>
      <c r="C78" s="100">
        <v>50.21</v>
      </c>
      <c r="D78" s="100">
        <v>31.94</v>
      </c>
      <c r="E78" s="100">
        <v>6.56</v>
      </c>
      <c r="F78" s="100">
        <v>11.4</v>
      </c>
      <c r="G78" s="100">
        <v>52.69</v>
      </c>
      <c r="H78" s="100">
        <v>13.49</v>
      </c>
      <c r="I78" s="100">
        <v>4.5999999999999996</v>
      </c>
      <c r="J78" s="100">
        <v>2.7</v>
      </c>
      <c r="K78" s="100">
        <v>305.95</v>
      </c>
      <c r="L78" s="100">
        <v>36.99</v>
      </c>
      <c r="M78" s="100">
        <v>23.47</v>
      </c>
      <c r="N78" s="100">
        <v>62.7</v>
      </c>
      <c r="O78" s="100">
        <v>0</v>
      </c>
      <c r="P78" s="100">
        <v>0.47</v>
      </c>
      <c r="Q78" s="100">
        <v>4.58</v>
      </c>
    </row>
    <row r="79" spans="1:17" customFormat="1">
      <c r="A79" s="100" t="s">
        <v>2707</v>
      </c>
      <c r="B79" s="100">
        <v>8.43</v>
      </c>
      <c r="C79" s="100">
        <v>49.67</v>
      </c>
      <c r="D79" s="100">
        <v>31.66</v>
      </c>
      <c r="E79" s="100">
        <v>9.4700000000000006</v>
      </c>
      <c r="F79" s="100">
        <v>10.38</v>
      </c>
      <c r="G79" s="100">
        <v>55.86</v>
      </c>
      <c r="H79" s="100">
        <v>14.05</v>
      </c>
      <c r="I79" s="100">
        <v>4.66</v>
      </c>
      <c r="J79" s="100">
        <v>1.73</v>
      </c>
      <c r="K79" s="100">
        <v>305.87</v>
      </c>
      <c r="L79" s="100">
        <v>36.15</v>
      </c>
      <c r="M79" s="100">
        <v>24.57</v>
      </c>
      <c r="N79" s="100">
        <v>23.1</v>
      </c>
      <c r="O79" s="100">
        <v>0</v>
      </c>
      <c r="P79" s="100">
        <v>0.47</v>
      </c>
      <c r="Q79" s="100">
        <v>4.59</v>
      </c>
    </row>
    <row r="80" spans="1:17" customFormat="1">
      <c r="A80" s="100" t="s">
        <v>2708</v>
      </c>
      <c r="B80" s="100">
        <v>9.23</v>
      </c>
      <c r="C80" s="100">
        <v>51.21</v>
      </c>
      <c r="D80" s="100">
        <v>33.11</v>
      </c>
      <c r="E80" s="100">
        <v>8.34</v>
      </c>
      <c r="F80" s="100">
        <v>9.18</v>
      </c>
      <c r="G80" s="100">
        <v>55.86</v>
      </c>
      <c r="H80" s="100">
        <v>14.05</v>
      </c>
      <c r="I80" s="100">
        <v>4.68</v>
      </c>
      <c r="J80" s="100">
        <v>1.59</v>
      </c>
      <c r="K80" s="100">
        <v>293.35000000000002</v>
      </c>
      <c r="L80" s="100">
        <v>35.96</v>
      </c>
      <c r="M80" s="100">
        <v>23.73</v>
      </c>
      <c r="N80" s="100">
        <v>12</v>
      </c>
      <c r="O80" s="100">
        <v>0</v>
      </c>
      <c r="P80" s="100">
        <v>0.47</v>
      </c>
      <c r="Q80" s="100">
        <v>4.59</v>
      </c>
    </row>
    <row r="81" spans="1:17" customFormat="1">
      <c r="A81" s="100" t="s">
        <v>2709</v>
      </c>
      <c r="B81" s="100">
        <v>9.94</v>
      </c>
      <c r="C81" s="100">
        <v>53.35</v>
      </c>
      <c r="D81" s="100">
        <v>34.799999999999997</v>
      </c>
      <c r="E81" s="100">
        <v>7.35</v>
      </c>
      <c r="F81" s="100">
        <v>8.44</v>
      </c>
      <c r="G81" s="100">
        <v>55.86</v>
      </c>
      <c r="H81" s="100">
        <v>14.05</v>
      </c>
      <c r="I81" s="100">
        <v>4.66</v>
      </c>
      <c r="J81" s="100">
        <v>1.59</v>
      </c>
      <c r="K81" s="100">
        <v>309.57</v>
      </c>
      <c r="L81" s="100">
        <v>36.07</v>
      </c>
      <c r="M81" s="100">
        <v>20.04</v>
      </c>
      <c r="N81" s="100">
        <v>1.9</v>
      </c>
      <c r="O81" s="100">
        <v>0</v>
      </c>
      <c r="P81" s="100">
        <v>0.48</v>
      </c>
      <c r="Q81" s="100">
        <v>4.67</v>
      </c>
    </row>
    <row r="82" spans="1:17" customFormat="1">
      <c r="A82" s="100" t="s">
        <v>2710</v>
      </c>
      <c r="B82" s="100">
        <v>10.5</v>
      </c>
      <c r="C82" s="100">
        <v>55.34</v>
      </c>
      <c r="D82" s="100">
        <v>36.29</v>
      </c>
      <c r="E82" s="100">
        <v>7.97</v>
      </c>
      <c r="F82" s="100">
        <v>11.68</v>
      </c>
      <c r="G82" s="100">
        <v>65.290000000000006</v>
      </c>
      <c r="H82" s="100">
        <v>13.69</v>
      </c>
      <c r="I82" s="100">
        <v>4.63</v>
      </c>
      <c r="J82" s="100">
        <v>1.25</v>
      </c>
      <c r="K82" s="100">
        <v>294.58</v>
      </c>
      <c r="L82" s="100">
        <v>36.1</v>
      </c>
      <c r="M82" s="100">
        <v>18.12</v>
      </c>
      <c r="N82" s="100">
        <v>0</v>
      </c>
      <c r="O82" s="100">
        <v>0</v>
      </c>
      <c r="P82" s="100">
        <v>0.5</v>
      </c>
      <c r="Q82" s="100">
        <v>4.8099999999999996</v>
      </c>
    </row>
    <row r="83" spans="1:17" customFormat="1">
      <c r="A83" s="100" t="s">
        <v>2711</v>
      </c>
      <c r="B83" s="100">
        <v>10.84</v>
      </c>
      <c r="C83" s="100">
        <v>52.72</v>
      </c>
      <c r="D83" s="100">
        <v>35.19</v>
      </c>
      <c r="E83" s="100">
        <v>5.84</v>
      </c>
      <c r="F83" s="100">
        <v>12.66</v>
      </c>
      <c r="G83" s="100">
        <v>78.8</v>
      </c>
      <c r="H83" s="100">
        <v>13.37</v>
      </c>
      <c r="I83" s="100">
        <v>4.54</v>
      </c>
      <c r="J83" s="100">
        <v>1.26</v>
      </c>
      <c r="K83" s="100">
        <v>298.99</v>
      </c>
      <c r="L83" s="100">
        <v>36.11</v>
      </c>
      <c r="M83" s="100">
        <v>17.3</v>
      </c>
      <c r="N83" s="100">
        <v>0</v>
      </c>
      <c r="O83" s="100">
        <v>0</v>
      </c>
      <c r="P83" s="100">
        <v>0.49</v>
      </c>
      <c r="Q83" s="100">
        <v>4.83</v>
      </c>
    </row>
    <row r="84" spans="1:17" customFormat="1">
      <c r="A84" s="100" t="s">
        <v>2712</v>
      </c>
      <c r="B84" s="100">
        <v>11.42</v>
      </c>
      <c r="C84" s="100">
        <v>50.98</v>
      </c>
      <c r="D84" s="100">
        <v>34.75</v>
      </c>
      <c r="E84" s="100">
        <v>7.45</v>
      </c>
      <c r="F84" s="100">
        <v>13.58</v>
      </c>
      <c r="G84" s="100">
        <v>78.8</v>
      </c>
      <c r="H84" s="100">
        <v>13.37</v>
      </c>
      <c r="I84" s="100">
        <v>4.4400000000000004</v>
      </c>
      <c r="J84" s="100">
        <v>1.02</v>
      </c>
      <c r="K84" s="100">
        <v>301.87</v>
      </c>
      <c r="L84" s="100">
        <v>35.979999999999997</v>
      </c>
      <c r="M84" s="100">
        <v>17.64</v>
      </c>
      <c r="N84" s="100">
        <v>0</v>
      </c>
      <c r="O84" s="100">
        <v>0</v>
      </c>
      <c r="P84" s="100">
        <v>0.48</v>
      </c>
      <c r="Q84" s="100">
        <v>4.83</v>
      </c>
    </row>
    <row r="85" spans="1:17" customFormat="1">
      <c r="A85" s="100" t="s">
        <v>2713</v>
      </c>
      <c r="B85" s="100">
        <v>15.85</v>
      </c>
      <c r="C85" s="100">
        <v>54.63</v>
      </c>
      <c r="D85" s="100">
        <v>40.21</v>
      </c>
      <c r="E85" s="100">
        <v>21.01</v>
      </c>
      <c r="F85" s="100">
        <v>10.02</v>
      </c>
      <c r="G85" s="100">
        <v>78.8</v>
      </c>
      <c r="H85" s="100">
        <v>13.37</v>
      </c>
      <c r="I85" s="100">
        <v>4.4000000000000004</v>
      </c>
      <c r="J85" s="100">
        <v>0.9</v>
      </c>
      <c r="K85" s="100">
        <v>295.5</v>
      </c>
      <c r="L85" s="100">
        <v>35.81</v>
      </c>
      <c r="M85" s="100">
        <v>18.39</v>
      </c>
      <c r="N85" s="100">
        <v>0</v>
      </c>
      <c r="O85" s="100">
        <v>0</v>
      </c>
      <c r="P85" s="100">
        <v>0.52</v>
      </c>
      <c r="Q85" s="100">
        <v>4.84</v>
      </c>
    </row>
    <row r="86" spans="1:17" customFormat="1">
      <c r="A86" s="100" t="s">
        <v>2714</v>
      </c>
      <c r="B86" s="100">
        <v>15.45</v>
      </c>
      <c r="C86" s="100">
        <v>53.17</v>
      </c>
      <c r="D86" s="100">
        <v>39.119999999999997</v>
      </c>
      <c r="E86" s="100">
        <v>24.01</v>
      </c>
      <c r="F86" s="100">
        <v>12.55</v>
      </c>
      <c r="G86" s="100">
        <v>72.59</v>
      </c>
      <c r="H86" s="100">
        <v>13.1</v>
      </c>
      <c r="I86" s="100">
        <v>4.49</v>
      </c>
      <c r="J86" s="100">
        <v>0.73</v>
      </c>
      <c r="K86" s="100">
        <v>298.39999999999998</v>
      </c>
      <c r="L86" s="100">
        <v>35.57</v>
      </c>
      <c r="M86" s="100">
        <v>19.22</v>
      </c>
      <c r="N86" s="100">
        <v>0</v>
      </c>
      <c r="O86" s="100">
        <v>0</v>
      </c>
      <c r="P86" s="100">
        <v>0.55000000000000004</v>
      </c>
      <c r="Q86" s="100">
        <v>4.87</v>
      </c>
    </row>
    <row r="87" spans="1:17" customFormat="1">
      <c r="A87" s="100" t="s">
        <v>2715</v>
      </c>
      <c r="B87" s="100">
        <v>13.68</v>
      </c>
      <c r="C87" s="100">
        <v>51.4</v>
      </c>
      <c r="D87" s="100">
        <v>36.78</v>
      </c>
      <c r="E87" s="100">
        <v>14.74</v>
      </c>
      <c r="F87" s="100">
        <v>14.21</v>
      </c>
      <c r="G87" s="100">
        <v>63.69</v>
      </c>
      <c r="H87" s="100">
        <v>12.46</v>
      </c>
      <c r="I87" s="100">
        <v>4.72</v>
      </c>
      <c r="J87" s="100">
        <v>0.79</v>
      </c>
      <c r="K87" s="100">
        <v>288.02999999999997</v>
      </c>
      <c r="L87" s="100">
        <v>35.29</v>
      </c>
      <c r="M87" s="100">
        <v>20.079999999999998</v>
      </c>
      <c r="N87" s="100">
        <v>0</v>
      </c>
      <c r="O87" s="100">
        <v>0</v>
      </c>
      <c r="P87" s="100">
        <v>0.51</v>
      </c>
      <c r="Q87" s="100">
        <v>4.92</v>
      </c>
    </row>
    <row r="88" spans="1:17" customFormat="1">
      <c r="A88" s="100" t="s">
        <v>2716</v>
      </c>
      <c r="B88" s="100">
        <v>14.25</v>
      </c>
      <c r="C88" s="100">
        <v>58.37</v>
      </c>
      <c r="D88" s="100">
        <v>40.880000000000003</v>
      </c>
      <c r="E88" s="100">
        <v>7.84</v>
      </c>
      <c r="F88" s="100">
        <v>10.76</v>
      </c>
      <c r="G88" s="100">
        <v>63.69</v>
      </c>
      <c r="H88" s="100">
        <v>12.46</v>
      </c>
      <c r="I88" s="100">
        <v>4.7</v>
      </c>
      <c r="J88" s="100">
        <v>0.67</v>
      </c>
      <c r="K88" s="100">
        <v>277.35000000000002</v>
      </c>
      <c r="L88" s="100">
        <v>35.130000000000003</v>
      </c>
      <c r="M88" s="100">
        <v>20.68</v>
      </c>
      <c r="N88" s="100">
        <v>0</v>
      </c>
      <c r="O88" s="100">
        <v>0</v>
      </c>
      <c r="P88" s="100">
        <v>0.52</v>
      </c>
      <c r="Q88" s="100">
        <v>5.0599999999999996</v>
      </c>
    </row>
    <row r="89" spans="1:17" customFormat="1">
      <c r="A89" s="100" t="s">
        <v>2717</v>
      </c>
      <c r="B89" s="100">
        <v>14.16</v>
      </c>
      <c r="C89" s="100">
        <v>60.65</v>
      </c>
      <c r="D89" s="100">
        <v>42</v>
      </c>
      <c r="E89" s="100">
        <v>7.05</v>
      </c>
      <c r="F89" s="100">
        <v>11.54</v>
      </c>
      <c r="G89" s="100">
        <v>63.69</v>
      </c>
      <c r="H89" s="100">
        <v>12.46</v>
      </c>
      <c r="I89" s="100">
        <v>4.6500000000000004</v>
      </c>
      <c r="J89" s="100">
        <v>0.94</v>
      </c>
      <c r="K89" s="100">
        <v>278.60000000000002</v>
      </c>
      <c r="L89" s="100">
        <v>34.82</v>
      </c>
      <c r="M89" s="100">
        <v>22.29</v>
      </c>
      <c r="N89" s="100">
        <v>0</v>
      </c>
      <c r="O89" s="100">
        <v>0</v>
      </c>
      <c r="P89" s="100">
        <v>0.55000000000000004</v>
      </c>
      <c r="Q89" s="100">
        <v>5.23</v>
      </c>
    </row>
    <row r="90" spans="1:17" customFormat="1">
      <c r="A90" s="100" t="s">
        <v>2718</v>
      </c>
      <c r="B90" s="100">
        <v>14.65</v>
      </c>
      <c r="C90" s="100">
        <v>55.7</v>
      </c>
      <c r="D90" s="100">
        <v>39.81</v>
      </c>
      <c r="E90" s="100">
        <v>8.09</v>
      </c>
      <c r="F90" s="100">
        <v>11.58</v>
      </c>
      <c r="G90" s="100">
        <v>58.56</v>
      </c>
      <c r="H90" s="100">
        <v>13.31</v>
      </c>
      <c r="I90" s="100">
        <v>4.7300000000000004</v>
      </c>
      <c r="J90" s="100">
        <v>0.81</v>
      </c>
      <c r="K90" s="100">
        <v>262.43</v>
      </c>
      <c r="L90" s="100">
        <v>34.630000000000003</v>
      </c>
      <c r="M90" s="100">
        <v>23.77</v>
      </c>
      <c r="N90" s="100">
        <v>0</v>
      </c>
      <c r="O90" s="100">
        <v>0</v>
      </c>
      <c r="P90" s="100">
        <v>0.54</v>
      </c>
      <c r="Q90" s="100">
        <v>5.18</v>
      </c>
    </row>
    <row r="91" spans="1:17" customFormat="1">
      <c r="A91" s="100" t="s">
        <v>2719</v>
      </c>
      <c r="B91" s="100">
        <v>13.83</v>
      </c>
      <c r="C91" s="100">
        <v>59.98</v>
      </c>
      <c r="D91" s="100">
        <v>41.38</v>
      </c>
      <c r="E91" s="100">
        <v>9.2100000000000009</v>
      </c>
      <c r="F91" s="100">
        <v>12.72</v>
      </c>
      <c r="G91" s="100">
        <v>51.21</v>
      </c>
      <c r="H91" s="100">
        <v>14.03</v>
      </c>
      <c r="I91" s="100">
        <v>4.7699999999999996</v>
      </c>
      <c r="J91" s="100">
        <v>0.59</v>
      </c>
      <c r="K91" s="100">
        <v>281.3</v>
      </c>
      <c r="L91" s="100">
        <v>34.270000000000003</v>
      </c>
      <c r="M91" s="100">
        <v>25.4</v>
      </c>
      <c r="N91" s="100">
        <v>0</v>
      </c>
      <c r="O91" s="100">
        <v>0</v>
      </c>
      <c r="P91" s="100">
        <v>0.57999999999999996</v>
      </c>
      <c r="Q91" s="100">
        <v>5.34</v>
      </c>
    </row>
    <row r="92" spans="1:17" customFormat="1">
      <c r="A92" s="100" t="s">
        <v>2720</v>
      </c>
      <c r="B92" s="100">
        <v>18.12</v>
      </c>
      <c r="C92" s="100">
        <v>58.64</v>
      </c>
      <c r="D92" s="100">
        <v>44.13</v>
      </c>
      <c r="E92" s="100">
        <v>10.91</v>
      </c>
      <c r="F92" s="100">
        <v>9.3699999999999992</v>
      </c>
      <c r="G92" s="100">
        <v>51.21</v>
      </c>
      <c r="H92" s="100">
        <v>14.03</v>
      </c>
      <c r="I92" s="100">
        <v>4.91</v>
      </c>
      <c r="J92" s="100">
        <v>0.55000000000000004</v>
      </c>
      <c r="K92" s="100">
        <v>288.94</v>
      </c>
      <c r="L92" s="100">
        <v>34.15</v>
      </c>
      <c r="M92" s="100">
        <v>26.27</v>
      </c>
      <c r="N92" s="100">
        <v>0</v>
      </c>
      <c r="O92" s="100">
        <v>0</v>
      </c>
      <c r="P92" s="100">
        <v>0.61</v>
      </c>
      <c r="Q92" s="100">
        <v>5.32</v>
      </c>
    </row>
    <row r="93" spans="1:17" customFormat="1">
      <c r="A93" s="100" t="s">
        <v>2721</v>
      </c>
      <c r="B93" s="100">
        <v>21.65</v>
      </c>
      <c r="C93" s="100">
        <v>60.44</v>
      </c>
      <c r="D93" s="100">
        <v>47.89</v>
      </c>
      <c r="E93" s="100">
        <v>12.73</v>
      </c>
      <c r="F93" s="100">
        <v>7.92</v>
      </c>
      <c r="G93" s="100">
        <v>51.21</v>
      </c>
      <c r="H93" s="100">
        <v>14.03</v>
      </c>
      <c r="I93" s="100">
        <v>5.08</v>
      </c>
      <c r="J93" s="100">
        <v>0.68</v>
      </c>
      <c r="K93" s="100">
        <v>298.29000000000002</v>
      </c>
      <c r="L93" s="100">
        <v>33.97</v>
      </c>
      <c r="M93" s="100">
        <v>27.17</v>
      </c>
      <c r="N93" s="100">
        <v>0</v>
      </c>
      <c r="O93" s="100">
        <v>0</v>
      </c>
      <c r="P93" s="100">
        <v>0.63</v>
      </c>
      <c r="Q93" s="100">
        <v>5.33</v>
      </c>
    </row>
    <row r="94" spans="1:17" customFormat="1">
      <c r="A94" s="100" t="s">
        <v>2722</v>
      </c>
      <c r="B94" s="100">
        <v>21.26</v>
      </c>
      <c r="C94" s="100">
        <v>60.67</v>
      </c>
      <c r="D94" s="100">
        <v>47.7</v>
      </c>
      <c r="E94" s="100">
        <v>19.600000000000001</v>
      </c>
      <c r="F94" s="100">
        <v>8.08</v>
      </c>
      <c r="G94" s="100">
        <v>54.74</v>
      </c>
      <c r="H94" s="100">
        <v>13.58</v>
      </c>
      <c r="I94" s="100">
        <v>5.3</v>
      </c>
      <c r="J94" s="100">
        <v>0.56000000000000005</v>
      </c>
      <c r="K94" s="100">
        <v>285.47000000000003</v>
      </c>
      <c r="L94" s="100">
        <v>33.700000000000003</v>
      </c>
      <c r="M94" s="100">
        <v>28.31</v>
      </c>
      <c r="N94" s="100">
        <v>0</v>
      </c>
      <c r="O94" s="100">
        <v>0</v>
      </c>
      <c r="P94" s="100">
        <v>0.68</v>
      </c>
      <c r="Q94" s="100">
        <v>5.44</v>
      </c>
    </row>
    <row r="95" spans="1:17" customFormat="1">
      <c r="A95" s="100" t="s">
        <v>2723</v>
      </c>
      <c r="B95" s="100">
        <v>23.68</v>
      </c>
      <c r="C95" s="100">
        <v>59.59</v>
      </c>
      <c r="D95" s="100">
        <v>49.08</v>
      </c>
      <c r="E95" s="100">
        <v>13.89</v>
      </c>
      <c r="F95" s="100">
        <v>7.01</v>
      </c>
      <c r="G95" s="100">
        <v>59.8</v>
      </c>
      <c r="H95" s="100">
        <v>13.2</v>
      </c>
      <c r="I95" s="100">
        <v>5.62</v>
      </c>
      <c r="J95" s="100">
        <v>0.64</v>
      </c>
      <c r="K95" s="100">
        <v>282.91000000000003</v>
      </c>
      <c r="L95" s="100">
        <v>33.58</v>
      </c>
      <c r="M95" s="100">
        <v>28.83</v>
      </c>
      <c r="N95" s="100">
        <v>0</v>
      </c>
      <c r="O95" s="100">
        <v>0</v>
      </c>
      <c r="P95" s="100">
        <v>0.61</v>
      </c>
      <c r="Q95" s="100">
        <v>5.42</v>
      </c>
    </row>
    <row r="96" spans="1:17" customFormat="1">
      <c r="A96" s="100" t="s">
        <v>2724</v>
      </c>
      <c r="B96" s="100">
        <v>22.82</v>
      </c>
      <c r="C96" s="100">
        <v>63.69</v>
      </c>
      <c r="D96" s="100">
        <v>50.53</v>
      </c>
      <c r="E96" s="100">
        <v>11.6</v>
      </c>
      <c r="F96" s="100">
        <v>6.31</v>
      </c>
      <c r="G96" s="100">
        <v>59.8</v>
      </c>
      <c r="H96" s="100">
        <v>13.2</v>
      </c>
      <c r="I96" s="100">
        <v>5.76</v>
      </c>
      <c r="J96" s="100">
        <v>0.52</v>
      </c>
      <c r="K96" s="100">
        <v>276.93</v>
      </c>
      <c r="L96" s="100">
        <v>33.29</v>
      </c>
      <c r="M96" s="100">
        <v>29.98</v>
      </c>
      <c r="N96" s="100">
        <v>0</v>
      </c>
      <c r="O96" s="100">
        <v>0</v>
      </c>
      <c r="P96" s="100">
        <v>0.61</v>
      </c>
      <c r="Q96" s="100">
        <v>5.54</v>
      </c>
    </row>
    <row r="97" spans="1:22" customFormat="1">
      <c r="A97" s="100" t="s">
        <v>2725</v>
      </c>
      <c r="B97" s="100">
        <v>18.86</v>
      </c>
      <c r="C97" s="100">
        <v>59.45</v>
      </c>
      <c r="D97" s="100">
        <v>45.14</v>
      </c>
      <c r="E97" s="100">
        <v>15.1</v>
      </c>
      <c r="F97" s="100">
        <v>8.59</v>
      </c>
      <c r="G97" s="100">
        <v>59.8</v>
      </c>
      <c r="H97" s="100">
        <v>13.2</v>
      </c>
      <c r="I97" s="100">
        <v>5.53</v>
      </c>
      <c r="J97" s="100">
        <v>0.75</v>
      </c>
      <c r="K97" s="100">
        <v>252.98</v>
      </c>
      <c r="L97" s="100">
        <v>33.04</v>
      </c>
      <c r="M97" s="100">
        <v>31.02</v>
      </c>
      <c r="N97" s="100">
        <v>0</v>
      </c>
      <c r="O97" s="100">
        <v>0</v>
      </c>
      <c r="P97" s="100">
        <v>0.59</v>
      </c>
      <c r="Q97" s="100">
        <v>5.57</v>
      </c>
    </row>
    <row r="98" spans="1:22" customFormat="1">
      <c r="A98" s="100" t="s">
        <v>2726</v>
      </c>
      <c r="B98" s="100">
        <v>19.3</v>
      </c>
      <c r="C98" s="100">
        <v>63.51</v>
      </c>
      <c r="D98" s="100">
        <v>47.62</v>
      </c>
      <c r="E98" s="100">
        <v>18.23</v>
      </c>
      <c r="F98" s="100">
        <v>9.06</v>
      </c>
      <c r="G98" s="100">
        <v>62.4</v>
      </c>
      <c r="H98" s="100">
        <v>14.53</v>
      </c>
      <c r="I98" s="100">
        <v>5.3</v>
      </c>
      <c r="J98" s="100">
        <v>0.83</v>
      </c>
      <c r="K98" s="100">
        <v>259.25</v>
      </c>
      <c r="L98" s="100">
        <v>32.770000000000003</v>
      </c>
      <c r="M98" s="100">
        <v>31.81</v>
      </c>
      <c r="N98" s="100">
        <v>0</v>
      </c>
      <c r="O98" s="100">
        <v>0</v>
      </c>
      <c r="P98" s="100">
        <v>0.62</v>
      </c>
      <c r="Q98" s="100">
        <v>5.62</v>
      </c>
    </row>
    <row r="99" spans="1:22" customFormat="1">
      <c r="A99" s="100" t="s">
        <v>2727</v>
      </c>
      <c r="B99" s="100">
        <v>18.66</v>
      </c>
      <c r="C99" s="100">
        <v>60.35</v>
      </c>
      <c r="D99" s="100">
        <v>45.45</v>
      </c>
      <c r="E99" s="100">
        <v>22.61</v>
      </c>
      <c r="F99" s="100">
        <v>10.02</v>
      </c>
      <c r="G99" s="100">
        <v>66.11</v>
      </c>
      <c r="H99" s="100">
        <v>15.68</v>
      </c>
      <c r="I99" s="100">
        <v>5.34</v>
      </c>
      <c r="J99" s="100">
        <v>0.64</v>
      </c>
      <c r="K99" s="100">
        <v>255.95</v>
      </c>
      <c r="L99" s="100">
        <v>32.56</v>
      </c>
      <c r="M99" s="100">
        <v>32.39</v>
      </c>
      <c r="N99" s="100">
        <v>0</v>
      </c>
      <c r="O99" s="100">
        <v>0</v>
      </c>
      <c r="P99" s="100">
        <v>0.73</v>
      </c>
      <c r="Q99" s="100">
        <v>5.64</v>
      </c>
    </row>
    <row r="100" spans="1:22" customFormat="1">
      <c r="A100" s="100" t="s">
        <v>2728</v>
      </c>
      <c r="B100" s="100">
        <v>19.059999999999999</v>
      </c>
      <c r="C100" s="100">
        <v>56.92</v>
      </c>
      <c r="D100" s="100">
        <v>43.98</v>
      </c>
      <c r="E100" s="100">
        <v>15.14</v>
      </c>
      <c r="F100" s="100">
        <v>9.5</v>
      </c>
      <c r="G100" s="100">
        <v>66.11</v>
      </c>
      <c r="H100" s="100">
        <v>15.68</v>
      </c>
      <c r="I100" s="100">
        <v>5.7</v>
      </c>
      <c r="J100" s="100">
        <v>0.82</v>
      </c>
      <c r="K100" s="100">
        <v>255.2</v>
      </c>
      <c r="L100" s="100">
        <v>32.49</v>
      </c>
      <c r="M100" s="100">
        <v>32.82</v>
      </c>
      <c r="N100" s="100">
        <v>0</v>
      </c>
      <c r="O100" s="100">
        <v>0</v>
      </c>
      <c r="P100" s="100">
        <v>0.69</v>
      </c>
      <c r="Q100" s="100">
        <v>5.52</v>
      </c>
    </row>
    <row r="101" spans="1:22" customFormat="1">
      <c r="A101" s="100" t="s">
        <v>2729</v>
      </c>
      <c r="B101" s="100">
        <v>19.62</v>
      </c>
      <c r="C101" s="100">
        <v>62.48</v>
      </c>
      <c r="D101" s="100">
        <v>47.33</v>
      </c>
      <c r="E101" s="100">
        <v>11.99</v>
      </c>
      <c r="F101" s="100">
        <v>7.78</v>
      </c>
      <c r="G101" s="100">
        <v>66.11</v>
      </c>
      <c r="H101" s="100">
        <v>15.68</v>
      </c>
      <c r="I101" s="100">
        <v>5.81</v>
      </c>
      <c r="J101" s="100">
        <v>0.69</v>
      </c>
      <c r="K101" s="100">
        <v>255.71</v>
      </c>
      <c r="L101" s="100">
        <v>32.26</v>
      </c>
      <c r="M101" s="100">
        <v>33.68</v>
      </c>
      <c r="N101" s="100">
        <v>0</v>
      </c>
      <c r="O101" s="100">
        <v>0</v>
      </c>
      <c r="P101" s="100">
        <v>0.74</v>
      </c>
      <c r="Q101" s="100">
        <v>5.62</v>
      </c>
    </row>
    <row r="102" spans="1:22" customFormat="1">
      <c r="A102" s="100" t="s">
        <v>2730</v>
      </c>
      <c r="B102" s="100">
        <v>17.940000000000001</v>
      </c>
      <c r="C102" s="100">
        <v>57.2</v>
      </c>
      <c r="D102" s="100">
        <v>43.23</v>
      </c>
      <c r="E102" s="100">
        <v>21.97</v>
      </c>
      <c r="F102" s="100">
        <v>9.7899999999999991</v>
      </c>
      <c r="G102" s="100">
        <v>68.849999999999994</v>
      </c>
      <c r="H102" s="100">
        <v>18.05</v>
      </c>
      <c r="I102" s="100">
        <v>5.8</v>
      </c>
      <c r="J102" s="100">
        <v>0.35</v>
      </c>
      <c r="K102" s="100">
        <v>253.84</v>
      </c>
      <c r="L102" s="100">
        <v>31.94</v>
      </c>
      <c r="M102" s="100">
        <v>34.869999999999997</v>
      </c>
      <c r="N102" s="100">
        <v>0</v>
      </c>
      <c r="O102" s="100">
        <v>0</v>
      </c>
      <c r="P102" s="100">
        <v>0.83</v>
      </c>
      <c r="Q102" s="100">
        <v>5.57</v>
      </c>
    </row>
    <row r="103" spans="1:22" customFormat="1">
      <c r="A103" s="100" t="s">
        <v>2731</v>
      </c>
      <c r="B103" s="100">
        <v>18.96</v>
      </c>
      <c r="C103" s="100">
        <v>63.95</v>
      </c>
      <c r="D103" s="100">
        <v>47.57</v>
      </c>
      <c r="E103" s="100">
        <v>26.27</v>
      </c>
      <c r="F103" s="100">
        <v>6.45</v>
      </c>
      <c r="G103" s="100">
        <v>72.77</v>
      </c>
      <c r="H103" s="100">
        <v>20.09</v>
      </c>
      <c r="I103" s="100">
        <v>6.42</v>
      </c>
      <c r="J103" s="100">
        <v>0.41</v>
      </c>
      <c r="K103" s="100">
        <v>244.13</v>
      </c>
      <c r="L103" s="100">
        <v>31.59</v>
      </c>
      <c r="M103" s="100">
        <v>35.94</v>
      </c>
      <c r="N103" s="100">
        <v>0</v>
      </c>
      <c r="O103" s="100">
        <v>0</v>
      </c>
      <c r="P103" s="100">
        <v>1.08</v>
      </c>
      <c r="Q103" s="100">
        <v>5.66</v>
      </c>
    </row>
    <row r="104" spans="1:22" customFormat="1">
      <c r="A104" s="100" t="s">
        <v>2732</v>
      </c>
      <c r="B104" s="100">
        <v>19.71</v>
      </c>
      <c r="C104" s="100">
        <v>62.24</v>
      </c>
      <c r="D104" s="100">
        <v>47.28</v>
      </c>
      <c r="E104" s="100">
        <v>18.309999999999999</v>
      </c>
      <c r="F104" s="100">
        <v>6.68</v>
      </c>
      <c r="G104" s="100">
        <v>72.77</v>
      </c>
      <c r="H104" s="100">
        <v>20.09</v>
      </c>
      <c r="I104" s="100">
        <v>8.1199999999999992</v>
      </c>
      <c r="J104" s="100">
        <v>0.62</v>
      </c>
      <c r="K104" s="100">
        <v>259.43</v>
      </c>
      <c r="L104" s="100">
        <v>31.58</v>
      </c>
      <c r="M104" s="100">
        <v>35.700000000000003</v>
      </c>
      <c r="N104" s="100">
        <v>0</v>
      </c>
      <c r="O104" s="100">
        <v>0</v>
      </c>
      <c r="P104" s="100">
        <v>0.98</v>
      </c>
      <c r="Q104" s="100">
        <v>5.6</v>
      </c>
    </row>
    <row r="106" spans="1:22">
      <c r="A106" s="157" t="s">
        <v>48</v>
      </c>
      <c r="B106" s="158">
        <f>MIN(B9:B104)</f>
        <v>5.57</v>
      </c>
      <c r="C106" s="158">
        <f>MIN(C9:C104)</f>
        <v>43.52</v>
      </c>
      <c r="D106" s="158">
        <f t="shared" ref="D106:Q106" si="0">MIN(D9:D104)</f>
        <v>26.16</v>
      </c>
      <c r="E106" s="158">
        <f t="shared" si="0"/>
        <v>5.23</v>
      </c>
      <c r="F106" s="158">
        <f t="shared" si="0"/>
        <v>6.07</v>
      </c>
      <c r="G106" s="158">
        <f t="shared" si="0"/>
        <v>47.95</v>
      </c>
      <c r="H106" s="158">
        <f t="shared" si="0"/>
        <v>12.46</v>
      </c>
      <c r="I106" s="158">
        <f t="shared" si="0"/>
        <v>4.4000000000000004</v>
      </c>
      <c r="J106" s="158">
        <f t="shared" si="0"/>
        <v>0.1</v>
      </c>
      <c r="K106" s="158">
        <f t="shared" si="0"/>
        <v>9.1999999999999993</v>
      </c>
      <c r="L106" s="158">
        <f t="shared" si="0"/>
        <v>27.61</v>
      </c>
      <c r="M106" s="158">
        <f t="shared" si="0"/>
        <v>15.56</v>
      </c>
      <c r="N106" s="158">
        <f t="shared" si="0"/>
        <v>0</v>
      </c>
      <c r="O106" s="158">
        <f t="shared" si="0"/>
        <v>0</v>
      </c>
      <c r="P106" s="158">
        <f t="shared" si="0"/>
        <v>0.45</v>
      </c>
      <c r="Q106" s="158">
        <f t="shared" si="0"/>
        <v>4.5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23.68</v>
      </c>
      <c r="C107" s="157">
        <f t="shared" ref="C107:Q107" si="1">MAX(C9:C104)</f>
        <v>63.95</v>
      </c>
      <c r="D107" s="157">
        <f t="shared" si="1"/>
        <v>50.53</v>
      </c>
      <c r="E107" s="157">
        <f t="shared" si="1"/>
        <v>26.27</v>
      </c>
      <c r="F107" s="157">
        <f t="shared" si="1"/>
        <v>36.1</v>
      </c>
      <c r="G107" s="157">
        <f t="shared" si="1"/>
        <v>78.8</v>
      </c>
      <c r="H107" s="157">
        <f t="shared" si="1"/>
        <v>20.54</v>
      </c>
      <c r="I107" s="157">
        <f t="shared" si="1"/>
        <v>8.1199999999999992</v>
      </c>
      <c r="J107" s="157">
        <f t="shared" si="1"/>
        <v>2.7</v>
      </c>
      <c r="K107" s="157">
        <f t="shared" si="1"/>
        <v>349.81</v>
      </c>
      <c r="L107" s="157">
        <f t="shared" si="1"/>
        <v>40.31</v>
      </c>
      <c r="M107" s="157">
        <f t="shared" si="1"/>
        <v>56.84</v>
      </c>
      <c r="N107" s="157">
        <f t="shared" si="1"/>
        <v>862.9</v>
      </c>
      <c r="O107" s="157">
        <f t="shared" si="1"/>
        <v>0</v>
      </c>
      <c r="P107" s="157">
        <f t="shared" si="1"/>
        <v>1.08</v>
      </c>
      <c r="Q107" s="157">
        <f t="shared" si="1"/>
        <v>5.66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15.043645833333334</v>
      </c>
      <c r="C108" s="158">
        <f t="shared" ref="C108:Q108" si="2">AVERAGE(C9:C104)</f>
        <v>53.821666666666651</v>
      </c>
      <c r="D108" s="158">
        <f t="shared" si="2"/>
        <v>39.139583333333348</v>
      </c>
      <c r="E108" s="158">
        <f t="shared" si="2"/>
        <v>10.075104166666669</v>
      </c>
      <c r="F108" s="158">
        <f t="shared" si="2"/>
        <v>13.620937500000004</v>
      </c>
      <c r="G108" s="158">
        <f t="shared" si="2"/>
        <v>61.99041666666664</v>
      </c>
      <c r="H108" s="158">
        <f t="shared" si="2"/>
        <v>16.505208333333332</v>
      </c>
      <c r="I108" s="158">
        <f t="shared" si="2"/>
        <v>5.5394791666666663</v>
      </c>
      <c r="J108" s="158">
        <f t="shared" si="2"/>
        <v>0.71375</v>
      </c>
      <c r="K108" s="158">
        <f t="shared" si="2"/>
        <v>216.59312500000001</v>
      </c>
      <c r="L108" s="158">
        <f t="shared" si="2"/>
        <v>33.933333333333344</v>
      </c>
      <c r="M108" s="158">
        <f t="shared" si="2"/>
        <v>33.640312499999979</v>
      </c>
      <c r="N108" s="158">
        <f t="shared" si="2"/>
        <v>162.99687500000002</v>
      </c>
      <c r="O108" s="158">
        <f t="shared" si="2"/>
        <v>0</v>
      </c>
      <c r="P108" s="158">
        <f t="shared" si="2"/>
        <v>0.61572916666666622</v>
      </c>
      <c r="Q108" s="158">
        <f t="shared" si="2"/>
        <v>5.1542708333333325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5.9323143828023479</v>
      </c>
      <c r="C109" s="158">
        <f t="shared" ref="C109:Q109" si="3">STDEV(C9:C104)</f>
        <v>5.3795029444944591</v>
      </c>
      <c r="D109" s="158">
        <f t="shared" si="3"/>
        <v>7.137261883452366</v>
      </c>
      <c r="E109" s="158">
        <f t="shared" si="3"/>
        <v>5.308566462216695</v>
      </c>
      <c r="F109" s="158">
        <f t="shared" si="3"/>
        <v>7.1339896681678932</v>
      </c>
      <c r="G109" s="158">
        <f t="shared" si="3"/>
        <v>8.2839455278734615</v>
      </c>
      <c r="H109" s="158">
        <f t="shared" si="3"/>
        <v>2.2459015206261816</v>
      </c>
      <c r="I109" s="158">
        <f t="shared" si="3"/>
        <v>0.55828189406930795</v>
      </c>
      <c r="J109" s="158">
        <f t="shared" si="3"/>
        <v>0.48804928569065409</v>
      </c>
      <c r="K109" s="158">
        <f t="shared" si="3"/>
        <v>90.770204296488757</v>
      </c>
      <c r="L109" s="158">
        <f t="shared" si="3"/>
        <v>4.1696125445812333</v>
      </c>
      <c r="M109" s="158">
        <f t="shared" si="3"/>
        <v>13.138456005829065</v>
      </c>
      <c r="N109" s="158">
        <f t="shared" si="3"/>
        <v>261.79130758482728</v>
      </c>
      <c r="O109" s="158">
        <f t="shared" si="3"/>
        <v>0</v>
      </c>
      <c r="P109" s="158">
        <f t="shared" si="3"/>
        <v>0.10424409403103548</v>
      </c>
      <c r="Q109" s="158">
        <f t="shared" si="3"/>
        <v>0.3917349931070257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27/05/2023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2733</v>
      </c>
      <c r="B9" s="100">
        <v>19.38</v>
      </c>
      <c r="C9" s="100">
        <v>61.78</v>
      </c>
      <c r="D9" s="100">
        <v>46.77</v>
      </c>
      <c r="E9" s="100">
        <v>15.25</v>
      </c>
      <c r="F9" s="100">
        <v>8.74</v>
      </c>
      <c r="G9" s="100">
        <v>72.77</v>
      </c>
      <c r="H9" s="100">
        <v>20.09</v>
      </c>
      <c r="I9" s="100">
        <v>9.83</v>
      </c>
      <c r="J9" s="100">
        <v>0.64</v>
      </c>
      <c r="K9" s="100">
        <v>258.70999999999998</v>
      </c>
      <c r="L9" s="100">
        <v>31.54</v>
      </c>
      <c r="M9" s="100">
        <v>35.67</v>
      </c>
      <c r="N9" s="100">
        <v>0</v>
      </c>
      <c r="O9" s="100">
        <v>0</v>
      </c>
      <c r="P9" s="100">
        <v>0.92</v>
      </c>
      <c r="Q9" s="100">
        <v>5.67</v>
      </c>
    </row>
    <row r="10" spans="1:21" customFormat="1">
      <c r="A10" s="100" t="s">
        <v>2734</v>
      </c>
      <c r="B10" s="100">
        <v>18.73</v>
      </c>
      <c r="C10" s="100">
        <v>57.35</v>
      </c>
      <c r="D10" s="100">
        <v>43.94</v>
      </c>
      <c r="E10" s="100">
        <v>16.399999999999999</v>
      </c>
      <c r="F10" s="100">
        <v>9.0299999999999994</v>
      </c>
      <c r="G10" s="100">
        <v>72.239999999999995</v>
      </c>
      <c r="H10" s="100">
        <v>17.579999999999998</v>
      </c>
      <c r="I10" s="100">
        <v>9.24</v>
      </c>
      <c r="J10" s="100">
        <v>0.54</v>
      </c>
      <c r="K10" s="100">
        <v>256.58999999999997</v>
      </c>
      <c r="L10" s="100">
        <v>31.33</v>
      </c>
      <c r="M10" s="100">
        <v>36.5</v>
      </c>
      <c r="N10" s="100">
        <v>0</v>
      </c>
      <c r="O10" s="100">
        <v>0</v>
      </c>
      <c r="P10" s="100">
        <v>0.88</v>
      </c>
      <c r="Q10" s="100">
        <v>5.55</v>
      </c>
    </row>
    <row r="11" spans="1:21" customFormat="1">
      <c r="A11" s="100" t="s">
        <v>2735</v>
      </c>
      <c r="B11" s="100">
        <v>19.07</v>
      </c>
      <c r="C11" s="100">
        <v>63.01</v>
      </c>
      <c r="D11" s="100">
        <v>47.16</v>
      </c>
      <c r="E11" s="100">
        <v>17.98</v>
      </c>
      <c r="F11" s="100">
        <v>7.1</v>
      </c>
      <c r="G11" s="100">
        <v>71.47</v>
      </c>
      <c r="H11" s="100">
        <v>15.41</v>
      </c>
      <c r="I11" s="100">
        <v>7.84</v>
      </c>
      <c r="J11" s="100">
        <v>0.43</v>
      </c>
      <c r="K11" s="100">
        <v>253.22</v>
      </c>
      <c r="L11" s="100">
        <v>31.13</v>
      </c>
      <c r="M11" s="100">
        <v>37.81</v>
      </c>
      <c r="N11" s="100">
        <v>0</v>
      </c>
      <c r="O11" s="100">
        <v>0</v>
      </c>
      <c r="P11" s="100">
        <v>0.95</v>
      </c>
      <c r="Q11" s="100">
        <v>5.66</v>
      </c>
    </row>
    <row r="12" spans="1:21" customFormat="1">
      <c r="A12" s="100" t="s">
        <v>2736</v>
      </c>
      <c r="B12" s="100">
        <v>19.37</v>
      </c>
      <c r="C12" s="100">
        <v>61.77</v>
      </c>
      <c r="D12" s="100">
        <v>46.76</v>
      </c>
      <c r="E12" s="100">
        <v>17.61</v>
      </c>
      <c r="F12" s="100">
        <v>6.83</v>
      </c>
      <c r="G12" s="100">
        <v>71.47</v>
      </c>
      <c r="H12" s="100">
        <v>15.41</v>
      </c>
      <c r="I12" s="100">
        <v>8.26</v>
      </c>
      <c r="J12" s="100">
        <v>0.4</v>
      </c>
      <c r="K12" s="100">
        <v>257.39</v>
      </c>
      <c r="L12" s="100">
        <v>30.83</v>
      </c>
      <c r="M12" s="100">
        <v>38.75</v>
      </c>
      <c r="N12" s="100">
        <v>0</v>
      </c>
      <c r="O12" s="100">
        <v>0</v>
      </c>
      <c r="P12" s="100">
        <v>1</v>
      </c>
      <c r="Q12" s="100">
        <v>5.63</v>
      </c>
    </row>
    <row r="13" spans="1:21" customFormat="1">
      <c r="A13" s="100" t="s">
        <v>2737</v>
      </c>
      <c r="B13" s="100">
        <v>19.64</v>
      </c>
      <c r="C13" s="100">
        <v>63.65</v>
      </c>
      <c r="D13" s="100">
        <v>47.96</v>
      </c>
      <c r="E13" s="100">
        <v>28.75</v>
      </c>
      <c r="F13" s="100">
        <v>5.14</v>
      </c>
      <c r="G13" s="100">
        <v>71.47</v>
      </c>
      <c r="H13" s="100">
        <v>15.41</v>
      </c>
      <c r="I13" s="100">
        <v>10.29</v>
      </c>
      <c r="J13" s="100">
        <v>0.34</v>
      </c>
      <c r="K13" s="100">
        <v>248.17</v>
      </c>
      <c r="L13" s="100">
        <v>30.67</v>
      </c>
      <c r="M13" s="100">
        <v>39.29</v>
      </c>
      <c r="N13" s="100">
        <v>0</v>
      </c>
      <c r="O13" s="100">
        <v>0</v>
      </c>
      <c r="P13" s="100">
        <v>1.24</v>
      </c>
      <c r="Q13" s="100">
        <v>5.71</v>
      </c>
    </row>
    <row r="14" spans="1:21" customFormat="1">
      <c r="A14" s="100" t="s">
        <v>2738</v>
      </c>
      <c r="B14" s="100">
        <v>19.920000000000002</v>
      </c>
      <c r="C14" s="100">
        <v>62.21</v>
      </c>
      <c r="D14" s="100">
        <v>47.43</v>
      </c>
      <c r="E14" s="100">
        <v>26.63</v>
      </c>
      <c r="F14" s="100">
        <v>4.8099999999999996</v>
      </c>
      <c r="G14" s="100">
        <v>76.88</v>
      </c>
      <c r="H14" s="100">
        <v>17.739999999999998</v>
      </c>
      <c r="I14" s="100">
        <v>12.87</v>
      </c>
      <c r="J14" s="100">
        <v>0.25</v>
      </c>
      <c r="K14" s="100">
        <v>229.6</v>
      </c>
      <c r="L14" s="100">
        <v>30.46</v>
      </c>
      <c r="M14" s="100">
        <v>40.35</v>
      </c>
      <c r="N14" s="100">
        <v>0</v>
      </c>
      <c r="O14" s="100">
        <v>0</v>
      </c>
      <c r="P14" s="100">
        <v>1.21</v>
      </c>
      <c r="Q14" s="100">
        <v>5.68</v>
      </c>
    </row>
    <row r="15" spans="1:21" customFormat="1">
      <c r="A15" s="100" t="s">
        <v>2739</v>
      </c>
      <c r="B15" s="100">
        <v>18.920000000000002</v>
      </c>
      <c r="C15" s="100">
        <v>63.11</v>
      </c>
      <c r="D15" s="100">
        <v>47.1</v>
      </c>
      <c r="E15" s="100">
        <v>33</v>
      </c>
      <c r="F15" s="100">
        <v>4.47</v>
      </c>
      <c r="G15" s="100">
        <v>84.62</v>
      </c>
      <c r="H15" s="100">
        <v>23.3</v>
      </c>
      <c r="I15" s="100">
        <v>15.43</v>
      </c>
      <c r="J15" s="100">
        <v>0.2</v>
      </c>
      <c r="K15" s="100">
        <v>180.6</v>
      </c>
      <c r="L15" s="100">
        <v>30.11</v>
      </c>
      <c r="M15" s="100">
        <v>41.93</v>
      </c>
      <c r="N15" s="100">
        <v>0</v>
      </c>
      <c r="O15" s="100">
        <v>0</v>
      </c>
      <c r="P15" s="100">
        <v>1.37</v>
      </c>
      <c r="Q15" s="100">
        <v>5.82</v>
      </c>
    </row>
    <row r="16" spans="1:21" customFormat="1">
      <c r="A16" s="100" t="s">
        <v>2740</v>
      </c>
      <c r="B16" s="100">
        <v>21.97</v>
      </c>
      <c r="C16" s="100">
        <v>65.03</v>
      </c>
      <c r="D16" s="100">
        <v>50.55</v>
      </c>
      <c r="E16" s="100">
        <v>15.73</v>
      </c>
      <c r="F16" s="100">
        <v>4.3600000000000003</v>
      </c>
      <c r="G16" s="100">
        <v>84.62</v>
      </c>
      <c r="H16" s="100">
        <v>23.3</v>
      </c>
      <c r="I16" s="100">
        <v>16.68</v>
      </c>
      <c r="J16" s="100">
        <v>0.19</v>
      </c>
      <c r="K16" s="100">
        <v>160.03</v>
      </c>
      <c r="L16" s="100">
        <v>29.62</v>
      </c>
      <c r="M16" s="100">
        <v>43.91</v>
      </c>
      <c r="N16" s="100">
        <v>0</v>
      </c>
      <c r="O16" s="100">
        <v>0</v>
      </c>
      <c r="P16" s="100">
        <v>1.21</v>
      </c>
      <c r="Q16" s="100">
        <v>5.77</v>
      </c>
    </row>
    <row r="17" spans="1:17" customFormat="1">
      <c r="A17" s="100" t="s">
        <v>2741</v>
      </c>
      <c r="B17" s="100">
        <v>23.25</v>
      </c>
      <c r="C17" s="100">
        <v>64.040000000000006</v>
      </c>
      <c r="D17" s="100">
        <v>51.06</v>
      </c>
      <c r="E17" s="100">
        <v>10.46</v>
      </c>
      <c r="F17" s="100">
        <v>4.18</v>
      </c>
      <c r="G17" s="100">
        <v>84.62</v>
      </c>
      <c r="H17" s="100">
        <v>23.3</v>
      </c>
      <c r="I17" s="100">
        <v>16.16</v>
      </c>
      <c r="J17" s="100">
        <v>0.26</v>
      </c>
      <c r="K17" s="100">
        <v>168.17</v>
      </c>
      <c r="L17" s="100">
        <v>29.01</v>
      </c>
      <c r="M17" s="100">
        <v>46.22</v>
      </c>
      <c r="N17" s="100">
        <v>0</v>
      </c>
      <c r="O17" s="100">
        <v>0</v>
      </c>
      <c r="P17" s="100">
        <v>1.3</v>
      </c>
      <c r="Q17" s="100">
        <v>5.8</v>
      </c>
    </row>
    <row r="18" spans="1:17" customFormat="1">
      <c r="A18" s="100" t="s">
        <v>2742</v>
      </c>
      <c r="B18" s="100">
        <v>24.51</v>
      </c>
      <c r="C18" s="100">
        <v>65.400000000000006</v>
      </c>
      <c r="D18" s="100">
        <v>52.78</v>
      </c>
      <c r="E18" s="100">
        <v>10.99</v>
      </c>
      <c r="F18" s="100">
        <v>3.86</v>
      </c>
      <c r="G18" s="100">
        <v>92.27</v>
      </c>
      <c r="H18" s="100">
        <v>22.47</v>
      </c>
      <c r="I18" s="100">
        <v>16.71</v>
      </c>
      <c r="J18" s="100">
        <v>0.26</v>
      </c>
      <c r="K18" s="100">
        <v>161.84</v>
      </c>
      <c r="L18" s="100">
        <v>28.8</v>
      </c>
      <c r="M18" s="100">
        <v>46.78</v>
      </c>
      <c r="N18" s="100">
        <v>0</v>
      </c>
      <c r="O18" s="100">
        <v>0</v>
      </c>
      <c r="P18" s="100">
        <v>1.29</v>
      </c>
      <c r="Q18" s="100">
        <v>5.85</v>
      </c>
    </row>
    <row r="19" spans="1:17" customFormat="1">
      <c r="A19" s="100" t="s">
        <v>2743</v>
      </c>
      <c r="B19" s="100">
        <v>25.1</v>
      </c>
      <c r="C19" s="100">
        <v>62.91</v>
      </c>
      <c r="D19" s="100">
        <v>51.95</v>
      </c>
      <c r="E19" s="100">
        <v>11.35</v>
      </c>
      <c r="F19" s="100">
        <v>4.2</v>
      </c>
      <c r="G19" s="100">
        <v>103.75</v>
      </c>
      <c r="H19" s="100">
        <v>21.76</v>
      </c>
      <c r="I19" s="100">
        <v>16.71</v>
      </c>
      <c r="J19" s="100">
        <v>0.39</v>
      </c>
      <c r="K19" s="100">
        <v>82.19</v>
      </c>
      <c r="L19" s="100">
        <v>28.49</v>
      </c>
      <c r="M19" s="100">
        <v>47.62</v>
      </c>
      <c r="N19" s="100">
        <v>0</v>
      </c>
      <c r="O19" s="100">
        <v>0</v>
      </c>
      <c r="P19" s="100">
        <v>1.33</v>
      </c>
      <c r="Q19" s="100">
        <v>5.84</v>
      </c>
    </row>
    <row r="20" spans="1:17" customFormat="1">
      <c r="A20" s="100" t="s">
        <v>2744</v>
      </c>
      <c r="B20" s="100">
        <v>27.28</v>
      </c>
      <c r="C20" s="100">
        <v>65.36</v>
      </c>
      <c r="D20" s="100">
        <v>54.98</v>
      </c>
      <c r="E20" s="100">
        <v>12.87</v>
      </c>
      <c r="F20" s="100">
        <v>3.86</v>
      </c>
      <c r="G20" s="100">
        <v>103.75</v>
      </c>
      <c r="H20" s="100">
        <v>21.76</v>
      </c>
      <c r="I20" s="100">
        <v>16.7</v>
      </c>
      <c r="J20" s="100">
        <v>0.11</v>
      </c>
      <c r="K20" s="100">
        <v>201.49</v>
      </c>
      <c r="L20" s="100">
        <v>28.77</v>
      </c>
      <c r="M20" s="100">
        <v>45.98</v>
      </c>
      <c r="N20" s="100">
        <v>0</v>
      </c>
      <c r="O20" s="100">
        <v>0</v>
      </c>
      <c r="P20" s="100">
        <v>1.2</v>
      </c>
      <c r="Q20" s="100">
        <v>5.94</v>
      </c>
    </row>
    <row r="21" spans="1:17" customFormat="1">
      <c r="A21" s="100" t="s">
        <v>2745</v>
      </c>
      <c r="B21" s="100">
        <v>28.43</v>
      </c>
      <c r="C21" s="100">
        <v>63.78</v>
      </c>
      <c r="D21" s="100">
        <v>55.08</v>
      </c>
      <c r="E21" s="100">
        <v>10.28</v>
      </c>
      <c r="F21" s="100">
        <v>4.07</v>
      </c>
      <c r="G21" s="100">
        <v>103.75</v>
      </c>
      <c r="H21" s="100">
        <v>21.76</v>
      </c>
      <c r="I21" s="100">
        <v>16.63</v>
      </c>
      <c r="J21" s="100">
        <v>0.2</v>
      </c>
      <c r="K21" s="100">
        <v>167.76</v>
      </c>
      <c r="L21" s="100">
        <v>28.2</v>
      </c>
      <c r="M21" s="100">
        <v>49.36</v>
      </c>
      <c r="N21" s="100">
        <v>0</v>
      </c>
      <c r="O21" s="100">
        <v>0</v>
      </c>
      <c r="P21" s="100">
        <v>1.23</v>
      </c>
      <c r="Q21" s="100">
        <v>5.9</v>
      </c>
    </row>
    <row r="22" spans="1:17" customFormat="1">
      <c r="A22" s="100" t="s">
        <v>2746</v>
      </c>
      <c r="B22" s="100">
        <v>29.43</v>
      </c>
      <c r="C22" s="100">
        <v>63.39</v>
      </c>
      <c r="D22" s="100">
        <v>55.68</v>
      </c>
      <c r="E22" s="100">
        <v>10.85</v>
      </c>
      <c r="F22" s="100">
        <v>3.75</v>
      </c>
      <c r="G22" s="100">
        <v>100.91</v>
      </c>
      <c r="H22" s="100">
        <v>22.91</v>
      </c>
      <c r="I22" s="100">
        <v>15.15</v>
      </c>
      <c r="J22" s="100">
        <v>0.14000000000000001</v>
      </c>
      <c r="K22" s="100">
        <v>140.76</v>
      </c>
      <c r="L22" s="100">
        <v>27.69</v>
      </c>
      <c r="M22" s="100">
        <v>51.27</v>
      </c>
      <c r="N22" s="100">
        <v>0</v>
      </c>
      <c r="O22" s="100">
        <v>0</v>
      </c>
      <c r="P22" s="100">
        <v>1.23</v>
      </c>
      <c r="Q22" s="100">
        <v>5.94</v>
      </c>
    </row>
    <row r="23" spans="1:17" customFormat="1">
      <c r="A23" s="100" t="s">
        <v>2747</v>
      </c>
      <c r="B23" s="100">
        <v>30.99</v>
      </c>
      <c r="C23" s="100">
        <v>65.489999999999995</v>
      </c>
      <c r="D23" s="100">
        <v>58.02</v>
      </c>
      <c r="E23" s="100">
        <v>8.2799999999999994</v>
      </c>
      <c r="F23" s="100">
        <v>3.6</v>
      </c>
      <c r="G23" s="100">
        <v>96.64</v>
      </c>
      <c r="H23" s="100">
        <v>23.9</v>
      </c>
      <c r="I23" s="100">
        <v>15.05</v>
      </c>
      <c r="J23" s="100">
        <v>0.32</v>
      </c>
      <c r="K23" s="100">
        <v>87.26</v>
      </c>
      <c r="L23" s="100">
        <v>27.66</v>
      </c>
      <c r="M23" s="100">
        <v>51.35</v>
      </c>
      <c r="N23" s="100">
        <v>0</v>
      </c>
      <c r="O23" s="100">
        <v>0</v>
      </c>
      <c r="P23" s="100">
        <v>1.24</v>
      </c>
      <c r="Q23" s="100">
        <v>6.05</v>
      </c>
    </row>
    <row r="24" spans="1:17" customFormat="1">
      <c r="A24" s="100" t="s">
        <v>2748</v>
      </c>
      <c r="B24" s="100">
        <v>32.69</v>
      </c>
      <c r="C24" s="100">
        <v>65.8</v>
      </c>
      <c r="D24" s="100">
        <v>59.55</v>
      </c>
      <c r="E24" s="100">
        <v>7.72</v>
      </c>
      <c r="F24" s="100">
        <v>3.81</v>
      </c>
      <c r="G24" s="100">
        <v>96.64</v>
      </c>
      <c r="H24" s="100">
        <v>23.9</v>
      </c>
      <c r="I24" s="100">
        <v>15.27</v>
      </c>
      <c r="J24" s="100">
        <v>0.79</v>
      </c>
      <c r="K24" s="100">
        <v>60.16</v>
      </c>
      <c r="L24" s="100">
        <v>27.93</v>
      </c>
      <c r="M24" s="100">
        <v>48.44</v>
      </c>
      <c r="N24" s="100">
        <v>0</v>
      </c>
      <c r="O24" s="100">
        <v>0</v>
      </c>
      <c r="P24" s="100">
        <v>1.25</v>
      </c>
      <c r="Q24" s="100">
        <v>6.12</v>
      </c>
    </row>
    <row r="25" spans="1:17" customFormat="1">
      <c r="A25" s="100" t="s">
        <v>2749</v>
      </c>
      <c r="B25" s="100">
        <v>33.36</v>
      </c>
      <c r="C25" s="100">
        <v>61.73</v>
      </c>
      <c r="D25" s="100">
        <v>57.95</v>
      </c>
      <c r="E25" s="100">
        <v>8.32</v>
      </c>
      <c r="F25" s="100">
        <v>4.3</v>
      </c>
      <c r="G25" s="100">
        <v>96.64</v>
      </c>
      <c r="H25" s="100">
        <v>23.9</v>
      </c>
      <c r="I25" s="100">
        <v>15.29</v>
      </c>
      <c r="J25" s="100">
        <v>0.79</v>
      </c>
      <c r="K25" s="100">
        <v>43.25</v>
      </c>
      <c r="L25" s="100">
        <v>27.87</v>
      </c>
      <c r="M25" s="100">
        <v>47.85</v>
      </c>
      <c r="N25" s="100">
        <v>0</v>
      </c>
      <c r="O25" s="100">
        <v>0</v>
      </c>
      <c r="P25" s="100">
        <v>1.19</v>
      </c>
      <c r="Q25" s="100">
        <v>6.1</v>
      </c>
    </row>
    <row r="26" spans="1:17" customFormat="1">
      <c r="A26" s="100" t="s">
        <v>2750</v>
      </c>
      <c r="B26" s="100">
        <v>35.93</v>
      </c>
      <c r="C26" s="100">
        <v>62.67</v>
      </c>
      <c r="D26" s="100">
        <v>60.51</v>
      </c>
      <c r="E26" s="100">
        <v>9.15</v>
      </c>
      <c r="F26" s="100">
        <v>3.77</v>
      </c>
      <c r="G26" s="100">
        <v>95.52</v>
      </c>
      <c r="H26" s="100">
        <v>23.11</v>
      </c>
      <c r="I26" s="100">
        <v>15.07</v>
      </c>
      <c r="J26" s="100">
        <v>0.38</v>
      </c>
      <c r="K26" s="100">
        <v>63.46</v>
      </c>
      <c r="L26" s="100">
        <v>27.75</v>
      </c>
      <c r="M26" s="100">
        <v>47.9</v>
      </c>
      <c r="N26" s="100">
        <v>0</v>
      </c>
      <c r="O26" s="100">
        <v>0</v>
      </c>
      <c r="P26" s="100">
        <v>1.1599999999999999</v>
      </c>
      <c r="Q26" s="100">
        <v>6.17</v>
      </c>
    </row>
    <row r="27" spans="1:17" customFormat="1">
      <c r="A27" s="100" t="s">
        <v>2751</v>
      </c>
      <c r="B27" s="100">
        <v>36.909999999999997</v>
      </c>
      <c r="C27" s="100">
        <v>62.09</v>
      </c>
      <c r="D27" s="100">
        <v>60.99</v>
      </c>
      <c r="E27" s="100">
        <v>8.6199999999999992</v>
      </c>
      <c r="F27" s="100">
        <v>3.97</v>
      </c>
      <c r="G27" s="100">
        <v>93.85</v>
      </c>
      <c r="H27" s="100">
        <v>22.44</v>
      </c>
      <c r="I27" s="100">
        <v>14.65</v>
      </c>
      <c r="J27" s="100">
        <v>0.04</v>
      </c>
      <c r="K27" s="100">
        <v>161.96</v>
      </c>
      <c r="L27" s="100">
        <v>27.5</v>
      </c>
      <c r="M27" s="100">
        <v>49.67</v>
      </c>
      <c r="N27" s="100">
        <v>0</v>
      </c>
      <c r="O27" s="100">
        <v>0</v>
      </c>
      <c r="P27" s="100">
        <v>1.1499999999999999</v>
      </c>
      <c r="Q27" s="100">
        <v>6.19</v>
      </c>
    </row>
    <row r="28" spans="1:17" customFormat="1">
      <c r="A28" s="100" t="s">
        <v>2752</v>
      </c>
      <c r="B28" s="100">
        <v>37.11</v>
      </c>
      <c r="C28" s="100">
        <v>63.31</v>
      </c>
      <c r="D28" s="100">
        <v>61.79</v>
      </c>
      <c r="E28" s="100">
        <v>7.6</v>
      </c>
      <c r="F28" s="100">
        <v>3.85</v>
      </c>
      <c r="G28" s="100">
        <v>93.85</v>
      </c>
      <c r="H28" s="100">
        <v>22.44</v>
      </c>
      <c r="I28" s="100">
        <v>14.19</v>
      </c>
      <c r="J28" s="100">
        <v>0.18</v>
      </c>
      <c r="K28" s="100">
        <v>193.97</v>
      </c>
      <c r="L28" s="100">
        <v>26.87</v>
      </c>
      <c r="M28" s="100">
        <v>51.99</v>
      </c>
      <c r="N28" s="100">
        <v>0</v>
      </c>
      <c r="O28" s="100">
        <v>0</v>
      </c>
      <c r="P28" s="100">
        <v>1.1399999999999999</v>
      </c>
      <c r="Q28" s="100">
        <v>6.22</v>
      </c>
    </row>
    <row r="29" spans="1:17" customFormat="1">
      <c r="A29" s="100" t="s">
        <v>2753</v>
      </c>
      <c r="B29" s="100">
        <v>38.130000000000003</v>
      </c>
      <c r="C29" s="100">
        <v>65.14</v>
      </c>
      <c r="D29" s="100">
        <v>63.57</v>
      </c>
      <c r="E29" s="100">
        <v>6.62</v>
      </c>
      <c r="F29" s="100">
        <v>3.78</v>
      </c>
      <c r="G29" s="100">
        <v>93.85</v>
      </c>
      <c r="H29" s="100">
        <v>22.44</v>
      </c>
      <c r="I29" s="100">
        <v>13.91</v>
      </c>
      <c r="J29" s="100">
        <v>0.18</v>
      </c>
      <c r="K29" s="100">
        <v>176</v>
      </c>
      <c r="L29" s="100">
        <v>26.39</v>
      </c>
      <c r="M29" s="100">
        <v>54.92</v>
      </c>
      <c r="N29" s="100">
        <v>0</v>
      </c>
      <c r="O29" s="100">
        <v>0</v>
      </c>
      <c r="P29" s="100">
        <v>1.1499999999999999</v>
      </c>
      <c r="Q29" s="100">
        <v>6.34</v>
      </c>
    </row>
    <row r="30" spans="1:17" customFormat="1">
      <c r="A30" s="100" t="s">
        <v>2754</v>
      </c>
      <c r="B30" s="100">
        <v>38.49</v>
      </c>
      <c r="C30" s="100">
        <v>65.23</v>
      </c>
      <c r="D30" s="100">
        <v>63.9</v>
      </c>
      <c r="E30" s="100">
        <v>6.76</v>
      </c>
      <c r="F30" s="100">
        <v>3.62</v>
      </c>
      <c r="G30" s="100">
        <v>94.75</v>
      </c>
      <c r="H30" s="100">
        <v>23.18</v>
      </c>
      <c r="I30" s="100">
        <v>14.04</v>
      </c>
      <c r="J30" s="100">
        <v>0.19</v>
      </c>
      <c r="K30" s="100">
        <v>196.8</v>
      </c>
      <c r="L30" s="100">
        <v>26.04</v>
      </c>
      <c r="M30" s="100">
        <v>56.22</v>
      </c>
      <c r="N30" s="100">
        <v>0.7</v>
      </c>
      <c r="O30" s="100">
        <v>0</v>
      </c>
      <c r="P30" s="100">
        <v>1.1399999999999999</v>
      </c>
      <c r="Q30" s="100">
        <v>6.33</v>
      </c>
    </row>
    <row r="31" spans="1:17" customFormat="1">
      <c r="A31" s="100" t="s">
        <v>2755</v>
      </c>
      <c r="B31" s="100">
        <v>38.97</v>
      </c>
      <c r="C31" s="100">
        <v>64.64</v>
      </c>
      <c r="D31" s="100">
        <v>63.98</v>
      </c>
      <c r="E31" s="100">
        <v>6.18</v>
      </c>
      <c r="F31" s="100">
        <v>3.76</v>
      </c>
      <c r="G31" s="100">
        <v>96.03</v>
      </c>
      <c r="H31" s="100">
        <v>23.82</v>
      </c>
      <c r="I31" s="100">
        <v>14.09</v>
      </c>
      <c r="J31" s="100">
        <v>0.24</v>
      </c>
      <c r="K31" s="100">
        <v>212.7</v>
      </c>
      <c r="L31" s="100">
        <v>25.67</v>
      </c>
      <c r="M31" s="100">
        <v>57.65</v>
      </c>
      <c r="N31" s="100">
        <v>9.5</v>
      </c>
      <c r="O31" s="100">
        <v>0</v>
      </c>
      <c r="P31" s="100">
        <v>1.1299999999999999</v>
      </c>
      <c r="Q31" s="100">
        <v>6.33</v>
      </c>
    </row>
    <row r="32" spans="1:17" customFormat="1">
      <c r="A32" s="100" t="s">
        <v>2756</v>
      </c>
      <c r="B32" s="100">
        <v>39.22</v>
      </c>
      <c r="C32" s="100">
        <v>65.099999999999994</v>
      </c>
      <c r="D32" s="100">
        <v>64.42</v>
      </c>
      <c r="E32" s="100">
        <v>6.83</v>
      </c>
      <c r="F32" s="100">
        <v>3.66</v>
      </c>
      <c r="G32" s="100">
        <v>96.03</v>
      </c>
      <c r="H32" s="100">
        <v>23.82</v>
      </c>
      <c r="I32" s="100">
        <v>13.89</v>
      </c>
      <c r="J32" s="100">
        <v>0.15</v>
      </c>
      <c r="K32" s="100">
        <v>187.15</v>
      </c>
      <c r="L32" s="100">
        <v>26.18</v>
      </c>
      <c r="M32" s="100">
        <v>57.73</v>
      </c>
      <c r="N32" s="100">
        <v>21.1</v>
      </c>
      <c r="O32" s="100">
        <v>0</v>
      </c>
      <c r="P32" s="100">
        <v>1.1200000000000001</v>
      </c>
      <c r="Q32" s="100">
        <v>6.36</v>
      </c>
    </row>
    <row r="33" spans="1:17" customFormat="1">
      <c r="A33" s="100" t="s">
        <v>2757</v>
      </c>
      <c r="B33" s="100">
        <v>39.46</v>
      </c>
      <c r="C33" s="100">
        <v>63.81</v>
      </c>
      <c r="D33" s="100">
        <v>63.94</v>
      </c>
      <c r="E33" s="100">
        <v>6.11</v>
      </c>
      <c r="F33" s="100">
        <v>3.67</v>
      </c>
      <c r="G33" s="100">
        <v>96.03</v>
      </c>
      <c r="H33" s="100">
        <v>23.82</v>
      </c>
      <c r="I33" s="100">
        <v>13.7</v>
      </c>
      <c r="J33" s="100">
        <v>0.3</v>
      </c>
      <c r="K33" s="100">
        <v>187.53</v>
      </c>
      <c r="L33" s="100">
        <v>26.53</v>
      </c>
      <c r="M33" s="100">
        <v>56.5</v>
      </c>
      <c r="N33" s="100">
        <v>33</v>
      </c>
      <c r="O33" s="100">
        <v>0</v>
      </c>
      <c r="P33" s="100">
        <v>1.1100000000000001</v>
      </c>
      <c r="Q33" s="100">
        <v>6.32</v>
      </c>
    </row>
    <row r="34" spans="1:17" customFormat="1">
      <c r="A34" s="100" t="s">
        <v>2758</v>
      </c>
      <c r="B34" s="100">
        <v>39.43</v>
      </c>
      <c r="C34" s="100">
        <v>63.86</v>
      </c>
      <c r="D34" s="100">
        <v>63.94</v>
      </c>
      <c r="E34" s="100">
        <v>5.98</v>
      </c>
      <c r="F34" s="100">
        <v>3.73</v>
      </c>
      <c r="G34" s="100">
        <v>93.01</v>
      </c>
      <c r="H34" s="100">
        <v>23.75</v>
      </c>
      <c r="I34" s="100">
        <v>13.51</v>
      </c>
      <c r="J34" s="100">
        <v>0.19</v>
      </c>
      <c r="K34" s="100">
        <v>160.16999999999999</v>
      </c>
      <c r="L34" s="100">
        <v>27.23</v>
      </c>
      <c r="M34" s="100">
        <v>54.92</v>
      </c>
      <c r="N34" s="100">
        <v>43.6</v>
      </c>
      <c r="O34" s="100">
        <v>0</v>
      </c>
      <c r="P34" s="100">
        <v>1.1000000000000001</v>
      </c>
      <c r="Q34" s="100">
        <v>6.36</v>
      </c>
    </row>
    <row r="35" spans="1:17" customFormat="1">
      <c r="A35" s="100" t="s">
        <v>2759</v>
      </c>
      <c r="B35" s="100">
        <v>38.69</v>
      </c>
      <c r="C35" s="100">
        <v>61.33</v>
      </c>
      <c r="D35" s="100">
        <v>62.03</v>
      </c>
      <c r="E35" s="100">
        <v>7.06</v>
      </c>
      <c r="F35" s="100">
        <v>4.3499999999999996</v>
      </c>
      <c r="G35" s="100">
        <v>88.69</v>
      </c>
      <c r="H35" s="100">
        <v>23.68</v>
      </c>
      <c r="I35" s="100">
        <v>13.37</v>
      </c>
      <c r="J35" s="100">
        <v>0.11</v>
      </c>
      <c r="K35" s="100">
        <v>142.08000000000001</v>
      </c>
      <c r="L35" s="100">
        <v>28.35</v>
      </c>
      <c r="M35" s="100">
        <v>52.44</v>
      </c>
      <c r="N35" s="100">
        <v>53.6</v>
      </c>
      <c r="O35" s="100">
        <v>0</v>
      </c>
      <c r="P35" s="100">
        <v>1.08</v>
      </c>
      <c r="Q35" s="100">
        <v>6.38</v>
      </c>
    </row>
    <row r="36" spans="1:17" customFormat="1">
      <c r="A36" s="100" t="s">
        <v>2760</v>
      </c>
      <c r="B36" s="100">
        <v>36.79</v>
      </c>
      <c r="C36" s="100">
        <v>60.94</v>
      </c>
      <c r="D36" s="100">
        <v>60.3</v>
      </c>
      <c r="E36" s="100">
        <v>7.39</v>
      </c>
      <c r="F36" s="100">
        <v>4.5199999999999996</v>
      </c>
      <c r="G36" s="100">
        <v>88.69</v>
      </c>
      <c r="H36" s="100">
        <v>23.68</v>
      </c>
      <c r="I36" s="100">
        <v>13.21</v>
      </c>
      <c r="J36" s="100">
        <v>0.25</v>
      </c>
      <c r="K36" s="100">
        <v>130.97</v>
      </c>
      <c r="L36" s="100">
        <v>29.68</v>
      </c>
      <c r="M36" s="100">
        <v>48.71</v>
      </c>
      <c r="N36" s="100">
        <v>63.4</v>
      </c>
      <c r="O36" s="100">
        <v>0</v>
      </c>
      <c r="P36" s="100">
        <v>1.07</v>
      </c>
      <c r="Q36" s="100">
        <v>6.38</v>
      </c>
    </row>
    <row r="37" spans="1:17" customFormat="1">
      <c r="A37" s="100" t="s">
        <v>2761</v>
      </c>
      <c r="B37" s="100">
        <v>36.74</v>
      </c>
      <c r="C37" s="100">
        <v>59.05</v>
      </c>
      <c r="D37" s="100">
        <v>59.27</v>
      </c>
      <c r="E37" s="100">
        <v>8.6300000000000008</v>
      </c>
      <c r="F37" s="100">
        <v>5.05</v>
      </c>
      <c r="G37" s="100">
        <v>88.69</v>
      </c>
      <c r="H37" s="100">
        <v>23.68</v>
      </c>
      <c r="I37" s="100">
        <v>13.12</v>
      </c>
      <c r="J37" s="100">
        <v>0.31</v>
      </c>
      <c r="K37" s="100">
        <v>89.77</v>
      </c>
      <c r="L37" s="100">
        <v>30.46</v>
      </c>
      <c r="M37" s="100">
        <v>47.76</v>
      </c>
      <c r="N37" s="100">
        <v>72.599999999999994</v>
      </c>
      <c r="O37" s="100">
        <v>0</v>
      </c>
      <c r="P37" s="100">
        <v>1.05</v>
      </c>
      <c r="Q37" s="100">
        <v>6.34</v>
      </c>
    </row>
    <row r="38" spans="1:17" customFormat="1">
      <c r="A38" s="100" t="s">
        <v>2762</v>
      </c>
      <c r="B38" s="100">
        <v>34.799999999999997</v>
      </c>
      <c r="C38" s="100">
        <v>58.18</v>
      </c>
      <c r="D38" s="100">
        <v>57.26</v>
      </c>
      <c r="E38" s="100">
        <v>10.130000000000001</v>
      </c>
      <c r="F38" s="100">
        <v>6.43</v>
      </c>
      <c r="G38" s="100">
        <v>90.28</v>
      </c>
      <c r="H38" s="100">
        <v>24.45</v>
      </c>
      <c r="I38" s="100">
        <v>13.02</v>
      </c>
      <c r="J38" s="100">
        <v>0.32</v>
      </c>
      <c r="K38" s="100">
        <v>111.63</v>
      </c>
      <c r="L38" s="100">
        <v>31.13</v>
      </c>
      <c r="M38" s="100">
        <v>44.13</v>
      </c>
      <c r="N38" s="100">
        <v>81.3</v>
      </c>
      <c r="O38" s="100">
        <v>0</v>
      </c>
      <c r="P38" s="100">
        <v>1.02</v>
      </c>
      <c r="Q38" s="100">
        <v>6.37</v>
      </c>
    </row>
    <row r="39" spans="1:17" customFormat="1">
      <c r="A39" s="100" t="s">
        <v>2763</v>
      </c>
      <c r="B39" s="100">
        <v>35.96</v>
      </c>
      <c r="C39" s="100">
        <v>62.72</v>
      </c>
      <c r="D39" s="100">
        <v>60.56</v>
      </c>
      <c r="E39" s="100">
        <v>9.2100000000000009</v>
      </c>
      <c r="F39" s="100">
        <v>5.55</v>
      </c>
      <c r="G39" s="100">
        <v>92.55</v>
      </c>
      <c r="H39" s="100">
        <v>26.3</v>
      </c>
      <c r="I39" s="100">
        <v>12.73</v>
      </c>
      <c r="J39" s="100">
        <v>0.47</v>
      </c>
      <c r="K39" s="100">
        <v>75.13</v>
      </c>
      <c r="L39" s="100">
        <v>31.83</v>
      </c>
      <c r="M39" s="100">
        <v>41.48</v>
      </c>
      <c r="N39" s="100">
        <v>88.2</v>
      </c>
      <c r="O39" s="100">
        <v>0</v>
      </c>
      <c r="P39" s="100">
        <v>1.04</v>
      </c>
      <c r="Q39" s="100">
        <v>6.36</v>
      </c>
    </row>
    <row r="40" spans="1:17" customFormat="1">
      <c r="A40" s="100" t="s">
        <v>2764</v>
      </c>
      <c r="B40" s="100">
        <v>34.43</v>
      </c>
      <c r="C40" s="100">
        <v>57.92</v>
      </c>
      <c r="D40" s="100">
        <v>56.83</v>
      </c>
      <c r="E40" s="100">
        <v>12.83</v>
      </c>
      <c r="F40" s="100">
        <v>7.49</v>
      </c>
      <c r="G40" s="100">
        <v>92.55</v>
      </c>
      <c r="H40" s="100">
        <v>26.3</v>
      </c>
      <c r="I40" s="100">
        <v>12.57</v>
      </c>
      <c r="J40" s="100">
        <v>0.46</v>
      </c>
      <c r="K40" s="100">
        <v>78.14</v>
      </c>
      <c r="L40" s="100">
        <v>32.200000000000003</v>
      </c>
      <c r="M40" s="100">
        <v>39.06</v>
      </c>
      <c r="N40" s="100">
        <v>98.7</v>
      </c>
      <c r="O40" s="100">
        <v>0</v>
      </c>
      <c r="P40" s="100">
        <v>1.02</v>
      </c>
      <c r="Q40" s="100">
        <v>6.28</v>
      </c>
    </row>
    <row r="41" spans="1:17" customFormat="1">
      <c r="A41" s="100" t="s">
        <v>2765</v>
      </c>
      <c r="B41" s="100">
        <v>32.799999999999997</v>
      </c>
      <c r="C41" s="100">
        <v>60.2</v>
      </c>
      <c r="D41" s="100">
        <v>56.71</v>
      </c>
      <c r="E41" s="100">
        <v>14.25</v>
      </c>
      <c r="F41" s="100">
        <v>8.32</v>
      </c>
      <c r="G41" s="100">
        <v>92.55</v>
      </c>
      <c r="H41" s="100">
        <v>26.3</v>
      </c>
      <c r="I41" s="100">
        <v>12.49</v>
      </c>
      <c r="J41" s="100">
        <v>0.4</v>
      </c>
      <c r="K41" s="100">
        <v>76.28</v>
      </c>
      <c r="L41" s="100">
        <v>32.950000000000003</v>
      </c>
      <c r="M41" s="100">
        <v>37.590000000000003</v>
      </c>
      <c r="N41" s="100">
        <v>103.7</v>
      </c>
      <c r="O41" s="100">
        <v>0</v>
      </c>
      <c r="P41" s="100">
        <v>1.02</v>
      </c>
      <c r="Q41" s="100">
        <v>6.25</v>
      </c>
    </row>
    <row r="42" spans="1:17" customFormat="1">
      <c r="A42" s="100" t="s">
        <v>2766</v>
      </c>
      <c r="B42" s="100">
        <v>29.59</v>
      </c>
      <c r="C42" s="100">
        <v>56.65</v>
      </c>
      <c r="D42" s="100">
        <v>52.28</v>
      </c>
      <c r="E42" s="100">
        <v>21.31</v>
      </c>
      <c r="F42" s="100">
        <v>11.05</v>
      </c>
      <c r="G42" s="100">
        <v>94.66</v>
      </c>
      <c r="H42" s="100">
        <v>27.76</v>
      </c>
      <c r="I42" s="100">
        <v>12.24</v>
      </c>
      <c r="J42" s="100">
        <v>0.49</v>
      </c>
      <c r="K42" s="100">
        <v>77.75</v>
      </c>
      <c r="L42" s="100">
        <v>33.6</v>
      </c>
      <c r="M42" s="100">
        <v>35.4</v>
      </c>
      <c r="N42" s="100">
        <v>109.7</v>
      </c>
      <c r="O42" s="100">
        <v>0</v>
      </c>
      <c r="P42" s="100">
        <v>0.99</v>
      </c>
      <c r="Q42" s="100">
        <v>6.15</v>
      </c>
    </row>
    <row r="43" spans="1:17" customFormat="1">
      <c r="A43" s="100" t="s">
        <v>2767</v>
      </c>
      <c r="B43" s="100">
        <v>29.64</v>
      </c>
      <c r="C43" s="100">
        <v>62.99</v>
      </c>
      <c r="D43" s="100">
        <v>55.64</v>
      </c>
      <c r="E43" s="100">
        <v>11.56</v>
      </c>
      <c r="F43" s="100">
        <v>7.68</v>
      </c>
      <c r="G43" s="100">
        <v>97.7</v>
      </c>
      <c r="H43" s="100">
        <v>29.01</v>
      </c>
      <c r="I43" s="100">
        <v>11.85</v>
      </c>
      <c r="J43" s="100">
        <v>0.38</v>
      </c>
      <c r="K43" s="100">
        <v>75.78</v>
      </c>
      <c r="L43" s="100">
        <v>34.159999999999997</v>
      </c>
      <c r="M43" s="100">
        <v>34.200000000000003</v>
      </c>
      <c r="N43" s="100">
        <v>115.6</v>
      </c>
      <c r="O43" s="100">
        <v>0</v>
      </c>
      <c r="P43" s="100">
        <v>1.01</v>
      </c>
      <c r="Q43" s="100">
        <v>6.15</v>
      </c>
    </row>
    <row r="44" spans="1:17" customFormat="1">
      <c r="A44" s="100" t="s">
        <v>2768</v>
      </c>
      <c r="B44" s="100">
        <v>27.41</v>
      </c>
      <c r="C44" s="100">
        <v>61.2</v>
      </c>
      <c r="D44" s="100">
        <v>52.91</v>
      </c>
      <c r="E44" s="100">
        <v>17.59</v>
      </c>
      <c r="F44" s="100">
        <v>11.4</v>
      </c>
      <c r="G44" s="100">
        <v>97.7</v>
      </c>
      <c r="H44" s="100">
        <v>29.01</v>
      </c>
      <c r="I44" s="100">
        <v>11.63</v>
      </c>
      <c r="J44" s="100">
        <v>0.6</v>
      </c>
      <c r="K44" s="100">
        <v>53.33</v>
      </c>
      <c r="L44" s="100">
        <v>34.340000000000003</v>
      </c>
      <c r="M44" s="100">
        <v>34.32</v>
      </c>
      <c r="N44" s="100">
        <v>124.6</v>
      </c>
      <c r="O44" s="100">
        <v>0</v>
      </c>
      <c r="P44" s="100">
        <v>0.99</v>
      </c>
      <c r="Q44" s="100">
        <v>6.18</v>
      </c>
    </row>
    <row r="45" spans="1:17" customFormat="1">
      <c r="A45" s="100" t="s">
        <v>2769</v>
      </c>
      <c r="B45" s="100">
        <v>26.5</v>
      </c>
      <c r="C45" s="100">
        <v>57.05</v>
      </c>
      <c r="D45" s="100">
        <v>50.01</v>
      </c>
      <c r="E45" s="100">
        <v>19.82</v>
      </c>
      <c r="F45" s="100">
        <v>12.88</v>
      </c>
      <c r="G45" s="100">
        <v>97.7</v>
      </c>
      <c r="H45" s="100">
        <v>29.01</v>
      </c>
      <c r="I45" s="100">
        <v>11.67</v>
      </c>
      <c r="J45" s="100">
        <v>0.1</v>
      </c>
      <c r="K45" s="100">
        <v>227.83</v>
      </c>
      <c r="L45" s="100">
        <v>35.06</v>
      </c>
      <c r="M45" s="100">
        <v>32.5</v>
      </c>
      <c r="N45" s="100">
        <v>130.69999999999999</v>
      </c>
      <c r="O45" s="100">
        <v>0</v>
      </c>
      <c r="P45" s="100">
        <v>0.96</v>
      </c>
      <c r="Q45" s="100">
        <v>6.01</v>
      </c>
    </row>
    <row r="46" spans="1:17" customFormat="1">
      <c r="A46" s="100" t="s">
        <v>2770</v>
      </c>
      <c r="B46" s="100">
        <v>23.71</v>
      </c>
      <c r="C46" s="100">
        <v>54.94</v>
      </c>
      <c r="D46" s="100">
        <v>46.67</v>
      </c>
      <c r="E46" s="100">
        <v>17.34</v>
      </c>
      <c r="F46" s="100">
        <v>17.559999999999999</v>
      </c>
      <c r="G46" s="100">
        <v>97.48</v>
      </c>
      <c r="H46" s="100">
        <v>28.99</v>
      </c>
      <c r="I46" s="100">
        <v>11.13</v>
      </c>
      <c r="J46" s="100">
        <v>0.15</v>
      </c>
      <c r="K46" s="100">
        <v>354.67</v>
      </c>
      <c r="L46" s="100">
        <v>34.909999999999997</v>
      </c>
      <c r="M46" s="100">
        <v>32.74</v>
      </c>
      <c r="N46" s="100">
        <v>138.1</v>
      </c>
      <c r="O46" s="100">
        <v>0</v>
      </c>
      <c r="P46" s="100">
        <v>0.92</v>
      </c>
      <c r="Q46" s="100">
        <v>5.89</v>
      </c>
    </row>
    <row r="47" spans="1:17" customFormat="1">
      <c r="A47" s="100" t="s">
        <v>2771</v>
      </c>
      <c r="B47" s="100">
        <v>21.61</v>
      </c>
      <c r="C47" s="100">
        <v>53.82</v>
      </c>
      <c r="D47" s="100">
        <v>44.41</v>
      </c>
      <c r="E47" s="100">
        <v>22.33</v>
      </c>
      <c r="F47" s="100">
        <v>21.28</v>
      </c>
      <c r="G47" s="100">
        <v>97.17</v>
      </c>
      <c r="H47" s="100">
        <v>28.98</v>
      </c>
      <c r="I47" s="100">
        <v>10.78</v>
      </c>
      <c r="J47" s="100">
        <v>0.27</v>
      </c>
      <c r="K47" s="100">
        <v>351.69</v>
      </c>
      <c r="L47" s="100">
        <v>35.92</v>
      </c>
      <c r="M47" s="100">
        <v>30.84</v>
      </c>
      <c r="N47" s="100">
        <v>140.19999999999999</v>
      </c>
      <c r="O47" s="100">
        <v>0</v>
      </c>
      <c r="P47" s="100">
        <v>0.91</v>
      </c>
      <c r="Q47" s="100">
        <v>5.78</v>
      </c>
    </row>
    <row r="48" spans="1:17" customFormat="1">
      <c r="A48" s="100" t="s">
        <v>2772</v>
      </c>
      <c r="B48" s="100">
        <v>20.93</v>
      </c>
      <c r="C48" s="100">
        <v>55</v>
      </c>
      <c r="D48" s="100">
        <v>44.47</v>
      </c>
      <c r="E48" s="100">
        <v>16.3</v>
      </c>
      <c r="F48" s="100">
        <v>14.59</v>
      </c>
      <c r="G48" s="100">
        <v>97.17</v>
      </c>
      <c r="H48" s="100">
        <v>28.98</v>
      </c>
      <c r="I48" s="100">
        <v>10.54</v>
      </c>
      <c r="J48" s="100">
        <v>0.44</v>
      </c>
      <c r="K48" s="100">
        <v>278.05</v>
      </c>
      <c r="L48" s="100">
        <v>36.33</v>
      </c>
      <c r="M48" s="100">
        <v>30.05</v>
      </c>
      <c r="N48" s="100">
        <v>146.9</v>
      </c>
      <c r="O48" s="100">
        <v>0</v>
      </c>
      <c r="P48" s="100">
        <v>0.9</v>
      </c>
      <c r="Q48" s="100">
        <v>5.64</v>
      </c>
    </row>
    <row r="49" spans="1:17" customFormat="1">
      <c r="A49" s="100" t="s">
        <v>2773</v>
      </c>
      <c r="B49" s="100">
        <v>19.440000000000001</v>
      </c>
      <c r="C49" s="100">
        <v>52.91</v>
      </c>
      <c r="D49" s="100">
        <v>42.18</v>
      </c>
      <c r="E49" s="100">
        <v>9.77</v>
      </c>
      <c r="F49" s="100">
        <v>17.05</v>
      </c>
      <c r="G49" s="100">
        <v>97.17</v>
      </c>
      <c r="H49" s="100">
        <v>28.98</v>
      </c>
      <c r="I49" s="100">
        <v>10.14</v>
      </c>
      <c r="J49" s="100">
        <v>0.93</v>
      </c>
      <c r="K49" s="100">
        <v>298.76</v>
      </c>
      <c r="L49" s="100">
        <v>36.33</v>
      </c>
      <c r="M49" s="100">
        <v>28.33</v>
      </c>
      <c r="N49" s="100">
        <v>154.1</v>
      </c>
      <c r="O49" s="100">
        <v>0</v>
      </c>
      <c r="P49" s="100">
        <v>0.88</v>
      </c>
      <c r="Q49" s="100">
        <v>5.56</v>
      </c>
    </row>
    <row r="50" spans="1:17" customFormat="1">
      <c r="A50" s="100" t="s">
        <v>2774</v>
      </c>
      <c r="B50" s="100">
        <v>16.489999999999998</v>
      </c>
      <c r="C50" s="100">
        <v>48.99</v>
      </c>
      <c r="D50" s="100">
        <v>37.78</v>
      </c>
      <c r="E50" s="100">
        <v>13.72</v>
      </c>
      <c r="F50" s="100">
        <v>23.82</v>
      </c>
      <c r="G50" s="100">
        <v>95.22</v>
      </c>
      <c r="H50" s="100">
        <v>26.71</v>
      </c>
      <c r="I50" s="100">
        <v>10.199999999999999</v>
      </c>
      <c r="J50" s="100">
        <v>0.63</v>
      </c>
      <c r="K50" s="100">
        <v>295.35000000000002</v>
      </c>
      <c r="L50" s="100">
        <v>37.049999999999997</v>
      </c>
      <c r="M50" s="100">
        <v>27.63</v>
      </c>
      <c r="N50" s="100">
        <v>167.4</v>
      </c>
      <c r="O50" s="100">
        <v>0</v>
      </c>
      <c r="P50" s="100">
        <v>0.83</v>
      </c>
      <c r="Q50" s="100">
        <v>5.44</v>
      </c>
    </row>
    <row r="51" spans="1:17" customFormat="1">
      <c r="A51" s="100" t="s">
        <v>2775</v>
      </c>
      <c r="B51" s="100">
        <v>15.3</v>
      </c>
      <c r="C51" s="100">
        <v>50.89</v>
      </c>
      <c r="D51" s="100">
        <v>37.81</v>
      </c>
      <c r="E51" s="100">
        <v>15.38</v>
      </c>
      <c r="F51" s="100">
        <v>25.79</v>
      </c>
      <c r="G51" s="100">
        <v>92.3</v>
      </c>
      <c r="H51" s="100">
        <v>24.75</v>
      </c>
      <c r="I51" s="100">
        <v>9.94</v>
      </c>
      <c r="J51" s="100">
        <v>0.96</v>
      </c>
      <c r="K51" s="100">
        <v>312.54000000000002</v>
      </c>
      <c r="L51" s="100">
        <v>37.04</v>
      </c>
      <c r="M51" s="100">
        <v>26.69</v>
      </c>
      <c r="N51" s="100">
        <v>192.2</v>
      </c>
      <c r="O51" s="100">
        <v>0</v>
      </c>
      <c r="P51" s="100">
        <v>0.84</v>
      </c>
      <c r="Q51" s="100">
        <v>5.33</v>
      </c>
    </row>
    <row r="52" spans="1:17" customFormat="1">
      <c r="A52" s="100" t="s">
        <v>2776</v>
      </c>
      <c r="B52" s="100">
        <v>12.73</v>
      </c>
      <c r="C52" s="100">
        <v>51.17</v>
      </c>
      <c r="D52" s="100">
        <v>35.9</v>
      </c>
      <c r="E52" s="100">
        <v>15.64</v>
      </c>
      <c r="F52" s="100">
        <v>26.51</v>
      </c>
      <c r="G52" s="100">
        <v>92.3</v>
      </c>
      <c r="H52" s="100">
        <v>24.75</v>
      </c>
      <c r="I52" s="100">
        <v>9.5399999999999991</v>
      </c>
      <c r="J52" s="100">
        <v>1.26</v>
      </c>
      <c r="K52" s="100">
        <v>301.12</v>
      </c>
      <c r="L52" s="100">
        <v>37.409999999999997</v>
      </c>
      <c r="M52" s="100">
        <v>26.71</v>
      </c>
      <c r="N52" s="100">
        <v>219.1</v>
      </c>
      <c r="O52" s="100">
        <v>0</v>
      </c>
      <c r="P52" s="100">
        <v>0.84</v>
      </c>
      <c r="Q52" s="100">
        <v>5.23</v>
      </c>
    </row>
    <row r="53" spans="1:17" customFormat="1">
      <c r="A53" s="100" t="s">
        <v>2777</v>
      </c>
      <c r="B53" s="100">
        <v>11.76</v>
      </c>
      <c r="C53" s="100">
        <v>52.4</v>
      </c>
      <c r="D53" s="100">
        <v>35.76</v>
      </c>
      <c r="E53" s="100">
        <v>16.02</v>
      </c>
      <c r="F53" s="100">
        <v>23.95</v>
      </c>
      <c r="G53" s="100">
        <v>92.3</v>
      </c>
      <c r="H53" s="100">
        <v>24.75</v>
      </c>
      <c r="I53" s="100">
        <v>9.4600000000000009</v>
      </c>
      <c r="J53" s="100">
        <v>1.2</v>
      </c>
      <c r="K53" s="100">
        <v>279.64999999999998</v>
      </c>
      <c r="L53" s="100">
        <v>37.54</v>
      </c>
      <c r="M53" s="100">
        <v>26.28</v>
      </c>
      <c r="N53" s="100">
        <v>236.7</v>
      </c>
      <c r="O53" s="100">
        <v>0</v>
      </c>
      <c r="P53" s="100">
        <v>0.83</v>
      </c>
      <c r="Q53" s="100">
        <v>5.16</v>
      </c>
    </row>
    <row r="54" spans="1:17" customFormat="1">
      <c r="A54" s="100" t="s">
        <v>2778</v>
      </c>
      <c r="B54" s="100">
        <v>10.37</v>
      </c>
      <c r="C54" s="100">
        <v>52.29</v>
      </c>
      <c r="D54" s="100">
        <v>34.6</v>
      </c>
      <c r="E54" s="100">
        <v>15.93</v>
      </c>
      <c r="F54" s="100">
        <v>29.93</v>
      </c>
      <c r="G54" s="100">
        <v>93.27</v>
      </c>
      <c r="H54" s="100">
        <v>26.11</v>
      </c>
      <c r="I54" s="100">
        <v>9.3000000000000007</v>
      </c>
      <c r="J54" s="100">
        <v>0.96</v>
      </c>
      <c r="K54" s="100">
        <v>299.57</v>
      </c>
      <c r="L54" s="100">
        <v>37.78</v>
      </c>
      <c r="M54" s="100">
        <v>24.78</v>
      </c>
      <c r="N54" s="100">
        <v>232</v>
      </c>
      <c r="O54" s="100">
        <v>0</v>
      </c>
      <c r="P54" s="100">
        <v>0.8</v>
      </c>
      <c r="Q54" s="100">
        <v>5.05</v>
      </c>
    </row>
    <row r="55" spans="1:17" customFormat="1">
      <c r="A55" s="100" t="s">
        <v>2779</v>
      </c>
      <c r="B55" s="100">
        <v>9.33</v>
      </c>
      <c r="C55" s="100">
        <v>52.21</v>
      </c>
      <c r="D55" s="100">
        <v>33.72</v>
      </c>
      <c r="E55" s="100">
        <v>14.53</v>
      </c>
      <c r="F55" s="100">
        <v>24.2</v>
      </c>
      <c r="G55" s="100">
        <v>94.67</v>
      </c>
      <c r="H55" s="100">
        <v>27.28</v>
      </c>
      <c r="I55" s="100">
        <v>9.2200000000000006</v>
      </c>
      <c r="J55" s="100">
        <v>0.94</v>
      </c>
      <c r="K55" s="100">
        <v>297.89999999999998</v>
      </c>
      <c r="L55" s="100">
        <v>38.39</v>
      </c>
      <c r="M55" s="100">
        <v>24.25</v>
      </c>
      <c r="N55" s="100">
        <v>574.1</v>
      </c>
      <c r="O55" s="100">
        <v>0</v>
      </c>
      <c r="P55" s="100">
        <v>0.76</v>
      </c>
      <c r="Q55" s="100">
        <v>5</v>
      </c>
    </row>
    <row r="56" spans="1:17" customFormat="1">
      <c r="A56" s="100" t="s">
        <v>2780</v>
      </c>
      <c r="B56" s="100">
        <v>7.55</v>
      </c>
      <c r="C56" s="100">
        <v>48.44</v>
      </c>
      <c r="D56" s="100">
        <v>30.32</v>
      </c>
      <c r="E56" s="100">
        <v>19.12</v>
      </c>
      <c r="F56" s="100">
        <v>43.48</v>
      </c>
      <c r="G56" s="100">
        <v>94.67</v>
      </c>
      <c r="H56" s="100">
        <v>27.28</v>
      </c>
      <c r="I56" s="100">
        <v>8.8000000000000007</v>
      </c>
      <c r="J56" s="100">
        <v>0.81</v>
      </c>
      <c r="K56" s="100">
        <v>335.93</v>
      </c>
      <c r="L56" s="100">
        <v>38.840000000000003</v>
      </c>
      <c r="M56" s="100">
        <v>24.28</v>
      </c>
      <c r="N56" s="100">
        <v>746.7</v>
      </c>
      <c r="O56" s="100">
        <v>0</v>
      </c>
      <c r="P56" s="100">
        <v>0.74</v>
      </c>
      <c r="Q56" s="100">
        <v>4.96</v>
      </c>
    </row>
    <row r="57" spans="1:17" customFormat="1">
      <c r="A57" s="100" t="s">
        <v>2781</v>
      </c>
      <c r="B57" s="100">
        <v>7.09</v>
      </c>
      <c r="C57" s="100">
        <v>50.2</v>
      </c>
      <c r="D57" s="100">
        <v>30.87</v>
      </c>
      <c r="E57" s="100">
        <v>23.15</v>
      </c>
      <c r="F57" s="100">
        <v>44.01</v>
      </c>
      <c r="G57" s="100">
        <v>94.67</v>
      </c>
      <c r="H57" s="100">
        <v>27.28</v>
      </c>
      <c r="I57" s="100">
        <v>8.3000000000000007</v>
      </c>
      <c r="J57" s="100">
        <v>0.72</v>
      </c>
      <c r="K57" s="100">
        <v>6.11</v>
      </c>
      <c r="L57" s="100">
        <v>39.130000000000003</v>
      </c>
      <c r="M57" s="100">
        <v>23.33</v>
      </c>
      <c r="N57" s="100">
        <v>771.5</v>
      </c>
      <c r="O57" s="100">
        <v>0</v>
      </c>
      <c r="P57" s="100">
        <v>0.73</v>
      </c>
      <c r="Q57" s="100">
        <v>4.95</v>
      </c>
    </row>
    <row r="58" spans="1:17" customFormat="1">
      <c r="A58" s="100" t="s">
        <v>2782</v>
      </c>
      <c r="B58" s="100">
        <v>6.31</v>
      </c>
      <c r="C58" s="100">
        <v>51.04</v>
      </c>
      <c r="D58" s="100">
        <v>30.68</v>
      </c>
      <c r="E58" s="100">
        <v>21.79</v>
      </c>
      <c r="F58" s="100">
        <v>31.15</v>
      </c>
      <c r="G58" s="100">
        <v>92.67</v>
      </c>
      <c r="H58" s="100">
        <v>25.98</v>
      </c>
      <c r="I58" s="100">
        <v>7.93</v>
      </c>
      <c r="J58" s="100">
        <v>1.1000000000000001</v>
      </c>
      <c r="K58" s="100">
        <v>303.26</v>
      </c>
      <c r="L58" s="100">
        <v>39.35</v>
      </c>
      <c r="M58" s="100">
        <v>22.5</v>
      </c>
      <c r="N58" s="100">
        <v>791.2</v>
      </c>
      <c r="O58" s="100">
        <v>0</v>
      </c>
      <c r="P58" s="100">
        <v>0.74</v>
      </c>
      <c r="Q58" s="100">
        <v>4.87</v>
      </c>
    </row>
    <row r="59" spans="1:17" customFormat="1">
      <c r="A59" s="100" t="s">
        <v>2783</v>
      </c>
      <c r="B59" s="100">
        <v>5.79</v>
      </c>
      <c r="C59" s="100">
        <v>50.47</v>
      </c>
      <c r="D59" s="100">
        <v>29.96</v>
      </c>
      <c r="E59" s="100">
        <v>15.23</v>
      </c>
      <c r="F59" s="100">
        <v>28.09</v>
      </c>
      <c r="G59" s="100">
        <v>89.8</v>
      </c>
      <c r="H59" s="100">
        <v>24.85</v>
      </c>
      <c r="I59" s="100">
        <v>7.73</v>
      </c>
      <c r="J59" s="100">
        <v>0.91</v>
      </c>
      <c r="K59" s="100">
        <v>302.14</v>
      </c>
      <c r="L59" s="100">
        <v>39.31</v>
      </c>
      <c r="M59" s="100">
        <v>21.95</v>
      </c>
      <c r="N59" s="100">
        <v>807.7</v>
      </c>
      <c r="O59" s="100">
        <v>0</v>
      </c>
      <c r="P59" s="100">
        <v>0.71</v>
      </c>
      <c r="Q59" s="100">
        <v>4.82</v>
      </c>
    </row>
    <row r="60" spans="1:17" customFormat="1">
      <c r="A60" s="100" t="s">
        <v>2784</v>
      </c>
      <c r="B60" s="100">
        <v>5.86</v>
      </c>
      <c r="C60" s="100">
        <v>49.77</v>
      </c>
      <c r="D60" s="100">
        <v>29.66</v>
      </c>
      <c r="E60" s="100">
        <v>10.01</v>
      </c>
      <c r="F60" s="100">
        <v>27.72</v>
      </c>
      <c r="G60" s="100">
        <v>89.8</v>
      </c>
      <c r="H60" s="100">
        <v>24.85</v>
      </c>
      <c r="I60" s="100">
        <v>7.68</v>
      </c>
      <c r="J60" s="100">
        <v>1.06</v>
      </c>
      <c r="K60" s="100">
        <v>309.39999999999998</v>
      </c>
      <c r="L60" s="100">
        <v>39.630000000000003</v>
      </c>
      <c r="M60" s="100">
        <v>21.29</v>
      </c>
      <c r="N60" s="100">
        <v>831.4</v>
      </c>
      <c r="O60" s="100">
        <v>0</v>
      </c>
      <c r="P60" s="100">
        <v>0.68</v>
      </c>
      <c r="Q60" s="100">
        <v>4.79</v>
      </c>
    </row>
    <row r="61" spans="1:17" customFormat="1">
      <c r="A61" s="100" t="s">
        <v>2785</v>
      </c>
      <c r="B61" s="100">
        <v>5.87</v>
      </c>
      <c r="C61" s="100">
        <v>48.65</v>
      </c>
      <c r="D61" s="100">
        <v>29.08</v>
      </c>
      <c r="E61" s="100">
        <v>8.76</v>
      </c>
      <c r="F61" s="100">
        <v>25.35</v>
      </c>
      <c r="G61" s="100">
        <v>89.8</v>
      </c>
      <c r="H61" s="100">
        <v>24.85</v>
      </c>
      <c r="I61" s="100">
        <v>7.71</v>
      </c>
      <c r="J61" s="100">
        <v>1.1399999999999999</v>
      </c>
      <c r="K61" s="100">
        <v>291.8</v>
      </c>
      <c r="L61" s="100">
        <v>39.840000000000003</v>
      </c>
      <c r="M61" s="100">
        <v>20.61</v>
      </c>
      <c r="N61" s="100">
        <v>831.2</v>
      </c>
      <c r="O61" s="100">
        <v>0</v>
      </c>
      <c r="P61" s="100">
        <v>0.67</v>
      </c>
      <c r="Q61" s="100">
        <v>4.7300000000000004</v>
      </c>
    </row>
    <row r="62" spans="1:17" customFormat="1">
      <c r="A62" s="100" t="s">
        <v>2786</v>
      </c>
      <c r="B62" s="100">
        <v>5.24</v>
      </c>
      <c r="C62" s="100">
        <v>47.76</v>
      </c>
      <c r="D62" s="100">
        <v>28.11</v>
      </c>
      <c r="E62" s="100">
        <v>8.59</v>
      </c>
      <c r="F62" s="100">
        <v>23.53</v>
      </c>
      <c r="G62" s="100">
        <v>88.52</v>
      </c>
      <c r="H62" s="100">
        <v>24.29</v>
      </c>
      <c r="I62" s="100">
        <v>7.62</v>
      </c>
      <c r="J62" s="100">
        <v>0.9</v>
      </c>
      <c r="K62" s="100">
        <v>262.14</v>
      </c>
      <c r="L62" s="100">
        <v>40.07</v>
      </c>
      <c r="M62" s="100">
        <v>20.149999999999999</v>
      </c>
      <c r="N62" s="100">
        <v>733.9</v>
      </c>
      <c r="O62" s="100">
        <v>0</v>
      </c>
      <c r="P62" s="100">
        <v>0.64</v>
      </c>
      <c r="Q62" s="100">
        <v>4.66</v>
      </c>
    </row>
    <row r="63" spans="1:17" customFormat="1">
      <c r="A63" s="100" t="s">
        <v>2787</v>
      </c>
      <c r="B63" s="100">
        <v>5.47</v>
      </c>
      <c r="C63" s="100">
        <v>54.96</v>
      </c>
      <c r="D63" s="100">
        <v>32.049999999999997</v>
      </c>
      <c r="E63" s="100">
        <v>8.7200000000000006</v>
      </c>
      <c r="F63" s="100">
        <v>22.52</v>
      </c>
      <c r="G63" s="100">
        <v>86.68</v>
      </c>
      <c r="H63" s="100">
        <v>22.82</v>
      </c>
      <c r="I63" s="100">
        <v>7.27</v>
      </c>
      <c r="J63" s="100">
        <v>0.94</v>
      </c>
      <c r="K63" s="100">
        <v>285.89999999999998</v>
      </c>
      <c r="L63" s="100">
        <v>40.43</v>
      </c>
      <c r="M63" s="100">
        <v>20.14</v>
      </c>
      <c r="N63" s="100">
        <v>754</v>
      </c>
      <c r="O63" s="100">
        <v>0</v>
      </c>
      <c r="P63" s="100">
        <v>0.66</v>
      </c>
      <c r="Q63" s="100">
        <v>4.79</v>
      </c>
    </row>
    <row r="64" spans="1:17" customFormat="1">
      <c r="A64" s="100" t="s">
        <v>2788</v>
      </c>
      <c r="B64" s="100">
        <v>5.29</v>
      </c>
      <c r="C64" s="100">
        <v>51.59</v>
      </c>
      <c r="D64" s="100">
        <v>30.15</v>
      </c>
      <c r="E64" s="100">
        <v>7.98</v>
      </c>
      <c r="F64" s="100">
        <v>26.41</v>
      </c>
      <c r="G64" s="100">
        <v>86.68</v>
      </c>
      <c r="H64" s="100">
        <v>22.82</v>
      </c>
      <c r="I64" s="100">
        <v>7.3</v>
      </c>
      <c r="J64" s="100">
        <v>0.95</v>
      </c>
      <c r="K64" s="100">
        <v>305.37</v>
      </c>
      <c r="L64" s="100">
        <v>40.450000000000003</v>
      </c>
      <c r="M64" s="100">
        <v>18.82</v>
      </c>
      <c r="N64" s="100">
        <v>747.9</v>
      </c>
      <c r="O64" s="100">
        <v>0</v>
      </c>
      <c r="P64" s="100">
        <v>0.62</v>
      </c>
      <c r="Q64" s="100">
        <v>4.83</v>
      </c>
    </row>
    <row r="65" spans="1:17" customFormat="1">
      <c r="A65" s="100" t="s">
        <v>2789</v>
      </c>
      <c r="B65" s="100">
        <v>5.66</v>
      </c>
      <c r="C65" s="100">
        <v>48.79</v>
      </c>
      <c r="D65" s="100">
        <v>28.99</v>
      </c>
      <c r="E65" s="100">
        <v>7.36</v>
      </c>
      <c r="F65" s="100">
        <v>27.79</v>
      </c>
      <c r="G65" s="100">
        <v>86.68</v>
      </c>
      <c r="H65" s="100">
        <v>22.82</v>
      </c>
      <c r="I65" s="100">
        <v>7.18</v>
      </c>
      <c r="J65" s="100">
        <v>0.74</v>
      </c>
      <c r="K65" s="100">
        <v>278.83999999999997</v>
      </c>
      <c r="L65" s="100">
        <v>40.61</v>
      </c>
      <c r="M65" s="100">
        <v>18.3</v>
      </c>
      <c r="N65" s="100">
        <v>618.20000000000005</v>
      </c>
      <c r="O65" s="100">
        <v>0</v>
      </c>
      <c r="P65" s="100">
        <v>0.56999999999999995</v>
      </c>
      <c r="Q65" s="100">
        <v>4.75</v>
      </c>
    </row>
    <row r="66" spans="1:17" customFormat="1">
      <c r="A66" s="100" t="s">
        <v>2790</v>
      </c>
      <c r="B66" s="100">
        <v>5.94</v>
      </c>
      <c r="C66" s="100">
        <v>46.62</v>
      </c>
      <c r="D66" s="100">
        <v>28.08</v>
      </c>
      <c r="E66" s="100">
        <v>8.16</v>
      </c>
      <c r="F66" s="100">
        <v>34.32</v>
      </c>
      <c r="G66" s="100">
        <v>80.73</v>
      </c>
      <c r="H66" s="100">
        <v>21.78</v>
      </c>
      <c r="I66" s="100">
        <v>6.7</v>
      </c>
      <c r="J66" s="100">
        <v>0.78</v>
      </c>
      <c r="K66" s="100">
        <v>24.5</v>
      </c>
      <c r="L66" s="100">
        <v>40.409999999999997</v>
      </c>
      <c r="M66" s="100">
        <v>19.47</v>
      </c>
      <c r="N66" s="100">
        <v>679</v>
      </c>
      <c r="O66" s="100">
        <v>0</v>
      </c>
      <c r="P66" s="100">
        <v>0.57999999999999996</v>
      </c>
      <c r="Q66" s="100">
        <v>4.71</v>
      </c>
    </row>
    <row r="67" spans="1:17" customFormat="1">
      <c r="A67" s="100" t="s">
        <v>2791</v>
      </c>
      <c r="B67" s="100">
        <v>8.3800000000000008</v>
      </c>
      <c r="C67" s="100">
        <v>52.2</v>
      </c>
      <c r="D67" s="100">
        <v>32.950000000000003</v>
      </c>
      <c r="E67" s="100">
        <v>6.96</v>
      </c>
      <c r="F67" s="100">
        <v>19.21</v>
      </c>
      <c r="G67" s="100">
        <v>72.22</v>
      </c>
      <c r="H67" s="100">
        <v>20.89</v>
      </c>
      <c r="I67" s="100">
        <v>6.49</v>
      </c>
      <c r="J67" s="100">
        <v>1.2</v>
      </c>
      <c r="K67" s="100">
        <v>303.72000000000003</v>
      </c>
      <c r="L67" s="100">
        <v>40.450000000000003</v>
      </c>
      <c r="M67" s="100">
        <v>17.53</v>
      </c>
      <c r="N67" s="100">
        <v>536.5</v>
      </c>
      <c r="O67" s="100">
        <v>0</v>
      </c>
      <c r="P67" s="100">
        <v>0.59</v>
      </c>
      <c r="Q67" s="100">
        <v>4.71</v>
      </c>
    </row>
    <row r="68" spans="1:17" customFormat="1">
      <c r="A68" s="100" t="s">
        <v>2792</v>
      </c>
      <c r="B68" s="100">
        <v>6.4</v>
      </c>
      <c r="C68" s="100">
        <v>48</v>
      </c>
      <c r="D68" s="100">
        <v>29.17</v>
      </c>
      <c r="E68" s="100">
        <v>7</v>
      </c>
      <c r="F68" s="100">
        <v>22.41</v>
      </c>
      <c r="G68" s="100">
        <v>72.22</v>
      </c>
      <c r="H68" s="100">
        <v>20.89</v>
      </c>
      <c r="I68" s="100">
        <v>6.24</v>
      </c>
      <c r="J68" s="100">
        <v>0.67</v>
      </c>
      <c r="K68" s="100">
        <v>274.08999999999997</v>
      </c>
      <c r="L68" s="100">
        <v>40.43</v>
      </c>
      <c r="M68" s="100">
        <v>18.41</v>
      </c>
      <c r="N68" s="100">
        <v>485.8</v>
      </c>
      <c r="O68" s="100">
        <v>0</v>
      </c>
      <c r="P68" s="100">
        <v>0.55000000000000004</v>
      </c>
      <c r="Q68" s="100">
        <v>4.71</v>
      </c>
    </row>
    <row r="69" spans="1:17" customFormat="1">
      <c r="A69" s="100" t="s">
        <v>2793</v>
      </c>
      <c r="B69" s="100">
        <v>5.91</v>
      </c>
      <c r="C69" s="100">
        <v>44.05</v>
      </c>
      <c r="D69" s="100">
        <v>26.71</v>
      </c>
      <c r="E69" s="100">
        <v>7.66</v>
      </c>
      <c r="F69" s="100">
        <v>31.84</v>
      </c>
      <c r="G69" s="100">
        <v>72.22</v>
      </c>
      <c r="H69" s="100">
        <v>20.89</v>
      </c>
      <c r="I69" s="100">
        <v>6.3</v>
      </c>
      <c r="J69" s="100">
        <v>0.28000000000000003</v>
      </c>
      <c r="K69" s="100">
        <v>239.61</v>
      </c>
      <c r="L69" s="100">
        <v>40.26</v>
      </c>
      <c r="M69" s="100">
        <v>18.28</v>
      </c>
      <c r="N69" s="100">
        <v>403.3</v>
      </c>
      <c r="O69" s="100">
        <v>0</v>
      </c>
      <c r="P69" s="100">
        <v>0.49</v>
      </c>
      <c r="Q69" s="100">
        <v>4.6900000000000004</v>
      </c>
    </row>
    <row r="70" spans="1:17" customFormat="1">
      <c r="A70" s="100" t="s">
        <v>2794</v>
      </c>
      <c r="B70" s="100">
        <v>6.22</v>
      </c>
      <c r="C70" s="100">
        <v>46.76</v>
      </c>
      <c r="D70" s="100">
        <v>28.37</v>
      </c>
      <c r="E70" s="100">
        <v>7.33</v>
      </c>
      <c r="F70" s="100">
        <v>22.38</v>
      </c>
      <c r="G70" s="100">
        <v>68.13</v>
      </c>
      <c r="H70" s="100">
        <v>18.489999999999998</v>
      </c>
      <c r="I70" s="100">
        <v>5.96</v>
      </c>
      <c r="J70" s="100">
        <v>0.75</v>
      </c>
      <c r="K70" s="100">
        <v>269.44</v>
      </c>
      <c r="L70" s="100">
        <v>40.32</v>
      </c>
      <c r="M70" s="100">
        <v>17.25</v>
      </c>
      <c r="N70" s="100">
        <v>292</v>
      </c>
      <c r="O70" s="100">
        <v>0</v>
      </c>
      <c r="P70" s="100">
        <v>0.51</v>
      </c>
      <c r="Q70" s="100">
        <v>4.67</v>
      </c>
    </row>
    <row r="71" spans="1:17" customFormat="1">
      <c r="A71" s="100" t="s">
        <v>2795</v>
      </c>
      <c r="B71" s="100">
        <v>5.97</v>
      </c>
      <c r="C71" s="100">
        <v>44.66</v>
      </c>
      <c r="D71" s="100">
        <v>27.08</v>
      </c>
      <c r="E71" s="100">
        <v>7.47</v>
      </c>
      <c r="F71" s="100">
        <v>30.53</v>
      </c>
      <c r="G71" s="100">
        <v>62.27</v>
      </c>
      <c r="H71" s="100">
        <v>16.43</v>
      </c>
      <c r="I71" s="100">
        <v>5.7</v>
      </c>
      <c r="J71" s="100">
        <v>0.38</v>
      </c>
      <c r="K71" s="100">
        <v>203.22</v>
      </c>
      <c r="L71" s="100">
        <v>39.630000000000003</v>
      </c>
      <c r="M71" s="100">
        <v>18.739999999999998</v>
      </c>
      <c r="N71" s="100">
        <v>139.30000000000001</v>
      </c>
      <c r="O71" s="100">
        <v>0</v>
      </c>
      <c r="P71" s="100">
        <v>0.47</v>
      </c>
      <c r="Q71" s="100">
        <v>4.6900000000000004</v>
      </c>
    </row>
    <row r="72" spans="1:17" customFormat="1">
      <c r="A72" s="100" t="s">
        <v>2796</v>
      </c>
      <c r="B72" s="100">
        <v>6.8</v>
      </c>
      <c r="C72" s="100">
        <v>44.07</v>
      </c>
      <c r="D72" s="100">
        <v>27.44</v>
      </c>
      <c r="E72" s="100">
        <v>8.27</v>
      </c>
      <c r="F72" s="100">
        <v>33.74</v>
      </c>
      <c r="G72" s="100">
        <v>62.27</v>
      </c>
      <c r="H72" s="100">
        <v>16.43</v>
      </c>
      <c r="I72" s="100">
        <v>5.56</v>
      </c>
      <c r="J72" s="100">
        <v>7.0000000000000007E-2</v>
      </c>
      <c r="K72" s="100">
        <v>237.19</v>
      </c>
      <c r="L72" s="100">
        <v>39.5</v>
      </c>
      <c r="M72" s="100">
        <v>18.89</v>
      </c>
      <c r="N72" s="100">
        <v>149.9</v>
      </c>
      <c r="O72" s="100">
        <v>0</v>
      </c>
      <c r="P72" s="100">
        <v>0.47</v>
      </c>
      <c r="Q72" s="100">
        <v>4.72</v>
      </c>
    </row>
    <row r="73" spans="1:17" customFormat="1">
      <c r="A73" s="100" t="s">
        <v>2797</v>
      </c>
      <c r="B73" s="100">
        <v>7.33</v>
      </c>
      <c r="C73" s="100">
        <v>47.55</v>
      </c>
      <c r="D73" s="100">
        <v>29.67</v>
      </c>
      <c r="E73" s="100">
        <v>7.52</v>
      </c>
      <c r="F73" s="100">
        <v>24.78</v>
      </c>
      <c r="G73" s="100">
        <v>62.27</v>
      </c>
      <c r="H73" s="100">
        <v>16.43</v>
      </c>
      <c r="I73" s="100">
        <v>5.17</v>
      </c>
      <c r="J73" s="100">
        <v>0.44</v>
      </c>
      <c r="K73" s="100">
        <v>297.14</v>
      </c>
      <c r="L73" s="100">
        <v>39.159999999999997</v>
      </c>
      <c r="M73" s="100">
        <v>16.2</v>
      </c>
      <c r="N73" s="100">
        <v>137.6</v>
      </c>
      <c r="O73" s="100">
        <v>0</v>
      </c>
      <c r="P73" s="100">
        <v>0.47</v>
      </c>
      <c r="Q73" s="100">
        <v>4.7300000000000004</v>
      </c>
    </row>
    <row r="74" spans="1:17" customFormat="1">
      <c r="A74" s="100" t="s">
        <v>2798</v>
      </c>
      <c r="B74" s="100">
        <v>11.31</v>
      </c>
      <c r="C74" s="100">
        <v>50.54</v>
      </c>
      <c r="D74" s="100">
        <v>34.43</v>
      </c>
      <c r="E74" s="100">
        <v>12.61</v>
      </c>
      <c r="F74" s="100">
        <v>25.43</v>
      </c>
      <c r="G74" s="100">
        <v>59.32</v>
      </c>
      <c r="H74" s="100">
        <v>16.25</v>
      </c>
      <c r="I74" s="100">
        <v>4.99</v>
      </c>
      <c r="J74" s="100">
        <v>0.68</v>
      </c>
      <c r="K74" s="100">
        <v>50.74</v>
      </c>
      <c r="L74" s="100">
        <v>38.729999999999997</v>
      </c>
      <c r="M74" s="100">
        <v>21.03</v>
      </c>
      <c r="N74" s="100">
        <v>191.5</v>
      </c>
      <c r="O74" s="100">
        <v>0</v>
      </c>
      <c r="P74" s="100">
        <v>0.5</v>
      </c>
      <c r="Q74" s="100">
        <v>4.7699999999999996</v>
      </c>
    </row>
    <row r="75" spans="1:17" customFormat="1">
      <c r="A75" s="100" t="s">
        <v>2799</v>
      </c>
      <c r="B75" s="100">
        <v>10.96</v>
      </c>
      <c r="C75" s="100">
        <v>51.37</v>
      </c>
      <c r="D75" s="100">
        <v>34.58</v>
      </c>
      <c r="E75" s="100">
        <v>12.72</v>
      </c>
      <c r="F75" s="100">
        <v>23.53</v>
      </c>
      <c r="G75" s="100">
        <v>55.1</v>
      </c>
      <c r="H75" s="100">
        <v>16.09</v>
      </c>
      <c r="I75" s="100">
        <v>4.91</v>
      </c>
      <c r="J75" s="100">
        <v>0.75</v>
      </c>
      <c r="K75" s="100">
        <v>61.07</v>
      </c>
      <c r="L75" s="100">
        <v>38.22</v>
      </c>
      <c r="M75" s="100">
        <v>22.2</v>
      </c>
      <c r="N75" s="100">
        <v>103</v>
      </c>
      <c r="O75" s="100">
        <v>0</v>
      </c>
      <c r="P75" s="100">
        <v>0.52</v>
      </c>
      <c r="Q75" s="100">
        <v>4.8099999999999996</v>
      </c>
    </row>
    <row r="76" spans="1:17" customFormat="1">
      <c r="A76" s="100" t="s">
        <v>2800</v>
      </c>
      <c r="B76" s="100">
        <v>10.49</v>
      </c>
      <c r="C76" s="100">
        <v>48.15</v>
      </c>
      <c r="D76" s="100">
        <v>32.520000000000003</v>
      </c>
      <c r="E76" s="100">
        <v>16.05</v>
      </c>
      <c r="F76" s="100">
        <v>27.56</v>
      </c>
      <c r="G76" s="100">
        <v>55.1</v>
      </c>
      <c r="H76" s="100">
        <v>16.09</v>
      </c>
      <c r="I76" s="100">
        <v>4.74</v>
      </c>
      <c r="J76" s="100">
        <v>0.55000000000000004</v>
      </c>
      <c r="K76" s="100">
        <v>31.14</v>
      </c>
      <c r="L76" s="100">
        <v>38.5</v>
      </c>
      <c r="M76" s="100">
        <v>20.92</v>
      </c>
      <c r="N76" s="100">
        <v>143.30000000000001</v>
      </c>
      <c r="O76" s="100">
        <v>0</v>
      </c>
      <c r="P76" s="100">
        <v>0.51</v>
      </c>
      <c r="Q76" s="100">
        <v>4.8499999999999996</v>
      </c>
    </row>
    <row r="77" spans="1:17" customFormat="1">
      <c r="A77" s="100" t="s">
        <v>2801</v>
      </c>
      <c r="B77" s="100">
        <v>11.88</v>
      </c>
      <c r="C77" s="100">
        <v>51.17</v>
      </c>
      <c r="D77" s="100">
        <v>35.21</v>
      </c>
      <c r="E77" s="100">
        <v>15.29</v>
      </c>
      <c r="F77" s="100">
        <v>24.46</v>
      </c>
      <c r="G77" s="100">
        <v>55.1</v>
      </c>
      <c r="H77" s="100">
        <v>16.09</v>
      </c>
      <c r="I77" s="100">
        <v>4.75</v>
      </c>
      <c r="J77" s="100">
        <v>0.66</v>
      </c>
      <c r="K77" s="100">
        <v>55.63</v>
      </c>
      <c r="L77" s="100">
        <v>38.659999999999997</v>
      </c>
      <c r="M77" s="100">
        <v>20.66</v>
      </c>
      <c r="N77" s="100">
        <v>94.4</v>
      </c>
      <c r="O77" s="100">
        <v>0</v>
      </c>
      <c r="P77" s="100">
        <v>0.55000000000000004</v>
      </c>
      <c r="Q77" s="100">
        <v>4.8899999999999997</v>
      </c>
    </row>
    <row r="78" spans="1:17" customFormat="1">
      <c r="A78" s="100" t="s">
        <v>2802</v>
      </c>
      <c r="B78" s="100">
        <v>20.13</v>
      </c>
      <c r="C78" s="100">
        <v>56.52</v>
      </c>
      <c r="D78" s="100">
        <v>44.62</v>
      </c>
      <c r="E78" s="100">
        <v>16.05</v>
      </c>
      <c r="F78" s="100">
        <v>20.78</v>
      </c>
      <c r="G78" s="100">
        <v>59.13</v>
      </c>
      <c r="H78" s="100">
        <v>15.95</v>
      </c>
      <c r="I78" s="100">
        <v>4.7300000000000004</v>
      </c>
      <c r="J78" s="100">
        <v>0.66</v>
      </c>
      <c r="K78" s="100">
        <v>38.159999999999997</v>
      </c>
      <c r="L78" s="100">
        <v>38.25</v>
      </c>
      <c r="M78" s="100">
        <v>21.45</v>
      </c>
      <c r="N78" s="100">
        <v>79.400000000000006</v>
      </c>
      <c r="O78" s="100">
        <v>0</v>
      </c>
      <c r="P78" s="100">
        <v>0.57999999999999996</v>
      </c>
      <c r="Q78" s="100">
        <v>4.95</v>
      </c>
    </row>
    <row r="79" spans="1:17" customFormat="1">
      <c r="A79" s="100" t="s">
        <v>2803</v>
      </c>
      <c r="B79" s="100">
        <v>16.3</v>
      </c>
      <c r="C79" s="100">
        <v>55.92</v>
      </c>
      <c r="D79" s="100">
        <v>41.24</v>
      </c>
      <c r="E79" s="100">
        <v>14.15</v>
      </c>
      <c r="F79" s="100">
        <v>19.77</v>
      </c>
      <c r="G79" s="100">
        <v>64.900000000000006</v>
      </c>
      <c r="H79" s="100">
        <v>15.83</v>
      </c>
      <c r="I79" s="100">
        <v>4.71</v>
      </c>
      <c r="J79" s="100">
        <v>0.43</v>
      </c>
      <c r="K79" s="100">
        <v>29.95</v>
      </c>
      <c r="L79" s="100">
        <v>38.03</v>
      </c>
      <c r="M79" s="100">
        <v>22.36</v>
      </c>
      <c r="N79" s="100">
        <v>36.700000000000003</v>
      </c>
      <c r="O79" s="100">
        <v>0</v>
      </c>
      <c r="P79" s="100">
        <v>0.64</v>
      </c>
      <c r="Q79" s="100">
        <v>5.08</v>
      </c>
    </row>
    <row r="80" spans="1:17" customFormat="1">
      <c r="A80" s="100" t="s">
        <v>2804</v>
      </c>
      <c r="B80" s="100">
        <v>14.46</v>
      </c>
      <c r="C80" s="100">
        <v>52.79</v>
      </c>
      <c r="D80" s="100">
        <v>38.130000000000003</v>
      </c>
      <c r="E80" s="100">
        <v>14.44</v>
      </c>
      <c r="F80" s="100">
        <v>20.440000000000001</v>
      </c>
      <c r="G80" s="100">
        <v>64.900000000000006</v>
      </c>
      <c r="H80" s="100">
        <v>15.83</v>
      </c>
      <c r="I80" s="100">
        <v>4.7300000000000004</v>
      </c>
      <c r="J80" s="100">
        <v>1.0900000000000001</v>
      </c>
      <c r="K80" s="100">
        <v>43.59</v>
      </c>
      <c r="L80" s="100">
        <v>37.299999999999997</v>
      </c>
      <c r="M80" s="100">
        <v>23.95</v>
      </c>
      <c r="N80" s="100">
        <v>6.4</v>
      </c>
      <c r="O80" s="100">
        <v>0</v>
      </c>
      <c r="P80" s="100">
        <v>0.63</v>
      </c>
      <c r="Q80" s="100">
        <v>5.16</v>
      </c>
    </row>
    <row r="81" spans="1:17" customFormat="1">
      <c r="A81" s="100" t="s">
        <v>2805</v>
      </c>
      <c r="B81" s="100">
        <v>13.72</v>
      </c>
      <c r="C81" s="100">
        <v>53.63</v>
      </c>
      <c r="D81" s="100">
        <v>37.979999999999997</v>
      </c>
      <c r="E81" s="100">
        <v>4.99</v>
      </c>
      <c r="F81" s="100">
        <v>16.420000000000002</v>
      </c>
      <c r="G81" s="100">
        <v>64.900000000000006</v>
      </c>
      <c r="H81" s="100">
        <v>15.83</v>
      </c>
      <c r="I81" s="100">
        <v>4.8899999999999997</v>
      </c>
      <c r="J81" s="100">
        <v>1.54</v>
      </c>
      <c r="K81" s="100">
        <v>34.049999999999997</v>
      </c>
      <c r="L81" s="100">
        <v>35.479999999999997</v>
      </c>
      <c r="M81" s="100">
        <v>29.61</v>
      </c>
      <c r="N81" s="100">
        <v>0</v>
      </c>
      <c r="O81" s="100">
        <v>0</v>
      </c>
      <c r="P81" s="100">
        <v>0.57999999999999996</v>
      </c>
      <c r="Q81" s="100">
        <v>5.2</v>
      </c>
    </row>
    <row r="82" spans="1:17" customFormat="1">
      <c r="A82" s="100" t="s">
        <v>2806</v>
      </c>
      <c r="B82" s="100">
        <v>13.8</v>
      </c>
      <c r="C82" s="100">
        <v>60.92</v>
      </c>
      <c r="D82" s="100">
        <v>41.85</v>
      </c>
      <c r="E82" s="100">
        <v>5.77</v>
      </c>
      <c r="F82" s="100">
        <v>11.51</v>
      </c>
      <c r="G82" s="100">
        <v>72.77</v>
      </c>
      <c r="H82" s="100">
        <v>17.79</v>
      </c>
      <c r="I82" s="100">
        <v>5.35</v>
      </c>
      <c r="J82" s="100">
        <v>2</v>
      </c>
      <c r="K82" s="100">
        <v>45.22</v>
      </c>
      <c r="L82" s="100">
        <v>34.89</v>
      </c>
      <c r="M82" s="100">
        <v>29.97</v>
      </c>
      <c r="N82" s="100">
        <v>0</v>
      </c>
      <c r="O82" s="100">
        <v>0</v>
      </c>
      <c r="P82" s="100">
        <v>0.6</v>
      </c>
      <c r="Q82" s="100">
        <v>5.28</v>
      </c>
    </row>
    <row r="83" spans="1:17" customFormat="1">
      <c r="A83" s="100" t="s">
        <v>2807</v>
      </c>
      <c r="B83" s="100">
        <v>12.73</v>
      </c>
      <c r="C83" s="100">
        <v>56.99</v>
      </c>
      <c r="D83" s="100">
        <v>38.94</v>
      </c>
      <c r="E83" s="100">
        <v>5.38</v>
      </c>
      <c r="F83" s="100">
        <v>16.71</v>
      </c>
      <c r="G83" s="100">
        <v>84.05</v>
      </c>
      <c r="H83" s="100">
        <v>19.489999999999998</v>
      </c>
      <c r="I83" s="100">
        <v>5.83</v>
      </c>
      <c r="J83" s="100">
        <v>4.32</v>
      </c>
      <c r="K83" s="100">
        <v>31.42</v>
      </c>
      <c r="L83" s="100">
        <v>31.65</v>
      </c>
      <c r="M83" s="100">
        <v>34.42</v>
      </c>
      <c r="N83" s="100">
        <v>0.7</v>
      </c>
      <c r="O83" s="100">
        <v>0</v>
      </c>
      <c r="P83" s="100">
        <v>0.55000000000000004</v>
      </c>
      <c r="Q83" s="100">
        <v>5.32</v>
      </c>
    </row>
    <row r="84" spans="1:17" customFormat="1">
      <c r="A84" s="100" t="s">
        <v>2808</v>
      </c>
      <c r="B84" s="100">
        <v>11</v>
      </c>
      <c r="C84" s="100">
        <v>54.52</v>
      </c>
      <c r="D84" s="100">
        <v>36.270000000000003</v>
      </c>
      <c r="E84" s="100">
        <v>4.43</v>
      </c>
      <c r="F84" s="100">
        <v>12.43</v>
      </c>
      <c r="G84" s="100">
        <v>84.05</v>
      </c>
      <c r="H84" s="100">
        <v>19.489999999999998</v>
      </c>
      <c r="I84" s="100">
        <v>5.61</v>
      </c>
      <c r="J84" s="100">
        <v>4.3899999999999997</v>
      </c>
      <c r="K84" s="100">
        <v>37.200000000000003</v>
      </c>
      <c r="L84" s="100">
        <v>28.73</v>
      </c>
      <c r="M84" s="100">
        <v>41.94</v>
      </c>
      <c r="N84" s="100">
        <v>0</v>
      </c>
      <c r="O84" s="100">
        <v>0</v>
      </c>
      <c r="P84" s="100">
        <v>0.52</v>
      </c>
      <c r="Q84" s="100">
        <v>5.0599999999999996</v>
      </c>
    </row>
    <row r="85" spans="1:17" customFormat="1">
      <c r="A85" s="100" t="s">
        <v>2809</v>
      </c>
      <c r="B85" s="100">
        <v>8.91</v>
      </c>
      <c r="C85" s="100">
        <v>59.35</v>
      </c>
      <c r="D85" s="100">
        <v>37.11</v>
      </c>
      <c r="E85" s="100">
        <v>3.79</v>
      </c>
      <c r="F85" s="100">
        <v>11.68</v>
      </c>
      <c r="G85" s="100">
        <v>84.05</v>
      </c>
      <c r="H85" s="100">
        <v>19.489999999999998</v>
      </c>
      <c r="I85" s="100">
        <v>5.28</v>
      </c>
      <c r="J85" s="100">
        <v>3.02</v>
      </c>
      <c r="K85" s="100">
        <v>46.74</v>
      </c>
      <c r="L85" s="100">
        <v>27.91</v>
      </c>
      <c r="M85" s="100">
        <v>45.12</v>
      </c>
      <c r="N85" s="100">
        <v>0</v>
      </c>
      <c r="O85" s="100">
        <v>0</v>
      </c>
      <c r="P85" s="100">
        <v>0.5</v>
      </c>
      <c r="Q85" s="100">
        <v>5</v>
      </c>
    </row>
    <row r="86" spans="1:17" customFormat="1">
      <c r="A86" s="100" t="s">
        <v>2810</v>
      </c>
      <c r="B86" s="100">
        <v>8.2799999999999994</v>
      </c>
      <c r="C86" s="100">
        <v>61.64</v>
      </c>
      <c r="D86" s="100">
        <v>37.799999999999997</v>
      </c>
      <c r="E86" s="100">
        <v>4.07</v>
      </c>
      <c r="F86" s="100">
        <v>10.39</v>
      </c>
      <c r="G86" s="100">
        <v>84.05</v>
      </c>
      <c r="H86" s="100">
        <v>20.47</v>
      </c>
      <c r="I86" s="100">
        <v>5.07</v>
      </c>
      <c r="J86" s="100">
        <v>1.92</v>
      </c>
      <c r="K86" s="100">
        <v>54.78</v>
      </c>
      <c r="L86" s="100">
        <v>27.74</v>
      </c>
      <c r="M86" s="100">
        <v>47.61</v>
      </c>
      <c r="N86" s="100">
        <v>0</v>
      </c>
      <c r="O86" s="100">
        <v>0</v>
      </c>
      <c r="P86" s="100">
        <v>0.49</v>
      </c>
      <c r="Q86" s="100">
        <v>4.95</v>
      </c>
    </row>
    <row r="87" spans="1:17" customFormat="1">
      <c r="A87" s="100" t="s">
        <v>2811</v>
      </c>
      <c r="B87" s="100">
        <v>8.77</v>
      </c>
      <c r="C87" s="100">
        <v>65.209999999999994</v>
      </c>
      <c r="D87" s="100">
        <v>40.06</v>
      </c>
      <c r="E87" s="100">
        <v>3.96</v>
      </c>
      <c r="F87" s="100">
        <v>6.15</v>
      </c>
      <c r="G87" s="100">
        <v>485.53</v>
      </c>
      <c r="H87" s="100">
        <v>22.82</v>
      </c>
      <c r="I87" s="100">
        <v>5.0199999999999996</v>
      </c>
      <c r="J87" s="100">
        <v>0.49</v>
      </c>
      <c r="K87" s="100">
        <v>90.51</v>
      </c>
      <c r="L87" s="100">
        <v>27.39</v>
      </c>
      <c r="M87" s="100">
        <v>50.69</v>
      </c>
      <c r="N87" s="100">
        <v>0</v>
      </c>
      <c r="O87" s="100">
        <v>0</v>
      </c>
      <c r="P87" s="100">
        <v>0.5</v>
      </c>
      <c r="Q87" s="100">
        <v>4.96</v>
      </c>
    </row>
    <row r="88" spans="1:17" customFormat="1">
      <c r="A88" s="100" t="s">
        <v>2812</v>
      </c>
      <c r="B88" s="100">
        <v>9.3000000000000007</v>
      </c>
      <c r="C88" s="100">
        <v>66.52</v>
      </c>
      <c r="D88" s="100">
        <v>41.17</v>
      </c>
      <c r="E88" s="100">
        <v>3.75</v>
      </c>
      <c r="F88" s="100">
        <v>5.75</v>
      </c>
      <c r="G88" s="100">
        <v>485.53</v>
      </c>
      <c r="H88" s="100">
        <v>22.82</v>
      </c>
      <c r="I88" s="100">
        <v>5.03</v>
      </c>
      <c r="J88" s="100">
        <v>0.32</v>
      </c>
      <c r="K88" s="100">
        <v>140.79</v>
      </c>
      <c r="L88" s="100">
        <v>27.33</v>
      </c>
      <c r="M88" s="100">
        <v>49.64</v>
      </c>
      <c r="N88" s="100">
        <v>0</v>
      </c>
      <c r="O88" s="100">
        <v>0</v>
      </c>
      <c r="P88" s="100">
        <v>0.5</v>
      </c>
      <c r="Q88" s="100">
        <v>5</v>
      </c>
    </row>
    <row r="89" spans="1:17" customFormat="1">
      <c r="A89" s="100" t="s">
        <v>2813</v>
      </c>
      <c r="B89" s="100">
        <v>9.7899999999999991</v>
      </c>
      <c r="C89" s="100">
        <v>65.599999999999994</v>
      </c>
      <c r="D89" s="100">
        <v>41.08</v>
      </c>
      <c r="E89" s="100">
        <v>3.78</v>
      </c>
      <c r="F89" s="100">
        <v>6.99</v>
      </c>
      <c r="G89" s="100">
        <v>485.53</v>
      </c>
      <c r="H89" s="100">
        <v>22.82</v>
      </c>
      <c r="I89" s="100">
        <v>5.0999999999999996</v>
      </c>
      <c r="J89" s="100">
        <v>0.5</v>
      </c>
      <c r="K89" s="100">
        <v>103.58</v>
      </c>
      <c r="L89" s="100">
        <v>27.19</v>
      </c>
      <c r="M89" s="100">
        <v>48.96</v>
      </c>
      <c r="N89" s="100">
        <v>0</v>
      </c>
      <c r="O89" s="100">
        <v>0</v>
      </c>
      <c r="P89" s="100">
        <v>0.49</v>
      </c>
      <c r="Q89" s="100">
        <v>5</v>
      </c>
    </row>
    <row r="90" spans="1:17" customFormat="1">
      <c r="A90" s="100" t="s">
        <v>2814</v>
      </c>
      <c r="B90" s="100">
        <v>10.07</v>
      </c>
      <c r="C90" s="100">
        <v>63.8</v>
      </c>
      <c r="D90" s="100">
        <v>40.36</v>
      </c>
      <c r="E90" s="100">
        <v>4.8899999999999997</v>
      </c>
      <c r="F90" s="100">
        <v>6.91</v>
      </c>
      <c r="G90" s="100">
        <v>23.67</v>
      </c>
      <c r="H90" s="100">
        <v>18.670000000000002</v>
      </c>
      <c r="I90" s="100">
        <v>5.08</v>
      </c>
      <c r="J90" s="100">
        <v>0.32</v>
      </c>
      <c r="K90" s="100">
        <v>86.44</v>
      </c>
      <c r="L90" s="100">
        <v>27.11</v>
      </c>
      <c r="M90" s="100">
        <v>48.55</v>
      </c>
      <c r="N90" s="100">
        <v>0</v>
      </c>
      <c r="O90" s="100">
        <v>0</v>
      </c>
      <c r="P90" s="100">
        <v>0.48</v>
      </c>
      <c r="Q90" s="100">
        <v>5.04</v>
      </c>
    </row>
    <row r="91" spans="1:17" customFormat="1">
      <c r="A91" s="100" t="s">
        <v>2815</v>
      </c>
      <c r="B91" s="100">
        <v>10.77</v>
      </c>
      <c r="C91" s="100">
        <v>66.680000000000007</v>
      </c>
      <c r="D91" s="100">
        <v>42.43</v>
      </c>
      <c r="E91" s="100">
        <v>3.88</v>
      </c>
      <c r="F91" s="100">
        <v>5.64</v>
      </c>
      <c r="G91" s="100">
        <v>23.67</v>
      </c>
      <c r="H91" s="100">
        <v>15.09</v>
      </c>
      <c r="I91" s="100">
        <v>4.9400000000000004</v>
      </c>
      <c r="J91" s="100">
        <v>0.95</v>
      </c>
      <c r="K91" s="100">
        <v>57.25</v>
      </c>
      <c r="L91" s="100">
        <v>27.37</v>
      </c>
      <c r="M91" s="100">
        <v>46.57</v>
      </c>
      <c r="N91" s="100">
        <v>0</v>
      </c>
      <c r="O91" s="100">
        <v>0</v>
      </c>
      <c r="P91" s="100">
        <v>0.48</v>
      </c>
      <c r="Q91" s="100">
        <v>5.0599999999999996</v>
      </c>
    </row>
    <row r="92" spans="1:17" customFormat="1">
      <c r="A92" s="100" t="s">
        <v>2816</v>
      </c>
      <c r="B92" s="100">
        <v>11.68</v>
      </c>
      <c r="C92" s="100">
        <v>66.17</v>
      </c>
      <c r="D92" s="100">
        <v>42.89</v>
      </c>
      <c r="E92" s="100">
        <v>4.6399999999999997</v>
      </c>
      <c r="F92" s="100">
        <v>7.01</v>
      </c>
      <c r="G92" s="100">
        <v>23.67</v>
      </c>
      <c r="H92" s="100">
        <v>15.09</v>
      </c>
      <c r="I92" s="100">
        <v>4.93</v>
      </c>
      <c r="J92" s="100">
        <v>1.19</v>
      </c>
      <c r="K92" s="100">
        <v>40.659999999999997</v>
      </c>
      <c r="L92" s="100">
        <v>27.47</v>
      </c>
      <c r="M92" s="100">
        <v>47.01</v>
      </c>
      <c r="N92" s="100">
        <v>0</v>
      </c>
      <c r="O92" s="100">
        <v>0</v>
      </c>
      <c r="P92" s="100">
        <v>0.48</v>
      </c>
      <c r="Q92" s="100">
        <v>5.1100000000000003</v>
      </c>
    </row>
    <row r="93" spans="1:17" customFormat="1">
      <c r="A93" s="100" t="s">
        <v>2817</v>
      </c>
      <c r="B93" s="100">
        <v>12.74</v>
      </c>
      <c r="C93" s="100">
        <v>63.26</v>
      </c>
      <c r="D93" s="100">
        <v>42.22</v>
      </c>
      <c r="E93" s="100">
        <v>4.07</v>
      </c>
      <c r="F93" s="100">
        <v>6.35</v>
      </c>
      <c r="G93" s="100">
        <v>23.67</v>
      </c>
      <c r="H93" s="100">
        <v>15.09</v>
      </c>
      <c r="I93" s="100">
        <v>4.9800000000000004</v>
      </c>
      <c r="J93" s="100">
        <v>1.29</v>
      </c>
      <c r="K93" s="100">
        <v>49.12</v>
      </c>
      <c r="L93" s="100">
        <v>27.45</v>
      </c>
      <c r="M93" s="100">
        <v>46.79</v>
      </c>
      <c r="N93" s="100">
        <v>0</v>
      </c>
      <c r="O93" s="100">
        <v>0</v>
      </c>
      <c r="P93" s="100">
        <v>0.48</v>
      </c>
      <c r="Q93" s="100">
        <v>5.16</v>
      </c>
    </row>
    <row r="94" spans="1:17" customFormat="1">
      <c r="A94" s="100" t="s">
        <v>2818</v>
      </c>
      <c r="B94" s="100">
        <v>13.37</v>
      </c>
      <c r="C94" s="100">
        <v>65.19</v>
      </c>
      <c r="D94" s="100">
        <v>43.73</v>
      </c>
      <c r="E94" s="100">
        <v>4.38</v>
      </c>
      <c r="F94" s="100">
        <v>6.07</v>
      </c>
      <c r="G94" s="100">
        <v>31.67</v>
      </c>
      <c r="H94" s="100">
        <v>13.15</v>
      </c>
      <c r="I94" s="100">
        <v>4.96</v>
      </c>
      <c r="J94" s="100">
        <v>1.03</v>
      </c>
      <c r="K94" s="100">
        <v>52.66</v>
      </c>
      <c r="L94" s="100">
        <v>27.45</v>
      </c>
      <c r="M94" s="100">
        <v>46.38</v>
      </c>
      <c r="N94" s="100">
        <v>0</v>
      </c>
      <c r="O94" s="100">
        <v>0</v>
      </c>
      <c r="P94" s="100">
        <v>0.48</v>
      </c>
      <c r="Q94" s="100">
        <v>5.17</v>
      </c>
    </row>
    <row r="95" spans="1:17" customFormat="1">
      <c r="A95" s="100" t="s">
        <v>2819</v>
      </c>
      <c r="B95" s="100">
        <v>14.32</v>
      </c>
      <c r="C95" s="100">
        <v>67.91</v>
      </c>
      <c r="D95" s="100">
        <v>45.92</v>
      </c>
      <c r="E95" s="100">
        <v>4.58</v>
      </c>
      <c r="F95" s="100">
        <v>4.99</v>
      </c>
      <c r="G95" s="100">
        <v>43.12</v>
      </c>
      <c r="H95" s="100">
        <v>11.48</v>
      </c>
      <c r="I95" s="100">
        <v>4.92</v>
      </c>
      <c r="J95" s="100">
        <v>1.03</v>
      </c>
      <c r="K95" s="100">
        <v>58.12</v>
      </c>
      <c r="L95" s="100">
        <v>27.41</v>
      </c>
      <c r="M95" s="100">
        <v>46.06</v>
      </c>
      <c r="N95" s="100">
        <v>0</v>
      </c>
      <c r="O95" s="100">
        <v>0</v>
      </c>
      <c r="P95" s="100">
        <v>0.49</v>
      </c>
      <c r="Q95" s="100">
        <v>5.24</v>
      </c>
    </row>
    <row r="96" spans="1:17" customFormat="1">
      <c r="A96" s="100" t="s">
        <v>2820</v>
      </c>
      <c r="B96" s="100">
        <v>15.34</v>
      </c>
      <c r="C96" s="100">
        <v>67.849999999999994</v>
      </c>
      <c r="D96" s="100">
        <v>46.71</v>
      </c>
      <c r="E96" s="100">
        <v>4.55</v>
      </c>
      <c r="F96" s="100">
        <v>4.57</v>
      </c>
      <c r="G96" s="100">
        <v>43.12</v>
      </c>
      <c r="H96" s="100">
        <v>11.48</v>
      </c>
      <c r="I96" s="100">
        <v>4.8499999999999996</v>
      </c>
      <c r="J96" s="100">
        <v>0.47</v>
      </c>
      <c r="K96" s="100">
        <v>87.63</v>
      </c>
      <c r="L96" s="100">
        <v>27.53</v>
      </c>
      <c r="M96" s="100">
        <v>46.31</v>
      </c>
      <c r="N96" s="100">
        <v>0</v>
      </c>
      <c r="O96" s="100">
        <v>0</v>
      </c>
      <c r="P96" s="100">
        <v>0.48</v>
      </c>
      <c r="Q96" s="100">
        <v>5.28</v>
      </c>
    </row>
    <row r="97" spans="1:22" customFormat="1">
      <c r="A97" s="100" t="s">
        <v>2821</v>
      </c>
      <c r="B97" s="100">
        <v>16.239999999999998</v>
      </c>
      <c r="C97" s="100">
        <v>67.84</v>
      </c>
      <c r="D97" s="100">
        <v>47.42</v>
      </c>
      <c r="E97" s="100">
        <v>4.4000000000000004</v>
      </c>
      <c r="F97" s="100">
        <v>4.63</v>
      </c>
      <c r="G97" s="100">
        <v>43.12</v>
      </c>
      <c r="H97" s="100">
        <v>11.48</v>
      </c>
      <c r="I97" s="100">
        <v>4.8899999999999997</v>
      </c>
      <c r="J97" s="100">
        <v>0.3</v>
      </c>
      <c r="K97" s="100">
        <v>85.82</v>
      </c>
      <c r="L97" s="100">
        <v>27.29</v>
      </c>
      <c r="M97" s="100">
        <v>47.15</v>
      </c>
      <c r="N97" s="100">
        <v>0</v>
      </c>
      <c r="O97" s="100">
        <v>0</v>
      </c>
      <c r="P97" s="100">
        <v>0.48</v>
      </c>
      <c r="Q97" s="100">
        <v>5.32</v>
      </c>
    </row>
    <row r="98" spans="1:22" customFormat="1">
      <c r="A98" s="100" t="s">
        <v>2822</v>
      </c>
      <c r="B98" s="100">
        <v>17.03</v>
      </c>
      <c r="C98" s="100">
        <v>68.08</v>
      </c>
      <c r="D98" s="100">
        <v>48.18</v>
      </c>
      <c r="E98" s="100">
        <v>4.4400000000000004</v>
      </c>
      <c r="F98" s="100">
        <v>4.55</v>
      </c>
      <c r="G98" s="100">
        <v>41.04</v>
      </c>
      <c r="H98" s="100">
        <v>10.92</v>
      </c>
      <c r="I98" s="100">
        <v>4.83</v>
      </c>
      <c r="J98" s="100">
        <v>0.1</v>
      </c>
      <c r="K98" s="100">
        <v>104.87</v>
      </c>
      <c r="L98" s="100">
        <v>26.99</v>
      </c>
      <c r="M98" s="100">
        <v>48.46</v>
      </c>
      <c r="N98" s="100">
        <v>0</v>
      </c>
      <c r="O98" s="100">
        <v>0</v>
      </c>
      <c r="P98" s="100">
        <v>0.48</v>
      </c>
      <c r="Q98" s="100">
        <v>5.39</v>
      </c>
    </row>
    <row r="99" spans="1:22" customFormat="1">
      <c r="A99" s="100" t="s">
        <v>2823</v>
      </c>
      <c r="B99" s="100">
        <v>18.23</v>
      </c>
      <c r="C99" s="100">
        <v>67.959999999999994</v>
      </c>
      <c r="D99" s="100">
        <v>49.08</v>
      </c>
      <c r="E99" s="100">
        <v>3.83</v>
      </c>
      <c r="F99" s="100">
        <v>4.29</v>
      </c>
      <c r="G99" s="100">
        <v>38.049999999999997</v>
      </c>
      <c r="H99" s="100">
        <v>10.44</v>
      </c>
      <c r="I99" s="100">
        <v>4.79</v>
      </c>
      <c r="J99" s="100">
        <v>0.26</v>
      </c>
      <c r="K99" s="100">
        <v>117.52</v>
      </c>
      <c r="L99" s="100">
        <v>26.73</v>
      </c>
      <c r="M99" s="100">
        <v>49.42</v>
      </c>
      <c r="N99" s="100">
        <v>0</v>
      </c>
      <c r="O99" s="100">
        <v>0</v>
      </c>
      <c r="P99" s="100">
        <v>0.48</v>
      </c>
      <c r="Q99" s="100">
        <v>5.42</v>
      </c>
    </row>
    <row r="100" spans="1:22" customFormat="1">
      <c r="A100" s="100" t="s">
        <v>2824</v>
      </c>
      <c r="B100" s="100">
        <v>19.07</v>
      </c>
      <c r="C100" s="100">
        <v>67.849999999999994</v>
      </c>
      <c r="D100" s="100">
        <v>49.7</v>
      </c>
      <c r="E100" s="100">
        <v>3.84</v>
      </c>
      <c r="F100" s="100">
        <v>4.04</v>
      </c>
      <c r="G100" s="100">
        <v>38.049999999999997</v>
      </c>
      <c r="H100" s="100">
        <v>10.44</v>
      </c>
      <c r="I100" s="100">
        <v>4.8499999999999996</v>
      </c>
      <c r="J100" s="100">
        <v>0.15</v>
      </c>
      <c r="K100" s="100">
        <v>81.73</v>
      </c>
      <c r="L100" s="100">
        <v>26.68</v>
      </c>
      <c r="M100" s="100">
        <v>49.38</v>
      </c>
      <c r="N100" s="100">
        <v>0</v>
      </c>
      <c r="O100" s="100">
        <v>0</v>
      </c>
      <c r="P100" s="100">
        <v>0.48</v>
      </c>
      <c r="Q100" s="100">
        <v>5.44</v>
      </c>
    </row>
    <row r="101" spans="1:22" customFormat="1">
      <c r="A101" s="100" t="s">
        <v>2825</v>
      </c>
      <c r="B101" s="100">
        <v>19.66</v>
      </c>
      <c r="C101" s="100">
        <v>68.239999999999995</v>
      </c>
      <c r="D101" s="100">
        <v>50.38</v>
      </c>
      <c r="E101" s="100">
        <v>4.29</v>
      </c>
      <c r="F101" s="100">
        <v>3.84</v>
      </c>
      <c r="G101" s="100">
        <v>38.049999999999997</v>
      </c>
      <c r="H101" s="100">
        <v>10.44</v>
      </c>
      <c r="I101" s="100">
        <v>4.8899999999999997</v>
      </c>
      <c r="J101" s="100">
        <v>0.18</v>
      </c>
      <c r="K101" s="100">
        <v>212.18</v>
      </c>
      <c r="L101" s="100">
        <v>26.27</v>
      </c>
      <c r="M101" s="100">
        <v>51.11</v>
      </c>
      <c r="N101" s="100">
        <v>0</v>
      </c>
      <c r="O101" s="100">
        <v>0</v>
      </c>
      <c r="P101" s="100">
        <v>0.49</v>
      </c>
      <c r="Q101" s="100">
        <v>5.47</v>
      </c>
    </row>
    <row r="102" spans="1:22" customFormat="1">
      <c r="A102" s="100" t="s">
        <v>2826</v>
      </c>
      <c r="B102" s="100">
        <v>20.11</v>
      </c>
      <c r="C102" s="100">
        <v>66.989999999999995</v>
      </c>
      <c r="D102" s="100">
        <v>50.09</v>
      </c>
      <c r="E102" s="100">
        <v>4.16</v>
      </c>
      <c r="F102" s="100">
        <v>3.94</v>
      </c>
      <c r="G102" s="100">
        <v>34.53</v>
      </c>
      <c r="H102" s="100">
        <v>11.01</v>
      </c>
      <c r="I102" s="100">
        <v>4.8600000000000003</v>
      </c>
      <c r="J102" s="100">
        <v>0.24</v>
      </c>
      <c r="K102" s="100">
        <v>208.1</v>
      </c>
      <c r="L102" s="100">
        <v>26.04</v>
      </c>
      <c r="M102" s="100">
        <v>52.16</v>
      </c>
      <c r="N102" s="100">
        <v>0</v>
      </c>
      <c r="O102" s="100">
        <v>0</v>
      </c>
      <c r="P102" s="100">
        <v>0.48</v>
      </c>
      <c r="Q102" s="100">
        <v>5.49</v>
      </c>
    </row>
    <row r="103" spans="1:22" customFormat="1">
      <c r="A103" s="100" t="s">
        <v>2827</v>
      </c>
      <c r="B103" s="100">
        <v>20.61</v>
      </c>
      <c r="C103" s="100">
        <v>68.08</v>
      </c>
      <c r="D103" s="100">
        <v>51.05</v>
      </c>
      <c r="E103" s="100">
        <v>4.12</v>
      </c>
      <c r="F103" s="100">
        <v>3.69</v>
      </c>
      <c r="G103" s="100">
        <v>29.49</v>
      </c>
      <c r="H103" s="100">
        <v>11.51</v>
      </c>
      <c r="I103" s="100">
        <v>4.8499999999999996</v>
      </c>
      <c r="J103" s="100">
        <v>0.2</v>
      </c>
      <c r="K103" s="100">
        <v>238.86</v>
      </c>
      <c r="L103" s="100">
        <v>25.78</v>
      </c>
      <c r="M103" s="100">
        <v>53.88</v>
      </c>
      <c r="N103" s="100">
        <v>0</v>
      </c>
      <c r="O103" s="100">
        <v>0</v>
      </c>
      <c r="P103" s="100">
        <v>0.48</v>
      </c>
      <c r="Q103" s="100">
        <v>5.55</v>
      </c>
    </row>
    <row r="104" spans="1:22" customFormat="1">
      <c r="A104" s="100" t="s">
        <v>2828</v>
      </c>
      <c r="B104" s="100">
        <v>21.12</v>
      </c>
      <c r="C104" s="100">
        <v>67.22</v>
      </c>
      <c r="D104" s="100">
        <v>51.02</v>
      </c>
      <c r="E104" s="100">
        <v>3.85</v>
      </c>
      <c r="F104" s="100">
        <v>3.68</v>
      </c>
      <c r="G104" s="100">
        <v>29.49</v>
      </c>
      <c r="H104" s="100">
        <v>11.51</v>
      </c>
      <c r="I104" s="100">
        <v>4.82</v>
      </c>
      <c r="J104" s="100">
        <v>0.19</v>
      </c>
      <c r="K104" s="100">
        <v>236.27</v>
      </c>
      <c r="L104" s="100">
        <v>25.84</v>
      </c>
      <c r="M104" s="100">
        <v>54.17</v>
      </c>
      <c r="N104" s="100">
        <v>0</v>
      </c>
      <c r="O104" s="100">
        <v>0</v>
      </c>
      <c r="P104" s="100">
        <v>0.48</v>
      </c>
      <c r="Q104" s="100">
        <v>5.58</v>
      </c>
    </row>
    <row r="106" spans="1:22">
      <c r="A106" s="157" t="s">
        <v>48</v>
      </c>
      <c r="B106" s="158">
        <f>MIN(B9:B104)</f>
        <v>5.24</v>
      </c>
      <c r="C106" s="158">
        <f>MIN(C9:C104)</f>
        <v>44.05</v>
      </c>
      <c r="D106" s="158">
        <f t="shared" ref="D106:Q106" si="0">MIN(D9:D104)</f>
        <v>26.71</v>
      </c>
      <c r="E106" s="158">
        <f t="shared" si="0"/>
        <v>3.75</v>
      </c>
      <c r="F106" s="158">
        <f t="shared" si="0"/>
        <v>3.6</v>
      </c>
      <c r="G106" s="158">
        <f t="shared" si="0"/>
        <v>23.67</v>
      </c>
      <c r="H106" s="158">
        <f t="shared" si="0"/>
        <v>10.44</v>
      </c>
      <c r="I106" s="158">
        <f t="shared" si="0"/>
        <v>4.71</v>
      </c>
      <c r="J106" s="158">
        <f t="shared" si="0"/>
        <v>0.04</v>
      </c>
      <c r="K106" s="158">
        <f t="shared" si="0"/>
        <v>6.11</v>
      </c>
      <c r="L106" s="158">
        <f t="shared" si="0"/>
        <v>25.67</v>
      </c>
      <c r="M106" s="158">
        <f t="shared" si="0"/>
        <v>16.2</v>
      </c>
      <c r="N106" s="158">
        <f t="shared" si="0"/>
        <v>0</v>
      </c>
      <c r="O106" s="158">
        <f t="shared" si="0"/>
        <v>0</v>
      </c>
      <c r="P106" s="158">
        <f t="shared" si="0"/>
        <v>0.47</v>
      </c>
      <c r="Q106" s="158">
        <f t="shared" si="0"/>
        <v>4.66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39.46</v>
      </c>
      <c r="C107" s="157">
        <f t="shared" ref="C107:Q107" si="1">MAX(C9:C104)</f>
        <v>68.239999999999995</v>
      </c>
      <c r="D107" s="157">
        <f t="shared" si="1"/>
        <v>64.42</v>
      </c>
      <c r="E107" s="157">
        <f t="shared" si="1"/>
        <v>33</v>
      </c>
      <c r="F107" s="157">
        <f t="shared" si="1"/>
        <v>44.01</v>
      </c>
      <c r="G107" s="157">
        <f t="shared" si="1"/>
        <v>485.53</v>
      </c>
      <c r="H107" s="157">
        <f t="shared" si="1"/>
        <v>29.01</v>
      </c>
      <c r="I107" s="157">
        <f t="shared" si="1"/>
        <v>16.71</v>
      </c>
      <c r="J107" s="157">
        <f t="shared" si="1"/>
        <v>4.3899999999999997</v>
      </c>
      <c r="K107" s="157">
        <f t="shared" si="1"/>
        <v>354.67</v>
      </c>
      <c r="L107" s="157">
        <f t="shared" si="1"/>
        <v>40.61</v>
      </c>
      <c r="M107" s="157">
        <f t="shared" si="1"/>
        <v>57.73</v>
      </c>
      <c r="N107" s="157">
        <f t="shared" si="1"/>
        <v>831.4</v>
      </c>
      <c r="O107" s="157">
        <f t="shared" si="1"/>
        <v>0</v>
      </c>
      <c r="P107" s="157">
        <f t="shared" si="1"/>
        <v>1.37</v>
      </c>
      <c r="Q107" s="157">
        <f t="shared" si="1"/>
        <v>6.38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19.020624999999995</v>
      </c>
      <c r="C108" s="158">
        <f t="shared" ref="C108:Q108" si="2">AVERAGE(C9:C104)</f>
        <v>58.58385416666669</v>
      </c>
      <c r="D108" s="158">
        <f t="shared" si="2"/>
        <v>44.816354166666663</v>
      </c>
      <c r="E108" s="158">
        <f t="shared" si="2"/>
        <v>10.617604166666665</v>
      </c>
      <c r="F108" s="158">
        <f t="shared" si="2"/>
        <v>13.362291666666671</v>
      </c>
      <c r="G108" s="158">
        <f t="shared" si="2"/>
        <v>89.676666666666733</v>
      </c>
      <c r="H108" s="158">
        <f t="shared" si="2"/>
        <v>20.86666666666666</v>
      </c>
      <c r="I108" s="158">
        <f t="shared" si="2"/>
        <v>9.1576041666666672</v>
      </c>
      <c r="J108" s="158">
        <f t="shared" si="2"/>
        <v>0.67489583333333336</v>
      </c>
      <c r="K108" s="158">
        <f t="shared" si="2"/>
        <v>165.06791666666669</v>
      </c>
      <c r="L108" s="158">
        <f t="shared" si="2"/>
        <v>32.499583333333327</v>
      </c>
      <c r="M108" s="158">
        <f t="shared" si="2"/>
        <v>37.318125000000009</v>
      </c>
      <c r="N108" s="158">
        <f t="shared" si="2"/>
        <v>150.65937499999998</v>
      </c>
      <c r="O108" s="158">
        <f t="shared" si="2"/>
        <v>0</v>
      </c>
      <c r="P108" s="158">
        <f t="shared" si="2"/>
        <v>0.79968750000000011</v>
      </c>
      <c r="Q108" s="158">
        <f t="shared" si="2"/>
        <v>5.462083333333335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10.790012810343132</v>
      </c>
      <c r="C109" s="158">
        <f t="shared" ref="C109:Q109" si="3">STDEV(C9:C104)</f>
        <v>7.0453931749074385</v>
      </c>
      <c r="D109" s="158">
        <f t="shared" si="3"/>
        <v>11.096762270309837</v>
      </c>
      <c r="E109" s="158">
        <f t="shared" si="3"/>
        <v>6.1669297564196475</v>
      </c>
      <c r="F109" s="158">
        <f t="shared" si="3"/>
        <v>10.576435821815508</v>
      </c>
      <c r="G109" s="158">
        <f t="shared" si="3"/>
        <v>74.906440095089849</v>
      </c>
      <c r="H109" s="158">
        <f t="shared" si="3"/>
        <v>5.2194332555146321</v>
      </c>
      <c r="I109" s="158">
        <f t="shared" si="3"/>
        <v>4.0351549229481787</v>
      </c>
      <c r="J109" s="158">
        <f t="shared" si="3"/>
        <v>0.7180631768007556</v>
      </c>
      <c r="K109" s="158">
        <f t="shared" si="3"/>
        <v>100.8859721918152</v>
      </c>
      <c r="L109" s="158">
        <f t="shared" si="3"/>
        <v>5.2265951313132275</v>
      </c>
      <c r="M109" s="158">
        <f t="shared" si="3"/>
        <v>12.817173702128178</v>
      </c>
      <c r="N109" s="158">
        <f t="shared" si="3"/>
        <v>247.21500149427783</v>
      </c>
      <c r="O109" s="158">
        <f t="shared" si="3"/>
        <v>0</v>
      </c>
      <c r="P109" s="158">
        <f t="shared" si="3"/>
        <v>0.28791246156829658</v>
      </c>
      <c r="Q109" s="158">
        <f t="shared" si="3"/>
        <v>0.56307224303563042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28/05/2023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2829</v>
      </c>
      <c r="B9" s="100">
        <v>21.21</v>
      </c>
      <c r="C9" s="100">
        <v>64.569999999999993</v>
      </c>
      <c r="D9" s="100">
        <v>49.7</v>
      </c>
      <c r="E9" s="100">
        <v>3.73</v>
      </c>
      <c r="F9" s="100">
        <v>3.76</v>
      </c>
      <c r="G9" s="100">
        <v>29.49</v>
      </c>
      <c r="H9" s="100">
        <v>11.51</v>
      </c>
      <c r="I9" s="100">
        <v>4.78</v>
      </c>
      <c r="J9" s="100">
        <v>0.08</v>
      </c>
      <c r="K9" s="100">
        <v>174.64</v>
      </c>
      <c r="L9" s="100">
        <v>25.79</v>
      </c>
      <c r="M9" s="100">
        <v>55.32</v>
      </c>
      <c r="N9" s="100">
        <v>0</v>
      </c>
      <c r="O9" s="100">
        <v>0</v>
      </c>
      <c r="P9" s="100">
        <v>0.48</v>
      </c>
      <c r="Q9" s="100">
        <v>5.57</v>
      </c>
    </row>
    <row r="10" spans="1:21" customFormat="1">
      <c r="A10" s="100" t="s">
        <v>2830</v>
      </c>
      <c r="B10" s="100">
        <v>21.37</v>
      </c>
      <c r="C10" s="100">
        <v>66.209999999999994</v>
      </c>
      <c r="D10" s="100">
        <v>50.68</v>
      </c>
      <c r="E10" s="100">
        <v>3.8</v>
      </c>
      <c r="F10" s="100">
        <v>3.86</v>
      </c>
      <c r="G10" s="100">
        <v>31.19</v>
      </c>
      <c r="H10" s="100">
        <v>10.57</v>
      </c>
      <c r="I10" s="100">
        <v>4.75</v>
      </c>
      <c r="J10" s="100">
        <v>0.11</v>
      </c>
      <c r="K10" s="100">
        <v>182.57</v>
      </c>
      <c r="L10" s="100">
        <v>25.77</v>
      </c>
      <c r="M10" s="100">
        <v>55.7</v>
      </c>
      <c r="N10" s="100">
        <v>0</v>
      </c>
      <c r="O10" s="100">
        <v>0</v>
      </c>
      <c r="P10" s="100">
        <v>0.48</v>
      </c>
      <c r="Q10" s="100">
        <v>5.57</v>
      </c>
    </row>
    <row r="11" spans="1:21" customFormat="1">
      <c r="A11" s="100" t="s">
        <v>2831</v>
      </c>
      <c r="B11" s="100">
        <v>22.22</v>
      </c>
      <c r="C11" s="100">
        <v>66.72</v>
      </c>
      <c r="D11" s="100">
        <v>51.63</v>
      </c>
      <c r="E11" s="100">
        <v>4.1399999999999997</v>
      </c>
      <c r="F11" s="100">
        <v>3.62</v>
      </c>
      <c r="G11" s="100">
        <v>33.64</v>
      </c>
      <c r="H11" s="100">
        <v>9.76</v>
      </c>
      <c r="I11" s="100">
        <v>4.71</v>
      </c>
      <c r="J11" s="100">
        <v>0.16</v>
      </c>
      <c r="K11" s="100">
        <v>199.91</v>
      </c>
      <c r="L11" s="100">
        <v>25.8</v>
      </c>
      <c r="M11" s="100">
        <v>56.24</v>
      </c>
      <c r="N11" s="100">
        <v>0</v>
      </c>
      <c r="O11" s="100">
        <v>0</v>
      </c>
      <c r="P11" s="100">
        <v>0.48</v>
      </c>
      <c r="Q11" s="100">
        <v>5.62</v>
      </c>
    </row>
    <row r="12" spans="1:21" customFormat="1">
      <c r="A12" s="100" t="s">
        <v>2832</v>
      </c>
      <c r="B12" s="100">
        <v>23.07</v>
      </c>
      <c r="C12" s="100">
        <v>67.099999999999994</v>
      </c>
      <c r="D12" s="100">
        <v>52.52</v>
      </c>
      <c r="E12" s="100">
        <v>4.18</v>
      </c>
      <c r="F12" s="100">
        <v>3.53</v>
      </c>
      <c r="G12" s="100">
        <v>33.64</v>
      </c>
      <c r="H12" s="100">
        <v>9.76</v>
      </c>
      <c r="I12" s="100">
        <v>4.6900000000000004</v>
      </c>
      <c r="J12" s="100">
        <v>0.14000000000000001</v>
      </c>
      <c r="K12" s="100">
        <v>185.23</v>
      </c>
      <c r="L12" s="100">
        <v>25.61</v>
      </c>
      <c r="M12" s="100">
        <v>57.16</v>
      </c>
      <c r="N12" s="100">
        <v>0</v>
      </c>
      <c r="O12" s="100">
        <v>0</v>
      </c>
      <c r="P12" s="100">
        <v>0.48</v>
      </c>
      <c r="Q12" s="100">
        <v>5.63</v>
      </c>
    </row>
    <row r="13" spans="1:21" customFormat="1">
      <c r="A13" s="100" t="s">
        <v>2833</v>
      </c>
      <c r="B13" s="100">
        <v>23.6</v>
      </c>
      <c r="C13" s="100">
        <v>66.099999999999994</v>
      </c>
      <c r="D13" s="100">
        <v>52.41</v>
      </c>
      <c r="E13" s="100">
        <v>4.45</v>
      </c>
      <c r="F13" s="100">
        <v>3.77</v>
      </c>
      <c r="G13" s="100">
        <v>33.64</v>
      </c>
      <c r="H13" s="100">
        <v>9.76</v>
      </c>
      <c r="I13" s="100">
        <v>4.67</v>
      </c>
      <c r="J13" s="100">
        <v>0.11</v>
      </c>
      <c r="K13" s="100">
        <v>172.18</v>
      </c>
      <c r="L13" s="100">
        <v>25.67</v>
      </c>
      <c r="M13" s="100">
        <v>57.08</v>
      </c>
      <c r="N13" s="100">
        <v>0</v>
      </c>
      <c r="O13" s="100">
        <v>0</v>
      </c>
      <c r="P13" s="100">
        <v>0.47</v>
      </c>
      <c r="Q13" s="100">
        <v>5.62</v>
      </c>
    </row>
    <row r="14" spans="1:21" customFormat="1">
      <c r="A14" s="100" t="s">
        <v>2834</v>
      </c>
      <c r="B14" s="100">
        <v>24.05</v>
      </c>
      <c r="C14" s="100">
        <v>65.69</v>
      </c>
      <c r="D14" s="100">
        <v>52.56</v>
      </c>
      <c r="E14" s="100">
        <v>4.3499999999999996</v>
      </c>
      <c r="F14" s="100">
        <v>3.87</v>
      </c>
      <c r="G14" s="100">
        <v>27.78</v>
      </c>
      <c r="H14" s="100">
        <v>9.69</v>
      </c>
      <c r="I14" s="100">
        <v>4.6500000000000004</v>
      </c>
      <c r="J14" s="100">
        <v>0.23</v>
      </c>
      <c r="K14" s="100">
        <v>176.59</v>
      </c>
      <c r="L14" s="100">
        <v>25.52</v>
      </c>
      <c r="M14" s="100">
        <v>58.21</v>
      </c>
      <c r="N14" s="100">
        <v>0</v>
      </c>
      <c r="O14" s="100">
        <v>0</v>
      </c>
      <c r="P14" s="100">
        <v>0.48</v>
      </c>
      <c r="Q14" s="100">
        <v>5.66</v>
      </c>
    </row>
    <row r="15" spans="1:21" customFormat="1">
      <c r="A15" s="100" t="s">
        <v>2835</v>
      </c>
      <c r="B15" s="100">
        <v>24.62</v>
      </c>
      <c r="C15" s="100">
        <v>67.16</v>
      </c>
      <c r="D15" s="100">
        <v>53.79</v>
      </c>
      <c r="E15" s="100">
        <v>3.9</v>
      </c>
      <c r="F15" s="100">
        <v>3.47</v>
      </c>
      <c r="G15" s="100">
        <v>19.39</v>
      </c>
      <c r="H15" s="100">
        <v>9.5</v>
      </c>
      <c r="I15" s="100">
        <v>4.66</v>
      </c>
      <c r="J15" s="100">
        <v>0.2</v>
      </c>
      <c r="K15" s="100">
        <v>179.6</v>
      </c>
      <c r="L15" s="100">
        <v>25.34</v>
      </c>
      <c r="M15" s="100">
        <v>58.96</v>
      </c>
      <c r="N15" s="100">
        <v>0</v>
      </c>
      <c r="O15" s="100">
        <v>0</v>
      </c>
      <c r="P15" s="100">
        <v>0.48</v>
      </c>
      <c r="Q15" s="100">
        <v>5.76</v>
      </c>
    </row>
    <row r="16" spans="1:21" customFormat="1">
      <c r="A16" s="100" t="s">
        <v>2836</v>
      </c>
      <c r="B16" s="100">
        <v>25.17</v>
      </c>
      <c r="C16" s="100">
        <v>66.48</v>
      </c>
      <c r="D16" s="100">
        <v>53.87</v>
      </c>
      <c r="E16" s="100">
        <v>4.05</v>
      </c>
      <c r="F16" s="100">
        <v>3.52</v>
      </c>
      <c r="G16" s="100">
        <v>19.39</v>
      </c>
      <c r="H16" s="100">
        <v>9.5</v>
      </c>
      <c r="I16" s="100">
        <v>4.6500000000000004</v>
      </c>
      <c r="J16" s="100">
        <v>0.23</v>
      </c>
      <c r="K16" s="100">
        <v>173.75</v>
      </c>
      <c r="L16" s="100">
        <v>25.04</v>
      </c>
      <c r="M16" s="100">
        <v>60.68</v>
      </c>
      <c r="N16" s="100">
        <v>0</v>
      </c>
      <c r="O16" s="100">
        <v>0</v>
      </c>
      <c r="P16" s="100">
        <v>0.48</v>
      </c>
      <c r="Q16" s="100">
        <v>5.77</v>
      </c>
    </row>
    <row r="17" spans="1:17" customFormat="1">
      <c r="A17" s="100" t="s">
        <v>2837</v>
      </c>
      <c r="B17" s="100">
        <v>25.44</v>
      </c>
      <c r="C17" s="100">
        <v>65.33</v>
      </c>
      <c r="D17" s="100">
        <v>53.49</v>
      </c>
      <c r="E17" s="100">
        <v>5.57</v>
      </c>
      <c r="F17" s="100">
        <v>3.66</v>
      </c>
      <c r="G17" s="100">
        <v>19.39</v>
      </c>
      <c r="H17" s="100">
        <v>9.5</v>
      </c>
      <c r="I17" s="100">
        <v>4.62</v>
      </c>
      <c r="J17" s="100">
        <v>0.24</v>
      </c>
      <c r="K17" s="100">
        <v>184.16</v>
      </c>
      <c r="L17" s="100">
        <v>24.95</v>
      </c>
      <c r="M17" s="100">
        <v>60.8</v>
      </c>
      <c r="N17" s="100">
        <v>0</v>
      </c>
      <c r="O17" s="100">
        <v>0</v>
      </c>
      <c r="P17" s="100">
        <v>0.48</v>
      </c>
      <c r="Q17" s="100">
        <v>5.77</v>
      </c>
    </row>
    <row r="18" spans="1:17" customFormat="1">
      <c r="A18" s="100" t="s">
        <v>2838</v>
      </c>
      <c r="B18" s="100">
        <v>25.72</v>
      </c>
      <c r="C18" s="100">
        <v>64.8</v>
      </c>
      <c r="D18" s="100">
        <v>53.44</v>
      </c>
      <c r="E18" s="100">
        <v>7.05</v>
      </c>
      <c r="F18" s="100">
        <v>3.66</v>
      </c>
      <c r="G18" s="100">
        <v>16.13</v>
      </c>
      <c r="H18" s="100">
        <v>8.65</v>
      </c>
      <c r="I18" s="100">
        <v>4.58</v>
      </c>
      <c r="J18" s="100">
        <v>0.14000000000000001</v>
      </c>
      <c r="K18" s="100">
        <v>172.79</v>
      </c>
      <c r="L18" s="100">
        <v>24.72</v>
      </c>
      <c r="M18" s="100">
        <v>61.9</v>
      </c>
      <c r="N18" s="100">
        <v>0</v>
      </c>
      <c r="O18" s="100">
        <v>0</v>
      </c>
      <c r="P18" s="100">
        <v>0.48</v>
      </c>
      <c r="Q18" s="100">
        <v>5.78</v>
      </c>
    </row>
    <row r="19" spans="1:17" customFormat="1">
      <c r="A19" s="100" t="s">
        <v>2839</v>
      </c>
      <c r="B19" s="100">
        <v>26.08</v>
      </c>
      <c r="C19" s="100">
        <v>65.13</v>
      </c>
      <c r="D19" s="100">
        <v>53.9</v>
      </c>
      <c r="E19" s="100">
        <v>7.37</v>
      </c>
      <c r="F19" s="100">
        <v>3.63</v>
      </c>
      <c r="G19" s="100">
        <v>11.24</v>
      </c>
      <c r="H19" s="100">
        <v>7.93</v>
      </c>
      <c r="I19" s="100">
        <v>4.55</v>
      </c>
      <c r="J19" s="100">
        <v>0.15</v>
      </c>
      <c r="K19" s="100">
        <v>167.79</v>
      </c>
      <c r="L19" s="100">
        <v>24.51</v>
      </c>
      <c r="M19" s="100">
        <v>62.83</v>
      </c>
      <c r="N19" s="100">
        <v>0</v>
      </c>
      <c r="O19" s="100">
        <v>0</v>
      </c>
      <c r="P19" s="100">
        <v>0.47</v>
      </c>
      <c r="Q19" s="100">
        <v>5.79</v>
      </c>
    </row>
    <row r="20" spans="1:17" customFormat="1">
      <c r="A20" s="100" t="s">
        <v>2840</v>
      </c>
      <c r="B20" s="100">
        <v>26.37</v>
      </c>
      <c r="C20" s="100">
        <v>65.349999999999994</v>
      </c>
      <c r="D20" s="100">
        <v>54.24</v>
      </c>
      <c r="E20" s="100">
        <v>7.12</v>
      </c>
      <c r="F20" s="100">
        <v>3.55</v>
      </c>
      <c r="G20" s="100">
        <v>11.24</v>
      </c>
      <c r="H20" s="100">
        <v>7.93</v>
      </c>
      <c r="I20" s="100">
        <v>4.55</v>
      </c>
      <c r="J20" s="100">
        <v>0.2</v>
      </c>
      <c r="K20" s="100">
        <v>174.68</v>
      </c>
      <c r="L20" s="100">
        <v>24.55</v>
      </c>
      <c r="M20" s="100">
        <v>62.44</v>
      </c>
      <c r="N20" s="100">
        <v>0</v>
      </c>
      <c r="O20" s="100">
        <v>0</v>
      </c>
      <c r="P20" s="100">
        <v>0.48</v>
      </c>
      <c r="Q20" s="100">
        <v>5.8</v>
      </c>
    </row>
    <row r="21" spans="1:17" customFormat="1">
      <c r="A21" s="100" t="s">
        <v>2841</v>
      </c>
      <c r="B21" s="100">
        <v>26.57</v>
      </c>
      <c r="C21" s="100">
        <v>65.3</v>
      </c>
      <c r="D21" s="100">
        <v>54.38</v>
      </c>
      <c r="E21" s="100">
        <v>7.12</v>
      </c>
      <c r="F21" s="100">
        <v>3.57</v>
      </c>
      <c r="G21" s="100">
        <v>11.24</v>
      </c>
      <c r="H21" s="100">
        <v>7.93</v>
      </c>
      <c r="I21" s="100">
        <v>4.54</v>
      </c>
      <c r="J21" s="100">
        <v>0.08</v>
      </c>
      <c r="K21" s="100">
        <v>158.12</v>
      </c>
      <c r="L21" s="100">
        <v>24.38</v>
      </c>
      <c r="M21" s="100">
        <v>63.35</v>
      </c>
      <c r="N21" s="100">
        <v>0</v>
      </c>
      <c r="O21" s="100">
        <v>0</v>
      </c>
      <c r="P21" s="100">
        <v>0.48</v>
      </c>
      <c r="Q21" s="100">
        <v>5.82</v>
      </c>
    </row>
    <row r="22" spans="1:17" customFormat="1">
      <c r="A22" s="100" t="s">
        <v>2842</v>
      </c>
      <c r="B22" s="100">
        <v>27.01</v>
      </c>
      <c r="C22" s="100">
        <v>64.42</v>
      </c>
      <c r="D22" s="100">
        <v>54.27</v>
      </c>
      <c r="E22" s="100">
        <v>7.27</v>
      </c>
      <c r="F22" s="100">
        <v>3.78</v>
      </c>
      <c r="G22" s="100">
        <v>12.29</v>
      </c>
      <c r="H22" s="100">
        <v>6.7</v>
      </c>
      <c r="I22" s="100">
        <v>4.5</v>
      </c>
      <c r="J22" s="100">
        <v>0.09</v>
      </c>
      <c r="K22" s="100">
        <v>142.29</v>
      </c>
      <c r="L22" s="100">
        <v>24.55</v>
      </c>
      <c r="M22" s="100">
        <v>62.78</v>
      </c>
      <c r="N22" s="100">
        <v>0</v>
      </c>
      <c r="O22" s="100">
        <v>0</v>
      </c>
      <c r="P22" s="100">
        <v>0.47</v>
      </c>
      <c r="Q22" s="100">
        <v>5.81</v>
      </c>
    </row>
    <row r="23" spans="1:17" customFormat="1">
      <c r="A23" s="100" t="s">
        <v>2843</v>
      </c>
      <c r="B23" s="100">
        <v>27.55</v>
      </c>
      <c r="C23" s="100">
        <v>64.27</v>
      </c>
      <c r="D23" s="100">
        <v>54.63</v>
      </c>
      <c r="E23" s="100">
        <v>7.36</v>
      </c>
      <c r="F23" s="100">
        <v>3.71</v>
      </c>
      <c r="G23" s="100">
        <v>13.86</v>
      </c>
      <c r="H23" s="100">
        <v>5.64</v>
      </c>
      <c r="I23" s="100">
        <v>4.4400000000000004</v>
      </c>
      <c r="J23" s="100">
        <v>0.17</v>
      </c>
      <c r="K23" s="100">
        <v>162.13999999999999</v>
      </c>
      <c r="L23" s="100">
        <v>24.56</v>
      </c>
      <c r="M23" s="100">
        <v>63.05</v>
      </c>
      <c r="N23" s="100">
        <v>0</v>
      </c>
      <c r="O23" s="100">
        <v>0</v>
      </c>
      <c r="P23" s="100">
        <v>0.47</v>
      </c>
      <c r="Q23" s="100">
        <v>5.84</v>
      </c>
    </row>
    <row r="24" spans="1:17" customFormat="1">
      <c r="A24" s="100" t="s">
        <v>2844</v>
      </c>
      <c r="B24" s="100">
        <v>28.11</v>
      </c>
      <c r="C24" s="100">
        <v>64.2</v>
      </c>
      <c r="D24" s="100">
        <v>55.04</v>
      </c>
      <c r="E24" s="100">
        <v>7.27</v>
      </c>
      <c r="F24" s="100">
        <v>3.69</v>
      </c>
      <c r="G24" s="100">
        <v>13.86</v>
      </c>
      <c r="H24" s="100">
        <v>5.64</v>
      </c>
      <c r="I24" s="100">
        <v>4.47</v>
      </c>
      <c r="J24" s="100">
        <v>0.1</v>
      </c>
      <c r="K24" s="100">
        <v>190.42</v>
      </c>
      <c r="L24" s="100">
        <v>24.35</v>
      </c>
      <c r="M24" s="100">
        <v>64.150000000000006</v>
      </c>
      <c r="N24" s="100">
        <v>0</v>
      </c>
      <c r="O24" s="100">
        <v>0</v>
      </c>
      <c r="P24" s="100">
        <v>0.48</v>
      </c>
      <c r="Q24" s="100">
        <v>5.86</v>
      </c>
    </row>
    <row r="25" spans="1:17" customFormat="1">
      <c r="A25" s="100" t="s">
        <v>2845</v>
      </c>
      <c r="B25" s="100">
        <v>29.09</v>
      </c>
      <c r="C25" s="100">
        <v>64.23</v>
      </c>
      <c r="D25" s="100">
        <v>55.84</v>
      </c>
      <c r="E25" s="100">
        <v>7.39</v>
      </c>
      <c r="F25" s="100">
        <v>3.74</v>
      </c>
      <c r="G25" s="100">
        <v>13.86</v>
      </c>
      <c r="H25" s="100">
        <v>5.64</v>
      </c>
      <c r="I25" s="100">
        <v>4.54</v>
      </c>
      <c r="J25" s="100">
        <v>0.04</v>
      </c>
      <c r="K25" s="100">
        <v>221.17</v>
      </c>
      <c r="L25" s="100">
        <v>24.41</v>
      </c>
      <c r="M25" s="100">
        <v>64.52</v>
      </c>
      <c r="N25" s="100">
        <v>0</v>
      </c>
      <c r="O25" s="100">
        <v>0</v>
      </c>
      <c r="P25" s="100">
        <v>0.49</v>
      </c>
      <c r="Q25" s="100">
        <v>5.89</v>
      </c>
    </row>
    <row r="26" spans="1:17" customFormat="1">
      <c r="A26" s="100" t="s">
        <v>2846</v>
      </c>
      <c r="B26" s="100">
        <v>31.14</v>
      </c>
      <c r="C26" s="100">
        <v>63.74</v>
      </c>
      <c r="D26" s="100">
        <v>57.22</v>
      </c>
      <c r="E26" s="100">
        <v>6.85</v>
      </c>
      <c r="F26" s="100">
        <v>3.69</v>
      </c>
      <c r="G26" s="100">
        <v>23.02</v>
      </c>
      <c r="H26" s="100">
        <v>5.05</v>
      </c>
      <c r="I26" s="100">
        <v>4.5599999999999996</v>
      </c>
      <c r="J26" s="100">
        <v>0.2</v>
      </c>
      <c r="K26" s="100">
        <v>71.22</v>
      </c>
      <c r="L26" s="100">
        <v>24.61</v>
      </c>
      <c r="M26" s="100">
        <v>63.52</v>
      </c>
      <c r="N26" s="100">
        <v>0</v>
      </c>
      <c r="O26" s="100">
        <v>0</v>
      </c>
      <c r="P26" s="100">
        <v>0.48</v>
      </c>
      <c r="Q26" s="100">
        <v>5.97</v>
      </c>
    </row>
    <row r="27" spans="1:17" customFormat="1">
      <c r="A27" s="100" t="s">
        <v>2847</v>
      </c>
      <c r="B27" s="100">
        <v>32.92</v>
      </c>
      <c r="C27" s="100">
        <v>64.67</v>
      </c>
      <c r="D27" s="100">
        <v>59.14</v>
      </c>
      <c r="E27" s="100">
        <v>7.25</v>
      </c>
      <c r="F27" s="100">
        <v>3.77</v>
      </c>
      <c r="G27" s="100">
        <v>36.76</v>
      </c>
      <c r="H27" s="100">
        <v>4.54</v>
      </c>
      <c r="I27" s="100">
        <v>4.7300000000000004</v>
      </c>
      <c r="J27" s="100">
        <v>0.24</v>
      </c>
      <c r="K27" s="100">
        <v>167.67</v>
      </c>
      <c r="L27" s="100">
        <v>24.28</v>
      </c>
      <c r="M27" s="100">
        <v>65.55</v>
      </c>
      <c r="N27" s="100">
        <v>0</v>
      </c>
      <c r="O27" s="100">
        <v>0</v>
      </c>
      <c r="P27" s="100">
        <v>0.49</v>
      </c>
      <c r="Q27" s="100">
        <v>6.1</v>
      </c>
    </row>
    <row r="28" spans="1:17" customFormat="1">
      <c r="A28" s="100" t="s">
        <v>2848</v>
      </c>
      <c r="B28" s="100">
        <v>33.86</v>
      </c>
      <c r="C28" s="100">
        <v>64.28</v>
      </c>
      <c r="D28" s="100">
        <v>59.69</v>
      </c>
      <c r="E28" s="100">
        <v>7.31</v>
      </c>
      <c r="F28" s="100">
        <v>3.72</v>
      </c>
      <c r="G28" s="100">
        <v>36.76</v>
      </c>
      <c r="H28" s="100">
        <v>4.54</v>
      </c>
      <c r="I28" s="100">
        <v>5.03</v>
      </c>
      <c r="J28" s="100">
        <v>0.26</v>
      </c>
      <c r="K28" s="100">
        <v>179.97</v>
      </c>
      <c r="L28" s="100">
        <v>23.89</v>
      </c>
      <c r="M28" s="100">
        <v>67.2</v>
      </c>
      <c r="N28" s="100">
        <v>0</v>
      </c>
      <c r="O28" s="100">
        <v>0</v>
      </c>
      <c r="P28" s="100">
        <v>0.48</v>
      </c>
      <c r="Q28" s="100">
        <v>6.16</v>
      </c>
    </row>
    <row r="29" spans="1:17" customFormat="1">
      <c r="A29" s="100" t="s">
        <v>2849</v>
      </c>
      <c r="B29" s="100">
        <v>34.61</v>
      </c>
      <c r="C29" s="100">
        <v>64.52</v>
      </c>
      <c r="D29" s="100">
        <v>60.42</v>
      </c>
      <c r="E29" s="100">
        <v>7.34</v>
      </c>
      <c r="F29" s="100">
        <v>3.64</v>
      </c>
      <c r="G29" s="100">
        <v>36.76</v>
      </c>
      <c r="H29" s="100">
        <v>4.54</v>
      </c>
      <c r="I29" s="100">
        <v>5.15</v>
      </c>
      <c r="J29" s="100">
        <v>0.41</v>
      </c>
      <c r="K29" s="100">
        <v>58.44</v>
      </c>
      <c r="L29" s="100">
        <v>23.92</v>
      </c>
      <c r="M29" s="100">
        <v>66.17</v>
      </c>
      <c r="N29" s="100">
        <v>0</v>
      </c>
      <c r="O29" s="100">
        <v>0</v>
      </c>
      <c r="P29" s="100">
        <v>0.49</v>
      </c>
      <c r="Q29" s="100">
        <v>6.16</v>
      </c>
    </row>
    <row r="30" spans="1:17" customFormat="1">
      <c r="A30" s="100" t="s">
        <v>2850</v>
      </c>
      <c r="B30" s="100">
        <v>35.840000000000003</v>
      </c>
      <c r="C30" s="100">
        <v>64.53</v>
      </c>
      <c r="D30" s="100">
        <v>61.41</v>
      </c>
      <c r="E30" s="100">
        <v>7.79</v>
      </c>
      <c r="F30" s="100">
        <v>3.58</v>
      </c>
      <c r="G30" s="100">
        <v>39.979999999999997</v>
      </c>
      <c r="H30" s="100">
        <v>7.05</v>
      </c>
      <c r="I30" s="100">
        <v>5.24</v>
      </c>
      <c r="J30" s="100">
        <v>1</v>
      </c>
      <c r="K30" s="100">
        <v>58.64</v>
      </c>
      <c r="L30" s="100">
        <v>24.11</v>
      </c>
      <c r="M30" s="100">
        <v>64.27</v>
      </c>
      <c r="N30" s="100">
        <v>0.1</v>
      </c>
      <c r="O30" s="100">
        <v>0</v>
      </c>
      <c r="P30" s="100">
        <v>0.49</v>
      </c>
      <c r="Q30" s="100">
        <v>6.21</v>
      </c>
    </row>
    <row r="31" spans="1:17" customFormat="1">
      <c r="A31" s="100" t="s">
        <v>2851</v>
      </c>
      <c r="B31" s="100">
        <v>36.9</v>
      </c>
      <c r="C31" s="100">
        <v>65.62</v>
      </c>
      <c r="D31" s="100">
        <v>62.84</v>
      </c>
      <c r="E31" s="100">
        <v>6.95</v>
      </c>
      <c r="F31" s="100">
        <v>3.45</v>
      </c>
      <c r="G31" s="100">
        <v>44.58</v>
      </c>
      <c r="H31" s="100">
        <v>9.2100000000000009</v>
      </c>
      <c r="I31" s="100">
        <v>5.32</v>
      </c>
      <c r="J31" s="100">
        <v>0.63</v>
      </c>
      <c r="K31" s="100">
        <v>57.89</v>
      </c>
      <c r="L31" s="100">
        <v>24</v>
      </c>
      <c r="M31" s="100">
        <v>65.27</v>
      </c>
      <c r="N31" s="100">
        <v>8.8000000000000007</v>
      </c>
      <c r="O31" s="100">
        <v>0</v>
      </c>
      <c r="P31" s="100">
        <v>0.5</v>
      </c>
      <c r="Q31" s="100">
        <v>6.29</v>
      </c>
    </row>
    <row r="32" spans="1:17" customFormat="1">
      <c r="A32" s="100" t="s">
        <v>2852</v>
      </c>
      <c r="B32" s="100">
        <v>38.06</v>
      </c>
      <c r="C32" s="100">
        <v>64.510000000000005</v>
      </c>
      <c r="D32" s="100">
        <v>63.18</v>
      </c>
      <c r="E32" s="100">
        <v>7.15</v>
      </c>
      <c r="F32" s="100">
        <v>3.65</v>
      </c>
      <c r="G32" s="100">
        <v>44.58</v>
      </c>
      <c r="H32" s="100">
        <v>9.2100000000000009</v>
      </c>
      <c r="I32" s="100">
        <v>5.39</v>
      </c>
      <c r="J32" s="100">
        <v>0.83</v>
      </c>
      <c r="K32" s="100">
        <v>59.47</v>
      </c>
      <c r="L32" s="100">
        <v>24.19</v>
      </c>
      <c r="M32" s="100">
        <v>64.91</v>
      </c>
      <c r="N32" s="100">
        <v>22.1</v>
      </c>
      <c r="O32" s="100">
        <v>0</v>
      </c>
      <c r="P32" s="100">
        <v>0.5</v>
      </c>
      <c r="Q32" s="100">
        <v>6.3</v>
      </c>
    </row>
    <row r="33" spans="1:17" customFormat="1">
      <c r="A33" s="100" t="s">
        <v>2853</v>
      </c>
      <c r="B33" s="100">
        <v>39.119999999999997</v>
      </c>
      <c r="C33" s="100">
        <v>64.81</v>
      </c>
      <c r="D33" s="100">
        <v>64.19</v>
      </c>
      <c r="E33" s="100">
        <v>7.62</v>
      </c>
      <c r="F33" s="100">
        <v>3.68</v>
      </c>
      <c r="G33" s="100">
        <v>44.58</v>
      </c>
      <c r="H33" s="100">
        <v>9.2100000000000009</v>
      </c>
      <c r="I33" s="100">
        <v>5.45</v>
      </c>
      <c r="J33" s="100">
        <v>0.67</v>
      </c>
      <c r="K33" s="100">
        <v>56.91</v>
      </c>
      <c r="L33" s="100">
        <v>24.44</v>
      </c>
      <c r="M33" s="100">
        <v>64.58</v>
      </c>
      <c r="N33" s="100">
        <v>35.799999999999997</v>
      </c>
      <c r="O33" s="100">
        <v>0</v>
      </c>
      <c r="P33" s="100">
        <v>0.51</v>
      </c>
      <c r="Q33" s="100">
        <v>6.39</v>
      </c>
    </row>
    <row r="34" spans="1:17" customFormat="1">
      <c r="A34" s="100" t="s">
        <v>2854</v>
      </c>
      <c r="B34" s="100">
        <v>40.28</v>
      </c>
      <c r="C34" s="100">
        <v>64.3</v>
      </c>
      <c r="D34" s="100">
        <v>64.849999999999994</v>
      </c>
      <c r="E34" s="100">
        <v>7.36</v>
      </c>
      <c r="F34" s="100">
        <v>3.69</v>
      </c>
      <c r="G34" s="100">
        <v>66.42</v>
      </c>
      <c r="H34" s="100">
        <v>11.16</v>
      </c>
      <c r="I34" s="100">
        <v>5.49</v>
      </c>
      <c r="J34" s="100">
        <v>0.65</v>
      </c>
      <c r="K34" s="100">
        <v>40.79</v>
      </c>
      <c r="L34" s="100">
        <v>24.86</v>
      </c>
      <c r="M34" s="100">
        <v>64.040000000000006</v>
      </c>
      <c r="N34" s="100">
        <v>48.4</v>
      </c>
      <c r="O34" s="100">
        <v>0</v>
      </c>
      <c r="P34" s="100">
        <v>0.52</v>
      </c>
      <c r="Q34" s="100">
        <v>6.47</v>
      </c>
    </row>
    <row r="35" spans="1:17" customFormat="1">
      <c r="A35" s="100" t="s">
        <v>2855</v>
      </c>
      <c r="B35" s="100">
        <v>41.33</v>
      </c>
      <c r="C35" s="100">
        <v>64.849999999999994</v>
      </c>
      <c r="D35" s="100">
        <v>65.98</v>
      </c>
      <c r="E35" s="100">
        <v>7.85</v>
      </c>
      <c r="F35" s="100">
        <v>3.71</v>
      </c>
      <c r="G35" s="100">
        <v>97.7</v>
      </c>
      <c r="H35" s="100">
        <v>12.85</v>
      </c>
      <c r="I35" s="100">
        <v>5.57</v>
      </c>
      <c r="J35" s="100">
        <v>0.87</v>
      </c>
      <c r="K35" s="100">
        <v>54.26</v>
      </c>
      <c r="L35" s="100">
        <v>25.35</v>
      </c>
      <c r="M35" s="100">
        <v>62.36</v>
      </c>
      <c r="N35" s="100">
        <v>60.7</v>
      </c>
      <c r="O35" s="100">
        <v>0</v>
      </c>
      <c r="P35" s="100">
        <v>0.53</v>
      </c>
      <c r="Q35" s="100">
        <v>6.52</v>
      </c>
    </row>
    <row r="36" spans="1:17" customFormat="1">
      <c r="A36" s="100" t="s">
        <v>2856</v>
      </c>
      <c r="B36" s="100">
        <v>42.04</v>
      </c>
      <c r="C36" s="100">
        <v>64.87</v>
      </c>
      <c r="D36" s="100">
        <v>66.56</v>
      </c>
      <c r="E36" s="100">
        <v>7.92</v>
      </c>
      <c r="F36" s="100">
        <v>3.85</v>
      </c>
      <c r="G36" s="100">
        <v>97.7</v>
      </c>
      <c r="H36" s="100">
        <v>12.85</v>
      </c>
      <c r="I36" s="100">
        <v>5.65</v>
      </c>
      <c r="J36" s="100">
        <v>0.76</v>
      </c>
      <c r="K36" s="100">
        <v>52.13</v>
      </c>
      <c r="L36" s="100">
        <v>26.03</v>
      </c>
      <c r="M36" s="100">
        <v>60.24</v>
      </c>
      <c r="N36" s="100">
        <v>71.8</v>
      </c>
      <c r="O36" s="100">
        <v>0</v>
      </c>
      <c r="P36" s="100">
        <v>0.54</v>
      </c>
      <c r="Q36" s="100">
        <v>6.52</v>
      </c>
    </row>
    <row r="37" spans="1:17" customFormat="1">
      <c r="A37" s="100" t="s">
        <v>2857</v>
      </c>
      <c r="B37" s="100">
        <v>42.44</v>
      </c>
      <c r="C37" s="100">
        <v>65.27</v>
      </c>
      <c r="D37" s="100">
        <v>67.09</v>
      </c>
      <c r="E37" s="100">
        <v>7.67</v>
      </c>
      <c r="F37" s="100">
        <v>3.75</v>
      </c>
      <c r="G37" s="100">
        <v>97.7</v>
      </c>
      <c r="H37" s="100">
        <v>12.85</v>
      </c>
      <c r="I37" s="100">
        <v>5.69</v>
      </c>
      <c r="J37" s="100">
        <v>0.7</v>
      </c>
      <c r="K37" s="100">
        <v>59.88</v>
      </c>
      <c r="L37" s="100">
        <v>26.79</v>
      </c>
      <c r="M37" s="100">
        <v>57.54</v>
      </c>
      <c r="N37" s="100">
        <v>81</v>
      </c>
      <c r="O37" s="100">
        <v>0</v>
      </c>
      <c r="P37" s="100">
        <v>0.55000000000000004</v>
      </c>
      <c r="Q37" s="100">
        <v>6.6</v>
      </c>
    </row>
    <row r="38" spans="1:17" customFormat="1">
      <c r="A38" s="100" t="s">
        <v>2858</v>
      </c>
      <c r="B38" s="100">
        <v>42.45</v>
      </c>
      <c r="C38" s="100">
        <v>64.03</v>
      </c>
      <c r="D38" s="100">
        <v>66.45</v>
      </c>
      <c r="E38" s="100">
        <v>8.25</v>
      </c>
      <c r="F38" s="100">
        <v>3.99</v>
      </c>
      <c r="G38" s="100">
        <v>98.41</v>
      </c>
      <c r="H38" s="100">
        <v>13.73</v>
      </c>
      <c r="I38" s="100">
        <v>5.74</v>
      </c>
      <c r="J38" s="100">
        <v>0.68</v>
      </c>
      <c r="K38" s="100">
        <v>65.650000000000006</v>
      </c>
      <c r="L38" s="100">
        <v>27.46</v>
      </c>
      <c r="M38" s="100">
        <v>54.78</v>
      </c>
      <c r="N38" s="100">
        <v>90.4</v>
      </c>
      <c r="O38" s="100">
        <v>0</v>
      </c>
      <c r="P38" s="100">
        <v>0.55000000000000004</v>
      </c>
      <c r="Q38" s="100">
        <v>6.57</v>
      </c>
    </row>
    <row r="39" spans="1:17" customFormat="1">
      <c r="A39" s="100" t="s">
        <v>2859</v>
      </c>
      <c r="B39" s="100">
        <v>42.25</v>
      </c>
      <c r="C39" s="100">
        <v>66.17</v>
      </c>
      <c r="D39" s="100">
        <v>67.41</v>
      </c>
      <c r="E39" s="100">
        <v>8.1</v>
      </c>
      <c r="F39" s="100">
        <v>3.75</v>
      </c>
      <c r="G39" s="100">
        <v>99.43</v>
      </c>
      <c r="H39" s="100">
        <v>15.83</v>
      </c>
      <c r="I39" s="100">
        <v>5.79</v>
      </c>
      <c r="J39" s="100">
        <v>0.94</v>
      </c>
      <c r="K39" s="100">
        <v>56.76</v>
      </c>
      <c r="L39" s="100">
        <v>27.91</v>
      </c>
      <c r="M39" s="100">
        <v>52.92</v>
      </c>
      <c r="N39" s="100">
        <v>99.4</v>
      </c>
      <c r="O39" s="100">
        <v>0</v>
      </c>
      <c r="P39" s="100">
        <v>0.56999999999999995</v>
      </c>
      <c r="Q39" s="100">
        <v>6.63</v>
      </c>
    </row>
    <row r="40" spans="1:17" customFormat="1">
      <c r="A40" s="100" t="s">
        <v>2860</v>
      </c>
      <c r="B40" s="100">
        <v>42.2</v>
      </c>
      <c r="C40" s="100">
        <v>62.62</v>
      </c>
      <c r="D40" s="100">
        <v>65.510000000000005</v>
      </c>
      <c r="E40" s="100">
        <v>8.19</v>
      </c>
      <c r="F40" s="100">
        <v>4.1399999999999997</v>
      </c>
      <c r="G40" s="100">
        <v>99.43</v>
      </c>
      <c r="H40" s="100">
        <v>15.83</v>
      </c>
      <c r="I40" s="100">
        <v>5.84</v>
      </c>
      <c r="J40" s="100">
        <v>0.74</v>
      </c>
      <c r="K40" s="100">
        <v>49.69</v>
      </c>
      <c r="L40" s="100">
        <v>28.74</v>
      </c>
      <c r="M40" s="100">
        <v>50.96</v>
      </c>
      <c r="N40" s="100">
        <v>107.9</v>
      </c>
      <c r="O40" s="100">
        <v>0</v>
      </c>
      <c r="P40" s="100">
        <v>0.56999999999999995</v>
      </c>
      <c r="Q40" s="100">
        <v>6.59</v>
      </c>
    </row>
    <row r="41" spans="1:17" customFormat="1">
      <c r="A41" s="100" t="s">
        <v>2861</v>
      </c>
      <c r="B41" s="100">
        <v>41.2</v>
      </c>
      <c r="C41" s="100">
        <v>63.9</v>
      </c>
      <c r="D41" s="100">
        <v>65.38</v>
      </c>
      <c r="E41" s="100">
        <v>9.09</v>
      </c>
      <c r="F41" s="100">
        <v>4.6500000000000004</v>
      </c>
      <c r="G41" s="100">
        <v>99.43</v>
      </c>
      <c r="H41" s="100">
        <v>15.83</v>
      </c>
      <c r="I41" s="100">
        <v>5.88</v>
      </c>
      <c r="J41" s="100">
        <v>0.63</v>
      </c>
      <c r="K41" s="100">
        <v>48.18</v>
      </c>
      <c r="L41" s="100">
        <v>29.48</v>
      </c>
      <c r="M41" s="100">
        <v>49.32</v>
      </c>
      <c r="N41" s="100">
        <v>116.4</v>
      </c>
      <c r="O41" s="100">
        <v>0</v>
      </c>
      <c r="P41" s="100">
        <v>0.57999999999999996</v>
      </c>
      <c r="Q41" s="100">
        <v>6.56</v>
      </c>
    </row>
    <row r="42" spans="1:17" customFormat="1">
      <c r="A42" s="100" t="s">
        <v>2862</v>
      </c>
      <c r="B42" s="100">
        <v>38.729999999999997</v>
      </c>
      <c r="C42" s="100">
        <v>64.680000000000007</v>
      </c>
      <c r="D42" s="100">
        <v>63.8</v>
      </c>
      <c r="E42" s="100">
        <v>8.39</v>
      </c>
      <c r="F42" s="100">
        <v>4.95</v>
      </c>
      <c r="G42" s="100">
        <v>100.44</v>
      </c>
      <c r="H42" s="100">
        <v>16.43</v>
      </c>
      <c r="I42" s="100">
        <v>5.9</v>
      </c>
      <c r="J42" s="100">
        <v>0.4</v>
      </c>
      <c r="K42" s="100">
        <v>88.18</v>
      </c>
      <c r="L42" s="100">
        <v>30.57</v>
      </c>
      <c r="M42" s="100">
        <v>45.36</v>
      </c>
      <c r="N42" s="100">
        <v>122.2</v>
      </c>
      <c r="O42" s="100">
        <v>0</v>
      </c>
      <c r="P42" s="100">
        <v>0.57999999999999996</v>
      </c>
      <c r="Q42" s="100">
        <v>6.56</v>
      </c>
    </row>
    <row r="43" spans="1:17" customFormat="1">
      <c r="A43" s="100" t="s">
        <v>2863</v>
      </c>
      <c r="B43" s="100">
        <v>37.840000000000003</v>
      </c>
      <c r="C43" s="100">
        <v>62.9</v>
      </c>
      <c r="D43" s="100">
        <v>62.17</v>
      </c>
      <c r="E43" s="100">
        <v>8.91</v>
      </c>
      <c r="F43" s="100">
        <v>5.64</v>
      </c>
      <c r="G43" s="100">
        <v>101.89</v>
      </c>
      <c r="H43" s="100">
        <v>16.940000000000001</v>
      </c>
      <c r="I43" s="100">
        <v>5.91</v>
      </c>
      <c r="J43" s="100">
        <v>0.89</v>
      </c>
      <c r="K43" s="100">
        <v>52.54</v>
      </c>
      <c r="L43" s="100">
        <v>30.65</v>
      </c>
      <c r="M43" s="100">
        <v>45.17</v>
      </c>
      <c r="N43" s="100">
        <v>133.69999999999999</v>
      </c>
      <c r="O43" s="100">
        <v>0</v>
      </c>
      <c r="P43" s="100">
        <v>0.57999999999999996</v>
      </c>
      <c r="Q43" s="100">
        <v>6.47</v>
      </c>
    </row>
    <row r="44" spans="1:17" customFormat="1">
      <c r="A44" s="100" t="s">
        <v>2864</v>
      </c>
      <c r="B44" s="100">
        <v>35.729999999999997</v>
      </c>
      <c r="C44" s="100">
        <v>65.709999999999994</v>
      </c>
      <c r="D44" s="100">
        <v>61.93</v>
      </c>
      <c r="E44" s="100">
        <v>9.2799999999999994</v>
      </c>
      <c r="F44" s="100">
        <v>6.49</v>
      </c>
      <c r="G44" s="100">
        <v>101.89</v>
      </c>
      <c r="H44" s="100">
        <v>16.940000000000001</v>
      </c>
      <c r="I44" s="100">
        <v>5.93</v>
      </c>
      <c r="J44" s="100">
        <v>0.54</v>
      </c>
      <c r="K44" s="100">
        <v>84.41</v>
      </c>
      <c r="L44" s="100">
        <v>31.66</v>
      </c>
      <c r="M44" s="100">
        <v>42.85</v>
      </c>
      <c r="N44" s="100">
        <v>136.19999999999999</v>
      </c>
      <c r="O44" s="100">
        <v>0</v>
      </c>
      <c r="P44" s="100">
        <v>0.61</v>
      </c>
      <c r="Q44" s="100">
        <v>6.51</v>
      </c>
    </row>
    <row r="45" spans="1:17" customFormat="1">
      <c r="A45" s="100" t="s">
        <v>2865</v>
      </c>
      <c r="B45" s="100">
        <v>32.799999999999997</v>
      </c>
      <c r="C45" s="100">
        <v>64.739999999999995</v>
      </c>
      <c r="D45" s="100">
        <v>59.09</v>
      </c>
      <c r="E45" s="100">
        <v>11.95</v>
      </c>
      <c r="F45" s="100">
        <v>7.81</v>
      </c>
      <c r="G45" s="100">
        <v>101.89</v>
      </c>
      <c r="H45" s="100">
        <v>16.940000000000001</v>
      </c>
      <c r="I45" s="100">
        <v>6.06</v>
      </c>
      <c r="J45" s="100">
        <v>0.6</v>
      </c>
      <c r="K45" s="100">
        <v>68.239999999999995</v>
      </c>
      <c r="L45" s="100">
        <v>32.590000000000003</v>
      </c>
      <c r="M45" s="100">
        <v>41.17</v>
      </c>
      <c r="N45" s="100">
        <v>147.80000000000001</v>
      </c>
      <c r="O45" s="100">
        <v>0</v>
      </c>
      <c r="P45" s="100">
        <v>0.61</v>
      </c>
      <c r="Q45" s="100">
        <v>6.39</v>
      </c>
    </row>
    <row r="46" spans="1:17" customFormat="1">
      <c r="A46" s="100" t="s">
        <v>2866</v>
      </c>
      <c r="B46" s="100">
        <v>30.75</v>
      </c>
      <c r="C46" s="100">
        <v>59.26</v>
      </c>
      <c r="D46" s="100">
        <v>54.58</v>
      </c>
      <c r="E46" s="100">
        <v>10.56</v>
      </c>
      <c r="F46" s="100">
        <v>9.24</v>
      </c>
      <c r="G46" s="100">
        <v>94.52</v>
      </c>
      <c r="H46" s="100">
        <v>17.73</v>
      </c>
      <c r="I46" s="100">
        <v>6.23</v>
      </c>
      <c r="J46" s="100">
        <v>0.63</v>
      </c>
      <c r="K46" s="100">
        <v>60.45</v>
      </c>
      <c r="L46" s="100">
        <v>32.82</v>
      </c>
      <c r="M46" s="100">
        <v>38.950000000000003</v>
      </c>
      <c r="N46" s="100">
        <v>158.69999999999999</v>
      </c>
      <c r="O46" s="100">
        <v>0</v>
      </c>
      <c r="P46" s="100">
        <v>0.59</v>
      </c>
      <c r="Q46" s="100">
        <v>6.24</v>
      </c>
    </row>
    <row r="47" spans="1:17" customFormat="1">
      <c r="A47" s="100" t="s">
        <v>2867</v>
      </c>
      <c r="B47" s="100">
        <v>29.89</v>
      </c>
      <c r="C47" s="100">
        <v>63.28</v>
      </c>
      <c r="D47" s="100">
        <v>55.99</v>
      </c>
      <c r="E47" s="100">
        <v>12.12</v>
      </c>
      <c r="F47" s="100">
        <v>10.6</v>
      </c>
      <c r="G47" s="100">
        <v>83.97</v>
      </c>
      <c r="H47" s="100">
        <v>18.41</v>
      </c>
      <c r="I47" s="100">
        <v>6.21</v>
      </c>
      <c r="J47" s="100">
        <v>0.55000000000000004</v>
      </c>
      <c r="K47" s="100">
        <v>44.14</v>
      </c>
      <c r="L47" s="100">
        <v>33.58</v>
      </c>
      <c r="M47" s="100">
        <v>37.96</v>
      </c>
      <c r="N47" s="100">
        <v>166.6</v>
      </c>
      <c r="O47" s="100">
        <v>0</v>
      </c>
      <c r="P47" s="100">
        <v>0.59</v>
      </c>
      <c r="Q47" s="100">
        <v>6.22</v>
      </c>
    </row>
    <row r="48" spans="1:17" customFormat="1">
      <c r="A48" s="100" t="s">
        <v>2868</v>
      </c>
      <c r="B48" s="100">
        <v>26.98</v>
      </c>
      <c r="C48" s="100">
        <v>58.36</v>
      </c>
      <c r="D48" s="100">
        <v>51.08</v>
      </c>
      <c r="E48" s="100">
        <v>13.92</v>
      </c>
      <c r="F48" s="100">
        <v>15.22</v>
      </c>
      <c r="G48" s="100">
        <v>83.97</v>
      </c>
      <c r="H48" s="100">
        <v>18.41</v>
      </c>
      <c r="I48" s="100">
        <v>6.18</v>
      </c>
      <c r="J48" s="100">
        <v>0.61</v>
      </c>
      <c r="K48" s="100">
        <v>15.71</v>
      </c>
      <c r="L48" s="100">
        <v>33.83</v>
      </c>
      <c r="M48" s="100">
        <v>37.93</v>
      </c>
      <c r="N48" s="100">
        <v>184.9</v>
      </c>
      <c r="O48" s="100">
        <v>0</v>
      </c>
      <c r="P48" s="100">
        <v>0.61</v>
      </c>
      <c r="Q48" s="100">
        <v>6.13</v>
      </c>
    </row>
    <row r="49" spans="1:17" customFormat="1">
      <c r="A49" s="100" t="s">
        <v>2869</v>
      </c>
      <c r="B49" s="100">
        <v>24.88</v>
      </c>
      <c r="C49" s="100">
        <v>58.56</v>
      </c>
      <c r="D49" s="100">
        <v>49.5</v>
      </c>
      <c r="E49" s="100">
        <v>9.35</v>
      </c>
      <c r="F49" s="100">
        <v>15.7</v>
      </c>
      <c r="G49" s="100">
        <v>83.97</v>
      </c>
      <c r="H49" s="100">
        <v>18.41</v>
      </c>
      <c r="I49" s="100">
        <v>6.36</v>
      </c>
      <c r="J49" s="100">
        <v>0.66</v>
      </c>
      <c r="K49" s="100">
        <v>41.35</v>
      </c>
      <c r="L49" s="100">
        <v>33.81</v>
      </c>
      <c r="M49" s="100">
        <v>35.86</v>
      </c>
      <c r="N49" s="100">
        <v>212.8</v>
      </c>
      <c r="O49" s="100">
        <v>0</v>
      </c>
      <c r="P49" s="100">
        <v>0.6</v>
      </c>
      <c r="Q49" s="100">
        <v>6</v>
      </c>
    </row>
    <row r="50" spans="1:17" customFormat="1">
      <c r="A50" s="100" t="s">
        <v>2870</v>
      </c>
      <c r="B50" s="100">
        <v>21.98</v>
      </c>
      <c r="C50" s="100">
        <v>56.8</v>
      </c>
      <c r="D50" s="100">
        <v>46.26</v>
      </c>
      <c r="E50" s="100">
        <v>10.44</v>
      </c>
      <c r="F50" s="100">
        <v>21.17</v>
      </c>
      <c r="G50" s="100">
        <v>80.22</v>
      </c>
      <c r="H50" s="100">
        <v>19.62</v>
      </c>
      <c r="I50" s="100">
        <v>6.54</v>
      </c>
      <c r="J50" s="100">
        <v>0.72</v>
      </c>
      <c r="K50" s="100">
        <v>26.18</v>
      </c>
      <c r="L50" s="100">
        <v>34.68</v>
      </c>
      <c r="M50" s="100">
        <v>35.11</v>
      </c>
      <c r="N50" s="100">
        <v>246.5</v>
      </c>
      <c r="O50" s="100">
        <v>0</v>
      </c>
      <c r="P50" s="100">
        <v>0.6</v>
      </c>
      <c r="Q50" s="100">
        <v>5.85</v>
      </c>
    </row>
    <row r="51" spans="1:17" customFormat="1">
      <c r="A51" s="100" t="s">
        <v>2871</v>
      </c>
      <c r="B51" s="100">
        <v>19.260000000000002</v>
      </c>
      <c r="C51" s="100">
        <v>53.23</v>
      </c>
      <c r="D51" s="100">
        <v>42.21</v>
      </c>
      <c r="E51" s="100">
        <v>12.13</v>
      </c>
      <c r="F51" s="100">
        <v>26.46</v>
      </c>
      <c r="G51" s="100">
        <v>74.849999999999994</v>
      </c>
      <c r="H51" s="100">
        <v>20.65</v>
      </c>
      <c r="I51" s="100">
        <v>6.48</v>
      </c>
      <c r="J51" s="100">
        <v>0.53</v>
      </c>
      <c r="K51" s="100">
        <v>41.91</v>
      </c>
      <c r="L51" s="100">
        <v>34.380000000000003</v>
      </c>
      <c r="M51" s="100">
        <v>35.619999999999997</v>
      </c>
      <c r="N51" s="100">
        <v>252.8</v>
      </c>
      <c r="O51" s="100">
        <v>0</v>
      </c>
      <c r="P51" s="100">
        <v>0.57999999999999996</v>
      </c>
      <c r="Q51" s="100">
        <v>5.7</v>
      </c>
    </row>
    <row r="52" spans="1:17" customFormat="1">
      <c r="A52" s="100" t="s">
        <v>2872</v>
      </c>
      <c r="B52" s="100">
        <v>17.68</v>
      </c>
      <c r="C52" s="100">
        <v>53.36</v>
      </c>
      <c r="D52" s="100">
        <v>41.01</v>
      </c>
      <c r="E52" s="100">
        <v>14.46</v>
      </c>
      <c r="F52" s="100">
        <v>21.71</v>
      </c>
      <c r="G52" s="100">
        <v>74.849999999999994</v>
      </c>
      <c r="H52" s="100">
        <v>20.65</v>
      </c>
      <c r="I52" s="100">
        <v>6.39</v>
      </c>
      <c r="J52" s="100">
        <v>0.99</v>
      </c>
      <c r="K52" s="100">
        <v>49.22</v>
      </c>
      <c r="L52" s="100">
        <v>33.880000000000003</v>
      </c>
      <c r="M52" s="100">
        <v>36.07</v>
      </c>
      <c r="N52" s="100">
        <v>198.7</v>
      </c>
      <c r="O52" s="100">
        <v>0</v>
      </c>
      <c r="P52" s="100">
        <v>0.61</v>
      </c>
      <c r="Q52" s="100">
        <v>5.58</v>
      </c>
    </row>
    <row r="53" spans="1:17" customFormat="1">
      <c r="A53" s="100" t="s">
        <v>2873</v>
      </c>
      <c r="B53" s="100">
        <v>16.579999999999998</v>
      </c>
      <c r="C53" s="100">
        <v>53.72</v>
      </c>
      <c r="D53" s="100">
        <v>40.32</v>
      </c>
      <c r="E53" s="100">
        <v>14.99</v>
      </c>
      <c r="F53" s="100">
        <v>24.41</v>
      </c>
      <c r="G53" s="100">
        <v>74.849999999999994</v>
      </c>
      <c r="H53" s="100">
        <v>20.65</v>
      </c>
      <c r="I53" s="100">
        <v>6.4</v>
      </c>
      <c r="J53" s="100">
        <v>1.32</v>
      </c>
      <c r="K53" s="100">
        <v>52.96</v>
      </c>
      <c r="L53" s="100">
        <v>33.64</v>
      </c>
      <c r="M53" s="100">
        <v>38.08</v>
      </c>
      <c r="N53" s="100">
        <v>254.7</v>
      </c>
      <c r="O53" s="100">
        <v>0</v>
      </c>
      <c r="P53" s="100">
        <v>0.62</v>
      </c>
      <c r="Q53" s="100">
        <v>5.5</v>
      </c>
    </row>
    <row r="54" spans="1:17" customFormat="1">
      <c r="A54" s="100" t="s">
        <v>2874</v>
      </c>
      <c r="B54" s="100">
        <v>14.11</v>
      </c>
      <c r="C54" s="100">
        <v>51.53</v>
      </c>
      <c r="D54" s="100">
        <v>37.19</v>
      </c>
      <c r="E54" s="100">
        <v>18.64</v>
      </c>
      <c r="F54" s="100">
        <v>36.479999999999997</v>
      </c>
      <c r="G54" s="100">
        <v>80.53</v>
      </c>
      <c r="H54" s="100">
        <v>21.87</v>
      </c>
      <c r="I54" s="100">
        <v>6.54</v>
      </c>
      <c r="J54" s="100">
        <v>0.82</v>
      </c>
      <c r="K54" s="100">
        <v>58.94</v>
      </c>
      <c r="L54" s="100">
        <v>33.99</v>
      </c>
      <c r="M54" s="100">
        <v>37.909999999999997</v>
      </c>
      <c r="N54" s="100">
        <v>331.9</v>
      </c>
      <c r="O54" s="100">
        <v>0</v>
      </c>
      <c r="P54" s="100">
        <v>0.61</v>
      </c>
      <c r="Q54" s="100">
        <v>5.43</v>
      </c>
    </row>
    <row r="55" spans="1:17" customFormat="1">
      <c r="A55" s="100" t="s">
        <v>2875</v>
      </c>
      <c r="B55" s="100">
        <v>13.31</v>
      </c>
      <c r="C55" s="100">
        <v>55.15</v>
      </c>
      <c r="D55" s="100">
        <v>38.44</v>
      </c>
      <c r="E55" s="100">
        <v>15.08</v>
      </c>
      <c r="F55" s="100">
        <v>21.86</v>
      </c>
      <c r="G55" s="100">
        <v>88.66</v>
      </c>
      <c r="H55" s="100">
        <v>22.92</v>
      </c>
      <c r="I55" s="100">
        <v>6.66</v>
      </c>
      <c r="J55" s="100">
        <v>0.66</v>
      </c>
      <c r="K55" s="100">
        <v>53.17</v>
      </c>
      <c r="L55" s="100">
        <v>35.619999999999997</v>
      </c>
      <c r="M55" s="100">
        <v>33.75</v>
      </c>
      <c r="N55" s="100">
        <v>521.5</v>
      </c>
      <c r="O55" s="100">
        <v>0</v>
      </c>
      <c r="P55" s="100">
        <v>0.6</v>
      </c>
      <c r="Q55" s="100">
        <v>5.36</v>
      </c>
    </row>
    <row r="56" spans="1:17" customFormat="1">
      <c r="A56" s="100" t="s">
        <v>2876</v>
      </c>
      <c r="B56" s="100">
        <v>11.89</v>
      </c>
      <c r="C56" s="100">
        <v>57.58</v>
      </c>
      <c r="D56" s="100">
        <v>38.57</v>
      </c>
      <c r="E56" s="100">
        <v>13.95</v>
      </c>
      <c r="F56" s="100">
        <v>26.41</v>
      </c>
      <c r="G56" s="100">
        <v>88.66</v>
      </c>
      <c r="H56" s="100">
        <v>22.92</v>
      </c>
      <c r="I56" s="100">
        <v>6.45</v>
      </c>
      <c r="J56" s="100">
        <v>0.67</v>
      </c>
      <c r="K56" s="100">
        <v>28.14</v>
      </c>
      <c r="L56" s="100">
        <v>36.200000000000003</v>
      </c>
      <c r="M56" s="100">
        <v>32.17</v>
      </c>
      <c r="N56" s="100">
        <v>842.3</v>
      </c>
      <c r="O56" s="100">
        <v>0</v>
      </c>
      <c r="P56" s="100">
        <v>0.6</v>
      </c>
      <c r="Q56" s="100">
        <v>5.45</v>
      </c>
    </row>
    <row r="57" spans="1:17" customFormat="1">
      <c r="A57" s="100" t="s">
        <v>2877</v>
      </c>
      <c r="B57" s="100">
        <v>11.41</v>
      </c>
      <c r="C57" s="100">
        <v>55.73</v>
      </c>
      <c r="D57" s="100">
        <v>37.22</v>
      </c>
      <c r="E57" s="100">
        <v>11.63</v>
      </c>
      <c r="F57" s="100">
        <v>21.34</v>
      </c>
      <c r="G57" s="100">
        <v>88.66</v>
      </c>
      <c r="H57" s="100">
        <v>22.92</v>
      </c>
      <c r="I57" s="100">
        <v>6.25</v>
      </c>
      <c r="J57" s="100">
        <v>0.82</v>
      </c>
      <c r="K57" s="100">
        <v>337.18</v>
      </c>
      <c r="L57" s="100">
        <v>36.42</v>
      </c>
      <c r="M57" s="100">
        <v>29.54</v>
      </c>
      <c r="N57" s="100">
        <v>825.3</v>
      </c>
      <c r="O57" s="100">
        <v>0</v>
      </c>
      <c r="P57" s="100">
        <v>0.6</v>
      </c>
      <c r="Q57" s="100">
        <v>5.38</v>
      </c>
    </row>
    <row r="58" spans="1:17" customFormat="1">
      <c r="A58" s="100" t="s">
        <v>2878</v>
      </c>
      <c r="B58" s="100">
        <v>10.62</v>
      </c>
      <c r="C58" s="100">
        <v>53.42</v>
      </c>
      <c r="D58" s="100">
        <v>35.380000000000003</v>
      </c>
      <c r="E58" s="100">
        <v>12.21</v>
      </c>
      <c r="F58" s="100">
        <v>28.43</v>
      </c>
      <c r="G58" s="100">
        <v>82.41</v>
      </c>
      <c r="H58" s="100">
        <v>22.81</v>
      </c>
      <c r="I58" s="100">
        <v>6.22</v>
      </c>
      <c r="J58" s="100">
        <v>1.17</v>
      </c>
      <c r="K58" s="100">
        <v>48.26</v>
      </c>
      <c r="L58" s="100">
        <v>36.74</v>
      </c>
      <c r="M58" s="100">
        <v>27.26</v>
      </c>
      <c r="N58" s="100">
        <v>755.9</v>
      </c>
      <c r="O58" s="100">
        <v>0</v>
      </c>
      <c r="P58" s="100">
        <v>0.59</v>
      </c>
      <c r="Q58" s="100">
        <v>5.26</v>
      </c>
    </row>
    <row r="59" spans="1:17" customFormat="1">
      <c r="A59" s="100" t="s">
        <v>2879</v>
      </c>
      <c r="B59" s="100">
        <v>10.06</v>
      </c>
      <c r="C59" s="100">
        <v>55.93</v>
      </c>
      <c r="D59" s="100">
        <v>36.24</v>
      </c>
      <c r="E59" s="100">
        <v>13.69</v>
      </c>
      <c r="F59" s="100">
        <v>29.81</v>
      </c>
      <c r="G59" s="100">
        <v>73.459999999999994</v>
      </c>
      <c r="H59" s="100">
        <v>22.71</v>
      </c>
      <c r="I59" s="100">
        <v>6.26</v>
      </c>
      <c r="J59" s="100">
        <v>1.1200000000000001</v>
      </c>
      <c r="K59" s="100">
        <v>54.47</v>
      </c>
      <c r="L59" s="100">
        <v>37.090000000000003</v>
      </c>
      <c r="M59" s="100">
        <v>26.48</v>
      </c>
      <c r="N59" s="100">
        <v>735.7</v>
      </c>
      <c r="O59" s="100">
        <v>0</v>
      </c>
      <c r="P59" s="100">
        <v>0.57999999999999996</v>
      </c>
      <c r="Q59" s="100">
        <v>5.19</v>
      </c>
    </row>
    <row r="60" spans="1:17" customFormat="1">
      <c r="A60" s="100" t="s">
        <v>2880</v>
      </c>
      <c r="B60" s="100">
        <v>8.98</v>
      </c>
      <c r="C60" s="100">
        <v>53.26</v>
      </c>
      <c r="D60" s="100">
        <v>33.979999999999997</v>
      </c>
      <c r="E60" s="100">
        <v>13.19</v>
      </c>
      <c r="F60" s="100">
        <v>27.31</v>
      </c>
      <c r="G60" s="100">
        <v>73.459999999999994</v>
      </c>
      <c r="H60" s="100">
        <v>22.71</v>
      </c>
      <c r="I60" s="100">
        <v>6.09</v>
      </c>
      <c r="J60" s="100">
        <v>0.74</v>
      </c>
      <c r="K60" s="100">
        <v>62.64</v>
      </c>
      <c r="L60" s="100">
        <v>38.03</v>
      </c>
      <c r="M60" s="100">
        <v>25.5</v>
      </c>
      <c r="N60" s="100">
        <v>793</v>
      </c>
      <c r="O60" s="100">
        <v>0</v>
      </c>
      <c r="P60" s="100">
        <v>0.56999999999999995</v>
      </c>
      <c r="Q60" s="100">
        <v>5.1100000000000003</v>
      </c>
    </row>
    <row r="61" spans="1:17" customFormat="1">
      <c r="A61" s="100" t="s">
        <v>2881</v>
      </c>
      <c r="B61" s="100">
        <v>8.11</v>
      </c>
      <c r="C61" s="100">
        <v>51.05</v>
      </c>
      <c r="D61" s="100">
        <v>32.130000000000003</v>
      </c>
      <c r="E61" s="100">
        <v>16.100000000000001</v>
      </c>
      <c r="F61" s="100">
        <v>36.86</v>
      </c>
      <c r="G61" s="100">
        <v>73.459999999999994</v>
      </c>
      <c r="H61" s="100">
        <v>22.71</v>
      </c>
      <c r="I61" s="100">
        <v>5.97</v>
      </c>
      <c r="J61" s="100">
        <v>1</v>
      </c>
      <c r="K61" s="100">
        <v>42.42</v>
      </c>
      <c r="L61" s="100">
        <v>38.159999999999997</v>
      </c>
      <c r="M61" s="100">
        <v>25.59</v>
      </c>
      <c r="N61" s="100">
        <v>751.6</v>
      </c>
      <c r="O61" s="100">
        <v>0</v>
      </c>
      <c r="P61" s="100">
        <v>0.56999999999999995</v>
      </c>
      <c r="Q61" s="100">
        <v>5.05</v>
      </c>
    </row>
    <row r="62" spans="1:17" customFormat="1">
      <c r="A62" s="100" t="s">
        <v>2882</v>
      </c>
      <c r="B62" s="100">
        <v>7.43</v>
      </c>
      <c r="C62" s="100">
        <v>50.52</v>
      </c>
      <c r="D62" s="100">
        <v>31.31</v>
      </c>
      <c r="E62" s="100">
        <v>16.73</v>
      </c>
      <c r="F62" s="100">
        <v>38.229999999999997</v>
      </c>
      <c r="G62" s="100">
        <v>74.48</v>
      </c>
      <c r="H62" s="100">
        <v>21.68</v>
      </c>
      <c r="I62" s="100">
        <v>6.03</v>
      </c>
      <c r="J62" s="100">
        <v>0.93</v>
      </c>
      <c r="K62" s="100">
        <v>33.58</v>
      </c>
      <c r="L62" s="100">
        <v>38.18</v>
      </c>
      <c r="M62" s="100">
        <v>27.9</v>
      </c>
      <c r="N62" s="100">
        <v>714.8</v>
      </c>
      <c r="O62" s="100">
        <v>0</v>
      </c>
      <c r="P62" s="100">
        <v>0.56999999999999995</v>
      </c>
      <c r="Q62" s="100">
        <v>4.9800000000000004</v>
      </c>
    </row>
    <row r="63" spans="1:17" customFormat="1">
      <c r="A63" s="100" t="s">
        <v>2883</v>
      </c>
      <c r="B63" s="100">
        <v>7.05</v>
      </c>
      <c r="C63" s="100">
        <v>54.27</v>
      </c>
      <c r="D63" s="100">
        <v>32.96</v>
      </c>
      <c r="E63" s="100">
        <v>14.43</v>
      </c>
      <c r="F63" s="100">
        <v>23.61</v>
      </c>
      <c r="G63" s="100">
        <v>75.94</v>
      </c>
      <c r="H63" s="100">
        <v>19.239999999999998</v>
      </c>
      <c r="I63" s="100">
        <v>5.93</v>
      </c>
      <c r="J63" s="100">
        <v>1.02</v>
      </c>
      <c r="K63" s="100">
        <v>31.64</v>
      </c>
      <c r="L63" s="100">
        <v>38.26</v>
      </c>
      <c r="M63" s="100">
        <v>26.43</v>
      </c>
      <c r="N63" s="100">
        <v>735.5</v>
      </c>
      <c r="O63" s="100">
        <v>0</v>
      </c>
      <c r="P63" s="100">
        <v>0.57999999999999996</v>
      </c>
      <c r="Q63" s="100">
        <v>4.97</v>
      </c>
    </row>
    <row r="64" spans="1:17" customFormat="1">
      <c r="A64" s="100" t="s">
        <v>2884</v>
      </c>
      <c r="B64" s="100">
        <v>6.29</v>
      </c>
      <c r="C64" s="100">
        <v>58.26</v>
      </c>
      <c r="D64" s="100">
        <v>34.44</v>
      </c>
      <c r="E64" s="100">
        <v>17.66</v>
      </c>
      <c r="F64" s="100">
        <v>30.91</v>
      </c>
      <c r="G64" s="100">
        <v>75.94</v>
      </c>
      <c r="H64" s="100">
        <v>19.239999999999998</v>
      </c>
      <c r="I64" s="100">
        <v>6.04</v>
      </c>
      <c r="J64" s="100">
        <v>1.47</v>
      </c>
      <c r="K64" s="100">
        <v>54.25</v>
      </c>
      <c r="L64" s="100">
        <v>37.94</v>
      </c>
      <c r="M64" s="100">
        <v>26.47</v>
      </c>
      <c r="N64" s="100">
        <v>694.2</v>
      </c>
      <c r="O64" s="100">
        <v>0</v>
      </c>
      <c r="P64" s="100">
        <v>0.59</v>
      </c>
      <c r="Q64" s="100">
        <v>5.1100000000000003</v>
      </c>
    </row>
    <row r="65" spans="1:17" customFormat="1">
      <c r="A65" s="100" t="s">
        <v>2885</v>
      </c>
      <c r="B65" s="100">
        <v>6.13</v>
      </c>
      <c r="C65" s="100">
        <v>55.68</v>
      </c>
      <c r="D65" s="100">
        <v>32.96</v>
      </c>
      <c r="E65" s="100">
        <v>22.4</v>
      </c>
      <c r="F65" s="100">
        <v>32.14</v>
      </c>
      <c r="G65" s="100">
        <v>75.94</v>
      </c>
      <c r="H65" s="100">
        <v>19.239999999999998</v>
      </c>
      <c r="I65" s="100">
        <v>6.22</v>
      </c>
      <c r="J65" s="100">
        <v>1.0900000000000001</v>
      </c>
      <c r="K65" s="100">
        <v>51.07</v>
      </c>
      <c r="L65" s="100">
        <v>38.24</v>
      </c>
      <c r="M65" s="100">
        <v>25.52</v>
      </c>
      <c r="N65" s="100">
        <v>634.4</v>
      </c>
      <c r="O65" s="100">
        <v>0</v>
      </c>
      <c r="P65" s="100">
        <v>0.55000000000000004</v>
      </c>
      <c r="Q65" s="100">
        <v>5.0199999999999996</v>
      </c>
    </row>
    <row r="66" spans="1:17" customFormat="1">
      <c r="A66" s="100" t="s">
        <v>2886</v>
      </c>
      <c r="B66" s="100">
        <v>6.07</v>
      </c>
      <c r="C66" s="100">
        <v>55.61</v>
      </c>
      <c r="D66" s="100">
        <v>32.869999999999997</v>
      </c>
      <c r="E66" s="100">
        <v>29.06</v>
      </c>
      <c r="F66" s="100">
        <v>35.43</v>
      </c>
      <c r="G66" s="100">
        <v>71.52</v>
      </c>
      <c r="H66" s="100">
        <v>18.86</v>
      </c>
      <c r="I66" s="100">
        <v>6.15</v>
      </c>
      <c r="J66" s="100">
        <v>1.07</v>
      </c>
      <c r="K66" s="100">
        <v>24.53</v>
      </c>
      <c r="L66" s="100">
        <v>38.68</v>
      </c>
      <c r="M66" s="100">
        <v>24.52</v>
      </c>
      <c r="N66" s="100">
        <v>684.3</v>
      </c>
      <c r="O66" s="100">
        <v>0</v>
      </c>
      <c r="P66" s="100">
        <v>0.55000000000000004</v>
      </c>
      <c r="Q66" s="100">
        <v>4.96</v>
      </c>
    </row>
    <row r="67" spans="1:17" customFormat="1">
      <c r="A67" s="100" t="s">
        <v>2887</v>
      </c>
      <c r="B67" s="100">
        <v>6.14</v>
      </c>
      <c r="C67" s="100">
        <v>52.7</v>
      </c>
      <c r="D67" s="100">
        <v>31.41</v>
      </c>
      <c r="E67" s="100">
        <v>21.11</v>
      </c>
      <c r="F67" s="100">
        <v>30.61</v>
      </c>
      <c r="G67" s="100">
        <v>65.180000000000007</v>
      </c>
      <c r="H67" s="100">
        <v>18.53</v>
      </c>
      <c r="I67" s="100">
        <v>5.98</v>
      </c>
      <c r="J67" s="100">
        <v>1</v>
      </c>
      <c r="K67" s="100">
        <v>44.91</v>
      </c>
      <c r="L67" s="100">
        <v>38.85</v>
      </c>
      <c r="M67" s="100">
        <v>23.93</v>
      </c>
      <c r="N67" s="100">
        <v>608.70000000000005</v>
      </c>
      <c r="O67" s="100">
        <v>0</v>
      </c>
      <c r="P67" s="100">
        <v>0.54</v>
      </c>
      <c r="Q67" s="100">
        <v>4.93</v>
      </c>
    </row>
    <row r="68" spans="1:17" customFormat="1">
      <c r="A68" s="100" t="s">
        <v>2888</v>
      </c>
      <c r="B68" s="100">
        <v>5.92</v>
      </c>
      <c r="C68" s="100">
        <v>50.79</v>
      </c>
      <c r="D68" s="100">
        <v>30.24</v>
      </c>
      <c r="E68" s="100">
        <v>16.72</v>
      </c>
      <c r="F68" s="100">
        <v>29.93</v>
      </c>
      <c r="G68" s="100">
        <v>65.180000000000007</v>
      </c>
      <c r="H68" s="100">
        <v>18.53</v>
      </c>
      <c r="I68" s="100">
        <v>5.64</v>
      </c>
      <c r="J68" s="100">
        <v>0.96</v>
      </c>
      <c r="K68" s="100">
        <v>46.54</v>
      </c>
      <c r="L68" s="100">
        <v>38.9</v>
      </c>
      <c r="M68" s="100">
        <v>23.44</v>
      </c>
      <c r="N68" s="100">
        <v>622</v>
      </c>
      <c r="O68" s="100">
        <v>0</v>
      </c>
      <c r="P68" s="100">
        <v>0.52</v>
      </c>
      <c r="Q68" s="100">
        <v>4.88</v>
      </c>
    </row>
    <row r="69" spans="1:17" customFormat="1">
      <c r="A69" s="100" t="s">
        <v>2889</v>
      </c>
      <c r="B69" s="100">
        <v>5.99</v>
      </c>
      <c r="C69" s="100">
        <v>47.58</v>
      </c>
      <c r="D69" s="100">
        <v>28.62</v>
      </c>
      <c r="E69" s="100">
        <v>14.55</v>
      </c>
      <c r="F69" s="100">
        <v>34.799999999999997</v>
      </c>
      <c r="G69" s="100">
        <v>65.180000000000007</v>
      </c>
      <c r="H69" s="100">
        <v>18.53</v>
      </c>
      <c r="I69" s="100">
        <v>5.5</v>
      </c>
      <c r="J69" s="100">
        <v>0.43</v>
      </c>
      <c r="K69" s="100">
        <v>30.1</v>
      </c>
      <c r="L69" s="100">
        <v>39.39</v>
      </c>
      <c r="M69" s="100">
        <v>22.49</v>
      </c>
      <c r="N69" s="100">
        <v>584.20000000000005</v>
      </c>
      <c r="O69" s="100">
        <v>0</v>
      </c>
      <c r="P69" s="100">
        <v>0.5</v>
      </c>
      <c r="Q69" s="100">
        <v>4.83</v>
      </c>
    </row>
    <row r="70" spans="1:17" customFormat="1">
      <c r="A70" s="100" t="s">
        <v>2890</v>
      </c>
      <c r="B70" s="100">
        <v>6.1</v>
      </c>
      <c r="C70" s="100">
        <v>47.14</v>
      </c>
      <c r="D70" s="100">
        <v>28.48</v>
      </c>
      <c r="E70" s="100">
        <v>12.39</v>
      </c>
      <c r="F70" s="100">
        <v>35.33</v>
      </c>
      <c r="G70" s="100">
        <v>64.2</v>
      </c>
      <c r="H70" s="100">
        <v>18.579999999999998</v>
      </c>
      <c r="I70" s="100">
        <v>5.37</v>
      </c>
      <c r="J70" s="100">
        <v>0.52</v>
      </c>
      <c r="K70" s="100">
        <v>39.07</v>
      </c>
      <c r="L70" s="100">
        <v>39.630000000000003</v>
      </c>
      <c r="M70" s="100">
        <v>22.33</v>
      </c>
      <c r="N70" s="100">
        <v>553.79999999999995</v>
      </c>
      <c r="O70" s="100">
        <v>0</v>
      </c>
      <c r="P70" s="100">
        <v>0.5</v>
      </c>
      <c r="Q70" s="100">
        <v>4.82</v>
      </c>
    </row>
    <row r="71" spans="1:17" customFormat="1">
      <c r="A71" s="100" t="s">
        <v>2891</v>
      </c>
      <c r="B71" s="100">
        <v>5.63</v>
      </c>
      <c r="C71" s="100">
        <v>47.26</v>
      </c>
      <c r="D71" s="100">
        <v>28.16</v>
      </c>
      <c r="E71" s="100">
        <v>12.8</v>
      </c>
      <c r="F71" s="100">
        <v>32.770000000000003</v>
      </c>
      <c r="G71" s="100">
        <v>62.8</v>
      </c>
      <c r="H71" s="100">
        <v>18.61</v>
      </c>
      <c r="I71" s="100">
        <v>5.25</v>
      </c>
      <c r="J71" s="100">
        <v>0.84</v>
      </c>
      <c r="K71" s="100">
        <v>47.04</v>
      </c>
      <c r="L71" s="100">
        <v>39.17</v>
      </c>
      <c r="M71" s="100">
        <v>23.53</v>
      </c>
      <c r="N71" s="100">
        <v>506.1</v>
      </c>
      <c r="O71" s="100">
        <v>0</v>
      </c>
      <c r="P71" s="100">
        <v>0.51</v>
      </c>
      <c r="Q71" s="100">
        <v>4.8099999999999996</v>
      </c>
    </row>
    <row r="72" spans="1:17" customFormat="1">
      <c r="A72" s="100" t="s">
        <v>2892</v>
      </c>
      <c r="B72" s="100">
        <v>5.78</v>
      </c>
      <c r="C72" s="100">
        <v>47.84</v>
      </c>
      <c r="D72" s="100">
        <v>28.58</v>
      </c>
      <c r="E72" s="100">
        <v>12.74</v>
      </c>
      <c r="F72" s="100">
        <v>39.58</v>
      </c>
      <c r="G72" s="100">
        <v>62.8</v>
      </c>
      <c r="H72" s="100">
        <v>18.61</v>
      </c>
      <c r="I72" s="100">
        <v>5.21</v>
      </c>
      <c r="J72" s="100">
        <v>0.54</v>
      </c>
      <c r="K72" s="100">
        <v>32.78</v>
      </c>
      <c r="L72" s="100">
        <v>39.159999999999997</v>
      </c>
      <c r="M72" s="100">
        <v>23.23</v>
      </c>
      <c r="N72" s="100">
        <v>451.2</v>
      </c>
      <c r="O72" s="100">
        <v>0</v>
      </c>
      <c r="P72" s="100">
        <v>0.5</v>
      </c>
      <c r="Q72" s="100">
        <v>4.8</v>
      </c>
    </row>
    <row r="73" spans="1:17" customFormat="1">
      <c r="A73" s="100" t="s">
        <v>2893</v>
      </c>
      <c r="B73" s="100">
        <v>5.34</v>
      </c>
      <c r="C73" s="100">
        <v>45.89</v>
      </c>
      <c r="D73" s="100">
        <v>27.21</v>
      </c>
      <c r="E73" s="100">
        <v>12.93</v>
      </c>
      <c r="F73" s="100">
        <v>37.18</v>
      </c>
      <c r="G73" s="100">
        <v>62.8</v>
      </c>
      <c r="H73" s="100">
        <v>18.61</v>
      </c>
      <c r="I73" s="100">
        <v>5.2</v>
      </c>
      <c r="J73" s="100">
        <v>0.35</v>
      </c>
      <c r="K73" s="100">
        <v>69.349999999999994</v>
      </c>
      <c r="L73" s="100">
        <v>39.56</v>
      </c>
      <c r="M73" s="100">
        <v>22.77</v>
      </c>
      <c r="N73" s="100">
        <v>395.1</v>
      </c>
      <c r="O73" s="100">
        <v>0</v>
      </c>
      <c r="P73" s="100">
        <v>0.49</v>
      </c>
      <c r="Q73" s="100">
        <v>4.78</v>
      </c>
    </row>
    <row r="74" spans="1:17" customFormat="1">
      <c r="A74" s="100" t="s">
        <v>2894</v>
      </c>
      <c r="B74" s="100">
        <v>5.34</v>
      </c>
      <c r="C74" s="100">
        <v>44.72</v>
      </c>
      <c r="D74" s="100">
        <v>26.6</v>
      </c>
      <c r="E74" s="100">
        <v>12.73</v>
      </c>
      <c r="F74" s="100">
        <v>40.5</v>
      </c>
      <c r="G74" s="100">
        <v>62.68</v>
      </c>
      <c r="H74" s="100">
        <v>18.95</v>
      </c>
      <c r="I74" s="100">
        <v>4.9800000000000004</v>
      </c>
      <c r="J74" s="100">
        <v>0.34</v>
      </c>
      <c r="K74" s="100">
        <v>93.85</v>
      </c>
      <c r="L74" s="100">
        <v>39.81</v>
      </c>
      <c r="M74" s="100">
        <v>22.62</v>
      </c>
      <c r="N74" s="100">
        <v>343.2</v>
      </c>
      <c r="O74" s="100">
        <v>0</v>
      </c>
      <c r="P74" s="100">
        <v>0.47</v>
      </c>
      <c r="Q74" s="100">
        <v>4.76</v>
      </c>
    </row>
    <row r="75" spans="1:17" customFormat="1">
      <c r="A75" s="100" t="s">
        <v>2895</v>
      </c>
      <c r="B75" s="100">
        <v>5.22</v>
      </c>
      <c r="C75" s="100">
        <v>44.86</v>
      </c>
      <c r="D75" s="100">
        <v>26.58</v>
      </c>
      <c r="E75" s="100">
        <v>13.41</v>
      </c>
      <c r="F75" s="100">
        <v>39.47</v>
      </c>
      <c r="G75" s="100">
        <v>62.52</v>
      </c>
      <c r="H75" s="100">
        <v>19.25</v>
      </c>
      <c r="I75" s="100">
        <v>4.8899999999999997</v>
      </c>
      <c r="J75" s="100">
        <v>0.49</v>
      </c>
      <c r="K75" s="100">
        <v>61.93</v>
      </c>
      <c r="L75" s="100">
        <v>39.53</v>
      </c>
      <c r="M75" s="100">
        <v>23.31</v>
      </c>
      <c r="N75" s="100">
        <v>282.39999999999998</v>
      </c>
      <c r="O75" s="100">
        <v>0</v>
      </c>
      <c r="P75" s="100">
        <v>0.49</v>
      </c>
      <c r="Q75" s="100">
        <v>4.76</v>
      </c>
    </row>
    <row r="76" spans="1:17" customFormat="1">
      <c r="A76" s="100" t="s">
        <v>2896</v>
      </c>
      <c r="B76" s="100">
        <v>6.09</v>
      </c>
      <c r="C76" s="100">
        <v>45.23</v>
      </c>
      <c r="D76" s="100">
        <v>27.46</v>
      </c>
      <c r="E76" s="100">
        <v>14.42</v>
      </c>
      <c r="F76" s="100">
        <v>43.8</v>
      </c>
      <c r="G76" s="100">
        <v>62.52</v>
      </c>
      <c r="H76" s="100">
        <v>19.25</v>
      </c>
      <c r="I76" s="100">
        <v>4.92</v>
      </c>
      <c r="J76" s="100">
        <v>0.42</v>
      </c>
      <c r="K76" s="100">
        <v>21.16</v>
      </c>
      <c r="L76" s="100">
        <v>39.19</v>
      </c>
      <c r="M76" s="100">
        <v>23.45</v>
      </c>
      <c r="N76" s="100">
        <v>149.69999999999999</v>
      </c>
      <c r="O76" s="100">
        <v>0</v>
      </c>
      <c r="P76" s="100">
        <v>0.52</v>
      </c>
      <c r="Q76" s="100">
        <v>4.74</v>
      </c>
    </row>
    <row r="77" spans="1:17" customFormat="1">
      <c r="A77" s="100" t="s">
        <v>2897</v>
      </c>
      <c r="B77" s="100">
        <v>6.61</v>
      </c>
      <c r="C77" s="100">
        <v>47.42</v>
      </c>
      <c r="D77" s="100">
        <v>29.03</v>
      </c>
      <c r="E77" s="100">
        <v>14.07</v>
      </c>
      <c r="F77" s="100">
        <v>37.56</v>
      </c>
      <c r="G77" s="100">
        <v>62.52</v>
      </c>
      <c r="H77" s="100">
        <v>19.25</v>
      </c>
      <c r="I77" s="100">
        <v>4.75</v>
      </c>
      <c r="J77" s="100">
        <v>0.53</v>
      </c>
      <c r="K77" s="100">
        <v>45.84</v>
      </c>
      <c r="L77" s="100">
        <v>38.659999999999997</v>
      </c>
      <c r="M77" s="100">
        <v>24.08</v>
      </c>
      <c r="N77" s="100">
        <v>89.4</v>
      </c>
      <c r="O77" s="100">
        <v>0</v>
      </c>
      <c r="P77" s="100">
        <v>0.54</v>
      </c>
      <c r="Q77" s="100">
        <v>4.7</v>
      </c>
    </row>
    <row r="78" spans="1:17" customFormat="1">
      <c r="A78" s="100" t="s">
        <v>2898</v>
      </c>
      <c r="B78" s="100">
        <v>7.54</v>
      </c>
      <c r="C78" s="100">
        <v>51.15</v>
      </c>
      <c r="D78" s="100">
        <v>31.73</v>
      </c>
      <c r="E78" s="100">
        <v>14.67</v>
      </c>
      <c r="F78" s="100">
        <v>43.44</v>
      </c>
      <c r="G78" s="100">
        <v>63.49</v>
      </c>
      <c r="H78" s="100">
        <v>18.66</v>
      </c>
      <c r="I78" s="100">
        <v>4.54</v>
      </c>
      <c r="J78" s="100">
        <v>0.56999999999999995</v>
      </c>
      <c r="K78" s="100">
        <v>54.35</v>
      </c>
      <c r="L78" s="100">
        <v>37.909999999999997</v>
      </c>
      <c r="M78" s="100">
        <v>24.1</v>
      </c>
      <c r="N78" s="100">
        <v>85.8</v>
      </c>
      <c r="O78" s="100">
        <v>0</v>
      </c>
      <c r="P78" s="100">
        <v>0.56999999999999995</v>
      </c>
      <c r="Q78" s="100">
        <v>4.72</v>
      </c>
    </row>
    <row r="79" spans="1:17" customFormat="1">
      <c r="A79" s="100" t="s">
        <v>2899</v>
      </c>
      <c r="B79" s="100">
        <v>6.42</v>
      </c>
      <c r="C79" s="100">
        <v>50.26</v>
      </c>
      <c r="D79" s="100">
        <v>30.36</v>
      </c>
      <c r="E79" s="100">
        <v>15.48</v>
      </c>
      <c r="F79" s="100">
        <v>38.75</v>
      </c>
      <c r="G79" s="100">
        <v>64.89</v>
      </c>
      <c r="H79" s="100">
        <v>18.16</v>
      </c>
      <c r="I79" s="100">
        <v>4.54</v>
      </c>
      <c r="J79" s="100">
        <v>0.41</v>
      </c>
      <c r="K79" s="100">
        <v>75.260000000000005</v>
      </c>
      <c r="L79" s="100">
        <v>37.69</v>
      </c>
      <c r="M79" s="100">
        <v>24.93</v>
      </c>
      <c r="N79" s="100">
        <v>40.9</v>
      </c>
      <c r="O79" s="100">
        <v>0</v>
      </c>
      <c r="P79" s="100">
        <v>0.56000000000000005</v>
      </c>
      <c r="Q79" s="100">
        <v>4.78</v>
      </c>
    </row>
    <row r="80" spans="1:17" customFormat="1">
      <c r="A80" s="100" t="s">
        <v>2900</v>
      </c>
      <c r="B80" s="100">
        <v>5.57</v>
      </c>
      <c r="C80" s="100">
        <v>48.07</v>
      </c>
      <c r="D80" s="100">
        <v>28.53</v>
      </c>
      <c r="E80" s="100">
        <v>14.96</v>
      </c>
      <c r="F80" s="100">
        <v>40.17</v>
      </c>
      <c r="G80" s="100">
        <v>64.89</v>
      </c>
      <c r="H80" s="100">
        <v>18.16</v>
      </c>
      <c r="I80" s="100">
        <v>4.54</v>
      </c>
      <c r="J80" s="100">
        <v>0.27</v>
      </c>
      <c r="K80" s="100">
        <v>99.73</v>
      </c>
      <c r="L80" s="100">
        <v>37.01</v>
      </c>
      <c r="M80" s="100">
        <v>27.14</v>
      </c>
      <c r="N80" s="100">
        <v>13.5</v>
      </c>
      <c r="O80" s="100">
        <v>0</v>
      </c>
      <c r="P80" s="100">
        <v>0.56000000000000005</v>
      </c>
      <c r="Q80" s="100">
        <v>4.78</v>
      </c>
    </row>
    <row r="81" spans="1:17" customFormat="1">
      <c r="A81" s="100" t="s">
        <v>2901</v>
      </c>
      <c r="B81" s="100">
        <v>4.8</v>
      </c>
      <c r="C81" s="100">
        <v>39.92</v>
      </c>
      <c r="D81" s="100">
        <v>23.66</v>
      </c>
      <c r="E81" s="100">
        <v>10.199999999999999</v>
      </c>
      <c r="F81" s="100">
        <v>50.06</v>
      </c>
      <c r="G81" s="100">
        <v>64.89</v>
      </c>
      <c r="H81" s="100">
        <v>18.16</v>
      </c>
      <c r="I81" s="100">
        <v>4.49</v>
      </c>
      <c r="J81" s="100">
        <v>0.26</v>
      </c>
      <c r="K81" s="100">
        <v>164.11</v>
      </c>
      <c r="L81" s="100">
        <v>36</v>
      </c>
      <c r="M81" s="100">
        <v>29.55</v>
      </c>
      <c r="N81" s="100">
        <v>1.4</v>
      </c>
      <c r="O81" s="100">
        <v>0</v>
      </c>
      <c r="P81" s="100">
        <v>0.46</v>
      </c>
      <c r="Q81" s="100">
        <v>4.8099999999999996</v>
      </c>
    </row>
    <row r="82" spans="1:17" customFormat="1">
      <c r="A82" s="100" t="s">
        <v>2902</v>
      </c>
      <c r="B82" s="100">
        <v>5.67</v>
      </c>
      <c r="C82" s="100">
        <v>45.29</v>
      </c>
      <c r="D82" s="100">
        <v>27.16</v>
      </c>
      <c r="E82" s="100">
        <v>11.85</v>
      </c>
      <c r="F82" s="100">
        <v>31.85</v>
      </c>
      <c r="G82" s="100">
        <v>64.849999999999994</v>
      </c>
      <c r="H82" s="100">
        <v>17.8</v>
      </c>
      <c r="I82" s="100">
        <v>4.28</v>
      </c>
      <c r="J82" s="100">
        <v>0.21</v>
      </c>
      <c r="K82" s="100">
        <v>146.28</v>
      </c>
      <c r="L82" s="100">
        <v>35.46</v>
      </c>
      <c r="M82" s="100">
        <v>31.07</v>
      </c>
      <c r="N82" s="100">
        <v>0</v>
      </c>
      <c r="O82" s="100">
        <v>0</v>
      </c>
      <c r="P82" s="100">
        <v>0.52</v>
      </c>
      <c r="Q82" s="100">
        <v>4.79</v>
      </c>
    </row>
    <row r="83" spans="1:17" customFormat="1">
      <c r="A83" s="100" t="s">
        <v>2903</v>
      </c>
      <c r="B83" s="100">
        <v>12.2</v>
      </c>
      <c r="C83" s="100">
        <v>66</v>
      </c>
      <c r="D83" s="100">
        <v>43.23</v>
      </c>
      <c r="E83" s="100">
        <v>12.98</v>
      </c>
      <c r="F83" s="100">
        <v>14.1</v>
      </c>
      <c r="G83" s="100">
        <v>64.790000000000006</v>
      </c>
      <c r="H83" s="100">
        <v>17.5</v>
      </c>
      <c r="I83" s="100">
        <v>3.91</v>
      </c>
      <c r="J83" s="100">
        <v>0.19</v>
      </c>
      <c r="K83" s="100">
        <v>88.88</v>
      </c>
      <c r="L83" s="100">
        <v>35.130000000000003</v>
      </c>
      <c r="M83" s="100">
        <v>32.18</v>
      </c>
      <c r="N83" s="100">
        <v>0</v>
      </c>
      <c r="O83" s="100">
        <v>0</v>
      </c>
      <c r="P83" s="100">
        <v>0.8</v>
      </c>
      <c r="Q83" s="100">
        <v>4.91</v>
      </c>
    </row>
    <row r="84" spans="1:17" customFormat="1">
      <c r="A84" s="100" t="s">
        <v>2904</v>
      </c>
      <c r="B84" s="100">
        <v>11.64</v>
      </c>
      <c r="C84" s="100">
        <v>60.23</v>
      </c>
      <c r="D84" s="100">
        <v>39.75</v>
      </c>
      <c r="E84" s="100">
        <v>14.58</v>
      </c>
      <c r="F84" s="100">
        <v>16.64</v>
      </c>
      <c r="G84" s="100">
        <v>64.790000000000006</v>
      </c>
      <c r="H84" s="100">
        <v>17.5</v>
      </c>
      <c r="I84" s="100">
        <v>4.6100000000000003</v>
      </c>
      <c r="J84" s="100">
        <v>0.37</v>
      </c>
      <c r="K84" s="100">
        <v>71.680000000000007</v>
      </c>
      <c r="L84" s="100">
        <v>34.979999999999997</v>
      </c>
      <c r="M84" s="100">
        <v>32.090000000000003</v>
      </c>
      <c r="N84" s="100">
        <v>0</v>
      </c>
      <c r="O84" s="100">
        <v>0</v>
      </c>
      <c r="P84" s="100">
        <v>0.81</v>
      </c>
      <c r="Q84" s="100">
        <v>5.01</v>
      </c>
    </row>
    <row r="85" spans="1:17" customFormat="1">
      <c r="A85" s="100" t="s">
        <v>2905</v>
      </c>
      <c r="B85" s="100">
        <v>9.06</v>
      </c>
      <c r="C85" s="100">
        <v>56.64</v>
      </c>
      <c r="D85" s="100">
        <v>35.81</v>
      </c>
      <c r="E85" s="100">
        <v>22.24</v>
      </c>
      <c r="F85" s="100">
        <v>21.23</v>
      </c>
      <c r="G85" s="100">
        <v>64.790000000000006</v>
      </c>
      <c r="H85" s="100">
        <v>17.5</v>
      </c>
      <c r="I85" s="100">
        <v>6.32</v>
      </c>
      <c r="J85" s="100">
        <v>0.2</v>
      </c>
      <c r="K85" s="100">
        <v>93.12</v>
      </c>
      <c r="L85" s="100">
        <v>34.64</v>
      </c>
      <c r="M85" s="100">
        <v>33.11</v>
      </c>
      <c r="N85" s="100">
        <v>0</v>
      </c>
      <c r="O85" s="100">
        <v>0</v>
      </c>
      <c r="P85" s="100">
        <v>0.71</v>
      </c>
      <c r="Q85" s="100">
        <v>5.01</v>
      </c>
    </row>
    <row r="86" spans="1:17" customFormat="1">
      <c r="A86" s="100" t="s">
        <v>2906</v>
      </c>
      <c r="B86" s="100">
        <v>15.25</v>
      </c>
      <c r="C86" s="100">
        <v>60.73</v>
      </c>
      <c r="D86" s="100">
        <v>42.91</v>
      </c>
      <c r="E86" s="100">
        <v>30.44</v>
      </c>
      <c r="F86" s="100">
        <v>15.15</v>
      </c>
      <c r="G86" s="100">
        <v>76.5</v>
      </c>
      <c r="H86" s="100">
        <v>18.97</v>
      </c>
      <c r="I86" s="100">
        <v>7.06</v>
      </c>
      <c r="J86" s="100">
        <v>0.35</v>
      </c>
      <c r="K86" s="100">
        <v>70</v>
      </c>
      <c r="L86" s="100">
        <v>34.5</v>
      </c>
      <c r="M86" s="100">
        <v>31.87</v>
      </c>
      <c r="N86" s="100">
        <v>0</v>
      </c>
      <c r="O86" s="100">
        <v>0</v>
      </c>
      <c r="P86" s="100">
        <v>0.79</v>
      </c>
      <c r="Q86" s="100">
        <v>5.01</v>
      </c>
    </row>
    <row r="87" spans="1:17" customFormat="1">
      <c r="A87" s="100" t="s">
        <v>2907</v>
      </c>
      <c r="B87" s="100">
        <v>17.64</v>
      </c>
      <c r="C87" s="100">
        <v>62.94</v>
      </c>
      <c r="D87" s="100">
        <v>45.99</v>
      </c>
      <c r="E87" s="100">
        <v>25.41</v>
      </c>
      <c r="F87" s="100">
        <v>12.19</v>
      </c>
      <c r="G87" s="100">
        <v>93.27</v>
      </c>
      <c r="H87" s="100">
        <v>22.47</v>
      </c>
      <c r="I87" s="100">
        <v>6.81</v>
      </c>
      <c r="J87" s="100">
        <v>0.45</v>
      </c>
      <c r="K87" s="100">
        <v>59.92</v>
      </c>
      <c r="L87" s="100">
        <v>34.409999999999997</v>
      </c>
      <c r="M87" s="100">
        <v>31.8</v>
      </c>
      <c r="N87" s="100">
        <v>0</v>
      </c>
      <c r="O87" s="100">
        <v>0</v>
      </c>
      <c r="P87" s="100">
        <v>0.83</v>
      </c>
      <c r="Q87" s="100">
        <v>5.1100000000000003</v>
      </c>
    </row>
    <row r="88" spans="1:17" customFormat="1">
      <c r="A88" s="100" t="s">
        <v>2908</v>
      </c>
      <c r="B88" s="100">
        <v>15.5</v>
      </c>
      <c r="C88" s="100">
        <v>63.63</v>
      </c>
      <c r="D88" s="100">
        <v>44.63</v>
      </c>
      <c r="E88" s="100">
        <v>19.28</v>
      </c>
      <c r="F88" s="100">
        <v>14.04</v>
      </c>
      <c r="G88" s="100">
        <v>93.27</v>
      </c>
      <c r="H88" s="100">
        <v>22.47</v>
      </c>
      <c r="I88" s="100">
        <v>6.98</v>
      </c>
      <c r="J88" s="100">
        <v>0.31</v>
      </c>
      <c r="K88" s="100">
        <v>67.319999999999993</v>
      </c>
      <c r="L88" s="100">
        <v>34.26</v>
      </c>
      <c r="M88" s="100">
        <v>32.33</v>
      </c>
      <c r="N88" s="100">
        <v>0</v>
      </c>
      <c r="O88" s="100">
        <v>0</v>
      </c>
      <c r="P88" s="100">
        <v>0.78</v>
      </c>
      <c r="Q88" s="100">
        <v>5.36</v>
      </c>
    </row>
    <row r="89" spans="1:17" customFormat="1">
      <c r="A89" s="100" t="s">
        <v>2909</v>
      </c>
      <c r="B89" s="100">
        <v>17.22</v>
      </c>
      <c r="C89" s="100">
        <v>60.26</v>
      </c>
      <c r="D89" s="100">
        <v>44.25</v>
      </c>
      <c r="E89" s="100">
        <v>15.08</v>
      </c>
      <c r="F89" s="100">
        <v>13.55</v>
      </c>
      <c r="G89" s="100">
        <v>93.27</v>
      </c>
      <c r="H89" s="100">
        <v>22.47</v>
      </c>
      <c r="I89" s="100">
        <v>7.02</v>
      </c>
      <c r="J89" s="100">
        <v>0.36</v>
      </c>
      <c r="K89" s="100">
        <v>65.94</v>
      </c>
      <c r="L89" s="100">
        <v>33.83</v>
      </c>
      <c r="M89" s="100">
        <v>34.03</v>
      </c>
      <c r="N89" s="100">
        <v>0</v>
      </c>
      <c r="O89" s="100">
        <v>0</v>
      </c>
      <c r="P89" s="100">
        <v>0.79</v>
      </c>
      <c r="Q89" s="100">
        <v>5.32</v>
      </c>
    </row>
    <row r="90" spans="1:17" customFormat="1">
      <c r="A90" s="100" t="s">
        <v>2910</v>
      </c>
      <c r="B90" s="100">
        <v>15.41</v>
      </c>
      <c r="C90" s="100">
        <v>61.39</v>
      </c>
      <c r="D90" s="100">
        <v>43.39</v>
      </c>
      <c r="E90" s="100">
        <v>10.87</v>
      </c>
      <c r="F90" s="100">
        <v>9.14</v>
      </c>
      <c r="G90" s="100">
        <v>99.5</v>
      </c>
      <c r="H90" s="100">
        <v>23.65</v>
      </c>
      <c r="I90" s="100">
        <v>6.52</v>
      </c>
      <c r="J90" s="100">
        <v>0.26</v>
      </c>
      <c r="K90" s="100">
        <v>151.05000000000001</v>
      </c>
      <c r="L90" s="100">
        <v>33.46</v>
      </c>
      <c r="M90" s="100">
        <v>36.92</v>
      </c>
      <c r="N90" s="100">
        <v>0</v>
      </c>
      <c r="O90" s="100">
        <v>0</v>
      </c>
      <c r="P90" s="100">
        <v>0.75</v>
      </c>
      <c r="Q90" s="100">
        <v>5.46</v>
      </c>
    </row>
    <row r="91" spans="1:17" customFormat="1">
      <c r="A91" s="100" t="s">
        <v>2911</v>
      </c>
      <c r="B91" s="100">
        <v>15.49</v>
      </c>
      <c r="C91" s="100">
        <v>60.95</v>
      </c>
      <c r="D91" s="100">
        <v>43.22</v>
      </c>
      <c r="E91" s="100">
        <v>10.44</v>
      </c>
      <c r="F91" s="100">
        <v>10.7</v>
      </c>
      <c r="G91" s="100">
        <v>108.42</v>
      </c>
      <c r="H91" s="100">
        <v>24.66</v>
      </c>
      <c r="I91" s="100">
        <v>6.44</v>
      </c>
      <c r="J91" s="100">
        <v>0.09</v>
      </c>
      <c r="K91" s="100">
        <v>149.41999999999999</v>
      </c>
      <c r="L91" s="100">
        <v>32.61</v>
      </c>
      <c r="M91" s="100">
        <v>38.619999999999997</v>
      </c>
      <c r="N91" s="100">
        <v>0</v>
      </c>
      <c r="O91" s="100">
        <v>0</v>
      </c>
      <c r="P91" s="100">
        <v>0.72</v>
      </c>
      <c r="Q91" s="100">
        <v>5.54</v>
      </c>
    </row>
    <row r="92" spans="1:17" customFormat="1">
      <c r="A92" s="100" t="s">
        <v>2912</v>
      </c>
      <c r="B92" s="100">
        <v>23.68</v>
      </c>
      <c r="C92" s="100">
        <v>61.8</v>
      </c>
      <c r="D92" s="100">
        <v>50.24</v>
      </c>
      <c r="E92" s="100">
        <v>10.23</v>
      </c>
      <c r="F92" s="100">
        <v>7.02</v>
      </c>
      <c r="G92" s="100">
        <v>108.42</v>
      </c>
      <c r="H92" s="100">
        <v>24.66</v>
      </c>
      <c r="I92" s="100">
        <v>6.49</v>
      </c>
      <c r="J92" s="100">
        <v>0.48</v>
      </c>
      <c r="K92" s="100">
        <v>60.89</v>
      </c>
      <c r="L92" s="100">
        <v>33.01</v>
      </c>
      <c r="M92" s="100">
        <v>36.340000000000003</v>
      </c>
      <c r="N92" s="100">
        <v>0</v>
      </c>
      <c r="O92" s="100">
        <v>0</v>
      </c>
      <c r="P92" s="100">
        <v>0.79</v>
      </c>
      <c r="Q92" s="100">
        <v>5.47</v>
      </c>
    </row>
    <row r="93" spans="1:17" customFormat="1">
      <c r="A93" s="100" t="s">
        <v>2913</v>
      </c>
      <c r="B93" s="100">
        <v>25.16</v>
      </c>
      <c r="C93" s="100">
        <v>64.790000000000006</v>
      </c>
      <c r="D93" s="100">
        <v>52.99</v>
      </c>
      <c r="E93" s="100">
        <v>9.9</v>
      </c>
      <c r="F93" s="100">
        <v>7.76</v>
      </c>
      <c r="G93" s="100">
        <v>108.42</v>
      </c>
      <c r="H93" s="100">
        <v>24.66</v>
      </c>
      <c r="I93" s="100">
        <v>6.31</v>
      </c>
      <c r="J93" s="100">
        <v>0.47</v>
      </c>
      <c r="K93" s="100">
        <v>39.72</v>
      </c>
      <c r="L93" s="100">
        <v>33.15</v>
      </c>
      <c r="M93" s="100">
        <v>35.770000000000003</v>
      </c>
      <c r="N93" s="100">
        <v>0</v>
      </c>
      <c r="O93" s="100">
        <v>0</v>
      </c>
      <c r="P93" s="100">
        <v>0.77</v>
      </c>
      <c r="Q93" s="100">
        <v>5.69</v>
      </c>
    </row>
    <row r="94" spans="1:17" customFormat="1">
      <c r="A94" s="100" t="s">
        <v>2914</v>
      </c>
      <c r="B94" s="100">
        <v>22.35</v>
      </c>
      <c r="C94" s="100">
        <v>59.12</v>
      </c>
      <c r="D94" s="100">
        <v>47.77</v>
      </c>
      <c r="E94" s="100">
        <v>13.05</v>
      </c>
      <c r="F94" s="100">
        <v>12.31</v>
      </c>
      <c r="G94" s="100">
        <v>112.76</v>
      </c>
      <c r="H94" s="100">
        <v>25.23</v>
      </c>
      <c r="I94" s="100">
        <v>6.59</v>
      </c>
      <c r="J94" s="100">
        <v>0.47</v>
      </c>
      <c r="K94" s="100">
        <v>28.08</v>
      </c>
      <c r="L94" s="100">
        <v>32.909999999999997</v>
      </c>
      <c r="M94" s="100">
        <v>36.479999999999997</v>
      </c>
      <c r="N94" s="100">
        <v>0</v>
      </c>
      <c r="O94" s="100">
        <v>0</v>
      </c>
      <c r="P94" s="100">
        <v>0.75</v>
      </c>
      <c r="Q94" s="100">
        <v>5.73</v>
      </c>
    </row>
    <row r="95" spans="1:17" customFormat="1">
      <c r="A95" s="100" t="s">
        <v>2915</v>
      </c>
      <c r="B95" s="100">
        <v>19.64</v>
      </c>
      <c r="C95" s="100">
        <v>61.15</v>
      </c>
      <c r="D95" s="100">
        <v>46.66</v>
      </c>
      <c r="E95" s="100">
        <v>17.809999999999999</v>
      </c>
      <c r="F95" s="100">
        <v>11.94</v>
      </c>
      <c r="G95" s="100">
        <v>118.98</v>
      </c>
      <c r="H95" s="100">
        <v>25.72</v>
      </c>
      <c r="I95" s="100">
        <v>6.66</v>
      </c>
      <c r="J95" s="100">
        <v>0.69</v>
      </c>
      <c r="K95" s="100">
        <v>20.02</v>
      </c>
      <c r="L95" s="100">
        <v>32.71</v>
      </c>
      <c r="M95" s="100">
        <v>36.46</v>
      </c>
      <c r="N95" s="100">
        <v>0</v>
      </c>
      <c r="O95" s="100">
        <v>0</v>
      </c>
      <c r="P95" s="100">
        <v>0.76</v>
      </c>
      <c r="Q95" s="100">
        <v>5.68</v>
      </c>
    </row>
    <row r="96" spans="1:17" customFormat="1">
      <c r="A96" s="100" t="s">
        <v>2916</v>
      </c>
      <c r="B96" s="100">
        <v>20.68</v>
      </c>
      <c r="C96" s="100">
        <v>64.709999999999994</v>
      </c>
      <c r="D96" s="100">
        <v>49.35</v>
      </c>
      <c r="E96" s="100">
        <v>20.309999999999999</v>
      </c>
      <c r="F96" s="100">
        <v>10.199999999999999</v>
      </c>
      <c r="G96" s="100">
        <v>118.98</v>
      </c>
      <c r="H96" s="100">
        <v>25.72</v>
      </c>
      <c r="I96" s="100">
        <v>6.44</v>
      </c>
      <c r="J96" s="100">
        <v>0.84</v>
      </c>
      <c r="K96" s="100">
        <v>281.07</v>
      </c>
      <c r="L96" s="100">
        <v>32.24</v>
      </c>
      <c r="M96" s="100">
        <v>37.01</v>
      </c>
      <c r="N96" s="100">
        <v>0</v>
      </c>
      <c r="O96" s="100">
        <v>0</v>
      </c>
      <c r="P96" s="100">
        <v>0.75</v>
      </c>
      <c r="Q96" s="100">
        <v>5.87</v>
      </c>
    </row>
    <row r="97" spans="1:22" customFormat="1">
      <c r="A97" s="100" t="s">
        <v>2917</v>
      </c>
      <c r="B97" s="100">
        <v>20.97</v>
      </c>
      <c r="C97" s="100">
        <v>58.05</v>
      </c>
      <c r="D97" s="100">
        <v>46.1</v>
      </c>
      <c r="E97" s="100">
        <v>9.7899999999999991</v>
      </c>
      <c r="F97" s="100">
        <v>13.04</v>
      </c>
      <c r="G97" s="100">
        <v>118.98</v>
      </c>
      <c r="H97" s="100">
        <v>25.72</v>
      </c>
      <c r="I97" s="100">
        <v>6.5</v>
      </c>
      <c r="J97" s="100">
        <v>0.64</v>
      </c>
      <c r="K97" s="100">
        <v>325.33999999999997</v>
      </c>
      <c r="L97" s="100">
        <v>32.04</v>
      </c>
      <c r="M97" s="100">
        <v>37.119999999999997</v>
      </c>
      <c r="N97" s="100">
        <v>0</v>
      </c>
      <c r="O97" s="100">
        <v>0</v>
      </c>
      <c r="P97" s="100">
        <v>0.7</v>
      </c>
      <c r="Q97" s="100">
        <v>5.74</v>
      </c>
    </row>
    <row r="98" spans="1:22" customFormat="1">
      <c r="A98" s="100" t="s">
        <v>2918</v>
      </c>
      <c r="B98" s="100">
        <v>20.99</v>
      </c>
      <c r="C98" s="100">
        <v>62.1</v>
      </c>
      <c r="D98" s="100">
        <v>48.23</v>
      </c>
      <c r="E98" s="100">
        <v>8.86</v>
      </c>
      <c r="F98" s="100">
        <v>13.06</v>
      </c>
      <c r="G98" s="100">
        <v>113.91</v>
      </c>
      <c r="H98" s="100">
        <v>24.71</v>
      </c>
      <c r="I98" s="100">
        <v>6.39</v>
      </c>
      <c r="J98" s="100">
        <v>0.63</v>
      </c>
      <c r="K98" s="100">
        <v>43.78</v>
      </c>
      <c r="L98" s="100">
        <v>31.79</v>
      </c>
      <c r="M98" s="100">
        <v>37.979999999999997</v>
      </c>
      <c r="N98" s="100">
        <v>0</v>
      </c>
      <c r="O98" s="100">
        <v>0</v>
      </c>
      <c r="P98" s="100">
        <v>0.7</v>
      </c>
      <c r="Q98" s="100">
        <v>5.82</v>
      </c>
    </row>
    <row r="99" spans="1:22" customFormat="1">
      <c r="A99" s="100" t="s">
        <v>2919</v>
      </c>
      <c r="B99" s="100">
        <v>20.81</v>
      </c>
      <c r="C99" s="100">
        <v>55.93</v>
      </c>
      <c r="D99" s="100">
        <v>44.86</v>
      </c>
      <c r="E99" s="100">
        <v>11.5</v>
      </c>
      <c r="F99" s="100">
        <v>13.61</v>
      </c>
      <c r="G99" s="100">
        <v>106.66</v>
      </c>
      <c r="H99" s="100">
        <v>23.84</v>
      </c>
      <c r="I99" s="100">
        <v>6.12</v>
      </c>
      <c r="J99" s="100">
        <v>0.69</v>
      </c>
      <c r="K99" s="100">
        <v>35.4</v>
      </c>
      <c r="L99" s="100">
        <v>31.59</v>
      </c>
      <c r="M99" s="100">
        <v>38.42</v>
      </c>
      <c r="N99" s="100">
        <v>0</v>
      </c>
      <c r="O99" s="100">
        <v>0</v>
      </c>
      <c r="P99" s="100">
        <v>0.68</v>
      </c>
      <c r="Q99" s="100">
        <v>5.8</v>
      </c>
    </row>
    <row r="100" spans="1:22" customFormat="1">
      <c r="A100" s="100" t="s">
        <v>2920</v>
      </c>
      <c r="B100" s="100">
        <v>22.82</v>
      </c>
      <c r="C100" s="100">
        <v>64</v>
      </c>
      <c r="D100" s="100">
        <v>50.7</v>
      </c>
      <c r="E100" s="100">
        <v>9.6999999999999993</v>
      </c>
      <c r="F100" s="100">
        <v>9.48</v>
      </c>
      <c r="G100" s="100">
        <v>106.66</v>
      </c>
      <c r="H100" s="100">
        <v>23.84</v>
      </c>
      <c r="I100" s="100">
        <v>5.88</v>
      </c>
      <c r="J100" s="100">
        <v>0.63</v>
      </c>
      <c r="K100" s="100">
        <v>50.86</v>
      </c>
      <c r="L100" s="100">
        <v>31.58</v>
      </c>
      <c r="M100" s="100">
        <v>38.11</v>
      </c>
      <c r="N100" s="100">
        <v>0</v>
      </c>
      <c r="O100" s="100">
        <v>0</v>
      </c>
      <c r="P100" s="100">
        <v>0.69</v>
      </c>
      <c r="Q100" s="100">
        <v>5.77</v>
      </c>
    </row>
    <row r="101" spans="1:22" customFormat="1">
      <c r="A101" s="100" t="s">
        <v>2921</v>
      </c>
      <c r="B101" s="100">
        <v>23.16</v>
      </c>
      <c r="C101" s="100">
        <v>62.57</v>
      </c>
      <c r="D101" s="100">
        <v>50.22</v>
      </c>
      <c r="E101" s="100">
        <v>7.99</v>
      </c>
      <c r="F101" s="100">
        <v>11.93</v>
      </c>
      <c r="G101" s="100">
        <v>106.66</v>
      </c>
      <c r="H101" s="100">
        <v>23.84</v>
      </c>
      <c r="I101" s="100">
        <v>5.77</v>
      </c>
      <c r="J101" s="100">
        <v>0.93</v>
      </c>
      <c r="K101" s="100">
        <v>46.6</v>
      </c>
      <c r="L101" s="100">
        <v>31.5</v>
      </c>
      <c r="M101" s="100">
        <v>38.1</v>
      </c>
      <c r="N101" s="100">
        <v>0</v>
      </c>
      <c r="O101" s="100">
        <v>0</v>
      </c>
      <c r="P101" s="100">
        <v>0.66</v>
      </c>
      <c r="Q101" s="100">
        <v>5.89</v>
      </c>
    </row>
    <row r="102" spans="1:22" customFormat="1">
      <c r="A102" s="100" t="s">
        <v>2922</v>
      </c>
      <c r="B102" s="100">
        <v>23.8</v>
      </c>
      <c r="C102" s="100">
        <v>62.16</v>
      </c>
      <c r="D102" s="100">
        <v>50.52</v>
      </c>
      <c r="E102" s="100">
        <v>5.74</v>
      </c>
      <c r="F102" s="100">
        <v>8.76</v>
      </c>
      <c r="G102" s="100">
        <v>96.25</v>
      </c>
      <c r="H102" s="100">
        <v>23.42</v>
      </c>
      <c r="I102" s="100">
        <v>5.86</v>
      </c>
      <c r="J102" s="100">
        <v>1.03</v>
      </c>
      <c r="K102" s="100">
        <v>53.61</v>
      </c>
      <c r="L102" s="100">
        <v>31.28</v>
      </c>
      <c r="M102" s="100">
        <v>38.049999999999997</v>
      </c>
      <c r="N102" s="100">
        <v>0</v>
      </c>
      <c r="O102" s="100">
        <v>0</v>
      </c>
      <c r="P102" s="100">
        <v>0.7</v>
      </c>
      <c r="Q102" s="100">
        <v>5.84</v>
      </c>
    </row>
    <row r="103" spans="1:22" customFormat="1">
      <c r="A103" s="100" t="s">
        <v>2923</v>
      </c>
      <c r="B103" s="100">
        <v>23.96</v>
      </c>
      <c r="C103" s="100">
        <v>62.65</v>
      </c>
      <c r="D103" s="100">
        <v>50.9</v>
      </c>
      <c r="E103" s="100">
        <v>9.9700000000000006</v>
      </c>
      <c r="F103" s="100">
        <v>9.3000000000000007</v>
      </c>
      <c r="G103" s="100">
        <v>81.34</v>
      </c>
      <c r="H103" s="100">
        <v>23.06</v>
      </c>
      <c r="I103" s="100">
        <v>5.88</v>
      </c>
      <c r="J103" s="100">
        <v>1.21</v>
      </c>
      <c r="K103" s="100">
        <v>59.76</v>
      </c>
      <c r="L103" s="100">
        <v>31.06</v>
      </c>
      <c r="M103" s="100">
        <v>38.14</v>
      </c>
      <c r="N103" s="100">
        <v>0</v>
      </c>
      <c r="O103" s="100">
        <v>0</v>
      </c>
      <c r="P103" s="100">
        <v>0.68</v>
      </c>
      <c r="Q103" s="100">
        <v>5.87</v>
      </c>
    </row>
    <row r="104" spans="1:22" customFormat="1">
      <c r="A104" s="100" t="s">
        <v>2924</v>
      </c>
      <c r="B104" s="100">
        <v>25.28</v>
      </c>
      <c r="C104" s="100">
        <v>64.36</v>
      </c>
      <c r="D104" s="100">
        <v>52.85</v>
      </c>
      <c r="E104" s="100">
        <v>12.45</v>
      </c>
      <c r="F104" s="100">
        <v>6.92</v>
      </c>
      <c r="G104" s="100">
        <v>81.34</v>
      </c>
      <c r="H104" s="100">
        <v>23.06</v>
      </c>
      <c r="I104" s="100">
        <v>5.93</v>
      </c>
      <c r="J104" s="100">
        <v>0.69</v>
      </c>
      <c r="K104" s="100">
        <v>44.53</v>
      </c>
      <c r="L104" s="100">
        <v>30.69</v>
      </c>
      <c r="M104" s="100">
        <v>40.299999999999997</v>
      </c>
      <c r="N104" s="100">
        <v>0</v>
      </c>
      <c r="O104" s="100">
        <v>0</v>
      </c>
      <c r="P104" s="100">
        <v>0.71</v>
      </c>
      <c r="Q104" s="100">
        <v>5.88</v>
      </c>
    </row>
    <row r="106" spans="1:22">
      <c r="A106" s="157" t="s">
        <v>48</v>
      </c>
      <c r="B106" s="158">
        <f>MIN(B9:B104)</f>
        <v>4.8</v>
      </c>
      <c r="C106" s="158">
        <f>MIN(C9:C104)</f>
        <v>39.92</v>
      </c>
      <c r="D106" s="158">
        <f t="shared" ref="D106:Q106" si="0">MIN(D9:D104)</f>
        <v>23.66</v>
      </c>
      <c r="E106" s="158">
        <f t="shared" si="0"/>
        <v>3.73</v>
      </c>
      <c r="F106" s="158">
        <f t="shared" si="0"/>
        <v>3.45</v>
      </c>
      <c r="G106" s="158">
        <f t="shared" si="0"/>
        <v>11.24</v>
      </c>
      <c r="H106" s="158">
        <f t="shared" si="0"/>
        <v>4.54</v>
      </c>
      <c r="I106" s="158">
        <f t="shared" si="0"/>
        <v>3.91</v>
      </c>
      <c r="J106" s="158">
        <f t="shared" si="0"/>
        <v>0.04</v>
      </c>
      <c r="K106" s="158">
        <f t="shared" si="0"/>
        <v>15.71</v>
      </c>
      <c r="L106" s="158">
        <f t="shared" si="0"/>
        <v>23.89</v>
      </c>
      <c r="M106" s="158">
        <f t="shared" si="0"/>
        <v>22.33</v>
      </c>
      <c r="N106" s="158">
        <f t="shared" si="0"/>
        <v>0</v>
      </c>
      <c r="O106" s="158">
        <f t="shared" si="0"/>
        <v>0</v>
      </c>
      <c r="P106" s="158">
        <f t="shared" si="0"/>
        <v>0.46</v>
      </c>
      <c r="Q106" s="158">
        <f t="shared" si="0"/>
        <v>4.7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42.45</v>
      </c>
      <c r="C107" s="157">
        <f t="shared" ref="C107:Q107" si="1">MAX(C9:C104)</f>
        <v>67.16</v>
      </c>
      <c r="D107" s="157">
        <f t="shared" si="1"/>
        <v>67.41</v>
      </c>
      <c r="E107" s="157">
        <f t="shared" si="1"/>
        <v>30.44</v>
      </c>
      <c r="F107" s="157">
        <f t="shared" si="1"/>
        <v>50.06</v>
      </c>
      <c r="G107" s="157">
        <f t="shared" si="1"/>
        <v>118.98</v>
      </c>
      <c r="H107" s="157">
        <f t="shared" si="1"/>
        <v>25.72</v>
      </c>
      <c r="I107" s="157">
        <f t="shared" si="1"/>
        <v>7.06</v>
      </c>
      <c r="J107" s="157">
        <f t="shared" si="1"/>
        <v>1.47</v>
      </c>
      <c r="K107" s="157">
        <f t="shared" si="1"/>
        <v>337.18</v>
      </c>
      <c r="L107" s="157">
        <f t="shared" si="1"/>
        <v>39.81</v>
      </c>
      <c r="M107" s="157">
        <f t="shared" si="1"/>
        <v>67.2</v>
      </c>
      <c r="N107" s="157">
        <f t="shared" si="1"/>
        <v>842.3</v>
      </c>
      <c r="O107" s="157">
        <f t="shared" si="1"/>
        <v>0</v>
      </c>
      <c r="P107" s="157">
        <f t="shared" si="1"/>
        <v>0.83</v>
      </c>
      <c r="Q107" s="157">
        <f t="shared" si="1"/>
        <v>6.63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20.99291666666667</v>
      </c>
      <c r="C108" s="158">
        <f t="shared" ref="C108:Q108" si="2">AVERAGE(C9:C104)</f>
        <v>59.173124999999999</v>
      </c>
      <c r="D108" s="158">
        <f t="shared" si="2"/>
        <v>46.70541666666665</v>
      </c>
      <c r="E108" s="158">
        <f t="shared" si="2"/>
        <v>11.497187499999997</v>
      </c>
      <c r="F108" s="158">
        <f t="shared" si="2"/>
        <v>16.137395833333333</v>
      </c>
      <c r="G108" s="158">
        <f t="shared" si="2"/>
        <v>69.315520833333352</v>
      </c>
      <c r="H108" s="158">
        <f t="shared" si="2"/>
        <v>16.810520833333339</v>
      </c>
      <c r="I108" s="158">
        <f t="shared" si="2"/>
        <v>5.592083333333334</v>
      </c>
      <c r="J108" s="158">
        <f t="shared" si="2"/>
        <v>0.56062500000000026</v>
      </c>
      <c r="K108" s="158">
        <f t="shared" si="2"/>
        <v>90.004687500000045</v>
      </c>
      <c r="L108" s="158">
        <f t="shared" si="2"/>
        <v>31.817812500000016</v>
      </c>
      <c r="M108" s="158">
        <f t="shared" si="2"/>
        <v>41.887187499999996</v>
      </c>
      <c r="N108" s="158">
        <f t="shared" si="2"/>
        <v>174.0229166666667</v>
      </c>
      <c r="O108" s="158">
        <f t="shared" si="2"/>
        <v>0</v>
      </c>
      <c r="P108" s="158">
        <f t="shared" si="2"/>
        <v>0.58114583333333347</v>
      </c>
      <c r="Q108" s="158">
        <f t="shared" si="2"/>
        <v>5.6092708333333334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11.599868140508864</v>
      </c>
      <c r="C109" s="158">
        <f t="shared" ref="C109:Q109" si="3">STDEV(C9:C104)</f>
        <v>6.8455525804408612</v>
      </c>
      <c r="D109" s="158">
        <f t="shared" si="3"/>
        <v>12.30953844247089</v>
      </c>
      <c r="E109" s="158">
        <f t="shared" si="3"/>
        <v>5.2838906525051828</v>
      </c>
      <c r="F109" s="158">
        <f t="shared" si="3"/>
        <v>13.479829394890386</v>
      </c>
      <c r="G109" s="158">
        <f t="shared" si="3"/>
        <v>30.276166686018275</v>
      </c>
      <c r="H109" s="158">
        <f t="shared" si="3"/>
        <v>6.1306782263751787</v>
      </c>
      <c r="I109" s="158">
        <f t="shared" si="3"/>
        <v>0.78804610694214694</v>
      </c>
      <c r="J109" s="158">
        <f t="shared" si="3"/>
        <v>0.32938479337283144</v>
      </c>
      <c r="K109" s="158">
        <f t="shared" si="3"/>
        <v>67.665369389652682</v>
      </c>
      <c r="L109" s="158">
        <f t="shared" si="3"/>
        <v>5.3246812018480831</v>
      </c>
      <c r="M109" s="158">
        <f t="shared" si="3"/>
        <v>14.810096179589266</v>
      </c>
      <c r="N109" s="158">
        <f t="shared" si="3"/>
        <v>258.17619910651666</v>
      </c>
      <c r="O109" s="158">
        <f t="shared" si="3"/>
        <v>0</v>
      </c>
      <c r="P109" s="158">
        <f t="shared" si="3"/>
        <v>0.10087897691023526</v>
      </c>
      <c r="Q109" s="158">
        <f t="shared" si="3"/>
        <v>0.57085207742309108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17"/>
  <sheetViews>
    <sheetView workbookViewId="0">
      <selection activeCell="A9" sqref="A9:XFD104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29/05/2023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R2" s="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L3" s="147" t="s">
        <v>14</v>
      </c>
      <c r="M3" s="132"/>
      <c r="N3" s="155" t="s">
        <v>15</v>
      </c>
      <c r="O3" s="132"/>
      <c r="P3" s="152" t="s">
        <v>15</v>
      </c>
      <c r="Q3" s="132"/>
      <c r="R3" s="2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N4" s="2"/>
      <c r="O4" s="132"/>
      <c r="P4" s="132"/>
      <c r="Q4" s="132"/>
      <c r="R4" s="132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00" t="s">
        <v>2925</v>
      </c>
      <c r="B9" s="100">
        <v>25.19</v>
      </c>
      <c r="C9" s="100">
        <v>57.33</v>
      </c>
      <c r="D9" s="100">
        <v>49.11</v>
      </c>
      <c r="E9" s="100">
        <v>20.56</v>
      </c>
      <c r="F9" s="100">
        <v>8.73</v>
      </c>
      <c r="G9" s="100">
        <v>81.34</v>
      </c>
      <c r="H9" s="100">
        <v>23.06</v>
      </c>
      <c r="I9" s="100">
        <v>5.93</v>
      </c>
      <c r="J9" s="100">
        <v>0.53</v>
      </c>
      <c r="K9" s="100">
        <v>57.02</v>
      </c>
      <c r="L9" s="100">
        <v>30.22</v>
      </c>
      <c r="M9" s="100">
        <v>42.03</v>
      </c>
      <c r="N9" s="100">
        <v>0</v>
      </c>
      <c r="O9" s="100">
        <v>0</v>
      </c>
      <c r="P9" s="100">
        <v>0.69</v>
      </c>
      <c r="Q9" s="100">
        <v>5.87</v>
      </c>
    </row>
    <row r="10" spans="1:21">
      <c r="A10" s="100" t="s">
        <v>2926</v>
      </c>
      <c r="B10" s="100">
        <v>25.35</v>
      </c>
      <c r="C10" s="100">
        <v>62.83</v>
      </c>
      <c r="D10" s="100">
        <v>52.11</v>
      </c>
      <c r="E10" s="100">
        <v>12.05</v>
      </c>
      <c r="F10" s="100">
        <v>7.33</v>
      </c>
      <c r="G10" s="100">
        <v>75.900000000000006</v>
      </c>
      <c r="H10" s="100">
        <v>22.83</v>
      </c>
      <c r="I10" s="100">
        <v>5.81</v>
      </c>
      <c r="J10" s="100">
        <v>0.6</v>
      </c>
      <c r="K10" s="100">
        <v>65.33</v>
      </c>
      <c r="L10" s="100">
        <v>30.08</v>
      </c>
      <c r="M10" s="100">
        <v>42.26</v>
      </c>
      <c r="N10" s="100">
        <v>0</v>
      </c>
      <c r="O10" s="100">
        <v>0</v>
      </c>
      <c r="P10" s="100">
        <v>0.7</v>
      </c>
      <c r="Q10" s="100">
        <v>5.9</v>
      </c>
    </row>
    <row r="11" spans="1:21">
      <c r="A11" s="100" t="s">
        <v>2927</v>
      </c>
      <c r="B11" s="100">
        <v>24.67</v>
      </c>
      <c r="C11" s="100">
        <v>62.01</v>
      </c>
      <c r="D11" s="100">
        <v>51.13</v>
      </c>
      <c r="E11" s="100">
        <v>12.94</v>
      </c>
      <c r="F11" s="100">
        <v>8.09</v>
      </c>
      <c r="G11" s="100">
        <v>68.12</v>
      </c>
      <c r="H11" s="100">
        <v>22.63</v>
      </c>
      <c r="I11" s="100">
        <v>5.7</v>
      </c>
      <c r="J11" s="100">
        <v>0.18</v>
      </c>
      <c r="K11" s="100">
        <v>162.66999999999999</v>
      </c>
      <c r="L11" s="100">
        <v>29.67</v>
      </c>
      <c r="M11" s="100">
        <v>44.36</v>
      </c>
      <c r="N11" s="100">
        <v>0</v>
      </c>
      <c r="O11" s="100">
        <v>0</v>
      </c>
      <c r="P11" s="100">
        <v>0.67</v>
      </c>
      <c r="Q11" s="100">
        <v>5.97</v>
      </c>
    </row>
    <row r="12" spans="1:21">
      <c r="A12" s="100" t="s">
        <v>2928</v>
      </c>
      <c r="B12" s="100">
        <v>25.39</v>
      </c>
      <c r="C12" s="100">
        <v>65.63</v>
      </c>
      <c r="D12" s="100">
        <v>53.61</v>
      </c>
      <c r="E12" s="100">
        <v>10.039999999999999</v>
      </c>
      <c r="F12" s="100">
        <v>7.18</v>
      </c>
      <c r="G12" s="100">
        <v>68.12</v>
      </c>
      <c r="H12" s="100">
        <v>22.63</v>
      </c>
      <c r="I12" s="100">
        <v>5.6</v>
      </c>
      <c r="J12" s="100">
        <v>0.23</v>
      </c>
      <c r="K12" s="100">
        <v>63.16</v>
      </c>
      <c r="L12" s="100">
        <v>29.1</v>
      </c>
      <c r="M12" s="100">
        <v>46.7</v>
      </c>
      <c r="N12" s="100">
        <v>0</v>
      </c>
      <c r="O12" s="100">
        <v>0</v>
      </c>
      <c r="P12" s="100">
        <v>0.69</v>
      </c>
      <c r="Q12" s="100">
        <v>6.03</v>
      </c>
    </row>
    <row r="13" spans="1:21">
      <c r="A13" s="100" t="s">
        <v>2929</v>
      </c>
      <c r="B13" s="100">
        <v>26.71</v>
      </c>
      <c r="C13" s="100">
        <v>61.46</v>
      </c>
      <c r="D13" s="100">
        <v>52.48</v>
      </c>
      <c r="E13" s="100">
        <v>11.3</v>
      </c>
      <c r="F13" s="100">
        <v>6.5</v>
      </c>
      <c r="G13" s="100">
        <v>68.12</v>
      </c>
      <c r="H13" s="100">
        <v>22.63</v>
      </c>
      <c r="I13" s="100">
        <v>5.56</v>
      </c>
      <c r="J13" s="100">
        <v>0.3</v>
      </c>
      <c r="K13" s="100">
        <v>28.68</v>
      </c>
      <c r="L13" s="100">
        <v>28.99</v>
      </c>
      <c r="M13" s="100">
        <v>46.9</v>
      </c>
      <c r="N13" s="100">
        <v>0</v>
      </c>
      <c r="O13" s="100">
        <v>0</v>
      </c>
      <c r="P13" s="100">
        <v>0.67</v>
      </c>
      <c r="Q13" s="100">
        <v>5.95</v>
      </c>
    </row>
    <row r="14" spans="1:21">
      <c r="A14" s="100" t="s">
        <v>2930</v>
      </c>
      <c r="B14" s="100">
        <v>25.93</v>
      </c>
      <c r="C14" s="100">
        <v>62.51</v>
      </c>
      <c r="D14" s="100">
        <v>52.41</v>
      </c>
      <c r="E14" s="100">
        <v>8.1199999999999992</v>
      </c>
      <c r="F14" s="100">
        <v>8.5399999999999991</v>
      </c>
      <c r="G14" s="100">
        <v>67.319999999999993</v>
      </c>
      <c r="H14" s="100">
        <v>22.28</v>
      </c>
      <c r="I14" s="100">
        <v>5.76</v>
      </c>
      <c r="J14" s="100">
        <v>0.66</v>
      </c>
      <c r="K14" s="100">
        <v>57.11</v>
      </c>
      <c r="L14" s="100">
        <v>29.1</v>
      </c>
      <c r="M14" s="100">
        <v>45.67</v>
      </c>
      <c r="N14" s="100">
        <v>0</v>
      </c>
      <c r="O14" s="100">
        <v>0</v>
      </c>
      <c r="P14" s="100">
        <v>0.67</v>
      </c>
      <c r="Q14" s="100">
        <v>6.09</v>
      </c>
    </row>
    <row r="15" spans="1:21">
      <c r="A15" s="100" t="s">
        <v>2931</v>
      </c>
      <c r="B15" s="100">
        <v>27.47</v>
      </c>
      <c r="C15" s="100">
        <v>61.04</v>
      </c>
      <c r="D15" s="100">
        <v>52.87</v>
      </c>
      <c r="E15" s="100">
        <v>7.45</v>
      </c>
      <c r="F15" s="100">
        <v>8.5399999999999991</v>
      </c>
      <c r="G15" s="100">
        <v>66.12</v>
      </c>
      <c r="H15" s="100">
        <v>21.43</v>
      </c>
      <c r="I15" s="100">
        <v>5.7</v>
      </c>
      <c r="J15" s="100">
        <v>0.6</v>
      </c>
      <c r="K15" s="100">
        <v>50.75</v>
      </c>
      <c r="L15" s="100">
        <v>29.07</v>
      </c>
      <c r="M15" s="100">
        <v>45.54</v>
      </c>
      <c r="N15" s="100">
        <v>0</v>
      </c>
      <c r="O15" s="100">
        <v>0</v>
      </c>
      <c r="P15" s="100">
        <v>0.66</v>
      </c>
      <c r="Q15" s="100">
        <v>6.06</v>
      </c>
    </row>
    <row r="16" spans="1:21">
      <c r="A16" s="100" t="s">
        <v>2932</v>
      </c>
      <c r="B16" s="100">
        <v>26.52</v>
      </c>
      <c r="C16" s="100">
        <v>60.45</v>
      </c>
      <c r="D16" s="100">
        <v>51.81</v>
      </c>
      <c r="E16" s="100">
        <v>7.36</v>
      </c>
      <c r="F16" s="100">
        <v>9.39</v>
      </c>
      <c r="G16" s="100">
        <v>66.12</v>
      </c>
      <c r="H16" s="100">
        <v>21.43</v>
      </c>
      <c r="I16" s="100">
        <v>5.64</v>
      </c>
      <c r="J16" s="100">
        <v>0.72</v>
      </c>
      <c r="K16" s="100">
        <v>51.93</v>
      </c>
      <c r="L16" s="100">
        <v>29.01</v>
      </c>
      <c r="M16" s="100">
        <v>45.64</v>
      </c>
      <c r="N16" s="100">
        <v>0</v>
      </c>
      <c r="O16" s="100">
        <v>0</v>
      </c>
      <c r="P16" s="100">
        <v>0.64</v>
      </c>
      <c r="Q16" s="100">
        <v>6.13</v>
      </c>
    </row>
    <row r="17" spans="1:17">
      <c r="A17" s="100" t="s">
        <v>2933</v>
      </c>
      <c r="B17" s="100">
        <v>28.11</v>
      </c>
      <c r="C17" s="100">
        <v>63.47</v>
      </c>
      <c r="D17" s="100">
        <v>54.65</v>
      </c>
      <c r="E17" s="100">
        <v>8.01</v>
      </c>
      <c r="F17" s="100">
        <v>6.94</v>
      </c>
      <c r="G17" s="100">
        <v>66.12</v>
      </c>
      <c r="H17" s="100">
        <v>21.43</v>
      </c>
      <c r="I17" s="100">
        <v>5.5</v>
      </c>
      <c r="J17" s="100">
        <v>0.64</v>
      </c>
      <c r="K17" s="100">
        <v>43.24</v>
      </c>
      <c r="L17" s="100">
        <v>28.92</v>
      </c>
      <c r="M17" s="100">
        <v>46.36</v>
      </c>
      <c r="N17" s="100">
        <v>0</v>
      </c>
      <c r="O17" s="100">
        <v>0</v>
      </c>
      <c r="P17" s="100">
        <v>0.66</v>
      </c>
      <c r="Q17" s="100">
        <v>6.08</v>
      </c>
    </row>
    <row r="18" spans="1:17">
      <c r="A18" s="100" t="s">
        <v>2934</v>
      </c>
      <c r="B18" s="100">
        <v>27.26</v>
      </c>
      <c r="C18" s="100">
        <v>59.64</v>
      </c>
      <c r="D18" s="100">
        <v>51.97</v>
      </c>
      <c r="E18" s="100">
        <v>9.41</v>
      </c>
      <c r="F18" s="100">
        <v>9.25</v>
      </c>
      <c r="G18" s="100">
        <v>61.12</v>
      </c>
      <c r="H18" s="100">
        <v>19.7</v>
      </c>
      <c r="I18" s="100">
        <v>5.68</v>
      </c>
      <c r="J18" s="100">
        <v>0.32</v>
      </c>
      <c r="K18" s="100">
        <v>43.46</v>
      </c>
      <c r="L18" s="100">
        <v>28.87</v>
      </c>
      <c r="M18" s="100">
        <v>46.53</v>
      </c>
      <c r="N18" s="100">
        <v>0</v>
      </c>
      <c r="O18" s="100">
        <v>0</v>
      </c>
      <c r="P18" s="100">
        <v>0.63</v>
      </c>
      <c r="Q18" s="100">
        <v>6.09</v>
      </c>
    </row>
    <row r="19" spans="1:17">
      <c r="A19" s="100" t="s">
        <v>2935</v>
      </c>
      <c r="B19" s="100">
        <v>27.65</v>
      </c>
      <c r="C19" s="100">
        <v>64.28</v>
      </c>
      <c r="D19" s="100">
        <v>54.71</v>
      </c>
      <c r="E19" s="100">
        <v>9.5399999999999991</v>
      </c>
      <c r="F19" s="100">
        <v>7.31</v>
      </c>
      <c r="G19" s="100">
        <v>53.97</v>
      </c>
      <c r="H19" s="100">
        <v>18.2</v>
      </c>
      <c r="I19" s="100">
        <v>5.5</v>
      </c>
      <c r="J19" s="100">
        <v>0.54</v>
      </c>
      <c r="K19" s="100">
        <v>72.260000000000005</v>
      </c>
      <c r="L19" s="100">
        <v>28.85</v>
      </c>
      <c r="M19" s="100">
        <v>47.1</v>
      </c>
      <c r="N19" s="100">
        <v>0</v>
      </c>
      <c r="O19" s="100">
        <v>0</v>
      </c>
      <c r="P19" s="100">
        <v>0.64</v>
      </c>
      <c r="Q19" s="100">
        <v>6.12</v>
      </c>
    </row>
    <row r="20" spans="1:17">
      <c r="A20" s="100" t="s">
        <v>2936</v>
      </c>
      <c r="B20" s="100">
        <v>28.44</v>
      </c>
      <c r="C20" s="100">
        <v>61.32</v>
      </c>
      <c r="D20" s="100">
        <v>53.8</v>
      </c>
      <c r="E20" s="100">
        <v>9.0500000000000007</v>
      </c>
      <c r="F20" s="100">
        <v>7.94</v>
      </c>
      <c r="G20" s="100">
        <v>53.97</v>
      </c>
      <c r="H20" s="100">
        <v>18.2</v>
      </c>
      <c r="I20" s="100">
        <v>5.45</v>
      </c>
      <c r="J20" s="100">
        <v>0.97</v>
      </c>
      <c r="K20" s="100">
        <v>55.06</v>
      </c>
      <c r="L20" s="100">
        <v>28.7</v>
      </c>
      <c r="M20" s="100">
        <v>46.99</v>
      </c>
      <c r="N20" s="100">
        <v>0</v>
      </c>
      <c r="O20" s="100">
        <v>0</v>
      </c>
      <c r="P20" s="100">
        <v>0.63</v>
      </c>
      <c r="Q20" s="100">
        <v>6.02</v>
      </c>
    </row>
    <row r="21" spans="1:17">
      <c r="A21" s="100" t="s">
        <v>2937</v>
      </c>
      <c r="B21" s="100">
        <v>28.66</v>
      </c>
      <c r="C21" s="100">
        <v>62.7</v>
      </c>
      <c r="D21" s="100">
        <v>54.7</v>
      </c>
      <c r="E21" s="100">
        <v>8.4600000000000009</v>
      </c>
      <c r="F21" s="100">
        <v>7.24</v>
      </c>
      <c r="G21" s="100">
        <v>53.97</v>
      </c>
      <c r="H21" s="100">
        <v>18.2</v>
      </c>
      <c r="I21" s="100">
        <v>5.57</v>
      </c>
      <c r="J21" s="100">
        <v>1.07</v>
      </c>
      <c r="K21" s="100">
        <v>52.23</v>
      </c>
      <c r="L21" s="100">
        <v>28.54</v>
      </c>
      <c r="M21" s="100">
        <v>47.52</v>
      </c>
      <c r="N21" s="100">
        <v>0</v>
      </c>
      <c r="O21" s="100">
        <v>0</v>
      </c>
      <c r="P21" s="100">
        <v>0.63</v>
      </c>
      <c r="Q21" s="100">
        <v>6.05</v>
      </c>
    </row>
    <row r="22" spans="1:17">
      <c r="A22" s="100" t="s">
        <v>2938</v>
      </c>
      <c r="B22" s="100">
        <v>27.52</v>
      </c>
      <c r="C22" s="100">
        <v>66.680000000000007</v>
      </c>
      <c r="D22" s="100">
        <v>55.86</v>
      </c>
      <c r="E22" s="100">
        <v>8.34</v>
      </c>
      <c r="F22" s="100">
        <v>7.13</v>
      </c>
      <c r="G22" s="100">
        <v>49.85</v>
      </c>
      <c r="H22" s="100">
        <v>16.57</v>
      </c>
      <c r="I22" s="100">
        <v>5.5</v>
      </c>
      <c r="J22" s="100">
        <v>1.06</v>
      </c>
      <c r="K22" s="100">
        <v>61.59</v>
      </c>
      <c r="L22" s="100">
        <v>28.4</v>
      </c>
      <c r="M22" s="100">
        <v>48.09</v>
      </c>
      <c r="N22" s="100">
        <v>0</v>
      </c>
      <c r="O22" s="100">
        <v>0</v>
      </c>
      <c r="P22" s="100">
        <v>0.63</v>
      </c>
      <c r="Q22" s="100">
        <v>6.08</v>
      </c>
    </row>
    <row r="23" spans="1:17">
      <c r="A23" s="100" t="s">
        <v>2939</v>
      </c>
      <c r="B23" s="100">
        <v>27.76</v>
      </c>
      <c r="C23" s="100">
        <v>62.05</v>
      </c>
      <c r="D23" s="100">
        <v>53.64</v>
      </c>
      <c r="E23" s="100">
        <v>8.4499999999999993</v>
      </c>
      <c r="F23" s="100">
        <v>7.38</v>
      </c>
      <c r="G23" s="100">
        <v>43.68</v>
      </c>
      <c r="H23" s="100">
        <v>15.16</v>
      </c>
      <c r="I23" s="100">
        <v>5.65</v>
      </c>
      <c r="J23" s="100">
        <v>0.76</v>
      </c>
      <c r="K23" s="100">
        <v>59.12</v>
      </c>
      <c r="L23" s="100">
        <v>28.39</v>
      </c>
      <c r="M23" s="100">
        <v>48.28</v>
      </c>
      <c r="N23" s="100">
        <v>0</v>
      </c>
      <c r="O23" s="100">
        <v>0</v>
      </c>
      <c r="P23" s="100">
        <v>0.61</v>
      </c>
      <c r="Q23" s="100">
        <v>6.04</v>
      </c>
    </row>
    <row r="24" spans="1:17">
      <c r="A24" s="100" t="s">
        <v>2940</v>
      </c>
      <c r="B24" s="100">
        <v>28.27</v>
      </c>
      <c r="C24" s="100">
        <v>64.5</v>
      </c>
      <c r="D24" s="100">
        <v>55.33</v>
      </c>
      <c r="E24" s="100">
        <v>8.5</v>
      </c>
      <c r="F24" s="100">
        <v>6.44</v>
      </c>
      <c r="G24" s="100">
        <v>43.68</v>
      </c>
      <c r="H24" s="100">
        <v>15.16</v>
      </c>
      <c r="I24" s="100">
        <v>5.54</v>
      </c>
      <c r="J24" s="100">
        <v>0.73</v>
      </c>
      <c r="K24" s="100">
        <v>62.51</v>
      </c>
      <c r="L24" s="100">
        <v>28.36</v>
      </c>
      <c r="M24" s="100">
        <v>48.67</v>
      </c>
      <c r="N24" s="100">
        <v>0</v>
      </c>
      <c r="O24" s="100">
        <v>0</v>
      </c>
      <c r="P24" s="100">
        <v>0.6</v>
      </c>
      <c r="Q24" s="100">
        <v>6.05</v>
      </c>
    </row>
    <row r="25" spans="1:17">
      <c r="A25" s="100" t="s">
        <v>2941</v>
      </c>
      <c r="B25" s="100">
        <v>29.24</v>
      </c>
      <c r="C25" s="100">
        <v>64.81</v>
      </c>
      <c r="D25" s="100">
        <v>56.26</v>
      </c>
      <c r="E25" s="100">
        <v>7.85</v>
      </c>
      <c r="F25" s="100">
        <v>5.34</v>
      </c>
      <c r="G25" s="100">
        <v>43.68</v>
      </c>
      <c r="H25" s="100">
        <v>15.16</v>
      </c>
      <c r="I25" s="100">
        <v>5.48</v>
      </c>
      <c r="J25" s="100">
        <v>1.1100000000000001</v>
      </c>
      <c r="K25" s="100">
        <v>62.5</v>
      </c>
      <c r="L25" s="100">
        <v>28.19</v>
      </c>
      <c r="M25" s="100">
        <v>49.08</v>
      </c>
      <c r="N25" s="100">
        <v>0</v>
      </c>
      <c r="O25" s="100">
        <v>0</v>
      </c>
      <c r="P25" s="100">
        <v>0.61</v>
      </c>
      <c r="Q25" s="100">
        <v>5.99</v>
      </c>
    </row>
    <row r="26" spans="1:17">
      <c r="A26" s="100" t="s">
        <v>2942</v>
      </c>
      <c r="B26" s="100">
        <v>28.95</v>
      </c>
      <c r="C26" s="100">
        <v>63.92</v>
      </c>
      <c r="D26" s="100">
        <v>55.57</v>
      </c>
      <c r="E26" s="100">
        <v>8.49</v>
      </c>
      <c r="F26" s="100">
        <v>5.95</v>
      </c>
      <c r="G26" s="100">
        <v>42.22</v>
      </c>
      <c r="H26" s="100">
        <v>14.13</v>
      </c>
      <c r="I26" s="100">
        <v>5.58</v>
      </c>
      <c r="J26" s="100">
        <v>0.94</v>
      </c>
      <c r="K26" s="100">
        <v>56.72</v>
      </c>
      <c r="L26" s="100">
        <v>28.11</v>
      </c>
      <c r="M26" s="100">
        <v>49.5</v>
      </c>
      <c r="N26" s="100">
        <v>0</v>
      </c>
      <c r="O26" s="100">
        <v>0</v>
      </c>
      <c r="P26" s="100">
        <v>0.6</v>
      </c>
      <c r="Q26" s="100">
        <v>6.07</v>
      </c>
    </row>
    <row r="27" spans="1:17">
      <c r="A27" s="100" t="s">
        <v>2943</v>
      </c>
      <c r="B27" s="100">
        <v>29.35</v>
      </c>
      <c r="C27" s="100">
        <v>65.05</v>
      </c>
      <c r="D27" s="100">
        <v>56.48</v>
      </c>
      <c r="E27" s="100">
        <v>9.2799999999999994</v>
      </c>
      <c r="F27" s="100">
        <v>5.36</v>
      </c>
      <c r="G27" s="100">
        <v>40.04</v>
      </c>
      <c r="H27" s="100">
        <v>13.24</v>
      </c>
      <c r="I27" s="100">
        <v>5.55</v>
      </c>
      <c r="J27" s="100">
        <v>0.7</v>
      </c>
      <c r="K27" s="100">
        <v>57</v>
      </c>
      <c r="L27" s="100">
        <v>28.03</v>
      </c>
      <c r="M27" s="100">
        <v>49.82</v>
      </c>
      <c r="N27" s="100">
        <v>0</v>
      </c>
      <c r="O27" s="100">
        <v>0</v>
      </c>
      <c r="P27" s="100">
        <v>0.6</v>
      </c>
      <c r="Q27" s="100">
        <v>6.07</v>
      </c>
    </row>
    <row r="28" spans="1:17">
      <c r="A28" s="100" t="s">
        <v>2944</v>
      </c>
      <c r="B28" s="100">
        <v>28.2</v>
      </c>
      <c r="C28" s="100">
        <v>58.56</v>
      </c>
      <c r="D28" s="100">
        <v>52.17</v>
      </c>
      <c r="E28" s="100">
        <v>9.14</v>
      </c>
      <c r="F28" s="100">
        <v>6.81</v>
      </c>
      <c r="G28" s="100">
        <v>40.04</v>
      </c>
      <c r="H28" s="100">
        <v>13.24</v>
      </c>
      <c r="I28" s="100">
        <v>5.56</v>
      </c>
      <c r="J28" s="100">
        <v>0.49</v>
      </c>
      <c r="K28" s="100">
        <v>41.14</v>
      </c>
      <c r="L28" s="100">
        <v>27.99</v>
      </c>
      <c r="M28" s="100">
        <v>50.05</v>
      </c>
      <c r="N28" s="100">
        <v>0</v>
      </c>
      <c r="O28" s="100">
        <v>0</v>
      </c>
      <c r="P28" s="100">
        <v>0.57999999999999996</v>
      </c>
      <c r="Q28" s="100">
        <v>5.96</v>
      </c>
    </row>
    <row r="29" spans="1:17">
      <c r="A29" s="100" t="s">
        <v>2945</v>
      </c>
      <c r="B29" s="100">
        <v>28.66</v>
      </c>
      <c r="C29" s="100">
        <v>64.22</v>
      </c>
      <c r="D29" s="100">
        <v>55.49</v>
      </c>
      <c r="E29" s="100">
        <v>8.9600000000000009</v>
      </c>
      <c r="F29" s="100">
        <v>5.66</v>
      </c>
      <c r="G29" s="100">
        <v>40.04</v>
      </c>
      <c r="H29" s="100">
        <v>13.24</v>
      </c>
      <c r="I29" s="100">
        <v>5.49</v>
      </c>
      <c r="J29" s="100">
        <v>0.18</v>
      </c>
      <c r="K29" s="100">
        <v>0.95</v>
      </c>
      <c r="L29" s="100">
        <v>27.99</v>
      </c>
      <c r="M29" s="100">
        <v>50.26</v>
      </c>
      <c r="N29" s="100">
        <v>0</v>
      </c>
      <c r="O29" s="100">
        <v>0</v>
      </c>
      <c r="P29" s="100">
        <v>0.59</v>
      </c>
      <c r="Q29" s="100">
        <v>6.04</v>
      </c>
    </row>
    <row r="30" spans="1:17">
      <c r="A30" s="100" t="s">
        <v>2946</v>
      </c>
      <c r="B30" s="100">
        <v>28.89</v>
      </c>
      <c r="C30" s="100">
        <v>62.2</v>
      </c>
      <c r="D30" s="100">
        <v>54.62</v>
      </c>
      <c r="E30" s="100">
        <v>8.83</v>
      </c>
      <c r="F30" s="100">
        <v>6.03</v>
      </c>
      <c r="G30" s="100">
        <v>40.28</v>
      </c>
      <c r="H30" s="100">
        <v>14.26</v>
      </c>
      <c r="I30" s="100">
        <v>5.44</v>
      </c>
      <c r="J30" s="100">
        <v>0.21</v>
      </c>
      <c r="K30" s="100">
        <v>4.9800000000000004</v>
      </c>
      <c r="L30" s="100">
        <v>28.02</v>
      </c>
      <c r="M30" s="100">
        <v>50.07</v>
      </c>
      <c r="N30" s="100">
        <v>0.1</v>
      </c>
      <c r="O30" s="100">
        <v>0</v>
      </c>
      <c r="P30" s="100">
        <v>0.59</v>
      </c>
      <c r="Q30" s="100">
        <v>6</v>
      </c>
    </row>
    <row r="31" spans="1:17">
      <c r="A31" s="100" t="s">
        <v>2947</v>
      </c>
      <c r="B31" s="100">
        <v>29.41</v>
      </c>
      <c r="C31" s="100">
        <v>63.16</v>
      </c>
      <c r="D31" s="100">
        <v>55.54</v>
      </c>
      <c r="E31" s="100">
        <v>10.39</v>
      </c>
      <c r="F31" s="100">
        <v>5.9</v>
      </c>
      <c r="G31" s="100">
        <v>40.630000000000003</v>
      </c>
      <c r="H31" s="100">
        <v>15.15</v>
      </c>
      <c r="I31" s="100">
        <v>5.48</v>
      </c>
      <c r="J31" s="100">
        <v>0.37</v>
      </c>
      <c r="K31" s="100">
        <v>48.08</v>
      </c>
      <c r="L31" s="100">
        <v>27.97</v>
      </c>
      <c r="M31" s="100">
        <v>50.48</v>
      </c>
      <c r="N31" s="100">
        <v>7.4</v>
      </c>
      <c r="O31" s="100">
        <v>0</v>
      </c>
      <c r="P31" s="100">
        <v>0.57999999999999996</v>
      </c>
      <c r="Q31" s="100">
        <v>6.1</v>
      </c>
    </row>
    <row r="32" spans="1:17">
      <c r="A32" s="100" t="s">
        <v>2948</v>
      </c>
      <c r="B32" s="100">
        <v>30.28</v>
      </c>
      <c r="C32" s="100">
        <v>65.37</v>
      </c>
      <c r="D32" s="100">
        <v>57.39</v>
      </c>
      <c r="E32" s="100">
        <v>9.1199999999999992</v>
      </c>
      <c r="F32" s="100">
        <v>4.96</v>
      </c>
      <c r="G32" s="100">
        <v>40.630000000000003</v>
      </c>
      <c r="H32" s="100">
        <v>15.15</v>
      </c>
      <c r="I32" s="100">
        <v>5.45</v>
      </c>
      <c r="J32" s="100">
        <v>0.26</v>
      </c>
      <c r="K32" s="100">
        <v>319.61</v>
      </c>
      <c r="L32" s="100">
        <v>28.13</v>
      </c>
      <c r="M32" s="100">
        <v>50.39</v>
      </c>
      <c r="N32" s="100">
        <v>30.6</v>
      </c>
      <c r="O32" s="100">
        <v>0</v>
      </c>
      <c r="P32" s="100">
        <v>0.59</v>
      </c>
      <c r="Q32" s="100">
        <v>6.09</v>
      </c>
    </row>
    <row r="33" spans="1:17">
      <c r="A33" s="100" t="s">
        <v>2949</v>
      </c>
      <c r="B33" s="100">
        <v>29.14</v>
      </c>
      <c r="C33" s="100">
        <v>60.69</v>
      </c>
      <c r="D33" s="100">
        <v>54.03</v>
      </c>
      <c r="E33" s="100">
        <v>10.23</v>
      </c>
      <c r="F33" s="100">
        <v>6.91</v>
      </c>
      <c r="G33" s="100">
        <v>40.630000000000003</v>
      </c>
      <c r="H33" s="100">
        <v>15.15</v>
      </c>
      <c r="I33" s="100">
        <v>5.53</v>
      </c>
      <c r="J33" s="100">
        <v>0.13</v>
      </c>
      <c r="K33" s="100">
        <v>35.659999999999997</v>
      </c>
      <c r="L33" s="100">
        <v>28.43</v>
      </c>
      <c r="M33" s="100">
        <v>50.12</v>
      </c>
      <c r="N33" s="100">
        <v>37</v>
      </c>
      <c r="O33" s="100">
        <v>0</v>
      </c>
      <c r="P33" s="100">
        <v>0.57999999999999996</v>
      </c>
      <c r="Q33" s="100">
        <v>6.09</v>
      </c>
    </row>
    <row r="34" spans="1:17">
      <c r="A34" s="100" t="s">
        <v>2950</v>
      </c>
      <c r="B34" s="100">
        <v>28.62</v>
      </c>
      <c r="C34" s="100">
        <v>63.45</v>
      </c>
      <c r="D34" s="100">
        <v>55.06</v>
      </c>
      <c r="E34" s="100">
        <v>9.84</v>
      </c>
      <c r="F34" s="100">
        <v>6.52</v>
      </c>
      <c r="G34" s="100">
        <v>43.09</v>
      </c>
      <c r="H34" s="100">
        <v>13.46</v>
      </c>
      <c r="I34" s="100">
        <v>5.49</v>
      </c>
      <c r="J34" s="100">
        <v>0.24</v>
      </c>
      <c r="K34" s="100">
        <v>296.58</v>
      </c>
      <c r="L34" s="100">
        <v>28.6</v>
      </c>
      <c r="M34" s="100">
        <v>49.84</v>
      </c>
      <c r="N34" s="100">
        <v>47</v>
      </c>
      <c r="O34" s="100">
        <v>0</v>
      </c>
      <c r="P34" s="100">
        <v>0.61</v>
      </c>
      <c r="Q34" s="100">
        <v>6.12</v>
      </c>
    </row>
    <row r="35" spans="1:17">
      <c r="A35" s="100" t="s">
        <v>2951</v>
      </c>
      <c r="B35" s="100">
        <v>28.98</v>
      </c>
      <c r="C35" s="100">
        <v>60.9</v>
      </c>
      <c r="D35" s="100">
        <v>54.01</v>
      </c>
      <c r="E35" s="100">
        <v>12.47</v>
      </c>
      <c r="F35" s="100">
        <v>6.95</v>
      </c>
      <c r="G35" s="100">
        <v>46.62</v>
      </c>
      <c r="H35" s="100">
        <v>12.01</v>
      </c>
      <c r="I35" s="100">
        <v>5.52</v>
      </c>
      <c r="J35" s="100">
        <v>0.37</v>
      </c>
      <c r="K35" s="100">
        <v>58.85</v>
      </c>
      <c r="L35" s="100">
        <v>29</v>
      </c>
      <c r="M35" s="100">
        <v>50.12</v>
      </c>
      <c r="N35" s="100">
        <v>58</v>
      </c>
      <c r="O35" s="100">
        <v>0</v>
      </c>
      <c r="P35" s="100">
        <v>0.6</v>
      </c>
      <c r="Q35" s="100">
        <v>6.08</v>
      </c>
    </row>
    <row r="36" spans="1:17">
      <c r="A36" s="100" t="s">
        <v>2952</v>
      </c>
      <c r="B36" s="100">
        <v>30.15</v>
      </c>
      <c r="C36" s="100">
        <v>64.55</v>
      </c>
      <c r="D36" s="100">
        <v>56.86</v>
      </c>
      <c r="E36" s="100">
        <v>16.34</v>
      </c>
      <c r="F36" s="100">
        <v>5.96</v>
      </c>
      <c r="G36" s="100">
        <v>46.62</v>
      </c>
      <c r="H36" s="100">
        <v>12.01</v>
      </c>
      <c r="I36" s="100">
        <v>5.59</v>
      </c>
      <c r="J36" s="100">
        <v>0.45</v>
      </c>
      <c r="K36" s="100">
        <v>63.11</v>
      </c>
      <c r="L36" s="100">
        <v>29.19</v>
      </c>
      <c r="M36" s="100">
        <v>49.59</v>
      </c>
      <c r="N36" s="100">
        <v>60.9</v>
      </c>
      <c r="O36" s="100">
        <v>0</v>
      </c>
      <c r="P36" s="100">
        <v>0.66</v>
      </c>
      <c r="Q36" s="100">
        <v>6.19</v>
      </c>
    </row>
    <row r="37" spans="1:17">
      <c r="A37" s="100" t="s">
        <v>2953</v>
      </c>
      <c r="B37" s="100">
        <v>30.95</v>
      </c>
      <c r="C37" s="100">
        <v>63.92</v>
      </c>
      <c r="D37" s="100">
        <v>57.17</v>
      </c>
      <c r="E37" s="100">
        <v>18.690000000000001</v>
      </c>
      <c r="F37" s="100">
        <v>5.67</v>
      </c>
      <c r="G37" s="100">
        <v>46.62</v>
      </c>
      <c r="H37" s="100">
        <v>12.01</v>
      </c>
      <c r="I37" s="100">
        <v>5.71</v>
      </c>
      <c r="J37" s="100">
        <v>0.41</v>
      </c>
      <c r="K37" s="100">
        <v>39.6</v>
      </c>
      <c r="L37" s="100">
        <v>29.74</v>
      </c>
      <c r="M37" s="100">
        <v>47.78</v>
      </c>
      <c r="N37" s="100">
        <v>95.3</v>
      </c>
      <c r="O37" s="100">
        <v>0</v>
      </c>
      <c r="P37" s="100">
        <v>0.67</v>
      </c>
      <c r="Q37" s="100">
        <v>6.17</v>
      </c>
    </row>
    <row r="38" spans="1:17">
      <c r="A38" s="100" t="s">
        <v>2954</v>
      </c>
      <c r="B38" s="100">
        <v>32</v>
      </c>
      <c r="C38" s="100">
        <v>62.67</v>
      </c>
      <c r="D38" s="100">
        <v>57.36</v>
      </c>
      <c r="E38" s="100">
        <v>42.39</v>
      </c>
      <c r="F38" s="100">
        <v>6.51</v>
      </c>
      <c r="G38" s="100">
        <v>54.9</v>
      </c>
      <c r="H38" s="100">
        <v>15.17</v>
      </c>
      <c r="I38" s="100">
        <v>6</v>
      </c>
      <c r="J38" s="100">
        <v>0.75</v>
      </c>
      <c r="K38" s="100">
        <v>46.08</v>
      </c>
      <c r="L38" s="100">
        <v>30.12</v>
      </c>
      <c r="M38" s="100">
        <v>47</v>
      </c>
      <c r="N38" s="100">
        <v>98.3</v>
      </c>
      <c r="O38" s="100">
        <v>0</v>
      </c>
      <c r="P38" s="100">
        <v>0.74</v>
      </c>
      <c r="Q38" s="100">
        <v>6.21</v>
      </c>
    </row>
    <row r="39" spans="1:17">
      <c r="A39" s="100" t="s">
        <v>2955</v>
      </c>
      <c r="B39" s="100">
        <v>32.65</v>
      </c>
      <c r="C39" s="100">
        <v>63.6</v>
      </c>
      <c r="D39" s="100">
        <v>58.37</v>
      </c>
      <c r="E39" s="100">
        <v>25.89</v>
      </c>
      <c r="F39" s="100">
        <v>6.11</v>
      </c>
      <c r="G39" s="100">
        <v>66.75</v>
      </c>
      <c r="H39" s="100">
        <v>23.34</v>
      </c>
      <c r="I39" s="100">
        <v>6.28</v>
      </c>
      <c r="J39" s="100">
        <v>0.63</v>
      </c>
      <c r="K39" s="100">
        <v>59.83</v>
      </c>
      <c r="L39" s="100">
        <v>30.34</v>
      </c>
      <c r="M39" s="100">
        <v>45.37</v>
      </c>
      <c r="N39" s="100">
        <v>127.4</v>
      </c>
      <c r="O39" s="100">
        <v>0</v>
      </c>
      <c r="P39" s="100">
        <v>0.69</v>
      </c>
      <c r="Q39" s="100">
        <v>6.21</v>
      </c>
    </row>
    <row r="40" spans="1:17">
      <c r="A40" s="100" t="s">
        <v>2956</v>
      </c>
      <c r="B40" s="100">
        <v>32.85</v>
      </c>
      <c r="C40" s="100">
        <v>64.41</v>
      </c>
      <c r="D40" s="100">
        <v>58.95</v>
      </c>
      <c r="E40" s="100">
        <v>53.07</v>
      </c>
      <c r="F40" s="100">
        <v>6.74</v>
      </c>
      <c r="G40" s="100">
        <v>66.75</v>
      </c>
      <c r="H40" s="100">
        <v>23.34</v>
      </c>
      <c r="I40" s="100">
        <v>6.55</v>
      </c>
      <c r="J40" s="100">
        <v>0.51</v>
      </c>
      <c r="K40" s="100">
        <v>30.74</v>
      </c>
      <c r="L40" s="100">
        <v>31.38</v>
      </c>
      <c r="M40" s="100">
        <v>43.53</v>
      </c>
      <c r="N40" s="100">
        <v>157.69999999999999</v>
      </c>
      <c r="O40" s="100">
        <v>0</v>
      </c>
      <c r="P40" s="100">
        <v>0.75</v>
      </c>
      <c r="Q40" s="100">
        <v>6.29</v>
      </c>
    </row>
    <row r="41" spans="1:17">
      <c r="A41" s="100" t="s">
        <v>2957</v>
      </c>
      <c r="B41" s="100">
        <v>33.049999999999997</v>
      </c>
      <c r="C41" s="100">
        <v>62.62</v>
      </c>
      <c r="D41" s="100">
        <v>58.17</v>
      </c>
      <c r="E41" s="100">
        <v>36.5</v>
      </c>
      <c r="F41" s="100">
        <v>6.63</v>
      </c>
      <c r="G41" s="100">
        <v>66.75</v>
      </c>
      <c r="H41" s="100">
        <v>23.34</v>
      </c>
      <c r="I41" s="100">
        <v>6.63</v>
      </c>
      <c r="J41" s="100">
        <v>0.75</v>
      </c>
      <c r="K41" s="100">
        <v>47.43</v>
      </c>
      <c r="L41" s="100">
        <v>31.02</v>
      </c>
      <c r="M41" s="100">
        <v>44.25</v>
      </c>
      <c r="N41" s="100">
        <v>123.7</v>
      </c>
      <c r="O41" s="100">
        <v>0</v>
      </c>
      <c r="P41" s="100">
        <v>0.73</v>
      </c>
      <c r="Q41" s="100">
        <v>6.22</v>
      </c>
    </row>
    <row r="42" spans="1:17">
      <c r="A42" s="100" t="s">
        <v>2958</v>
      </c>
      <c r="B42" s="100">
        <v>32.979999999999997</v>
      </c>
      <c r="C42" s="100">
        <v>65.19</v>
      </c>
      <c r="D42" s="100">
        <v>59.46</v>
      </c>
      <c r="E42" s="100">
        <v>28.74</v>
      </c>
      <c r="F42" s="100">
        <v>8.4</v>
      </c>
      <c r="G42" s="100">
        <v>77</v>
      </c>
      <c r="H42" s="100">
        <v>25.92</v>
      </c>
      <c r="I42" s="100">
        <v>6.63</v>
      </c>
      <c r="J42" s="100">
        <v>0.77</v>
      </c>
      <c r="K42" s="100">
        <v>38.659999999999997</v>
      </c>
      <c r="L42" s="100">
        <v>31.17</v>
      </c>
      <c r="M42" s="100">
        <v>43.91</v>
      </c>
      <c r="N42" s="100">
        <v>189.2</v>
      </c>
      <c r="O42" s="100">
        <v>0</v>
      </c>
      <c r="P42" s="100">
        <v>0.76</v>
      </c>
      <c r="Q42" s="100">
        <v>6.35</v>
      </c>
    </row>
    <row r="43" spans="1:17">
      <c r="A43" s="100" t="s">
        <v>2959</v>
      </c>
      <c r="B43" s="100">
        <v>31.1</v>
      </c>
      <c r="C43" s="100">
        <v>58.41</v>
      </c>
      <c r="D43" s="100">
        <v>54.41</v>
      </c>
      <c r="E43" s="100">
        <v>22.47</v>
      </c>
      <c r="F43" s="100">
        <v>11.49</v>
      </c>
      <c r="G43" s="100">
        <v>92.37</v>
      </c>
      <c r="H43" s="100">
        <v>28.14</v>
      </c>
      <c r="I43" s="100">
        <v>6.63</v>
      </c>
      <c r="J43" s="100">
        <v>0.53</v>
      </c>
      <c r="K43" s="100">
        <v>50.66</v>
      </c>
      <c r="L43" s="100">
        <v>31.79</v>
      </c>
      <c r="M43" s="100">
        <v>42.59</v>
      </c>
      <c r="N43" s="100">
        <v>211.9</v>
      </c>
      <c r="O43" s="100">
        <v>0</v>
      </c>
      <c r="P43" s="100">
        <v>0.72</v>
      </c>
      <c r="Q43" s="100">
        <v>6.28</v>
      </c>
    </row>
    <row r="44" spans="1:17">
      <c r="A44" s="100" t="s">
        <v>2960</v>
      </c>
      <c r="B44" s="100">
        <v>31.81</v>
      </c>
      <c r="C44" s="100">
        <v>60.72</v>
      </c>
      <c r="D44" s="100">
        <v>56.19</v>
      </c>
      <c r="E44" s="100">
        <v>14.57</v>
      </c>
      <c r="F44" s="100">
        <v>6.74</v>
      </c>
      <c r="G44" s="100">
        <v>92.37</v>
      </c>
      <c r="H44" s="100">
        <v>28.14</v>
      </c>
      <c r="I44" s="100">
        <v>6.61</v>
      </c>
      <c r="J44" s="100">
        <v>0.6</v>
      </c>
      <c r="K44" s="100">
        <v>299.20999999999998</v>
      </c>
      <c r="L44" s="100">
        <v>31.87</v>
      </c>
      <c r="M44" s="100">
        <v>41.91</v>
      </c>
      <c r="N44" s="100">
        <v>160.80000000000001</v>
      </c>
      <c r="O44" s="100">
        <v>0</v>
      </c>
      <c r="P44" s="100">
        <v>0.73</v>
      </c>
      <c r="Q44" s="100">
        <v>6.23</v>
      </c>
    </row>
    <row r="45" spans="1:17">
      <c r="A45" s="100" t="s">
        <v>2961</v>
      </c>
      <c r="B45" s="100">
        <v>29.92</v>
      </c>
      <c r="C45" s="100">
        <v>68.099999999999994</v>
      </c>
      <c r="D45" s="100">
        <v>58.53</v>
      </c>
      <c r="E45" s="100">
        <v>20.37</v>
      </c>
      <c r="F45" s="100">
        <v>8.5399999999999991</v>
      </c>
      <c r="G45" s="100">
        <v>92.37</v>
      </c>
      <c r="H45" s="100">
        <v>28.14</v>
      </c>
      <c r="I45" s="100">
        <v>6.55</v>
      </c>
      <c r="J45" s="100">
        <v>0.9</v>
      </c>
      <c r="K45" s="100">
        <v>310</v>
      </c>
      <c r="L45" s="100">
        <v>32.119999999999997</v>
      </c>
      <c r="M45" s="100">
        <v>41.95</v>
      </c>
      <c r="N45" s="100">
        <v>181.5</v>
      </c>
      <c r="O45" s="100">
        <v>0</v>
      </c>
      <c r="P45" s="100">
        <v>0.78</v>
      </c>
      <c r="Q45" s="100">
        <v>6.38</v>
      </c>
    </row>
    <row r="46" spans="1:17">
      <c r="A46" s="100" t="s">
        <v>2962</v>
      </c>
      <c r="B46" s="100">
        <v>31.17</v>
      </c>
      <c r="C46" s="100">
        <v>64.239999999999995</v>
      </c>
      <c r="D46" s="100">
        <v>57.52</v>
      </c>
      <c r="E46" s="100">
        <v>25.45</v>
      </c>
      <c r="F46" s="100">
        <v>8.43</v>
      </c>
      <c r="G46" s="100">
        <v>94.69</v>
      </c>
      <c r="H46" s="100">
        <v>27.63</v>
      </c>
      <c r="I46" s="100">
        <v>6.67</v>
      </c>
      <c r="J46" s="100">
        <v>0.69</v>
      </c>
      <c r="K46" s="100">
        <v>275.55</v>
      </c>
      <c r="L46" s="100">
        <v>31.94</v>
      </c>
      <c r="M46" s="100">
        <v>41.45</v>
      </c>
      <c r="N46" s="100">
        <v>101.4</v>
      </c>
      <c r="O46" s="100">
        <v>0</v>
      </c>
      <c r="P46" s="100">
        <v>0.8</v>
      </c>
      <c r="Q46" s="100">
        <v>6.22</v>
      </c>
    </row>
    <row r="47" spans="1:17">
      <c r="A47" s="100" t="s">
        <v>2963</v>
      </c>
      <c r="B47" s="100">
        <v>30.27</v>
      </c>
      <c r="C47" s="100">
        <v>62.18</v>
      </c>
      <c r="D47" s="100">
        <v>55.72</v>
      </c>
      <c r="E47" s="100">
        <v>41.38</v>
      </c>
      <c r="F47" s="100">
        <v>8.9</v>
      </c>
      <c r="G47" s="100">
        <v>98.01</v>
      </c>
      <c r="H47" s="100">
        <v>27.19</v>
      </c>
      <c r="I47" s="100">
        <v>6.82</v>
      </c>
      <c r="J47" s="100">
        <v>0.19</v>
      </c>
      <c r="K47" s="100">
        <v>324.49</v>
      </c>
      <c r="L47" s="100">
        <v>31.93</v>
      </c>
      <c r="M47" s="100">
        <v>41.6</v>
      </c>
      <c r="N47" s="100">
        <v>107.6</v>
      </c>
      <c r="O47" s="100">
        <v>0</v>
      </c>
      <c r="P47" s="100">
        <v>0.8</v>
      </c>
      <c r="Q47" s="100">
        <v>6.11</v>
      </c>
    </row>
    <row r="48" spans="1:17">
      <c r="A48" s="100" t="s">
        <v>2964</v>
      </c>
      <c r="B48" s="100">
        <v>26.22</v>
      </c>
      <c r="C48" s="100">
        <v>62.31</v>
      </c>
      <c r="D48" s="100">
        <v>52.54</v>
      </c>
      <c r="E48" s="100">
        <v>60.56</v>
      </c>
      <c r="F48" s="100">
        <v>13.82</v>
      </c>
      <c r="G48" s="100">
        <v>98.01</v>
      </c>
      <c r="H48" s="100">
        <v>27.19</v>
      </c>
      <c r="I48" s="100">
        <v>6.91</v>
      </c>
      <c r="J48" s="100">
        <v>0.13</v>
      </c>
      <c r="K48" s="100">
        <v>245.71</v>
      </c>
      <c r="L48" s="100">
        <v>32.11</v>
      </c>
      <c r="M48" s="100">
        <v>41.4</v>
      </c>
      <c r="N48" s="100">
        <v>106.3</v>
      </c>
      <c r="O48" s="100">
        <v>0</v>
      </c>
      <c r="P48" s="100">
        <v>0.79</v>
      </c>
      <c r="Q48" s="100">
        <v>6.14</v>
      </c>
    </row>
    <row r="49" spans="1:17">
      <c r="A49" s="100" t="s">
        <v>2965</v>
      </c>
      <c r="B49" s="100">
        <v>24.63</v>
      </c>
      <c r="C49" s="100">
        <v>58.81</v>
      </c>
      <c r="D49" s="100">
        <v>49.43</v>
      </c>
      <c r="E49" s="100">
        <v>43.22</v>
      </c>
      <c r="F49" s="100">
        <v>14.88</v>
      </c>
      <c r="G49" s="100">
        <v>98.01</v>
      </c>
      <c r="H49" s="100">
        <v>27.19</v>
      </c>
      <c r="I49" s="100">
        <v>6.92</v>
      </c>
      <c r="J49" s="100">
        <v>0.15</v>
      </c>
      <c r="K49" s="100">
        <v>122.11</v>
      </c>
      <c r="L49" s="100">
        <v>32.229999999999997</v>
      </c>
      <c r="M49" s="100">
        <v>42.88</v>
      </c>
      <c r="N49" s="100">
        <v>139.6</v>
      </c>
      <c r="O49" s="100">
        <v>0</v>
      </c>
      <c r="P49" s="100">
        <v>0.76</v>
      </c>
      <c r="Q49" s="100">
        <v>6.03</v>
      </c>
    </row>
    <row r="50" spans="1:17">
      <c r="A50" s="100" t="s">
        <v>2966</v>
      </c>
      <c r="B50" s="100">
        <v>24.63</v>
      </c>
      <c r="C50" s="100">
        <v>63.39</v>
      </c>
      <c r="D50" s="100">
        <v>51.83</v>
      </c>
      <c r="E50" s="100">
        <v>40.130000000000003</v>
      </c>
      <c r="F50" s="100">
        <v>12.99</v>
      </c>
      <c r="G50" s="100">
        <v>103.68</v>
      </c>
      <c r="H50" s="100">
        <v>30.9</v>
      </c>
      <c r="I50" s="100">
        <v>6.8</v>
      </c>
      <c r="J50" s="100">
        <v>0.21</v>
      </c>
      <c r="K50" s="100">
        <v>165.4</v>
      </c>
      <c r="L50" s="100">
        <v>32.57</v>
      </c>
      <c r="M50" s="100">
        <v>42.92</v>
      </c>
      <c r="N50" s="100">
        <v>151.19999999999999</v>
      </c>
      <c r="O50" s="100">
        <v>0</v>
      </c>
      <c r="P50" s="100">
        <v>0.79</v>
      </c>
      <c r="Q50" s="100">
        <v>6.1</v>
      </c>
    </row>
    <row r="51" spans="1:17">
      <c r="A51" s="100" t="s">
        <v>2967</v>
      </c>
      <c r="B51" s="100">
        <v>23.32</v>
      </c>
      <c r="C51" s="100">
        <v>60.78</v>
      </c>
      <c r="D51" s="100">
        <v>49.41</v>
      </c>
      <c r="E51" s="100">
        <v>61.39</v>
      </c>
      <c r="F51" s="100">
        <v>15.68</v>
      </c>
      <c r="G51" s="100">
        <v>111.8</v>
      </c>
      <c r="H51" s="100">
        <v>34.1</v>
      </c>
      <c r="I51" s="100">
        <v>6.83</v>
      </c>
      <c r="J51" s="100">
        <v>0.17</v>
      </c>
      <c r="K51" s="100">
        <v>246.02</v>
      </c>
      <c r="L51" s="100">
        <v>32.700000000000003</v>
      </c>
      <c r="M51" s="100">
        <v>42.23</v>
      </c>
      <c r="N51" s="100">
        <v>148.6</v>
      </c>
      <c r="O51" s="100">
        <v>0</v>
      </c>
      <c r="P51" s="100">
        <v>0.8</v>
      </c>
      <c r="Q51" s="100">
        <v>6.11</v>
      </c>
    </row>
    <row r="52" spans="1:17">
      <c r="A52" s="100" t="s">
        <v>2968</v>
      </c>
      <c r="B52" s="100">
        <v>23.6</v>
      </c>
      <c r="C52" s="100">
        <v>59.23</v>
      </c>
      <c r="D52" s="100">
        <v>48.83</v>
      </c>
      <c r="E52" s="100">
        <v>42.28</v>
      </c>
      <c r="F52" s="100">
        <v>15.42</v>
      </c>
      <c r="G52" s="100">
        <v>111.8</v>
      </c>
      <c r="H52" s="100">
        <v>34.1</v>
      </c>
      <c r="I52" s="100">
        <v>6.97</v>
      </c>
      <c r="J52" s="100">
        <v>0.16</v>
      </c>
      <c r="K52" s="100">
        <v>0.56999999999999995</v>
      </c>
      <c r="L52" s="100">
        <v>33.03</v>
      </c>
      <c r="M52" s="100">
        <v>40.39</v>
      </c>
      <c r="N52" s="100">
        <v>215.9</v>
      </c>
      <c r="O52" s="100">
        <v>0</v>
      </c>
      <c r="P52" s="100">
        <v>0.78</v>
      </c>
      <c r="Q52" s="100">
        <v>5.99</v>
      </c>
    </row>
    <row r="53" spans="1:17">
      <c r="A53" s="100" t="s">
        <v>2969</v>
      </c>
      <c r="B53" s="100">
        <v>25.57</v>
      </c>
      <c r="C53" s="100">
        <v>67.42</v>
      </c>
      <c r="D53" s="100">
        <v>54.69</v>
      </c>
      <c r="E53" s="100">
        <v>42.74</v>
      </c>
      <c r="F53" s="100">
        <v>12.19</v>
      </c>
      <c r="G53" s="100">
        <v>111.8</v>
      </c>
      <c r="H53" s="100">
        <v>34.1</v>
      </c>
      <c r="I53" s="100">
        <v>6.91</v>
      </c>
      <c r="J53" s="100">
        <v>0.54</v>
      </c>
      <c r="K53" s="100">
        <v>344.59</v>
      </c>
      <c r="L53" s="100">
        <v>33.090000000000003</v>
      </c>
      <c r="M53" s="100">
        <v>39.979999999999997</v>
      </c>
      <c r="N53" s="100">
        <v>203.5</v>
      </c>
      <c r="O53" s="100">
        <v>0</v>
      </c>
      <c r="P53" s="100">
        <v>0.84</v>
      </c>
      <c r="Q53" s="100">
        <v>6.1</v>
      </c>
    </row>
    <row r="54" spans="1:17">
      <c r="A54" s="100" t="s">
        <v>2970</v>
      </c>
      <c r="B54" s="100">
        <v>25.19</v>
      </c>
      <c r="C54" s="100">
        <v>62.1</v>
      </c>
      <c r="D54" s="100">
        <v>51.6</v>
      </c>
      <c r="E54" s="100">
        <v>59.95</v>
      </c>
      <c r="F54" s="100">
        <v>20.61</v>
      </c>
      <c r="G54" s="100">
        <v>114.18</v>
      </c>
      <c r="H54" s="100">
        <v>33.520000000000003</v>
      </c>
      <c r="I54" s="100">
        <v>6.97</v>
      </c>
      <c r="J54" s="100">
        <v>0.54</v>
      </c>
      <c r="K54" s="100">
        <v>37.119999999999997</v>
      </c>
      <c r="L54" s="100">
        <v>33.200000000000003</v>
      </c>
      <c r="M54" s="100">
        <v>39.97</v>
      </c>
      <c r="N54" s="100">
        <v>169.8</v>
      </c>
      <c r="O54" s="100">
        <v>0</v>
      </c>
      <c r="P54" s="100">
        <v>0.86</v>
      </c>
      <c r="Q54" s="100">
        <v>6.03</v>
      </c>
    </row>
    <row r="55" spans="1:17">
      <c r="A55" s="100" t="s">
        <v>2971</v>
      </c>
      <c r="B55" s="100">
        <v>22.94</v>
      </c>
      <c r="C55" s="100">
        <v>62.58</v>
      </c>
      <c r="D55" s="100">
        <v>50.05</v>
      </c>
      <c r="E55" s="100">
        <v>40.93</v>
      </c>
      <c r="F55" s="100">
        <v>16.93</v>
      </c>
      <c r="G55" s="100">
        <v>117.6</v>
      </c>
      <c r="H55" s="100">
        <v>33.020000000000003</v>
      </c>
      <c r="I55" s="100">
        <v>7.14</v>
      </c>
      <c r="J55" s="100">
        <v>0.28999999999999998</v>
      </c>
      <c r="K55" s="100">
        <v>305.8</v>
      </c>
      <c r="L55" s="100">
        <v>33.28</v>
      </c>
      <c r="M55" s="100">
        <v>39.47</v>
      </c>
      <c r="N55" s="100">
        <v>213.6</v>
      </c>
      <c r="O55" s="100">
        <v>0</v>
      </c>
      <c r="P55" s="100">
        <v>0.83</v>
      </c>
      <c r="Q55" s="100">
        <v>5.95</v>
      </c>
    </row>
    <row r="56" spans="1:17">
      <c r="A56" s="100" t="s">
        <v>2972</v>
      </c>
      <c r="B56" s="100">
        <v>21.13</v>
      </c>
      <c r="C56" s="100">
        <v>61.6</v>
      </c>
      <c r="D56" s="100">
        <v>48.08</v>
      </c>
      <c r="E56" s="100">
        <v>43.13</v>
      </c>
      <c r="F56" s="100">
        <v>23.78</v>
      </c>
      <c r="G56" s="100">
        <v>117.6</v>
      </c>
      <c r="H56" s="100">
        <v>33.020000000000003</v>
      </c>
      <c r="I56" s="100">
        <v>7.05</v>
      </c>
      <c r="J56" s="100">
        <v>0.49</v>
      </c>
      <c r="K56" s="100">
        <v>307.8</v>
      </c>
      <c r="L56" s="100">
        <v>33.64</v>
      </c>
      <c r="M56" s="100">
        <v>39</v>
      </c>
      <c r="N56" s="100">
        <v>443.3</v>
      </c>
      <c r="O56" s="100">
        <v>0</v>
      </c>
      <c r="P56" s="100">
        <v>0.83</v>
      </c>
      <c r="Q56" s="100">
        <v>5.98</v>
      </c>
    </row>
    <row r="57" spans="1:17">
      <c r="A57" s="100" t="s">
        <v>2973</v>
      </c>
      <c r="B57" s="100">
        <v>19.46</v>
      </c>
      <c r="C57" s="100">
        <v>58.74</v>
      </c>
      <c r="D57" s="100">
        <v>45.25</v>
      </c>
      <c r="E57" s="100">
        <v>33.17</v>
      </c>
      <c r="F57" s="100">
        <v>26.75</v>
      </c>
      <c r="G57" s="100">
        <v>117.6</v>
      </c>
      <c r="H57" s="100">
        <v>33.020000000000003</v>
      </c>
      <c r="I57" s="100">
        <v>7.04</v>
      </c>
      <c r="J57" s="100">
        <v>0.76</v>
      </c>
      <c r="K57" s="100">
        <v>298.79000000000002</v>
      </c>
      <c r="L57" s="100">
        <v>34.83</v>
      </c>
      <c r="M57" s="100">
        <v>36.79</v>
      </c>
      <c r="N57" s="100">
        <v>757.5</v>
      </c>
      <c r="O57" s="100">
        <v>0</v>
      </c>
      <c r="P57" s="100">
        <v>0.83</v>
      </c>
      <c r="Q57" s="100">
        <v>5.87</v>
      </c>
    </row>
    <row r="58" spans="1:17">
      <c r="A58" s="100" t="s">
        <v>2974</v>
      </c>
      <c r="B58" s="100">
        <v>17.93</v>
      </c>
      <c r="C58" s="100">
        <v>59.72</v>
      </c>
      <c r="D58" s="100">
        <v>44.53</v>
      </c>
      <c r="E58" s="100">
        <v>27.79</v>
      </c>
      <c r="F58" s="100">
        <v>31.4</v>
      </c>
      <c r="G58" s="100">
        <v>118.42</v>
      </c>
      <c r="H58" s="100">
        <v>35.9</v>
      </c>
      <c r="I58" s="100">
        <v>7.21</v>
      </c>
      <c r="J58" s="100">
        <v>1.04</v>
      </c>
      <c r="K58" s="100">
        <v>332.2</v>
      </c>
      <c r="L58" s="100">
        <v>35.29</v>
      </c>
      <c r="M58" s="100">
        <v>34.93</v>
      </c>
      <c r="N58" s="100">
        <v>744.1</v>
      </c>
      <c r="O58" s="100">
        <v>0</v>
      </c>
      <c r="P58" s="100">
        <v>0.85</v>
      </c>
      <c r="Q58" s="100">
        <v>5.69</v>
      </c>
    </row>
    <row r="59" spans="1:17">
      <c r="A59" s="100" t="s">
        <v>2975</v>
      </c>
      <c r="B59" s="100">
        <v>14.78</v>
      </c>
      <c r="C59" s="100">
        <v>55.83</v>
      </c>
      <c r="D59" s="100">
        <v>39.979999999999997</v>
      </c>
      <c r="E59" s="100">
        <v>29.46</v>
      </c>
      <c r="F59" s="100">
        <v>39.049999999999997</v>
      </c>
      <c r="G59" s="100">
        <v>119.61</v>
      </c>
      <c r="H59" s="100">
        <v>38.380000000000003</v>
      </c>
      <c r="I59" s="100">
        <v>7.37</v>
      </c>
      <c r="J59" s="100">
        <v>0.63</v>
      </c>
      <c r="K59" s="100">
        <v>310.01</v>
      </c>
      <c r="L59" s="100">
        <v>36.08</v>
      </c>
      <c r="M59" s="100">
        <v>32.630000000000003</v>
      </c>
      <c r="N59" s="100">
        <v>694.3</v>
      </c>
      <c r="O59" s="100">
        <v>0</v>
      </c>
      <c r="P59" s="100">
        <v>0.82</v>
      </c>
      <c r="Q59" s="100">
        <v>5.58</v>
      </c>
    </row>
    <row r="60" spans="1:17">
      <c r="A60" s="100" t="s">
        <v>2976</v>
      </c>
      <c r="B60" s="100">
        <v>13.14</v>
      </c>
      <c r="C60" s="100">
        <v>53.66</v>
      </c>
      <c r="D60" s="100">
        <v>37.53</v>
      </c>
      <c r="E60" s="100">
        <v>26.02</v>
      </c>
      <c r="F60" s="100">
        <v>32.380000000000003</v>
      </c>
      <c r="G60" s="100">
        <v>119.61</v>
      </c>
      <c r="H60" s="100">
        <v>38.380000000000003</v>
      </c>
      <c r="I60" s="100">
        <v>7.45</v>
      </c>
      <c r="J60" s="100">
        <v>0.44</v>
      </c>
      <c r="K60" s="100">
        <v>315.68</v>
      </c>
      <c r="L60" s="100">
        <v>36.950000000000003</v>
      </c>
      <c r="M60" s="100">
        <v>28.98</v>
      </c>
      <c r="N60" s="100">
        <v>793</v>
      </c>
      <c r="O60" s="100">
        <v>0</v>
      </c>
      <c r="P60" s="100">
        <v>0.77</v>
      </c>
      <c r="Q60" s="100">
        <v>5.45</v>
      </c>
    </row>
    <row r="61" spans="1:17">
      <c r="A61" s="100" t="s">
        <v>2977</v>
      </c>
      <c r="B61" s="100">
        <v>12.03</v>
      </c>
      <c r="C61" s="100">
        <v>53.89</v>
      </c>
      <c r="D61" s="100">
        <v>36.76</v>
      </c>
      <c r="E61" s="100">
        <v>20.54</v>
      </c>
      <c r="F61" s="100">
        <v>18.73</v>
      </c>
      <c r="G61" s="100">
        <v>119.61</v>
      </c>
      <c r="H61" s="100">
        <v>38.380000000000003</v>
      </c>
      <c r="I61" s="100">
        <v>7.19</v>
      </c>
      <c r="J61" s="100">
        <v>0.48</v>
      </c>
      <c r="K61" s="100">
        <v>223.17</v>
      </c>
      <c r="L61" s="100">
        <v>37.99</v>
      </c>
      <c r="M61" s="100">
        <v>25.63</v>
      </c>
      <c r="N61" s="100">
        <v>784</v>
      </c>
      <c r="O61" s="100">
        <v>0</v>
      </c>
      <c r="P61" s="100">
        <v>0.76</v>
      </c>
      <c r="Q61" s="100">
        <v>5.32</v>
      </c>
    </row>
    <row r="62" spans="1:17">
      <c r="A62" s="100" t="s">
        <v>2978</v>
      </c>
      <c r="B62" s="100">
        <v>10.53</v>
      </c>
      <c r="C62" s="100">
        <v>51.91</v>
      </c>
      <c r="D62" s="100">
        <v>34.520000000000003</v>
      </c>
      <c r="E62" s="100">
        <v>15.81</v>
      </c>
      <c r="F62" s="100">
        <v>31.92</v>
      </c>
      <c r="G62" s="100">
        <v>112.35</v>
      </c>
      <c r="H62" s="100">
        <v>36.79</v>
      </c>
      <c r="I62" s="100">
        <v>6.88</v>
      </c>
      <c r="J62" s="100">
        <v>0.19</v>
      </c>
      <c r="K62" s="100">
        <v>239.46</v>
      </c>
      <c r="L62" s="100">
        <v>38.47</v>
      </c>
      <c r="M62" s="100">
        <v>24.43</v>
      </c>
      <c r="N62" s="100">
        <v>708.2</v>
      </c>
      <c r="O62" s="100">
        <v>0</v>
      </c>
      <c r="P62" s="100">
        <v>0.72</v>
      </c>
      <c r="Q62" s="100">
        <v>5.18</v>
      </c>
    </row>
    <row r="63" spans="1:17">
      <c r="A63" s="100" t="s">
        <v>2979</v>
      </c>
      <c r="B63" s="100">
        <v>9.06</v>
      </c>
      <c r="C63" s="100">
        <v>49.66</v>
      </c>
      <c r="D63" s="100">
        <v>32.17</v>
      </c>
      <c r="E63" s="100">
        <v>19.21</v>
      </c>
      <c r="F63" s="100">
        <v>37.840000000000003</v>
      </c>
      <c r="G63" s="100">
        <v>101.96</v>
      </c>
      <c r="H63" s="100">
        <v>32.979999999999997</v>
      </c>
      <c r="I63" s="100">
        <v>6.93</v>
      </c>
      <c r="J63" s="100">
        <v>0.41</v>
      </c>
      <c r="K63" s="100">
        <v>323.24</v>
      </c>
      <c r="L63" s="100">
        <v>38.72</v>
      </c>
      <c r="M63" s="100">
        <v>24.49</v>
      </c>
      <c r="N63" s="100">
        <v>727.1</v>
      </c>
      <c r="O63" s="100">
        <v>0</v>
      </c>
      <c r="P63" s="100">
        <v>0.69</v>
      </c>
      <c r="Q63" s="100">
        <v>5.1100000000000003</v>
      </c>
    </row>
    <row r="64" spans="1:17">
      <c r="A64" s="100" t="s">
        <v>2980</v>
      </c>
      <c r="B64" s="100">
        <v>8.77</v>
      </c>
      <c r="C64" s="100">
        <v>53.45</v>
      </c>
      <c r="D64" s="100">
        <v>33.909999999999997</v>
      </c>
      <c r="E64" s="100">
        <v>11.75</v>
      </c>
      <c r="F64" s="100">
        <v>17.52</v>
      </c>
      <c r="G64" s="100">
        <v>101.96</v>
      </c>
      <c r="H64" s="100">
        <v>32.979999999999997</v>
      </c>
      <c r="I64" s="100">
        <v>6.65</v>
      </c>
      <c r="J64" s="100">
        <v>0.77</v>
      </c>
      <c r="K64" s="100">
        <v>294.97000000000003</v>
      </c>
      <c r="L64" s="100">
        <v>38.53</v>
      </c>
      <c r="M64" s="100">
        <v>24.45</v>
      </c>
      <c r="N64" s="100">
        <v>728.3</v>
      </c>
      <c r="O64" s="100">
        <v>0</v>
      </c>
      <c r="P64" s="100">
        <v>0.75</v>
      </c>
      <c r="Q64" s="100">
        <v>5.07</v>
      </c>
    </row>
    <row r="65" spans="1:17">
      <c r="A65" s="100" t="s">
        <v>2981</v>
      </c>
      <c r="B65" s="100">
        <v>7.94</v>
      </c>
      <c r="C65" s="100">
        <v>55.93</v>
      </c>
      <c r="D65" s="100">
        <v>34.54</v>
      </c>
      <c r="E65" s="100">
        <v>15.7</v>
      </c>
      <c r="F65" s="100">
        <v>32.979999999999997</v>
      </c>
      <c r="G65" s="100">
        <v>101.96</v>
      </c>
      <c r="H65" s="100">
        <v>32.979999999999997</v>
      </c>
      <c r="I65" s="100">
        <v>6.51</v>
      </c>
      <c r="J65" s="100">
        <v>0.46</v>
      </c>
      <c r="K65" s="100">
        <v>5.97</v>
      </c>
      <c r="L65" s="100">
        <v>38.979999999999997</v>
      </c>
      <c r="M65" s="100">
        <v>23.67</v>
      </c>
      <c r="N65" s="100">
        <v>565</v>
      </c>
      <c r="O65" s="100">
        <v>0</v>
      </c>
      <c r="P65" s="100">
        <v>0.71</v>
      </c>
      <c r="Q65" s="100">
        <v>5.13</v>
      </c>
    </row>
    <row r="66" spans="1:17">
      <c r="A66" s="100" t="s">
        <v>2982</v>
      </c>
      <c r="B66" s="100">
        <v>7.05</v>
      </c>
      <c r="C66" s="100">
        <v>54.21</v>
      </c>
      <c r="D66" s="100">
        <v>32.93</v>
      </c>
      <c r="E66" s="100">
        <v>17.62</v>
      </c>
      <c r="F66" s="100">
        <v>38.25</v>
      </c>
      <c r="G66" s="100">
        <v>93.27</v>
      </c>
      <c r="H66" s="100">
        <v>29.41</v>
      </c>
      <c r="I66" s="100">
        <v>6.72</v>
      </c>
      <c r="J66" s="100">
        <v>0.41</v>
      </c>
      <c r="K66" s="100">
        <v>266.06</v>
      </c>
      <c r="L66" s="100">
        <v>38.65</v>
      </c>
      <c r="M66" s="100">
        <v>24.23</v>
      </c>
      <c r="N66" s="100">
        <v>666.5</v>
      </c>
      <c r="O66" s="100">
        <v>0</v>
      </c>
      <c r="P66" s="100">
        <v>0.71</v>
      </c>
      <c r="Q66" s="100">
        <v>5.09</v>
      </c>
    </row>
    <row r="67" spans="1:17">
      <c r="A67" s="100" t="s">
        <v>2983</v>
      </c>
      <c r="B67" s="100">
        <v>6.65</v>
      </c>
      <c r="C67" s="100">
        <v>56.32</v>
      </c>
      <c r="D67" s="100">
        <v>33.71</v>
      </c>
      <c r="E67" s="100">
        <v>14.52</v>
      </c>
      <c r="F67" s="100">
        <v>26.24</v>
      </c>
      <c r="G67" s="100">
        <v>80.81</v>
      </c>
      <c r="H67" s="100">
        <v>26.34</v>
      </c>
      <c r="I67" s="100">
        <v>6.5</v>
      </c>
      <c r="J67" s="100">
        <v>0.69</v>
      </c>
      <c r="K67" s="100">
        <v>301.10000000000002</v>
      </c>
      <c r="L67" s="100">
        <v>38.909999999999997</v>
      </c>
      <c r="M67" s="100">
        <v>23.27</v>
      </c>
      <c r="N67" s="100">
        <v>610.4</v>
      </c>
      <c r="O67" s="100">
        <v>0</v>
      </c>
      <c r="P67" s="100">
        <v>0.72</v>
      </c>
      <c r="Q67" s="100">
        <v>5.01</v>
      </c>
    </row>
    <row r="68" spans="1:17">
      <c r="A68" s="100" t="s">
        <v>2984</v>
      </c>
      <c r="B68" s="100">
        <v>6.42</v>
      </c>
      <c r="C68" s="100">
        <v>53.45</v>
      </c>
      <c r="D68" s="100">
        <v>32.03</v>
      </c>
      <c r="E68" s="100">
        <v>13.01</v>
      </c>
      <c r="F68" s="100">
        <v>38.03</v>
      </c>
      <c r="G68" s="100">
        <v>80.81</v>
      </c>
      <c r="H68" s="100">
        <v>26.34</v>
      </c>
      <c r="I68" s="100">
        <v>6.47</v>
      </c>
      <c r="J68" s="100">
        <v>0.56999999999999995</v>
      </c>
      <c r="K68" s="100">
        <v>2.72</v>
      </c>
      <c r="L68" s="100">
        <v>39.159999999999997</v>
      </c>
      <c r="M68" s="100">
        <v>21.83</v>
      </c>
      <c r="N68" s="100">
        <v>607.1</v>
      </c>
      <c r="O68" s="100">
        <v>0</v>
      </c>
      <c r="P68" s="100">
        <v>0.67</v>
      </c>
      <c r="Q68" s="100">
        <v>4.9800000000000004</v>
      </c>
    </row>
    <row r="69" spans="1:17">
      <c r="A69" s="100" t="s">
        <v>2985</v>
      </c>
      <c r="B69" s="100">
        <v>5.81</v>
      </c>
      <c r="C69" s="100">
        <v>50.01</v>
      </c>
      <c r="D69" s="100">
        <v>29.74</v>
      </c>
      <c r="E69" s="100">
        <v>13.82</v>
      </c>
      <c r="F69" s="100">
        <v>38.270000000000003</v>
      </c>
      <c r="G69" s="100">
        <v>80.81</v>
      </c>
      <c r="H69" s="100">
        <v>26.34</v>
      </c>
      <c r="I69" s="100">
        <v>6.45</v>
      </c>
      <c r="J69" s="100">
        <v>0.1</v>
      </c>
      <c r="K69" s="100">
        <v>267.2</v>
      </c>
      <c r="L69" s="100">
        <v>39.869999999999997</v>
      </c>
      <c r="M69" s="100">
        <v>21.8</v>
      </c>
      <c r="N69" s="100">
        <v>572.5</v>
      </c>
      <c r="O69" s="100">
        <v>0</v>
      </c>
      <c r="P69" s="100">
        <v>0.65</v>
      </c>
      <c r="Q69" s="100">
        <v>4.92</v>
      </c>
    </row>
    <row r="70" spans="1:17">
      <c r="A70" s="100" t="s">
        <v>2986</v>
      </c>
      <c r="B70" s="100">
        <v>5.68</v>
      </c>
      <c r="C70" s="100">
        <v>50.7</v>
      </c>
      <c r="D70" s="100">
        <v>30</v>
      </c>
      <c r="E70" s="100">
        <v>10.33</v>
      </c>
      <c r="F70" s="100">
        <v>32.21</v>
      </c>
      <c r="G70" s="100">
        <v>77.37</v>
      </c>
      <c r="H70" s="100">
        <v>24.85</v>
      </c>
      <c r="I70" s="100">
        <v>5.98</v>
      </c>
      <c r="J70" s="100">
        <v>0.54</v>
      </c>
      <c r="K70" s="100">
        <v>268.83</v>
      </c>
      <c r="L70" s="100">
        <v>39.29</v>
      </c>
      <c r="M70" s="100">
        <v>22.24</v>
      </c>
      <c r="N70" s="100">
        <v>543.4</v>
      </c>
      <c r="O70" s="100">
        <v>0</v>
      </c>
      <c r="P70" s="100">
        <v>0.65</v>
      </c>
      <c r="Q70" s="100">
        <v>4.8499999999999996</v>
      </c>
    </row>
    <row r="71" spans="1:17">
      <c r="A71" s="100" t="s">
        <v>2987</v>
      </c>
      <c r="B71" s="100">
        <v>5.62</v>
      </c>
      <c r="C71" s="100">
        <v>51.23</v>
      </c>
      <c r="D71" s="100">
        <v>30.23</v>
      </c>
      <c r="E71" s="100">
        <v>9.76</v>
      </c>
      <c r="F71" s="100">
        <v>27.17</v>
      </c>
      <c r="G71" s="100">
        <v>72.44</v>
      </c>
      <c r="H71" s="100">
        <v>23.57</v>
      </c>
      <c r="I71" s="100">
        <v>5.99</v>
      </c>
      <c r="J71" s="100">
        <v>0.44</v>
      </c>
      <c r="K71" s="100">
        <v>304.11</v>
      </c>
      <c r="L71" s="100">
        <v>39.57</v>
      </c>
      <c r="M71" s="100">
        <v>21.32</v>
      </c>
      <c r="N71" s="100">
        <v>498.5</v>
      </c>
      <c r="O71" s="100">
        <v>0</v>
      </c>
      <c r="P71" s="100">
        <v>0.65</v>
      </c>
      <c r="Q71" s="100">
        <v>4.8099999999999996</v>
      </c>
    </row>
    <row r="72" spans="1:17">
      <c r="A72" s="100" t="s">
        <v>2988</v>
      </c>
      <c r="B72" s="100">
        <v>4.99</v>
      </c>
      <c r="C72" s="100">
        <v>47.58</v>
      </c>
      <c r="D72" s="100">
        <v>27.81</v>
      </c>
      <c r="E72" s="100">
        <v>9.7200000000000006</v>
      </c>
      <c r="F72" s="100">
        <v>40.4</v>
      </c>
      <c r="G72" s="100">
        <v>72.44</v>
      </c>
      <c r="H72" s="100">
        <v>23.57</v>
      </c>
      <c r="I72" s="100">
        <v>6.23</v>
      </c>
      <c r="J72" s="100">
        <v>0.23</v>
      </c>
      <c r="K72" s="100">
        <v>187.68</v>
      </c>
      <c r="L72" s="100">
        <v>39.979999999999997</v>
      </c>
      <c r="M72" s="100">
        <v>21.1</v>
      </c>
      <c r="N72" s="100">
        <v>442.6</v>
      </c>
      <c r="O72" s="100">
        <v>0</v>
      </c>
      <c r="P72" s="100">
        <v>0.61</v>
      </c>
      <c r="Q72" s="100">
        <v>4.76</v>
      </c>
    </row>
    <row r="73" spans="1:17">
      <c r="A73" s="100" t="s">
        <v>2989</v>
      </c>
      <c r="B73" s="100">
        <v>4.82</v>
      </c>
      <c r="C73" s="100">
        <v>45.59</v>
      </c>
      <c r="D73" s="100">
        <v>26.64</v>
      </c>
      <c r="E73" s="100">
        <v>11.53</v>
      </c>
      <c r="F73" s="100">
        <v>50.62</v>
      </c>
      <c r="G73" s="100">
        <v>72.44</v>
      </c>
      <c r="H73" s="100">
        <v>23.57</v>
      </c>
      <c r="I73" s="100">
        <v>5.98</v>
      </c>
      <c r="J73" s="100">
        <v>0.28000000000000003</v>
      </c>
      <c r="K73" s="100">
        <v>141.86000000000001</v>
      </c>
      <c r="L73" s="100">
        <v>40.31</v>
      </c>
      <c r="M73" s="100">
        <v>20.84</v>
      </c>
      <c r="N73" s="100">
        <v>403</v>
      </c>
      <c r="O73" s="100">
        <v>0</v>
      </c>
      <c r="P73" s="100">
        <v>0.56999999999999995</v>
      </c>
      <c r="Q73" s="100">
        <v>4.75</v>
      </c>
    </row>
    <row r="74" spans="1:17">
      <c r="A74" s="100" t="s">
        <v>2990</v>
      </c>
      <c r="B74" s="100">
        <v>4.45</v>
      </c>
      <c r="C74" s="100">
        <v>43.37</v>
      </c>
      <c r="D74" s="100">
        <v>25.18</v>
      </c>
      <c r="E74" s="100">
        <v>12.02</v>
      </c>
      <c r="F74" s="100">
        <v>50.12</v>
      </c>
      <c r="G74" s="100">
        <v>69.17</v>
      </c>
      <c r="H74" s="100">
        <v>23.67</v>
      </c>
      <c r="I74" s="100">
        <v>5.69</v>
      </c>
      <c r="J74" s="100">
        <v>0.27</v>
      </c>
      <c r="K74" s="100">
        <v>188.91</v>
      </c>
      <c r="L74" s="100">
        <v>39.74</v>
      </c>
      <c r="M74" s="100">
        <v>21.55</v>
      </c>
      <c r="N74" s="100">
        <v>342.9</v>
      </c>
      <c r="O74" s="100">
        <v>0</v>
      </c>
      <c r="P74" s="100">
        <v>0.56999999999999995</v>
      </c>
      <c r="Q74" s="100">
        <v>4.74</v>
      </c>
    </row>
    <row r="75" spans="1:17">
      <c r="A75" s="100" t="s">
        <v>2991</v>
      </c>
      <c r="B75" s="100">
        <v>4.1399999999999997</v>
      </c>
      <c r="C75" s="100">
        <v>40.47</v>
      </c>
      <c r="D75" s="100">
        <v>23.42</v>
      </c>
      <c r="E75" s="100">
        <v>12.56</v>
      </c>
      <c r="F75" s="100">
        <v>54.64</v>
      </c>
      <c r="G75" s="100">
        <v>64.489999999999995</v>
      </c>
      <c r="H75" s="100">
        <v>23.75</v>
      </c>
      <c r="I75" s="100">
        <v>5.32</v>
      </c>
      <c r="J75" s="100">
        <v>0.32</v>
      </c>
      <c r="K75" s="100">
        <v>163.58000000000001</v>
      </c>
      <c r="L75" s="100">
        <v>39.979999999999997</v>
      </c>
      <c r="M75" s="100">
        <v>21.82</v>
      </c>
      <c r="N75" s="100">
        <v>281.3</v>
      </c>
      <c r="O75" s="100">
        <v>0</v>
      </c>
      <c r="P75" s="100">
        <v>0.54</v>
      </c>
      <c r="Q75" s="100">
        <v>4.68</v>
      </c>
    </row>
    <row r="76" spans="1:17">
      <c r="A76" s="100" t="s">
        <v>2992</v>
      </c>
      <c r="B76" s="100">
        <v>3.94</v>
      </c>
      <c r="C76" s="100">
        <v>41.19</v>
      </c>
      <c r="D76" s="100">
        <v>23.63</v>
      </c>
      <c r="E76" s="100">
        <v>12.44</v>
      </c>
      <c r="F76" s="100">
        <v>52.2</v>
      </c>
      <c r="G76" s="100">
        <v>64.489999999999995</v>
      </c>
      <c r="H76" s="100">
        <v>23.75</v>
      </c>
      <c r="I76" s="100">
        <v>5.09</v>
      </c>
      <c r="J76" s="100">
        <v>0.27</v>
      </c>
      <c r="K76" s="100">
        <v>261.86</v>
      </c>
      <c r="L76" s="100">
        <v>39.42</v>
      </c>
      <c r="M76" s="100">
        <v>22.82</v>
      </c>
      <c r="N76" s="100">
        <v>152.4</v>
      </c>
      <c r="O76" s="100">
        <v>0</v>
      </c>
      <c r="P76" s="100">
        <v>0.55000000000000004</v>
      </c>
      <c r="Q76" s="100">
        <v>4.6500000000000004</v>
      </c>
    </row>
    <row r="77" spans="1:17">
      <c r="A77" s="100" t="s">
        <v>2993</v>
      </c>
      <c r="B77" s="100">
        <v>4.79</v>
      </c>
      <c r="C77" s="100">
        <v>48.3</v>
      </c>
      <c r="D77" s="100">
        <v>28.03</v>
      </c>
      <c r="E77" s="100">
        <v>14.5</v>
      </c>
      <c r="F77" s="100">
        <v>49.26</v>
      </c>
      <c r="G77" s="100">
        <v>64.489999999999995</v>
      </c>
      <c r="H77" s="100">
        <v>23.75</v>
      </c>
      <c r="I77" s="100">
        <v>4.82</v>
      </c>
      <c r="J77" s="100">
        <v>0.14000000000000001</v>
      </c>
      <c r="K77" s="100">
        <v>55.19</v>
      </c>
      <c r="L77" s="100">
        <v>38.700000000000003</v>
      </c>
      <c r="M77" s="100">
        <v>23.12</v>
      </c>
      <c r="N77" s="100">
        <v>98.1</v>
      </c>
      <c r="O77" s="100">
        <v>0</v>
      </c>
      <c r="P77" s="100">
        <v>0.59</v>
      </c>
      <c r="Q77" s="100">
        <v>4.6100000000000003</v>
      </c>
    </row>
    <row r="78" spans="1:17">
      <c r="A78" s="100" t="s">
        <v>2994</v>
      </c>
      <c r="B78" s="100">
        <v>3.62</v>
      </c>
      <c r="C78" s="100">
        <v>37.869999999999997</v>
      </c>
      <c r="D78" s="100">
        <v>21.64</v>
      </c>
      <c r="E78" s="100">
        <v>17.97</v>
      </c>
      <c r="F78" s="100">
        <v>75.510000000000005</v>
      </c>
      <c r="G78" s="100">
        <v>61.72</v>
      </c>
      <c r="H78" s="100">
        <v>23.57</v>
      </c>
      <c r="I78" s="100">
        <v>4.97</v>
      </c>
      <c r="J78" s="100">
        <v>0.23</v>
      </c>
      <c r="K78" s="100">
        <v>184.08</v>
      </c>
      <c r="L78" s="100">
        <v>38.340000000000003</v>
      </c>
      <c r="M78" s="100">
        <v>24.77</v>
      </c>
      <c r="N78" s="100">
        <v>114.2</v>
      </c>
      <c r="O78" s="100">
        <v>0</v>
      </c>
      <c r="P78" s="100">
        <v>0.5</v>
      </c>
      <c r="Q78" s="100">
        <v>4.63</v>
      </c>
    </row>
    <row r="79" spans="1:17">
      <c r="A79" s="100" t="s">
        <v>2995</v>
      </c>
      <c r="B79" s="100">
        <v>3.24</v>
      </c>
      <c r="C79" s="100">
        <v>33.6</v>
      </c>
      <c r="D79" s="100">
        <v>19.11</v>
      </c>
      <c r="E79" s="100">
        <v>16.95</v>
      </c>
      <c r="F79" s="100">
        <v>75.89</v>
      </c>
      <c r="G79" s="100">
        <v>57.75</v>
      </c>
      <c r="H79" s="100">
        <v>23.42</v>
      </c>
      <c r="I79" s="100">
        <v>4.83</v>
      </c>
      <c r="J79" s="100">
        <v>0.26</v>
      </c>
      <c r="K79" s="100">
        <v>174.43</v>
      </c>
      <c r="L79" s="100">
        <v>37.93</v>
      </c>
      <c r="M79" s="100">
        <v>25.6</v>
      </c>
      <c r="N79" s="100">
        <v>49.5</v>
      </c>
      <c r="O79" s="100">
        <v>0</v>
      </c>
      <c r="P79" s="100">
        <v>0.48</v>
      </c>
      <c r="Q79" s="100">
        <v>4.5999999999999996</v>
      </c>
    </row>
    <row r="80" spans="1:17">
      <c r="A80" s="100" t="s">
        <v>2996</v>
      </c>
      <c r="B80" s="100">
        <v>3.07</v>
      </c>
      <c r="C80" s="100">
        <v>33.299999999999997</v>
      </c>
      <c r="D80" s="100">
        <v>18.809999999999999</v>
      </c>
      <c r="E80" s="100">
        <v>15.68</v>
      </c>
      <c r="F80" s="100">
        <v>73.069999999999993</v>
      </c>
      <c r="G80" s="100">
        <v>57.75</v>
      </c>
      <c r="H80" s="100">
        <v>23.42</v>
      </c>
      <c r="I80" s="100">
        <v>4.3499999999999996</v>
      </c>
      <c r="J80" s="100">
        <v>0.2</v>
      </c>
      <c r="K80" s="100">
        <v>168.03</v>
      </c>
      <c r="L80" s="100">
        <v>37.06</v>
      </c>
      <c r="M80" s="100">
        <v>28.33</v>
      </c>
      <c r="N80" s="100">
        <v>28.7</v>
      </c>
      <c r="O80" s="100">
        <v>0</v>
      </c>
      <c r="P80" s="100">
        <v>0.49</v>
      </c>
      <c r="Q80" s="100">
        <v>4.5599999999999996</v>
      </c>
    </row>
    <row r="81" spans="1:17">
      <c r="A81" s="100" t="s">
        <v>2997</v>
      </c>
      <c r="B81" s="100">
        <v>2.98</v>
      </c>
      <c r="C81" s="100">
        <v>32.49</v>
      </c>
      <c r="D81" s="100">
        <v>18.32</v>
      </c>
      <c r="E81" s="100">
        <v>10.3</v>
      </c>
      <c r="F81" s="100">
        <v>72.91</v>
      </c>
      <c r="G81" s="100">
        <v>57.75</v>
      </c>
      <c r="H81" s="100">
        <v>23.42</v>
      </c>
      <c r="I81" s="100">
        <v>4.1100000000000003</v>
      </c>
      <c r="J81" s="100">
        <v>0.24</v>
      </c>
      <c r="K81" s="100">
        <v>161.83000000000001</v>
      </c>
      <c r="L81" s="100">
        <v>36.26</v>
      </c>
      <c r="M81" s="100">
        <v>29.52</v>
      </c>
      <c r="N81" s="100">
        <v>8.9</v>
      </c>
      <c r="O81" s="100">
        <v>0</v>
      </c>
      <c r="P81" s="100">
        <v>0.48</v>
      </c>
      <c r="Q81" s="100">
        <v>4.53</v>
      </c>
    </row>
    <row r="82" spans="1:17">
      <c r="A82" s="100" t="s">
        <v>2998</v>
      </c>
      <c r="B82" s="100">
        <v>2.95</v>
      </c>
      <c r="C82" s="100">
        <v>32.229999999999997</v>
      </c>
      <c r="D82" s="100">
        <v>18.16</v>
      </c>
      <c r="E82" s="100">
        <v>14.01</v>
      </c>
      <c r="F82" s="100">
        <v>66.63</v>
      </c>
      <c r="G82" s="100">
        <v>56.89</v>
      </c>
      <c r="H82" s="100">
        <v>22.5</v>
      </c>
      <c r="I82" s="100">
        <v>4.03</v>
      </c>
      <c r="J82" s="100">
        <v>0.3</v>
      </c>
      <c r="K82" s="100">
        <v>158.13</v>
      </c>
      <c r="L82" s="100">
        <v>35.590000000000003</v>
      </c>
      <c r="M82" s="100">
        <v>31.97</v>
      </c>
      <c r="N82" s="100">
        <v>0.8</v>
      </c>
      <c r="O82" s="100">
        <v>0</v>
      </c>
      <c r="P82" s="100">
        <v>0.51</v>
      </c>
      <c r="Q82" s="100">
        <v>4.49</v>
      </c>
    </row>
    <row r="83" spans="1:17">
      <c r="A83" s="100" t="s">
        <v>2999</v>
      </c>
      <c r="B83" s="100">
        <v>3.74</v>
      </c>
      <c r="C83" s="100">
        <v>42.52</v>
      </c>
      <c r="D83" s="100">
        <v>24.17</v>
      </c>
      <c r="E83" s="100">
        <v>11.73</v>
      </c>
      <c r="F83" s="100">
        <v>39.93</v>
      </c>
      <c r="G83" s="100">
        <v>55.66</v>
      </c>
      <c r="H83" s="100">
        <v>21.7</v>
      </c>
      <c r="I83" s="100">
        <v>4.05</v>
      </c>
      <c r="J83" s="100">
        <v>0.23</v>
      </c>
      <c r="K83" s="100">
        <v>162.63</v>
      </c>
      <c r="L83" s="100">
        <v>34.71</v>
      </c>
      <c r="M83" s="100">
        <v>34.270000000000003</v>
      </c>
      <c r="N83" s="100">
        <v>0</v>
      </c>
      <c r="O83" s="100">
        <v>0</v>
      </c>
      <c r="P83" s="100">
        <v>0.56000000000000005</v>
      </c>
      <c r="Q83" s="100">
        <v>4.4800000000000004</v>
      </c>
    </row>
    <row r="84" spans="1:17">
      <c r="A84" s="100" t="s">
        <v>3000</v>
      </c>
      <c r="B84" s="100">
        <v>3.74</v>
      </c>
      <c r="C84" s="100">
        <v>43</v>
      </c>
      <c r="D84" s="100">
        <v>24.42</v>
      </c>
      <c r="E84" s="100">
        <v>12.94</v>
      </c>
      <c r="F84" s="100">
        <v>43.78</v>
      </c>
      <c r="G84" s="100">
        <v>55.66</v>
      </c>
      <c r="H84" s="100">
        <v>21.7</v>
      </c>
      <c r="I84" s="100">
        <v>4.51</v>
      </c>
      <c r="J84" s="100">
        <v>0.19</v>
      </c>
      <c r="K84" s="100">
        <v>166.04</v>
      </c>
      <c r="L84" s="100">
        <v>34.130000000000003</v>
      </c>
      <c r="M84" s="100">
        <v>35.94</v>
      </c>
      <c r="N84" s="100">
        <v>0</v>
      </c>
      <c r="O84" s="100">
        <v>0</v>
      </c>
      <c r="P84" s="100">
        <v>0.62</v>
      </c>
      <c r="Q84" s="100">
        <v>4.63</v>
      </c>
    </row>
    <row r="85" spans="1:17">
      <c r="A85" s="100" t="s">
        <v>3001</v>
      </c>
      <c r="B85" s="100">
        <v>3.95</v>
      </c>
      <c r="C85" s="100">
        <v>40.840000000000003</v>
      </c>
      <c r="D85" s="100">
        <v>23.46</v>
      </c>
      <c r="E85" s="100">
        <v>12.29</v>
      </c>
      <c r="F85" s="100">
        <v>41.27</v>
      </c>
      <c r="G85" s="100">
        <v>55.66</v>
      </c>
      <c r="H85" s="100">
        <v>21.7</v>
      </c>
      <c r="I85" s="100">
        <v>5.17</v>
      </c>
      <c r="J85" s="100">
        <v>0.14000000000000001</v>
      </c>
      <c r="K85" s="100">
        <v>162.72</v>
      </c>
      <c r="L85" s="100">
        <v>33.56</v>
      </c>
      <c r="M85" s="100">
        <v>37.58</v>
      </c>
      <c r="N85" s="100">
        <v>0</v>
      </c>
      <c r="O85" s="100">
        <v>0</v>
      </c>
      <c r="P85" s="100">
        <v>0.65</v>
      </c>
      <c r="Q85" s="100">
        <v>4.62</v>
      </c>
    </row>
    <row r="86" spans="1:17">
      <c r="A86" s="100" t="s">
        <v>3002</v>
      </c>
      <c r="B86" s="100">
        <v>3.86</v>
      </c>
      <c r="C86" s="100">
        <v>38.44</v>
      </c>
      <c r="D86" s="100">
        <v>22.13</v>
      </c>
      <c r="E86" s="100">
        <v>12.97</v>
      </c>
      <c r="F86" s="100">
        <v>45.68</v>
      </c>
      <c r="G86" s="100">
        <v>58.74</v>
      </c>
      <c r="H86" s="100">
        <v>21.88</v>
      </c>
      <c r="I86" s="100">
        <v>5.58</v>
      </c>
      <c r="J86" s="100">
        <v>0.19</v>
      </c>
      <c r="K86" s="100">
        <v>147.25</v>
      </c>
      <c r="L86" s="100">
        <v>33.340000000000003</v>
      </c>
      <c r="M86" s="100">
        <v>38.11</v>
      </c>
      <c r="N86" s="100">
        <v>0</v>
      </c>
      <c r="O86" s="100">
        <v>0</v>
      </c>
      <c r="P86" s="100">
        <v>0.71</v>
      </c>
      <c r="Q86" s="100">
        <v>4.5999999999999996</v>
      </c>
    </row>
    <row r="87" spans="1:17">
      <c r="A87" s="100" t="s">
        <v>3003</v>
      </c>
      <c r="B87" s="100">
        <v>3.86</v>
      </c>
      <c r="C87" s="100">
        <v>37.119999999999997</v>
      </c>
      <c r="D87" s="100">
        <v>21.45</v>
      </c>
      <c r="E87" s="100">
        <v>14.39</v>
      </c>
      <c r="F87" s="100">
        <v>44.52</v>
      </c>
      <c r="G87" s="100">
        <v>63.15</v>
      </c>
      <c r="H87" s="100">
        <v>22.33</v>
      </c>
      <c r="I87" s="100">
        <v>5.84</v>
      </c>
      <c r="J87" s="100">
        <v>0.19</v>
      </c>
      <c r="K87" s="100">
        <v>155.13</v>
      </c>
      <c r="L87" s="100">
        <v>32.99</v>
      </c>
      <c r="M87" s="100">
        <v>39.06</v>
      </c>
      <c r="N87" s="100">
        <v>0</v>
      </c>
      <c r="O87" s="100">
        <v>0</v>
      </c>
      <c r="P87" s="100">
        <v>0.69</v>
      </c>
      <c r="Q87" s="100">
        <v>4.5599999999999996</v>
      </c>
    </row>
    <row r="88" spans="1:17">
      <c r="A88" s="100" t="s">
        <v>3004</v>
      </c>
      <c r="B88" s="100">
        <v>4.82</v>
      </c>
      <c r="C88" s="100">
        <v>47.48</v>
      </c>
      <c r="D88" s="100">
        <v>27.62</v>
      </c>
      <c r="E88" s="100">
        <v>11.29</v>
      </c>
      <c r="F88" s="100">
        <v>28.57</v>
      </c>
      <c r="G88" s="100">
        <v>63.15</v>
      </c>
      <c r="H88" s="100">
        <v>22.33</v>
      </c>
      <c r="I88" s="100">
        <v>6.46</v>
      </c>
      <c r="J88" s="100">
        <v>0.14000000000000001</v>
      </c>
      <c r="K88" s="100">
        <v>148.19</v>
      </c>
      <c r="L88" s="100">
        <v>32.78</v>
      </c>
      <c r="M88" s="100">
        <v>39.67</v>
      </c>
      <c r="N88" s="100">
        <v>0</v>
      </c>
      <c r="O88" s="100">
        <v>0</v>
      </c>
      <c r="P88" s="100">
        <v>0.69</v>
      </c>
      <c r="Q88" s="100">
        <v>4.66</v>
      </c>
    </row>
    <row r="89" spans="1:17">
      <c r="A89" s="100" t="s">
        <v>3005</v>
      </c>
      <c r="B89" s="100">
        <v>4.7300000000000004</v>
      </c>
      <c r="C89" s="100">
        <v>45.46</v>
      </c>
      <c r="D89" s="100">
        <v>26.5</v>
      </c>
      <c r="E89" s="100">
        <v>13.53</v>
      </c>
      <c r="F89" s="100">
        <v>44.17</v>
      </c>
      <c r="G89" s="100">
        <v>63.15</v>
      </c>
      <c r="H89" s="100">
        <v>22.33</v>
      </c>
      <c r="I89" s="100">
        <v>6.84</v>
      </c>
      <c r="J89" s="100">
        <v>0.16</v>
      </c>
      <c r="K89" s="100">
        <v>190.86</v>
      </c>
      <c r="L89" s="100">
        <v>32.53</v>
      </c>
      <c r="M89" s="100">
        <v>38.630000000000003</v>
      </c>
      <c r="N89" s="100">
        <v>0</v>
      </c>
      <c r="O89" s="100">
        <v>0</v>
      </c>
      <c r="P89" s="100">
        <v>0.69</v>
      </c>
      <c r="Q89" s="100">
        <v>4.83</v>
      </c>
    </row>
    <row r="90" spans="1:17">
      <c r="A90" s="100" t="s">
        <v>3006</v>
      </c>
      <c r="B90" s="100">
        <v>5.2</v>
      </c>
      <c r="C90" s="100">
        <v>44.02</v>
      </c>
      <c r="D90" s="100">
        <v>26.12</v>
      </c>
      <c r="E90" s="100">
        <v>13.69</v>
      </c>
      <c r="F90" s="100">
        <v>36.520000000000003</v>
      </c>
      <c r="G90" s="100">
        <v>63.43</v>
      </c>
      <c r="H90" s="100">
        <v>21.38</v>
      </c>
      <c r="I90" s="100">
        <v>6.66</v>
      </c>
      <c r="J90" s="100">
        <v>0.16</v>
      </c>
      <c r="K90" s="100">
        <v>174.37</v>
      </c>
      <c r="L90" s="100">
        <v>32.1</v>
      </c>
      <c r="M90" s="100">
        <v>40.49</v>
      </c>
      <c r="N90" s="100">
        <v>0</v>
      </c>
      <c r="O90" s="100">
        <v>0</v>
      </c>
      <c r="P90" s="100">
        <v>0.69</v>
      </c>
      <c r="Q90" s="100">
        <v>4.74</v>
      </c>
    </row>
    <row r="91" spans="1:17">
      <c r="A91" s="100" t="s">
        <v>3007</v>
      </c>
      <c r="B91" s="100">
        <v>6.07</v>
      </c>
      <c r="C91" s="100">
        <v>54.02</v>
      </c>
      <c r="D91" s="100">
        <v>32.049999999999997</v>
      </c>
      <c r="E91" s="100">
        <v>11.12</v>
      </c>
      <c r="F91" s="100">
        <v>24.88</v>
      </c>
      <c r="G91" s="100">
        <v>63.83</v>
      </c>
      <c r="H91" s="100">
        <v>20.56</v>
      </c>
      <c r="I91" s="100">
        <v>6.51</v>
      </c>
      <c r="J91" s="100">
        <v>0.18</v>
      </c>
      <c r="K91" s="100">
        <v>164.62</v>
      </c>
      <c r="L91" s="100">
        <v>31.89</v>
      </c>
      <c r="M91" s="100">
        <v>43.09</v>
      </c>
      <c r="N91" s="100">
        <v>0</v>
      </c>
      <c r="O91" s="100">
        <v>0</v>
      </c>
      <c r="P91" s="100">
        <v>0.76</v>
      </c>
      <c r="Q91" s="100">
        <v>4.87</v>
      </c>
    </row>
    <row r="92" spans="1:17">
      <c r="A92" s="100" t="s">
        <v>3008</v>
      </c>
      <c r="B92" s="100">
        <v>5.68</v>
      </c>
      <c r="C92" s="100">
        <v>46.43</v>
      </c>
      <c r="D92" s="100">
        <v>27.76</v>
      </c>
      <c r="E92" s="100">
        <v>12.16</v>
      </c>
      <c r="F92" s="100">
        <v>27.38</v>
      </c>
      <c r="G92" s="100">
        <v>63.83</v>
      </c>
      <c r="H92" s="100">
        <v>20.56</v>
      </c>
      <c r="I92" s="100">
        <v>6.46</v>
      </c>
      <c r="J92" s="100">
        <v>0.24</v>
      </c>
      <c r="K92" s="100">
        <v>157.30000000000001</v>
      </c>
      <c r="L92" s="100">
        <v>31.8</v>
      </c>
      <c r="M92" s="100">
        <v>43.45</v>
      </c>
      <c r="N92" s="100">
        <v>0</v>
      </c>
      <c r="O92" s="100">
        <v>0</v>
      </c>
      <c r="P92" s="100">
        <v>0.77</v>
      </c>
      <c r="Q92" s="100">
        <v>4.8499999999999996</v>
      </c>
    </row>
    <row r="93" spans="1:17">
      <c r="A93" s="100" t="s">
        <v>3009</v>
      </c>
      <c r="B93" s="100">
        <v>6.8</v>
      </c>
      <c r="C93" s="100">
        <v>51.38</v>
      </c>
      <c r="D93" s="100">
        <v>31.25</v>
      </c>
      <c r="E93" s="100">
        <v>10.15</v>
      </c>
      <c r="F93" s="100">
        <v>16.02</v>
      </c>
      <c r="G93" s="100">
        <v>63.83</v>
      </c>
      <c r="H93" s="100">
        <v>20.56</v>
      </c>
      <c r="I93" s="100">
        <v>7.01</v>
      </c>
      <c r="J93" s="100">
        <v>0.22</v>
      </c>
      <c r="K93" s="100">
        <v>163.33000000000001</v>
      </c>
      <c r="L93" s="100">
        <v>31.65</v>
      </c>
      <c r="M93" s="100">
        <v>44.27</v>
      </c>
      <c r="N93" s="100">
        <v>0</v>
      </c>
      <c r="O93" s="100">
        <v>0</v>
      </c>
      <c r="P93" s="100">
        <v>0.75</v>
      </c>
      <c r="Q93" s="100">
        <v>4.8</v>
      </c>
    </row>
    <row r="94" spans="1:17">
      <c r="A94" s="100" t="s">
        <v>3010</v>
      </c>
      <c r="B94" s="100">
        <v>6.67</v>
      </c>
      <c r="C94" s="100">
        <v>49.68</v>
      </c>
      <c r="D94" s="100">
        <v>30.26</v>
      </c>
      <c r="E94" s="100">
        <v>11.91</v>
      </c>
      <c r="F94" s="100">
        <v>23.2</v>
      </c>
      <c r="G94" s="100">
        <v>65.989999999999995</v>
      </c>
      <c r="H94" s="100">
        <v>23.11</v>
      </c>
      <c r="I94" s="100">
        <v>7.16</v>
      </c>
      <c r="J94" s="100">
        <v>0.16</v>
      </c>
      <c r="K94" s="100">
        <v>202.09</v>
      </c>
      <c r="L94" s="100">
        <v>31.49</v>
      </c>
      <c r="M94" s="100">
        <v>43.57</v>
      </c>
      <c r="N94" s="100">
        <v>0</v>
      </c>
      <c r="O94" s="100">
        <v>0</v>
      </c>
      <c r="P94" s="100">
        <v>0.8</v>
      </c>
      <c r="Q94" s="100">
        <v>4.8899999999999997</v>
      </c>
    </row>
    <row r="95" spans="1:17">
      <c r="A95" s="100" t="s">
        <v>3011</v>
      </c>
      <c r="B95" s="100">
        <v>7.49</v>
      </c>
      <c r="C95" s="100">
        <v>53.55</v>
      </c>
      <c r="D95" s="100">
        <v>32.93</v>
      </c>
      <c r="E95" s="100">
        <v>10.72</v>
      </c>
      <c r="F95" s="100">
        <v>18.79</v>
      </c>
      <c r="G95" s="100">
        <v>69.08</v>
      </c>
      <c r="H95" s="100">
        <v>25.3</v>
      </c>
      <c r="I95" s="100">
        <v>7.13</v>
      </c>
      <c r="J95" s="100">
        <v>0.14000000000000001</v>
      </c>
      <c r="K95" s="100">
        <v>169.59</v>
      </c>
      <c r="L95" s="100">
        <v>31.21</v>
      </c>
      <c r="M95" s="100">
        <v>45.72</v>
      </c>
      <c r="N95" s="100">
        <v>0</v>
      </c>
      <c r="O95" s="100">
        <v>0</v>
      </c>
      <c r="P95" s="100">
        <v>0.79</v>
      </c>
      <c r="Q95" s="100">
        <v>4.93</v>
      </c>
    </row>
    <row r="96" spans="1:17">
      <c r="A96" s="100" t="s">
        <v>3012</v>
      </c>
      <c r="B96" s="100">
        <v>7.86</v>
      </c>
      <c r="C96" s="100">
        <v>51.64</v>
      </c>
      <c r="D96" s="100">
        <v>32.24</v>
      </c>
      <c r="E96" s="100">
        <v>11.25</v>
      </c>
      <c r="F96" s="100">
        <v>18</v>
      </c>
      <c r="G96" s="100">
        <v>69.08</v>
      </c>
      <c r="H96" s="100">
        <v>25.3</v>
      </c>
      <c r="I96" s="100">
        <v>7.23</v>
      </c>
      <c r="J96" s="100">
        <v>0.19</v>
      </c>
      <c r="K96" s="100">
        <v>186.2</v>
      </c>
      <c r="L96" s="100">
        <v>31.19</v>
      </c>
      <c r="M96" s="100">
        <v>45.49</v>
      </c>
      <c r="N96" s="100">
        <v>0</v>
      </c>
      <c r="O96" s="100">
        <v>0</v>
      </c>
      <c r="P96" s="100">
        <v>0.81</v>
      </c>
      <c r="Q96" s="100">
        <v>4.93</v>
      </c>
    </row>
    <row r="97" spans="1:21">
      <c r="A97" s="100" t="s">
        <v>3013</v>
      </c>
      <c r="B97" s="100">
        <v>8.06</v>
      </c>
      <c r="C97" s="100">
        <v>50.21</v>
      </c>
      <c r="D97" s="100">
        <v>31.65</v>
      </c>
      <c r="E97" s="100">
        <v>10.96</v>
      </c>
      <c r="F97" s="100">
        <v>17.420000000000002</v>
      </c>
      <c r="G97" s="100">
        <v>69.08</v>
      </c>
      <c r="H97" s="100">
        <v>25.3</v>
      </c>
      <c r="I97" s="100">
        <v>7.36</v>
      </c>
      <c r="J97" s="100">
        <v>0.2</v>
      </c>
      <c r="K97" s="100">
        <v>181.25</v>
      </c>
      <c r="L97" s="100">
        <v>30.86</v>
      </c>
      <c r="M97" s="100">
        <v>47.97</v>
      </c>
      <c r="N97" s="100">
        <v>0</v>
      </c>
      <c r="O97" s="100">
        <v>0</v>
      </c>
      <c r="P97" s="100">
        <v>0.83</v>
      </c>
      <c r="Q97" s="100">
        <v>4.9800000000000004</v>
      </c>
    </row>
    <row r="98" spans="1:21">
      <c r="A98" s="100" t="s">
        <v>3014</v>
      </c>
      <c r="B98" s="100">
        <v>8.7899999999999991</v>
      </c>
      <c r="C98" s="100">
        <v>51.29</v>
      </c>
      <c r="D98" s="100">
        <v>32.799999999999997</v>
      </c>
      <c r="E98" s="100">
        <v>10.96</v>
      </c>
      <c r="F98" s="100">
        <v>19.239999999999998</v>
      </c>
      <c r="G98" s="100">
        <v>69.03</v>
      </c>
      <c r="H98" s="100">
        <v>25.33</v>
      </c>
      <c r="I98" s="100">
        <v>7.6</v>
      </c>
      <c r="J98" s="100">
        <v>0.18</v>
      </c>
      <c r="K98" s="100">
        <v>164.73</v>
      </c>
      <c r="L98" s="100">
        <v>30.92</v>
      </c>
      <c r="M98" s="100">
        <v>46.75</v>
      </c>
      <c r="N98" s="100">
        <v>0</v>
      </c>
      <c r="O98" s="100">
        <v>0</v>
      </c>
      <c r="P98" s="100">
        <v>0.83</v>
      </c>
      <c r="Q98" s="100">
        <v>4.95</v>
      </c>
    </row>
    <row r="99" spans="1:21">
      <c r="A99" s="100" t="s">
        <v>3015</v>
      </c>
      <c r="B99" s="100">
        <v>8.65</v>
      </c>
      <c r="C99" s="100">
        <v>49.03</v>
      </c>
      <c r="D99" s="100">
        <v>31.51</v>
      </c>
      <c r="E99" s="100">
        <v>13.02</v>
      </c>
      <c r="F99" s="100">
        <v>18.37</v>
      </c>
      <c r="G99" s="100">
        <v>68.959999999999994</v>
      </c>
      <c r="H99" s="100">
        <v>25.36</v>
      </c>
      <c r="I99" s="100">
        <v>7.74</v>
      </c>
      <c r="J99" s="100">
        <v>0.44</v>
      </c>
      <c r="K99" s="100">
        <v>249.02</v>
      </c>
      <c r="L99" s="100">
        <v>30.82</v>
      </c>
      <c r="M99" s="100">
        <v>46.49</v>
      </c>
      <c r="N99" s="100">
        <v>0</v>
      </c>
      <c r="O99" s="100">
        <v>0</v>
      </c>
      <c r="P99" s="100">
        <v>0.79</v>
      </c>
      <c r="Q99" s="100">
        <v>4.97</v>
      </c>
    </row>
    <row r="100" spans="1:21">
      <c r="A100" s="100" t="s">
        <v>3016</v>
      </c>
      <c r="B100" s="100">
        <v>9.76</v>
      </c>
      <c r="C100" s="100">
        <v>56.38</v>
      </c>
      <c r="D100" s="100">
        <v>36.24</v>
      </c>
      <c r="E100" s="100">
        <v>10.4</v>
      </c>
      <c r="F100" s="100">
        <v>9.77</v>
      </c>
      <c r="G100" s="100">
        <v>68.959999999999994</v>
      </c>
      <c r="H100" s="100">
        <v>25.36</v>
      </c>
      <c r="I100" s="100">
        <v>7.75</v>
      </c>
      <c r="J100" s="100">
        <v>0.19</v>
      </c>
      <c r="K100" s="100">
        <v>206.59</v>
      </c>
      <c r="L100" s="100">
        <v>31.24</v>
      </c>
      <c r="M100" s="100">
        <v>46.06</v>
      </c>
      <c r="N100" s="100">
        <v>0</v>
      </c>
      <c r="O100" s="100">
        <v>0</v>
      </c>
      <c r="P100" s="100">
        <v>0.93</v>
      </c>
      <c r="Q100" s="100">
        <v>5.0199999999999996</v>
      </c>
    </row>
    <row r="101" spans="1:21">
      <c r="A101" s="100" t="s">
        <v>3017</v>
      </c>
      <c r="B101" s="100">
        <v>8.75</v>
      </c>
      <c r="C101" s="100">
        <v>54.33</v>
      </c>
      <c r="D101" s="100">
        <v>34.36</v>
      </c>
      <c r="E101" s="100">
        <v>13.29</v>
      </c>
      <c r="F101" s="100">
        <v>18.920000000000002</v>
      </c>
      <c r="G101" s="100">
        <v>68.959999999999994</v>
      </c>
      <c r="H101" s="100">
        <v>25.36</v>
      </c>
      <c r="I101" s="100">
        <v>7.97</v>
      </c>
      <c r="J101" s="100">
        <v>0.15</v>
      </c>
      <c r="K101" s="100">
        <v>212.56</v>
      </c>
      <c r="L101" s="100">
        <v>31.79</v>
      </c>
      <c r="M101" s="100">
        <v>42.23</v>
      </c>
      <c r="N101" s="100">
        <v>0</v>
      </c>
      <c r="O101" s="100">
        <v>0</v>
      </c>
      <c r="P101" s="100">
        <v>0.95</v>
      </c>
      <c r="Q101" s="100">
        <v>5.01</v>
      </c>
    </row>
    <row r="102" spans="1:21">
      <c r="A102" s="100" t="s">
        <v>3018</v>
      </c>
      <c r="B102" s="100">
        <v>9.4600000000000009</v>
      </c>
      <c r="C102" s="100">
        <v>55.54</v>
      </c>
      <c r="D102" s="100">
        <v>35.56</v>
      </c>
      <c r="E102" s="100">
        <v>11.78</v>
      </c>
      <c r="F102" s="100">
        <v>15.18</v>
      </c>
      <c r="G102" s="100">
        <v>73.17</v>
      </c>
      <c r="H102" s="100">
        <v>26.06</v>
      </c>
      <c r="I102" s="100">
        <v>8.76</v>
      </c>
      <c r="J102" s="100">
        <v>0.2</v>
      </c>
      <c r="K102" s="100">
        <v>157.16999999999999</v>
      </c>
      <c r="L102" s="100">
        <v>31.42</v>
      </c>
      <c r="M102" s="100">
        <v>45.8</v>
      </c>
      <c r="N102" s="100">
        <v>0</v>
      </c>
      <c r="O102" s="100">
        <v>0</v>
      </c>
      <c r="P102" s="100">
        <v>0.92</v>
      </c>
      <c r="Q102" s="100">
        <v>5.13</v>
      </c>
    </row>
    <row r="103" spans="1:21">
      <c r="A103" s="100" t="s">
        <v>3019</v>
      </c>
      <c r="B103" s="100">
        <v>10.73</v>
      </c>
      <c r="C103" s="100">
        <v>57.39</v>
      </c>
      <c r="D103" s="100">
        <v>37.549999999999997</v>
      </c>
      <c r="E103" s="100">
        <v>10.79</v>
      </c>
      <c r="F103" s="100">
        <v>18.71</v>
      </c>
      <c r="G103" s="100">
        <v>79.19</v>
      </c>
      <c r="H103" s="100">
        <v>26.66</v>
      </c>
      <c r="I103" s="100">
        <v>9.11</v>
      </c>
      <c r="J103" s="100">
        <v>0.1</v>
      </c>
      <c r="K103" s="100">
        <v>168.09</v>
      </c>
      <c r="L103" s="100">
        <v>30.76</v>
      </c>
      <c r="M103" s="100">
        <v>47.01</v>
      </c>
      <c r="N103" s="100">
        <v>0</v>
      </c>
      <c r="O103" s="100">
        <v>0</v>
      </c>
      <c r="P103" s="100">
        <v>0.89</v>
      </c>
      <c r="Q103" s="100">
        <v>5.2</v>
      </c>
    </row>
    <row r="104" spans="1:21">
      <c r="A104" s="100" t="s">
        <v>3020</v>
      </c>
      <c r="B104" s="100">
        <v>9.3000000000000007</v>
      </c>
      <c r="C104" s="100">
        <v>47.61</v>
      </c>
      <c r="D104" s="100">
        <v>31.28</v>
      </c>
      <c r="E104" s="100">
        <v>13.73</v>
      </c>
      <c r="F104" s="100">
        <v>33.26</v>
      </c>
      <c r="G104" s="100">
        <v>79.19</v>
      </c>
      <c r="H104" s="100">
        <v>26.66</v>
      </c>
      <c r="I104" s="100">
        <v>8.65</v>
      </c>
      <c r="J104" s="100">
        <v>0.12</v>
      </c>
      <c r="K104" s="100">
        <v>263.63</v>
      </c>
      <c r="L104" s="100">
        <v>30.98</v>
      </c>
      <c r="M104" s="100">
        <v>43.52</v>
      </c>
      <c r="N104" s="100">
        <v>0</v>
      </c>
      <c r="O104" s="100">
        <v>0</v>
      </c>
      <c r="P104" s="100">
        <v>0.83</v>
      </c>
      <c r="Q104" s="100">
        <v>5.15</v>
      </c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57" t="s">
        <v>48</v>
      </c>
      <c r="B106" s="158">
        <f>MIN(B9:B104)</f>
        <v>2.95</v>
      </c>
      <c r="C106" s="158">
        <f>MIN(C9:C104)</f>
        <v>32.229999999999997</v>
      </c>
      <c r="D106" s="158">
        <f t="shared" ref="D106:Q106" si="0">MIN(D9:D104)</f>
        <v>18.16</v>
      </c>
      <c r="E106" s="158">
        <f t="shared" si="0"/>
        <v>7.36</v>
      </c>
      <c r="F106" s="158">
        <f t="shared" si="0"/>
        <v>4.96</v>
      </c>
      <c r="G106" s="158">
        <f t="shared" si="0"/>
        <v>40.04</v>
      </c>
      <c r="H106" s="158">
        <f t="shared" si="0"/>
        <v>12.01</v>
      </c>
      <c r="I106" s="158">
        <f t="shared" si="0"/>
        <v>4.03</v>
      </c>
      <c r="J106" s="158">
        <f t="shared" si="0"/>
        <v>0.1</v>
      </c>
      <c r="K106" s="158">
        <f t="shared" si="0"/>
        <v>0.56999999999999995</v>
      </c>
      <c r="L106" s="158">
        <f t="shared" si="0"/>
        <v>27.97</v>
      </c>
      <c r="M106" s="158">
        <f t="shared" si="0"/>
        <v>20.84</v>
      </c>
      <c r="N106" s="158">
        <f t="shared" si="0"/>
        <v>0</v>
      </c>
      <c r="O106" s="158">
        <f t="shared" si="0"/>
        <v>0</v>
      </c>
      <c r="P106" s="158">
        <f t="shared" si="0"/>
        <v>0.48</v>
      </c>
      <c r="Q106" s="158">
        <f t="shared" si="0"/>
        <v>4.4800000000000004</v>
      </c>
      <c r="R106" s="158"/>
      <c r="S106" s="158"/>
      <c r="T106" s="158"/>
      <c r="U106" s="158"/>
    </row>
    <row r="107" spans="1:21">
      <c r="A107" s="157" t="s">
        <v>49</v>
      </c>
      <c r="B107" s="157">
        <f>MAX(B9:B104)</f>
        <v>33.049999999999997</v>
      </c>
      <c r="C107" s="157">
        <f t="shared" ref="C107:Q107" si="1">MAX(C9:C104)</f>
        <v>68.099999999999994</v>
      </c>
      <c r="D107" s="157">
        <f t="shared" si="1"/>
        <v>59.46</v>
      </c>
      <c r="E107" s="157">
        <f t="shared" si="1"/>
        <v>61.39</v>
      </c>
      <c r="F107" s="157">
        <f t="shared" si="1"/>
        <v>75.89</v>
      </c>
      <c r="G107" s="157">
        <f t="shared" si="1"/>
        <v>119.61</v>
      </c>
      <c r="H107" s="157">
        <f t="shared" si="1"/>
        <v>38.380000000000003</v>
      </c>
      <c r="I107" s="157">
        <f t="shared" si="1"/>
        <v>9.11</v>
      </c>
      <c r="J107" s="157">
        <f t="shared" si="1"/>
        <v>1.1100000000000001</v>
      </c>
      <c r="K107" s="157">
        <f t="shared" si="1"/>
        <v>344.59</v>
      </c>
      <c r="L107" s="157">
        <f t="shared" si="1"/>
        <v>40.31</v>
      </c>
      <c r="M107" s="157">
        <f t="shared" si="1"/>
        <v>50.48</v>
      </c>
      <c r="N107" s="157">
        <f t="shared" si="1"/>
        <v>793</v>
      </c>
      <c r="O107" s="157">
        <f t="shared" si="1"/>
        <v>0</v>
      </c>
      <c r="P107" s="157">
        <f t="shared" si="1"/>
        <v>0.95</v>
      </c>
      <c r="Q107" s="157">
        <f t="shared" si="1"/>
        <v>6.38</v>
      </c>
      <c r="R107" s="157"/>
      <c r="S107" s="157"/>
      <c r="T107" s="157"/>
      <c r="U107" s="157"/>
    </row>
    <row r="108" spans="1:21">
      <c r="A108" s="157" t="s">
        <v>50</v>
      </c>
      <c r="B108" s="158">
        <f>AVERAGE(B9:B104)</f>
        <v>17.589375</v>
      </c>
      <c r="C108" s="158">
        <f t="shared" ref="C108:Q108" si="2">AVERAGE(C9:C104)</f>
        <v>55.428333333333335</v>
      </c>
      <c r="D108" s="158">
        <f t="shared" si="2"/>
        <v>42.019479166666677</v>
      </c>
      <c r="E108" s="158">
        <f t="shared" si="2"/>
        <v>18.079479166666669</v>
      </c>
      <c r="F108" s="158">
        <f t="shared" si="2"/>
        <v>22.503229166666671</v>
      </c>
      <c r="G108" s="158">
        <f t="shared" si="2"/>
        <v>72.644270833333309</v>
      </c>
      <c r="H108" s="158">
        <f t="shared" si="2"/>
        <v>23.844791666666676</v>
      </c>
      <c r="I108" s="158">
        <f t="shared" si="2"/>
        <v>6.2306250000000007</v>
      </c>
      <c r="J108" s="158">
        <f t="shared" si="2"/>
        <v>0.41197916666666651</v>
      </c>
      <c r="K108" s="158">
        <f t="shared" si="2"/>
        <v>155.01166666666671</v>
      </c>
      <c r="L108" s="158">
        <f t="shared" si="2"/>
        <v>32.728645833333339</v>
      </c>
      <c r="M108" s="158">
        <f t="shared" si="2"/>
        <v>39.425416666666656</v>
      </c>
      <c r="N108" s="158">
        <f t="shared" si="2"/>
        <v>161.56145833333332</v>
      </c>
      <c r="O108" s="158">
        <f t="shared" si="2"/>
        <v>0</v>
      </c>
      <c r="P108" s="158">
        <f t="shared" si="2"/>
        <v>0.6963541666666665</v>
      </c>
      <c r="Q108" s="158">
        <f t="shared" si="2"/>
        <v>5.503020833333335</v>
      </c>
      <c r="R108" s="158"/>
      <c r="S108" s="158"/>
      <c r="T108" s="158"/>
      <c r="U108" s="158"/>
    </row>
    <row r="109" spans="1:21">
      <c r="A109" s="157" t="s">
        <v>51</v>
      </c>
      <c r="B109" s="158">
        <f>STDEV(B9:B104)</f>
        <v>11.023556385973478</v>
      </c>
      <c r="C109" s="158">
        <f t="shared" ref="C109:Q109" si="3">STDEV(C9:C104)</f>
        <v>9.0701337153337676</v>
      </c>
      <c r="D109" s="158">
        <f t="shared" si="3"/>
        <v>13.201060433464509</v>
      </c>
      <c r="E109" s="158">
        <f t="shared" si="3"/>
        <v>12.893880586075797</v>
      </c>
      <c r="F109" s="158">
        <f t="shared" si="3"/>
        <v>18.366602212470887</v>
      </c>
      <c r="G109" s="158">
        <f t="shared" si="3"/>
        <v>22.864171408550259</v>
      </c>
      <c r="H109" s="158">
        <f t="shared" si="3"/>
        <v>6.4413481719225141</v>
      </c>
      <c r="I109" s="158">
        <f t="shared" si="3"/>
        <v>0.98003739187526118</v>
      </c>
      <c r="J109" s="158">
        <f t="shared" si="3"/>
        <v>0.26303339708572454</v>
      </c>
      <c r="K109" s="158">
        <f t="shared" si="3"/>
        <v>101.96111094216948</v>
      </c>
      <c r="L109" s="158">
        <f t="shared" si="3"/>
        <v>3.8244423383758313</v>
      </c>
      <c r="M109" s="158">
        <f t="shared" si="3"/>
        <v>9.4604840108368684</v>
      </c>
      <c r="N109" s="158">
        <f t="shared" si="3"/>
        <v>242.16500002218655</v>
      </c>
      <c r="O109" s="158">
        <f t="shared" si="3"/>
        <v>0</v>
      </c>
      <c r="P109" s="158">
        <f t="shared" si="3"/>
        <v>0.10522276911558336</v>
      </c>
      <c r="Q109" s="158">
        <f t="shared" si="3"/>
        <v>0.63565154272755209</v>
      </c>
      <c r="R109" s="158"/>
      <c r="S109" s="158"/>
      <c r="T109" s="158"/>
      <c r="U109" s="158"/>
    </row>
    <row r="110" spans="1:21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</row>
    <row r="111" spans="1:21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1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60"/>
      <c r="O113" s="160"/>
      <c r="P113" s="160"/>
      <c r="Q113" s="160"/>
      <c r="R113" s="160"/>
      <c r="S113" s="160"/>
      <c r="T113" s="160"/>
      <c r="U113" s="160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32" t="s">
        <v>55</v>
      </c>
      <c r="B115" s="164" t="s">
        <v>56</v>
      </c>
      <c r="C115" s="164"/>
      <c r="D115" s="16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143"/>
      <c r="E116" s="143"/>
      <c r="F116" s="143"/>
      <c r="G116" s="143"/>
      <c r="H116" s="143"/>
      <c r="I116" s="1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V117"/>
  <sheetViews>
    <sheetView zoomScale="85" zoomScaleNormal="85" workbookViewId="0">
      <pane ySplit="1" topLeftCell="A7" activePane="bottomLeft" state="frozen"/>
      <selection pane="bottomLef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30/05/2023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3021</v>
      </c>
      <c r="B9" s="100">
        <v>10.85</v>
      </c>
      <c r="C9" s="100">
        <v>52.62</v>
      </c>
      <c r="D9" s="100">
        <v>35.14</v>
      </c>
      <c r="E9" s="100">
        <v>11.07</v>
      </c>
      <c r="F9" s="100">
        <v>18.63</v>
      </c>
      <c r="G9" s="100">
        <v>79.19</v>
      </c>
      <c r="H9" s="100">
        <v>26.66</v>
      </c>
      <c r="I9" s="100">
        <v>8.25</v>
      </c>
      <c r="J9" s="100">
        <v>0.1</v>
      </c>
      <c r="K9" s="100">
        <v>214.8</v>
      </c>
      <c r="L9" s="100">
        <v>30.87</v>
      </c>
      <c r="M9" s="100">
        <v>44.15</v>
      </c>
      <c r="N9" s="100">
        <v>0</v>
      </c>
      <c r="O9" s="100">
        <v>0</v>
      </c>
      <c r="P9" s="100">
        <v>0.83</v>
      </c>
      <c r="Q9" s="100">
        <v>5.05</v>
      </c>
    </row>
    <row r="10" spans="1:21" customFormat="1">
      <c r="A10" s="100" t="s">
        <v>3022</v>
      </c>
      <c r="B10" s="100">
        <v>9.09</v>
      </c>
      <c r="C10" s="100">
        <v>48.6</v>
      </c>
      <c r="D10" s="100">
        <v>31.64</v>
      </c>
      <c r="E10" s="100">
        <v>12.24</v>
      </c>
      <c r="F10" s="100">
        <v>31.15</v>
      </c>
      <c r="G10" s="100">
        <v>78.23</v>
      </c>
      <c r="H10" s="100">
        <v>27.13</v>
      </c>
      <c r="I10" s="100">
        <v>7.8</v>
      </c>
      <c r="J10" s="100">
        <v>0.1</v>
      </c>
      <c r="K10" s="100">
        <v>206.44</v>
      </c>
      <c r="L10" s="100">
        <v>30.64</v>
      </c>
      <c r="M10" s="100">
        <v>45.12</v>
      </c>
      <c r="N10" s="100">
        <v>0</v>
      </c>
      <c r="O10" s="100">
        <v>0</v>
      </c>
      <c r="P10" s="100">
        <v>0.82</v>
      </c>
      <c r="Q10" s="100">
        <v>5.19</v>
      </c>
    </row>
    <row r="11" spans="1:21" customFormat="1">
      <c r="A11" s="100" t="s">
        <v>3023</v>
      </c>
      <c r="B11" s="100">
        <v>11.03</v>
      </c>
      <c r="C11" s="100">
        <v>55.37</v>
      </c>
      <c r="D11" s="100">
        <v>36.729999999999997</v>
      </c>
      <c r="E11" s="100">
        <v>10.47</v>
      </c>
      <c r="F11" s="100">
        <v>17.22</v>
      </c>
      <c r="G11" s="100">
        <v>76.849999999999994</v>
      </c>
      <c r="H11" s="100">
        <v>27.53</v>
      </c>
      <c r="I11" s="100">
        <v>7.67</v>
      </c>
      <c r="J11" s="100">
        <v>0.13</v>
      </c>
      <c r="K11" s="100">
        <v>172.09</v>
      </c>
      <c r="L11" s="100">
        <v>30.57</v>
      </c>
      <c r="M11" s="100">
        <v>45.25</v>
      </c>
      <c r="N11" s="100">
        <v>0</v>
      </c>
      <c r="O11" s="100">
        <v>0</v>
      </c>
      <c r="P11" s="100">
        <v>0.84</v>
      </c>
      <c r="Q11" s="100">
        <v>5.14</v>
      </c>
    </row>
    <row r="12" spans="1:21" customFormat="1">
      <c r="A12" s="100" t="s">
        <v>3024</v>
      </c>
      <c r="B12" s="100">
        <v>10.34</v>
      </c>
      <c r="C12" s="100">
        <v>51.26</v>
      </c>
      <c r="D12" s="100">
        <v>34.03</v>
      </c>
      <c r="E12" s="100">
        <v>10.39</v>
      </c>
      <c r="F12" s="100">
        <v>20.2</v>
      </c>
      <c r="G12" s="100">
        <v>76.849999999999994</v>
      </c>
      <c r="H12" s="100">
        <v>27.53</v>
      </c>
      <c r="I12" s="100">
        <v>7.69</v>
      </c>
      <c r="J12" s="100">
        <v>0.16</v>
      </c>
      <c r="K12" s="100">
        <v>160.22</v>
      </c>
      <c r="L12" s="100">
        <v>30.13</v>
      </c>
      <c r="M12" s="100">
        <v>48.94</v>
      </c>
      <c r="N12" s="100">
        <v>0</v>
      </c>
      <c r="O12" s="100">
        <v>0</v>
      </c>
      <c r="P12" s="100">
        <v>0.82</v>
      </c>
      <c r="Q12" s="100">
        <v>5.16</v>
      </c>
    </row>
    <row r="13" spans="1:21" customFormat="1">
      <c r="A13" s="100" t="s">
        <v>3025</v>
      </c>
      <c r="B13" s="100">
        <v>11.7</v>
      </c>
      <c r="C13" s="100">
        <v>56.35</v>
      </c>
      <c r="D13" s="100">
        <v>37.78</v>
      </c>
      <c r="E13" s="100">
        <v>8.6</v>
      </c>
      <c r="F13" s="100">
        <v>13.09</v>
      </c>
      <c r="G13" s="100">
        <v>76.849999999999994</v>
      </c>
      <c r="H13" s="100">
        <v>27.53</v>
      </c>
      <c r="I13" s="100">
        <v>7.54</v>
      </c>
      <c r="J13" s="100">
        <v>0.11</v>
      </c>
      <c r="K13" s="100">
        <v>156.36000000000001</v>
      </c>
      <c r="L13" s="100">
        <v>29.67</v>
      </c>
      <c r="M13" s="100">
        <v>49.67</v>
      </c>
      <c r="N13" s="100">
        <v>0</v>
      </c>
      <c r="O13" s="100">
        <v>0</v>
      </c>
      <c r="P13" s="100">
        <v>0.84</v>
      </c>
      <c r="Q13" s="100">
        <v>5.13</v>
      </c>
    </row>
    <row r="14" spans="1:21" customFormat="1">
      <c r="A14" s="100" t="s">
        <v>3026</v>
      </c>
      <c r="B14" s="100">
        <v>10.199999999999999</v>
      </c>
      <c r="C14" s="100">
        <v>46.92</v>
      </c>
      <c r="D14" s="100">
        <v>31.65</v>
      </c>
      <c r="E14" s="100">
        <v>9.85</v>
      </c>
      <c r="F14" s="100">
        <v>26.75</v>
      </c>
      <c r="G14" s="100">
        <v>71.73</v>
      </c>
      <c r="H14" s="100">
        <v>27.87</v>
      </c>
      <c r="I14" s="100">
        <v>7.6</v>
      </c>
      <c r="J14" s="100">
        <v>0.18</v>
      </c>
      <c r="K14" s="100">
        <v>207.74</v>
      </c>
      <c r="L14" s="100">
        <v>29.86</v>
      </c>
      <c r="M14" s="100">
        <v>49.48</v>
      </c>
      <c r="N14" s="100">
        <v>0</v>
      </c>
      <c r="O14" s="100">
        <v>0</v>
      </c>
      <c r="P14" s="100">
        <v>0.78</v>
      </c>
      <c r="Q14" s="100">
        <v>5.18</v>
      </c>
    </row>
    <row r="15" spans="1:21" customFormat="1">
      <c r="A15" s="100" t="s">
        <v>3027</v>
      </c>
      <c r="B15" s="100">
        <v>11.96</v>
      </c>
      <c r="C15" s="100">
        <v>54.6</v>
      </c>
      <c r="D15" s="100">
        <v>37.08</v>
      </c>
      <c r="E15" s="100">
        <v>8.6300000000000008</v>
      </c>
      <c r="F15" s="100">
        <v>13.43</v>
      </c>
      <c r="G15" s="100">
        <v>64.39</v>
      </c>
      <c r="H15" s="100">
        <v>28.67</v>
      </c>
      <c r="I15" s="100">
        <v>7.52</v>
      </c>
      <c r="J15" s="100">
        <v>0.22</v>
      </c>
      <c r="K15" s="100">
        <v>238.94</v>
      </c>
      <c r="L15" s="100">
        <v>30.02</v>
      </c>
      <c r="M15" s="100">
        <v>49.45</v>
      </c>
      <c r="N15" s="100">
        <v>0</v>
      </c>
      <c r="O15" s="100">
        <v>0</v>
      </c>
      <c r="P15" s="100">
        <v>0.81</v>
      </c>
      <c r="Q15" s="100">
        <v>5.15</v>
      </c>
    </row>
    <row r="16" spans="1:21" customFormat="1">
      <c r="A16" s="100" t="s">
        <v>3028</v>
      </c>
      <c r="B16" s="100">
        <v>11.58</v>
      </c>
      <c r="C16" s="100">
        <v>51.24</v>
      </c>
      <c r="D16" s="100">
        <v>35.01</v>
      </c>
      <c r="E16" s="100">
        <v>8.92</v>
      </c>
      <c r="F16" s="100">
        <v>17.04</v>
      </c>
      <c r="G16" s="100">
        <v>64.39</v>
      </c>
      <c r="H16" s="100">
        <v>28.67</v>
      </c>
      <c r="I16" s="100">
        <v>7.13</v>
      </c>
      <c r="J16" s="100">
        <v>0.09</v>
      </c>
      <c r="K16" s="100">
        <v>153.37</v>
      </c>
      <c r="L16" s="100">
        <v>29.82</v>
      </c>
      <c r="M16" s="100">
        <v>50.87</v>
      </c>
      <c r="N16" s="100">
        <v>0</v>
      </c>
      <c r="O16" s="100">
        <v>0</v>
      </c>
      <c r="P16" s="100">
        <v>0.8</v>
      </c>
      <c r="Q16" s="100">
        <v>5.18</v>
      </c>
    </row>
    <row r="17" spans="1:17" customFormat="1">
      <c r="A17" s="100" t="s">
        <v>3029</v>
      </c>
      <c r="B17" s="100">
        <v>12.15</v>
      </c>
      <c r="C17" s="100">
        <v>55.59</v>
      </c>
      <c r="D17" s="100">
        <v>37.74</v>
      </c>
      <c r="E17" s="100">
        <v>6.43</v>
      </c>
      <c r="F17" s="100">
        <v>15.47</v>
      </c>
      <c r="G17" s="100">
        <v>64.39</v>
      </c>
      <c r="H17" s="100">
        <v>28.67</v>
      </c>
      <c r="I17" s="100">
        <v>7.12</v>
      </c>
      <c r="J17" s="100">
        <v>0.16</v>
      </c>
      <c r="K17" s="100">
        <v>220.2</v>
      </c>
      <c r="L17" s="100">
        <v>29.65</v>
      </c>
      <c r="M17" s="100">
        <v>51.6</v>
      </c>
      <c r="N17" s="100">
        <v>0</v>
      </c>
      <c r="O17" s="100">
        <v>0</v>
      </c>
      <c r="P17" s="100">
        <v>0.8</v>
      </c>
      <c r="Q17" s="100">
        <v>5.22</v>
      </c>
    </row>
    <row r="18" spans="1:17" customFormat="1">
      <c r="A18" s="100" t="s">
        <v>3030</v>
      </c>
      <c r="B18" s="100">
        <v>11.98</v>
      </c>
      <c r="C18" s="100">
        <v>50.27</v>
      </c>
      <c r="D18" s="100">
        <v>34.83</v>
      </c>
      <c r="E18" s="100">
        <v>7.38</v>
      </c>
      <c r="F18" s="100">
        <v>16.12</v>
      </c>
      <c r="G18" s="100">
        <v>59.77</v>
      </c>
      <c r="H18" s="100">
        <v>27.6</v>
      </c>
      <c r="I18" s="100">
        <v>7.26</v>
      </c>
      <c r="J18" s="100">
        <v>0.16</v>
      </c>
      <c r="K18" s="100">
        <v>180.68</v>
      </c>
      <c r="L18" s="100">
        <v>29.74</v>
      </c>
      <c r="M18" s="100">
        <v>51.35</v>
      </c>
      <c r="N18" s="100">
        <v>0</v>
      </c>
      <c r="O18" s="100">
        <v>0</v>
      </c>
      <c r="P18" s="100">
        <v>0.78</v>
      </c>
      <c r="Q18" s="100">
        <v>5.17</v>
      </c>
    </row>
    <row r="19" spans="1:17" customFormat="1">
      <c r="A19" s="100" t="s">
        <v>3031</v>
      </c>
      <c r="B19" s="100">
        <v>13.06</v>
      </c>
      <c r="C19" s="100">
        <v>56.19</v>
      </c>
      <c r="D19" s="100">
        <v>38.78</v>
      </c>
      <c r="E19" s="100">
        <v>7.15</v>
      </c>
      <c r="F19" s="100">
        <v>11.58</v>
      </c>
      <c r="G19" s="100">
        <v>53.15</v>
      </c>
      <c r="H19" s="100">
        <v>26.67</v>
      </c>
      <c r="I19" s="100">
        <v>7.16</v>
      </c>
      <c r="J19" s="100">
        <v>0.11</v>
      </c>
      <c r="K19" s="100">
        <v>174.54</v>
      </c>
      <c r="L19" s="100">
        <v>29.3</v>
      </c>
      <c r="M19" s="100">
        <v>53.74</v>
      </c>
      <c r="N19" s="100">
        <v>0</v>
      </c>
      <c r="O19" s="100">
        <v>0</v>
      </c>
      <c r="P19" s="100">
        <v>0.8</v>
      </c>
      <c r="Q19" s="100">
        <v>5.28</v>
      </c>
    </row>
    <row r="20" spans="1:17" customFormat="1">
      <c r="A20" s="100" t="s">
        <v>3032</v>
      </c>
      <c r="B20" s="100">
        <v>12.81</v>
      </c>
      <c r="C20" s="100">
        <v>50.8</v>
      </c>
      <c r="D20" s="100">
        <v>35.770000000000003</v>
      </c>
      <c r="E20" s="100">
        <v>7.32</v>
      </c>
      <c r="F20" s="100">
        <v>11.97</v>
      </c>
      <c r="G20" s="100">
        <v>53.15</v>
      </c>
      <c r="H20" s="100">
        <v>26.67</v>
      </c>
      <c r="I20" s="100">
        <v>7.02</v>
      </c>
      <c r="J20" s="100">
        <v>0.14000000000000001</v>
      </c>
      <c r="K20" s="100">
        <v>226.56</v>
      </c>
      <c r="L20" s="100">
        <v>29.1</v>
      </c>
      <c r="M20" s="100">
        <v>54.99</v>
      </c>
      <c r="N20" s="100">
        <v>0</v>
      </c>
      <c r="O20" s="100">
        <v>0</v>
      </c>
      <c r="P20" s="100">
        <v>0.78</v>
      </c>
      <c r="Q20" s="100">
        <v>5.23</v>
      </c>
    </row>
    <row r="21" spans="1:17" customFormat="1">
      <c r="A21" s="100" t="s">
        <v>3033</v>
      </c>
      <c r="B21" s="100">
        <v>13.36</v>
      </c>
      <c r="C21" s="100">
        <v>56.44</v>
      </c>
      <c r="D21" s="100">
        <v>39.159999999999997</v>
      </c>
      <c r="E21" s="100">
        <v>7.61</v>
      </c>
      <c r="F21" s="100">
        <v>13.65</v>
      </c>
      <c r="G21" s="100">
        <v>53.15</v>
      </c>
      <c r="H21" s="100">
        <v>26.67</v>
      </c>
      <c r="I21" s="100">
        <v>7.11</v>
      </c>
      <c r="J21" s="100">
        <v>0.1</v>
      </c>
      <c r="K21" s="100">
        <v>229.86</v>
      </c>
      <c r="L21" s="100">
        <v>29.18</v>
      </c>
      <c r="M21" s="100">
        <v>54.92</v>
      </c>
      <c r="N21" s="100">
        <v>0</v>
      </c>
      <c r="O21" s="100">
        <v>0</v>
      </c>
      <c r="P21" s="100">
        <v>0.77</v>
      </c>
      <c r="Q21" s="100">
        <v>5.3</v>
      </c>
    </row>
    <row r="22" spans="1:17" customFormat="1">
      <c r="A22" s="100" t="s">
        <v>3034</v>
      </c>
      <c r="B22" s="100">
        <v>13.49</v>
      </c>
      <c r="C22" s="100">
        <v>50.68</v>
      </c>
      <c r="D22" s="100">
        <v>36.26</v>
      </c>
      <c r="E22" s="100">
        <v>6.34</v>
      </c>
      <c r="F22" s="100">
        <v>13.24</v>
      </c>
      <c r="G22" s="100">
        <v>50.69</v>
      </c>
      <c r="H22" s="100">
        <v>24.73</v>
      </c>
      <c r="I22" s="100">
        <v>6.91</v>
      </c>
      <c r="J22" s="100">
        <v>0.11</v>
      </c>
      <c r="K22" s="100">
        <v>222.32</v>
      </c>
      <c r="L22" s="100">
        <v>29.07</v>
      </c>
      <c r="M22" s="100">
        <v>55.33</v>
      </c>
      <c r="N22" s="100">
        <v>0</v>
      </c>
      <c r="O22" s="100">
        <v>0</v>
      </c>
      <c r="P22" s="100">
        <v>0.75</v>
      </c>
      <c r="Q22" s="100">
        <v>5.2</v>
      </c>
    </row>
    <row r="23" spans="1:17" customFormat="1">
      <c r="A23" s="100" t="s">
        <v>3035</v>
      </c>
      <c r="B23" s="100">
        <v>14.3</v>
      </c>
      <c r="C23" s="100">
        <v>56.45</v>
      </c>
      <c r="D23" s="100">
        <v>39.909999999999997</v>
      </c>
      <c r="E23" s="100">
        <v>6.79</v>
      </c>
      <c r="F23" s="100">
        <v>13.31</v>
      </c>
      <c r="G23" s="100">
        <v>47.01</v>
      </c>
      <c r="H23" s="100">
        <v>23.06</v>
      </c>
      <c r="I23" s="100">
        <v>6.77</v>
      </c>
      <c r="J23" s="100">
        <v>0.09</v>
      </c>
      <c r="K23" s="100">
        <v>187.76</v>
      </c>
      <c r="L23" s="100">
        <v>29.03</v>
      </c>
      <c r="M23" s="100">
        <v>55.21</v>
      </c>
      <c r="N23" s="100">
        <v>0</v>
      </c>
      <c r="O23" s="100">
        <v>0</v>
      </c>
      <c r="P23" s="100">
        <v>0.75</v>
      </c>
      <c r="Q23" s="100">
        <v>5.31</v>
      </c>
    </row>
    <row r="24" spans="1:17" customFormat="1">
      <c r="A24" s="100" t="s">
        <v>3036</v>
      </c>
      <c r="B24" s="100">
        <v>15.11</v>
      </c>
      <c r="C24" s="100">
        <v>52.92</v>
      </c>
      <c r="D24" s="100">
        <v>38.72</v>
      </c>
      <c r="E24" s="100">
        <v>6.56</v>
      </c>
      <c r="F24" s="100">
        <v>9.66</v>
      </c>
      <c r="G24" s="100">
        <v>47.01</v>
      </c>
      <c r="H24" s="100">
        <v>23.06</v>
      </c>
      <c r="I24" s="100">
        <v>6.56</v>
      </c>
      <c r="J24" s="100">
        <v>0.12</v>
      </c>
      <c r="K24" s="100">
        <v>134.65</v>
      </c>
      <c r="L24" s="100">
        <v>28.9</v>
      </c>
      <c r="M24" s="100">
        <v>55.89</v>
      </c>
      <c r="N24" s="100">
        <v>0</v>
      </c>
      <c r="O24" s="100">
        <v>0</v>
      </c>
      <c r="P24" s="100">
        <v>0.74</v>
      </c>
      <c r="Q24" s="100">
        <v>5.25</v>
      </c>
    </row>
    <row r="25" spans="1:17" customFormat="1">
      <c r="A25" s="100" t="s">
        <v>3037</v>
      </c>
      <c r="B25" s="100">
        <v>15.8</v>
      </c>
      <c r="C25" s="100">
        <v>57.63</v>
      </c>
      <c r="D25" s="100">
        <v>41.73</v>
      </c>
      <c r="E25" s="100">
        <v>6.76</v>
      </c>
      <c r="F25" s="100">
        <v>7.61</v>
      </c>
      <c r="G25" s="100">
        <v>47.01</v>
      </c>
      <c r="H25" s="100">
        <v>23.06</v>
      </c>
      <c r="I25" s="100">
        <v>6.67</v>
      </c>
      <c r="J25" s="100">
        <v>0.21</v>
      </c>
      <c r="K25" s="100">
        <v>249.28</v>
      </c>
      <c r="L25" s="100">
        <v>28.48</v>
      </c>
      <c r="M25" s="100">
        <v>57.73</v>
      </c>
      <c r="N25" s="100">
        <v>0</v>
      </c>
      <c r="O25" s="100">
        <v>0</v>
      </c>
      <c r="P25" s="100">
        <v>0.75</v>
      </c>
      <c r="Q25" s="100">
        <v>5.32</v>
      </c>
    </row>
    <row r="26" spans="1:17" customFormat="1">
      <c r="A26" s="100" t="s">
        <v>3038</v>
      </c>
      <c r="B26" s="100">
        <v>16.440000000000001</v>
      </c>
      <c r="C26" s="100">
        <v>56.85</v>
      </c>
      <c r="D26" s="100">
        <v>41.84</v>
      </c>
      <c r="E26" s="100">
        <v>6.19</v>
      </c>
      <c r="F26" s="100">
        <v>7.57</v>
      </c>
      <c r="G26" s="100">
        <v>46.86</v>
      </c>
      <c r="H26" s="100">
        <v>22.45</v>
      </c>
      <c r="I26" s="100">
        <v>6.5</v>
      </c>
      <c r="J26" s="100">
        <v>0.12</v>
      </c>
      <c r="K26" s="100">
        <v>196.59</v>
      </c>
      <c r="L26" s="100">
        <v>28.48</v>
      </c>
      <c r="M26" s="100">
        <v>57.38</v>
      </c>
      <c r="N26" s="100">
        <v>0</v>
      </c>
      <c r="O26" s="100">
        <v>0</v>
      </c>
      <c r="P26" s="100">
        <v>0.77</v>
      </c>
      <c r="Q26" s="100">
        <v>5.29</v>
      </c>
    </row>
    <row r="27" spans="1:17" customFormat="1">
      <c r="A27" s="100" t="s">
        <v>3039</v>
      </c>
      <c r="B27" s="100">
        <v>15.96</v>
      </c>
      <c r="C27" s="100">
        <v>53.68</v>
      </c>
      <c r="D27" s="100">
        <v>39.799999999999997</v>
      </c>
      <c r="E27" s="100">
        <v>6.81</v>
      </c>
      <c r="F27" s="100">
        <v>9.4700000000000006</v>
      </c>
      <c r="G27" s="100">
        <v>46.64</v>
      </c>
      <c r="H27" s="100">
        <v>21.92</v>
      </c>
      <c r="I27" s="100">
        <v>6.84</v>
      </c>
      <c r="J27" s="100">
        <v>0.15</v>
      </c>
      <c r="K27" s="100">
        <v>246</v>
      </c>
      <c r="L27" s="100">
        <v>28.17</v>
      </c>
      <c r="M27" s="100">
        <v>58.78</v>
      </c>
      <c r="N27" s="100">
        <v>0</v>
      </c>
      <c r="O27" s="100">
        <v>0</v>
      </c>
      <c r="P27" s="100">
        <v>0.73</v>
      </c>
      <c r="Q27" s="100">
        <v>5.33</v>
      </c>
    </row>
    <row r="28" spans="1:17" customFormat="1">
      <c r="A28" s="100" t="s">
        <v>3040</v>
      </c>
      <c r="B28" s="100">
        <v>17.37</v>
      </c>
      <c r="C28" s="100">
        <v>58.78</v>
      </c>
      <c r="D28" s="100">
        <v>43.59</v>
      </c>
      <c r="E28" s="100">
        <v>7.09</v>
      </c>
      <c r="F28" s="100">
        <v>6.32</v>
      </c>
      <c r="G28" s="100">
        <v>46.64</v>
      </c>
      <c r="H28" s="100">
        <v>21.92</v>
      </c>
      <c r="I28" s="100">
        <v>6.61</v>
      </c>
      <c r="J28" s="100">
        <v>0.13</v>
      </c>
      <c r="K28" s="100">
        <v>202.08</v>
      </c>
      <c r="L28" s="100">
        <v>28.18</v>
      </c>
      <c r="M28" s="100">
        <v>58.83</v>
      </c>
      <c r="N28" s="100">
        <v>0</v>
      </c>
      <c r="O28" s="100">
        <v>0</v>
      </c>
      <c r="P28" s="100">
        <v>0.75</v>
      </c>
      <c r="Q28" s="100">
        <v>5.37</v>
      </c>
    </row>
    <row r="29" spans="1:17" customFormat="1">
      <c r="A29" s="100" t="s">
        <v>3041</v>
      </c>
      <c r="B29" s="100">
        <v>17.34</v>
      </c>
      <c r="C29" s="100">
        <v>55.87</v>
      </c>
      <c r="D29" s="100">
        <v>42.05</v>
      </c>
      <c r="E29" s="100">
        <v>6.46</v>
      </c>
      <c r="F29" s="100">
        <v>7.93</v>
      </c>
      <c r="G29" s="100">
        <v>46.64</v>
      </c>
      <c r="H29" s="100">
        <v>21.92</v>
      </c>
      <c r="I29" s="100">
        <v>6.56</v>
      </c>
      <c r="J29" s="100">
        <v>0.21</v>
      </c>
      <c r="K29" s="100">
        <v>245.63</v>
      </c>
      <c r="L29" s="100">
        <v>28.21</v>
      </c>
      <c r="M29" s="100">
        <v>59.09</v>
      </c>
      <c r="N29" s="100">
        <v>0</v>
      </c>
      <c r="O29" s="100">
        <v>0</v>
      </c>
      <c r="P29" s="100">
        <v>0.73</v>
      </c>
      <c r="Q29" s="100">
        <v>5.37</v>
      </c>
    </row>
    <row r="30" spans="1:17" customFormat="1">
      <c r="A30" s="100" t="s">
        <v>3042</v>
      </c>
      <c r="B30" s="100">
        <v>16.87</v>
      </c>
      <c r="C30" s="100">
        <v>52.34</v>
      </c>
      <c r="D30" s="100">
        <v>39.83</v>
      </c>
      <c r="E30" s="100">
        <v>6.6</v>
      </c>
      <c r="F30" s="100">
        <v>9.77</v>
      </c>
      <c r="G30" s="100">
        <v>43.03</v>
      </c>
      <c r="H30" s="100">
        <v>20.68</v>
      </c>
      <c r="I30" s="100">
        <v>6.61</v>
      </c>
      <c r="J30" s="100">
        <v>0.17</v>
      </c>
      <c r="K30" s="100">
        <v>231.76</v>
      </c>
      <c r="L30" s="100">
        <v>28.27</v>
      </c>
      <c r="M30" s="100">
        <v>59.15</v>
      </c>
      <c r="N30" s="100">
        <v>0.7</v>
      </c>
      <c r="O30" s="100">
        <v>0</v>
      </c>
      <c r="P30" s="100">
        <v>0.71</v>
      </c>
      <c r="Q30" s="100">
        <v>5.41</v>
      </c>
    </row>
    <row r="31" spans="1:17" customFormat="1">
      <c r="A31" s="100" t="s">
        <v>3043</v>
      </c>
      <c r="B31" s="100">
        <v>18.52</v>
      </c>
      <c r="C31" s="100">
        <v>58.61</v>
      </c>
      <c r="D31" s="100">
        <v>44.43</v>
      </c>
      <c r="E31" s="100">
        <v>6.94</v>
      </c>
      <c r="F31" s="100">
        <v>6.35</v>
      </c>
      <c r="G31" s="100">
        <v>37.619999999999997</v>
      </c>
      <c r="H31" s="100">
        <v>19.600000000000001</v>
      </c>
      <c r="I31" s="100">
        <v>6.31</v>
      </c>
      <c r="J31" s="100">
        <v>0.23</v>
      </c>
      <c r="K31" s="100">
        <v>240.89</v>
      </c>
      <c r="L31" s="100">
        <v>28.38</v>
      </c>
      <c r="M31" s="100">
        <v>59.18</v>
      </c>
      <c r="N31" s="100">
        <v>11</v>
      </c>
      <c r="O31" s="100">
        <v>0</v>
      </c>
      <c r="P31" s="100">
        <v>0.74</v>
      </c>
      <c r="Q31" s="100">
        <v>5.45</v>
      </c>
    </row>
    <row r="32" spans="1:17" customFormat="1">
      <c r="A32" s="100" t="s">
        <v>3044</v>
      </c>
      <c r="B32" s="100">
        <v>18.3</v>
      </c>
      <c r="C32" s="100">
        <v>53.79</v>
      </c>
      <c r="D32" s="100">
        <v>41.74</v>
      </c>
      <c r="E32" s="100">
        <v>6.68</v>
      </c>
      <c r="F32" s="100">
        <v>8.57</v>
      </c>
      <c r="G32" s="100">
        <v>37.619999999999997</v>
      </c>
      <c r="H32" s="100">
        <v>19.600000000000001</v>
      </c>
      <c r="I32" s="100">
        <v>6.44</v>
      </c>
      <c r="J32" s="100">
        <v>0.23</v>
      </c>
      <c r="K32" s="100">
        <v>202.6</v>
      </c>
      <c r="L32" s="100">
        <v>28.73</v>
      </c>
      <c r="M32" s="100">
        <v>58.33</v>
      </c>
      <c r="N32" s="100">
        <v>25.3</v>
      </c>
      <c r="O32" s="100">
        <v>0</v>
      </c>
      <c r="P32" s="100">
        <v>0.72</v>
      </c>
      <c r="Q32" s="100">
        <v>5.41</v>
      </c>
    </row>
    <row r="33" spans="1:17" customFormat="1">
      <c r="A33" s="100" t="s">
        <v>3045</v>
      </c>
      <c r="B33" s="100">
        <v>19.059999999999999</v>
      </c>
      <c r="C33" s="100">
        <v>57.92</v>
      </c>
      <c r="D33" s="100">
        <v>44.51</v>
      </c>
      <c r="E33" s="100">
        <v>7.29</v>
      </c>
      <c r="F33" s="100">
        <v>6.82</v>
      </c>
      <c r="G33" s="100">
        <v>37.619999999999997</v>
      </c>
      <c r="H33" s="100">
        <v>19.600000000000001</v>
      </c>
      <c r="I33" s="100">
        <v>6.56</v>
      </c>
      <c r="J33" s="100">
        <v>0.32</v>
      </c>
      <c r="K33" s="100">
        <v>239.13</v>
      </c>
      <c r="L33" s="100">
        <v>29.06</v>
      </c>
      <c r="M33" s="100">
        <v>56.71</v>
      </c>
      <c r="N33" s="100">
        <v>39</v>
      </c>
      <c r="O33" s="100">
        <v>0</v>
      </c>
      <c r="P33" s="100">
        <v>0.75</v>
      </c>
      <c r="Q33" s="100">
        <v>5.46</v>
      </c>
    </row>
    <row r="34" spans="1:17" customFormat="1">
      <c r="A34" s="100" t="s">
        <v>3046</v>
      </c>
      <c r="B34" s="100">
        <v>18.52</v>
      </c>
      <c r="C34" s="100">
        <v>52.1</v>
      </c>
      <c r="D34" s="100">
        <v>41.02</v>
      </c>
      <c r="E34" s="100">
        <v>8.89</v>
      </c>
      <c r="F34" s="100">
        <v>9.0399999999999991</v>
      </c>
      <c r="G34" s="100">
        <v>39.61</v>
      </c>
      <c r="H34" s="100">
        <v>19.420000000000002</v>
      </c>
      <c r="I34" s="100">
        <v>6.58</v>
      </c>
      <c r="J34" s="100">
        <v>0.61</v>
      </c>
      <c r="K34" s="100">
        <v>258.83999999999997</v>
      </c>
      <c r="L34" s="100">
        <v>29.8</v>
      </c>
      <c r="M34" s="100">
        <v>53.12</v>
      </c>
      <c r="N34" s="100">
        <v>50.1</v>
      </c>
      <c r="O34" s="100">
        <v>0</v>
      </c>
      <c r="P34" s="100">
        <v>0.78</v>
      </c>
      <c r="Q34" s="100">
        <v>5.38</v>
      </c>
    </row>
    <row r="35" spans="1:17" customFormat="1">
      <c r="A35" s="100" t="s">
        <v>3047</v>
      </c>
      <c r="B35" s="100">
        <v>19.89</v>
      </c>
      <c r="C35" s="100">
        <v>59.6</v>
      </c>
      <c r="D35" s="100">
        <v>46.04</v>
      </c>
      <c r="E35" s="100">
        <v>7.69</v>
      </c>
      <c r="F35" s="100">
        <v>7.19</v>
      </c>
      <c r="G35" s="100">
        <v>42.45</v>
      </c>
      <c r="H35" s="100">
        <v>19.27</v>
      </c>
      <c r="I35" s="100">
        <v>6.85</v>
      </c>
      <c r="J35" s="100">
        <v>0.94</v>
      </c>
      <c r="K35" s="100">
        <v>257.74</v>
      </c>
      <c r="L35" s="100">
        <v>30.69</v>
      </c>
      <c r="M35" s="100">
        <v>49.17</v>
      </c>
      <c r="N35" s="100">
        <v>62.9</v>
      </c>
      <c r="O35" s="100">
        <v>0</v>
      </c>
      <c r="P35" s="100">
        <v>0.77</v>
      </c>
      <c r="Q35" s="100">
        <v>5.53</v>
      </c>
    </row>
    <row r="36" spans="1:17" customFormat="1">
      <c r="A36" s="100" t="s">
        <v>3048</v>
      </c>
      <c r="B36" s="100">
        <v>19.54</v>
      </c>
      <c r="C36" s="100">
        <v>56.98</v>
      </c>
      <c r="D36" s="100">
        <v>44.39</v>
      </c>
      <c r="E36" s="100">
        <v>6.71</v>
      </c>
      <c r="F36" s="100">
        <v>7.06</v>
      </c>
      <c r="G36" s="100">
        <v>42.45</v>
      </c>
      <c r="H36" s="100">
        <v>19.27</v>
      </c>
      <c r="I36" s="100">
        <v>6.98</v>
      </c>
      <c r="J36" s="100">
        <v>1.0900000000000001</v>
      </c>
      <c r="K36" s="100">
        <v>258.39</v>
      </c>
      <c r="L36" s="100">
        <v>31.26</v>
      </c>
      <c r="M36" s="100">
        <v>48.01</v>
      </c>
      <c r="N36" s="100">
        <v>73.8</v>
      </c>
      <c r="O36" s="100">
        <v>0</v>
      </c>
      <c r="P36" s="100">
        <v>0.75</v>
      </c>
      <c r="Q36" s="100">
        <v>5.44</v>
      </c>
    </row>
    <row r="37" spans="1:17" customFormat="1">
      <c r="A37" s="100" t="s">
        <v>3049</v>
      </c>
      <c r="B37" s="100">
        <v>18.059999999999999</v>
      </c>
      <c r="C37" s="100">
        <v>57.45</v>
      </c>
      <c r="D37" s="100">
        <v>43.46</v>
      </c>
      <c r="E37" s="100">
        <v>6.72</v>
      </c>
      <c r="F37" s="100">
        <v>8.34</v>
      </c>
      <c r="G37" s="100">
        <v>42.45</v>
      </c>
      <c r="H37" s="100">
        <v>19.27</v>
      </c>
      <c r="I37" s="100">
        <v>6.92</v>
      </c>
      <c r="J37" s="100">
        <v>0.93</v>
      </c>
      <c r="K37" s="100">
        <v>253.8</v>
      </c>
      <c r="L37" s="100">
        <v>31.72</v>
      </c>
      <c r="M37" s="100">
        <v>46.91</v>
      </c>
      <c r="N37" s="100">
        <v>83.6</v>
      </c>
      <c r="O37" s="100">
        <v>0</v>
      </c>
      <c r="P37" s="100">
        <v>0.75</v>
      </c>
      <c r="Q37" s="100">
        <v>5.42</v>
      </c>
    </row>
    <row r="38" spans="1:17" customFormat="1">
      <c r="A38" s="100" t="s">
        <v>3050</v>
      </c>
      <c r="B38" s="100">
        <v>17.21</v>
      </c>
      <c r="C38" s="100">
        <v>55.18</v>
      </c>
      <c r="D38" s="100">
        <v>41.59</v>
      </c>
      <c r="E38" s="100">
        <v>6.07</v>
      </c>
      <c r="F38" s="100">
        <v>8.09</v>
      </c>
      <c r="G38" s="100">
        <v>43.71</v>
      </c>
      <c r="H38" s="100">
        <v>19.27</v>
      </c>
      <c r="I38" s="100">
        <v>6.8</v>
      </c>
      <c r="J38" s="100">
        <v>1.06</v>
      </c>
      <c r="K38" s="100">
        <v>256.13</v>
      </c>
      <c r="L38" s="100">
        <v>32.11</v>
      </c>
      <c r="M38" s="100">
        <v>46.24</v>
      </c>
      <c r="N38" s="100">
        <v>93.3</v>
      </c>
      <c r="O38" s="100">
        <v>0</v>
      </c>
      <c r="P38" s="100">
        <v>0.75</v>
      </c>
      <c r="Q38" s="100">
        <v>5.36</v>
      </c>
    </row>
    <row r="39" spans="1:17" customFormat="1">
      <c r="A39" s="100" t="s">
        <v>3051</v>
      </c>
      <c r="B39" s="100">
        <v>16.239999999999998</v>
      </c>
      <c r="C39" s="100">
        <v>56.51</v>
      </c>
      <c r="D39" s="100">
        <v>41.51</v>
      </c>
      <c r="E39" s="100">
        <v>6.51</v>
      </c>
      <c r="F39" s="100">
        <v>8.61</v>
      </c>
      <c r="G39" s="100">
        <v>45.5</v>
      </c>
      <c r="H39" s="100">
        <v>19.27</v>
      </c>
      <c r="I39" s="100">
        <v>6.69</v>
      </c>
      <c r="J39" s="100">
        <v>0.72</v>
      </c>
      <c r="K39" s="100">
        <v>245.93</v>
      </c>
      <c r="L39" s="100">
        <v>32.64</v>
      </c>
      <c r="M39" s="100">
        <v>45.55</v>
      </c>
      <c r="N39" s="100">
        <v>101.5</v>
      </c>
      <c r="O39" s="100">
        <v>0</v>
      </c>
      <c r="P39" s="100">
        <v>0.75</v>
      </c>
      <c r="Q39" s="100">
        <v>5.44</v>
      </c>
    </row>
    <row r="40" spans="1:17" customFormat="1">
      <c r="A40" s="100" t="s">
        <v>3052</v>
      </c>
      <c r="B40" s="100">
        <v>15.22</v>
      </c>
      <c r="C40" s="100">
        <v>51.11</v>
      </c>
      <c r="D40" s="100">
        <v>37.86</v>
      </c>
      <c r="E40" s="100">
        <v>6.85</v>
      </c>
      <c r="F40" s="100">
        <v>12.12</v>
      </c>
      <c r="G40" s="100">
        <v>45.5</v>
      </c>
      <c r="H40" s="100">
        <v>19.27</v>
      </c>
      <c r="I40" s="100">
        <v>6.59</v>
      </c>
      <c r="J40" s="100">
        <v>0.86</v>
      </c>
      <c r="K40" s="100">
        <v>259.52</v>
      </c>
      <c r="L40" s="100">
        <v>33.159999999999997</v>
      </c>
      <c r="M40" s="100">
        <v>44.61</v>
      </c>
      <c r="N40" s="100">
        <v>109.6</v>
      </c>
      <c r="O40" s="100">
        <v>0</v>
      </c>
      <c r="P40" s="100">
        <v>0.71</v>
      </c>
      <c r="Q40" s="100">
        <v>5.29</v>
      </c>
    </row>
    <row r="41" spans="1:17" customFormat="1">
      <c r="A41" s="100" t="s">
        <v>3053</v>
      </c>
      <c r="B41" s="100">
        <v>14.84</v>
      </c>
      <c r="C41" s="100">
        <v>52.68</v>
      </c>
      <c r="D41" s="100">
        <v>38.380000000000003</v>
      </c>
      <c r="E41" s="100">
        <v>6.69</v>
      </c>
      <c r="F41" s="100">
        <v>8.86</v>
      </c>
      <c r="G41" s="100">
        <v>45.5</v>
      </c>
      <c r="H41" s="100">
        <v>19.27</v>
      </c>
      <c r="I41" s="100">
        <v>6.48</v>
      </c>
      <c r="J41" s="100">
        <v>0.96</v>
      </c>
      <c r="K41" s="100">
        <v>265.42</v>
      </c>
      <c r="L41" s="100">
        <v>33.5</v>
      </c>
      <c r="M41" s="100">
        <v>43.38</v>
      </c>
      <c r="N41" s="100">
        <v>117.9</v>
      </c>
      <c r="O41" s="100">
        <v>0</v>
      </c>
      <c r="P41" s="100">
        <v>0.71</v>
      </c>
      <c r="Q41" s="100">
        <v>5.19</v>
      </c>
    </row>
    <row r="42" spans="1:17" customFormat="1">
      <c r="A42" s="100" t="s">
        <v>3054</v>
      </c>
      <c r="B42" s="100">
        <v>13.45</v>
      </c>
      <c r="C42" s="100">
        <v>52.77</v>
      </c>
      <c r="D42" s="100">
        <v>37.32</v>
      </c>
      <c r="E42" s="100">
        <v>7.92</v>
      </c>
      <c r="F42" s="100">
        <v>13.62</v>
      </c>
      <c r="G42" s="100">
        <v>43.42</v>
      </c>
      <c r="H42" s="100">
        <v>17.53</v>
      </c>
      <c r="I42" s="100">
        <v>6.34</v>
      </c>
      <c r="J42" s="100">
        <v>0.89</v>
      </c>
      <c r="K42" s="100">
        <v>254.48</v>
      </c>
      <c r="L42" s="100">
        <v>34.04</v>
      </c>
      <c r="M42" s="100">
        <v>41.86</v>
      </c>
      <c r="N42" s="100">
        <v>129.30000000000001</v>
      </c>
      <c r="O42" s="100">
        <v>0</v>
      </c>
      <c r="P42" s="100">
        <v>0.71</v>
      </c>
      <c r="Q42" s="100">
        <v>5.25</v>
      </c>
    </row>
    <row r="43" spans="1:17" customFormat="1">
      <c r="A43" s="100" t="s">
        <v>3055</v>
      </c>
      <c r="B43" s="100">
        <v>12.02</v>
      </c>
      <c r="C43" s="100">
        <v>47.11</v>
      </c>
      <c r="D43" s="100">
        <v>33.21</v>
      </c>
      <c r="E43" s="100">
        <v>9.15</v>
      </c>
      <c r="F43" s="100">
        <v>15.58</v>
      </c>
      <c r="G43" s="100">
        <v>40.44</v>
      </c>
      <c r="H43" s="100">
        <v>16.03</v>
      </c>
      <c r="I43" s="100">
        <v>6.33</v>
      </c>
      <c r="J43" s="100">
        <v>0.75</v>
      </c>
      <c r="K43" s="100">
        <v>259</v>
      </c>
      <c r="L43" s="100">
        <v>34.75</v>
      </c>
      <c r="M43" s="100">
        <v>40.369999999999997</v>
      </c>
      <c r="N43" s="100">
        <v>139.30000000000001</v>
      </c>
      <c r="O43" s="100">
        <v>0</v>
      </c>
      <c r="P43" s="100">
        <v>0.68</v>
      </c>
      <c r="Q43" s="100">
        <v>5.09</v>
      </c>
    </row>
    <row r="44" spans="1:17" customFormat="1">
      <c r="A44" s="100" t="s">
        <v>3056</v>
      </c>
      <c r="B44" s="100">
        <v>11.57</v>
      </c>
      <c r="C44" s="100">
        <v>46.74</v>
      </c>
      <c r="D44" s="100">
        <v>32.65</v>
      </c>
      <c r="E44" s="100">
        <v>8.23</v>
      </c>
      <c r="F44" s="100">
        <v>15.7</v>
      </c>
      <c r="G44" s="100">
        <v>40.44</v>
      </c>
      <c r="H44" s="100">
        <v>16.03</v>
      </c>
      <c r="I44" s="100">
        <v>6.14</v>
      </c>
      <c r="J44" s="100">
        <v>0.92</v>
      </c>
      <c r="K44" s="100">
        <v>261.89999999999998</v>
      </c>
      <c r="L44" s="100">
        <v>35.18</v>
      </c>
      <c r="M44" s="100">
        <v>38.94</v>
      </c>
      <c r="N44" s="100">
        <v>144.4</v>
      </c>
      <c r="O44" s="100">
        <v>0</v>
      </c>
      <c r="P44" s="100">
        <v>0.67</v>
      </c>
      <c r="Q44" s="100">
        <v>5</v>
      </c>
    </row>
    <row r="45" spans="1:17" customFormat="1">
      <c r="A45" s="100" t="s">
        <v>3057</v>
      </c>
      <c r="B45" s="100">
        <v>11.37</v>
      </c>
      <c r="C45" s="100">
        <v>49.48</v>
      </c>
      <c r="D45" s="100">
        <v>33.92</v>
      </c>
      <c r="E45" s="100">
        <v>9.11</v>
      </c>
      <c r="F45" s="100">
        <v>12.56</v>
      </c>
      <c r="G45" s="100">
        <v>40.44</v>
      </c>
      <c r="H45" s="100">
        <v>16.03</v>
      </c>
      <c r="I45" s="100">
        <v>5.96</v>
      </c>
      <c r="J45" s="100">
        <v>0.96</v>
      </c>
      <c r="K45" s="100">
        <v>289.87</v>
      </c>
      <c r="L45" s="100">
        <v>35.68</v>
      </c>
      <c r="M45" s="100">
        <v>37.380000000000003</v>
      </c>
      <c r="N45" s="100">
        <v>152.9</v>
      </c>
      <c r="O45" s="100">
        <v>0</v>
      </c>
      <c r="P45" s="100">
        <v>0.69</v>
      </c>
      <c r="Q45" s="100">
        <v>4.93</v>
      </c>
    </row>
    <row r="46" spans="1:17" customFormat="1">
      <c r="A46" s="100" t="s">
        <v>3058</v>
      </c>
      <c r="B46" s="100">
        <v>10.220000000000001</v>
      </c>
      <c r="C46" s="100">
        <v>53.24</v>
      </c>
      <c r="D46" s="100">
        <v>34.97</v>
      </c>
      <c r="E46" s="100">
        <v>9.08</v>
      </c>
      <c r="F46" s="100">
        <v>17.100000000000001</v>
      </c>
      <c r="G46" s="100">
        <v>42.57</v>
      </c>
      <c r="H46" s="100">
        <v>17.77</v>
      </c>
      <c r="I46" s="100">
        <v>5.95</v>
      </c>
      <c r="J46" s="100">
        <v>0.91</v>
      </c>
      <c r="K46" s="100">
        <v>268.76</v>
      </c>
      <c r="L46" s="100">
        <v>36.03</v>
      </c>
      <c r="M46" s="100">
        <v>36.630000000000003</v>
      </c>
      <c r="N46" s="100">
        <v>168</v>
      </c>
      <c r="O46" s="100">
        <v>0</v>
      </c>
      <c r="P46" s="100">
        <v>0.71</v>
      </c>
      <c r="Q46" s="100">
        <v>5.0199999999999996</v>
      </c>
    </row>
    <row r="47" spans="1:17" customFormat="1">
      <c r="A47" s="100" t="s">
        <v>3059</v>
      </c>
      <c r="B47" s="100">
        <v>9.49</v>
      </c>
      <c r="C47" s="100">
        <v>51.63</v>
      </c>
      <c r="D47" s="100">
        <v>33.54</v>
      </c>
      <c r="E47" s="100">
        <v>10.54</v>
      </c>
      <c r="F47" s="100">
        <v>16.16</v>
      </c>
      <c r="G47" s="100">
        <v>45.63</v>
      </c>
      <c r="H47" s="100">
        <v>19.27</v>
      </c>
      <c r="I47" s="100">
        <v>6.02</v>
      </c>
      <c r="J47" s="100">
        <v>0.85</v>
      </c>
      <c r="K47" s="100">
        <v>253.79</v>
      </c>
      <c r="L47" s="100">
        <v>36.61</v>
      </c>
      <c r="M47" s="100">
        <v>35.5</v>
      </c>
      <c r="N47" s="100">
        <v>177.7</v>
      </c>
      <c r="O47" s="100">
        <v>0</v>
      </c>
      <c r="P47" s="100">
        <v>0.73</v>
      </c>
      <c r="Q47" s="100">
        <v>4.97</v>
      </c>
    </row>
    <row r="48" spans="1:17" customFormat="1">
      <c r="A48" s="100" t="s">
        <v>3060</v>
      </c>
      <c r="B48" s="100">
        <v>9.0500000000000007</v>
      </c>
      <c r="C48" s="100">
        <v>51.54</v>
      </c>
      <c r="D48" s="100">
        <v>33.14</v>
      </c>
      <c r="E48" s="100">
        <v>12.32</v>
      </c>
      <c r="F48" s="100">
        <v>21.35</v>
      </c>
      <c r="G48" s="100">
        <v>45.63</v>
      </c>
      <c r="H48" s="100">
        <v>19.27</v>
      </c>
      <c r="I48" s="100">
        <v>6.13</v>
      </c>
      <c r="J48" s="100">
        <v>0.9</v>
      </c>
      <c r="K48" s="100">
        <v>278.38</v>
      </c>
      <c r="L48" s="100">
        <v>36.71</v>
      </c>
      <c r="M48" s="100">
        <v>34.39</v>
      </c>
      <c r="N48" s="100">
        <v>177.6</v>
      </c>
      <c r="O48" s="100">
        <v>0</v>
      </c>
      <c r="P48" s="100">
        <v>0.77</v>
      </c>
      <c r="Q48" s="100">
        <v>4.88</v>
      </c>
    </row>
    <row r="49" spans="1:17" customFormat="1">
      <c r="A49" s="100" t="s">
        <v>3061</v>
      </c>
      <c r="B49" s="100">
        <v>8.44</v>
      </c>
      <c r="C49" s="100">
        <v>51.56</v>
      </c>
      <c r="D49" s="100">
        <v>32.659999999999997</v>
      </c>
      <c r="E49" s="100">
        <v>10.66</v>
      </c>
      <c r="F49" s="100">
        <v>22.81</v>
      </c>
      <c r="G49" s="100">
        <v>45.63</v>
      </c>
      <c r="H49" s="100">
        <v>19.27</v>
      </c>
      <c r="I49" s="100">
        <v>6.3</v>
      </c>
      <c r="J49" s="100">
        <v>0.87</v>
      </c>
      <c r="K49" s="100">
        <v>280.01</v>
      </c>
      <c r="L49" s="100">
        <v>37.08</v>
      </c>
      <c r="M49" s="100">
        <v>33.619999999999997</v>
      </c>
      <c r="N49" s="100">
        <v>186.7</v>
      </c>
      <c r="O49" s="100">
        <v>0</v>
      </c>
      <c r="P49" s="100">
        <v>0.79</v>
      </c>
      <c r="Q49" s="100">
        <v>4.79</v>
      </c>
    </row>
    <row r="50" spans="1:17" customFormat="1">
      <c r="A50" s="100" t="s">
        <v>3062</v>
      </c>
      <c r="B50" s="100">
        <v>6.79</v>
      </c>
      <c r="C50" s="100">
        <v>48.66</v>
      </c>
      <c r="D50" s="100">
        <v>29.83</v>
      </c>
      <c r="E50" s="100">
        <v>14.74</v>
      </c>
      <c r="F50" s="100">
        <v>25.62</v>
      </c>
      <c r="G50" s="100">
        <v>47.68</v>
      </c>
      <c r="H50" s="100">
        <v>20.95</v>
      </c>
      <c r="I50" s="100">
        <v>6.61</v>
      </c>
      <c r="J50" s="100">
        <v>1.07</v>
      </c>
      <c r="K50" s="100">
        <v>259.75</v>
      </c>
      <c r="L50" s="100">
        <v>37.369999999999997</v>
      </c>
      <c r="M50" s="100">
        <v>32.729999999999997</v>
      </c>
      <c r="N50" s="100">
        <v>196.9</v>
      </c>
      <c r="O50" s="100">
        <v>0</v>
      </c>
      <c r="P50" s="100">
        <v>0.78</v>
      </c>
      <c r="Q50" s="100">
        <v>4.74</v>
      </c>
    </row>
    <row r="51" spans="1:17" customFormat="1">
      <c r="A51" s="100" t="s">
        <v>3063</v>
      </c>
      <c r="B51" s="100">
        <v>6.07</v>
      </c>
      <c r="C51" s="100">
        <v>48.3</v>
      </c>
      <c r="D51" s="100">
        <v>29.06</v>
      </c>
      <c r="E51" s="100">
        <v>13.98</v>
      </c>
      <c r="F51" s="100">
        <v>29.78</v>
      </c>
      <c r="G51" s="100">
        <v>50.75</v>
      </c>
      <c r="H51" s="100">
        <v>22.39</v>
      </c>
      <c r="I51" s="100">
        <v>6.79</v>
      </c>
      <c r="J51" s="100">
        <v>0.66</v>
      </c>
      <c r="K51" s="100">
        <v>294.75</v>
      </c>
      <c r="L51" s="100">
        <v>37.99</v>
      </c>
      <c r="M51" s="100">
        <v>31.14</v>
      </c>
      <c r="N51" s="100">
        <v>204.7</v>
      </c>
      <c r="O51" s="100">
        <v>0</v>
      </c>
      <c r="P51" s="100">
        <v>0.77</v>
      </c>
      <c r="Q51" s="100">
        <v>4.6900000000000004</v>
      </c>
    </row>
    <row r="52" spans="1:17" customFormat="1">
      <c r="A52" s="100" t="s">
        <v>3064</v>
      </c>
      <c r="B52" s="100">
        <v>5.3</v>
      </c>
      <c r="C52" s="100">
        <v>48.75</v>
      </c>
      <c r="D52" s="100">
        <v>28.67</v>
      </c>
      <c r="E52" s="100">
        <v>13.76</v>
      </c>
      <c r="F52" s="100">
        <v>25.6</v>
      </c>
      <c r="G52" s="100">
        <v>50.75</v>
      </c>
      <c r="H52" s="100">
        <v>22.39</v>
      </c>
      <c r="I52" s="100">
        <v>6.8</v>
      </c>
      <c r="J52" s="100">
        <v>0.83</v>
      </c>
      <c r="K52" s="100">
        <v>279.67</v>
      </c>
      <c r="L52" s="100">
        <v>38.049999999999997</v>
      </c>
      <c r="M52" s="100">
        <v>31.55</v>
      </c>
      <c r="N52" s="100">
        <v>213.4</v>
      </c>
      <c r="O52" s="100">
        <v>0</v>
      </c>
      <c r="P52" s="100">
        <v>0.78</v>
      </c>
      <c r="Q52" s="100">
        <v>4.6500000000000004</v>
      </c>
    </row>
    <row r="53" spans="1:17" customFormat="1">
      <c r="A53" s="100" t="s">
        <v>3065</v>
      </c>
      <c r="B53" s="100">
        <v>4</v>
      </c>
      <c r="C53" s="100">
        <v>44.84</v>
      </c>
      <c r="D53" s="100">
        <v>25.59</v>
      </c>
      <c r="E53" s="100">
        <v>17.75</v>
      </c>
      <c r="F53" s="100">
        <v>39.049999999999997</v>
      </c>
      <c r="G53" s="100">
        <v>50.75</v>
      </c>
      <c r="H53" s="100">
        <v>22.39</v>
      </c>
      <c r="I53" s="100">
        <v>6.9</v>
      </c>
      <c r="J53" s="100">
        <v>0.91</v>
      </c>
      <c r="K53" s="100">
        <v>277.52999999999997</v>
      </c>
      <c r="L53" s="100">
        <v>38.4</v>
      </c>
      <c r="M53" s="100">
        <v>30.84</v>
      </c>
      <c r="N53" s="100">
        <v>222.1</v>
      </c>
      <c r="O53" s="100">
        <v>0</v>
      </c>
      <c r="P53" s="100">
        <v>0.8</v>
      </c>
      <c r="Q53" s="100">
        <v>4.5999999999999996</v>
      </c>
    </row>
    <row r="54" spans="1:17" customFormat="1">
      <c r="A54" s="100" t="s">
        <v>3066</v>
      </c>
      <c r="B54" s="100">
        <v>3.05</v>
      </c>
      <c r="C54" s="100">
        <v>44.19</v>
      </c>
      <c r="D54" s="100">
        <v>24.49</v>
      </c>
      <c r="E54" s="100">
        <v>17.84</v>
      </c>
      <c r="F54" s="100">
        <v>34.31</v>
      </c>
      <c r="G54" s="100">
        <v>52.97</v>
      </c>
      <c r="H54" s="100">
        <v>21.22</v>
      </c>
      <c r="I54" s="100">
        <v>6.98</v>
      </c>
      <c r="J54" s="100">
        <v>1.2</v>
      </c>
      <c r="K54" s="100">
        <v>270.95999999999998</v>
      </c>
      <c r="L54" s="100">
        <v>38.61</v>
      </c>
      <c r="M54" s="100">
        <v>29.84</v>
      </c>
      <c r="N54" s="100">
        <v>231.9</v>
      </c>
      <c r="O54" s="100">
        <v>0</v>
      </c>
      <c r="P54" s="100">
        <v>0.83</v>
      </c>
      <c r="Q54" s="100">
        <v>4.54</v>
      </c>
    </row>
    <row r="55" spans="1:17" customFormat="1">
      <c r="A55" s="100" t="s">
        <v>3067</v>
      </c>
      <c r="B55" s="100">
        <v>2</v>
      </c>
      <c r="C55" s="100">
        <v>35.799999999999997</v>
      </c>
      <c r="D55" s="100">
        <v>19.260000000000002</v>
      </c>
      <c r="E55" s="100">
        <v>14.34</v>
      </c>
      <c r="F55" s="100">
        <v>43.05</v>
      </c>
      <c r="G55" s="100">
        <v>56.15</v>
      </c>
      <c r="H55" s="100">
        <v>20.18</v>
      </c>
      <c r="I55" s="100">
        <v>7.08</v>
      </c>
      <c r="J55" s="100">
        <v>0.76</v>
      </c>
      <c r="K55" s="100">
        <v>305.08</v>
      </c>
      <c r="L55" s="100">
        <v>38.9</v>
      </c>
      <c r="M55" s="100">
        <v>27.12</v>
      </c>
      <c r="N55" s="100">
        <v>443.4</v>
      </c>
      <c r="O55" s="100">
        <v>0</v>
      </c>
      <c r="P55" s="100">
        <v>0.75</v>
      </c>
      <c r="Q55" s="100">
        <v>4.4400000000000004</v>
      </c>
    </row>
    <row r="56" spans="1:17" customFormat="1">
      <c r="A56" s="100" t="s">
        <v>3068</v>
      </c>
      <c r="B56" s="100">
        <v>2.06</v>
      </c>
      <c r="C56" s="100">
        <v>43.47</v>
      </c>
      <c r="D56" s="100">
        <v>23.32</v>
      </c>
      <c r="E56" s="100">
        <v>13.28</v>
      </c>
      <c r="F56" s="100">
        <v>32.950000000000003</v>
      </c>
      <c r="G56" s="100">
        <v>56.15</v>
      </c>
      <c r="H56" s="100">
        <v>20.18</v>
      </c>
      <c r="I56" s="100">
        <v>7.02</v>
      </c>
      <c r="J56" s="100">
        <v>1.06</v>
      </c>
      <c r="K56" s="100">
        <v>291.93</v>
      </c>
      <c r="L56" s="100">
        <v>39.229999999999997</v>
      </c>
      <c r="M56" s="100">
        <v>26.69</v>
      </c>
      <c r="N56" s="100">
        <v>746.9</v>
      </c>
      <c r="O56" s="100">
        <v>0</v>
      </c>
      <c r="P56" s="100">
        <v>0.77</v>
      </c>
      <c r="Q56" s="100">
        <v>4.37</v>
      </c>
    </row>
    <row r="57" spans="1:17" customFormat="1">
      <c r="A57" s="100" t="s">
        <v>3069</v>
      </c>
      <c r="B57" s="100">
        <v>2.23</v>
      </c>
      <c r="C57" s="100">
        <v>41.97</v>
      </c>
      <c r="D57" s="100">
        <v>22.67</v>
      </c>
      <c r="E57" s="100">
        <v>12.65</v>
      </c>
      <c r="F57" s="100">
        <v>32.869999999999997</v>
      </c>
      <c r="G57" s="100">
        <v>56.15</v>
      </c>
      <c r="H57" s="100">
        <v>20.18</v>
      </c>
      <c r="I57" s="100">
        <v>6.61</v>
      </c>
      <c r="J57" s="100">
        <v>1.06</v>
      </c>
      <c r="K57" s="100">
        <v>296.37</v>
      </c>
      <c r="L57" s="100">
        <v>39.43</v>
      </c>
      <c r="M57" s="100">
        <v>24.97</v>
      </c>
      <c r="N57" s="100">
        <v>796.8</v>
      </c>
      <c r="O57" s="100">
        <v>0</v>
      </c>
      <c r="P57" s="100">
        <v>0.74</v>
      </c>
      <c r="Q57" s="100">
        <v>4.3899999999999997</v>
      </c>
    </row>
    <row r="58" spans="1:17" customFormat="1">
      <c r="A58" s="100" t="s">
        <v>3070</v>
      </c>
      <c r="B58" s="100">
        <v>2.2999999999999998</v>
      </c>
      <c r="C58" s="100">
        <v>40.08</v>
      </c>
      <c r="D58" s="100">
        <v>21.73</v>
      </c>
      <c r="E58" s="100">
        <v>10.62</v>
      </c>
      <c r="F58" s="100">
        <v>35.4</v>
      </c>
      <c r="G58" s="100">
        <v>56.66</v>
      </c>
      <c r="H58" s="100">
        <v>21.66</v>
      </c>
      <c r="I58" s="100">
        <v>6.53</v>
      </c>
      <c r="J58" s="100">
        <v>0.72</v>
      </c>
      <c r="K58" s="100">
        <v>260.64</v>
      </c>
      <c r="L58" s="100">
        <v>40.01</v>
      </c>
      <c r="M58" s="100">
        <v>24.6</v>
      </c>
      <c r="N58" s="100">
        <v>787.5</v>
      </c>
      <c r="O58" s="100">
        <v>0</v>
      </c>
      <c r="P58" s="100">
        <v>0.72</v>
      </c>
      <c r="Q58" s="100">
        <v>4.41</v>
      </c>
    </row>
    <row r="59" spans="1:17" customFormat="1">
      <c r="A59" s="100" t="s">
        <v>3071</v>
      </c>
      <c r="B59" s="100">
        <v>2.41</v>
      </c>
      <c r="C59" s="100">
        <v>38.78</v>
      </c>
      <c r="D59" s="100">
        <v>21.14</v>
      </c>
      <c r="E59" s="100">
        <v>10.63</v>
      </c>
      <c r="F59" s="100">
        <v>28.34</v>
      </c>
      <c r="G59" s="100">
        <v>57.39</v>
      </c>
      <c r="H59" s="100">
        <v>22.94</v>
      </c>
      <c r="I59" s="100">
        <v>6.51</v>
      </c>
      <c r="J59" s="100">
        <v>0.86</v>
      </c>
      <c r="K59" s="100">
        <v>270.25</v>
      </c>
      <c r="L59" s="100">
        <v>40.5</v>
      </c>
      <c r="M59" s="100">
        <v>23.91</v>
      </c>
      <c r="N59" s="100">
        <v>740.5</v>
      </c>
      <c r="O59" s="100">
        <v>0</v>
      </c>
      <c r="P59" s="100">
        <v>0.69</v>
      </c>
      <c r="Q59" s="100">
        <v>4.4000000000000004</v>
      </c>
    </row>
    <row r="60" spans="1:17" customFormat="1">
      <c r="A60" s="100" t="s">
        <v>3072</v>
      </c>
      <c r="B60" s="100">
        <v>2.46</v>
      </c>
      <c r="C60" s="100">
        <v>39.89</v>
      </c>
      <c r="D60" s="100">
        <v>21.76</v>
      </c>
      <c r="E60" s="100">
        <v>8.8800000000000008</v>
      </c>
      <c r="F60" s="100">
        <v>28.07</v>
      </c>
      <c r="G60" s="100">
        <v>57.39</v>
      </c>
      <c r="H60" s="100">
        <v>22.94</v>
      </c>
      <c r="I60" s="100">
        <v>6.34</v>
      </c>
      <c r="J60" s="100">
        <v>0.62</v>
      </c>
      <c r="K60" s="100">
        <v>246.54</v>
      </c>
      <c r="L60" s="100">
        <v>40.69</v>
      </c>
      <c r="M60" s="100">
        <v>22.76</v>
      </c>
      <c r="N60" s="100">
        <v>791</v>
      </c>
      <c r="O60" s="100">
        <v>0</v>
      </c>
      <c r="P60" s="100">
        <v>0.69</v>
      </c>
      <c r="Q60" s="100">
        <v>4.41</v>
      </c>
    </row>
    <row r="61" spans="1:17" customFormat="1">
      <c r="A61" s="100" t="s">
        <v>3073</v>
      </c>
      <c r="B61" s="100">
        <v>2.37</v>
      </c>
      <c r="C61" s="100">
        <v>39.369999999999997</v>
      </c>
      <c r="D61" s="100">
        <v>21.43</v>
      </c>
      <c r="E61" s="100">
        <v>9.6</v>
      </c>
      <c r="F61" s="100">
        <v>31.49</v>
      </c>
      <c r="G61" s="100">
        <v>57.39</v>
      </c>
      <c r="H61" s="100">
        <v>22.94</v>
      </c>
      <c r="I61" s="100">
        <v>6.31</v>
      </c>
      <c r="J61" s="100">
        <v>1.05</v>
      </c>
      <c r="K61" s="100">
        <v>285.58999999999997</v>
      </c>
      <c r="L61" s="100">
        <v>40.49</v>
      </c>
      <c r="M61" s="100">
        <v>23.05</v>
      </c>
      <c r="N61" s="100">
        <v>748</v>
      </c>
      <c r="O61" s="100">
        <v>0</v>
      </c>
      <c r="P61" s="100">
        <v>0.67</v>
      </c>
      <c r="Q61" s="100">
        <v>4.38</v>
      </c>
    </row>
    <row r="62" spans="1:17" customFormat="1">
      <c r="A62" s="100" t="s">
        <v>3074</v>
      </c>
      <c r="B62" s="100">
        <v>2.2999999999999998</v>
      </c>
      <c r="C62" s="100">
        <v>37.92</v>
      </c>
      <c r="D62" s="100">
        <v>20.62</v>
      </c>
      <c r="E62" s="100">
        <v>11.68</v>
      </c>
      <c r="F62" s="100">
        <v>38.270000000000003</v>
      </c>
      <c r="G62" s="100">
        <v>57.91</v>
      </c>
      <c r="H62" s="100">
        <v>22.33</v>
      </c>
      <c r="I62" s="100">
        <v>6.24</v>
      </c>
      <c r="J62" s="100">
        <v>0.89</v>
      </c>
      <c r="K62" s="100">
        <v>268.58999999999997</v>
      </c>
      <c r="L62" s="100">
        <v>40.22</v>
      </c>
      <c r="M62" s="100">
        <v>23.37</v>
      </c>
      <c r="N62" s="100">
        <v>576.20000000000005</v>
      </c>
      <c r="O62" s="100">
        <v>0</v>
      </c>
      <c r="P62" s="100">
        <v>0.68</v>
      </c>
      <c r="Q62" s="100">
        <v>4.42</v>
      </c>
    </row>
    <row r="63" spans="1:17" customFormat="1">
      <c r="A63" s="100" t="s">
        <v>3075</v>
      </c>
      <c r="B63" s="100">
        <v>2.42</v>
      </c>
      <c r="C63" s="100">
        <v>39.36</v>
      </c>
      <c r="D63" s="100">
        <v>21.46</v>
      </c>
      <c r="E63" s="100">
        <v>9.9700000000000006</v>
      </c>
      <c r="F63" s="100">
        <v>23.25</v>
      </c>
      <c r="G63" s="100">
        <v>58.67</v>
      </c>
      <c r="H63" s="100">
        <v>20.89</v>
      </c>
      <c r="I63" s="100">
        <v>6.17</v>
      </c>
      <c r="J63" s="100">
        <v>0.8</v>
      </c>
      <c r="K63" s="100">
        <v>253.16</v>
      </c>
      <c r="L63" s="100">
        <v>40.86</v>
      </c>
      <c r="M63" s="100">
        <v>22.55</v>
      </c>
      <c r="N63" s="100">
        <v>707</v>
      </c>
      <c r="O63" s="100">
        <v>0</v>
      </c>
      <c r="P63" s="100">
        <v>0.67</v>
      </c>
      <c r="Q63" s="100">
        <v>4.47</v>
      </c>
    </row>
    <row r="64" spans="1:17" customFormat="1">
      <c r="A64" s="100" t="s">
        <v>3076</v>
      </c>
      <c r="B64" s="100">
        <v>2.77</v>
      </c>
      <c r="C64" s="100">
        <v>41.23</v>
      </c>
      <c r="D64" s="100">
        <v>22.72</v>
      </c>
      <c r="E64" s="100">
        <v>8.08</v>
      </c>
      <c r="F64" s="100">
        <v>16.989999999999998</v>
      </c>
      <c r="G64" s="100">
        <v>58.67</v>
      </c>
      <c r="H64" s="100">
        <v>20.89</v>
      </c>
      <c r="I64" s="100">
        <v>6.28</v>
      </c>
      <c r="J64" s="100">
        <v>0.94</v>
      </c>
      <c r="K64" s="100">
        <v>251.94</v>
      </c>
      <c r="L64" s="100">
        <v>40.9</v>
      </c>
      <c r="M64" s="100">
        <v>22.11</v>
      </c>
      <c r="N64" s="100">
        <v>691.8</v>
      </c>
      <c r="O64" s="100">
        <v>0</v>
      </c>
      <c r="P64" s="100">
        <v>0.66</v>
      </c>
      <c r="Q64" s="100">
        <v>4.4800000000000004</v>
      </c>
    </row>
    <row r="65" spans="1:17" customFormat="1">
      <c r="A65" s="100" t="s">
        <v>3077</v>
      </c>
      <c r="B65" s="100">
        <v>2.73</v>
      </c>
      <c r="C65" s="100">
        <v>46.03</v>
      </c>
      <c r="D65" s="100">
        <v>25.2</v>
      </c>
      <c r="E65" s="100">
        <v>8.36</v>
      </c>
      <c r="F65" s="100">
        <v>21.27</v>
      </c>
      <c r="G65" s="100">
        <v>58.67</v>
      </c>
      <c r="H65" s="100">
        <v>20.89</v>
      </c>
      <c r="I65" s="100">
        <v>6.35</v>
      </c>
      <c r="J65" s="100">
        <v>1.01</v>
      </c>
      <c r="K65" s="100">
        <v>252.87</v>
      </c>
      <c r="L65" s="100">
        <v>41.06</v>
      </c>
      <c r="M65" s="100">
        <v>20.98</v>
      </c>
      <c r="N65" s="100">
        <v>686.5</v>
      </c>
      <c r="O65" s="100">
        <v>0</v>
      </c>
      <c r="P65" s="100">
        <v>0.66</v>
      </c>
      <c r="Q65" s="100">
        <v>4.57</v>
      </c>
    </row>
    <row r="66" spans="1:17" customFormat="1">
      <c r="A66" s="100" t="s">
        <v>3078</v>
      </c>
      <c r="B66" s="100">
        <v>2.76</v>
      </c>
      <c r="C66" s="100">
        <v>44.43</v>
      </c>
      <c r="D66" s="100">
        <v>24.38</v>
      </c>
      <c r="E66" s="100">
        <v>8.85</v>
      </c>
      <c r="F66" s="100">
        <v>25.36</v>
      </c>
      <c r="G66" s="100">
        <v>55.1</v>
      </c>
      <c r="H66" s="100">
        <v>18.77</v>
      </c>
      <c r="I66" s="100">
        <v>6.45</v>
      </c>
      <c r="J66" s="100">
        <v>0.81</v>
      </c>
      <c r="K66" s="100">
        <v>251.33</v>
      </c>
      <c r="L66" s="100">
        <v>41.34</v>
      </c>
      <c r="M66" s="100">
        <v>20.16</v>
      </c>
      <c r="N66" s="100">
        <v>672.4</v>
      </c>
      <c r="O66" s="100">
        <v>0</v>
      </c>
      <c r="P66" s="100">
        <v>0.65</v>
      </c>
      <c r="Q66" s="100">
        <v>4.7</v>
      </c>
    </row>
    <row r="67" spans="1:17" customFormat="1">
      <c r="A67" s="100" t="s">
        <v>3079</v>
      </c>
      <c r="B67" s="100">
        <v>3.19</v>
      </c>
      <c r="C67" s="100">
        <v>43.01</v>
      </c>
      <c r="D67" s="100">
        <v>23.98</v>
      </c>
      <c r="E67" s="100">
        <v>8.4700000000000006</v>
      </c>
      <c r="F67" s="100">
        <v>20.39</v>
      </c>
      <c r="G67" s="100">
        <v>49.98</v>
      </c>
      <c r="H67" s="100">
        <v>16.95</v>
      </c>
      <c r="I67" s="100">
        <v>6.41</v>
      </c>
      <c r="J67" s="100">
        <v>1.1200000000000001</v>
      </c>
      <c r="K67" s="100">
        <v>270.64</v>
      </c>
      <c r="L67" s="100">
        <v>40.93</v>
      </c>
      <c r="M67" s="100">
        <v>20.65</v>
      </c>
      <c r="N67" s="100">
        <v>597.6</v>
      </c>
      <c r="O67" s="100">
        <v>0</v>
      </c>
      <c r="P67" s="100">
        <v>0.63</v>
      </c>
      <c r="Q67" s="100">
        <v>4.71</v>
      </c>
    </row>
    <row r="68" spans="1:17" customFormat="1">
      <c r="A68" s="100" t="s">
        <v>3080</v>
      </c>
      <c r="B68" s="100">
        <v>3.52</v>
      </c>
      <c r="C68" s="100">
        <v>42.18</v>
      </c>
      <c r="D68" s="100">
        <v>23.82</v>
      </c>
      <c r="E68" s="100">
        <v>8.25</v>
      </c>
      <c r="F68" s="100">
        <v>25.47</v>
      </c>
      <c r="G68" s="100">
        <v>49.98</v>
      </c>
      <c r="H68" s="100">
        <v>16.95</v>
      </c>
      <c r="I68" s="100">
        <v>6.07</v>
      </c>
      <c r="J68" s="100">
        <v>0.99</v>
      </c>
      <c r="K68" s="100">
        <v>305.45999999999998</v>
      </c>
      <c r="L68" s="100">
        <v>41.03</v>
      </c>
      <c r="M68" s="100">
        <v>19.62</v>
      </c>
      <c r="N68" s="100">
        <v>578.70000000000005</v>
      </c>
      <c r="O68" s="100">
        <v>0</v>
      </c>
      <c r="P68" s="100">
        <v>0.61</v>
      </c>
      <c r="Q68" s="100">
        <v>4.6399999999999997</v>
      </c>
    </row>
    <row r="69" spans="1:17" customFormat="1">
      <c r="A69" s="100" t="s">
        <v>3081</v>
      </c>
      <c r="B69" s="100">
        <v>4.6100000000000003</v>
      </c>
      <c r="C69" s="100">
        <v>43.15</v>
      </c>
      <c r="D69" s="100">
        <v>25.2</v>
      </c>
      <c r="E69" s="100">
        <v>8.0500000000000007</v>
      </c>
      <c r="F69" s="100">
        <v>18.559999999999999</v>
      </c>
      <c r="G69" s="100">
        <v>49.98</v>
      </c>
      <c r="H69" s="100">
        <v>16.95</v>
      </c>
      <c r="I69" s="100">
        <v>5.94</v>
      </c>
      <c r="J69" s="100">
        <v>1.1399999999999999</v>
      </c>
      <c r="K69" s="100">
        <v>285.23</v>
      </c>
      <c r="L69" s="100">
        <v>40.74</v>
      </c>
      <c r="M69" s="100">
        <v>20.09</v>
      </c>
      <c r="N69" s="100">
        <v>531.70000000000005</v>
      </c>
      <c r="O69" s="100">
        <v>0</v>
      </c>
      <c r="P69" s="100">
        <v>0.62</v>
      </c>
      <c r="Q69" s="100">
        <v>4.67</v>
      </c>
    </row>
    <row r="70" spans="1:17" customFormat="1">
      <c r="A70" s="100" t="s">
        <v>3082</v>
      </c>
      <c r="B70" s="100">
        <v>4.57</v>
      </c>
      <c r="C70" s="100">
        <v>40.25</v>
      </c>
      <c r="D70" s="100">
        <v>23.65</v>
      </c>
      <c r="E70" s="100">
        <v>8.35</v>
      </c>
      <c r="F70" s="100">
        <v>25.81</v>
      </c>
      <c r="G70" s="100">
        <v>48.93</v>
      </c>
      <c r="H70" s="100">
        <v>16.89</v>
      </c>
      <c r="I70" s="100">
        <v>6.01</v>
      </c>
      <c r="J70" s="100">
        <v>0.83</v>
      </c>
      <c r="K70" s="100">
        <v>270.45</v>
      </c>
      <c r="L70" s="100">
        <v>40.9</v>
      </c>
      <c r="M70" s="100">
        <v>20.170000000000002</v>
      </c>
      <c r="N70" s="100">
        <v>526.20000000000005</v>
      </c>
      <c r="O70" s="100">
        <v>0</v>
      </c>
      <c r="P70" s="100">
        <v>0.59</v>
      </c>
      <c r="Q70" s="100">
        <v>4.66</v>
      </c>
    </row>
    <row r="71" spans="1:17" customFormat="1">
      <c r="A71" s="100" t="s">
        <v>3083</v>
      </c>
      <c r="B71" s="100">
        <v>3.92</v>
      </c>
      <c r="C71" s="100">
        <v>39.67</v>
      </c>
      <c r="D71" s="100">
        <v>22.83</v>
      </c>
      <c r="E71" s="100">
        <v>8.8800000000000008</v>
      </c>
      <c r="F71" s="100">
        <v>27.72</v>
      </c>
      <c r="G71" s="100">
        <v>47.42</v>
      </c>
      <c r="H71" s="100">
        <v>16.84</v>
      </c>
      <c r="I71" s="100">
        <v>5.8</v>
      </c>
      <c r="J71" s="100">
        <v>0.96</v>
      </c>
      <c r="K71" s="100">
        <v>259.52</v>
      </c>
      <c r="L71" s="100">
        <v>40.81</v>
      </c>
      <c r="M71" s="100">
        <v>20.54</v>
      </c>
      <c r="N71" s="100">
        <v>365.5</v>
      </c>
      <c r="O71" s="100">
        <v>0</v>
      </c>
      <c r="P71" s="100">
        <v>0.56999999999999995</v>
      </c>
      <c r="Q71" s="100">
        <v>4.68</v>
      </c>
    </row>
    <row r="72" spans="1:17" customFormat="1">
      <c r="A72" s="100" t="s">
        <v>3084</v>
      </c>
      <c r="B72" s="100">
        <v>2.79</v>
      </c>
      <c r="C72" s="100">
        <v>37.409999999999997</v>
      </c>
      <c r="D72" s="100">
        <v>20.74</v>
      </c>
      <c r="E72" s="100">
        <v>10.32</v>
      </c>
      <c r="F72" s="100">
        <v>34.979999999999997</v>
      </c>
      <c r="G72" s="100">
        <v>47.42</v>
      </c>
      <c r="H72" s="100">
        <v>16.84</v>
      </c>
      <c r="I72" s="100">
        <v>5.64</v>
      </c>
      <c r="J72" s="100">
        <v>0.83</v>
      </c>
      <c r="K72" s="100">
        <v>254.33</v>
      </c>
      <c r="L72" s="100">
        <v>40.06</v>
      </c>
      <c r="M72" s="100">
        <v>22.19</v>
      </c>
      <c r="N72" s="100">
        <v>222.7</v>
      </c>
      <c r="O72" s="100">
        <v>0</v>
      </c>
      <c r="P72" s="100">
        <v>0.54</v>
      </c>
      <c r="Q72" s="100">
        <v>4.5999999999999996</v>
      </c>
    </row>
    <row r="73" spans="1:17" customFormat="1">
      <c r="A73" s="100" t="s">
        <v>3085</v>
      </c>
      <c r="B73" s="100">
        <v>2.2400000000000002</v>
      </c>
      <c r="C73" s="100">
        <v>39.08</v>
      </c>
      <c r="D73" s="100">
        <v>21.17</v>
      </c>
      <c r="E73" s="100">
        <v>9.74</v>
      </c>
      <c r="F73" s="100">
        <v>34.65</v>
      </c>
      <c r="G73" s="100">
        <v>47.42</v>
      </c>
      <c r="H73" s="100">
        <v>16.84</v>
      </c>
      <c r="I73" s="100">
        <v>5.49</v>
      </c>
      <c r="J73" s="100">
        <v>0.92</v>
      </c>
      <c r="K73" s="100">
        <v>275.10000000000002</v>
      </c>
      <c r="L73" s="100">
        <v>39.78</v>
      </c>
      <c r="M73" s="100">
        <v>22.85</v>
      </c>
      <c r="N73" s="100">
        <v>260.89999999999998</v>
      </c>
      <c r="O73" s="100">
        <v>0</v>
      </c>
      <c r="P73" s="100">
        <v>0.53</v>
      </c>
      <c r="Q73" s="100">
        <v>4.51</v>
      </c>
    </row>
    <row r="74" spans="1:17" customFormat="1">
      <c r="A74" s="100" t="s">
        <v>3086</v>
      </c>
      <c r="B74" s="100">
        <v>2.13</v>
      </c>
      <c r="C74" s="100">
        <v>38.049999999999997</v>
      </c>
      <c r="D74" s="100">
        <v>20.55</v>
      </c>
      <c r="E74" s="100">
        <v>11.09</v>
      </c>
      <c r="F74" s="100">
        <v>37.28</v>
      </c>
      <c r="G74" s="100">
        <v>45.89</v>
      </c>
      <c r="H74" s="100">
        <v>15.83</v>
      </c>
      <c r="I74" s="100">
        <v>5.05</v>
      </c>
      <c r="J74" s="100">
        <v>1</v>
      </c>
      <c r="K74" s="100">
        <v>268.7</v>
      </c>
      <c r="L74" s="100">
        <v>40.03</v>
      </c>
      <c r="M74" s="100">
        <v>22.79</v>
      </c>
      <c r="N74" s="100">
        <v>249.6</v>
      </c>
      <c r="O74" s="100">
        <v>0</v>
      </c>
      <c r="P74" s="100">
        <v>0.52</v>
      </c>
      <c r="Q74" s="100">
        <v>4.46</v>
      </c>
    </row>
    <row r="75" spans="1:17" customFormat="1">
      <c r="A75" s="100" t="s">
        <v>3087</v>
      </c>
      <c r="B75" s="100">
        <v>2.29</v>
      </c>
      <c r="C75" s="100">
        <v>40.03</v>
      </c>
      <c r="D75" s="100">
        <v>21.71</v>
      </c>
      <c r="E75" s="100">
        <v>11.09</v>
      </c>
      <c r="F75" s="100">
        <v>38.32</v>
      </c>
      <c r="G75" s="100">
        <v>43.71</v>
      </c>
      <c r="H75" s="100">
        <v>14.97</v>
      </c>
      <c r="I75" s="100">
        <v>4.74</v>
      </c>
      <c r="J75" s="100">
        <v>1.08</v>
      </c>
      <c r="K75" s="100">
        <v>268.83999999999997</v>
      </c>
      <c r="L75" s="100">
        <v>39.49</v>
      </c>
      <c r="M75" s="100">
        <v>23.23</v>
      </c>
      <c r="N75" s="100">
        <v>221.7</v>
      </c>
      <c r="O75" s="100">
        <v>0</v>
      </c>
      <c r="P75" s="100">
        <v>0.52</v>
      </c>
      <c r="Q75" s="100">
        <v>4.42</v>
      </c>
    </row>
    <row r="76" spans="1:17" customFormat="1">
      <c r="A76" s="100" t="s">
        <v>3088</v>
      </c>
      <c r="B76" s="100">
        <v>1.78</v>
      </c>
      <c r="C76" s="100">
        <v>36.94</v>
      </c>
      <c r="D76" s="100">
        <v>19.68</v>
      </c>
      <c r="E76" s="100">
        <v>13.18</v>
      </c>
      <c r="F76" s="100">
        <v>37.56</v>
      </c>
      <c r="G76" s="100">
        <v>43.71</v>
      </c>
      <c r="H76" s="100">
        <v>14.97</v>
      </c>
      <c r="I76" s="100">
        <v>4.8499999999999996</v>
      </c>
      <c r="J76" s="100">
        <v>1.1499999999999999</v>
      </c>
      <c r="K76" s="100">
        <v>252.72</v>
      </c>
      <c r="L76" s="100">
        <v>39.36</v>
      </c>
      <c r="M76" s="100">
        <v>22.9</v>
      </c>
      <c r="N76" s="100">
        <v>177.8</v>
      </c>
      <c r="O76" s="100">
        <v>0</v>
      </c>
      <c r="P76" s="100">
        <v>0.49</v>
      </c>
      <c r="Q76" s="100">
        <v>4.37</v>
      </c>
    </row>
    <row r="77" spans="1:17" customFormat="1">
      <c r="A77" s="100" t="s">
        <v>3089</v>
      </c>
      <c r="B77" s="100">
        <v>1.7</v>
      </c>
      <c r="C77" s="100">
        <v>37.950000000000003</v>
      </c>
      <c r="D77" s="100">
        <v>20.14</v>
      </c>
      <c r="E77" s="100">
        <v>13.2</v>
      </c>
      <c r="F77" s="100">
        <v>35.46</v>
      </c>
      <c r="G77" s="100">
        <v>43.71</v>
      </c>
      <c r="H77" s="100">
        <v>14.97</v>
      </c>
      <c r="I77" s="100">
        <v>4.96</v>
      </c>
      <c r="J77" s="100">
        <v>1.1200000000000001</v>
      </c>
      <c r="K77" s="100">
        <v>270.52</v>
      </c>
      <c r="L77" s="100">
        <v>39.29</v>
      </c>
      <c r="M77" s="100">
        <v>22.01</v>
      </c>
      <c r="N77" s="100">
        <v>124.5</v>
      </c>
      <c r="O77" s="100">
        <v>0</v>
      </c>
      <c r="P77" s="100">
        <v>0.49</v>
      </c>
      <c r="Q77" s="100">
        <v>4.33</v>
      </c>
    </row>
    <row r="78" spans="1:17" customFormat="1">
      <c r="A78" s="100" t="s">
        <v>3090</v>
      </c>
      <c r="B78" s="100">
        <v>1.57</v>
      </c>
      <c r="C78" s="100">
        <v>37.200000000000003</v>
      </c>
      <c r="D78" s="100">
        <v>19.649999999999999</v>
      </c>
      <c r="E78" s="100">
        <v>15.88</v>
      </c>
      <c r="F78" s="100">
        <v>40.79</v>
      </c>
      <c r="G78" s="100">
        <v>45.54</v>
      </c>
      <c r="H78" s="100">
        <v>16.22</v>
      </c>
      <c r="I78" s="100">
        <v>4.6500000000000004</v>
      </c>
      <c r="J78" s="100">
        <v>1.1100000000000001</v>
      </c>
      <c r="K78" s="100">
        <v>258.51</v>
      </c>
      <c r="L78" s="100">
        <v>38.96</v>
      </c>
      <c r="M78" s="100">
        <v>22.78</v>
      </c>
      <c r="N78" s="100">
        <v>125.1</v>
      </c>
      <c r="O78" s="100">
        <v>0</v>
      </c>
      <c r="P78" s="100">
        <v>0.49</v>
      </c>
      <c r="Q78" s="100">
        <v>4.3499999999999996</v>
      </c>
    </row>
    <row r="79" spans="1:17" customFormat="1">
      <c r="A79" s="100" t="s">
        <v>3091</v>
      </c>
      <c r="B79" s="100">
        <v>1.62</v>
      </c>
      <c r="C79" s="100">
        <v>37.659999999999997</v>
      </c>
      <c r="D79" s="100">
        <v>19.93</v>
      </c>
      <c r="E79" s="100">
        <v>12.59</v>
      </c>
      <c r="F79" s="100">
        <v>41.21</v>
      </c>
      <c r="G79" s="100">
        <v>48.17</v>
      </c>
      <c r="H79" s="100">
        <v>17.309999999999999</v>
      </c>
      <c r="I79" s="100">
        <v>4.47</v>
      </c>
      <c r="J79" s="100">
        <v>0.95</v>
      </c>
      <c r="K79" s="100">
        <v>255.13</v>
      </c>
      <c r="L79" s="100">
        <v>38.799999999999997</v>
      </c>
      <c r="M79" s="100">
        <v>22.2</v>
      </c>
      <c r="N79" s="100">
        <v>88.3</v>
      </c>
      <c r="O79" s="100">
        <v>0</v>
      </c>
      <c r="P79" s="100">
        <v>0.49</v>
      </c>
      <c r="Q79" s="100">
        <v>4.34</v>
      </c>
    </row>
    <row r="80" spans="1:17" customFormat="1">
      <c r="A80" s="100" t="s">
        <v>3092</v>
      </c>
      <c r="B80" s="100">
        <v>1.85</v>
      </c>
      <c r="C80" s="100">
        <v>39.4</v>
      </c>
      <c r="D80" s="100">
        <v>21.02</v>
      </c>
      <c r="E80" s="100">
        <v>11.41</v>
      </c>
      <c r="F80" s="100">
        <v>28.39</v>
      </c>
      <c r="G80" s="100">
        <v>48.17</v>
      </c>
      <c r="H80" s="100">
        <v>17.309999999999999</v>
      </c>
      <c r="I80" s="100">
        <v>4.54</v>
      </c>
      <c r="J80" s="100">
        <v>1.17</v>
      </c>
      <c r="K80" s="100">
        <v>280.62</v>
      </c>
      <c r="L80" s="100">
        <v>38.78</v>
      </c>
      <c r="M80" s="100">
        <v>21.62</v>
      </c>
      <c r="N80" s="100">
        <v>70.2</v>
      </c>
      <c r="O80" s="100">
        <v>0</v>
      </c>
      <c r="P80" s="100">
        <v>0.51</v>
      </c>
      <c r="Q80" s="100">
        <v>4.33</v>
      </c>
    </row>
    <row r="81" spans="1:17" customFormat="1">
      <c r="A81" s="100" t="s">
        <v>3093</v>
      </c>
      <c r="B81" s="100">
        <v>2.4500000000000002</v>
      </c>
      <c r="C81" s="100">
        <v>42.98</v>
      </c>
      <c r="D81" s="100">
        <v>23.37</v>
      </c>
      <c r="E81" s="100">
        <v>7.49</v>
      </c>
      <c r="F81" s="100">
        <v>29.93</v>
      </c>
      <c r="G81" s="100">
        <v>48.17</v>
      </c>
      <c r="H81" s="100">
        <v>17.309999999999999</v>
      </c>
      <c r="I81" s="100">
        <v>4.43</v>
      </c>
      <c r="J81" s="100">
        <v>0.99</v>
      </c>
      <c r="K81" s="100">
        <v>279.23</v>
      </c>
      <c r="L81" s="100">
        <v>38.450000000000003</v>
      </c>
      <c r="M81" s="100">
        <v>21.9</v>
      </c>
      <c r="N81" s="100">
        <v>24</v>
      </c>
      <c r="O81" s="100">
        <v>0</v>
      </c>
      <c r="P81" s="100">
        <v>0.53</v>
      </c>
      <c r="Q81" s="100">
        <v>4.34</v>
      </c>
    </row>
    <row r="82" spans="1:17" customFormat="1">
      <c r="A82" s="100" t="s">
        <v>3094</v>
      </c>
      <c r="B82" s="100">
        <v>3.21</v>
      </c>
      <c r="C82" s="100">
        <v>43.6</v>
      </c>
      <c r="D82" s="100">
        <v>24.31</v>
      </c>
      <c r="E82" s="100">
        <v>8.69</v>
      </c>
      <c r="F82" s="100">
        <v>27.36</v>
      </c>
      <c r="G82" s="100">
        <v>49.21</v>
      </c>
      <c r="H82" s="100">
        <v>17.09</v>
      </c>
      <c r="I82" s="100">
        <v>4.2699999999999996</v>
      </c>
      <c r="J82" s="100">
        <v>1.1399999999999999</v>
      </c>
      <c r="K82" s="100">
        <v>285.32</v>
      </c>
      <c r="L82" s="100">
        <v>38.04</v>
      </c>
      <c r="M82" s="100">
        <v>22.67</v>
      </c>
      <c r="N82" s="100">
        <v>3.9</v>
      </c>
      <c r="O82" s="100">
        <v>0</v>
      </c>
      <c r="P82" s="100">
        <v>0.55000000000000004</v>
      </c>
      <c r="Q82" s="100">
        <v>4.4000000000000004</v>
      </c>
    </row>
    <row r="83" spans="1:17" customFormat="1">
      <c r="A83" s="100" t="s">
        <v>3095</v>
      </c>
      <c r="B83" s="100">
        <v>4.62</v>
      </c>
      <c r="C83" s="100">
        <v>43.12</v>
      </c>
      <c r="D83" s="100">
        <v>25.19</v>
      </c>
      <c r="E83" s="100">
        <v>9.27</v>
      </c>
      <c r="F83" s="100">
        <v>24.66</v>
      </c>
      <c r="G83" s="100">
        <v>50.71</v>
      </c>
      <c r="H83" s="100">
        <v>16.89</v>
      </c>
      <c r="I83" s="100">
        <v>4.47</v>
      </c>
      <c r="J83" s="100">
        <v>1.02</v>
      </c>
      <c r="K83" s="100">
        <v>278.51</v>
      </c>
      <c r="L83" s="100">
        <v>37.659999999999997</v>
      </c>
      <c r="M83" s="100">
        <v>23.05</v>
      </c>
      <c r="N83" s="100">
        <v>0</v>
      </c>
      <c r="O83" s="100">
        <v>0</v>
      </c>
      <c r="P83" s="100">
        <v>0.54</v>
      </c>
      <c r="Q83" s="100">
        <v>4.43</v>
      </c>
    </row>
    <row r="84" spans="1:17" customFormat="1">
      <c r="A84" s="100" t="s">
        <v>3096</v>
      </c>
      <c r="B84" s="100">
        <v>4.13</v>
      </c>
      <c r="C84" s="100">
        <v>48.17</v>
      </c>
      <c r="D84" s="100">
        <v>27.43</v>
      </c>
      <c r="E84" s="100">
        <v>8.67</v>
      </c>
      <c r="F84" s="100">
        <v>21.59</v>
      </c>
      <c r="G84" s="100">
        <v>50.71</v>
      </c>
      <c r="H84" s="100">
        <v>16.89</v>
      </c>
      <c r="I84" s="100">
        <v>4.4800000000000004</v>
      </c>
      <c r="J84" s="100">
        <v>0.89</v>
      </c>
      <c r="K84" s="100">
        <v>277.41000000000003</v>
      </c>
      <c r="L84" s="100">
        <v>37.380000000000003</v>
      </c>
      <c r="M84" s="100">
        <v>23.41</v>
      </c>
      <c r="N84" s="100">
        <v>0</v>
      </c>
      <c r="O84" s="100">
        <v>0</v>
      </c>
      <c r="P84" s="100">
        <v>0.59</v>
      </c>
      <c r="Q84" s="100">
        <v>4.5199999999999996</v>
      </c>
    </row>
    <row r="85" spans="1:17" customFormat="1">
      <c r="A85" s="100" t="s">
        <v>3097</v>
      </c>
      <c r="B85" s="100">
        <v>4.37</v>
      </c>
      <c r="C85" s="100">
        <v>51.4</v>
      </c>
      <c r="D85" s="100">
        <v>29.31</v>
      </c>
      <c r="E85" s="100">
        <v>9.0299999999999994</v>
      </c>
      <c r="F85" s="100">
        <v>24.23</v>
      </c>
      <c r="G85" s="100">
        <v>50.71</v>
      </c>
      <c r="H85" s="100">
        <v>16.89</v>
      </c>
      <c r="I85" s="100">
        <v>4.62</v>
      </c>
      <c r="J85" s="100">
        <v>0.69</v>
      </c>
      <c r="K85" s="100">
        <v>272.42</v>
      </c>
      <c r="L85" s="100">
        <v>37</v>
      </c>
      <c r="M85" s="100">
        <v>23.98</v>
      </c>
      <c r="N85" s="100">
        <v>0</v>
      </c>
      <c r="O85" s="100">
        <v>0</v>
      </c>
      <c r="P85" s="100">
        <v>0.62</v>
      </c>
      <c r="Q85" s="100">
        <v>4.68</v>
      </c>
    </row>
    <row r="86" spans="1:17" customFormat="1">
      <c r="A86" s="100" t="s">
        <v>3098</v>
      </c>
      <c r="B86" s="100">
        <v>4.6500000000000004</v>
      </c>
      <c r="C86" s="100">
        <v>51.45</v>
      </c>
      <c r="D86" s="100">
        <v>29.56</v>
      </c>
      <c r="E86" s="100">
        <v>10.02</v>
      </c>
      <c r="F86" s="100">
        <v>27</v>
      </c>
      <c r="G86" s="100">
        <v>52.35</v>
      </c>
      <c r="H86" s="100">
        <v>16.97</v>
      </c>
      <c r="I86" s="100">
        <v>4.82</v>
      </c>
      <c r="J86" s="100">
        <v>0.59</v>
      </c>
      <c r="K86" s="100">
        <v>273.19</v>
      </c>
      <c r="L86" s="100">
        <v>36.630000000000003</v>
      </c>
      <c r="M86" s="100">
        <v>24.79</v>
      </c>
      <c r="N86" s="100">
        <v>0</v>
      </c>
      <c r="O86" s="100">
        <v>0</v>
      </c>
      <c r="P86" s="100">
        <v>0.68</v>
      </c>
      <c r="Q86" s="100">
        <v>4.7</v>
      </c>
    </row>
    <row r="87" spans="1:17" customFormat="1">
      <c r="A87" s="100" t="s">
        <v>3099</v>
      </c>
      <c r="B87" s="100">
        <v>5.56</v>
      </c>
      <c r="C87" s="100">
        <v>53.97</v>
      </c>
      <c r="D87" s="100">
        <v>31.61</v>
      </c>
      <c r="E87" s="100">
        <v>9.67</v>
      </c>
      <c r="F87" s="100">
        <v>24.13</v>
      </c>
      <c r="G87" s="100">
        <v>54.7</v>
      </c>
      <c r="H87" s="100">
        <v>17.16</v>
      </c>
      <c r="I87" s="100">
        <v>4.87</v>
      </c>
      <c r="J87" s="100">
        <v>0.67</v>
      </c>
      <c r="K87" s="100">
        <v>270.69</v>
      </c>
      <c r="L87" s="100">
        <v>36.479999999999997</v>
      </c>
      <c r="M87" s="100">
        <v>25.01</v>
      </c>
      <c r="N87" s="100">
        <v>0</v>
      </c>
      <c r="O87" s="100">
        <v>0</v>
      </c>
      <c r="P87" s="100">
        <v>0.67</v>
      </c>
      <c r="Q87" s="100">
        <v>4.7</v>
      </c>
    </row>
    <row r="88" spans="1:17" customFormat="1">
      <c r="A88" s="100" t="s">
        <v>3100</v>
      </c>
      <c r="B88" s="100">
        <v>5.0999999999999996</v>
      </c>
      <c r="C88" s="100">
        <v>49.24</v>
      </c>
      <c r="D88" s="100">
        <v>28.77</v>
      </c>
      <c r="E88" s="100">
        <v>9.81</v>
      </c>
      <c r="F88" s="100">
        <v>28.73</v>
      </c>
      <c r="G88" s="100">
        <v>54.7</v>
      </c>
      <c r="H88" s="100">
        <v>17.16</v>
      </c>
      <c r="I88" s="100">
        <v>5.93</v>
      </c>
      <c r="J88" s="100">
        <v>0.47</v>
      </c>
      <c r="K88" s="100">
        <v>260.60000000000002</v>
      </c>
      <c r="L88" s="100">
        <v>36.03</v>
      </c>
      <c r="M88" s="100">
        <v>26.1</v>
      </c>
      <c r="N88" s="100">
        <v>0</v>
      </c>
      <c r="O88" s="100">
        <v>0</v>
      </c>
      <c r="P88" s="100">
        <v>0.66</v>
      </c>
      <c r="Q88" s="100">
        <v>4.68</v>
      </c>
    </row>
    <row r="89" spans="1:17" customFormat="1">
      <c r="A89" s="100" t="s">
        <v>3101</v>
      </c>
      <c r="B89" s="100">
        <v>5.38</v>
      </c>
      <c r="C89" s="100">
        <v>49.15</v>
      </c>
      <c r="D89" s="100">
        <v>28.95</v>
      </c>
      <c r="E89" s="100">
        <v>10.37</v>
      </c>
      <c r="F89" s="100">
        <v>27.03</v>
      </c>
      <c r="G89" s="100">
        <v>54.7</v>
      </c>
      <c r="H89" s="100">
        <v>17.16</v>
      </c>
      <c r="I89" s="100">
        <v>6.86</v>
      </c>
      <c r="J89" s="100">
        <v>0.24</v>
      </c>
      <c r="K89" s="100">
        <v>236.04</v>
      </c>
      <c r="L89" s="100">
        <v>35.79</v>
      </c>
      <c r="M89" s="100">
        <v>26.77</v>
      </c>
      <c r="N89" s="100">
        <v>0</v>
      </c>
      <c r="O89" s="100">
        <v>0</v>
      </c>
      <c r="P89" s="100">
        <v>0.7</v>
      </c>
      <c r="Q89" s="100">
        <v>4.67</v>
      </c>
    </row>
    <row r="90" spans="1:17" customFormat="1">
      <c r="A90" s="100" t="s">
        <v>3102</v>
      </c>
      <c r="B90" s="100">
        <v>4.72</v>
      </c>
      <c r="C90" s="100">
        <v>46.26</v>
      </c>
      <c r="D90" s="100">
        <v>26.91</v>
      </c>
      <c r="E90" s="100">
        <v>10.29</v>
      </c>
      <c r="F90" s="100">
        <v>28.62</v>
      </c>
      <c r="G90" s="100">
        <v>54.35</v>
      </c>
      <c r="H90" s="100">
        <v>17.13</v>
      </c>
      <c r="I90" s="100">
        <v>5.97</v>
      </c>
      <c r="J90" s="100">
        <v>0.28999999999999998</v>
      </c>
      <c r="K90" s="100">
        <v>196.72</v>
      </c>
      <c r="L90" s="100">
        <v>35.119999999999997</v>
      </c>
      <c r="M90" s="100">
        <v>28.77</v>
      </c>
      <c r="N90" s="100">
        <v>0</v>
      </c>
      <c r="O90" s="100">
        <v>0</v>
      </c>
      <c r="P90" s="100">
        <v>0.68</v>
      </c>
      <c r="Q90" s="100">
        <v>4.6900000000000004</v>
      </c>
    </row>
    <row r="91" spans="1:17" customFormat="1">
      <c r="A91" s="100" t="s">
        <v>3103</v>
      </c>
      <c r="B91" s="100">
        <v>5.41</v>
      </c>
      <c r="C91" s="100">
        <v>45.01</v>
      </c>
      <c r="D91" s="100">
        <v>26.81</v>
      </c>
      <c r="E91" s="100">
        <v>8.52</v>
      </c>
      <c r="F91" s="100">
        <v>23.29</v>
      </c>
      <c r="G91" s="100">
        <v>53.85</v>
      </c>
      <c r="H91" s="100">
        <v>17.11</v>
      </c>
      <c r="I91" s="100">
        <v>5.43</v>
      </c>
      <c r="J91" s="100">
        <v>0.23</v>
      </c>
      <c r="K91" s="100">
        <v>186.8</v>
      </c>
      <c r="L91" s="100">
        <v>34.229999999999997</v>
      </c>
      <c r="M91" s="100">
        <v>31.44</v>
      </c>
      <c r="N91" s="100">
        <v>0</v>
      </c>
      <c r="O91" s="100">
        <v>0</v>
      </c>
      <c r="P91" s="100">
        <v>0.64</v>
      </c>
      <c r="Q91" s="100">
        <v>4.7699999999999996</v>
      </c>
    </row>
    <row r="92" spans="1:17" customFormat="1">
      <c r="A92" s="100" t="s">
        <v>3104</v>
      </c>
      <c r="B92" s="100">
        <v>5.25</v>
      </c>
      <c r="C92" s="100">
        <v>42.78</v>
      </c>
      <c r="D92" s="100">
        <v>25.52</v>
      </c>
      <c r="E92" s="100">
        <v>11.32</v>
      </c>
      <c r="F92" s="100">
        <v>31.96</v>
      </c>
      <c r="G92" s="100">
        <v>53.85</v>
      </c>
      <c r="H92" s="100">
        <v>17.11</v>
      </c>
      <c r="I92" s="100">
        <v>5.5</v>
      </c>
      <c r="J92" s="100">
        <v>0.1</v>
      </c>
      <c r="K92" s="100">
        <v>102.8</v>
      </c>
      <c r="L92" s="100">
        <v>33.840000000000003</v>
      </c>
      <c r="M92" s="100">
        <v>32.83</v>
      </c>
      <c r="N92" s="100">
        <v>0</v>
      </c>
      <c r="O92" s="100">
        <v>0</v>
      </c>
      <c r="P92" s="100">
        <v>0.56999999999999995</v>
      </c>
      <c r="Q92" s="100">
        <v>4.9000000000000004</v>
      </c>
    </row>
    <row r="93" spans="1:17" customFormat="1">
      <c r="A93" s="100" t="s">
        <v>3105</v>
      </c>
      <c r="B93" s="100">
        <v>6.17</v>
      </c>
      <c r="C93" s="100">
        <v>43.35</v>
      </c>
      <c r="D93" s="100">
        <v>26.55</v>
      </c>
      <c r="E93" s="100">
        <v>10.68</v>
      </c>
      <c r="F93" s="100">
        <v>30.49</v>
      </c>
      <c r="G93" s="100">
        <v>53.85</v>
      </c>
      <c r="H93" s="100">
        <v>17.11</v>
      </c>
      <c r="I93" s="100">
        <v>5.3</v>
      </c>
      <c r="J93" s="100">
        <v>0.17</v>
      </c>
      <c r="K93" s="100">
        <v>113.65</v>
      </c>
      <c r="L93" s="100">
        <v>34.07</v>
      </c>
      <c r="M93" s="100">
        <v>33.36</v>
      </c>
      <c r="N93" s="100">
        <v>0</v>
      </c>
      <c r="O93" s="100">
        <v>0</v>
      </c>
      <c r="P93" s="100">
        <v>0.56999999999999995</v>
      </c>
      <c r="Q93" s="100">
        <v>4.84</v>
      </c>
    </row>
    <row r="94" spans="1:17" customFormat="1">
      <c r="A94" s="100" t="s">
        <v>3106</v>
      </c>
      <c r="B94" s="100">
        <v>6.44</v>
      </c>
      <c r="C94" s="100">
        <v>44.43</v>
      </c>
      <c r="D94" s="100">
        <v>27.33</v>
      </c>
      <c r="E94" s="100">
        <v>8.86</v>
      </c>
      <c r="F94" s="100">
        <v>29.92</v>
      </c>
      <c r="G94" s="100">
        <v>54.39</v>
      </c>
      <c r="H94" s="100">
        <v>16.97</v>
      </c>
      <c r="I94" s="100">
        <v>4.78</v>
      </c>
      <c r="J94" s="100">
        <v>0.34</v>
      </c>
      <c r="K94" s="100">
        <v>102.15</v>
      </c>
      <c r="L94" s="100">
        <v>33.61</v>
      </c>
      <c r="M94" s="100">
        <v>35.85</v>
      </c>
      <c r="N94" s="100">
        <v>0</v>
      </c>
      <c r="O94" s="100">
        <v>0</v>
      </c>
      <c r="P94" s="100">
        <v>0.6</v>
      </c>
      <c r="Q94" s="100">
        <v>4.8499999999999996</v>
      </c>
    </row>
    <row r="95" spans="1:17" customFormat="1">
      <c r="A95" s="100" t="s">
        <v>3107</v>
      </c>
      <c r="B95" s="100">
        <v>5.96</v>
      </c>
      <c r="C95" s="100">
        <v>41.08</v>
      </c>
      <c r="D95" s="100">
        <v>25.2</v>
      </c>
      <c r="E95" s="100">
        <v>8.9700000000000006</v>
      </c>
      <c r="F95" s="100">
        <v>34.270000000000003</v>
      </c>
      <c r="G95" s="100">
        <v>55.15</v>
      </c>
      <c r="H95" s="100">
        <v>16.850000000000001</v>
      </c>
      <c r="I95" s="100">
        <v>4.67</v>
      </c>
      <c r="J95" s="100">
        <v>0.3</v>
      </c>
      <c r="K95" s="100">
        <v>95.38</v>
      </c>
      <c r="L95" s="100">
        <v>33.03</v>
      </c>
      <c r="M95" s="100">
        <v>37.65</v>
      </c>
      <c r="N95" s="100">
        <v>0</v>
      </c>
      <c r="O95" s="100">
        <v>0</v>
      </c>
      <c r="P95" s="100">
        <v>0.56999999999999995</v>
      </c>
      <c r="Q95" s="100">
        <v>4.79</v>
      </c>
    </row>
    <row r="96" spans="1:17" customFormat="1">
      <c r="A96" s="100" t="s">
        <v>3108</v>
      </c>
      <c r="B96" s="100">
        <v>7.33</v>
      </c>
      <c r="C96" s="100">
        <v>46.72</v>
      </c>
      <c r="D96" s="100">
        <v>29.24</v>
      </c>
      <c r="E96" s="100">
        <v>7.84</v>
      </c>
      <c r="F96" s="100">
        <v>20.3</v>
      </c>
      <c r="G96" s="100">
        <v>55.15</v>
      </c>
      <c r="H96" s="100">
        <v>16.850000000000001</v>
      </c>
      <c r="I96" s="100">
        <v>4.82</v>
      </c>
      <c r="J96" s="100">
        <v>0.35</v>
      </c>
      <c r="K96" s="100">
        <v>115.99</v>
      </c>
      <c r="L96" s="100">
        <v>32.76</v>
      </c>
      <c r="M96" s="100">
        <v>38.380000000000003</v>
      </c>
      <c r="N96" s="100">
        <v>0</v>
      </c>
      <c r="O96" s="100">
        <v>0</v>
      </c>
      <c r="P96" s="100">
        <v>0.62</v>
      </c>
      <c r="Q96" s="100">
        <v>4.79</v>
      </c>
    </row>
    <row r="97" spans="1:22" customFormat="1">
      <c r="A97" s="100" t="s">
        <v>3109</v>
      </c>
      <c r="B97" s="100">
        <v>6.89</v>
      </c>
      <c r="C97" s="100">
        <v>43.78</v>
      </c>
      <c r="D97" s="100">
        <v>27.35</v>
      </c>
      <c r="E97" s="100">
        <v>8.59</v>
      </c>
      <c r="F97" s="100">
        <v>22.64</v>
      </c>
      <c r="G97" s="100">
        <v>55.15</v>
      </c>
      <c r="H97" s="100">
        <v>16.850000000000001</v>
      </c>
      <c r="I97" s="100">
        <v>4.8099999999999996</v>
      </c>
      <c r="J97" s="100">
        <v>0.33</v>
      </c>
      <c r="K97" s="100">
        <v>124.4</v>
      </c>
      <c r="L97" s="100">
        <v>32.340000000000003</v>
      </c>
      <c r="M97" s="100">
        <v>39.72</v>
      </c>
      <c r="N97" s="100">
        <v>0</v>
      </c>
      <c r="O97" s="100">
        <v>0</v>
      </c>
      <c r="P97" s="100">
        <v>0.61</v>
      </c>
      <c r="Q97" s="100">
        <v>4.82</v>
      </c>
    </row>
    <row r="98" spans="1:22" customFormat="1">
      <c r="A98" s="100" t="s">
        <v>3110</v>
      </c>
      <c r="B98" s="100">
        <v>7.41</v>
      </c>
      <c r="C98" s="100">
        <v>47.63</v>
      </c>
      <c r="D98" s="100">
        <v>29.79</v>
      </c>
      <c r="E98" s="100">
        <v>7.97</v>
      </c>
      <c r="F98" s="100">
        <v>23.99</v>
      </c>
      <c r="G98" s="100">
        <v>53.42</v>
      </c>
      <c r="H98" s="100">
        <v>18.600000000000001</v>
      </c>
      <c r="I98" s="100">
        <v>4.9400000000000004</v>
      </c>
      <c r="J98" s="100">
        <v>0.28000000000000003</v>
      </c>
      <c r="K98" s="100">
        <v>160.59</v>
      </c>
      <c r="L98" s="100">
        <v>32.15</v>
      </c>
      <c r="M98" s="100">
        <v>40.75</v>
      </c>
      <c r="N98" s="100">
        <v>0</v>
      </c>
      <c r="O98" s="100">
        <v>0</v>
      </c>
      <c r="P98" s="100">
        <v>0.64</v>
      </c>
      <c r="Q98" s="100">
        <v>4.88</v>
      </c>
    </row>
    <row r="99" spans="1:22" customFormat="1">
      <c r="A99" s="100" t="s">
        <v>3111</v>
      </c>
      <c r="B99" s="100">
        <v>7.4</v>
      </c>
      <c r="C99" s="100">
        <v>44.93</v>
      </c>
      <c r="D99" s="100">
        <v>28.37</v>
      </c>
      <c r="E99" s="100">
        <v>8.2200000000000006</v>
      </c>
      <c r="F99" s="100">
        <v>21.36</v>
      </c>
      <c r="G99" s="100">
        <v>50.93</v>
      </c>
      <c r="H99" s="100">
        <v>20.100000000000001</v>
      </c>
      <c r="I99" s="100">
        <v>4.9800000000000004</v>
      </c>
      <c r="J99" s="100">
        <v>0.21</v>
      </c>
      <c r="K99" s="100">
        <v>148.51</v>
      </c>
      <c r="L99" s="100">
        <v>31.96</v>
      </c>
      <c r="M99" s="100">
        <v>41.5</v>
      </c>
      <c r="N99" s="100">
        <v>0</v>
      </c>
      <c r="O99" s="100">
        <v>0</v>
      </c>
      <c r="P99" s="100">
        <v>0.63</v>
      </c>
      <c r="Q99" s="100">
        <v>4.8499999999999996</v>
      </c>
    </row>
    <row r="100" spans="1:22" customFormat="1">
      <c r="A100" s="100" t="s">
        <v>3112</v>
      </c>
      <c r="B100" s="100">
        <v>7.51</v>
      </c>
      <c r="C100" s="100">
        <v>47.49</v>
      </c>
      <c r="D100" s="100">
        <v>29.79</v>
      </c>
      <c r="E100" s="100">
        <v>7.88</v>
      </c>
      <c r="F100" s="100">
        <v>23.87</v>
      </c>
      <c r="G100" s="100">
        <v>50.93</v>
      </c>
      <c r="H100" s="100">
        <v>20.100000000000001</v>
      </c>
      <c r="I100" s="100">
        <v>5</v>
      </c>
      <c r="J100" s="100">
        <v>0.11</v>
      </c>
      <c r="K100" s="100">
        <v>175.93</v>
      </c>
      <c r="L100" s="100">
        <v>31.78</v>
      </c>
      <c r="M100" s="100">
        <v>42.57</v>
      </c>
      <c r="N100" s="100">
        <v>0</v>
      </c>
      <c r="O100" s="100">
        <v>0</v>
      </c>
      <c r="P100" s="100">
        <v>0.63</v>
      </c>
      <c r="Q100" s="100">
        <v>4.88</v>
      </c>
    </row>
    <row r="101" spans="1:22" customFormat="1">
      <c r="A101" s="100" t="s">
        <v>3113</v>
      </c>
      <c r="B101" s="100">
        <v>7.71</v>
      </c>
      <c r="C101" s="100">
        <v>45.73</v>
      </c>
      <c r="D101" s="100">
        <v>29.03</v>
      </c>
      <c r="E101" s="100">
        <v>8.02</v>
      </c>
      <c r="F101" s="100">
        <v>20.38</v>
      </c>
      <c r="G101" s="100">
        <v>50.93</v>
      </c>
      <c r="H101" s="100">
        <v>20.100000000000001</v>
      </c>
      <c r="I101" s="100">
        <v>5</v>
      </c>
      <c r="J101" s="100">
        <v>0.09</v>
      </c>
      <c r="K101" s="100">
        <v>112.26</v>
      </c>
      <c r="L101" s="100">
        <v>31.57</v>
      </c>
      <c r="M101" s="100">
        <v>43.43</v>
      </c>
      <c r="N101" s="100">
        <v>0</v>
      </c>
      <c r="O101" s="100">
        <v>0</v>
      </c>
      <c r="P101" s="100">
        <v>0.63</v>
      </c>
      <c r="Q101" s="100">
        <v>4.8499999999999996</v>
      </c>
    </row>
    <row r="102" spans="1:22" customFormat="1">
      <c r="A102" s="100" t="s">
        <v>3114</v>
      </c>
      <c r="B102" s="100">
        <v>7.68</v>
      </c>
      <c r="C102" s="100">
        <v>41.84</v>
      </c>
      <c r="D102" s="100">
        <v>26.97</v>
      </c>
      <c r="E102" s="100">
        <v>7.96</v>
      </c>
      <c r="F102" s="100">
        <v>28.35</v>
      </c>
      <c r="G102" s="100">
        <v>49.36</v>
      </c>
      <c r="H102" s="100">
        <v>19.61</v>
      </c>
      <c r="I102" s="100">
        <v>5.09</v>
      </c>
      <c r="J102" s="100">
        <v>0.15</v>
      </c>
      <c r="K102" s="100">
        <v>241.34</v>
      </c>
      <c r="L102" s="100">
        <v>31.52</v>
      </c>
      <c r="M102" s="100">
        <v>43.9</v>
      </c>
      <c r="N102" s="100">
        <v>0</v>
      </c>
      <c r="O102" s="100">
        <v>0</v>
      </c>
      <c r="P102" s="100">
        <v>0.62</v>
      </c>
      <c r="Q102" s="100">
        <v>4.8899999999999997</v>
      </c>
    </row>
    <row r="103" spans="1:22" customFormat="1">
      <c r="A103" s="100" t="s">
        <v>3115</v>
      </c>
      <c r="B103" s="100">
        <v>8.7100000000000009</v>
      </c>
      <c r="C103" s="100">
        <v>47.96</v>
      </c>
      <c r="D103" s="100">
        <v>31</v>
      </c>
      <c r="E103" s="100">
        <v>6.96</v>
      </c>
      <c r="F103" s="100">
        <v>15.32</v>
      </c>
      <c r="G103" s="100">
        <v>47.12</v>
      </c>
      <c r="H103" s="100">
        <v>19.190000000000001</v>
      </c>
      <c r="I103" s="100">
        <v>4.93</v>
      </c>
      <c r="J103" s="100">
        <v>0.14000000000000001</v>
      </c>
      <c r="K103" s="100">
        <v>231</v>
      </c>
      <c r="L103" s="100">
        <v>31.11</v>
      </c>
      <c r="M103" s="100">
        <v>45.66</v>
      </c>
      <c r="N103" s="100">
        <v>0</v>
      </c>
      <c r="O103" s="100">
        <v>0</v>
      </c>
      <c r="P103" s="100">
        <v>0.64</v>
      </c>
      <c r="Q103" s="100">
        <v>4.8600000000000003</v>
      </c>
    </row>
    <row r="104" spans="1:22" customFormat="1">
      <c r="A104" s="100" t="s">
        <v>3116</v>
      </c>
      <c r="B104" s="100">
        <v>7.97</v>
      </c>
      <c r="C104" s="100">
        <v>45.52</v>
      </c>
      <c r="D104" s="100">
        <v>29.12</v>
      </c>
      <c r="E104" s="100">
        <v>7.86</v>
      </c>
      <c r="F104" s="100">
        <v>24.84</v>
      </c>
      <c r="G104" s="100">
        <v>47.12</v>
      </c>
      <c r="H104" s="100">
        <v>19.190000000000001</v>
      </c>
      <c r="I104" s="100">
        <v>4.9000000000000004</v>
      </c>
      <c r="J104" s="100">
        <v>0.08</v>
      </c>
      <c r="K104" s="100">
        <v>267.61</v>
      </c>
      <c r="L104" s="100">
        <v>30.71</v>
      </c>
      <c r="M104" s="100">
        <v>47.26</v>
      </c>
      <c r="N104" s="100">
        <v>0</v>
      </c>
      <c r="O104" s="100">
        <v>0</v>
      </c>
      <c r="P104" s="100">
        <v>0.62</v>
      </c>
      <c r="Q104" s="100">
        <v>4.97</v>
      </c>
    </row>
    <row r="106" spans="1:22">
      <c r="A106" s="157" t="s">
        <v>48</v>
      </c>
      <c r="B106" s="158">
        <f>MIN(B9:B104)</f>
        <v>1.57</v>
      </c>
      <c r="C106" s="158">
        <f>MIN(C9:C104)</f>
        <v>35.799999999999997</v>
      </c>
      <c r="D106" s="158">
        <f t="shared" ref="D106:Q106" si="0">MIN(D9:D104)</f>
        <v>19.260000000000002</v>
      </c>
      <c r="E106" s="158">
        <f t="shared" si="0"/>
        <v>6.07</v>
      </c>
      <c r="F106" s="158">
        <f t="shared" si="0"/>
        <v>6.32</v>
      </c>
      <c r="G106" s="158">
        <f t="shared" si="0"/>
        <v>37.619999999999997</v>
      </c>
      <c r="H106" s="158">
        <f t="shared" si="0"/>
        <v>14.97</v>
      </c>
      <c r="I106" s="158">
        <f t="shared" si="0"/>
        <v>4.2699999999999996</v>
      </c>
      <c r="J106" s="158">
        <f t="shared" si="0"/>
        <v>0.08</v>
      </c>
      <c r="K106" s="158">
        <f t="shared" si="0"/>
        <v>95.38</v>
      </c>
      <c r="L106" s="158">
        <f t="shared" si="0"/>
        <v>28.17</v>
      </c>
      <c r="M106" s="158">
        <f t="shared" si="0"/>
        <v>19.62</v>
      </c>
      <c r="N106" s="158">
        <f t="shared" si="0"/>
        <v>0</v>
      </c>
      <c r="O106" s="158">
        <f t="shared" si="0"/>
        <v>0</v>
      </c>
      <c r="P106" s="158">
        <f t="shared" si="0"/>
        <v>0.49</v>
      </c>
      <c r="Q106" s="158">
        <f t="shared" si="0"/>
        <v>4.33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19.89</v>
      </c>
      <c r="C107" s="157">
        <f t="shared" ref="C107:Q107" si="1">MAX(C9:C104)</f>
        <v>59.6</v>
      </c>
      <c r="D107" s="157">
        <f t="shared" si="1"/>
        <v>46.04</v>
      </c>
      <c r="E107" s="157">
        <f t="shared" si="1"/>
        <v>17.84</v>
      </c>
      <c r="F107" s="157">
        <f t="shared" si="1"/>
        <v>43.05</v>
      </c>
      <c r="G107" s="157">
        <f t="shared" si="1"/>
        <v>79.19</v>
      </c>
      <c r="H107" s="157">
        <f t="shared" si="1"/>
        <v>28.67</v>
      </c>
      <c r="I107" s="157">
        <f t="shared" si="1"/>
        <v>8.25</v>
      </c>
      <c r="J107" s="157">
        <f t="shared" si="1"/>
        <v>1.2</v>
      </c>
      <c r="K107" s="157">
        <f t="shared" si="1"/>
        <v>305.45999999999998</v>
      </c>
      <c r="L107" s="157">
        <f t="shared" si="1"/>
        <v>41.34</v>
      </c>
      <c r="M107" s="157">
        <f t="shared" si="1"/>
        <v>59.18</v>
      </c>
      <c r="N107" s="157">
        <f t="shared" si="1"/>
        <v>796.8</v>
      </c>
      <c r="O107" s="157">
        <f t="shared" si="1"/>
        <v>0</v>
      </c>
      <c r="P107" s="157">
        <f t="shared" si="1"/>
        <v>0.84</v>
      </c>
      <c r="Q107" s="157">
        <f t="shared" si="1"/>
        <v>5.53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8.4128124999999994</v>
      </c>
      <c r="C108" s="158">
        <f t="shared" ref="C108:Q108" si="2">AVERAGE(C9:C104)</f>
        <v>47.709270833333335</v>
      </c>
      <c r="D108" s="158">
        <f t="shared" si="2"/>
        <v>30.62802083333332</v>
      </c>
      <c r="E108" s="158">
        <f t="shared" si="2"/>
        <v>9.3560416666666679</v>
      </c>
      <c r="F108" s="158">
        <f t="shared" si="2"/>
        <v>21.975312500000005</v>
      </c>
      <c r="G108" s="158">
        <f t="shared" si="2"/>
        <v>51.547812500000013</v>
      </c>
      <c r="H108" s="158">
        <f t="shared" si="2"/>
        <v>20.159791666666667</v>
      </c>
      <c r="I108" s="158">
        <f t="shared" si="2"/>
        <v>6.1117708333333338</v>
      </c>
      <c r="J108" s="158">
        <f t="shared" si="2"/>
        <v>0.59958333333333347</v>
      </c>
      <c r="K108" s="158">
        <f t="shared" si="2"/>
        <v>234.83031250000002</v>
      </c>
      <c r="L108" s="158">
        <f t="shared" si="2"/>
        <v>34.674375000000019</v>
      </c>
      <c r="M108" s="158">
        <f t="shared" si="2"/>
        <v>37.078958333333347</v>
      </c>
      <c r="N108" s="158">
        <f t="shared" si="2"/>
        <v>163.22916666666669</v>
      </c>
      <c r="O108" s="158">
        <f t="shared" si="2"/>
        <v>0</v>
      </c>
      <c r="P108" s="158">
        <f t="shared" si="2"/>
        <v>0.6854166666666669</v>
      </c>
      <c r="Q108" s="158">
        <f t="shared" si="2"/>
        <v>4.8751041666666675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5.5183400828271649</v>
      </c>
      <c r="C109" s="158">
        <f t="shared" ref="C109:Q109" si="3">STDEV(C9:C104)</f>
        <v>6.4115056520193523</v>
      </c>
      <c r="D109" s="158">
        <f t="shared" si="3"/>
        <v>7.5311452431383881</v>
      </c>
      <c r="E109" s="158">
        <f t="shared" si="3"/>
        <v>2.5075811281063336</v>
      </c>
      <c r="F109" s="158">
        <f t="shared" si="3"/>
        <v>9.857753021767067</v>
      </c>
      <c r="G109" s="158">
        <f t="shared" si="3"/>
        <v>8.7628180042152035</v>
      </c>
      <c r="H109" s="158">
        <f t="shared" si="3"/>
        <v>3.6634978911207261</v>
      </c>
      <c r="I109" s="158">
        <f t="shared" si="3"/>
        <v>0.95351316585359847</v>
      </c>
      <c r="J109" s="158">
        <f t="shared" si="3"/>
        <v>0.39073188186884866</v>
      </c>
      <c r="K109" s="158">
        <f t="shared" si="3"/>
        <v>51.793670441435459</v>
      </c>
      <c r="L109" s="158">
        <f t="shared" si="3"/>
        <v>4.3804519864120213</v>
      </c>
      <c r="M109" s="158">
        <f t="shared" si="3"/>
        <v>13.013205477446535</v>
      </c>
      <c r="N109" s="158">
        <f t="shared" si="3"/>
        <v>243.03887621299842</v>
      </c>
      <c r="O109" s="158">
        <f t="shared" si="3"/>
        <v>0</v>
      </c>
      <c r="P109" s="158">
        <f t="shared" si="3"/>
        <v>9.4322143034743677E-2</v>
      </c>
      <c r="Q109" s="158">
        <f t="shared" si="3"/>
        <v>0.35872579996621862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V117"/>
  <sheetViews>
    <sheetView zoomScale="85" zoomScaleNormal="85" workbookViewId="0">
      <pane ySplit="8" topLeftCell="A9" activePane="bottomLeft" state="frozen"/>
      <selection pane="bottomLef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31/05/2023 00:15</v>
      </c>
      <c r="C2" s="163" t="s">
        <v>3</v>
      </c>
      <c r="D2" s="163"/>
      <c r="E2" s="163"/>
      <c r="F2" s="163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3" t="s">
        <v>11</v>
      </c>
      <c r="D3" s="163"/>
      <c r="E3" s="163"/>
      <c r="F3" s="163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3" t="s">
        <v>18</v>
      </c>
      <c r="D4" s="163"/>
      <c r="E4" s="163"/>
      <c r="F4" s="163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3117</v>
      </c>
      <c r="B9" s="100">
        <v>8.6999999999999993</v>
      </c>
      <c r="C9" s="100">
        <v>42.83</v>
      </c>
      <c r="D9" s="100">
        <v>28.31</v>
      </c>
      <c r="E9" s="100">
        <v>7.6</v>
      </c>
      <c r="F9" s="100">
        <v>19.29</v>
      </c>
      <c r="G9" s="100">
        <v>47.12</v>
      </c>
      <c r="H9" s="100">
        <v>19.190000000000001</v>
      </c>
      <c r="I9" s="100">
        <v>4.9000000000000004</v>
      </c>
      <c r="J9" s="100">
        <v>0.1</v>
      </c>
      <c r="K9" s="100">
        <v>218.75</v>
      </c>
      <c r="L9" s="100">
        <v>30.55</v>
      </c>
      <c r="M9" s="100">
        <v>48.02</v>
      </c>
      <c r="N9" s="100">
        <v>0</v>
      </c>
      <c r="O9" s="100">
        <v>0</v>
      </c>
      <c r="P9" s="100">
        <v>0.61</v>
      </c>
      <c r="Q9" s="100">
        <v>4.8600000000000003</v>
      </c>
    </row>
    <row r="10" spans="1:21" customFormat="1">
      <c r="A10" s="100" t="s">
        <v>3118</v>
      </c>
      <c r="B10" s="100">
        <v>8.4</v>
      </c>
      <c r="C10" s="100">
        <v>44.18</v>
      </c>
      <c r="D10" s="100">
        <v>28.77</v>
      </c>
      <c r="E10" s="100">
        <v>8</v>
      </c>
      <c r="F10" s="100">
        <v>23.06</v>
      </c>
      <c r="G10" s="100">
        <v>46.68</v>
      </c>
      <c r="H10" s="100">
        <v>19.350000000000001</v>
      </c>
      <c r="I10" s="100">
        <v>4.76</v>
      </c>
      <c r="J10" s="100">
        <v>0.14000000000000001</v>
      </c>
      <c r="K10" s="100">
        <v>199.69</v>
      </c>
      <c r="L10" s="100">
        <v>30.27</v>
      </c>
      <c r="M10" s="100">
        <v>49.2</v>
      </c>
      <c r="N10" s="100">
        <v>0</v>
      </c>
      <c r="O10" s="100">
        <v>0</v>
      </c>
      <c r="P10" s="100">
        <v>0.6</v>
      </c>
      <c r="Q10" s="100">
        <v>4.9400000000000004</v>
      </c>
    </row>
    <row r="11" spans="1:21" customFormat="1">
      <c r="A11" s="100" t="s">
        <v>3119</v>
      </c>
      <c r="B11" s="100">
        <v>9.31</v>
      </c>
      <c r="C11" s="100">
        <v>48.78</v>
      </c>
      <c r="D11" s="100">
        <v>31.91</v>
      </c>
      <c r="E11" s="100">
        <v>7.57</v>
      </c>
      <c r="F11" s="100">
        <v>16.11</v>
      </c>
      <c r="G11" s="100">
        <v>46.06</v>
      </c>
      <c r="H11" s="100">
        <v>19.489999999999998</v>
      </c>
      <c r="I11" s="100">
        <v>4.6900000000000004</v>
      </c>
      <c r="J11" s="100">
        <v>0.17</v>
      </c>
      <c r="K11" s="100">
        <v>207.4</v>
      </c>
      <c r="L11" s="100">
        <v>30.06</v>
      </c>
      <c r="M11" s="100">
        <v>49.81</v>
      </c>
      <c r="N11" s="100">
        <v>0</v>
      </c>
      <c r="O11" s="100">
        <v>0</v>
      </c>
      <c r="P11" s="100">
        <v>0.63</v>
      </c>
      <c r="Q11" s="100">
        <v>4.96</v>
      </c>
    </row>
    <row r="12" spans="1:21" customFormat="1">
      <c r="A12" s="100" t="s">
        <v>3120</v>
      </c>
      <c r="B12" s="100">
        <v>9.23</v>
      </c>
      <c r="C12" s="100">
        <v>46.17</v>
      </c>
      <c r="D12" s="100">
        <v>30.48</v>
      </c>
      <c r="E12" s="100">
        <v>7.66</v>
      </c>
      <c r="F12" s="100">
        <v>15</v>
      </c>
      <c r="G12" s="100">
        <v>46.06</v>
      </c>
      <c r="H12" s="100">
        <v>19.489999999999998</v>
      </c>
      <c r="I12" s="100">
        <v>4.91</v>
      </c>
      <c r="J12" s="100">
        <v>0.13</v>
      </c>
      <c r="K12" s="100">
        <v>190.72</v>
      </c>
      <c r="L12" s="100">
        <v>29.87</v>
      </c>
      <c r="M12" s="100">
        <v>50.8</v>
      </c>
      <c r="N12" s="100">
        <v>0</v>
      </c>
      <c r="O12" s="100">
        <v>0</v>
      </c>
      <c r="P12" s="100">
        <v>0.63</v>
      </c>
      <c r="Q12" s="100">
        <v>4.95</v>
      </c>
    </row>
    <row r="13" spans="1:21" customFormat="1">
      <c r="A13" s="100" t="s">
        <v>3121</v>
      </c>
      <c r="B13" s="100">
        <v>9.5399999999999991</v>
      </c>
      <c r="C13" s="100">
        <v>47.42</v>
      </c>
      <c r="D13" s="100">
        <v>31.38</v>
      </c>
      <c r="E13" s="100">
        <v>7.62</v>
      </c>
      <c r="F13" s="100">
        <v>15.99</v>
      </c>
      <c r="G13" s="100">
        <v>46.06</v>
      </c>
      <c r="H13" s="100">
        <v>19.489999999999998</v>
      </c>
      <c r="I13" s="100">
        <v>4.9400000000000004</v>
      </c>
      <c r="J13" s="100">
        <v>0.13</v>
      </c>
      <c r="K13" s="100">
        <v>210.73</v>
      </c>
      <c r="L13" s="100">
        <v>29.65</v>
      </c>
      <c r="M13" s="100">
        <v>51.35</v>
      </c>
      <c r="N13" s="100">
        <v>0</v>
      </c>
      <c r="O13" s="100">
        <v>0</v>
      </c>
      <c r="P13" s="100">
        <v>0.63</v>
      </c>
      <c r="Q13" s="100">
        <v>4.9800000000000004</v>
      </c>
    </row>
    <row r="14" spans="1:21" customFormat="1">
      <c r="A14" s="100" t="s">
        <v>3122</v>
      </c>
      <c r="B14" s="100">
        <v>10.11</v>
      </c>
      <c r="C14" s="100">
        <v>47.53</v>
      </c>
      <c r="D14" s="100">
        <v>31.89</v>
      </c>
      <c r="E14" s="100">
        <v>7.22</v>
      </c>
      <c r="F14" s="100">
        <v>13.84</v>
      </c>
      <c r="G14" s="100">
        <v>44.96</v>
      </c>
      <c r="H14" s="100">
        <v>19.77</v>
      </c>
      <c r="I14" s="100">
        <v>4.99</v>
      </c>
      <c r="J14" s="100">
        <v>0.15</v>
      </c>
      <c r="K14" s="100">
        <v>208.78</v>
      </c>
      <c r="L14" s="100">
        <v>29.55</v>
      </c>
      <c r="M14" s="100">
        <v>51.93</v>
      </c>
      <c r="N14" s="100">
        <v>0</v>
      </c>
      <c r="O14" s="100">
        <v>0</v>
      </c>
      <c r="P14" s="100">
        <v>0.64</v>
      </c>
      <c r="Q14" s="100">
        <v>4.9800000000000004</v>
      </c>
    </row>
    <row r="15" spans="1:21" customFormat="1">
      <c r="A15" s="100" t="s">
        <v>3123</v>
      </c>
      <c r="B15" s="100">
        <v>10.14</v>
      </c>
      <c r="C15" s="100">
        <v>46.35</v>
      </c>
      <c r="D15" s="100">
        <v>31.3</v>
      </c>
      <c r="E15" s="100">
        <v>7.74</v>
      </c>
      <c r="F15" s="100">
        <v>15.34</v>
      </c>
      <c r="G15" s="100">
        <v>43.38</v>
      </c>
      <c r="H15" s="100">
        <v>20.5</v>
      </c>
      <c r="I15" s="100">
        <v>5.16</v>
      </c>
      <c r="J15" s="100">
        <v>0.14000000000000001</v>
      </c>
      <c r="K15" s="100">
        <v>204.54</v>
      </c>
      <c r="L15" s="100">
        <v>29.61</v>
      </c>
      <c r="M15" s="100">
        <v>51.59</v>
      </c>
      <c r="N15" s="100">
        <v>0</v>
      </c>
      <c r="O15" s="100">
        <v>0</v>
      </c>
      <c r="P15" s="100">
        <v>0.63</v>
      </c>
      <c r="Q15" s="100">
        <v>5</v>
      </c>
    </row>
    <row r="16" spans="1:21" customFormat="1">
      <c r="A16" s="100" t="s">
        <v>3124</v>
      </c>
      <c r="B16" s="100">
        <v>10.93</v>
      </c>
      <c r="C16" s="100">
        <v>49.77</v>
      </c>
      <c r="D16" s="100">
        <v>33.72</v>
      </c>
      <c r="E16" s="100">
        <v>7.58</v>
      </c>
      <c r="F16" s="100">
        <v>16.399999999999999</v>
      </c>
      <c r="G16" s="100">
        <v>43.38</v>
      </c>
      <c r="H16" s="100">
        <v>20.5</v>
      </c>
      <c r="I16" s="100">
        <v>4.9800000000000004</v>
      </c>
      <c r="J16" s="100">
        <v>0.17</v>
      </c>
      <c r="K16" s="100">
        <v>225.46</v>
      </c>
      <c r="L16" s="100">
        <v>29.59</v>
      </c>
      <c r="M16" s="100">
        <v>51.56</v>
      </c>
      <c r="N16" s="100">
        <v>0</v>
      </c>
      <c r="O16" s="100">
        <v>0</v>
      </c>
      <c r="P16" s="100">
        <v>0.63</v>
      </c>
      <c r="Q16" s="100">
        <v>5.07</v>
      </c>
    </row>
    <row r="17" spans="1:17" customFormat="1">
      <c r="A17" s="100" t="s">
        <v>3125</v>
      </c>
      <c r="B17" s="100">
        <v>11.68</v>
      </c>
      <c r="C17" s="100">
        <v>50.14</v>
      </c>
      <c r="D17" s="100">
        <v>34.520000000000003</v>
      </c>
      <c r="E17" s="100">
        <v>5.33</v>
      </c>
      <c r="F17" s="100">
        <v>11.2</v>
      </c>
      <c r="G17" s="100">
        <v>43.38</v>
      </c>
      <c r="H17" s="100">
        <v>20.5</v>
      </c>
      <c r="I17" s="100">
        <v>4.95</v>
      </c>
      <c r="J17" s="100">
        <v>0.23</v>
      </c>
      <c r="K17" s="100">
        <v>254.54</v>
      </c>
      <c r="L17" s="100">
        <v>29.57</v>
      </c>
      <c r="M17" s="100">
        <v>51.15</v>
      </c>
      <c r="N17" s="100">
        <v>0</v>
      </c>
      <c r="O17" s="100">
        <v>0</v>
      </c>
      <c r="P17" s="100">
        <v>0.64</v>
      </c>
      <c r="Q17" s="100">
        <v>5.0599999999999996</v>
      </c>
    </row>
    <row r="18" spans="1:17" customFormat="1">
      <c r="A18" s="100" t="s">
        <v>3126</v>
      </c>
      <c r="B18" s="100">
        <v>11.44</v>
      </c>
      <c r="C18" s="100">
        <v>47.68</v>
      </c>
      <c r="D18" s="100">
        <v>33.04</v>
      </c>
      <c r="E18" s="100">
        <v>6.67</v>
      </c>
      <c r="F18" s="100">
        <v>16.23</v>
      </c>
      <c r="G18" s="100">
        <v>42.93</v>
      </c>
      <c r="H18" s="100">
        <v>19.89</v>
      </c>
      <c r="I18" s="100">
        <v>5.15</v>
      </c>
      <c r="J18" s="100">
        <v>0.21</v>
      </c>
      <c r="K18" s="100">
        <v>203.18</v>
      </c>
      <c r="L18" s="100">
        <v>29.59</v>
      </c>
      <c r="M18" s="100">
        <v>50.95</v>
      </c>
      <c r="N18" s="100">
        <v>0</v>
      </c>
      <c r="O18" s="100">
        <v>0</v>
      </c>
      <c r="P18" s="100">
        <v>0.62</v>
      </c>
      <c r="Q18" s="100">
        <v>5.09</v>
      </c>
    </row>
    <row r="19" spans="1:17" customFormat="1">
      <c r="A19" s="100" t="s">
        <v>3127</v>
      </c>
      <c r="B19" s="100">
        <v>12.2</v>
      </c>
      <c r="C19" s="100">
        <v>51.5</v>
      </c>
      <c r="D19" s="100">
        <v>35.65</v>
      </c>
      <c r="E19" s="100">
        <v>6.54</v>
      </c>
      <c r="F19" s="100">
        <v>13.78</v>
      </c>
      <c r="G19" s="100">
        <v>42.28</v>
      </c>
      <c r="H19" s="100">
        <v>19.37</v>
      </c>
      <c r="I19" s="100">
        <v>4.99</v>
      </c>
      <c r="J19" s="100">
        <v>0.2</v>
      </c>
      <c r="K19" s="100">
        <v>256.72000000000003</v>
      </c>
      <c r="L19" s="100">
        <v>29.38</v>
      </c>
      <c r="M19" s="100">
        <v>51.52</v>
      </c>
      <c r="N19" s="100">
        <v>0</v>
      </c>
      <c r="O19" s="100">
        <v>0</v>
      </c>
      <c r="P19" s="100">
        <v>0.62</v>
      </c>
      <c r="Q19" s="100">
        <v>5.08</v>
      </c>
    </row>
    <row r="20" spans="1:17" customFormat="1">
      <c r="A20" s="100" t="s">
        <v>3128</v>
      </c>
      <c r="B20" s="100">
        <v>12.74</v>
      </c>
      <c r="C20" s="100">
        <v>51.68</v>
      </c>
      <c r="D20" s="100">
        <v>36.17</v>
      </c>
      <c r="E20" s="100">
        <v>6.26</v>
      </c>
      <c r="F20" s="100">
        <v>8.51</v>
      </c>
      <c r="G20" s="100">
        <v>42.28</v>
      </c>
      <c r="H20" s="100">
        <v>19.37</v>
      </c>
      <c r="I20" s="100">
        <v>4.99</v>
      </c>
      <c r="J20" s="100">
        <v>0.25</v>
      </c>
      <c r="K20" s="100">
        <v>245.03</v>
      </c>
      <c r="L20" s="100">
        <v>29.22</v>
      </c>
      <c r="M20" s="100">
        <v>51.81</v>
      </c>
      <c r="N20" s="100">
        <v>0</v>
      </c>
      <c r="O20" s="100">
        <v>0</v>
      </c>
      <c r="P20" s="100">
        <v>0.63</v>
      </c>
      <c r="Q20" s="100">
        <v>5.05</v>
      </c>
    </row>
    <row r="21" spans="1:17" customFormat="1">
      <c r="A21" s="100" t="s">
        <v>3129</v>
      </c>
      <c r="B21" s="100">
        <v>12.69</v>
      </c>
      <c r="C21" s="100">
        <v>50.03</v>
      </c>
      <c r="D21" s="100">
        <v>35.270000000000003</v>
      </c>
      <c r="E21" s="100">
        <v>5.94</v>
      </c>
      <c r="F21" s="100">
        <v>12.35</v>
      </c>
      <c r="G21" s="100">
        <v>42.28</v>
      </c>
      <c r="H21" s="100">
        <v>19.37</v>
      </c>
      <c r="I21" s="100">
        <v>5.12</v>
      </c>
      <c r="J21" s="100">
        <v>0.22</v>
      </c>
      <c r="K21" s="100">
        <v>221.59</v>
      </c>
      <c r="L21" s="100">
        <v>29.29</v>
      </c>
      <c r="M21" s="100">
        <v>51.57</v>
      </c>
      <c r="N21" s="100">
        <v>0</v>
      </c>
      <c r="O21" s="100">
        <v>0</v>
      </c>
      <c r="P21" s="100">
        <v>0.63</v>
      </c>
      <c r="Q21" s="100">
        <v>5.07</v>
      </c>
    </row>
    <row r="22" spans="1:17" customFormat="1">
      <c r="A22" s="100" t="s">
        <v>3130</v>
      </c>
      <c r="B22" s="100">
        <v>13.12</v>
      </c>
      <c r="C22" s="100">
        <v>51.29</v>
      </c>
      <c r="D22" s="100">
        <v>36.270000000000003</v>
      </c>
      <c r="E22" s="100">
        <v>6.13</v>
      </c>
      <c r="F22" s="100">
        <v>10.66</v>
      </c>
      <c r="G22" s="100">
        <v>41.31</v>
      </c>
      <c r="H22" s="100">
        <v>19.48</v>
      </c>
      <c r="I22" s="100">
        <v>5.08</v>
      </c>
      <c r="J22" s="100">
        <v>0.31</v>
      </c>
      <c r="K22" s="100">
        <v>239.68</v>
      </c>
      <c r="L22" s="100">
        <v>29.2</v>
      </c>
      <c r="M22" s="100">
        <v>52.15</v>
      </c>
      <c r="N22" s="100">
        <v>0</v>
      </c>
      <c r="O22" s="100">
        <v>0</v>
      </c>
      <c r="P22" s="100">
        <v>0.63</v>
      </c>
      <c r="Q22" s="100">
        <v>5.1100000000000003</v>
      </c>
    </row>
    <row r="23" spans="1:17" customFormat="1">
      <c r="A23" s="100" t="s">
        <v>3131</v>
      </c>
      <c r="B23" s="100">
        <v>13.19</v>
      </c>
      <c r="C23" s="100">
        <v>49.14</v>
      </c>
      <c r="D23" s="100">
        <v>35.21</v>
      </c>
      <c r="E23" s="100">
        <v>5.86</v>
      </c>
      <c r="F23" s="100">
        <v>9.7200000000000006</v>
      </c>
      <c r="G23" s="100">
        <v>39.93</v>
      </c>
      <c r="H23" s="100">
        <v>19.579999999999998</v>
      </c>
      <c r="I23" s="100">
        <v>5.14</v>
      </c>
      <c r="J23" s="100">
        <v>0.33</v>
      </c>
      <c r="K23" s="100">
        <v>239.46</v>
      </c>
      <c r="L23" s="100">
        <v>29.11</v>
      </c>
      <c r="M23" s="100">
        <v>52.34</v>
      </c>
      <c r="N23" s="100">
        <v>0</v>
      </c>
      <c r="O23" s="100">
        <v>0</v>
      </c>
      <c r="P23" s="100">
        <v>0.62</v>
      </c>
      <c r="Q23" s="100">
        <v>5.08</v>
      </c>
    </row>
    <row r="24" spans="1:17" customFormat="1">
      <c r="A24" s="100" t="s">
        <v>3132</v>
      </c>
      <c r="B24" s="100">
        <v>14.09</v>
      </c>
      <c r="C24" s="100">
        <v>53.61</v>
      </c>
      <c r="D24" s="100">
        <v>38.270000000000003</v>
      </c>
      <c r="E24" s="100">
        <v>6.53</v>
      </c>
      <c r="F24" s="100">
        <v>8.01</v>
      </c>
      <c r="G24" s="100">
        <v>39.93</v>
      </c>
      <c r="H24" s="100">
        <v>19.579999999999998</v>
      </c>
      <c r="I24" s="100">
        <v>5.13</v>
      </c>
      <c r="J24" s="100">
        <v>0.35</v>
      </c>
      <c r="K24" s="100">
        <v>230.56</v>
      </c>
      <c r="L24" s="100">
        <v>29.08</v>
      </c>
      <c r="M24" s="100">
        <v>52.47</v>
      </c>
      <c r="N24" s="100">
        <v>0</v>
      </c>
      <c r="O24" s="100">
        <v>0</v>
      </c>
      <c r="P24" s="100">
        <v>0.64</v>
      </c>
      <c r="Q24" s="100">
        <v>5.14</v>
      </c>
    </row>
    <row r="25" spans="1:17" customFormat="1">
      <c r="A25" s="100" t="s">
        <v>3133</v>
      </c>
      <c r="B25" s="100">
        <v>14.48</v>
      </c>
      <c r="C25" s="100">
        <v>53.55</v>
      </c>
      <c r="D25" s="100">
        <v>38.549999999999997</v>
      </c>
      <c r="E25" s="100">
        <v>6.15</v>
      </c>
      <c r="F25" s="100">
        <v>7.16</v>
      </c>
      <c r="G25" s="100">
        <v>39.93</v>
      </c>
      <c r="H25" s="100">
        <v>19.579999999999998</v>
      </c>
      <c r="I25" s="100">
        <v>5.17</v>
      </c>
      <c r="J25" s="100">
        <v>0.3</v>
      </c>
      <c r="K25" s="100">
        <v>230.67</v>
      </c>
      <c r="L25" s="100">
        <v>29.03</v>
      </c>
      <c r="M25" s="100">
        <v>51.7</v>
      </c>
      <c r="N25" s="100">
        <v>0</v>
      </c>
      <c r="O25" s="100">
        <v>0</v>
      </c>
      <c r="P25" s="100">
        <v>0.63</v>
      </c>
      <c r="Q25" s="100">
        <v>5.09</v>
      </c>
    </row>
    <row r="26" spans="1:17" customFormat="1">
      <c r="A26" s="100" t="s">
        <v>3134</v>
      </c>
      <c r="B26" s="100">
        <v>13.84</v>
      </c>
      <c r="C26" s="100">
        <v>49.68</v>
      </c>
      <c r="D26" s="100">
        <v>36.01</v>
      </c>
      <c r="E26" s="100">
        <v>6.33</v>
      </c>
      <c r="F26" s="100">
        <v>9.6300000000000008</v>
      </c>
      <c r="G26" s="100">
        <v>38.46</v>
      </c>
      <c r="H26" s="100">
        <v>18.93</v>
      </c>
      <c r="I26" s="100">
        <v>5.31</v>
      </c>
      <c r="J26" s="100">
        <v>0.42</v>
      </c>
      <c r="K26" s="100">
        <v>237.32</v>
      </c>
      <c r="L26" s="100">
        <v>28.93</v>
      </c>
      <c r="M26" s="100">
        <v>50.87</v>
      </c>
      <c r="N26" s="100">
        <v>0</v>
      </c>
      <c r="O26" s="100">
        <v>0</v>
      </c>
      <c r="P26" s="100">
        <v>0.63</v>
      </c>
      <c r="Q26" s="100">
        <v>5.13</v>
      </c>
    </row>
    <row r="27" spans="1:17" customFormat="1">
      <c r="A27" s="100" t="s">
        <v>3135</v>
      </c>
      <c r="B27" s="100">
        <v>14.76</v>
      </c>
      <c r="C27" s="100">
        <v>53.29</v>
      </c>
      <c r="D27" s="100">
        <v>38.630000000000003</v>
      </c>
      <c r="E27" s="100">
        <v>6.45</v>
      </c>
      <c r="F27" s="100">
        <v>7.16</v>
      </c>
      <c r="G27" s="100">
        <v>36.36</v>
      </c>
      <c r="H27" s="100">
        <v>18.37</v>
      </c>
      <c r="I27" s="100">
        <v>5.2</v>
      </c>
      <c r="J27" s="100">
        <v>0.44</v>
      </c>
      <c r="K27" s="100">
        <v>252.59</v>
      </c>
      <c r="L27" s="100">
        <v>29.04</v>
      </c>
      <c r="M27" s="100">
        <v>49.25</v>
      </c>
      <c r="N27" s="100">
        <v>0</v>
      </c>
      <c r="O27" s="100">
        <v>0</v>
      </c>
      <c r="P27" s="100">
        <v>0.64</v>
      </c>
      <c r="Q27" s="100">
        <v>5.18</v>
      </c>
    </row>
    <row r="28" spans="1:17" customFormat="1">
      <c r="A28" s="100" t="s">
        <v>3136</v>
      </c>
      <c r="B28" s="100">
        <v>14.67</v>
      </c>
      <c r="C28" s="100">
        <v>50.18</v>
      </c>
      <c r="D28" s="100">
        <v>36.94</v>
      </c>
      <c r="E28" s="100">
        <v>6.61</v>
      </c>
      <c r="F28" s="100">
        <v>9.16</v>
      </c>
      <c r="G28" s="100">
        <v>36.36</v>
      </c>
      <c r="H28" s="100">
        <v>18.37</v>
      </c>
      <c r="I28" s="100">
        <v>5.22</v>
      </c>
      <c r="J28" s="100">
        <v>0.36</v>
      </c>
      <c r="K28" s="100">
        <v>248.68</v>
      </c>
      <c r="L28" s="100">
        <v>29.01</v>
      </c>
      <c r="M28" s="100">
        <v>48.49</v>
      </c>
      <c r="N28" s="100">
        <v>0</v>
      </c>
      <c r="O28" s="100">
        <v>0</v>
      </c>
      <c r="P28" s="100">
        <v>0.63</v>
      </c>
      <c r="Q28" s="100">
        <v>5.1100000000000003</v>
      </c>
    </row>
    <row r="29" spans="1:17" customFormat="1">
      <c r="A29" s="100" t="s">
        <v>3137</v>
      </c>
      <c r="B29" s="100">
        <v>14.68</v>
      </c>
      <c r="C29" s="100">
        <v>52.72</v>
      </c>
      <c r="D29" s="100">
        <v>38.270000000000003</v>
      </c>
      <c r="E29" s="100">
        <v>6.51</v>
      </c>
      <c r="F29" s="100">
        <v>10.7</v>
      </c>
      <c r="G29" s="100">
        <v>36.36</v>
      </c>
      <c r="H29" s="100">
        <v>18.37</v>
      </c>
      <c r="I29" s="100">
        <v>5.29</v>
      </c>
      <c r="J29" s="100">
        <v>0.4</v>
      </c>
      <c r="K29" s="100">
        <v>253.31</v>
      </c>
      <c r="L29" s="100">
        <v>29.12</v>
      </c>
      <c r="M29" s="100">
        <v>47.22</v>
      </c>
      <c r="N29" s="100">
        <v>0</v>
      </c>
      <c r="O29" s="100">
        <v>0</v>
      </c>
      <c r="P29" s="100">
        <v>0.62</v>
      </c>
      <c r="Q29" s="100">
        <v>5.16</v>
      </c>
    </row>
    <row r="30" spans="1:17" customFormat="1">
      <c r="A30" s="100" t="s">
        <v>3138</v>
      </c>
      <c r="B30" s="100">
        <v>14.62</v>
      </c>
      <c r="C30" s="100">
        <v>52.4</v>
      </c>
      <c r="D30" s="100">
        <v>38.049999999999997</v>
      </c>
      <c r="E30" s="100">
        <v>7.13</v>
      </c>
      <c r="F30" s="100">
        <v>10.46</v>
      </c>
      <c r="G30" s="100">
        <v>36.32</v>
      </c>
      <c r="H30" s="100">
        <v>18.22</v>
      </c>
      <c r="I30" s="100">
        <v>5.24</v>
      </c>
      <c r="J30" s="100">
        <v>0.34</v>
      </c>
      <c r="K30" s="100">
        <v>252.02</v>
      </c>
      <c r="L30" s="100">
        <v>29.05</v>
      </c>
      <c r="M30" s="100">
        <v>47.56</v>
      </c>
      <c r="N30" s="100">
        <v>2.2000000000000002</v>
      </c>
      <c r="O30" s="100">
        <v>0</v>
      </c>
      <c r="P30" s="100">
        <v>0.63</v>
      </c>
      <c r="Q30" s="100">
        <v>5.16</v>
      </c>
    </row>
    <row r="31" spans="1:17" customFormat="1">
      <c r="A31" s="100" t="s">
        <v>3139</v>
      </c>
      <c r="B31" s="100">
        <v>14.58</v>
      </c>
      <c r="C31" s="100">
        <v>52.29</v>
      </c>
      <c r="D31" s="100">
        <v>37.97</v>
      </c>
      <c r="E31" s="100">
        <v>6.91</v>
      </c>
      <c r="F31" s="100">
        <v>9.4</v>
      </c>
      <c r="G31" s="100">
        <v>36.270000000000003</v>
      </c>
      <c r="H31" s="100">
        <v>18.09</v>
      </c>
      <c r="I31" s="100">
        <v>5.26</v>
      </c>
      <c r="J31" s="100">
        <v>0.44</v>
      </c>
      <c r="K31" s="100">
        <v>251.35</v>
      </c>
      <c r="L31" s="100">
        <v>29.16</v>
      </c>
      <c r="M31" s="100">
        <v>47.37</v>
      </c>
      <c r="N31" s="100">
        <v>10.199999999999999</v>
      </c>
      <c r="O31" s="100">
        <v>0</v>
      </c>
      <c r="P31" s="100">
        <v>0.64</v>
      </c>
      <c r="Q31" s="100">
        <v>5.18</v>
      </c>
    </row>
    <row r="32" spans="1:17" customFormat="1">
      <c r="A32" s="100" t="s">
        <v>3140</v>
      </c>
      <c r="B32" s="100">
        <v>14.7</v>
      </c>
      <c r="C32" s="100">
        <v>53.86</v>
      </c>
      <c r="D32" s="100">
        <v>38.89</v>
      </c>
      <c r="E32" s="100">
        <v>7.9</v>
      </c>
      <c r="F32" s="100">
        <v>10.5</v>
      </c>
      <c r="G32" s="100">
        <v>36.270000000000003</v>
      </c>
      <c r="H32" s="100">
        <v>18.09</v>
      </c>
      <c r="I32" s="100">
        <v>5.17</v>
      </c>
      <c r="J32" s="100">
        <v>0.38</v>
      </c>
      <c r="K32" s="100">
        <v>244.15</v>
      </c>
      <c r="L32" s="100">
        <v>29.21</v>
      </c>
      <c r="M32" s="100">
        <v>47.57</v>
      </c>
      <c r="N32" s="100">
        <v>12.3</v>
      </c>
      <c r="O32" s="100">
        <v>0</v>
      </c>
      <c r="P32" s="100">
        <v>0.66</v>
      </c>
      <c r="Q32" s="100">
        <v>5.21</v>
      </c>
    </row>
    <row r="33" spans="1:17" customFormat="1">
      <c r="A33" s="100" t="s">
        <v>3141</v>
      </c>
      <c r="B33" s="100">
        <v>14.95</v>
      </c>
      <c r="C33" s="100">
        <v>54.4</v>
      </c>
      <c r="D33" s="100">
        <v>39.36</v>
      </c>
      <c r="E33" s="100">
        <v>7.3</v>
      </c>
      <c r="F33" s="100">
        <v>7.58</v>
      </c>
      <c r="G33" s="100">
        <v>36.270000000000003</v>
      </c>
      <c r="H33" s="100">
        <v>18.09</v>
      </c>
      <c r="I33" s="100">
        <v>5.28</v>
      </c>
      <c r="J33" s="100">
        <v>0.34</v>
      </c>
      <c r="K33" s="100">
        <v>250.53</v>
      </c>
      <c r="L33" s="100">
        <v>29.23</v>
      </c>
      <c r="M33" s="100">
        <v>47.74</v>
      </c>
      <c r="N33" s="100">
        <v>18.899999999999999</v>
      </c>
      <c r="O33" s="100">
        <v>0</v>
      </c>
      <c r="P33" s="100">
        <v>0.65</v>
      </c>
      <c r="Q33" s="100">
        <v>5.22</v>
      </c>
    </row>
    <row r="34" spans="1:17" customFormat="1">
      <c r="A34" s="100" t="s">
        <v>3142</v>
      </c>
      <c r="B34" s="100">
        <v>15.28</v>
      </c>
      <c r="C34" s="100">
        <v>53.16</v>
      </c>
      <c r="D34" s="100">
        <v>38.979999999999997</v>
      </c>
      <c r="E34" s="100">
        <v>8.3699999999999992</v>
      </c>
      <c r="F34" s="100">
        <v>8.81</v>
      </c>
      <c r="G34" s="100">
        <v>36.520000000000003</v>
      </c>
      <c r="H34" s="100">
        <v>17.829999999999998</v>
      </c>
      <c r="I34" s="100">
        <v>5.57</v>
      </c>
      <c r="J34" s="100">
        <v>0.54</v>
      </c>
      <c r="K34" s="100">
        <v>257.89999999999998</v>
      </c>
      <c r="L34" s="100">
        <v>29.33</v>
      </c>
      <c r="M34" s="100">
        <v>47.28</v>
      </c>
      <c r="N34" s="100">
        <v>29.1</v>
      </c>
      <c r="O34" s="100">
        <v>0</v>
      </c>
      <c r="P34" s="100">
        <v>0.66</v>
      </c>
      <c r="Q34" s="100">
        <v>5.19</v>
      </c>
    </row>
    <row r="35" spans="1:17" customFormat="1">
      <c r="A35" s="100" t="s">
        <v>3143</v>
      </c>
      <c r="B35" s="100">
        <v>15.55</v>
      </c>
      <c r="C35" s="100">
        <v>56.23</v>
      </c>
      <c r="D35" s="100">
        <v>40.799999999999997</v>
      </c>
      <c r="E35" s="100">
        <v>8.31</v>
      </c>
      <c r="F35" s="100">
        <v>8.3800000000000008</v>
      </c>
      <c r="G35" s="100">
        <v>36.89</v>
      </c>
      <c r="H35" s="100">
        <v>17.61</v>
      </c>
      <c r="I35" s="100">
        <v>5.85</v>
      </c>
      <c r="J35" s="100">
        <v>0.27</v>
      </c>
      <c r="K35" s="100">
        <v>235.25</v>
      </c>
      <c r="L35" s="100">
        <v>29.61</v>
      </c>
      <c r="M35" s="100">
        <v>47.43</v>
      </c>
      <c r="N35" s="100">
        <v>54.6</v>
      </c>
      <c r="O35" s="100">
        <v>0</v>
      </c>
      <c r="P35" s="100">
        <v>0.68</v>
      </c>
      <c r="Q35" s="100">
        <v>5.24</v>
      </c>
    </row>
    <row r="36" spans="1:17" customFormat="1">
      <c r="A36" s="100" t="s">
        <v>3144</v>
      </c>
      <c r="B36" s="100">
        <v>15.59</v>
      </c>
      <c r="C36" s="100">
        <v>55.5</v>
      </c>
      <c r="D36" s="100">
        <v>40.46</v>
      </c>
      <c r="E36" s="100">
        <v>7.84</v>
      </c>
      <c r="F36" s="100">
        <v>7.43</v>
      </c>
      <c r="G36" s="100">
        <v>36.89</v>
      </c>
      <c r="H36" s="100">
        <v>17.61</v>
      </c>
      <c r="I36" s="100">
        <v>6.14</v>
      </c>
      <c r="J36" s="100">
        <v>0.39</v>
      </c>
      <c r="K36" s="100">
        <v>245.07</v>
      </c>
      <c r="L36" s="100">
        <v>30.43</v>
      </c>
      <c r="M36" s="100">
        <v>46.03</v>
      </c>
      <c r="N36" s="100">
        <v>71</v>
      </c>
      <c r="O36" s="100">
        <v>0</v>
      </c>
      <c r="P36" s="100">
        <v>0.7</v>
      </c>
      <c r="Q36" s="100">
        <v>5.22</v>
      </c>
    </row>
    <row r="37" spans="1:17" customFormat="1">
      <c r="A37" s="100" t="s">
        <v>3145</v>
      </c>
      <c r="B37" s="100">
        <v>16.170000000000002</v>
      </c>
      <c r="C37" s="100">
        <v>55.04</v>
      </c>
      <c r="D37" s="100">
        <v>40.68</v>
      </c>
      <c r="E37" s="100">
        <v>10</v>
      </c>
      <c r="F37" s="100">
        <v>7.79</v>
      </c>
      <c r="G37" s="100">
        <v>36.89</v>
      </c>
      <c r="H37" s="100">
        <v>17.61</v>
      </c>
      <c r="I37" s="100">
        <v>6.41</v>
      </c>
      <c r="J37" s="100">
        <v>0.79</v>
      </c>
      <c r="K37" s="100">
        <v>287.64999999999998</v>
      </c>
      <c r="L37" s="100">
        <v>30.76</v>
      </c>
      <c r="M37" s="100">
        <v>44.45</v>
      </c>
      <c r="N37" s="100">
        <v>82.1</v>
      </c>
      <c r="O37" s="100">
        <v>0</v>
      </c>
      <c r="P37" s="100">
        <v>0.79</v>
      </c>
      <c r="Q37" s="100">
        <v>5.23</v>
      </c>
    </row>
    <row r="38" spans="1:17" customFormat="1">
      <c r="A38" s="100" t="s">
        <v>3146</v>
      </c>
      <c r="B38" s="100">
        <v>16.25</v>
      </c>
      <c r="C38" s="100">
        <v>56.48</v>
      </c>
      <c r="D38" s="100">
        <v>41.5</v>
      </c>
      <c r="E38" s="100">
        <v>8.44</v>
      </c>
      <c r="F38" s="100">
        <v>8.2200000000000006</v>
      </c>
      <c r="G38" s="100">
        <v>41.4</v>
      </c>
      <c r="H38" s="100">
        <v>18.59</v>
      </c>
      <c r="I38" s="100">
        <v>6.72</v>
      </c>
      <c r="J38" s="100">
        <v>0.61</v>
      </c>
      <c r="K38" s="100">
        <v>251.98</v>
      </c>
      <c r="L38" s="100">
        <v>31.3</v>
      </c>
      <c r="M38" s="100">
        <v>43.62</v>
      </c>
      <c r="N38" s="100">
        <v>92.1</v>
      </c>
      <c r="O38" s="100">
        <v>0</v>
      </c>
      <c r="P38" s="100">
        <v>0.82</v>
      </c>
      <c r="Q38" s="100">
        <v>5.21</v>
      </c>
    </row>
    <row r="39" spans="1:17" customFormat="1">
      <c r="A39" s="100" t="s">
        <v>3147</v>
      </c>
      <c r="B39" s="100">
        <v>15.31</v>
      </c>
      <c r="C39" s="100">
        <v>53.46</v>
      </c>
      <c r="D39" s="100">
        <v>39.159999999999997</v>
      </c>
      <c r="E39" s="100">
        <v>10.08</v>
      </c>
      <c r="F39" s="100">
        <v>8.8800000000000008</v>
      </c>
      <c r="G39" s="100">
        <v>47.85</v>
      </c>
      <c r="H39" s="100">
        <v>20.93</v>
      </c>
      <c r="I39" s="100">
        <v>7.01</v>
      </c>
      <c r="J39" s="100">
        <v>0.78</v>
      </c>
      <c r="K39" s="100">
        <v>254.01</v>
      </c>
      <c r="L39" s="100">
        <v>31.87</v>
      </c>
      <c r="M39" s="100">
        <v>42.11</v>
      </c>
      <c r="N39" s="100">
        <v>102.5</v>
      </c>
      <c r="O39" s="100">
        <v>0</v>
      </c>
      <c r="P39" s="100">
        <v>0.84</v>
      </c>
      <c r="Q39" s="100">
        <v>5.21</v>
      </c>
    </row>
    <row r="40" spans="1:17" customFormat="1">
      <c r="A40" s="100" t="s">
        <v>3148</v>
      </c>
      <c r="B40" s="100">
        <v>15.33</v>
      </c>
      <c r="C40" s="100">
        <v>57.22</v>
      </c>
      <c r="D40" s="100">
        <v>41.14</v>
      </c>
      <c r="E40" s="100">
        <v>9.9600000000000009</v>
      </c>
      <c r="F40" s="100">
        <v>9.0299999999999994</v>
      </c>
      <c r="G40" s="100">
        <v>47.85</v>
      </c>
      <c r="H40" s="100">
        <v>20.93</v>
      </c>
      <c r="I40" s="100">
        <v>7.54</v>
      </c>
      <c r="J40" s="100">
        <v>0.71</v>
      </c>
      <c r="K40" s="100">
        <v>273.64999999999998</v>
      </c>
      <c r="L40" s="100">
        <v>32.68</v>
      </c>
      <c r="M40" s="100">
        <v>40.85</v>
      </c>
      <c r="N40" s="100">
        <v>109.4</v>
      </c>
      <c r="O40" s="100">
        <v>0</v>
      </c>
      <c r="P40" s="100">
        <v>0.93</v>
      </c>
      <c r="Q40" s="100">
        <v>5.25</v>
      </c>
    </row>
    <row r="41" spans="1:17" customFormat="1">
      <c r="A41" s="100" t="s">
        <v>3149</v>
      </c>
      <c r="B41" s="100">
        <v>14.54</v>
      </c>
      <c r="C41" s="100">
        <v>54.1</v>
      </c>
      <c r="D41" s="100">
        <v>38.880000000000003</v>
      </c>
      <c r="E41" s="100">
        <v>11.85</v>
      </c>
      <c r="F41" s="100">
        <v>13.27</v>
      </c>
      <c r="G41" s="100">
        <v>47.85</v>
      </c>
      <c r="H41" s="100">
        <v>20.93</v>
      </c>
      <c r="I41" s="100">
        <v>8.09</v>
      </c>
      <c r="J41" s="100">
        <v>0.95</v>
      </c>
      <c r="K41" s="100">
        <v>302.77</v>
      </c>
      <c r="L41" s="100">
        <v>33.17</v>
      </c>
      <c r="M41" s="100">
        <v>38.72</v>
      </c>
      <c r="N41" s="100">
        <v>116.8</v>
      </c>
      <c r="O41" s="100">
        <v>0</v>
      </c>
      <c r="P41" s="100">
        <v>0.94</v>
      </c>
      <c r="Q41" s="100">
        <v>5.2</v>
      </c>
    </row>
    <row r="42" spans="1:17" customFormat="1">
      <c r="A42" s="100" t="s">
        <v>3150</v>
      </c>
      <c r="B42" s="100">
        <v>13.6</v>
      </c>
      <c r="C42" s="100">
        <v>52.82</v>
      </c>
      <c r="D42" s="100">
        <v>37.450000000000003</v>
      </c>
      <c r="E42" s="100">
        <v>8.1999999999999993</v>
      </c>
      <c r="F42" s="100">
        <v>11.32</v>
      </c>
      <c r="G42" s="100">
        <v>52.62</v>
      </c>
      <c r="H42" s="100">
        <v>21.32</v>
      </c>
      <c r="I42" s="100">
        <v>8.57</v>
      </c>
      <c r="J42" s="100">
        <v>0.73</v>
      </c>
      <c r="K42" s="100">
        <v>305.5</v>
      </c>
      <c r="L42" s="100">
        <v>33.840000000000003</v>
      </c>
      <c r="M42" s="100">
        <v>35.79</v>
      </c>
      <c r="N42" s="100">
        <v>125</v>
      </c>
      <c r="O42" s="100">
        <v>0</v>
      </c>
      <c r="P42" s="100">
        <v>0.88</v>
      </c>
      <c r="Q42" s="100">
        <v>5.12</v>
      </c>
    </row>
    <row r="43" spans="1:17" customFormat="1">
      <c r="A43" s="100" t="s">
        <v>3151</v>
      </c>
      <c r="B43" s="100">
        <v>13.62</v>
      </c>
      <c r="C43" s="100">
        <v>56.84</v>
      </c>
      <c r="D43" s="100">
        <v>39.57</v>
      </c>
      <c r="E43" s="100">
        <v>9.2200000000000006</v>
      </c>
      <c r="F43" s="100">
        <v>13.76</v>
      </c>
      <c r="G43" s="100">
        <v>59.46</v>
      </c>
      <c r="H43" s="100">
        <v>21.66</v>
      </c>
      <c r="I43" s="100">
        <v>8.6</v>
      </c>
      <c r="J43" s="100">
        <v>0.91</v>
      </c>
      <c r="K43" s="100">
        <v>291.67</v>
      </c>
      <c r="L43" s="100">
        <v>34.24</v>
      </c>
      <c r="M43" s="100">
        <v>35.69</v>
      </c>
      <c r="N43" s="100">
        <v>132.9</v>
      </c>
      <c r="O43" s="100">
        <v>0</v>
      </c>
      <c r="P43" s="100">
        <v>0.87</v>
      </c>
      <c r="Q43" s="100">
        <v>5.19</v>
      </c>
    </row>
    <row r="44" spans="1:17" customFormat="1">
      <c r="A44" s="100" t="s">
        <v>3152</v>
      </c>
      <c r="B44" s="100">
        <v>13.03</v>
      </c>
      <c r="C44" s="100">
        <v>54.94</v>
      </c>
      <c r="D44" s="100">
        <v>38.11</v>
      </c>
      <c r="E44" s="100">
        <v>10.07</v>
      </c>
      <c r="F44" s="100">
        <v>13.94</v>
      </c>
      <c r="G44" s="100">
        <v>59.46</v>
      </c>
      <c r="H44" s="100">
        <v>21.66</v>
      </c>
      <c r="I44" s="100">
        <v>8</v>
      </c>
      <c r="J44" s="100">
        <v>0.97</v>
      </c>
      <c r="K44" s="100">
        <v>279.52999999999997</v>
      </c>
      <c r="L44" s="100">
        <v>34.51</v>
      </c>
      <c r="M44" s="100">
        <v>35.130000000000003</v>
      </c>
      <c r="N44" s="100">
        <v>142.6</v>
      </c>
      <c r="O44" s="100">
        <v>0</v>
      </c>
      <c r="P44" s="100">
        <v>0.87</v>
      </c>
      <c r="Q44" s="100">
        <v>5.16</v>
      </c>
    </row>
    <row r="45" spans="1:17" customFormat="1">
      <c r="A45" s="100" t="s">
        <v>3153</v>
      </c>
      <c r="B45" s="100">
        <v>12.28</v>
      </c>
      <c r="C45" s="100">
        <v>52.96</v>
      </c>
      <c r="D45" s="100">
        <v>36.479999999999997</v>
      </c>
      <c r="E45" s="100">
        <v>9.1300000000000008</v>
      </c>
      <c r="F45" s="100">
        <v>14.19</v>
      </c>
      <c r="G45" s="100">
        <v>59.46</v>
      </c>
      <c r="H45" s="100">
        <v>21.66</v>
      </c>
      <c r="I45" s="100">
        <v>7.94</v>
      </c>
      <c r="J45" s="100">
        <v>0.88</v>
      </c>
      <c r="K45" s="100">
        <v>295.73</v>
      </c>
      <c r="L45" s="100">
        <v>34.97</v>
      </c>
      <c r="M45" s="100">
        <v>33.619999999999997</v>
      </c>
      <c r="N45" s="100">
        <v>149.6</v>
      </c>
      <c r="O45" s="100">
        <v>0</v>
      </c>
      <c r="P45" s="100">
        <v>0.86</v>
      </c>
      <c r="Q45" s="100">
        <v>5.05</v>
      </c>
    </row>
    <row r="46" spans="1:17" customFormat="1">
      <c r="A46" s="100" t="s">
        <v>3154</v>
      </c>
      <c r="B46" s="100">
        <v>10.84</v>
      </c>
      <c r="C46" s="100">
        <v>51.85</v>
      </c>
      <c r="D46" s="100">
        <v>34.74</v>
      </c>
      <c r="E46" s="100">
        <v>8.65</v>
      </c>
      <c r="F46" s="100">
        <v>11.71</v>
      </c>
      <c r="G46" s="100">
        <v>60.85</v>
      </c>
      <c r="H46" s="100">
        <v>22.98</v>
      </c>
      <c r="I46" s="100">
        <v>7.91</v>
      </c>
      <c r="J46" s="100">
        <v>0.96</v>
      </c>
      <c r="K46" s="100">
        <v>282.16000000000003</v>
      </c>
      <c r="L46" s="100">
        <v>35.39</v>
      </c>
      <c r="M46" s="100">
        <v>32.369999999999997</v>
      </c>
      <c r="N46" s="100">
        <v>156.1</v>
      </c>
      <c r="O46" s="100">
        <v>0</v>
      </c>
      <c r="P46" s="100">
        <v>0.87</v>
      </c>
      <c r="Q46" s="100">
        <v>5.01</v>
      </c>
    </row>
    <row r="47" spans="1:17" customFormat="1">
      <c r="A47" s="100" t="s">
        <v>3155</v>
      </c>
      <c r="B47" s="100">
        <v>10.06</v>
      </c>
      <c r="C47" s="100">
        <v>54.65</v>
      </c>
      <c r="D47" s="100">
        <v>35.57</v>
      </c>
      <c r="E47" s="100">
        <v>8.09</v>
      </c>
      <c r="F47" s="100">
        <v>11.8</v>
      </c>
      <c r="G47" s="100">
        <v>62.84</v>
      </c>
      <c r="H47" s="100">
        <v>24.12</v>
      </c>
      <c r="I47" s="100">
        <v>7.85</v>
      </c>
      <c r="J47" s="100">
        <v>0.93</v>
      </c>
      <c r="K47" s="100">
        <v>284.18</v>
      </c>
      <c r="L47" s="100">
        <v>35.880000000000003</v>
      </c>
      <c r="M47" s="100">
        <v>31.57</v>
      </c>
      <c r="N47" s="100">
        <v>162.5</v>
      </c>
      <c r="O47" s="100">
        <v>0</v>
      </c>
      <c r="P47" s="100">
        <v>0.87</v>
      </c>
      <c r="Q47" s="100">
        <v>5.01</v>
      </c>
    </row>
    <row r="48" spans="1:17" customFormat="1">
      <c r="A48" s="100" t="s">
        <v>3156</v>
      </c>
      <c r="B48" s="100">
        <v>9.51</v>
      </c>
      <c r="C48" s="100">
        <v>52.33</v>
      </c>
      <c r="D48" s="100">
        <v>33.92</v>
      </c>
      <c r="E48" s="100">
        <v>10.89</v>
      </c>
      <c r="F48" s="100">
        <v>24.88</v>
      </c>
      <c r="G48" s="100">
        <v>62.84</v>
      </c>
      <c r="H48" s="100">
        <v>24.12</v>
      </c>
      <c r="I48" s="100">
        <v>7.87</v>
      </c>
      <c r="J48" s="100">
        <v>0.82</v>
      </c>
      <c r="K48" s="100">
        <v>315.31</v>
      </c>
      <c r="L48" s="100">
        <v>36.659999999999997</v>
      </c>
      <c r="M48" s="100">
        <v>30.4</v>
      </c>
      <c r="N48" s="100">
        <v>169.2</v>
      </c>
      <c r="O48" s="100">
        <v>0</v>
      </c>
      <c r="P48" s="100">
        <v>0.85</v>
      </c>
      <c r="Q48" s="100">
        <v>4.97</v>
      </c>
    </row>
    <row r="49" spans="1:17" customFormat="1">
      <c r="A49" s="100" t="s">
        <v>3157</v>
      </c>
      <c r="B49" s="100">
        <v>8.41</v>
      </c>
      <c r="C49" s="100">
        <v>49.88</v>
      </c>
      <c r="D49" s="100">
        <v>31.76</v>
      </c>
      <c r="E49" s="100">
        <v>10.53</v>
      </c>
      <c r="F49" s="100">
        <v>23.13</v>
      </c>
      <c r="G49" s="100">
        <v>62.84</v>
      </c>
      <c r="H49" s="100">
        <v>24.12</v>
      </c>
      <c r="I49" s="100">
        <v>7.85</v>
      </c>
      <c r="J49" s="100">
        <v>0.71</v>
      </c>
      <c r="K49" s="100">
        <v>285.69</v>
      </c>
      <c r="L49" s="100">
        <v>37.29</v>
      </c>
      <c r="M49" s="100">
        <v>29.49</v>
      </c>
      <c r="N49" s="100">
        <v>175.5</v>
      </c>
      <c r="O49" s="100">
        <v>0</v>
      </c>
      <c r="P49" s="100">
        <v>0.84</v>
      </c>
      <c r="Q49" s="100">
        <v>4.9000000000000004</v>
      </c>
    </row>
    <row r="50" spans="1:17" customFormat="1">
      <c r="A50" s="100" t="s">
        <v>3158</v>
      </c>
      <c r="B50" s="100">
        <v>7.41</v>
      </c>
      <c r="C50" s="100">
        <v>47.8</v>
      </c>
      <c r="D50" s="100">
        <v>29.87</v>
      </c>
      <c r="E50" s="100">
        <v>13.18</v>
      </c>
      <c r="F50" s="100">
        <v>33.619999999999997</v>
      </c>
      <c r="G50" s="100">
        <v>63.8</v>
      </c>
      <c r="H50" s="100">
        <v>24.57</v>
      </c>
      <c r="I50" s="100">
        <v>7.7</v>
      </c>
      <c r="J50" s="100">
        <v>0.8</v>
      </c>
      <c r="K50" s="100">
        <v>322.39999999999998</v>
      </c>
      <c r="L50" s="100">
        <v>37.72</v>
      </c>
      <c r="M50" s="100">
        <v>28.41</v>
      </c>
      <c r="N50" s="100">
        <v>186.8</v>
      </c>
      <c r="O50" s="100">
        <v>0</v>
      </c>
      <c r="P50" s="100">
        <v>0.82</v>
      </c>
      <c r="Q50" s="100">
        <v>4.8600000000000003</v>
      </c>
    </row>
    <row r="51" spans="1:17" customFormat="1">
      <c r="A51" s="100" t="s">
        <v>3159</v>
      </c>
      <c r="B51" s="100">
        <v>7.44</v>
      </c>
      <c r="C51" s="100">
        <v>51.32</v>
      </c>
      <c r="D51" s="100">
        <v>31.74</v>
      </c>
      <c r="E51" s="100">
        <v>16.059999999999999</v>
      </c>
      <c r="F51" s="100">
        <v>29.96</v>
      </c>
      <c r="G51" s="100">
        <v>65.16</v>
      </c>
      <c r="H51" s="100">
        <v>24.96</v>
      </c>
      <c r="I51" s="100">
        <v>7.35</v>
      </c>
      <c r="J51" s="100">
        <v>0.79</v>
      </c>
      <c r="K51" s="100">
        <v>324.98</v>
      </c>
      <c r="L51" s="100">
        <v>38.22</v>
      </c>
      <c r="M51" s="100">
        <v>27.57</v>
      </c>
      <c r="N51" s="100">
        <v>194.6</v>
      </c>
      <c r="O51" s="100">
        <v>0</v>
      </c>
      <c r="P51" s="100">
        <v>0.82</v>
      </c>
      <c r="Q51" s="100">
        <v>4.84</v>
      </c>
    </row>
    <row r="52" spans="1:17" customFormat="1">
      <c r="A52" s="100" t="s">
        <v>3160</v>
      </c>
      <c r="B52" s="100">
        <v>6.24</v>
      </c>
      <c r="C52" s="100">
        <v>46.32</v>
      </c>
      <c r="D52" s="100">
        <v>28.16</v>
      </c>
      <c r="E52" s="100">
        <v>18.32</v>
      </c>
      <c r="F52" s="100">
        <v>43.01</v>
      </c>
      <c r="G52" s="100">
        <v>65.16</v>
      </c>
      <c r="H52" s="100">
        <v>24.96</v>
      </c>
      <c r="I52" s="100">
        <v>7.25</v>
      </c>
      <c r="J52" s="100">
        <v>0.54</v>
      </c>
      <c r="K52" s="100">
        <v>325.29000000000002</v>
      </c>
      <c r="L52" s="100">
        <v>38.979999999999997</v>
      </c>
      <c r="M52" s="100">
        <v>26.66</v>
      </c>
      <c r="N52" s="100">
        <v>202.4</v>
      </c>
      <c r="O52" s="100">
        <v>0</v>
      </c>
      <c r="P52" s="100">
        <v>0.81</v>
      </c>
      <c r="Q52" s="100">
        <v>4.79</v>
      </c>
    </row>
    <row r="53" spans="1:17" customFormat="1">
      <c r="A53" s="100" t="s">
        <v>3161</v>
      </c>
      <c r="B53" s="100">
        <v>5.5</v>
      </c>
      <c r="C53" s="100">
        <v>46.33</v>
      </c>
      <c r="D53" s="100">
        <v>27.57</v>
      </c>
      <c r="E53" s="100">
        <v>17.059999999999999</v>
      </c>
      <c r="F53" s="100">
        <v>29.83</v>
      </c>
      <c r="G53" s="100">
        <v>65.16</v>
      </c>
      <c r="H53" s="100">
        <v>24.96</v>
      </c>
      <c r="I53" s="100">
        <v>7.28</v>
      </c>
      <c r="J53" s="100">
        <v>0.26</v>
      </c>
      <c r="K53" s="100">
        <v>269.58</v>
      </c>
      <c r="L53" s="100">
        <v>39.049999999999997</v>
      </c>
      <c r="M53" s="100">
        <v>26.42</v>
      </c>
      <c r="N53" s="100">
        <v>209.6</v>
      </c>
      <c r="O53" s="100">
        <v>0</v>
      </c>
      <c r="P53" s="100">
        <v>0.81</v>
      </c>
      <c r="Q53" s="100">
        <v>4.75</v>
      </c>
    </row>
    <row r="54" spans="1:17" customFormat="1">
      <c r="A54" s="100" t="s">
        <v>3162</v>
      </c>
      <c r="B54" s="100">
        <v>4.38</v>
      </c>
      <c r="C54" s="100">
        <v>42.85</v>
      </c>
      <c r="D54" s="100">
        <v>24.86</v>
      </c>
      <c r="E54" s="100">
        <v>22.96</v>
      </c>
      <c r="F54" s="100">
        <v>51.14</v>
      </c>
      <c r="G54" s="100">
        <v>68.489999999999995</v>
      </c>
      <c r="H54" s="100">
        <v>25.54</v>
      </c>
      <c r="I54" s="100">
        <v>7.24</v>
      </c>
      <c r="J54" s="100">
        <v>0.13</v>
      </c>
      <c r="K54" s="100">
        <v>343.8</v>
      </c>
      <c r="L54" s="100">
        <v>39.479999999999997</v>
      </c>
      <c r="M54" s="100">
        <v>25.05</v>
      </c>
      <c r="N54" s="100">
        <v>212.6</v>
      </c>
      <c r="O54" s="100">
        <v>0</v>
      </c>
      <c r="P54" s="100">
        <v>0.77</v>
      </c>
      <c r="Q54" s="100">
        <v>4.72</v>
      </c>
    </row>
    <row r="55" spans="1:17" customFormat="1">
      <c r="A55" s="100" t="s">
        <v>3163</v>
      </c>
      <c r="B55" s="100">
        <v>4.75</v>
      </c>
      <c r="C55" s="100">
        <v>45.06</v>
      </c>
      <c r="D55" s="100">
        <v>26.31</v>
      </c>
      <c r="E55" s="100">
        <v>11.51</v>
      </c>
      <c r="F55" s="100">
        <v>32.090000000000003</v>
      </c>
      <c r="G55" s="100">
        <v>73.260000000000005</v>
      </c>
      <c r="H55" s="100">
        <v>26.03</v>
      </c>
      <c r="I55" s="100">
        <v>7.17</v>
      </c>
      <c r="J55" s="100">
        <v>0.46</v>
      </c>
      <c r="K55" s="100">
        <v>35.1</v>
      </c>
      <c r="L55" s="100">
        <v>40.119999999999997</v>
      </c>
      <c r="M55" s="100">
        <v>21.8</v>
      </c>
      <c r="N55" s="100">
        <v>401.3</v>
      </c>
      <c r="O55" s="100">
        <v>0</v>
      </c>
      <c r="P55" s="100">
        <v>0.73</v>
      </c>
      <c r="Q55" s="100">
        <v>4.6900000000000004</v>
      </c>
    </row>
    <row r="56" spans="1:17" customFormat="1">
      <c r="A56" s="100" t="s">
        <v>3164</v>
      </c>
      <c r="B56" s="100">
        <v>4.62</v>
      </c>
      <c r="C56" s="100">
        <v>47.81</v>
      </c>
      <c r="D56" s="100">
        <v>27.64</v>
      </c>
      <c r="E56" s="100">
        <v>11.61</v>
      </c>
      <c r="F56" s="100">
        <v>31.08</v>
      </c>
      <c r="G56" s="100">
        <v>73.260000000000005</v>
      </c>
      <c r="H56" s="100">
        <v>26.03</v>
      </c>
      <c r="I56" s="100">
        <v>6.81</v>
      </c>
      <c r="J56" s="100">
        <v>1.21</v>
      </c>
      <c r="K56" s="100">
        <v>316.38</v>
      </c>
      <c r="L56" s="100">
        <v>39.96</v>
      </c>
      <c r="M56" s="100">
        <v>22.22</v>
      </c>
      <c r="N56" s="100">
        <v>758.5</v>
      </c>
      <c r="O56" s="100">
        <v>0</v>
      </c>
      <c r="P56" s="100">
        <v>0.75</v>
      </c>
      <c r="Q56" s="100">
        <v>4.71</v>
      </c>
    </row>
    <row r="57" spans="1:17" customFormat="1">
      <c r="A57" s="100" t="s">
        <v>3165</v>
      </c>
      <c r="B57" s="100">
        <v>4.41</v>
      </c>
      <c r="C57" s="100">
        <v>45.33</v>
      </c>
      <c r="D57" s="100">
        <v>26.18</v>
      </c>
      <c r="E57" s="100">
        <v>13.78</v>
      </c>
      <c r="F57" s="100">
        <v>33.299999999999997</v>
      </c>
      <c r="G57" s="100">
        <v>73.260000000000005</v>
      </c>
      <c r="H57" s="100">
        <v>26.03</v>
      </c>
      <c r="I57" s="100">
        <v>6.64</v>
      </c>
      <c r="J57" s="100">
        <v>0.47</v>
      </c>
      <c r="K57" s="100">
        <v>285.08999999999997</v>
      </c>
      <c r="L57" s="100">
        <v>40.46</v>
      </c>
      <c r="M57" s="100">
        <v>21.43</v>
      </c>
      <c r="N57" s="100">
        <v>776.2</v>
      </c>
      <c r="O57" s="100">
        <v>0</v>
      </c>
      <c r="P57" s="100">
        <v>0.72</v>
      </c>
      <c r="Q57" s="100">
        <v>4.6900000000000004</v>
      </c>
    </row>
    <row r="58" spans="1:17" customFormat="1">
      <c r="A58" s="100" t="s">
        <v>3166</v>
      </c>
      <c r="B58" s="100">
        <v>4.84</v>
      </c>
      <c r="C58" s="100">
        <v>48.45</v>
      </c>
      <c r="D58" s="100">
        <v>28.15</v>
      </c>
      <c r="E58" s="100">
        <v>17.010000000000002</v>
      </c>
      <c r="F58" s="100">
        <v>32.299999999999997</v>
      </c>
      <c r="G58" s="100">
        <v>71.91</v>
      </c>
      <c r="H58" s="100">
        <v>25.34</v>
      </c>
      <c r="I58" s="100">
        <v>6.78</v>
      </c>
      <c r="J58" s="100">
        <v>1.03</v>
      </c>
      <c r="K58" s="100">
        <v>289.11</v>
      </c>
      <c r="L58" s="100">
        <v>41.03</v>
      </c>
      <c r="M58" s="100">
        <v>20.95</v>
      </c>
      <c r="N58" s="100">
        <v>723.7</v>
      </c>
      <c r="O58" s="100">
        <v>0</v>
      </c>
      <c r="P58" s="100">
        <v>0.7</v>
      </c>
      <c r="Q58" s="100">
        <v>4.6399999999999997</v>
      </c>
    </row>
    <row r="59" spans="1:17" customFormat="1">
      <c r="A59" s="100" t="s">
        <v>3167</v>
      </c>
      <c r="B59" s="100">
        <v>4.62</v>
      </c>
      <c r="C59" s="100">
        <v>45.73</v>
      </c>
      <c r="D59" s="100">
        <v>26.55</v>
      </c>
      <c r="E59" s="100">
        <v>17.52</v>
      </c>
      <c r="F59" s="100">
        <v>34.700000000000003</v>
      </c>
      <c r="G59" s="100">
        <v>69.98</v>
      </c>
      <c r="H59" s="100">
        <v>24.74</v>
      </c>
      <c r="I59" s="100">
        <v>6.51</v>
      </c>
      <c r="J59" s="100">
        <v>0.78</v>
      </c>
      <c r="K59" s="100">
        <v>289.10000000000002</v>
      </c>
      <c r="L59" s="100">
        <v>40.51</v>
      </c>
      <c r="M59" s="100">
        <v>21.38</v>
      </c>
      <c r="N59" s="100">
        <v>592.70000000000005</v>
      </c>
      <c r="O59" s="100">
        <v>0</v>
      </c>
      <c r="P59" s="100">
        <v>0.7</v>
      </c>
      <c r="Q59" s="100">
        <v>4.6100000000000003</v>
      </c>
    </row>
    <row r="60" spans="1:17" customFormat="1">
      <c r="A60" s="100" t="s">
        <v>3168</v>
      </c>
      <c r="B60" s="100">
        <v>4.6100000000000003</v>
      </c>
      <c r="C60" s="100">
        <v>43.16</v>
      </c>
      <c r="D60" s="100">
        <v>25.2</v>
      </c>
      <c r="E60" s="100">
        <v>22.54</v>
      </c>
      <c r="F60" s="100">
        <v>47.58</v>
      </c>
      <c r="G60" s="100">
        <v>69.98</v>
      </c>
      <c r="H60" s="100">
        <v>24.74</v>
      </c>
      <c r="I60" s="100">
        <v>6.42</v>
      </c>
      <c r="J60" s="100">
        <v>0.6</v>
      </c>
      <c r="K60" s="100">
        <v>12.09</v>
      </c>
      <c r="L60" s="100">
        <v>40.36</v>
      </c>
      <c r="M60" s="100">
        <v>20.81</v>
      </c>
      <c r="N60" s="100">
        <v>585.70000000000005</v>
      </c>
      <c r="O60" s="100">
        <v>0</v>
      </c>
      <c r="P60" s="100">
        <v>0.67</v>
      </c>
      <c r="Q60" s="100">
        <v>4.5999999999999996</v>
      </c>
    </row>
    <row r="61" spans="1:17" customFormat="1">
      <c r="A61" s="100" t="s">
        <v>3169</v>
      </c>
      <c r="B61" s="100">
        <v>4.1900000000000004</v>
      </c>
      <c r="C61" s="100">
        <v>39.58</v>
      </c>
      <c r="D61" s="100">
        <v>22.99</v>
      </c>
      <c r="E61" s="100">
        <v>22.29</v>
      </c>
      <c r="F61" s="100">
        <v>43.81</v>
      </c>
      <c r="G61" s="100">
        <v>69.98</v>
      </c>
      <c r="H61" s="100">
        <v>24.74</v>
      </c>
      <c r="I61" s="100">
        <v>6.36</v>
      </c>
      <c r="J61" s="100">
        <v>0.73</v>
      </c>
      <c r="K61" s="100">
        <v>354.34</v>
      </c>
      <c r="L61" s="100">
        <v>41.04</v>
      </c>
      <c r="M61" s="100">
        <v>19.66</v>
      </c>
      <c r="N61" s="100">
        <v>746.2</v>
      </c>
      <c r="O61" s="100">
        <v>0</v>
      </c>
      <c r="P61" s="100">
        <v>0.66</v>
      </c>
      <c r="Q61" s="100">
        <v>4.59</v>
      </c>
    </row>
    <row r="62" spans="1:17" customFormat="1">
      <c r="A62" s="100" t="s">
        <v>3170</v>
      </c>
      <c r="B62" s="100">
        <v>4.13</v>
      </c>
      <c r="C62" s="100">
        <v>39.869999999999997</v>
      </c>
      <c r="D62" s="100">
        <v>23.1</v>
      </c>
      <c r="E62" s="100">
        <v>11.46</v>
      </c>
      <c r="F62" s="100">
        <v>40.090000000000003</v>
      </c>
      <c r="G62" s="100">
        <v>69.31</v>
      </c>
      <c r="H62" s="100">
        <v>24.86</v>
      </c>
      <c r="I62" s="100">
        <v>5.86</v>
      </c>
      <c r="J62" s="100">
        <v>0.4</v>
      </c>
      <c r="K62" s="100">
        <v>311.14999999999998</v>
      </c>
      <c r="L62" s="100">
        <v>41.25</v>
      </c>
      <c r="M62" s="100">
        <v>18.399999999999999</v>
      </c>
      <c r="N62" s="100">
        <v>756.2</v>
      </c>
      <c r="O62" s="100">
        <v>0</v>
      </c>
      <c r="P62" s="100">
        <v>0.64</v>
      </c>
      <c r="Q62" s="100">
        <v>4.59</v>
      </c>
    </row>
    <row r="63" spans="1:17" customFormat="1">
      <c r="A63" s="100" t="s">
        <v>3171</v>
      </c>
      <c r="B63" s="100">
        <v>3.92</v>
      </c>
      <c r="C63" s="100">
        <v>41.2</v>
      </c>
      <c r="D63" s="100">
        <v>23.63</v>
      </c>
      <c r="E63" s="100">
        <v>10.55</v>
      </c>
      <c r="F63" s="100">
        <v>41.48</v>
      </c>
      <c r="G63" s="100">
        <v>68.349999999999994</v>
      </c>
      <c r="H63" s="100">
        <v>25.13</v>
      </c>
      <c r="I63" s="100">
        <v>5.45</v>
      </c>
      <c r="J63" s="100">
        <v>0.68</v>
      </c>
      <c r="K63" s="100">
        <v>275.64999999999998</v>
      </c>
      <c r="L63" s="100">
        <v>41.31</v>
      </c>
      <c r="M63" s="100">
        <v>18.940000000000001</v>
      </c>
      <c r="N63" s="100">
        <v>712.8</v>
      </c>
      <c r="O63" s="100">
        <v>0</v>
      </c>
      <c r="P63" s="100">
        <v>0.63</v>
      </c>
      <c r="Q63" s="100">
        <v>4.5599999999999996</v>
      </c>
    </row>
    <row r="64" spans="1:17" customFormat="1">
      <c r="A64" s="100" t="s">
        <v>3172</v>
      </c>
      <c r="B64" s="100">
        <v>3.9</v>
      </c>
      <c r="C64" s="100">
        <v>41.78</v>
      </c>
      <c r="D64" s="100">
        <v>23.91</v>
      </c>
      <c r="E64" s="100">
        <v>9.9499999999999993</v>
      </c>
      <c r="F64" s="100">
        <v>32.979999999999997</v>
      </c>
      <c r="G64" s="100">
        <v>68.349999999999994</v>
      </c>
      <c r="H64" s="100">
        <v>25.13</v>
      </c>
      <c r="I64" s="100">
        <v>5.81</v>
      </c>
      <c r="J64" s="100">
        <v>0.64</v>
      </c>
      <c r="K64" s="100">
        <v>255.6</v>
      </c>
      <c r="L64" s="100">
        <v>41.93</v>
      </c>
      <c r="M64" s="100">
        <v>17.96</v>
      </c>
      <c r="N64" s="100">
        <v>725.8</v>
      </c>
      <c r="O64" s="100">
        <v>0</v>
      </c>
      <c r="P64" s="100">
        <v>0.63</v>
      </c>
      <c r="Q64" s="100">
        <v>4.57</v>
      </c>
    </row>
    <row r="65" spans="1:17" customFormat="1">
      <c r="A65" s="100" t="s">
        <v>3173</v>
      </c>
      <c r="B65" s="100">
        <v>3.86</v>
      </c>
      <c r="C65" s="100">
        <v>42.83</v>
      </c>
      <c r="D65" s="100">
        <v>24.43</v>
      </c>
      <c r="E65" s="100">
        <v>8.6199999999999992</v>
      </c>
      <c r="F65" s="100">
        <v>27.97</v>
      </c>
      <c r="G65" s="100">
        <v>68.349999999999994</v>
      </c>
      <c r="H65" s="100">
        <v>25.13</v>
      </c>
      <c r="I65" s="100">
        <v>6.04</v>
      </c>
      <c r="J65" s="100">
        <v>0.74</v>
      </c>
      <c r="K65" s="100">
        <v>290.57</v>
      </c>
      <c r="L65" s="100">
        <v>42.03</v>
      </c>
      <c r="M65" s="100">
        <v>17.36</v>
      </c>
      <c r="N65" s="100">
        <v>697.2</v>
      </c>
      <c r="O65" s="100">
        <v>0</v>
      </c>
      <c r="P65" s="100">
        <v>0.62</v>
      </c>
      <c r="Q65" s="100">
        <v>4.55</v>
      </c>
    </row>
    <row r="66" spans="1:17" customFormat="1">
      <c r="A66" s="100" t="s">
        <v>3174</v>
      </c>
      <c r="B66" s="100">
        <v>4.25</v>
      </c>
      <c r="C66" s="100">
        <v>51.71</v>
      </c>
      <c r="D66" s="100">
        <v>29.38</v>
      </c>
      <c r="E66" s="100">
        <v>9.5500000000000007</v>
      </c>
      <c r="F66" s="100">
        <v>36.96</v>
      </c>
      <c r="G66" s="100">
        <v>64.349999999999994</v>
      </c>
      <c r="H66" s="100">
        <v>23.2</v>
      </c>
      <c r="I66" s="100">
        <v>5.77</v>
      </c>
      <c r="J66" s="100">
        <v>0.78</v>
      </c>
      <c r="K66" s="100">
        <v>303.02999999999997</v>
      </c>
      <c r="L66" s="100">
        <v>41.79</v>
      </c>
      <c r="M66" s="100">
        <v>17.43</v>
      </c>
      <c r="N66" s="100">
        <v>642.4</v>
      </c>
      <c r="O66" s="100">
        <v>0</v>
      </c>
      <c r="P66" s="100">
        <v>0.63</v>
      </c>
      <c r="Q66" s="100">
        <v>4.7300000000000004</v>
      </c>
    </row>
    <row r="67" spans="1:17" customFormat="1">
      <c r="A67" s="100" t="s">
        <v>3175</v>
      </c>
      <c r="B67" s="100">
        <v>4.55</v>
      </c>
      <c r="C67" s="100">
        <v>49.81</v>
      </c>
      <c r="D67" s="100">
        <v>28.63</v>
      </c>
      <c r="E67" s="100">
        <v>9.77</v>
      </c>
      <c r="F67" s="100">
        <v>33.42</v>
      </c>
      <c r="G67" s="100">
        <v>58.34</v>
      </c>
      <c r="H67" s="100">
        <v>21.53</v>
      </c>
      <c r="I67" s="100">
        <v>5.94</v>
      </c>
      <c r="J67" s="100">
        <v>0.95</v>
      </c>
      <c r="K67" s="100">
        <v>311.32</v>
      </c>
      <c r="L67" s="100">
        <v>41.64</v>
      </c>
      <c r="M67" s="100">
        <v>17.510000000000002</v>
      </c>
      <c r="N67" s="100">
        <v>557.9</v>
      </c>
      <c r="O67" s="100">
        <v>0</v>
      </c>
      <c r="P67" s="100">
        <v>0.62</v>
      </c>
      <c r="Q67" s="100">
        <v>4.8099999999999996</v>
      </c>
    </row>
    <row r="68" spans="1:17" customFormat="1">
      <c r="A68" s="100" t="s">
        <v>3176</v>
      </c>
      <c r="B68" s="100">
        <v>4.45</v>
      </c>
      <c r="C68" s="100">
        <v>47.09</v>
      </c>
      <c r="D68" s="100">
        <v>27.13</v>
      </c>
      <c r="E68" s="100">
        <v>10.25</v>
      </c>
      <c r="F68" s="100">
        <v>35.9</v>
      </c>
      <c r="G68" s="100">
        <v>58.34</v>
      </c>
      <c r="H68" s="100">
        <v>21.53</v>
      </c>
      <c r="I68" s="100">
        <v>5.96</v>
      </c>
      <c r="J68" s="100">
        <v>0.72</v>
      </c>
      <c r="K68" s="100">
        <v>277.17</v>
      </c>
      <c r="L68" s="100">
        <v>41.65</v>
      </c>
      <c r="M68" s="100">
        <v>17.940000000000001</v>
      </c>
      <c r="N68" s="100">
        <v>534.6</v>
      </c>
      <c r="O68" s="100">
        <v>0</v>
      </c>
      <c r="P68" s="100">
        <v>0.6</v>
      </c>
      <c r="Q68" s="100">
        <v>4.7699999999999996</v>
      </c>
    </row>
    <row r="69" spans="1:17" customFormat="1">
      <c r="A69" s="100" t="s">
        <v>3177</v>
      </c>
      <c r="B69" s="100">
        <v>4.37</v>
      </c>
      <c r="C69" s="100">
        <v>46.34</v>
      </c>
      <c r="D69" s="100">
        <v>26.67</v>
      </c>
      <c r="E69" s="100">
        <v>10.51</v>
      </c>
      <c r="F69" s="100">
        <v>32.83</v>
      </c>
      <c r="G69" s="100">
        <v>58.34</v>
      </c>
      <c r="H69" s="100">
        <v>21.53</v>
      </c>
      <c r="I69" s="100">
        <v>5.71</v>
      </c>
      <c r="J69" s="100">
        <v>0.47</v>
      </c>
      <c r="K69" s="100">
        <v>276.25</v>
      </c>
      <c r="L69" s="100">
        <v>41.61</v>
      </c>
      <c r="M69" s="100">
        <v>17.84</v>
      </c>
      <c r="N69" s="100">
        <v>362.7</v>
      </c>
      <c r="O69" s="100">
        <v>0</v>
      </c>
      <c r="P69" s="100">
        <v>0.57999999999999996</v>
      </c>
      <c r="Q69" s="100">
        <v>4.7300000000000004</v>
      </c>
    </row>
    <row r="70" spans="1:17" customFormat="1">
      <c r="A70" s="100" t="s">
        <v>3178</v>
      </c>
      <c r="B70" s="100">
        <v>3.97</v>
      </c>
      <c r="C70" s="100">
        <v>41.15</v>
      </c>
      <c r="D70" s="100">
        <v>23.64</v>
      </c>
      <c r="E70" s="100">
        <v>13.98</v>
      </c>
      <c r="F70" s="100">
        <v>55.83</v>
      </c>
      <c r="G70" s="100">
        <v>58.27</v>
      </c>
      <c r="H70" s="100">
        <v>21.71</v>
      </c>
      <c r="I70" s="100">
        <v>5.69</v>
      </c>
      <c r="J70" s="100">
        <v>0.39</v>
      </c>
      <c r="K70" s="100">
        <v>324.81</v>
      </c>
      <c r="L70" s="100">
        <v>41.27</v>
      </c>
      <c r="M70" s="100">
        <v>17.579999999999998</v>
      </c>
      <c r="N70" s="100">
        <v>406.1</v>
      </c>
      <c r="O70" s="100">
        <v>0</v>
      </c>
      <c r="P70" s="100">
        <v>0.55000000000000004</v>
      </c>
      <c r="Q70" s="100">
        <v>4.66</v>
      </c>
    </row>
    <row r="71" spans="1:17" customFormat="1">
      <c r="A71" s="100" t="s">
        <v>3179</v>
      </c>
      <c r="B71" s="100">
        <v>4.9800000000000004</v>
      </c>
      <c r="C71" s="100">
        <v>44.78</v>
      </c>
      <c r="D71" s="100">
        <v>26.34</v>
      </c>
      <c r="E71" s="100">
        <v>9.4</v>
      </c>
      <c r="F71" s="100">
        <v>34.020000000000003</v>
      </c>
      <c r="G71" s="100">
        <v>58.16</v>
      </c>
      <c r="H71" s="100">
        <v>21.86</v>
      </c>
      <c r="I71" s="100">
        <v>5.27</v>
      </c>
      <c r="J71" s="100">
        <v>1.03</v>
      </c>
      <c r="K71" s="100">
        <v>314.55</v>
      </c>
      <c r="L71" s="100">
        <v>41.62</v>
      </c>
      <c r="M71" s="100">
        <v>17.04</v>
      </c>
      <c r="N71" s="100">
        <v>449.3</v>
      </c>
      <c r="O71" s="100">
        <v>0</v>
      </c>
      <c r="P71" s="100">
        <v>0.56999999999999995</v>
      </c>
      <c r="Q71" s="100">
        <v>4.63</v>
      </c>
    </row>
    <row r="72" spans="1:17" customFormat="1">
      <c r="A72" s="100" t="s">
        <v>3180</v>
      </c>
      <c r="B72" s="100">
        <v>4.68</v>
      </c>
      <c r="C72" s="100">
        <v>46.91</v>
      </c>
      <c r="D72" s="100">
        <v>27.22</v>
      </c>
      <c r="E72" s="100">
        <v>7.42</v>
      </c>
      <c r="F72" s="100">
        <v>26.85</v>
      </c>
      <c r="G72" s="100">
        <v>58.16</v>
      </c>
      <c r="H72" s="100">
        <v>21.86</v>
      </c>
      <c r="I72" s="100">
        <v>4.99</v>
      </c>
      <c r="J72" s="100">
        <v>1.28</v>
      </c>
      <c r="K72" s="100">
        <v>289.27</v>
      </c>
      <c r="L72" s="100">
        <v>40.729999999999997</v>
      </c>
      <c r="M72" s="100">
        <v>17.57</v>
      </c>
      <c r="N72" s="100">
        <v>219</v>
      </c>
      <c r="O72" s="100">
        <v>0</v>
      </c>
      <c r="P72" s="100">
        <v>0.56999999999999995</v>
      </c>
      <c r="Q72" s="100">
        <v>4.5999999999999996</v>
      </c>
    </row>
    <row r="73" spans="1:17" customFormat="1">
      <c r="A73" s="100" t="s">
        <v>3181</v>
      </c>
      <c r="B73" s="100">
        <v>5.45</v>
      </c>
      <c r="C73" s="100">
        <v>46.32</v>
      </c>
      <c r="D73" s="100">
        <v>27.53</v>
      </c>
      <c r="E73" s="100">
        <v>9.86</v>
      </c>
      <c r="F73" s="100">
        <v>36.85</v>
      </c>
      <c r="G73" s="100">
        <v>58.16</v>
      </c>
      <c r="H73" s="100">
        <v>21.86</v>
      </c>
      <c r="I73" s="100">
        <v>5.31</v>
      </c>
      <c r="J73" s="100">
        <v>0.86</v>
      </c>
      <c r="K73" s="100">
        <v>314.04000000000002</v>
      </c>
      <c r="L73" s="100">
        <v>40.090000000000003</v>
      </c>
      <c r="M73" s="100">
        <v>18.62</v>
      </c>
      <c r="N73" s="100">
        <v>94.5</v>
      </c>
      <c r="O73" s="100">
        <v>0</v>
      </c>
      <c r="P73" s="100">
        <v>0.55000000000000004</v>
      </c>
      <c r="Q73" s="100">
        <v>4.5599999999999996</v>
      </c>
    </row>
    <row r="74" spans="1:17" customFormat="1">
      <c r="A74" s="100" t="s">
        <v>3182</v>
      </c>
      <c r="B74" s="100">
        <v>5.86</v>
      </c>
      <c r="C74" s="100">
        <v>44.7</v>
      </c>
      <c r="D74" s="100">
        <v>27.01</v>
      </c>
      <c r="E74" s="100">
        <v>15.21</v>
      </c>
      <c r="F74" s="100">
        <v>47.66</v>
      </c>
      <c r="G74" s="100">
        <v>58.13</v>
      </c>
      <c r="H74" s="100">
        <v>22.12</v>
      </c>
      <c r="I74" s="100">
        <v>5.48</v>
      </c>
      <c r="J74" s="100">
        <v>0.44</v>
      </c>
      <c r="K74" s="100">
        <v>359.57</v>
      </c>
      <c r="L74" s="100">
        <v>39.869999999999997</v>
      </c>
      <c r="M74" s="100">
        <v>19.98</v>
      </c>
      <c r="N74" s="100">
        <v>165.3</v>
      </c>
      <c r="O74" s="100">
        <v>0</v>
      </c>
      <c r="P74" s="100">
        <v>0.54</v>
      </c>
      <c r="Q74" s="100">
        <v>4.57</v>
      </c>
    </row>
    <row r="75" spans="1:17" customFormat="1">
      <c r="A75" s="100" t="s">
        <v>3183</v>
      </c>
      <c r="B75" s="100">
        <v>5.72</v>
      </c>
      <c r="C75" s="100">
        <v>44.34</v>
      </c>
      <c r="D75" s="100">
        <v>26.71</v>
      </c>
      <c r="E75" s="100">
        <v>15.92</v>
      </c>
      <c r="F75" s="100">
        <v>40.81</v>
      </c>
      <c r="G75" s="100">
        <v>58.07</v>
      </c>
      <c r="H75" s="100">
        <v>22.35</v>
      </c>
      <c r="I75" s="100">
        <v>4.91</v>
      </c>
      <c r="J75" s="100">
        <v>0.81</v>
      </c>
      <c r="K75" s="100">
        <v>14.71</v>
      </c>
      <c r="L75" s="100">
        <v>39.67</v>
      </c>
      <c r="M75" s="100">
        <v>19.850000000000001</v>
      </c>
      <c r="N75" s="100">
        <v>142.19999999999999</v>
      </c>
      <c r="O75" s="100">
        <v>0</v>
      </c>
      <c r="P75" s="100">
        <v>0.55000000000000004</v>
      </c>
      <c r="Q75" s="100">
        <v>4.57</v>
      </c>
    </row>
    <row r="76" spans="1:17" customFormat="1">
      <c r="A76" s="100" t="s">
        <v>3184</v>
      </c>
      <c r="B76" s="100">
        <v>5.22</v>
      </c>
      <c r="C76" s="100">
        <v>41.44</v>
      </c>
      <c r="D76" s="100">
        <v>24.79</v>
      </c>
      <c r="E76" s="100">
        <v>13.47</v>
      </c>
      <c r="F76" s="100">
        <v>52.81</v>
      </c>
      <c r="G76" s="100">
        <v>58.07</v>
      </c>
      <c r="H76" s="100">
        <v>22.35</v>
      </c>
      <c r="I76" s="100">
        <v>4.57</v>
      </c>
      <c r="J76" s="100">
        <v>0.3</v>
      </c>
      <c r="K76" s="100">
        <v>353.54</v>
      </c>
      <c r="L76" s="100">
        <v>39.6</v>
      </c>
      <c r="M76" s="100">
        <v>19.59</v>
      </c>
      <c r="N76" s="100">
        <v>103.2</v>
      </c>
      <c r="O76" s="100">
        <v>0</v>
      </c>
      <c r="P76" s="100">
        <v>0.52</v>
      </c>
      <c r="Q76" s="100">
        <v>4.5599999999999996</v>
      </c>
    </row>
    <row r="77" spans="1:17" customFormat="1">
      <c r="A77" s="100" t="s">
        <v>3185</v>
      </c>
      <c r="B77" s="100">
        <v>6.17</v>
      </c>
      <c r="C77" s="100">
        <v>44.13</v>
      </c>
      <c r="D77" s="100">
        <v>26.96</v>
      </c>
      <c r="E77" s="100">
        <v>15.19</v>
      </c>
      <c r="F77" s="100">
        <v>40.869999999999997</v>
      </c>
      <c r="G77" s="100">
        <v>58.07</v>
      </c>
      <c r="H77" s="100">
        <v>22.35</v>
      </c>
      <c r="I77" s="100">
        <v>4.42</v>
      </c>
      <c r="J77" s="100">
        <v>0.69</v>
      </c>
      <c r="K77" s="100">
        <v>29.48</v>
      </c>
      <c r="L77" s="100">
        <v>39.51</v>
      </c>
      <c r="M77" s="100">
        <v>17.899999999999999</v>
      </c>
      <c r="N77" s="100">
        <v>103.6</v>
      </c>
      <c r="O77" s="100">
        <v>0</v>
      </c>
      <c r="P77" s="100">
        <v>0.54</v>
      </c>
      <c r="Q77" s="100">
        <v>4.55</v>
      </c>
    </row>
    <row r="78" spans="1:17" customFormat="1">
      <c r="A78" s="100" t="s">
        <v>3186</v>
      </c>
      <c r="B78" s="100">
        <v>5.66</v>
      </c>
      <c r="C78" s="100">
        <v>44.04</v>
      </c>
      <c r="D78" s="100">
        <v>26.5</v>
      </c>
      <c r="E78" s="100">
        <v>22.98</v>
      </c>
      <c r="F78" s="100">
        <v>41.36</v>
      </c>
      <c r="G78" s="100">
        <v>60.39</v>
      </c>
      <c r="H78" s="100">
        <v>22.24</v>
      </c>
      <c r="I78" s="100">
        <v>4.1399999999999997</v>
      </c>
      <c r="J78" s="100">
        <v>0.74</v>
      </c>
      <c r="K78" s="100">
        <v>41.66</v>
      </c>
      <c r="L78" s="100">
        <v>39.47</v>
      </c>
      <c r="M78" s="100">
        <v>16.670000000000002</v>
      </c>
      <c r="N78" s="100">
        <v>78.7</v>
      </c>
      <c r="O78" s="100">
        <v>0</v>
      </c>
      <c r="P78" s="100">
        <v>0.56999999999999995</v>
      </c>
      <c r="Q78" s="100">
        <v>4.5599999999999996</v>
      </c>
    </row>
    <row r="79" spans="1:17" customFormat="1">
      <c r="A79" s="100" t="s">
        <v>3187</v>
      </c>
      <c r="B79" s="100">
        <v>7.34</v>
      </c>
      <c r="C79" s="100">
        <v>47.52</v>
      </c>
      <c r="D79" s="100">
        <v>29.67</v>
      </c>
      <c r="E79" s="100">
        <v>20.010000000000002</v>
      </c>
      <c r="F79" s="100">
        <v>38.08</v>
      </c>
      <c r="G79" s="100">
        <v>63.7</v>
      </c>
      <c r="H79" s="100">
        <v>22.14</v>
      </c>
      <c r="I79" s="100">
        <v>4.3600000000000003</v>
      </c>
      <c r="J79" s="100">
        <v>0.56999999999999995</v>
      </c>
      <c r="K79" s="100">
        <v>39.85</v>
      </c>
      <c r="L79" s="100">
        <v>39.22</v>
      </c>
      <c r="M79" s="100">
        <v>17.79</v>
      </c>
      <c r="N79" s="100">
        <v>42.8</v>
      </c>
      <c r="O79" s="100">
        <v>0</v>
      </c>
      <c r="P79" s="100">
        <v>0.6</v>
      </c>
      <c r="Q79" s="100">
        <v>4.5999999999999996</v>
      </c>
    </row>
    <row r="80" spans="1:17" customFormat="1">
      <c r="A80" s="100" t="s">
        <v>3188</v>
      </c>
      <c r="B80" s="100">
        <v>11.57</v>
      </c>
      <c r="C80" s="100">
        <v>56.54</v>
      </c>
      <c r="D80" s="100">
        <v>37.770000000000003</v>
      </c>
      <c r="E80" s="100">
        <v>16.64</v>
      </c>
      <c r="F80" s="100">
        <v>27.27</v>
      </c>
      <c r="G80" s="100">
        <v>63.7</v>
      </c>
      <c r="H80" s="100">
        <v>22.14</v>
      </c>
      <c r="I80" s="100">
        <v>4.51</v>
      </c>
      <c r="J80" s="100">
        <v>0.47</v>
      </c>
      <c r="K80" s="100">
        <v>50.28</v>
      </c>
      <c r="L80" s="100">
        <v>38.94</v>
      </c>
      <c r="M80" s="100">
        <v>19.100000000000001</v>
      </c>
      <c r="N80" s="100">
        <v>31</v>
      </c>
      <c r="O80" s="100">
        <v>0</v>
      </c>
      <c r="P80" s="100">
        <v>0.67</v>
      </c>
      <c r="Q80" s="100">
        <v>4.68</v>
      </c>
    </row>
    <row r="81" spans="1:17" customFormat="1">
      <c r="A81" s="100" t="s">
        <v>3189</v>
      </c>
      <c r="B81" s="100">
        <v>11.1</v>
      </c>
      <c r="C81" s="100">
        <v>56</v>
      </c>
      <c r="D81" s="100">
        <v>37.11</v>
      </c>
      <c r="E81" s="100">
        <v>12.26</v>
      </c>
      <c r="F81" s="100">
        <v>26.41</v>
      </c>
      <c r="G81" s="100">
        <v>63.7</v>
      </c>
      <c r="H81" s="100">
        <v>22.14</v>
      </c>
      <c r="I81" s="100">
        <v>4.53</v>
      </c>
      <c r="J81" s="100">
        <v>0.38</v>
      </c>
      <c r="K81" s="100">
        <v>49.07</v>
      </c>
      <c r="L81" s="100">
        <v>38.51</v>
      </c>
      <c r="M81" s="100">
        <v>20.04</v>
      </c>
      <c r="N81" s="100">
        <v>16.2</v>
      </c>
      <c r="O81" s="100">
        <v>0</v>
      </c>
      <c r="P81" s="100">
        <v>0.69</v>
      </c>
      <c r="Q81" s="100">
        <v>4.78</v>
      </c>
    </row>
    <row r="82" spans="1:17" customFormat="1">
      <c r="A82" s="100" t="s">
        <v>3190</v>
      </c>
      <c r="B82" s="100">
        <v>9.3800000000000008</v>
      </c>
      <c r="C82" s="100">
        <v>52.29</v>
      </c>
      <c r="D82" s="100">
        <v>33.79</v>
      </c>
      <c r="E82" s="100">
        <v>17.489999999999998</v>
      </c>
      <c r="F82" s="100">
        <v>29.17</v>
      </c>
      <c r="G82" s="100">
        <v>65.13</v>
      </c>
      <c r="H82" s="100">
        <v>22.32</v>
      </c>
      <c r="I82" s="100">
        <v>4.87</v>
      </c>
      <c r="J82" s="100">
        <v>0.34</v>
      </c>
      <c r="K82" s="100">
        <v>52.13</v>
      </c>
      <c r="L82" s="100">
        <v>38.22</v>
      </c>
      <c r="M82" s="100">
        <v>20.58</v>
      </c>
      <c r="N82" s="100">
        <v>2.6</v>
      </c>
      <c r="O82" s="100">
        <v>0</v>
      </c>
      <c r="P82" s="100">
        <v>0.73</v>
      </c>
      <c r="Q82" s="100">
        <v>4.82</v>
      </c>
    </row>
    <row r="83" spans="1:17" customFormat="1">
      <c r="A83" s="100" t="s">
        <v>3191</v>
      </c>
      <c r="B83" s="100">
        <v>10.48</v>
      </c>
      <c r="C83" s="100">
        <v>60.17</v>
      </c>
      <c r="D83" s="100">
        <v>38.799999999999997</v>
      </c>
      <c r="E83" s="100">
        <v>16.13</v>
      </c>
      <c r="F83" s="100">
        <v>18.79</v>
      </c>
      <c r="G83" s="100">
        <v>67.180000000000007</v>
      </c>
      <c r="H83" s="100">
        <v>22.47</v>
      </c>
      <c r="I83" s="100">
        <v>5.07</v>
      </c>
      <c r="J83" s="100">
        <v>0.08</v>
      </c>
      <c r="K83" s="100">
        <v>141.49</v>
      </c>
      <c r="L83" s="100">
        <v>37.840000000000003</v>
      </c>
      <c r="M83" s="100">
        <v>23.03</v>
      </c>
      <c r="N83" s="100">
        <v>0</v>
      </c>
      <c r="O83" s="100">
        <v>0</v>
      </c>
      <c r="P83" s="100">
        <v>0.82</v>
      </c>
      <c r="Q83" s="100">
        <v>4.88</v>
      </c>
    </row>
    <row r="84" spans="1:17" customFormat="1">
      <c r="A84" s="100" t="s">
        <v>3192</v>
      </c>
      <c r="B84" s="100">
        <v>9.92</v>
      </c>
      <c r="C84" s="100">
        <v>59.68</v>
      </c>
      <c r="D84" s="100">
        <v>38.090000000000003</v>
      </c>
      <c r="E84" s="100">
        <v>12.71</v>
      </c>
      <c r="F84" s="100">
        <v>14.26</v>
      </c>
      <c r="G84" s="100">
        <v>67.180000000000007</v>
      </c>
      <c r="H84" s="100">
        <v>22.47</v>
      </c>
      <c r="I84" s="100">
        <v>5.29</v>
      </c>
      <c r="J84" s="100">
        <v>0.21</v>
      </c>
      <c r="K84" s="100">
        <v>157.88</v>
      </c>
      <c r="L84" s="100">
        <v>37.08</v>
      </c>
      <c r="M84" s="100">
        <v>25.1</v>
      </c>
      <c r="N84" s="100">
        <v>0</v>
      </c>
      <c r="O84" s="100">
        <v>0</v>
      </c>
      <c r="P84" s="100">
        <v>0.77</v>
      </c>
      <c r="Q84" s="100">
        <v>4.93</v>
      </c>
    </row>
    <row r="85" spans="1:17" customFormat="1">
      <c r="A85" s="100" t="s">
        <v>3193</v>
      </c>
      <c r="B85" s="100">
        <v>8.1199999999999992</v>
      </c>
      <c r="C85" s="100">
        <v>59.2</v>
      </c>
      <c r="D85" s="100">
        <v>36.4</v>
      </c>
      <c r="E85" s="100">
        <v>10.94</v>
      </c>
      <c r="F85" s="100">
        <v>14.47</v>
      </c>
      <c r="G85" s="100">
        <v>67.180000000000007</v>
      </c>
      <c r="H85" s="100">
        <v>22.47</v>
      </c>
      <c r="I85" s="100">
        <v>5.44</v>
      </c>
      <c r="J85" s="100">
        <v>0.3</v>
      </c>
      <c r="K85" s="100">
        <v>162.22</v>
      </c>
      <c r="L85" s="100">
        <v>36.54</v>
      </c>
      <c r="M85" s="100">
        <v>27.5</v>
      </c>
      <c r="N85" s="100">
        <v>0</v>
      </c>
      <c r="O85" s="100">
        <v>0</v>
      </c>
      <c r="P85" s="100">
        <v>0.75</v>
      </c>
      <c r="Q85" s="100">
        <v>5.04</v>
      </c>
    </row>
    <row r="86" spans="1:17" customFormat="1">
      <c r="A86" s="100" t="s">
        <v>3194</v>
      </c>
      <c r="B86" s="100">
        <v>8.16</v>
      </c>
      <c r="C86" s="100">
        <v>55.13</v>
      </c>
      <c r="D86" s="100">
        <v>34.299999999999997</v>
      </c>
      <c r="E86" s="100">
        <v>11.51</v>
      </c>
      <c r="F86" s="100">
        <v>28.13</v>
      </c>
      <c r="G86" s="100">
        <v>75.48</v>
      </c>
      <c r="H86" s="100">
        <v>23.61</v>
      </c>
      <c r="I86" s="100">
        <v>5.43</v>
      </c>
      <c r="J86" s="100">
        <v>0.31</v>
      </c>
      <c r="K86" s="100">
        <v>107.86</v>
      </c>
      <c r="L86" s="100">
        <v>36.299999999999997</v>
      </c>
      <c r="M86" s="100">
        <v>25.95</v>
      </c>
      <c r="N86" s="100">
        <v>0</v>
      </c>
      <c r="O86" s="100">
        <v>0</v>
      </c>
      <c r="P86" s="100">
        <v>0.73</v>
      </c>
      <c r="Q86" s="100">
        <v>5.13</v>
      </c>
    </row>
    <row r="87" spans="1:17" customFormat="1">
      <c r="A87" s="100" t="s">
        <v>3195</v>
      </c>
      <c r="B87" s="100">
        <v>6.88</v>
      </c>
      <c r="C87" s="100">
        <v>43.47</v>
      </c>
      <c r="D87" s="100">
        <v>27.18</v>
      </c>
      <c r="E87" s="100">
        <v>23.07</v>
      </c>
      <c r="F87" s="100">
        <v>49.1</v>
      </c>
      <c r="G87" s="100">
        <v>87.36</v>
      </c>
      <c r="H87" s="100">
        <v>26.55</v>
      </c>
      <c r="I87" s="100">
        <v>5.63</v>
      </c>
      <c r="J87" s="100">
        <v>0.1</v>
      </c>
      <c r="K87" s="100">
        <v>193.46</v>
      </c>
      <c r="L87" s="100">
        <v>35.89</v>
      </c>
      <c r="M87" s="100">
        <v>26.84</v>
      </c>
      <c r="N87" s="100">
        <v>0</v>
      </c>
      <c r="O87" s="100">
        <v>0</v>
      </c>
      <c r="P87" s="100">
        <v>0.59</v>
      </c>
      <c r="Q87" s="100">
        <v>5.12</v>
      </c>
    </row>
    <row r="88" spans="1:17" customFormat="1">
      <c r="A88" s="100" t="s">
        <v>3196</v>
      </c>
      <c r="B88" s="100">
        <v>6.61</v>
      </c>
      <c r="C88" s="100">
        <v>41.6</v>
      </c>
      <c r="D88" s="100">
        <v>25.99</v>
      </c>
      <c r="E88" s="100">
        <v>17.66</v>
      </c>
      <c r="F88" s="100">
        <v>45.16</v>
      </c>
      <c r="G88" s="100">
        <v>87.36</v>
      </c>
      <c r="H88" s="100">
        <v>26.55</v>
      </c>
      <c r="I88" s="100">
        <v>5.47</v>
      </c>
      <c r="J88" s="100">
        <v>0.08</v>
      </c>
      <c r="K88" s="100">
        <v>187.16</v>
      </c>
      <c r="L88" s="100">
        <v>35.07</v>
      </c>
      <c r="M88" s="100">
        <v>29.23</v>
      </c>
      <c r="N88" s="100">
        <v>0</v>
      </c>
      <c r="O88" s="100">
        <v>0</v>
      </c>
      <c r="P88" s="100">
        <v>0.59</v>
      </c>
      <c r="Q88" s="100">
        <v>5.03</v>
      </c>
    </row>
    <row r="89" spans="1:17" customFormat="1">
      <c r="A89" s="100" t="s">
        <v>3197</v>
      </c>
      <c r="B89" s="100">
        <v>6.5</v>
      </c>
      <c r="C89" s="100">
        <v>40.25</v>
      </c>
      <c r="D89" s="100">
        <v>25.19</v>
      </c>
      <c r="E89" s="100">
        <v>10.02</v>
      </c>
      <c r="F89" s="100">
        <v>41.19</v>
      </c>
      <c r="G89" s="100">
        <v>87.36</v>
      </c>
      <c r="H89" s="100">
        <v>26.55</v>
      </c>
      <c r="I89" s="100">
        <v>4.8600000000000003</v>
      </c>
      <c r="J89" s="100">
        <v>0.19</v>
      </c>
      <c r="K89" s="100">
        <v>244.09</v>
      </c>
      <c r="L89" s="100">
        <v>34.47</v>
      </c>
      <c r="M89" s="100">
        <v>30.79</v>
      </c>
      <c r="N89" s="100">
        <v>0</v>
      </c>
      <c r="O89" s="100">
        <v>0</v>
      </c>
      <c r="P89" s="100">
        <v>0.6</v>
      </c>
      <c r="Q89" s="100">
        <v>4.97</v>
      </c>
    </row>
    <row r="90" spans="1:17" customFormat="1">
      <c r="A90" s="100" t="s">
        <v>3198</v>
      </c>
      <c r="B90" s="100">
        <v>7.03</v>
      </c>
      <c r="C90" s="100">
        <v>41.58</v>
      </c>
      <c r="D90" s="100">
        <v>26.32</v>
      </c>
      <c r="E90" s="100">
        <v>9.1199999999999992</v>
      </c>
      <c r="F90" s="100">
        <v>38.299999999999997</v>
      </c>
      <c r="G90" s="100">
        <v>79.930000000000007</v>
      </c>
      <c r="H90" s="100">
        <v>25.97</v>
      </c>
      <c r="I90" s="100">
        <v>4.83</v>
      </c>
      <c r="J90" s="100">
        <v>0.38</v>
      </c>
      <c r="K90" s="100">
        <v>248.16</v>
      </c>
      <c r="L90" s="100">
        <v>34.380000000000003</v>
      </c>
      <c r="M90" s="100">
        <v>30.54</v>
      </c>
      <c r="N90" s="100">
        <v>0</v>
      </c>
      <c r="O90" s="100">
        <v>0</v>
      </c>
      <c r="P90" s="100">
        <v>0.62</v>
      </c>
      <c r="Q90" s="100">
        <v>4.91</v>
      </c>
    </row>
    <row r="91" spans="1:17" customFormat="1">
      <c r="A91" s="100" t="s">
        <v>3199</v>
      </c>
      <c r="B91" s="100">
        <v>14.9</v>
      </c>
      <c r="C91" s="100">
        <v>61.74</v>
      </c>
      <c r="D91" s="100">
        <v>43.16</v>
      </c>
      <c r="E91" s="100">
        <v>9.43</v>
      </c>
      <c r="F91" s="100">
        <v>11.94</v>
      </c>
      <c r="G91" s="100">
        <v>69.27</v>
      </c>
      <c r="H91" s="100">
        <v>25.47</v>
      </c>
      <c r="I91" s="100">
        <v>4.8099999999999996</v>
      </c>
      <c r="J91" s="100">
        <v>0.21</v>
      </c>
      <c r="K91" s="100">
        <v>75.53</v>
      </c>
      <c r="L91" s="100">
        <v>34.5</v>
      </c>
      <c r="M91" s="100">
        <v>31.11</v>
      </c>
      <c r="N91" s="100">
        <v>0</v>
      </c>
      <c r="O91" s="100">
        <v>0</v>
      </c>
      <c r="P91" s="100">
        <v>0.83</v>
      </c>
      <c r="Q91" s="100">
        <v>4.8600000000000003</v>
      </c>
    </row>
    <row r="92" spans="1:17" customFormat="1">
      <c r="A92" s="100" t="s">
        <v>3200</v>
      </c>
      <c r="B92" s="100">
        <v>13.53</v>
      </c>
      <c r="C92" s="100">
        <v>61.54</v>
      </c>
      <c r="D92" s="100">
        <v>41.95</v>
      </c>
      <c r="E92" s="100">
        <v>9.48</v>
      </c>
      <c r="F92" s="100">
        <v>13.64</v>
      </c>
      <c r="G92" s="100">
        <v>69.27</v>
      </c>
      <c r="H92" s="100">
        <v>25.47</v>
      </c>
      <c r="I92" s="100">
        <v>5.07</v>
      </c>
      <c r="J92" s="100">
        <v>0.37</v>
      </c>
      <c r="K92" s="100">
        <v>70.989999999999995</v>
      </c>
      <c r="L92" s="100">
        <v>34.229999999999997</v>
      </c>
      <c r="M92" s="100">
        <v>32.28</v>
      </c>
      <c r="N92" s="100">
        <v>0</v>
      </c>
      <c r="O92" s="100">
        <v>0</v>
      </c>
      <c r="P92" s="100">
        <v>0.81</v>
      </c>
      <c r="Q92" s="100">
        <v>5.05</v>
      </c>
    </row>
    <row r="93" spans="1:17" customFormat="1">
      <c r="A93" s="100" t="s">
        <v>3201</v>
      </c>
      <c r="B93" s="100">
        <v>13.31</v>
      </c>
      <c r="C93" s="100">
        <v>55.39</v>
      </c>
      <c r="D93" s="100">
        <v>38.57</v>
      </c>
      <c r="E93" s="100">
        <v>12.47</v>
      </c>
      <c r="F93" s="100">
        <v>20.05</v>
      </c>
      <c r="G93" s="100">
        <v>69.27</v>
      </c>
      <c r="H93" s="100">
        <v>25.47</v>
      </c>
      <c r="I93" s="100">
        <v>5.66</v>
      </c>
      <c r="J93" s="100">
        <v>0.43</v>
      </c>
      <c r="K93" s="100">
        <v>69.36</v>
      </c>
      <c r="L93" s="100">
        <v>33.950000000000003</v>
      </c>
      <c r="M93" s="100">
        <v>33.01</v>
      </c>
      <c r="N93" s="100">
        <v>0</v>
      </c>
      <c r="O93" s="100">
        <v>0</v>
      </c>
      <c r="P93" s="100">
        <v>0.79</v>
      </c>
      <c r="Q93" s="100">
        <v>5.13</v>
      </c>
    </row>
    <row r="94" spans="1:17" customFormat="1">
      <c r="A94" s="100" t="s">
        <v>3202</v>
      </c>
      <c r="B94" s="100">
        <v>12.24</v>
      </c>
      <c r="C94" s="100">
        <v>54.88</v>
      </c>
      <c r="D94" s="100">
        <v>37.44</v>
      </c>
      <c r="E94" s="100">
        <v>13.29</v>
      </c>
      <c r="F94" s="100">
        <v>14.79</v>
      </c>
      <c r="G94" s="100">
        <v>71.62</v>
      </c>
      <c r="H94" s="100">
        <v>24.81</v>
      </c>
      <c r="I94" s="100">
        <v>6.02</v>
      </c>
      <c r="J94" s="100">
        <v>0.36</v>
      </c>
      <c r="K94" s="100">
        <v>77.62</v>
      </c>
      <c r="L94" s="100">
        <v>34.1</v>
      </c>
      <c r="M94" s="100">
        <v>32.29</v>
      </c>
      <c r="N94" s="100">
        <v>0</v>
      </c>
      <c r="O94" s="100">
        <v>0</v>
      </c>
      <c r="P94" s="100">
        <v>0.81</v>
      </c>
      <c r="Q94" s="100">
        <v>5.16</v>
      </c>
    </row>
    <row r="95" spans="1:17" customFormat="1">
      <c r="A95" s="100" t="s">
        <v>3203</v>
      </c>
      <c r="B95" s="100">
        <v>10.47</v>
      </c>
      <c r="C95" s="100">
        <v>53.12</v>
      </c>
      <c r="D95" s="100">
        <v>35.1</v>
      </c>
      <c r="E95" s="100">
        <v>11.38</v>
      </c>
      <c r="F95" s="100">
        <v>16.75</v>
      </c>
      <c r="G95" s="100">
        <v>74.98</v>
      </c>
      <c r="H95" s="100">
        <v>24.24</v>
      </c>
      <c r="I95" s="100">
        <v>6.31</v>
      </c>
      <c r="J95" s="100">
        <v>0.18</v>
      </c>
      <c r="K95" s="100">
        <v>137.15</v>
      </c>
      <c r="L95" s="100">
        <v>33.950000000000003</v>
      </c>
      <c r="M95" s="100">
        <v>34</v>
      </c>
      <c r="N95" s="100">
        <v>0</v>
      </c>
      <c r="O95" s="100">
        <v>0</v>
      </c>
      <c r="P95" s="100">
        <v>0.76</v>
      </c>
      <c r="Q95" s="100">
        <v>5.21</v>
      </c>
    </row>
    <row r="96" spans="1:17" customFormat="1">
      <c r="A96" s="100" t="s">
        <v>3204</v>
      </c>
      <c r="B96" s="100">
        <v>10.32</v>
      </c>
      <c r="C96" s="100">
        <v>52.06</v>
      </c>
      <c r="D96" s="100">
        <v>34.42</v>
      </c>
      <c r="E96" s="100">
        <v>10.54</v>
      </c>
      <c r="F96" s="100">
        <v>16.43</v>
      </c>
      <c r="G96" s="100">
        <v>74.98</v>
      </c>
      <c r="H96" s="100">
        <v>24.24</v>
      </c>
      <c r="I96" s="100">
        <v>6.42</v>
      </c>
      <c r="J96" s="100">
        <v>0.22</v>
      </c>
      <c r="K96" s="100">
        <v>174.25</v>
      </c>
      <c r="L96" s="100">
        <v>33.26</v>
      </c>
      <c r="M96" s="100">
        <v>35.92</v>
      </c>
      <c r="N96" s="100">
        <v>0</v>
      </c>
      <c r="O96" s="100">
        <v>0</v>
      </c>
      <c r="P96" s="100">
        <v>0.74</v>
      </c>
      <c r="Q96" s="100">
        <v>5.16</v>
      </c>
    </row>
    <row r="97" spans="1:22" customFormat="1">
      <c r="A97" s="100" t="s">
        <v>3205</v>
      </c>
      <c r="B97" s="100">
        <v>13</v>
      </c>
      <c r="C97" s="100">
        <v>54.88</v>
      </c>
      <c r="D97" s="100">
        <v>38.06</v>
      </c>
      <c r="E97" s="100">
        <v>10.5</v>
      </c>
      <c r="F97" s="100">
        <v>16.89</v>
      </c>
      <c r="G97" s="100">
        <v>74.98</v>
      </c>
      <c r="H97" s="100">
        <v>24.24</v>
      </c>
      <c r="I97" s="100">
        <v>6.3</v>
      </c>
      <c r="J97" s="100">
        <v>0.13</v>
      </c>
      <c r="K97" s="100">
        <v>249.47</v>
      </c>
      <c r="L97" s="100">
        <v>32.69</v>
      </c>
      <c r="M97" s="100">
        <v>36.590000000000003</v>
      </c>
      <c r="N97" s="100">
        <v>0</v>
      </c>
      <c r="O97" s="100">
        <v>0</v>
      </c>
      <c r="P97" s="100">
        <v>0.74</v>
      </c>
      <c r="Q97" s="100">
        <v>5.21</v>
      </c>
    </row>
    <row r="98" spans="1:22" customFormat="1">
      <c r="A98" s="100" t="s">
        <v>3206</v>
      </c>
      <c r="B98" s="100">
        <v>24.28</v>
      </c>
      <c r="C98" s="100">
        <v>58.18</v>
      </c>
      <c r="D98" s="100">
        <v>48.82</v>
      </c>
      <c r="E98" s="100">
        <v>10.94</v>
      </c>
      <c r="F98" s="100">
        <v>8.7899999999999991</v>
      </c>
      <c r="G98" s="100">
        <v>77.459999999999994</v>
      </c>
      <c r="H98" s="100">
        <v>26.21</v>
      </c>
      <c r="I98" s="100">
        <v>6.13</v>
      </c>
      <c r="J98" s="100">
        <v>0.39</v>
      </c>
      <c r="K98" s="100">
        <v>37.770000000000003</v>
      </c>
      <c r="L98" s="100">
        <v>32.659999999999997</v>
      </c>
      <c r="M98" s="100">
        <v>36.47</v>
      </c>
      <c r="N98" s="100">
        <v>0</v>
      </c>
      <c r="O98" s="100">
        <v>0</v>
      </c>
      <c r="P98" s="100">
        <v>0.83</v>
      </c>
      <c r="Q98" s="100">
        <v>5.22</v>
      </c>
    </row>
    <row r="99" spans="1:22" customFormat="1">
      <c r="A99" s="100" t="s">
        <v>3207</v>
      </c>
      <c r="B99" s="100">
        <v>17.18</v>
      </c>
      <c r="C99" s="100">
        <v>59.19</v>
      </c>
      <c r="D99" s="100">
        <v>43.66</v>
      </c>
      <c r="E99" s="100">
        <v>9.5</v>
      </c>
      <c r="F99" s="100">
        <v>8.34</v>
      </c>
      <c r="G99" s="100">
        <v>81.010000000000005</v>
      </c>
      <c r="H99" s="100">
        <v>27.9</v>
      </c>
      <c r="I99" s="100">
        <v>6.27</v>
      </c>
      <c r="J99" s="100">
        <v>0.23</v>
      </c>
      <c r="K99" s="100">
        <v>135.72</v>
      </c>
      <c r="L99" s="100">
        <v>32.67</v>
      </c>
      <c r="M99" s="100">
        <v>37.880000000000003</v>
      </c>
      <c r="N99" s="100">
        <v>0</v>
      </c>
      <c r="O99" s="100">
        <v>0</v>
      </c>
      <c r="P99" s="100">
        <v>0.8</v>
      </c>
      <c r="Q99" s="100">
        <v>5.38</v>
      </c>
    </row>
    <row r="100" spans="1:22" customFormat="1">
      <c r="A100" s="100" t="s">
        <v>3208</v>
      </c>
      <c r="B100" s="100">
        <v>15.22</v>
      </c>
      <c r="C100" s="100">
        <v>58.3</v>
      </c>
      <c r="D100" s="100">
        <v>41.62</v>
      </c>
      <c r="E100" s="100">
        <v>8.14</v>
      </c>
      <c r="F100" s="100">
        <v>7.32</v>
      </c>
      <c r="G100" s="100">
        <v>81.010000000000005</v>
      </c>
      <c r="H100" s="100">
        <v>27.9</v>
      </c>
      <c r="I100" s="100">
        <v>6.44</v>
      </c>
      <c r="J100" s="100">
        <v>0.2</v>
      </c>
      <c r="K100" s="100">
        <v>147.27000000000001</v>
      </c>
      <c r="L100" s="100">
        <v>32.1</v>
      </c>
      <c r="M100" s="100">
        <v>39.89</v>
      </c>
      <c r="N100" s="100">
        <v>0</v>
      </c>
      <c r="O100" s="100">
        <v>0</v>
      </c>
      <c r="P100" s="100">
        <v>0.8</v>
      </c>
      <c r="Q100" s="100">
        <v>5.38</v>
      </c>
    </row>
    <row r="101" spans="1:22" customFormat="1">
      <c r="A101" s="100" t="s">
        <v>3209</v>
      </c>
      <c r="B101" s="100">
        <v>18.559999999999999</v>
      </c>
      <c r="C101" s="100">
        <v>62.57</v>
      </c>
      <c r="D101" s="100">
        <v>46.53</v>
      </c>
      <c r="E101" s="100">
        <v>8.16</v>
      </c>
      <c r="F101" s="100">
        <v>5.62</v>
      </c>
      <c r="G101" s="100">
        <v>81.010000000000005</v>
      </c>
      <c r="H101" s="100">
        <v>27.9</v>
      </c>
      <c r="I101" s="100">
        <v>6.51</v>
      </c>
      <c r="J101" s="100">
        <v>0.15</v>
      </c>
      <c r="K101" s="100">
        <v>169.16</v>
      </c>
      <c r="L101" s="100">
        <v>31.77</v>
      </c>
      <c r="M101" s="100">
        <v>40.619999999999997</v>
      </c>
      <c r="N101" s="100">
        <v>0</v>
      </c>
      <c r="O101" s="100">
        <v>0</v>
      </c>
      <c r="P101" s="100">
        <v>0.82</v>
      </c>
      <c r="Q101" s="100">
        <v>5.48</v>
      </c>
    </row>
    <row r="102" spans="1:22" customFormat="1">
      <c r="A102" s="100" t="s">
        <v>3210</v>
      </c>
      <c r="B102" s="100">
        <v>18.36</v>
      </c>
      <c r="C102" s="100">
        <v>61.61</v>
      </c>
      <c r="D102" s="100">
        <v>45.86</v>
      </c>
      <c r="E102" s="100">
        <v>7.25</v>
      </c>
      <c r="F102" s="100">
        <v>5.54</v>
      </c>
      <c r="G102" s="100">
        <v>84.06</v>
      </c>
      <c r="H102" s="100">
        <v>27.25</v>
      </c>
      <c r="I102" s="100">
        <v>6.6</v>
      </c>
      <c r="J102" s="100">
        <v>0.21</v>
      </c>
      <c r="K102" s="100">
        <v>165.49</v>
      </c>
      <c r="L102" s="100">
        <v>31.34</v>
      </c>
      <c r="M102" s="100">
        <v>41.87</v>
      </c>
      <c r="N102" s="100">
        <v>0</v>
      </c>
      <c r="O102" s="100">
        <v>0</v>
      </c>
      <c r="P102" s="100">
        <v>0.79</v>
      </c>
      <c r="Q102" s="100">
        <v>5.48</v>
      </c>
    </row>
    <row r="103" spans="1:22" customFormat="1">
      <c r="A103" s="100" t="s">
        <v>3211</v>
      </c>
      <c r="B103" s="100">
        <v>19.05</v>
      </c>
      <c r="C103" s="100">
        <v>62.03</v>
      </c>
      <c r="D103" s="100">
        <v>46.64</v>
      </c>
      <c r="E103" s="100">
        <v>7.42</v>
      </c>
      <c r="F103" s="100">
        <v>5.91</v>
      </c>
      <c r="G103" s="100">
        <v>88.44</v>
      </c>
      <c r="H103" s="100">
        <v>26.68</v>
      </c>
      <c r="I103" s="100">
        <v>6.69</v>
      </c>
      <c r="J103" s="100">
        <v>0.16</v>
      </c>
      <c r="K103" s="100">
        <v>197.75</v>
      </c>
      <c r="L103" s="100">
        <v>31.09</v>
      </c>
      <c r="M103" s="100">
        <v>41.27</v>
      </c>
      <c r="N103" s="100">
        <v>0</v>
      </c>
      <c r="O103" s="100">
        <v>0</v>
      </c>
      <c r="P103" s="100">
        <v>0.79</v>
      </c>
      <c r="Q103" s="100">
        <v>5.58</v>
      </c>
    </row>
    <row r="104" spans="1:22" customFormat="1">
      <c r="A104" s="100" t="s">
        <v>3212</v>
      </c>
      <c r="B104" s="100">
        <v>25.32</v>
      </c>
      <c r="C104" s="100">
        <v>69.05</v>
      </c>
      <c r="D104" s="100">
        <v>55.34</v>
      </c>
      <c r="E104" s="100">
        <v>5.56</v>
      </c>
      <c r="F104" s="100">
        <v>4.42</v>
      </c>
      <c r="G104" s="100">
        <v>88.44</v>
      </c>
      <c r="H104" s="100">
        <v>26.68</v>
      </c>
      <c r="I104" s="100">
        <v>6.75</v>
      </c>
      <c r="J104" s="100">
        <v>0.28999999999999998</v>
      </c>
      <c r="K104" s="100">
        <v>169.18</v>
      </c>
      <c r="L104" s="100">
        <v>30.74</v>
      </c>
      <c r="M104" s="100">
        <v>44.2</v>
      </c>
      <c r="N104" s="100">
        <v>0</v>
      </c>
      <c r="O104" s="100">
        <v>0</v>
      </c>
      <c r="P104" s="100">
        <v>0.83</v>
      </c>
      <c r="Q104" s="100">
        <v>5.67</v>
      </c>
    </row>
    <row r="106" spans="1:22">
      <c r="A106" s="157" t="s">
        <v>48</v>
      </c>
      <c r="B106" s="158">
        <f>MIN(B9:B104)</f>
        <v>3.86</v>
      </c>
      <c r="C106" s="158">
        <f>MIN(C9:C104)</f>
        <v>39.58</v>
      </c>
      <c r="D106" s="158">
        <f t="shared" ref="D106:Q106" si="0">MIN(D9:D104)</f>
        <v>22.99</v>
      </c>
      <c r="E106" s="158">
        <f t="shared" si="0"/>
        <v>5.33</v>
      </c>
      <c r="F106" s="158">
        <f t="shared" si="0"/>
        <v>4.42</v>
      </c>
      <c r="G106" s="158">
        <f t="shared" si="0"/>
        <v>36.270000000000003</v>
      </c>
      <c r="H106" s="158">
        <f t="shared" si="0"/>
        <v>17.61</v>
      </c>
      <c r="I106" s="158">
        <f t="shared" si="0"/>
        <v>4.1399999999999997</v>
      </c>
      <c r="J106" s="158">
        <f t="shared" si="0"/>
        <v>0.08</v>
      </c>
      <c r="K106" s="158">
        <f t="shared" si="0"/>
        <v>12.09</v>
      </c>
      <c r="L106" s="158">
        <f t="shared" si="0"/>
        <v>28.93</v>
      </c>
      <c r="M106" s="158">
        <f t="shared" si="0"/>
        <v>16.670000000000002</v>
      </c>
      <c r="N106" s="158">
        <f t="shared" si="0"/>
        <v>0</v>
      </c>
      <c r="O106" s="158">
        <f t="shared" si="0"/>
        <v>0</v>
      </c>
      <c r="P106" s="158">
        <f t="shared" si="0"/>
        <v>0.52</v>
      </c>
      <c r="Q106" s="158">
        <f t="shared" si="0"/>
        <v>4.55</v>
      </c>
      <c r="R106" s="158"/>
      <c r="S106" s="158"/>
      <c r="T106" s="158"/>
      <c r="U106" s="158"/>
    </row>
    <row r="107" spans="1:22">
      <c r="A107" s="157" t="s">
        <v>49</v>
      </c>
      <c r="B107" s="157">
        <f>MAX(B9:B104)</f>
        <v>25.32</v>
      </c>
      <c r="C107" s="157">
        <f t="shared" ref="C107:Q107" si="1">MAX(C9:C104)</f>
        <v>69.05</v>
      </c>
      <c r="D107" s="157">
        <f t="shared" si="1"/>
        <v>55.34</v>
      </c>
      <c r="E107" s="157">
        <f t="shared" si="1"/>
        <v>23.07</v>
      </c>
      <c r="F107" s="157">
        <f t="shared" si="1"/>
        <v>55.83</v>
      </c>
      <c r="G107" s="157">
        <f t="shared" si="1"/>
        <v>88.44</v>
      </c>
      <c r="H107" s="157">
        <f t="shared" si="1"/>
        <v>27.9</v>
      </c>
      <c r="I107" s="157">
        <f t="shared" si="1"/>
        <v>8.6</v>
      </c>
      <c r="J107" s="157">
        <f t="shared" si="1"/>
        <v>1.28</v>
      </c>
      <c r="K107" s="157">
        <f t="shared" si="1"/>
        <v>359.57</v>
      </c>
      <c r="L107" s="157">
        <f t="shared" si="1"/>
        <v>42.03</v>
      </c>
      <c r="M107" s="157">
        <f t="shared" si="1"/>
        <v>52.47</v>
      </c>
      <c r="N107" s="157">
        <f t="shared" si="1"/>
        <v>776.2</v>
      </c>
      <c r="O107" s="157">
        <f t="shared" si="1"/>
        <v>0</v>
      </c>
      <c r="P107" s="157">
        <f t="shared" si="1"/>
        <v>0.94</v>
      </c>
      <c r="Q107" s="157">
        <f t="shared" si="1"/>
        <v>5.67</v>
      </c>
      <c r="R107" s="157"/>
      <c r="S107" s="157"/>
      <c r="T107" s="157"/>
      <c r="U107" s="157"/>
    </row>
    <row r="108" spans="1:22">
      <c r="A108" s="157" t="s">
        <v>50</v>
      </c>
      <c r="B108" s="158">
        <f>AVERAGE(B9:B104)</f>
        <v>10.386874999999998</v>
      </c>
      <c r="C108" s="158">
        <f t="shared" ref="C108:Q108" si="2">AVERAGE(C9:C104)</f>
        <v>50.667499999999997</v>
      </c>
      <c r="D108" s="158">
        <f t="shared" si="2"/>
        <v>33.756354166666689</v>
      </c>
      <c r="E108" s="158">
        <f t="shared" si="2"/>
        <v>10.840833333333331</v>
      </c>
      <c r="F108" s="158">
        <f t="shared" si="2"/>
        <v>22.204687499999995</v>
      </c>
      <c r="G108" s="158">
        <f t="shared" si="2"/>
        <v>59.091666666666661</v>
      </c>
      <c r="H108" s="158">
        <f t="shared" si="2"/>
        <v>22.436770833333327</v>
      </c>
      <c r="I108" s="158">
        <f t="shared" si="2"/>
        <v>5.8962499999999993</v>
      </c>
      <c r="J108" s="158">
        <f t="shared" si="2"/>
        <v>0.47145833333333331</v>
      </c>
      <c r="K108" s="158">
        <f t="shared" si="2"/>
        <v>221.30718750000005</v>
      </c>
      <c r="L108" s="158">
        <f t="shared" si="2"/>
        <v>34.799791666666664</v>
      </c>
      <c r="M108" s="158">
        <f t="shared" si="2"/>
        <v>34.114270833333329</v>
      </c>
      <c r="N108" s="158">
        <f t="shared" si="2"/>
        <v>149.46875</v>
      </c>
      <c r="O108" s="158">
        <f t="shared" si="2"/>
        <v>0</v>
      </c>
      <c r="P108" s="158">
        <f t="shared" si="2"/>
        <v>0.70000000000000018</v>
      </c>
      <c r="Q108" s="158">
        <f t="shared" si="2"/>
        <v>4.9681250000000015</v>
      </c>
      <c r="R108" s="158"/>
      <c r="S108" s="158"/>
      <c r="T108" s="158"/>
      <c r="U108" s="158"/>
    </row>
    <row r="109" spans="1:22">
      <c r="A109" s="157" t="s">
        <v>51</v>
      </c>
      <c r="B109" s="158">
        <f>STDEV(B9:B104)</f>
        <v>4.7635224278943662</v>
      </c>
      <c r="C109" s="158">
        <f t="shared" ref="C109:Q109" si="3">STDEV(C9:C104)</f>
        <v>6.1216139942613719</v>
      </c>
      <c r="D109" s="158">
        <f t="shared" si="3"/>
        <v>6.6776865076384837</v>
      </c>
      <c r="E109" s="158">
        <f t="shared" si="3"/>
        <v>4.3872537067873516</v>
      </c>
      <c r="F109" s="158">
        <f t="shared" si="3"/>
        <v>13.800986307478558</v>
      </c>
      <c r="G109" s="158">
        <f t="shared" si="3"/>
        <v>15.074583465776652</v>
      </c>
      <c r="H109" s="158">
        <f t="shared" si="3"/>
        <v>2.8890623118352372</v>
      </c>
      <c r="I109" s="158">
        <f t="shared" si="3"/>
        <v>1.0653492138113299</v>
      </c>
      <c r="J109" s="158">
        <f t="shared" si="3"/>
        <v>0.29061451829806106</v>
      </c>
      <c r="K109" s="158">
        <f t="shared" si="3"/>
        <v>89.566748984126178</v>
      </c>
      <c r="L109" s="158">
        <f t="shared" si="3"/>
        <v>4.5564009294425052</v>
      </c>
      <c r="M109" s="158">
        <f t="shared" si="3"/>
        <v>12.515860232419369</v>
      </c>
      <c r="N109" s="158">
        <f t="shared" si="3"/>
        <v>232.94103989162039</v>
      </c>
      <c r="O109" s="158">
        <f t="shared" si="3"/>
        <v>0</v>
      </c>
      <c r="P109" s="158">
        <f t="shared" si="3"/>
        <v>0.10422647405883405</v>
      </c>
      <c r="Q109" s="158">
        <f t="shared" si="3"/>
        <v>0.2626356792212361</v>
      </c>
      <c r="R109" s="158"/>
      <c r="S109" s="158"/>
      <c r="T109" s="158"/>
      <c r="U109" s="158"/>
    </row>
    <row r="110" spans="1:22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4" t="s">
        <v>56</v>
      </c>
      <c r="C115" s="164"/>
      <c r="D115" s="164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55"/>
  <sheetViews>
    <sheetView zoomScale="85" zoomScaleNormal="85" workbookViewId="0">
      <pane xSplit="1" ySplit="8" topLeftCell="B33" activePane="bottomRight" state="frozen"/>
      <selection pane="topRight"/>
      <selection pane="bottomLeft"/>
      <selection pane="bottomRight" activeCell="T20" sqref="T20"/>
    </sheetView>
  </sheetViews>
  <sheetFormatPr defaultColWidth="8.85546875" defaultRowHeight="15"/>
  <cols>
    <col min="1" max="1" width="15.85546875" style="128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29" t="s">
        <v>0</v>
      </c>
      <c r="B1" s="130" t="s">
        <v>58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 s="2" customFormat="1">
      <c r="A2" s="129" t="s">
        <v>2</v>
      </c>
      <c r="B2" s="129" t="str">
        <f>$A$9</f>
        <v>01/05/2023 00:15</v>
      </c>
      <c r="C2"/>
      <c r="D2" s="42" t="s">
        <v>3</v>
      </c>
      <c r="E2" s="42"/>
      <c r="F2" s="42"/>
      <c r="G2" s="133" t="s">
        <v>4</v>
      </c>
      <c r="H2" s="134"/>
      <c r="I2" s="134"/>
      <c r="J2" s="134"/>
      <c r="K2" s="132"/>
      <c r="L2" s="42" t="s">
        <v>5</v>
      </c>
      <c r="M2" s="132"/>
      <c r="N2" s="145" t="s">
        <v>6</v>
      </c>
      <c r="P2" s="146" t="s">
        <v>7</v>
      </c>
      <c r="Q2" s="132"/>
      <c r="R2" s="151" t="s">
        <v>8</v>
      </c>
      <c r="S2"/>
      <c r="T2"/>
      <c r="U2"/>
    </row>
    <row r="3" spans="1:21" s="2" customFormat="1">
      <c r="A3" s="129" t="s">
        <v>9</v>
      </c>
      <c r="B3" s="132" t="s">
        <v>10</v>
      </c>
      <c r="C3"/>
      <c r="D3" s="42" t="s">
        <v>11</v>
      </c>
      <c r="E3" s="42"/>
      <c r="F3" s="42"/>
      <c r="G3" s="135" t="s">
        <v>12</v>
      </c>
      <c r="H3" s="134"/>
      <c r="I3" s="129"/>
      <c r="J3" s="134"/>
      <c r="K3"/>
      <c r="L3" s="42" t="s">
        <v>13</v>
      </c>
      <c r="M3" s="132"/>
      <c r="N3" s="147" t="s">
        <v>14</v>
      </c>
      <c r="O3" s="132"/>
      <c r="P3" s="148" t="s">
        <v>15</v>
      </c>
      <c r="Q3" s="132"/>
      <c r="R3" s="152" t="s">
        <v>15</v>
      </c>
      <c r="S3"/>
      <c r="T3"/>
      <c r="U3"/>
    </row>
    <row r="4" spans="1:21" s="2" customFormat="1">
      <c r="A4" s="129" t="s">
        <v>16</v>
      </c>
      <c r="B4" s="132" t="s">
        <v>59</v>
      </c>
      <c r="C4"/>
      <c r="D4" s="42" t="s">
        <v>18</v>
      </c>
      <c r="E4" s="42"/>
      <c r="F4" s="42"/>
      <c r="G4" s="136" t="s">
        <v>19</v>
      </c>
      <c r="H4" s="134"/>
      <c r="I4" s="129"/>
      <c r="J4" s="134"/>
      <c r="K4" s="149"/>
      <c r="L4" s="42" t="s">
        <v>20</v>
      </c>
      <c r="M4" s="132"/>
      <c r="N4" s="150" t="s">
        <v>21</v>
      </c>
      <c r="O4" s="132"/>
      <c r="P4" s="132"/>
      <c r="Q4" s="132"/>
      <c r="R4" s="132"/>
      <c r="S4"/>
      <c r="T4"/>
      <c r="U4"/>
    </row>
    <row r="5" spans="1:21" s="2" customFormat="1">
      <c r="A5" s="12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 s="2" customFormat="1">
      <c r="A6" s="129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 s="2" customFormat="1">
      <c r="A7" s="137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 s="2" customFormat="1">
      <c r="A8" s="137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39" t="str">
        <f>'01'!$B$2</f>
        <v>01/05/2023 00:15</v>
      </c>
      <c r="B9" s="83">
        <f>'01'!B108</f>
        <v>26.026562500000015</v>
      </c>
      <c r="C9" s="83">
        <f>'01'!C108</f>
        <v>57.84583333333336</v>
      </c>
      <c r="D9" s="83">
        <f>'01'!D108</f>
        <v>52.444687500000008</v>
      </c>
      <c r="E9" s="83">
        <f>'01'!E108</f>
        <v>7.6287500000000037</v>
      </c>
      <c r="F9" s="83">
        <f>'01'!F108</f>
        <v>4.4354166666666668</v>
      </c>
      <c r="G9" s="83">
        <f>'01'!G108</f>
        <v>15.168854166666664</v>
      </c>
      <c r="H9" s="83">
        <f>'01'!H108</f>
        <v>6.8855208333333353</v>
      </c>
      <c r="I9" s="83">
        <f>'01'!I108</f>
        <v>4.4894791666666665</v>
      </c>
      <c r="J9" s="83">
        <f>'01'!J108</f>
        <v>0.29989583333333319</v>
      </c>
      <c r="K9" s="83">
        <f>'01'!K108</f>
        <v>158.28041666666664</v>
      </c>
      <c r="L9" s="83">
        <f>'01'!L108</f>
        <v>24.783229166666668</v>
      </c>
      <c r="M9" s="83">
        <f>'01'!M108</f>
        <v>78.021979166666696</v>
      </c>
      <c r="N9" s="83">
        <f>'01'!N108</f>
        <v>193.09166666666661</v>
      </c>
      <c r="O9" s="83">
        <f>'01'!O108</f>
        <v>0</v>
      </c>
      <c r="P9" s="83">
        <f>'01'!P108</f>
        <v>0.5546875</v>
      </c>
      <c r="Q9" s="83">
        <f>'01'!Q108</f>
        <v>6.120520833333333</v>
      </c>
      <c r="R9" s="76"/>
      <c r="S9" s="76"/>
      <c r="T9" s="76"/>
      <c r="U9" s="76"/>
    </row>
    <row r="10" spans="1:21">
      <c r="A10" s="139" t="str">
        <f>'02'!$B$2</f>
        <v>02/05/2023 00:15</v>
      </c>
      <c r="B10" s="83">
        <f>'02'!B108</f>
        <v>21.600416666666661</v>
      </c>
      <c r="C10" s="83">
        <f>'02'!C108</f>
        <v>51.126145833333318</v>
      </c>
      <c r="D10" s="83">
        <f>'02'!D108</f>
        <v>45.384166666666658</v>
      </c>
      <c r="E10" s="83">
        <f>'02'!E108</f>
        <v>7.08177083333333</v>
      </c>
      <c r="F10" s="83">
        <f>'02'!F108</f>
        <v>6.8498958333333322</v>
      </c>
      <c r="G10" s="83">
        <f>'02'!G108</f>
        <v>22.933958333333361</v>
      </c>
      <c r="H10" s="83">
        <f>'02'!H108</f>
        <v>7.8015624999999984</v>
      </c>
      <c r="I10" s="83">
        <f>'02'!I108</f>
        <v>2.9754166666666659</v>
      </c>
      <c r="J10" s="83">
        <f>'02'!J108</f>
        <v>0.71989583333333329</v>
      </c>
      <c r="K10" s="83">
        <f>'02'!K108</f>
        <v>124.74354166666667</v>
      </c>
      <c r="L10" s="83">
        <f>'02'!L108</f>
        <v>25.856874999999999</v>
      </c>
      <c r="M10" s="83">
        <f>'02'!M108</f>
        <v>73.101770833333362</v>
      </c>
      <c r="N10" s="83">
        <f>'02'!N108</f>
        <v>222.11666666666665</v>
      </c>
      <c r="O10" s="83">
        <f>'02'!O108</f>
        <v>0</v>
      </c>
      <c r="P10" s="83">
        <f>'02'!P108</f>
        <v>0.39447916666666671</v>
      </c>
      <c r="Q10" s="83">
        <f>'02'!Q108</f>
        <v>5.7983333333333347</v>
      </c>
      <c r="R10" s="76"/>
      <c r="S10" s="76"/>
      <c r="T10" s="76"/>
      <c r="U10" s="76"/>
    </row>
    <row r="11" spans="1:21">
      <c r="A11" s="139" t="str">
        <f>'03'!$B$2</f>
        <v>03/05/2023 00:15</v>
      </c>
      <c r="B11" s="83">
        <f>'03'!B108</f>
        <v>21.922812500000006</v>
      </c>
      <c r="C11" s="83">
        <f>'03'!C108</f>
        <v>52.736354166666693</v>
      </c>
      <c r="D11" s="83">
        <f>'03'!D108</f>
        <v>46.484791666666673</v>
      </c>
      <c r="E11" s="83">
        <f>'03'!E108</f>
        <v>7.1867708333333331</v>
      </c>
      <c r="F11" s="83">
        <f>'03'!F108</f>
        <v>4.4145833333333346</v>
      </c>
      <c r="G11" s="83">
        <f>'03'!G108</f>
        <v>20.956979166666667</v>
      </c>
      <c r="H11" s="83">
        <f>'03'!H108</f>
        <v>8.1258333333333308</v>
      </c>
      <c r="I11" s="83">
        <f>'03'!I108</f>
        <v>4.2823958333333314</v>
      </c>
      <c r="J11" s="83">
        <f>'03'!J108</f>
        <v>0.55906250000000002</v>
      </c>
      <c r="K11" s="83">
        <f>'03'!K108</f>
        <v>207.56697916666667</v>
      </c>
      <c r="L11" s="83">
        <f>'03'!L108</f>
        <v>24.47270833333333</v>
      </c>
      <c r="M11" s="83">
        <f>'03'!M108</f>
        <v>81.262812500000024</v>
      </c>
      <c r="N11" s="83">
        <f>'03'!N108</f>
        <v>180.03020833333332</v>
      </c>
      <c r="O11" s="83">
        <f>'03'!O108</f>
        <v>0</v>
      </c>
      <c r="P11" s="83">
        <f>'03'!P108</f>
        <v>0.51489583333333333</v>
      </c>
      <c r="Q11" s="83">
        <f>'03'!Q108</f>
        <v>5.5454166666666644</v>
      </c>
      <c r="R11" s="76"/>
      <c r="S11" s="76"/>
      <c r="T11" s="76"/>
      <c r="U11" s="76"/>
    </row>
    <row r="12" spans="1:21">
      <c r="A12" s="139" t="str">
        <f>'04'!$B$2</f>
        <v>04/05/2023 00:15</v>
      </c>
      <c r="B12" s="83">
        <f>'04'!B108</f>
        <v>28.81979166666666</v>
      </c>
      <c r="C12" s="83">
        <f>'04'!C108</f>
        <v>48.97104166666665</v>
      </c>
      <c r="D12" s="83">
        <f>'04'!D108</f>
        <v>50.048229166666665</v>
      </c>
      <c r="E12" s="83">
        <f>'04'!E108</f>
        <v>8.5625000000000018</v>
      </c>
      <c r="F12" s="83">
        <f>'04'!F108</f>
        <v>10.659375000000002</v>
      </c>
      <c r="G12" s="83">
        <f>'04'!G108</f>
        <v>45.122499999999981</v>
      </c>
      <c r="H12" s="83">
        <f>'04'!H108</f>
        <v>16.247812500000013</v>
      </c>
      <c r="I12" s="83">
        <f>'04'!I108</f>
        <v>4.9965625000000022</v>
      </c>
      <c r="J12" s="83">
        <f>'04'!J108</f>
        <v>0.40552083333333333</v>
      </c>
      <c r="K12" s="83">
        <f>'04'!K108</f>
        <v>152.9877083333333</v>
      </c>
      <c r="L12" s="83">
        <f>'04'!L108</f>
        <v>28.529270833333328</v>
      </c>
      <c r="M12" s="83">
        <f>'04'!M108</f>
        <v>63.725312500000001</v>
      </c>
      <c r="N12" s="83">
        <f>'04'!N108</f>
        <v>210.70312499999997</v>
      </c>
      <c r="O12" s="83">
        <f>'04'!O108</f>
        <v>0</v>
      </c>
      <c r="P12" s="83">
        <f>'04'!P108</f>
        <v>0.61875000000000024</v>
      </c>
      <c r="Q12" s="83">
        <f>'04'!Q108</f>
        <v>6.0990625000000032</v>
      </c>
      <c r="R12" s="76"/>
      <c r="S12" s="76"/>
      <c r="T12" s="76"/>
      <c r="U12" s="76"/>
    </row>
    <row r="13" spans="1:21">
      <c r="A13" s="139" t="str">
        <f>'05'!$B$2</f>
        <v>05/05/2023 00:15</v>
      </c>
      <c r="B13" s="83">
        <f>'05'!B108</f>
        <v>25.726770833333333</v>
      </c>
      <c r="C13" s="83">
        <f>'05'!C108</f>
        <v>49.748333333333335</v>
      </c>
      <c r="D13" s="83">
        <f>'05'!D108</f>
        <v>47.973645833333357</v>
      </c>
      <c r="E13" s="83">
        <f>'05'!E108</f>
        <v>10.2790625</v>
      </c>
      <c r="F13" s="83">
        <f>'05'!F108</f>
        <v>9.4816666666666709</v>
      </c>
      <c r="G13" s="83">
        <f>'05'!G108</f>
        <v>59.864583333333371</v>
      </c>
      <c r="H13" s="83">
        <f>'05'!H108</f>
        <v>24.195833333333336</v>
      </c>
      <c r="I13" s="83">
        <f>'05'!I108</f>
        <v>6.7039583333333352</v>
      </c>
      <c r="J13" s="83">
        <f>'05'!J108</f>
        <v>0.45770833333333316</v>
      </c>
      <c r="K13" s="83">
        <f>'05'!K108</f>
        <v>205.91270833333337</v>
      </c>
      <c r="L13" s="83">
        <f>'05'!L108</f>
        <v>30.050833333333319</v>
      </c>
      <c r="M13" s="83">
        <f>'05'!M108</f>
        <v>57.05739583333331</v>
      </c>
      <c r="N13" s="83">
        <f>'05'!N108</f>
        <v>177.29895833333333</v>
      </c>
      <c r="O13" s="83">
        <f>'05'!O108</f>
        <v>0</v>
      </c>
      <c r="P13" s="83">
        <f>'05'!P108</f>
        <v>0.64395833333333341</v>
      </c>
      <c r="Q13" s="83">
        <f>'05'!Q108</f>
        <v>5.7502083333333331</v>
      </c>
      <c r="R13" s="76"/>
      <c r="S13" s="76"/>
      <c r="T13" s="76"/>
      <c r="U13" s="76"/>
    </row>
    <row r="14" spans="1:21">
      <c r="A14" s="139" t="str">
        <f>'06'!$B$2</f>
        <v>06/05/2023 00:15</v>
      </c>
      <c r="B14" s="83">
        <f>'06'!B108</f>
        <v>16.673978494623665</v>
      </c>
      <c r="C14" s="83">
        <f>'06'!C108</f>
        <v>47.52817204301077</v>
      </c>
      <c r="D14" s="83">
        <f>'06'!D108</f>
        <v>39.554086021505356</v>
      </c>
      <c r="E14" s="83">
        <f>'06'!E108</f>
        <v>8.7644318181818175</v>
      </c>
      <c r="F14" s="83">
        <f>'06'!F108</f>
        <v>13.150937499999998</v>
      </c>
      <c r="G14" s="83">
        <f>'06'!G108</f>
        <v>35.540909090909089</v>
      </c>
      <c r="H14" s="83">
        <f>'06'!H108</f>
        <v>15.73352272727273</v>
      </c>
      <c r="I14" s="83">
        <f>'06'!I108</f>
        <v>14.312708333333331</v>
      </c>
      <c r="J14" s="83">
        <f>'06'!J108</f>
        <v>0.37177083333333333</v>
      </c>
      <c r="K14" s="83">
        <f>'06'!K108</f>
        <v>204.20083333333335</v>
      </c>
      <c r="L14" s="83">
        <f>'06'!L108</f>
        <v>30.676458333333319</v>
      </c>
      <c r="M14" s="83">
        <f>'06'!M108</f>
        <v>57.671979166666688</v>
      </c>
      <c r="N14" s="83">
        <f>'06'!N108</f>
        <v>173.85312499999995</v>
      </c>
      <c r="O14" s="83">
        <f>'06'!O108</f>
        <v>0</v>
      </c>
      <c r="P14" s="83">
        <f>'06'!P108</f>
        <v>0.51399999999999979</v>
      </c>
      <c r="Q14" s="83">
        <f>'06'!Q108</f>
        <v>5.1492708333333335</v>
      </c>
      <c r="R14" s="76"/>
      <c r="S14" s="76"/>
      <c r="T14" s="76"/>
      <c r="U14" s="76"/>
    </row>
    <row r="15" spans="1:21">
      <c r="A15" s="139" t="str">
        <f>'07'!$B$2</f>
        <v>07/05/2023 00:15</v>
      </c>
      <c r="B15" s="83">
        <f>'07'!B108</f>
        <v>24.896777777777775</v>
      </c>
      <c r="C15" s="83">
        <f>'07'!C108</f>
        <v>55.685444444444428</v>
      </c>
      <c r="D15" s="83">
        <f>'07'!D108</f>
        <v>50.396888888888903</v>
      </c>
      <c r="E15" s="83">
        <f>'07'!E108</f>
        <v>8.4189411764705877</v>
      </c>
      <c r="F15" s="83">
        <f>'07'!F108</f>
        <v>9.8135869565217337</v>
      </c>
      <c r="G15" s="83">
        <f>'07'!G108</f>
        <v>54.399891304347825</v>
      </c>
      <c r="H15" s="83">
        <f>'07'!H108</f>
        <v>24.78597826086957</v>
      </c>
      <c r="I15" s="83">
        <f>'07'!I108</f>
        <v>7.6816304347826074</v>
      </c>
      <c r="J15" s="83">
        <f>'07'!J108</f>
        <v>0.35782608695652174</v>
      </c>
      <c r="K15" s="83">
        <f>'07'!K108</f>
        <v>202.92032608695655</v>
      </c>
      <c r="L15" s="83">
        <f>'07'!L108</f>
        <v>29.918369565217404</v>
      </c>
      <c r="M15" s="83">
        <f>'07'!M108</f>
        <v>63.567391304347822</v>
      </c>
      <c r="N15" s="83">
        <f>'07'!N108</f>
        <v>150.93913043478261</v>
      </c>
      <c r="O15" s="83">
        <f>'07'!O108</f>
        <v>0</v>
      </c>
      <c r="P15" s="83">
        <f>'07'!P108</f>
        <v>2.8428260869565234</v>
      </c>
      <c r="Q15" s="83">
        <f>'07'!Q108</f>
        <v>5.8145783132530147</v>
      </c>
      <c r="R15" s="76"/>
      <c r="S15" s="76"/>
      <c r="T15" s="76"/>
      <c r="U15" s="76"/>
    </row>
    <row r="16" spans="1:21">
      <c r="A16" s="139" t="str">
        <f>'08'!$B$2</f>
        <v>08/05/2023 00:15</v>
      </c>
      <c r="B16" s="83">
        <f>'08'!B108</f>
        <v>29.233736263736258</v>
      </c>
      <c r="C16" s="83">
        <f>'08'!C108</f>
        <v>76.276043956043949</v>
      </c>
      <c r="D16" s="83">
        <f>'08'!D108</f>
        <v>64.639120879120881</v>
      </c>
      <c r="E16" s="83">
        <f>'08'!E108</f>
        <v>9.3520000000000003</v>
      </c>
      <c r="F16" s="83">
        <f>'08'!F108</f>
        <v>12.569890109890107</v>
      </c>
      <c r="G16" s="83">
        <f>'08'!G108</f>
        <v>55.904239130434782</v>
      </c>
      <c r="H16" s="83">
        <f>'08'!H108</f>
        <v>23.613804347826068</v>
      </c>
      <c r="I16" s="83">
        <f>'08'!I108</f>
        <v>2.654130434782608</v>
      </c>
      <c r="J16" s="83">
        <f>'08'!J108</f>
        <v>0.38445652173913025</v>
      </c>
      <c r="K16" s="83">
        <f>'08'!K108</f>
        <v>184.19293478260869</v>
      </c>
      <c r="L16" s="83">
        <f>'08'!L108</f>
        <v>32.050760869565217</v>
      </c>
      <c r="M16" s="83">
        <f>'08'!M108</f>
        <v>56.038260869565214</v>
      </c>
      <c r="N16" s="83">
        <f>'08'!N108</f>
        <v>193.07717391304345</v>
      </c>
      <c r="O16" s="83">
        <f>'08'!O108</f>
        <v>0</v>
      </c>
      <c r="P16" s="83">
        <f>'08'!P108</f>
        <v>0.5356923076923078</v>
      </c>
      <c r="Q16" s="83">
        <f>'08'!Q108</f>
        <v>4.4273333333333333</v>
      </c>
      <c r="R16" s="76"/>
      <c r="S16" s="76"/>
      <c r="T16" s="76"/>
      <c r="U16" s="76"/>
    </row>
    <row r="17" spans="1:21">
      <c r="A17" s="139" t="str">
        <f>'09'!$B$2</f>
        <v>09/05/2023 00:15</v>
      </c>
      <c r="B17" s="83">
        <f>'09'!B108</f>
        <v>16.49976744186046</v>
      </c>
      <c r="C17" s="83">
        <f>'09'!C108</f>
        <v>50.670470588235283</v>
      </c>
      <c r="D17" s="83">
        <f>'09'!D108</f>
        <v>41.664352941176489</v>
      </c>
      <c r="E17" s="83">
        <f>'09'!E108</f>
        <v>18.515647058823529</v>
      </c>
      <c r="F17" s="83">
        <f>'09'!F108</f>
        <v>31.201294117647056</v>
      </c>
      <c r="G17" s="83">
        <f>'09'!G108</f>
        <v>76.212758620689684</v>
      </c>
      <c r="H17" s="83">
        <f>'09'!H108</f>
        <v>30.073448275862066</v>
      </c>
      <c r="I17" s="83">
        <f>'09'!I108</f>
        <v>4.0811494252873555</v>
      </c>
      <c r="J17" s="83">
        <f>'09'!J108</f>
        <v>0.44750000000000012</v>
      </c>
      <c r="K17" s="83">
        <f>'09'!K108</f>
        <v>171.21436781609194</v>
      </c>
      <c r="L17" s="83">
        <f>'09'!L108</f>
        <v>32.011839080459765</v>
      </c>
      <c r="M17" s="83">
        <f>'09'!M108</f>
        <v>53.687701149425294</v>
      </c>
      <c r="N17" s="83">
        <f>'09'!N108</f>
        <v>172.59655172413787</v>
      </c>
      <c r="O17" s="83">
        <f>'09'!O108</f>
        <v>0</v>
      </c>
      <c r="P17" s="83">
        <f>'09'!P108</f>
        <v>0.50959459459459466</v>
      </c>
      <c r="Q17" s="83">
        <f>'09'!Q108</f>
        <v>4.5145679012345683</v>
      </c>
      <c r="R17" s="76"/>
      <c r="S17" s="76"/>
      <c r="T17" s="76"/>
      <c r="U17" s="76"/>
    </row>
    <row r="18" spans="1:21">
      <c r="A18" s="139">
        <f>'10'!$B$2</f>
        <v>45056.010416666664</v>
      </c>
      <c r="B18" s="83">
        <f>'10'!B108</f>
        <v>20.518292682926841</v>
      </c>
      <c r="C18" s="83">
        <f>'10'!C108</f>
        <v>49.342317073170733</v>
      </c>
      <c r="D18" s="83">
        <f>'10'!D108</f>
        <v>43.589634146341481</v>
      </c>
      <c r="E18" s="83">
        <f>'10'!E108</f>
        <v>13.614423076923078</v>
      </c>
      <c r="F18" s="83">
        <f>'10'!F108</f>
        <v>23.77148148148148</v>
      </c>
      <c r="G18" s="83">
        <f>'10'!G108</f>
        <v>57.971111111111085</v>
      </c>
      <c r="H18" s="83">
        <f>'10'!H108</f>
        <v>20.745802469135796</v>
      </c>
      <c r="I18" s="83">
        <f>'10'!I108</f>
        <v>3.9575609756097578</v>
      </c>
      <c r="J18" s="83">
        <f>'10'!J108</f>
        <v>0.35845238095238091</v>
      </c>
      <c r="K18" s="83">
        <f>'10'!K108</f>
        <v>168.3036904761905</v>
      </c>
      <c r="L18" s="83">
        <f>'10'!L108</f>
        <v>31.87357142857142</v>
      </c>
      <c r="M18" s="83">
        <f>'10'!M108</f>
        <v>51.345714285714308</v>
      </c>
      <c r="N18" s="83">
        <f>'10'!N108</f>
        <v>181.36309523809524</v>
      </c>
      <c r="O18" s="83">
        <f>'10'!O108</f>
        <v>0</v>
      </c>
      <c r="P18" s="83">
        <f>'10'!P108</f>
        <v>0.50095238095238082</v>
      </c>
      <c r="Q18" s="83">
        <f>'10'!Q108</f>
        <v>4.3434615384615398</v>
      </c>
      <c r="R18" s="76"/>
      <c r="S18" s="76"/>
      <c r="T18" s="76"/>
      <c r="U18" s="76"/>
    </row>
    <row r="19" spans="1:21">
      <c r="A19" s="139" t="str">
        <f>'11'!$B$2</f>
        <v>11/05/2023 00:15</v>
      </c>
      <c r="B19" s="83">
        <f>'11'!B108</f>
        <v>33.374687500000029</v>
      </c>
      <c r="C19" s="83">
        <f>'11'!C108</f>
        <v>58.63125000000003</v>
      </c>
      <c r="D19" s="83">
        <f>'11'!D108</f>
        <v>58.756666666666668</v>
      </c>
      <c r="E19" s="83">
        <f>'11'!E108</f>
        <v>12.647500000000003</v>
      </c>
      <c r="F19" s="83">
        <f>'11'!F108</f>
        <v>15.985624999999997</v>
      </c>
      <c r="G19" s="83">
        <f>'11'!G108</f>
        <v>90.013437499999938</v>
      </c>
      <c r="H19" s="83">
        <f>'11'!H108</f>
        <v>26.399374999999981</v>
      </c>
      <c r="I19" s="83">
        <f>'11'!I108</f>
        <v>7.8817708333333352</v>
      </c>
      <c r="J19" s="83">
        <f>'11'!J108</f>
        <v>0.45781250000000012</v>
      </c>
      <c r="K19" s="83">
        <f>'11'!K108</f>
        <v>106.99447916666669</v>
      </c>
      <c r="L19" s="83">
        <f>'11'!L108</f>
        <v>31.610729166666669</v>
      </c>
      <c r="M19" s="83">
        <f>'11'!M108</f>
        <v>37.144166666666656</v>
      </c>
      <c r="N19" s="83">
        <f>'11'!N108</f>
        <v>205.453125</v>
      </c>
      <c r="O19" s="83">
        <f>'11'!O108</f>
        <v>0</v>
      </c>
      <c r="P19" s="83">
        <f>'11'!P108</f>
        <v>0.84718750000000009</v>
      </c>
      <c r="Q19" s="83">
        <f>'11'!Q108</f>
        <v>5.5112499999999995</v>
      </c>
      <c r="R19" s="76"/>
      <c r="S19" s="76"/>
      <c r="T19" s="76"/>
      <c r="U19" s="76"/>
    </row>
    <row r="20" spans="1:21">
      <c r="A20" s="139" t="str">
        <f>'12'!$B$2</f>
        <v>12/05/2023 00:15</v>
      </c>
      <c r="B20" s="83">
        <f>'12'!B108</f>
        <v>39.853437499999998</v>
      </c>
      <c r="C20" s="83">
        <f>'12'!C108</f>
        <v>63.929375000000022</v>
      </c>
      <c r="D20" s="83">
        <f>'12'!D108</f>
        <v>66.753020833333323</v>
      </c>
      <c r="E20" s="83">
        <f>'12'!E108</f>
        <v>16.3715625</v>
      </c>
      <c r="F20" s="83">
        <f>'12'!F108</f>
        <v>19.547395833333329</v>
      </c>
      <c r="G20" s="83">
        <f>'12'!G108</f>
        <v>100.46229166666666</v>
      </c>
      <c r="H20" s="83">
        <f>'12'!H108</f>
        <v>32.001979166666658</v>
      </c>
      <c r="I20" s="83">
        <f>'12'!I108</f>
        <v>9.7292708333333291</v>
      </c>
      <c r="J20" s="83">
        <f>'12'!J108</f>
        <v>0.37979166666666658</v>
      </c>
      <c r="K20" s="83">
        <f>'12'!K108</f>
        <v>142.68968750000002</v>
      </c>
      <c r="L20" s="83">
        <f>'12'!L108</f>
        <v>30.890208333333337</v>
      </c>
      <c r="M20" s="83">
        <f>'12'!M108</f>
        <v>37.989479166666683</v>
      </c>
      <c r="N20" s="83">
        <f>'12'!N108</f>
        <v>183.34270833333332</v>
      </c>
      <c r="O20" s="83">
        <f>'12'!O108</f>
        <v>0</v>
      </c>
      <c r="P20" s="83">
        <f>'12'!P108</f>
        <v>0.98343750000000041</v>
      </c>
      <c r="Q20" s="83">
        <f>'12'!Q108</f>
        <v>6.1295833333333372</v>
      </c>
      <c r="R20" s="76"/>
      <c r="S20" s="76"/>
      <c r="T20" s="76"/>
      <c r="U20" s="76"/>
    </row>
    <row r="21" spans="1:21">
      <c r="A21" s="139" t="str">
        <f>'13'!$B$2</f>
        <v>13/05/2023 00:15</v>
      </c>
      <c r="B21" s="83">
        <f>'13'!B108</f>
        <v>23.848901098901095</v>
      </c>
      <c r="C21" s="83">
        <f>'13'!C108</f>
        <v>60.897252747252786</v>
      </c>
      <c r="D21" s="83">
        <f>'13'!D108</f>
        <v>51.1654945054945</v>
      </c>
      <c r="E21" s="83">
        <f>'13'!E108</f>
        <v>14.101797752808993</v>
      </c>
      <c r="F21" s="83">
        <f>'13'!F108</f>
        <v>27.264687500000008</v>
      </c>
      <c r="G21" s="83">
        <f>'13'!G108</f>
        <v>106.40303370786512</v>
      </c>
      <c r="H21" s="83">
        <f>'13'!H108</f>
        <v>33.206516853932598</v>
      </c>
      <c r="I21" s="83">
        <f>'13'!I108</f>
        <v>9.7809375000000056</v>
      </c>
      <c r="J21" s="83">
        <f>'13'!J108</f>
        <v>0.47260416666666671</v>
      </c>
      <c r="K21" s="83">
        <f>'13'!K108</f>
        <v>121.89645833333338</v>
      </c>
      <c r="L21" s="83">
        <f>'13'!L108</f>
        <v>31.203854166666677</v>
      </c>
      <c r="M21" s="83">
        <f>'13'!M108</f>
        <v>36.472083333333345</v>
      </c>
      <c r="N21" s="83">
        <f>'13'!N108</f>
        <v>183.18229166666671</v>
      </c>
      <c r="O21" s="83">
        <f>'13'!O108</f>
        <v>0</v>
      </c>
      <c r="P21" s="83">
        <f>'13'!P108</f>
        <v>0.87031249999999971</v>
      </c>
      <c r="Q21" s="83">
        <f>'13'!Q108</f>
        <v>5.3501041666666671</v>
      </c>
      <c r="R21" s="76"/>
      <c r="S21" s="76"/>
      <c r="T21" s="76"/>
      <c r="U21" s="76"/>
    </row>
    <row r="22" spans="1:21">
      <c r="A22" s="139" t="str">
        <f>'14'!$B$2</f>
        <v>14/05/2023 00:15</v>
      </c>
      <c r="B22" s="140">
        <f>'14'!B108</f>
        <v>15.073437499999997</v>
      </c>
      <c r="C22" s="140">
        <f>'14'!C108</f>
        <v>59.186354166666668</v>
      </c>
      <c r="D22" s="140">
        <f>'14'!D108</f>
        <v>41.970208333333318</v>
      </c>
      <c r="E22" s="140">
        <f>'14'!E108</f>
        <v>14.697604166666666</v>
      </c>
      <c r="F22" s="140">
        <f>'14'!F108</f>
        <v>27.417708333333323</v>
      </c>
      <c r="G22" s="140">
        <f>'14'!G108</f>
        <v>88.004479166666684</v>
      </c>
      <c r="H22" s="140">
        <f>'14'!H108</f>
        <v>32.15625</v>
      </c>
      <c r="I22" s="140">
        <f>'14'!I108</f>
        <v>7.9617708333333326</v>
      </c>
      <c r="J22" s="140">
        <f>'14'!J108</f>
        <v>0.34083333333333332</v>
      </c>
      <c r="K22" s="140">
        <f>'14'!K108</f>
        <v>179.06916666666663</v>
      </c>
      <c r="L22" s="140">
        <f>'14'!L108</f>
        <v>32.429062500000008</v>
      </c>
      <c r="M22" s="140">
        <f>'14'!M108</f>
        <v>36.652395833333323</v>
      </c>
      <c r="N22" s="140">
        <f>'14'!N108</f>
        <v>176.70416666666662</v>
      </c>
      <c r="O22" s="140">
        <f>'14'!O108</f>
        <v>0</v>
      </c>
      <c r="P22" s="140">
        <f>'14'!P108</f>
        <v>0.86729166666666713</v>
      </c>
      <c r="Q22" s="140">
        <f>'14'!Q108</f>
        <v>5.13552083333333</v>
      </c>
      <c r="R22" s="153"/>
      <c r="S22" s="153"/>
      <c r="T22" s="153"/>
      <c r="U22" s="153"/>
    </row>
    <row r="23" spans="1:21">
      <c r="A23" s="139" t="str">
        <f>'15'!$B$2</f>
        <v>15/05/2023 00:15</v>
      </c>
      <c r="B23" s="83">
        <f>'15'!B108</f>
        <v>10.095729166666667</v>
      </c>
      <c r="C23" s="83">
        <f>'15'!C108</f>
        <v>56.026041666666636</v>
      </c>
      <c r="D23" s="83">
        <f>'15'!D108</f>
        <v>36.330208333333324</v>
      </c>
      <c r="E23" s="83">
        <f>'15'!E108</f>
        <v>8.9153125000000024</v>
      </c>
      <c r="F23" s="83">
        <f>'15'!F108</f>
        <v>24.34354166666667</v>
      </c>
      <c r="G23" s="83">
        <f>'15'!G108</f>
        <v>67.980000000000018</v>
      </c>
      <c r="H23" s="83">
        <f>'15'!H108</f>
        <v>22.008020833333337</v>
      </c>
      <c r="I23" s="83">
        <f>'15'!I108</f>
        <v>6.1145833333333313</v>
      </c>
      <c r="J23" s="83">
        <f>'15'!J108</f>
        <v>0.51979166666666676</v>
      </c>
      <c r="K23" s="83">
        <f>'15'!K108</f>
        <v>175.31833333333338</v>
      </c>
      <c r="L23" s="83">
        <f>'15'!L108</f>
        <v>33.810729166666661</v>
      </c>
      <c r="M23" s="83">
        <f>'15'!M108</f>
        <v>31.978229166666669</v>
      </c>
      <c r="N23" s="83">
        <f>'15'!N108</f>
        <v>162.92187499999997</v>
      </c>
      <c r="O23" s="83">
        <f>'15'!O108</f>
        <v>0</v>
      </c>
      <c r="P23" s="83">
        <f>'15'!P108</f>
        <v>0.70107526881720417</v>
      </c>
      <c r="Q23" s="83">
        <f>'15'!Q108</f>
        <v>4.872395833333333</v>
      </c>
      <c r="R23" s="76"/>
      <c r="S23" s="76"/>
      <c r="T23" s="76"/>
      <c r="U23" s="76"/>
    </row>
    <row r="24" spans="1:21">
      <c r="A24" s="139" t="str">
        <f>'16'!$B$2</f>
        <v>16/05/2023 00:15</v>
      </c>
      <c r="B24" s="83">
        <f>'16'!B108</f>
        <v>11.717187500000001</v>
      </c>
      <c r="C24" s="83">
        <f>'16'!C108</f>
        <v>53.871770833333308</v>
      </c>
      <c r="D24" s="83">
        <f>'16'!D108</f>
        <v>36.498229166666682</v>
      </c>
      <c r="E24" s="83">
        <f>'16'!E108</f>
        <v>10.616354166666669</v>
      </c>
      <c r="F24" s="83">
        <f>'16'!F108</f>
        <v>19.405104166666675</v>
      </c>
      <c r="G24" s="83">
        <f>'16'!G108</f>
        <v>62.379375000000039</v>
      </c>
      <c r="H24" s="83">
        <f>'16'!H108</f>
        <v>18.997916666666658</v>
      </c>
      <c r="I24" s="83">
        <f>'16'!I108</f>
        <v>7.3624999999999963</v>
      </c>
      <c r="J24" s="83">
        <f>'16'!J108</f>
        <v>0.49322916666666661</v>
      </c>
      <c r="K24" s="83">
        <f>'16'!K108</f>
        <v>223.76302083333326</v>
      </c>
      <c r="L24" s="83">
        <f>'16'!L108</f>
        <v>34.120312499999997</v>
      </c>
      <c r="M24" s="83">
        <f>'16'!M108</f>
        <v>34.375416666666666</v>
      </c>
      <c r="N24" s="83">
        <f>'16'!N108</f>
        <v>196.0604166666667</v>
      </c>
      <c r="O24" s="83">
        <f>'16'!O108</f>
        <v>0</v>
      </c>
      <c r="P24" s="83">
        <f>'16'!P108</f>
        <v>0.74104166666666682</v>
      </c>
      <c r="Q24" s="83">
        <f>'16'!Q108</f>
        <v>4.986666666666669</v>
      </c>
      <c r="R24" s="76"/>
      <c r="S24" s="76"/>
      <c r="T24" s="76"/>
      <c r="U24" s="76"/>
    </row>
    <row r="25" spans="1:21">
      <c r="A25" s="139" t="str">
        <f>'17'!$B$2</f>
        <v>17/05/2023 00:15</v>
      </c>
      <c r="B25" s="83">
        <f>'17'!B108</f>
        <v>9.1093749999999982</v>
      </c>
      <c r="C25" s="83">
        <f>'17'!C108</f>
        <v>49.858229166666668</v>
      </c>
      <c r="D25" s="83">
        <f>'17'!D108</f>
        <v>32.309166666666677</v>
      </c>
      <c r="E25" s="83">
        <f>'17'!E108</f>
        <v>9.1766666666666694</v>
      </c>
      <c r="F25" s="83">
        <f>'17'!F108</f>
        <v>22.345729166666668</v>
      </c>
      <c r="G25" s="83">
        <f>'17'!G108</f>
        <v>47.17010416666664</v>
      </c>
      <c r="H25" s="83">
        <f>'17'!H108</f>
        <v>14.599583333333333</v>
      </c>
      <c r="I25" s="83">
        <f>'17'!I108</f>
        <v>6.0212500000000011</v>
      </c>
      <c r="J25" s="83">
        <f>'17'!J108</f>
        <v>0.43979166666666658</v>
      </c>
      <c r="K25" s="83">
        <f>'17'!K108</f>
        <v>220.08124999999987</v>
      </c>
      <c r="L25" s="83">
        <f>'17'!L108</f>
        <v>34.408020833333339</v>
      </c>
      <c r="M25" s="83">
        <f>'17'!M108</f>
        <v>31.948437499999994</v>
      </c>
      <c r="N25" s="83">
        <f>'17'!N108</f>
        <v>167.68958333333339</v>
      </c>
      <c r="O25" s="83">
        <f>'17'!O108</f>
        <v>0</v>
      </c>
      <c r="P25" s="83">
        <f>'17'!P108</f>
        <v>0.57406250000000003</v>
      </c>
      <c r="Q25" s="83">
        <f>'17'!Q108</f>
        <v>4.8313541666666664</v>
      </c>
      <c r="R25" s="76"/>
      <c r="S25" s="76"/>
      <c r="T25" s="76"/>
      <c r="U25" s="76"/>
    </row>
    <row r="26" spans="1:21">
      <c r="A26" s="139" t="str">
        <f>'18'!$B$2</f>
        <v>18/05/2023 00:15</v>
      </c>
      <c r="B26" s="83">
        <f>'18'!B108</f>
        <v>8.5783333333333367</v>
      </c>
      <c r="C26" s="83">
        <f>'18'!C108</f>
        <v>51.142187499999999</v>
      </c>
      <c r="D26" s="83">
        <f>'18'!D108</f>
        <v>32.554270833333341</v>
      </c>
      <c r="E26" s="83">
        <f>'18'!E108</f>
        <v>9.8233333333333288</v>
      </c>
      <c r="F26" s="83">
        <f>'18'!F108</f>
        <v>20.832083333333333</v>
      </c>
      <c r="G26" s="83">
        <f>'18'!G108</f>
        <v>54.464791666666656</v>
      </c>
      <c r="H26" s="83">
        <f>'18'!H108</f>
        <v>16.494166666666658</v>
      </c>
      <c r="I26" s="83">
        <f>'18'!I108</f>
        <v>6.4792708333333318</v>
      </c>
      <c r="J26" s="83">
        <f>'18'!J108</f>
        <v>0.36718749999999983</v>
      </c>
      <c r="K26" s="83">
        <f>'18'!K108</f>
        <v>191.5829166666667</v>
      </c>
      <c r="L26" s="83">
        <f>'18'!L108</f>
        <v>33.181458333333332</v>
      </c>
      <c r="M26" s="83">
        <f>'18'!M108</f>
        <v>40.644270833333316</v>
      </c>
      <c r="N26" s="83">
        <f>'18'!N108</f>
        <v>138.02291666666667</v>
      </c>
      <c r="O26" s="83">
        <f>'18'!O108</f>
        <v>0</v>
      </c>
      <c r="P26" s="83">
        <f>'18'!P108</f>
        <v>0.67833333333333312</v>
      </c>
      <c r="Q26" s="83">
        <f>'18'!Q108</f>
        <v>4.8324999999999996</v>
      </c>
      <c r="R26" s="76"/>
      <c r="S26" s="76"/>
      <c r="T26" s="76"/>
      <c r="U26" s="76"/>
    </row>
    <row r="27" spans="1:21">
      <c r="A27" s="139" t="str">
        <f>'19'!$B$2</f>
        <v>19/05/2023 00:15</v>
      </c>
      <c r="B27" s="83">
        <f>'19'!B108</f>
        <v>11.348645833333331</v>
      </c>
      <c r="C27" s="83">
        <f>'19'!C108</f>
        <v>51.880625000000009</v>
      </c>
      <c r="D27" s="83">
        <f>'19'!D108</f>
        <v>35.161770833333343</v>
      </c>
      <c r="E27" s="83">
        <f>'19'!E108</f>
        <v>8.7340625000000021</v>
      </c>
      <c r="F27" s="83">
        <f>'19'!F108</f>
        <v>20.151250000000001</v>
      </c>
      <c r="G27" s="83">
        <f>'19'!G108</f>
        <v>53.644062500000011</v>
      </c>
      <c r="H27" s="83">
        <f>'19'!H108</f>
        <v>16.75749999999999</v>
      </c>
      <c r="I27" s="83">
        <f>'19'!I108</f>
        <v>8.5069791666666656</v>
      </c>
      <c r="J27" s="83">
        <f>'19'!J108</f>
        <v>0.45218750000000013</v>
      </c>
      <c r="K27" s="83">
        <f>'19'!K108</f>
        <v>191.22635416666665</v>
      </c>
      <c r="L27" s="83">
        <f>'19'!L108</f>
        <v>33.153958333333328</v>
      </c>
      <c r="M27" s="83">
        <f>'19'!M108</f>
        <v>42.466249999999995</v>
      </c>
      <c r="N27" s="83">
        <f>'19'!N108</f>
        <v>147.45624999999998</v>
      </c>
      <c r="O27" s="83">
        <f>'19'!O108</f>
        <v>0</v>
      </c>
      <c r="P27" s="83">
        <f>'19'!P108</f>
        <v>0.69364583333333352</v>
      </c>
      <c r="Q27" s="83">
        <f>'19'!Q108</f>
        <v>5.0132291666666644</v>
      </c>
      <c r="R27" s="76"/>
      <c r="S27" s="76"/>
      <c r="T27" s="76"/>
      <c r="U27" s="76"/>
    </row>
    <row r="28" spans="1:21">
      <c r="A28" s="139" t="str">
        <f>'20'!$B$2</f>
        <v>20/05/2023 00:15</v>
      </c>
      <c r="B28" s="83">
        <f>'20'!B108</f>
        <v>9.102187500000003</v>
      </c>
      <c r="C28" s="83">
        <f>'20'!C108</f>
        <v>52.516562499999985</v>
      </c>
      <c r="D28" s="83">
        <f>'20'!D108</f>
        <v>33.692291666666677</v>
      </c>
      <c r="E28" s="83">
        <f>'20'!E108</f>
        <v>9.7078125000000011</v>
      </c>
      <c r="F28" s="83">
        <f>'20'!F108</f>
        <v>21.69822916666666</v>
      </c>
      <c r="G28" s="83">
        <f>'20'!G108</f>
        <v>35.644687500000003</v>
      </c>
      <c r="H28" s="83">
        <f>'20'!H108</f>
        <v>14.103333333333332</v>
      </c>
      <c r="I28" s="83">
        <f>'20'!I108</f>
        <v>5.0089583333333332</v>
      </c>
      <c r="J28" s="83">
        <f>'20'!J108</f>
        <v>0.43552083333333319</v>
      </c>
      <c r="K28" s="83">
        <f>'20'!K108</f>
        <v>221.42218749999998</v>
      </c>
      <c r="L28" s="83">
        <f>'20'!L108</f>
        <v>32.439791666666679</v>
      </c>
      <c r="M28" s="83">
        <f>'20'!M108</f>
        <v>44.207500000000003</v>
      </c>
      <c r="N28" s="83">
        <f>'20'!N108</f>
        <v>155.37083333333334</v>
      </c>
      <c r="O28" s="83">
        <f>'20'!O108</f>
        <v>0</v>
      </c>
      <c r="P28" s="83">
        <f>'20'!P108</f>
        <v>0.48937500000000017</v>
      </c>
      <c r="Q28" s="83">
        <f>'20'!Q108</f>
        <v>4.8405208333333327</v>
      </c>
      <c r="R28" s="76"/>
      <c r="S28" s="76"/>
      <c r="T28" s="76"/>
      <c r="U28" s="76"/>
    </row>
    <row r="29" spans="1:21">
      <c r="A29" s="139" t="str">
        <f>'21'!$B$2</f>
        <v>21/05/2023 00:15</v>
      </c>
      <c r="B29" s="83">
        <f>'21'!B108</f>
        <v>11.403333333333334</v>
      </c>
      <c r="C29" s="83">
        <f>'21'!C108</f>
        <v>53.134479166666694</v>
      </c>
      <c r="D29" s="83">
        <f>'21'!D108</f>
        <v>35.860624999999992</v>
      </c>
      <c r="E29" s="83">
        <f>'21'!E108</f>
        <v>10.688333333333333</v>
      </c>
      <c r="F29" s="83">
        <f>'21'!F108</f>
        <v>20.006874999999997</v>
      </c>
      <c r="G29" s="83">
        <f>'21'!G108</f>
        <v>47.858125000000001</v>
      </c>
      <c r="H29" s="83">
        <f>'21'!H108</f>
        <v>17.052916666666672</v>
      </c>
      <c r="I29" s="83">
        <f>'21'!I108</f>
        <v>5.2540625000000016</v>
      </c>
      <c r="J29" s="83">
        <f>'21'!J108</f>
        <v>0.39760416666666659</v>
      </c>
      <c r="K29" s="83">
        <f>'21'!K108</f>
        <v>195.21927083333333</v>
      </c>
      <c r="L29" s="83">
        <f>'21'!L108</f>
        <v>32.796979166666681</v>
      </c>
      <c r="M29" s="83">
        <f>'21'!M108</f>
        <v>40.740520833333328</v>
      </c>
      <c r="N29" s="83">
        <f>'21'!N108</f>
        <v>135.08125000000004</v>
      </c>
      <c r="O29" s="83">
        <f>'21'!O108</f>
        <v>0</v>
      </c>
      <c r="P29" s="83">
        <f>'21'!P108</f>
        <v>0.5682291666666669</v>
      </c>
      <c r="Q29" s="83">
        <f>'21'!Q108</f>
        <v>4.9910416666666659</v>
      </c>
      <c r="R29" s="76"/>
      <c r="S29" s="76"/>
      <c r="T29" s="76"/>
      <c r="U29" s="76"/>
    </row>
    <row r="30" spans="1:21">
      <c r="A30" s="139" t="str">
        <f>'22'!$B$2</f>
        <v>22/05/2023 00:15</v>
      </c>
      <c r="B30" s="83">
        <f>'22'!B108</f>
        <v>8.1580208333333335</v>
      </c>
      <c r="C30" s="83">
        <f>'22'!C108</f>
        <v>50.970416666666658</v>
      </c>
      <c r="D30" s="83">
        <f>'22'!D108</f>
        <v>32.127604166666679</v>
      </c>
      <c r="E30" s="83">
        <f>'22'!E108</f>
        <v>7.7941666666666656</v>
      </c>
      <c r="F30" s="83">
        <f>'22'!F108</f>
        <v>18.223541666666666</v>
      </c>
      <c r="G30" s="83">
        <f>'22'!G108</f>
        <v>39.732395833333349</v>
      </c>
      <c r="H30" s="83">
        <f>'22'!H108</f>
        <v>13.706666666666676</v>
      </c>
      <c r="I30" s="83">
        <f>'22'!I108</f>
        <v>4.3795833333333318</v>
      </c>
      <c r="J30" s="83">
        <f>'22'!J108</f>
        <v>0.77093749999999994</v>
      </c>
      <c r="K30" s="83">
        <f>'22'!K108</f>
        <v>247.20458333333332</v>
      </c>
      <c r="L30" s="83">
        <f>'22'!L108</f>
        <v>33.126249999999992</v>
      </c>
      <c r="M30" s="83">
        <f>'22'!M108</f>
        <v>38.96041666666666</v>
      </c>
      <c r="N30" s="83">
        <f>'22'!N108</f>
        <v>182.04687499999997</v>
      </c>
      <c r="O30" s="83">
        <f>'22'!O108</f>
        <v>0</v>
      </c>
      <c r="P30" s="83">
        <f>'22'!P108</f>
        <v>0.47260416666666666</v>
      </c>
      <c r="Q30" s="83">
        <f>'22'!Q108</f>
        <v>4.7442708333333323</v>
      </c>
      <c r="R30" s="76"/>
      <c r="S30" s="76"/>
      <c r="T30" s="76"/>
      <c r="U30" s="76"/>
    </row>
    <row r="31" spans="1:21">
      <c r="A31" s="139" t="str">
        <f>'23'!$B$2</f>
        <v>23/05/2023 00:15</v>
      </c>
      <c r="B31" s="83">
        <f>'23'!B108</f>
        <v>7.4830208333333346</v>
      </c>
      <c r="C31" s="83">
        <f>'23'!C108</f>
        <v>48.603645833333339</v>
      </c>
      <c r="D31" s="83">
        <f>'23'!D108</f>
        <v>30.34979166666669</v>
      </c>
      <c r="E31" s="83">
        <f>'23'!E108</f>
        <v>12.373333333333333</v>
      </c>
      <c r="F31" s="83">
        <f>'23'!F108</f>
        <v>27.904270833333328</v>
      </c>
      <c r="G31" s="83">
        <f>'23'!G108</f>
        <v>35.909777777777776</v>
      </c>
      <c r="H31" s="83">
        <f>'23'!H108</f>
        <v>11.278222222222222</v>
      </c>
      <c r="I31" s="83">
        <f>'23'!I108</f>
        <v>5.0152083333333319</v>
      </c>
      <c r="J31" s="83">
        <f>'23'!J108</f>
        <v>0.53885416666666652</v>
      </c>
      <c r="K31" s="83">
        <f>'23'!K108</f>
        <v>229.92510416666656</v>
      </c>
      <c r="L31" s="83">
        <f>'23'!L108</f>
        <v>33.229479166666657</v>
      </c>
      <c r="M31" s="83">
        <f>'23'!M108</f>
        <v>36.802812499999995</v>
      </c>
      <c r="N31" s="83">
        <f>'23'!N108</f>
        <v>175.15312500000005</v>
      </c>
      <c r="O31" s="83">
        <f>'23'!O108</f>
        <v>0</v>
      </c>
      <c r="P31" s="83">
        <f>'23'!P108</f>
        <v>0.52843749999999989</v>
      </c>
      <c r="Q31" s="83">
        <f>'23'!Q108</f>
        <v>4.6641666666666666</v>
      </c>
      <c r="R31" s="76"/>
      <c r="S31" s="154"/>
      <c r="T31" s="76"/>
      <c r="U31" s="76"/>
    </row>
    <row r="32" spans="1:21">
      <c r="A32" s="139" t="str">
        <f>'24'!$B$2</f>
        <v>24/05/2023 00:15</v>
      </c>
      <c r="B32" s="83">
        <f>'24'!B108</f>
        <v>9.249062500000008</v>
      </c>
      <c r="C32" s="83">
        <f>'24'!C108</f>
        <v>49.075937499999981</v>
      </c>
      <c r="D32" s="83">
        <f>'24'!D108</f>
        <v>32.012395833333336</v>
      </c>
      <c r="E32" s="83">
        <f>'24'!E108</f>
        <v>8.8721874999999972</v>
      </c>
      <c r="F32" s="83">
        <f>'24'!F108</f>
        <v>22.209270833333335</v>
      </c>
      <c r="G32" s="83">
        <f>'24'!G108</f>
        <v>53.090937500000024</v>
      </c>
      <c r="H32" s="83">
        <f>'24'!H108</f>
        <v>17.935833333333317</v>
      </c>
      <c r="I32" s="83">
        <f>'24'!I108</f>
        <v>5.0848958333333334</v>
      </c>
      <c r="J32" s="83">
        <f>'24'!J108</f>
        <v>0.55604166666666666</v>
      </c>
      <c r="K32" s="83">
        <f>'24'!K108</f>
        <v>229.19812499999998</v>
      </c>
      <c r="L32" s="83">
        <f>'24'!L108</f>
        <v>34.694583333333327</v>
      </c>
      <c r="M32" s="83">
        <f>'24'!M108</f>
        <v>34.43385416666667</v>
      </c>
      <c r="N32" s="83">
        <f>'24'!N108</f>
        <v>145.28749999999999</v>
      </c>
      <c r="O32" s="83">
        <f>'24'!O108</f>
        <v>0</v>
      </c>
      <c r="P32" s="83">
        <f>'24'!P108</f>
        <v>0.56895833333333312</v>
      </c>
      <c r="Q32" s="83">
        <f>'24'!Q108</f>
        <v>4.8222916666666649</v>
      </c>
      <c r="R32" s="76"/>
      <c r="S32" s="76"/>
      <c r="T32" s="76"/>
      <c r="U32" s="76"/>
    </row>
    <row r="33" spans="1:21">
      <c r="A33" s="139" t="str">
        <f>'25'!$B$2</f>
        <v>25/05/2023 00:15</v>
      </c>
      <c r="B33" s="83">
        <f>'25'!B108</f>
        <v>10.350208333333336</v>
      </c>
      <c r="C33" s="83">
        <f>'25'!C108</f>
        <v>50.750625000000014</v>
      </c>
      <c r="D33" s="83">
        <f>'25'!D108</f>
        <v>33.770312499999989</v>
      </c>
      <c r="E33" s="83">
        <f>'25'!E108</f>
        <v>7.279791666666668</v>
      </c>
      <c r="F33" s="83">
        <f>'25'!F108</f>
        <v>16.879479166666666</v>
      </c>
      <c r="G33" s="83">
        <f>'25'!G108</f>
        <v>47.75656250000003</v>
      </c>
      <c r="H33" s="83">
        <f>'25'!H108</f>
        <v>15.561145833333335</v>
      </c>
      <c r="I33" s="83">
        <f>'25'!I108</f>
        <v>5.46</v>
      </c>
      <c r="J33" s="83">
        <f>'25'!J108</f>
        <v>0.76979166666666643</v>
      </c>
      <c r="K33" s="83">
        <f>'25'!K108</f>
        <v>244.47187499999995</v>
      </c>
      <c r="L33" s="83">
        <f>'25'!L108</f>
        <v>34.561249999999994</v>
      </c>
      <c r="M33" s="83">
        <f>'25'!M108</f>
        <v>33.453749999999978</v>
      </c>
      <c r="N33" s="83">
        <f>'25'!N108</f>
        <v>184.59270833333335</v>
      </c>
      <c r="O33" s="83">
        <f>'25'!O108</f>
        <v>0</v>
      </c>
      <c r="P33" s="83">
        <f>'25'!P108</f>
        <v>0.5903124999999998</v>
      </c>
      <c r="Q33" s="83">
        <f>'25'!Q108</f>
        <v>4.9048958333333355</v>
      </c>
      <c r="R33" s="76"/>
      <c r="S33" s="154"/>
      <c r="T33" s="76"/>
      <c r="U33" s="76"/>
    </row>
    <row r="34" spans="1:21">
      <c r="A34" s="139" t="str">
        <f>'26'!$B$2</f>
        <v>26/05/2023 00:15</v>
      </c>
      <c r="B34" s="83">
        <f>'26'!B108</f>
        <v>15.043645833333334</v>
      </c>
      <c r="C34" s="83">
        <f>'26'!C108</f>
        <v>53.821666666666651</v>
      </c>
      <c r="D34" s="83">
        <f>'26'!D108</f>
        <v>39.139583333333348</v>
      </c>
      <c r="E34" s="83">
        <f>'26'!E108</f>
        <v>10.075104166666669</v>
      </c>
      <c r="F34" s="83">
        <f>'26'!F108</f>
        <v>13.620937500000004</v>
      </c>
      <c r="G34" s="83">
        <f>'26'!G108</f>
        <v>61.99041666666664</v>
      </c>
      <c r="H34" s="83">
        <f>'26'!H108</f>
        <v>16.505208333333332</v>
      </c>
      <c r="I34" s="83">
        <f>'26'!I108</f>
        <v>5.5394791666666663</v>
      </c>
      <c r="J34" s="83">
        <f>'26'!J108</f>
        <v>0.71375</v>
      </c>
      <c r="K34" s="83">
        <f>'26'!K108</f>
        <v>216.59312500000001</v>
      </c>
      <c r="L34" s="83">
        <f>'26'!L108</f>
        <v>33.933333333333344</v>
      </c>
      <c r="M34" s="83">
        <f>'26'!M108</f>
        <v>33.640312499999979</v>
      </c>
      <c r="N34" s="83">
        <f>'26'!N108</f>
        <v>162.99687500000002</v>
      </c>
      <c r="O34" s="83">
        <f>'26'!O108</f>
        <v>0</v>
      </c>
      <c r="P34" s="83">
        <f>'26'!P108</f>
        <v>0.61572916666666622</v>
      </c>
      <c r="Q34" s="83">
        <f>'26'!Q108</f>
        <v>5.1542708333333325</v>
      </c>
      <c r="R34" s="76"/>
      <c r="S34" s="76"/>
      <c r="T34" s="76"/>
      <c r="U34" s="76"/>
    </row>
    <row r="35" spans="1:21">
      <c r="A35" s="139" t="str">
        <f>'27'!$B$2</f>
        <v>27/05/2023 00:15</v>
      </c>
      <c r="B35" s="83">
        <f>'27'!B108</f>
        <v>19.020624999999995</v>
      </c>
      <c r="C35" s="83">
        <f>'27'!C108</f>
        <v>58.58385416666669</v>
      </c>
      <c r="D35" s="83">
        <f>'27'!D108</f>
        <v>44.816354166666663</v>
      </c>
      <c r="E35" s="83">
        <f>'27'!E108</f>
        <v>10.617604166666665</v>
      </c>
      <c r="F35" s="83">
        <f>'27'!F108</f>
        <v>13.362291666666671</v>
      </c>
      <c r="G35" s="83">
        <f>'27'!G108</f>
        <v>89.676666666666733</v>
      </c>
      <c r="H35" s="83">
        <f>'27'!H108</f>
        <v>20.86666666666666</v>
      </c>
      <c r="I35" s="83">
        <f>'27'!I108</f>
        <v>9.1576041666666672</v>
      </c>
      <c r="J35" s="83">
        <f>'27'!J108</f>
        <v>0.67489583333333336</v>
      </c>
      <c r="K35" s="83">
        <f>'27'!K108</f>
        <v>165.06791666666669</v>
      </c>
      <c r="L35" s="83">
        <f>'27'!L108</f>
        <v>32.499583333333327</v>
      </c>
      <c r="M35" s="83">
        <f>'27'!M108</f>
        <v>37.318125000000009</v>
      </c>
      <c r="N35" s="83">
        <f>'27'!N108</f>
        <v>150.65937499999998</v>
      </c>
      <c r="O35" s="83">
        <f>'27'!O108</f>
        <v>0</v>
      </c>
      <c r="P35" s="83">
        <f>'27'!P108</f>
        <v>0.79968750000000011</v>
      </c>
      <c r="Q35" s="83">
        <f>'27'!Q108</f>
        <v>5.462083333333335</v>
      </c>
      <c r="R35" s="76"/>
      <c r="S35" s="76"/>
      <c r="T35" s="76"/>
      <c r="U35" s="76"/>
    </row>
    <row r="36" spans="1:21">
      <c r="A36" s="139" t="str">
        <f>'28'!$B$2</f>
        <v>28/05/2023 00:15</v>
      </c>
      <c r="B36" s="83">
        <f>'28'!B108</f>
        <v>20.99291666666667</v>
      </c>
      <c r="C36" s="83">
        <f>'28'!C108</f>
        <v>59.173124999999999</v>
      </c>
      <c r="D36" s="83">
        <f>'28'!D108</f>
        <v>46.70541666666665</v>
      </c>
      <c r="E36" s="83">
        <f>'28'!E108</f>
        <v>11.497187499999997</v>
      </c>
      <c r="F36" s="83">
        <f>'28'!F108</f>
        <v>16.137395833333333</v>
      </c>
      <c r="G36" s="83">
        <f>'28'!G108</f>
        <v>69.315520833333352</v>
      </c>
      <c r="H36" s="83">
        <f>'28'!H108</f>
        <v>16.810520833333339</v>
      </c>
      <c r="I36" s="83">
        <f>'28'!I108</f>
        <v>5.592083333333334</v>
      </c>
      <c r="J36" s="83">
        <f>'28'!J108</f>
        <v>0.56062500000000026</v>
      </c>
      <c r="K36" s="83">
        <f>'28'!K108</f>
        <v>90.004687500000045</v>
      </c>
      <c r="L36" s="83">
        <f>'28'!L108</f>
        <v>31.817812500000016</v>
      </c>
      <c r="M36" s="83">
        <f>'28'!M108</f>
        <v>41.887187499999996</v>
      </c>
      <c r="N36" s="83">
        <f>'28'!N108</f>
        <v>174.0229166666667</v>
      </c>
      <c r="O36" s="83">
        <f>'28'!O108</f>
        <v>0</v>
      </c>
      <c r="P36" s="83">
        <f>'28'!P108</f>
        <v>0.58114583333333347</v>
      </c>
      <c r="Q36" s="83">
        <f>'28'!Q108</f>
        <v>5.6092708333333334</v>
      </c>
      <c r="R36" s="76"/>
      <c r="S36" s="76"/>
      <c r="T36" s="76"/>
      <c r="U36" s="76"/>
    </row>
    <row r="37" spans="1:21" s="2" customFormat="1">
      <c r="A37" s="139" t="str">
        <f>'29'!$B$2</f>
        <v>29/05/2023 00:15</v>
      </c>
      <c r="B37" s="83">
        <f>'29'!B108</f>
        <v>17.589375</v>
      </c>
      <c r="C37" s="83">
        <f>'29'!C108</f>
        <v>55.428333333333335</v>
      </c>
      <c r="D37" s="83">
        <f>'29'!D108</f>
        <v>42.019479166666677</v>
      </c>
      <c r="E37" s="83">
        <f>'29'!E108</f>
        <v>18.079479166666669</v>
      </c>
      <c r="F37" s="83">
        <f>'29'!F108</f>
        <v>22.503229166666671</v>
      </c>
      <c r="G37" s="83">
        <f>'29'!G108</f>
        <v>72.644270833333309</v>
      </c>
      <c r="H37" s="83">
        <f>'29'!H108</f>
        <v>23.844791666666676</v>
      </c>
      <c r="I37" s="83">
        <f>'29'!I108</f>
        <v>6.2306250000000007</v>
      </c>
      <c r="J37" s="83">
        <f>'29'!J108</f>
        <v>0.41197916666666651</v>
      </c>
      <c r="K37" s="83">
        <f>'29'!K108</f>
        <v>155.01166666666671</v>
      </c>
      <c r="L37" s="83">
        <f>'29'!L108</f>
        <v>32.728645833333339</v>
      </c>
      <c r="M37" s="83">
        <f>'29'!M108</f>
        <v>39.425416666666656</v>
      </c>
      <c r="N37" s="83">
        <f>'29'!N108</f>
        <v>161.56145833333332</v>
      </c>
      <c r="O37" s="83">
        <f>'29'!O108</f>
        <v>0</v>
      </c>
      <c r="P37" s="83">
        <f>'29'!P108</f>
        <v>0.6963541666666665</v>
      </c>
      <c r="Q37" s="83">
        <f>'29'!Q108</f>
        <v>5.503020833333335</v>
      </c>
      <c r="R37" s="76"/>
      <c r="S37" s="76"/>
      <c r="T37" s="76"/>
      <c r="U37" s="76"/>
    </row>
    <row r="38" spans="1:21" s="2" customFormat="1">
      <c r="A38" s="139" t="str">
        <f>'30'!$B$2</f>
        <v>30/05/2023 00:15</v>
      </c>
      <c r="B38" s="83">
        <f>'30'!B108</f>
        <v>8.4128124999999994</v>
      </c>
      <c r="C38" s="83">
        <f>'30'!C108</f>
        <v>47.709270833333335</v>
      </c>
      <c r="D38" s="83">
        <f>'30'!D108</f>
        <v>30.62802083333332</v>
      </c>
      <c r="E38" s="83">
        <f>'30'!E108</f>
        <v>9.3560416666666679</v>
      </c>
      <c r="F38" s="83">
        <f>'30'!F108</f>
        <v>21.975312500000005</v>
      </c>
      <c r="G38" s="83">
        <f>'30'!G108</f>
        <v>51.547812500000013</v>
      </c>
      <c r="H38" s="83">
        <f>'30'!H108</f>
        <v>20.159791666666667</v>
      </c>
      <c r="I38" s="83">
        <f>'30'!I108</f>
        <v>6.1117708333333338</v>
      </c>
      <c r="J38" s="83">
        <f>'30'!J108</f>
        <v>0.59958333333333347</v>
      </c>
      <c r="K38" s="83">
        <f>'30'!K108</f>
        <v>234.83031250000002</v>
      </c>
      <c r="L38" s="83">
        <f>'30'!L108</f>
        <v>34.674375000000019</v>
      </c>
      <c r="M38" s="83">
        <f>'30'!M108</f>
        <v>37.078958333333347</v>
      </c>
      <c r="N38" s="83">
        <f>'30'!N108</f>
        <v>163.22916666666669</v>
      </c>
      <c r="O38" s="83">
        <f>'30'!O108</f>
        <v>0</v>
      </c>
      <c r="P38" s="83">
        <f>'30'!P108</f>
        <v>0.6854166666666669</v>
      </c>
      <c r="Q38" s="83">
        <f>'30'!Q108</f>
        <v>4.8751041666666675</v>
      </c>
      <c r="R38" s="76"/>
      <c r="S38" s="76"/>
      <c r="T38" s="76"/>
      <c r="U38" s="76"/>
    </row>
    <row r="39" spans="1:21" s="2" customFormat="1">
      <c r="A39" s="139" t="str">
        <f>'31'!$B$2</f>
        <v>31/05/2023 00:15</v>
      </c>
      <c r="B39" s="83">
        <f>'31'!B108</f>
        <v>10.386874999999998</v>
      </c>
      <c r="C39" s="83">
        <f>'31'!C108</f>
        <v>50.667499999999997</v>
      </c>
      <c r="D39" s="83">
        <f>'31'!D108</f>
        <v>33.756354166666689</v>
      </c>
      <c r="E39" s="83">
        <f>'31'!E108</f>
        <v>10.840833333333331</v>
      </c>
      <c r="F39" s="83">
        <f>'31'!F108</f>
        <v>22.204687499999995</v>
      </c>
      <c r="G39" s="83">
        <f>'31'!G108</f>
        <v>59.091666666666661</v>
      </c>
      <c r="H39" s="83">
        <f>'31'!H108</f>
        <v>22.436770833333327</v>
      </c>
      <c r="I39" s="83">
        <f>'31'!I108</f>
        <v>5.8962499999999993</v>
      </c>
      <c r="J39" s="83">
        <f>'31'!J108</f>
        <v>0.47145833333333331</v>
      </c>
      <c r="K39" s="83">
        <f>'31'!K108</f>
        <v>221.30718750000005</v>
      </c>
      <c r="L39" s="83">
        <f>'31'!L108</f>
        <v>34.799791666666664</v>
      </c>
      <c r="M39" s="83">
        <f>'31'!M108</f>
        <v>34.114270833333329</v>
      </c>
      <c r="N39" s="83">
        <f>'31'!N108</f>
        <v>149.46875</v>
      </c>
      <c r="O39" s="83">
        <f>'31'!O108</f>
        <v>0</v>
      </c>
      <c r="P39" s="83">
        <f>'31'!P108</f>
        <v>0.70000000000000018</v>
      </c>
      <c r="Q39" s="83">
        <f>'31'!Q108</f>
        <v>4.9681250000000015</v>
      </c>
      <c r="R39" s="76"/>
      <c r="S39" s="76"/>
      <c r="T39" s="76"/>
      <c r="U39" s="76"/>
    </row>
    <row r="40" spans="1:21" s="2" customFormat="1">
      <c r="A40" s="129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141"/>
      <c r="S40" s="141"/>
      <c r="T40" s="141"/>
      <c r="U40" s="141"/>
    </row>
    <row r="41" spans="1:21" s="2" customFormat="1">
      <c r="A41" s="129" t="s">
        <v>48</v>
      </c>
      <c r="B41" s="141">
        <f t="shared" ref="B41:Q41" si="0">MIN(B9:B39)</f>
        <v>7.4830208333333346</v>
      </c>
      <c r="C41" s="141">
        <f t="shared" si="0"/>
        <v>47.52817204301077</v>
      </c>
      <c r="D41" s="141">
        <f t="shared" si="0"/>
        <v>30.34979166666669</v>
      </c>
      <c r="E41" s="141">
        <f t="shared" si="0"/>
        <v>7.08177083333333</v>
      </c>
      <c r="F41" s="141">
        <f t="shared" si="0"/>
        <v>4.4145833333333346</v>
      </c>
      <c r="G41" s="141">
        <f t="shared" si="0"/>
        <v>15.168854166666664</v>
      </c>
      <c r="H41" s="141">
        <f t="shared" si="0"/>
        <v>6.8855208333333353</v>
      </c>
      <c r="I41" s="141">
        <f t="shared" si="0"/>
        <v>2.654130434782608</v>
      </c>
      <c r="J41" s="141">
        <f t="shared" si="0"/>
        <v>0.29989583333333319</v>
      </c>
      <c r="K41" s="141">
        <f t="shared" si="0"/>
        <v>90.004687500000045</v>
      </c>
      <c r="L41" s="141">
        <f t="shared" si="0"/>
        <v>24.47270833333333</v>
      </c>
      <c r="M41" s="141">
        <f t="shared" si="0"/>
        <v>31.948437499999994</v>
      </c>
      <c r="N41" s="141">
        <f t="shared" si="0"/>
        <v>135.08125000000004</v>
      </c>
      <c r="O41" s="141">
        <f t="shared" si="0"/>
        <v>0</v>
      </c>
      <c r="P41" s="141">
        <f t="shared" si="0"/>
        <v>0.39447916666666671</v>
      </c>
      <c r="Q41" s="141">
        <f t="shared" si="0"/>
        <v>4.3434615384615398</v>
      </c>
      <c r="R41" s="141"/>
      <c r="S41" s="141"/>
      <c r="T41" s="141"/>
      <c r="U41" s="141"/>
    </row>
    <row r="42" spans="1:21" s="2" customFormat="1">
      <c r="A42" s="129" t="s">
        <v>49</v>
      </c>
      <c r="B42" s="141">
        <f t="shared" ref="B42:Q42" si="1">MAX(B9:B39)</f>
        <v>39.853437499999998</v>
      </c>
      <c r="C42" s="141">
        <f t="shared" si="1"/>
        <v>76.276043956043949</v>
      </c>
      <c r="D42" s="141">
        <f t="shared" si="1"/>
        <v>66.753020833333323</v>
      </c>
      <c r="E42" s="141">
        <f t="shared" si="1"/>
        <v>18.515647058823529</v>
      </c>
      <c r="F42" s="141">
        <f t="shared" si="1"/>
        <v>31.201294117647056</v>
      </c>
      <c r="G42" s="141">
        <f t="shared" si="1"/>
        <v>106.40303370786512</v>
      </c>
      <c r="H42" s="141">
        <f t="shared" si="1"/>
        <v>33.206516853932598</v>
      </c>
      <c r="I42" s="141">
        <f t="shared" si="1"/>
        <v>14.312708333333331</v>
      </c>
      <c r="J42" s="141">
        <f t="shared" si="1"/>
        <v>0.77093749999999994</v>
      </c>
      <c r="K42" s="141">
        <f t="shared" si="1"/>
        <v>247.20458333333332</v>
      </c>
      <c r="L42" s="141">
        <f t="shared" si="1"/>
        <v>34.799791666666664</v>
      </c>
      <c r="M42" s="141">
        <f t="shared" si="1"/>
        <v>81.262812500000024</v>
      </c>
      <c r="N42" s="141">
        <f t="shared" si="1"/>
        <v>222.11666666666665</v>
      </c>
      <c r="O42" s="141">
        <f t="shared" si="1"/>
        <v>0</v>
      </c>
      <c r="P42" s="141">
        <f t="shared" si="1"/>
        <v>2.8428260869565234</v>
      </c>
      <c r="Q42" s="141">
        <f t="shared" si="1"/>
        <v>6.1295833333333372</v>
      </c>
      <c r="R42" s="141"/>
      <c r="S42" s="141"/>
      <c r="T42" s="141"/>
      <c r="U42" s="141"/>
    </row>
    <row r="43" spans="1:21" s="2" customFormat="1">
      <c r="A43" s="129" t="s">
        <v>50</v>
      </c>
      <c r="B43" s="141">
        <f t="shared" ref="B43:Q43" si="2">AVERAGE(B9:B39)</f>
        <v>17.487442728811597</v>
      </c>
      <c r="C43" s="141">
        <f t="shared" si="2"/>
        <v>54.057698683402947</v>
      </c>
      <c r="D43" s="141">
        <f t="shared" si="2"/>
        <v>42.211511904812724</v>
      </c>
      <c r="E43" s="141">
        <f t="shared" si="2"/>
        <v>10.699044060748644</v>
      </c>
      <c r="F43" s="141">
        <f t="shared" si="2"/>
        <v>18.076347532221732</v>
      </c>
      <c r="G43" s="141">
        <f t="shared" si="2"/>
        <v>57.382458061606521</v>
      </c>
      <c r="H43" s="141">
        <f t="shared" si="2"/>
        <v>19.390074037326482</v>
      </c>
      <c r="I43" s="141">
        <f t="shared" si="2"/>
        <v>6.2807692345310429</v>
      </c>
      <c r="J43" s="141">
        <f t="shared" si="2"/>
        <v>0.48988258031122683</v>
      </c>
      <c r="K43" s="141">
        <f t="shared" si="2"/>
        <v>186.55487790307035</v>
      </c>
      <c r="L43" s="141">
        <f t="shared" si="2"/>
        <v>31.817229815391851</v>
      </c>
      <c r="M43" s="141">
        <f t="shared" si="2"/>
        <v>45.716586186313513</v>
      </c>
      <c r="N43" s="141">
        <f t="shared" si="2"/>
        <v>172.75399574118472</v>
      </c>
      <c r="O43" s="141">
        <f t="shared" si="2"/>
        <v>0</v>
      </c>
      <c r="P43" s="141">
        <f t="shared" si="2"/>
        <v>0.70588625717246267</v>
      </c>
      <c r="Q43" s="141">
        <f t="shared" si="2"/>
        <v>5.1859490404177135</v>
      </c>
      <c r="R43" s="141"/>
      <c r="S43" s="141"/>
      <c r="T43" s="141"/>
      <c r="U43" s="141"/>
    </row>
    <row r="44" spans="1:21" s="2" customFormat="1">
      <c r="A44" s="129" t="s">
        <v>51</v>
      </c>
      <c r="B44" s="141">
        <f t="shared" ref="B44:Q44" si="3">STDEV(B9:B39)</f>
        <v>8.4661805761862539</v>
      </c>
      <c r="C44" s="141">
        <f t="shared" si="3"/>
        <v>5.9066638712014647</v>
      </c>
      <c r="D44" s="141">
        <f t="shared" si="3"/>
        <v>9.7367370421715975</v>
      </c>
      <c r="E44" s="141">
        <f t="shared" si="3"/>
        <v>3.0452108987125945</v>
      </c>
      <c r="F44" s="141">
        <f t="shared" si="3"/>
        <v>6.9142844881045837</v>
      </c>
      <c r="G44" s="141">
        <f t="shared" si="3"/>
        <v>22.168912735570022</v>
      </c>
      <c r="H44" s="141">
        <f t="shared" si="3"/>
        <v>6.9024340814429426</v>
      </c>
      <c r="I44" s="141">
        <f t="shared" si="3"/>
        <v>2.3457887151771177</v>
      </c>
      <c r="J44" s="141">
        <f t="shared" si="3"/>
        <v>0.12941484925528757</v>
      </c>
      <c r="K44" s="141">
        <f t="shared" si="3"/>
        <v>40.878280464507299</v>
      </c>
      <c r="L44" s="141">
        <f t="shared" si="3"/>
        <v>2.7255997708121149</v>
      </c>
      <c r="M44" s="141">
        <f t="shared" si="3"/>
        <v>14.055938212182809</v>
      </c>
      <c r="N44" s="141">
        <f t="shared" si="3"/>
        <v>20.973799297329084</v>
      </c>
      <c r="O44" s="141">
        <f t="shared" si="3"/>
        <v>0</v>
      </c>
      <c r="P44" s="141">
        <f t="shared" si="3"/>
        <v>0.41900972209567128</v>
      </c>
      <c r="Q44" s="141">
        <f t="shared" si="3"/>
        <v>0.49811653919171706</v>
      </c>
      <c r="R44" s="132"/>
      <c r="S44" s="132"/>
      <c r="T44" s="132"/>
      <c r="U44" s="132"/>
    </row>
    <row r="45" spans="1:21" s="2" customFormat="1">
      <c r="A45" s="129" t="s">
        <v>52</v>
      </c>
      <c r="B45" s="132">
        <f t="shared" ref="B45:Q45" si="4">COUNT(B9:B39)</f>
        <v>31</v>
      </c>
      <c r="C45" s="132">
        <f t="shared" si="4"/>
        <v>31</v>
      </c>
      <c r="D45" s="132">
        <f t="shared" si="4"/>
        <v>31</v>
      </c>
      <c r="E45" s="132">
        <f t="shared" si="4"/>
        <v>31</v>
      </c>
      <c r="F45" s="132">
        <f t="shared" si="4"/>
        <v>31</v>
      </c>
      <c r="G45" s="132">
        <f t="shared" si="4"/>
        <v>31</v>
      </c>
      <c r="H45" s="132">
        <f t="shared" si="4"/>
        <v>31</v>
      </c>
      <c r="I45" s="132">
        <f t="shared" si="4"/>
        <v>31</v>
      </c>
      <c r="J45" s="132">
        <f t="shared" si="4"/>
        <v>31</v>
      </c>
      <c r="K45" s="132">
        <f t="shared" si="4"/>
        <v>31</v>
      </c>
      <c r="L45" s="132">
        <f t="shared" si="4"/>
        <v>31</v>
      </c>
      <c r="M45" s="132">
        <f t="shared" si="4"/>
        <v>31</v>
      </c>
      <c r="N45" s="132">
        <f t="shared" si="4"/>
        <v>31</v>
      </c>
      <c r="O45" s="132">
        <f t="shared" si="4"/>
        <v>31</v>
      </c>
      <c r="P45" s="132">
        <f t="shared" si="4"/>
        <v>31</v>
      </c>
      <c r="Q45" s="132">
        <f t="shared" si="4"/>
        <v>31</v>
      </c>
      <c r="R45" s="132"/>
      <c r="S45" s="132"/>
      <c r="T45" s="132"/>
      <c r="U45" s="132"/>
    </row>
    <row r="46" spans="1:21">
      <c r="A46" s="129" t="s">
        <v>53</v>
      </c>
      <c r="B46" s="132" t="str">
        <f>IF(B45&gt;=28,"&gt;90%",IF(B45&lt;=28,"&lt;90%"))</f>
        <v>&gt;90%</v>
      </c>
      <c r="C46" s="132" t="str">
        <f t="shared" ref="C46:Q46" si="5">IF(C45&gt;=28,"&gt;90%",IF(C45&lt;=28,"&lt;90%"))</f>
        <v>&gt;90%</v>
      </c>
      <c r="D46" s="132" t="str">
        <f t="shared" si="5"/>
        <v>&gt;90%</v>
      </c>
      <c r="E46" s="132" t="str">
        <f t="shared" si="5"/>
        <v>&gt;90%</v>
      </c>
      <c r="F46" s="132" t="str">
        <f t="shared" si="5"/>
        <v>&gt;90%</v>
      </c>
      <c r="G46" s="132" t="str">
        <f t="shared" si="5"/>
        <v>&gt;90%</v>
      </c>
      <c r="H46" s="132" t="str">
        <f t="shared" si="5"/>
        <v>&gt;90%</v>
      </c>
      <c r="I46" s="132" t="str">
        <f t="shared" si="5"/>
        <v>&gt;90%</v>
      </c>
      <c r="J46" s="132" t="str">
        <f t="shared" si="5"/>
        <v>&gt;90%</v>
      </c>
      <c r="K46" s="132" t="str">
        <f t="shared" si="5"/>
        <v>&gt;90%</v>
      </c>
      <c r="L46" s="132" t="str">
        <f t="shared" si="5"/>
        <v>&gt;90%</v>
      </c>
      <c r="M46" s="132" t="str">
        <f t="shared" si="5"/>
        <v>&gt;90%</v>
      </c>
      <c r="N46" s="132" t="str">
        <f t="shared" si="5"/>
        <v>&gt;90%</v>
      </c>
      <c r="O46" s="132" t="str">
        <f t="shared" si="5"/>
        <v>&gt;90%</v>
      </c>
      <c r="P46" s="132" t="str">
        <f t="shared" si="5"/>
        <v>&gt;90%</v>
      </c>
      <c r="Q46" s="132" t="str">
        <f t="shared" si="5"/>
        <v>&gt;90%</v>
      </c>
      <c r="R46" s="132"/>
      <c r="S46" s="132"/>
      <c r="T46" s="132"/>
      <c r="U46" s="132"/>
    </row>
    <row r="47" spans="1:21">
      <c r="A47" s="129" t="s">
        <v>54</v>
      </c>
      <c r="B47" s="132" t="str">
        <f>IF(B45&gt;=28,"OK",IF(B45&lt;=28,"LESS"))</f>
        <v>OK</v>
      </c>
      <c r="C47" s="132" t="str">
        <f t="shared" ref="C47:Q47" si="6">IF(C45&gt;=28,"OK",IF(C45&lt;=28,"LESS"))</f>
        <v>OK</v>
      </c>
      <c r="D47" s="132" t="str">
        <f t="shared" si="6"/>
        <v>OK</v>
      </c>
      <c r="E47" s="132" t="str">
        <f t="shared" si="6"/>
        <v>OK</v>
      </c>
      <c r="F47" s="132" t="str">
        <f t="shared" si="6"/>
        <v>OK</v>
      </c>
      <c r="G47" s="132" t="str">
        <f t="shared" si="6"/>
        <v>OK</v>
      </c>
      <c r="H47" s="132" t="str">
        <f t="shared" si="6"/>
        <v>OK</v>
      </c>
      <c r="I47" s="132" t="str">
        <f t="shared" si="6"/>
        <v>OK</v>
      </c>
      <c r="J47" s="132" t="str">
        <f t="shared" si="6"/>
        <v>OK</v>
      </c>
      <c r="K47" s="132" t="str">
        <f t="shared" si="6"/>
        <v>OK</v>
      </c>
      <c r="L47" s="132" t="str">
        <f t="shared" si="6"/>
        <v>OK</v>
      </c>
      <c r="M47" s="132" t="str">
        <f t="shared" si="6"/>
        <v>OK</v>
      </c>
      <c r="N47" s="132" t="str">
        <f t="shared" si="6"/>
        <v>OK</v>
      </c>
      <c r="O47" s="132" t="str">
        <f t="shared" si="6"/>
        <v>OK</v>
      </c>
      <c r="P47" s="132" t="str">
        <f t="shared" si="6"/>
        <v>OK</v>
      </c>
      <c r="Q47" s="132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29" t="s">
        <v>55</v>
      </c>
      <c r="B50" s="164" t="s">
        <v>56</v>
      </c>
      <c r="C50" s="164"/>
      <c r="D50" s="16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42"/>
      <c r="B51" s="2"/>
      <c r="C51" s="2"/>
      <c r="D51" s="143"/>
      <c r="E51" s="143"/>
      <c r="F51" s="143"/>
      <c r="G51" s="143"/>
      <c r="H51" s="143"/>
      <c r="I51" s="143"/>
      <c r="J51" s="2"/>
      <c r="K51" s="2"/>
      <c r="L51" s="2"/>
      <c r="M51" s="2"/>
      <c r="N51" s="2"/>
      <c r="O51" s="2"/>
      <c r="P51" s="2"/>
    </row>
    <row r="52" spans="1:16" ht="15.75">
      <c r="A52" s="144" t="s">
        <v>57</v>
      </c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</row>
    <row r="53" spans="1:16">
      <c r="A53" s="1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X119"/>
  <sheetViews>
    <sheetView tabSelected="1" topLeftCell="A10" zoomScale="85" zoomScaleNormal="85" workbookViewId="0">
      <selection activeCell="H27" sqref="H27:H28"/>
    </sheetView>
  </sheetViews>
  <sheetFormatPr defaultColWidth="8.85546875" defaultRowHeight="15"/>
  <cols>
    <col min="1" max="1" width="4.5703125" style="2" customWidth="1"/>
    <col min="2" max="2" width="16.140625" style="74" customWidth="1"/>
    <col min="3" max="3" width="10.28515625" style="2" customWidth="1"/>
    <col min="4" max="7" width="9.140625" style="2" customWidth="1"/>
    <col min="8" max="8" width="9.140625" style="76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77" customWidth="1"/>
    <col min="16" max="16" width="10.85546875" style="77" customWidth="1"/>
    <col min="17" max="17" width="15.42578125" style="77" customWidth="1"/>
    <col min="18" max="18" width="13.42578125" style="77" customWidth="1"/>
    <col min="19" max="19" width="16.85546875" style="78" customWidth="1"/>
    <col min="20" max="20" width="10" style="78" customWidth="1"/>
    <col min="21" max="21" width="12.85546875" style="77" customWidth="1"/>
    <col min="22" max="22" width="10.7109375" style="77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79" t="s">
        <v>60</v>
      </c>
      <c r="D1" s="167" t="s">
        <v>61</v>
      </c>
      <c r="E1" s="167"/>
      <c r="F1" s="167"/>
      <c r="G1" s="167"/>
      <c r="H1" s="167"/>
      <c r="I1" s="167"/>
      <c r="J1" s="168"/>
    </row>
    <row r="2" spans="2:24" ht="22.5" customHeight="1">
      <c r="B2" s="2"/>
      <c r="C2" s="79" t="s">
        <v>2</v>
      </c>
      <c r="D2" s="169" t="s">
        <v>525</v>
      </c>
      <c r="E2" s="170"/>
      <c r="F2" s="170"/>
      <c r="G2" s="170"/>
      <c r="H2" s="170"/>
      <c r="I2" s="170"/>
      <c r="J2" s="171"/>
    </row>
    <row r="4" spans="2:24">
      <c r="S4" s="77"/>
      <c r="T4" s="77"/>
      <c r="U4" s="78"/>
      <c r="V4" s="78"/>
      <c r="W4" s="77"/>
      <c r="X4" s="77"/>
    </row>
    <row r="5" spans="2:24">
      <c r="B5" s="80"/>
      <c r="C5" s="81"/>
      <c r="D5" s="81"/>
      <c r="E5" s="81"/>
      <c r="F5" s="81"/>
      <c r="G5" s="172" t="s">
        <v>62</v>
      </c>
      <c r="H5" s="172"/>
      <c r="I5" s="81"/>
      <c r="J5" s="81"/>
      <c r="K5" s="81"/>
      <c r="L5" s="81"/>
      <c r="M5" s="95"/>
      <c r="O5" s="96"/>
      <c r="P5" s="97"/>
      <c r="Q5" s="97"/>
      <c r="R5" s="97"/>
      <c r="S5" s="114" t="s">
        <v>63</v>
      </c>
      <c r="T5" s="97"/>
      <c r="U5" s="115"/>
      <c r="V5" s="115"/>
      <c r="W5" s="97"/>
      <c r="X5" s="116"/>
    </row>
    <row r="6" spans="2:24">
      <c r="B6" s="82"/>
      <c r="C6" s="6"/>
      <c r="D6" s="6"/>
      <c r="E6" s="6"/>
      <c r="F6" s="6"/>
      <c r="G6" s="6"/>
      <c r="H6" s="83"/>
      <c r="I6" s="6"/>
      <c r="J6" s="6"/>
      <c r="K6" s="6"/>
      <c r="L6" s="6"/>
      <c r="M6" s="98"/>
      <c r="O6" s="99"/>
      <c r="P6" s="100"/>
      <c r="Q6" s="100"/>
      <c r="R6" s="100"/>
      <c r="S6" s="100"/>
      <c r="T6" s="100"/>
      <c r="U6" s="117"/>
      <c r="V6" s="117"/>
      <c r="W6" s="100"/>
      <c r="X6" s="118"/>
    </row>
    <row r="7" spans="2:24" ht="15.75">
      <c r="B7" s="84" t="s">
        <v>64</v>
      </c>
      <c r="C7" s="85" t="s">
        <v>65</v>
      </c>
      <c r="D7" s="85" t="s">
        <v>66</v>
      </c>
      <c r="E7" s="85" t="s">
        <v>67</v>
      </c>
      <c r="F7" s="85" t="s">
        <v>68</v>
      </c>
      <c r="G7" s="85" t="s">
        <v>69</v>
      </c>
      <c r="H7" s="86" t="s">
        <v>70</v>
      </c>
      <c r="I7" s="85" t="s">
        <v>71</v>
      </c>
      <c r="J7" s="85" t="s">
        <v>72</v>
      </c>
      <c r="K7" s="85" t="s">
        <v>73</v>
      </c>
      <c r="L7" s="85" t="s">
        <v>54</v>
      </c>
      <c r="M7" s="33" t="s">
        <v>74</v>
      </c>
      <c r="O7" s="101" t="s">
        <v>64</v>
      </c>
      <c r="P7" s="102" t="s">
        <v>65</v>
      </c>
      <c r="Q7" s="102" t="s">
        <v>75</v>
      </c>
      <c r="R7" s="102" t="s">
        <v>11</v>
      </c>
      <c r="S7" s="102" t="s">
        <v>76</v>
      </c>
      <c r="T7" s="102" t="s">
        <v>77</v>
      </c>
      <c r="U7" s="119" t="s">
        <v>78</v>
      </c>
      <c r="V7" s="119" t="s">
        <v>79</v>
      </c>
      <c r="W7" s="102" t="s">
        <v>54</v>
      </c>
      <c r="X7" s="120" t="s">
        <v>74</v>
      </c>
    </row>
    <row r="8" spans="2:24" ht="15.75">
      <c r="B8" s="72">
        <v>45052.574305555558</v>
      </c>
      <c r="C8" s="6" t="s">
        <v>62</v>
      </c>
      <c r="D8" s="6" t="s">
        <v>39</v>
      </c>
      <c r="E8" s="6">
        <v>0</v>
      </c>
      <c r="F8" s="6">
        <v>200</v>
      </c>
      <c r="G8" s="6">
        <v>0</v>
      </c>
      <c r="H8" s="83">
        <v>200.1</v>
      </c>
      <c r="I8" s="6">
        <v>0</v>
      </c>
      <c r="J8" s="83">
        <f>F8/H8</f>
        <v>0.99950024987506247</v>
      </c>
      <c r="K8" s="83">
        <f>(H8-F8)*100/F8</f>
        <v>4.9999999999997158E-2</v>
      </c>
      <c r="L8" s="6" t="s">
        <v>80</v>
      </c>
      <c r="M8" s="103" t="s">
        <v>56</v>
      </c>
      <c r="O8" s="72">
        <v>45052.508333333331</v>
      </c>
      <c r="P8" s="100" t="s">
        <v>63</v>
      </c>
      <c r="Q8" s="100">
        <v>4464.7299999999996</v>
      </c>
      <c r="R8" s="100">
        <v>3417.35</v>
      </c>
      <c r="S8" s="100" t="s">
        <v>81</v>
      </c>
      <c r="T8" s="100">
        <v>882.86</v>
      </c>
      <c r="U8" s="117">
        <v>0.97970000000000002</v>
      </c>
      <c r="V8" s="117">
        <v>0.9587</v>
      </c>
      <c r="W8" s="6" t="s">
        <v>80</v>
      </c>
      <c r="X8" s="103" t="s">
        <v>56</v>
      </c>
    </row>
    <row r="9" spans="2:24" ht="15.75">
      <c r="B9" s="72">
        <v>45059.489583333336</v>
      </c>
      <c r="C9" s="6" t="s">
        <v>62</v>
      </c>
      <c r="D9" s="6" t="s">
        <v>39</v>
      </c>
      <c r="E9" s="6">
        <v>0</v>
      </c>
      <c r="F9" s="6">
        <v>200</v>
      </c>
      <c r="G9" s="6">
        <v>0</v>
      </c>
      <c r="H9" s="83">
        <v>204.31</v>
      </c>
      <c r="I9" s="6">
        <v>0</v>
      </c>
      <c r="J9" s="83">
        <f t="shared" ref="J9:J14" si="0">F9/H9</f>
        <v>0.97890460574617</v>
      </c>
      <c r="K9" s="83">
        <f t="shared" ref="K9:K14" si="1">(H9-F9)*100/F9</f>
        <v>2.1550000000000011</v>
      </c>
      <c r="L9" s="6" t="s">
        <v>80</v>
      </c>
      <c r="M9" s="103" t="s">
        <v>1102</v>
      </c>
      <c r="O9" s="72">
        <v>45059.450694444444</v>
      </c>
      <c r="P9" s="100" t="s">
        <v>63</v>
      </c>
      <c r="Q9" s="100">
        <v>4565.4399999999996</v>
      </c>
      <c r="R9" s="100">
        <v>3516.45</v>
      </c>
      <c r="S9" s="100" t="s">
        <v>81</v>
      </c>
      <c r="T9" s="100">
        <v>850.61</v>
      </c>
      <c r="U9" s="117">
        <v>0.9587</v>
      </c>
      <c r="V9" s="117">
        <v>0.9738</v>
      </c>
      <c r="W9" s="6" t="s">
        <v>80</v>
      </c>
      <c r="X9" s="103" t="s">
        <v>1102</v>
      </c>
    </row>
    <row r="10" spans="2:24" ht="15.75">
      <c r="B10" s="72"/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83"/>
      <c r="I10" s="6">
        <v>0</v>
      </c>
      <c r="J10" s="83" t="e">
        <f t="shared" si="0"/>
        <v>#DIV/0!</v>
      </c>
      <c r="K10" s="83">
        <f t="shared" si="1"/>
        <v>-100</v>
      </c>
      <c r="L10" s="6" t="s">
        <v>80</v>
      </c>
      <c r="M10" s="103" t="s">
        <v>56</v>
      </c>
      <c r="O10" s="72">
        <v>45069.556944444441</v>
      </c>
      <c r="P10" s="100" t="s">
        <v>63</v>
      </c>
      <c r="Q10" s="100">
        <v>4867.22</v>
      </c>
      <c r="R10" s="100">
        <v>3758.11</v>
      </c>
      <c r="S10" s="100" t="s">
        <v>81</v>
      </c>
      <c r="T10" s="100">
        <v>847.55</v>
      </c>
      <c r="U10" s="117">
        <v>0.9738</v>
      </c>
      <c r="V10" s="117">
        <v>0.99270000000000003</v>
      </c>
      <c r="W10" s="6" t="s">
        <v>80</v>
      </c>
      <c r="X10" s="103" t="s">
        <v>56</v>
      </c>
    </row>
    <row r="11" spans="2:24" ht="15.75">
      <c r="B11" s="72"/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83"/>
      <c r="I11" s="6">
        <v>0</v>
      </c>
      <c r="J11" s="83" t="e">
        <f t="shared" si="0"/>
        <v>#DIV/0!</v>
      </c>
      <c r="K11" s="83">
        <f t="shared" si="1"/>
        <v>-100</v>
      </c>
      <c r="L11" s="6" t="s">
        <v>80</v>
      </c>
      <c r="M11" s="103" t="s">
        <v>56</v>
      </c>
      <c r="O11" s="72"/>
      <c r="P11" s="100" t="s">
        <v>63</v>
      </c>
      <c r="Q11" s="100"/>
      <c r="R11" s="100"/>
      <c r="S11" s="100" t="s">
        <v>81</v>
      </c>
      <c r="T11" s="100"/>
      <c r="U11" s="117"/>
      <c r="V11" s="117"/>
      <c r="W11" s="6" t="s">
        <v>80</v>
      </c>
      <c r="X11" s="103" t="s">
        <v>56</v>
      </c>
    </row>
    <row r="12" spans="2:24" ht="15.75">
      <c r="B12" s="72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83"/>
      <c r="I12" s="6">
        <v>0</v>
      </c>
      <c r="J12" s="83" t="e">
        <f t="shared" si="0"/>
        <v>#DIV/0!</v>
      </c>
      <c r="K12" s="83">
        <f t="shared" si="1"/>
        <v>-100</v>
      </c>
      <c r="L12" s="6" t="s">
        <v>80</v>
      </c>
      <c r="M12" s="103" t="s">
        <v>56</v>
      </c>
      <c r="O12" s="72"/>
      <c r="P12" s="100" t="s">
        <v>63</v>
      </c>
      <c r="Q12" s="100"/>
      <c r="R12" s="100"/>
      <c r="S12" s="100" t="s">
        <v>81</v>
      </c>
      <c r="T12" s="100"/>
      <c r="U12" s="117"/>
      <c r="V12" s="117"/>
      <c r="W12" s="6" t="s">
        <v>80</v>
      </c>
      <c r="X12" s="103" t="s">
        <v>56</v>
      </c>
    </row>
    <row r="13" spans="2:24" ht="15.75">
      <c r="B13" s="72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83"/>
      <c r="I13" s="6">
        <v>0</v>
      </c>
      <c r="J13" s="83" t="e">
        <f t="shared" si="0"/>
        <v>#DIV/0!</v>
      </c>
      <c r="K13" s="83">
        <f t="shared" si="1"/>
        <v>-100</v>
      </c>
      <c r="L13" s="6" t="s">
        <v>80</v>
      </c>
      <c r="M13" s="103" t="s">
        <v>56</v>
      </c>
      <c r="O13" s="72"/>
      <c r="P13" s="100" t="s">
        <v>63</v>
      </c>
      <c r="Q13" s="100"/>
      <c r="R13" s="100"/>
      <c r="S13" s="100" t="s">
        <v>81</v>
      </c>
      <c r="T13" s="100"/>
      <c r="U13" s="117"/>
      <c r="V13" s="117"/>
      <c r="W13" s="6" t="s">
        <v>80</v>
      </c>
      <c r="X13" s="103" t="s">
        <v>56</v>
      </c>
    </row>
    <row r="14" spans="2:24" ht="15.75">
      <c r="B14" s="72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83"/>
      <c r="I14" s="6">
        <v>0</v>
      </c>
      <c r="J14" s="83" t="e">
        <f t="shared" si="0"/>
        <v>#DIV/0!</v>
      </c>
      <c r="K14" s="83">
        <f t="shared" si="1"/>
        <v>-100</v>
      </c>
      <c r="L14" s="6" t="s">
        <v>80</v>
      </c>
      <c r="M14" s="103" t="s">
        <v>56</v>
      </c>
      <c r="O14" s="72"/>
      <c r="P14" s="100" t="s">
        <v>63</v>
      </c>
      <c r="Q14" s="100"/>
      <c r="R14" s="100"/>
      <c r="S14" s="100" t="s">
        <v>81</v>
      </c>
      <c r="T14" s="100"/>
      <c r="U14" s="117"/>
      <c r="V14" s="117"/>
      <c r="W14" s="6" t="s">
        <v>80</v>
      </c>
      <c r="X14" s="103" t="s">
        <v>56</v>
      </c>
    </row>
    <row r="15" spans="2:24" ht="15.75">
      <c r="B15" s="72"/>
      <c r="C15" s="6"/>
      <c r="D15" s="6"/>
      <c r="E15" s="6"/>
      <c r="F15" s="6"/>
      <c r="G15" s="6"/>
      <c r="H15" s="83"/>
      <c r="I15" s="6"/>
      <c r="J15" s="83"/>
      <c r="K15" s="83"/>
      <c r="L15" s="6"/>
      <c r="M15" s="104"/>
      <c r="O15" s="72"/>
      <c r="P15" s="100" t="s">
        <v>63</v>
      </c>
      <c r="Q15" s="100"/>
      <c r="R15" s="100"/>
      <c r="S15" s="100" t="s">
        <v>81</v>
      </c>
      <c r="T15" s="100"/>
      <c r="U15" s="117"/>
      <c r="V15" s="117"/>
      <c r="W15" s="6" t="s">
        <v>80</v>
      </c>
      <c r="X15" s="103"/>
    </row>
    <row r="16" spans="2:24" ht="15.75">
      <c r="B16" s="72"/>
      <c r="C16" s="6"/>
      <c r="D16" s="6"/>
      <c r="E16" s="6"/>
      <c r="F16" s="6"/>
      <c r="G16" s="6"/>
      <c r="H16" s="83"/>
      <c r="I16" s="6"/>
      <c r="J16" s="83"/>
      <c r="K16" s="83"/>
      <c r="L16" s="6"/>
      <c r="M16" s="104"/>
      <c r="O16" s="72"/>
      <c r="P16" s="100" t="s">
        <v>63</v>
      </c>
      <c r="Q16" s="100"/>
      <c r="R16" s="100"/>
      <c r="S16" s="100" t="s">
        <v>81</v>
      </c>
      <c r="T16" s="100"/>
      <c r="U16" s="117"/>
      <c r="V16" s="117"/>
      <c r="W16" s="6" t="s">
        <v>80</v>
      </c>
      <c r="X16" s="103"/>
    </row>
    <row r="17" spans="2:24" ht="15.75">
      <c r="B17" s="72"/>
      <c r="C17" s="6"/>
      <c r="D17" s="6"/>
      <c r="E17" s="6"/>
      <c r="F17" s="6"/>
      <c r="G17" s="6"/>
      <c r="H17" s="83"/>
      <c r="I17" s="6"/>
      <c r="J17" s="83"/>
      <c r="K17" s="83"/>
      <c r="L17" s="6"/>
      <c r="M17" s="104"/>
      <c r="O17" s="72"/>
      <c r="P17" s="100" t="s">
        <v>63</v>
      </c>
      <c r="Q17" s="100"/>
      <c r="R17" s="100"/>
      <c r="S17" s="100" t="s">
        <v>81</v>
      </c>
      <c r="T17" s="100"/>
      <c r="U17" s="117"/>
      <c r="V17" s="117"/>
      <c r="W17" s="6"/>
      <c r="X17" s="103"/>
    </row>
    <row r="18" spans="2:24" ht="15.75">
      <c r="B18" s="72"/>
      <c r="C18" s="6"/>
      <c r="D18" s="6"/>
      <c r="E18" s="6"/>
      <c r="F18" s="6"/>
      <c r="G18" s="6"/>
      <c r="H18" s="83"/>
      <c r="I18" s="6"/>
      <c r="J18" s="83"/>
      <c r="K18" s="83"/>
      <c r="L18" s="6"/>
      <c r="M18" s="104"/>
      <c r="O18" s="70"/>
      <c r="P18" s="100"/>
      <c r="Q18" s="100"/>
      <c r="R18" s="100"/>
      <c r="S18" s="100"/>
      <c r="T18" s="100"/>
      <c r="U18" s="117"/>
      <c r="V18" s="117"/>
      <c r="W18" s="6"/>
      <c r="X18" s="103"/>
    </row>
    <row r="19" spans="2:24" ht="15.75">
      <c r="B19" s="72"/>
      <c r="C19" s="6"/>
      <c r="D19" s="6"/>
      <c r="E19" s="6"/>
      <c r="F19" s="6"/>
      <c r="G19" s="6"/>
      <c r="H19" s="83"/>
      <c r="I19" s="6"/>
      <c r="J19" s="83"/>
      <c r="K19" s="83"/>
      <c r="L19" s="6"/>
      <c r="M19" s="104"/>
      <c r="O19" s="105"/>
      <c r="P19" s="100"/>
      <c r="Q19" s="100"/>
      <c r="R19" s="100"/>
      <c r="S19" s="100"/>
      <c r="T19" s="100"/>
      <c r="U19" s="117"/>
      <c r="V19" s="117"/>
      <c r="W19" s="6"/>
      <c r="X19" s="103"/>
    </row>
    <row r="20" spans="2:24" ht="15.75">
      <c r="B20" s="72"/>
      <c r="C20" s="6"/>
      <c r="D20" s="6"/>
      <c r="E20" s="6"/>
      <c r="F20" s="6"/>
      <c r="G20" s="6"/>
      <c r="H20" s="83"/>
      <c r="I20" s="6"/>
      <c r="J20" s="83"/>
      <c r="K20" s="83"/>
      <c r="L20" s="6"/>
      <c r="M20" s="104"/>
      <c r="O20" s="105"/>
      <c r="P20" s="100"/>
      <c r="Q20" s="100"/>
      <c r="R20" s="100"/>
      <c r="S20" s="100"/>
      <c r="T20" s="100"/>
      <c r="U20" s="117"/>
      <c r="V20" s="117"/>
      <c r="W20" s="6"/>
      <c r="X20" s="103"/>
    </row>
    <row r="21" spans="2:24">
      <c r="B21" s="87"/>
      <c r="C21" s="173" t="s">
        <v>82</v>
      </c>
      <c r="D21" s="173"/>
      <c r="E21" s="173"/>
      <c r="F21" s="173"/>
      <c r="G21" s="173"/>
      <c r="H21" s="173"/>
      <c r="I21" s="106">
        <f>COUNT(B8:B20)</f>
        <v>2</v>
      </c>
      <c r="J21" s="107"/>
      <c r="K21" s="107"/>
      <c r="L21" s="94"/>
      <c r="M21" s="108"/>
      <c r="O21" s="109"/>
      <c r="P21" s="174" t="s">
        <v>83</v>
      </c>
      <c r="Q21" s="174"/>
      <c r="R21" s="174"/>
      <c r="S21" s="174"/>
      <c r="T21" s="121">
        <f>COUNT(O8:O20)</f>
        <v>3</v>
      </c>
      <c r="U21" s="122"/>
      <c r="V21" s="122"/>
      <c r="W21" s="123"/>
      <c r="X21" s="124"/>
    </row>
    <row r="22" spans="2:24">
      <c r="C22" s="88"/>
      <c r="D22" s="88"/>
      <c r="E22" s="88"/>
      <c r="F22" s="88"/>
      <c r="G22" s="88"/>
      <c r="H22" s="89"/>
      <c r="J22" s="76"/>
      <c r="K22" s="76"/>
      <c r="S22" s="77"/>
      <c r="T22" s="77"/>
      <c r="U22" s="78"/>
      <c r="V22" s="78"/>
      <c r="W22" s="77"/>
      <c r="X22" s="77"/>
    </row>
    <row r="23" spans="2:24">
      <c r="J23" s="76"/>
      <c r="K23" s="76"/>
      <c r="S23" s="77"/>
      <c r="T23" s="77"/>
      <c r="U23" s="78"/>
      <c r="V23" s="78"/>
      <c r="W23" s="77"/>
      <c r="X23" s="77"/>
    </row>
    <row r="24" spans="2:24">
      <c r="B24" s="80"/>
      <c r="C24" s="90"/>
      <c r="D24" s="90"/>
      <c r="E24" s="90"/>
      <c r="F24" s="90"/>
      <c r="G24" s="175" t="s">
        <v>84</v>
      </c>
      <c r="H24" s="175"/>
      <c r="I24" s="81"/>
      <c r="J24" s="110"/>
      <c r="K24" s="110"/>
      <c r="L24" s="81"/>
      <c r="M24" s="95"/>
      <c r="O24" s="96"/>
      <c r="P24" s="97"/>
      <c r="Q24" s="97"/>
      <c r="R24" s="97"/>
      <c r="S24" s="114" t="s">
        <v>29</v>
      </c>
      <c r="T24" s="97"/>
      <c r="U24" s="115"/>
      <c r="V24" s="115"/>
      <c r="W24" s="97"/>
      <c r="X24" s="116"/>
    </row>
    <row r="25" spans="2:24">
      <c r="B25" s="91"/>
      <c r="C25" s="92"/>
      <c r="D25" s="92"/>
      <c r="E25" s="92"/>
      <c r="F25" s="92"/>
      <c r="G25" s="93"/>
      <c r="H25" s="93"/>
      <c r="I25" s="93"/>
      <c r="J25" s="111"/>
      <c r="K25" s="111"/>
      <c r="L25" s="93"/>
      <c r="M25" s="112"/>
      <c r="O25" s="99"/>
      <c r="P25" s="100"/>
      <c r="Q25" s="100"/>
      <c r="R25" s="100"/>
      <c r="S25" s="100"/>
      <c r="T25" s="100"/>
      <c r="U25" s="117"/>
      <c r="V25" s="117"/>
      <c r="W25" s="100"/>
      <c r="X25" s="118"/>
    </row>
    <row r="26" spans="2:24" ht="15.75">
      <c r="B26" s="84" t="s">
        <v>64</v>
      </c>
      <c r="C26" s="85" t="s">
        <v>65</v>
      </c>
      <c r="D26" s="85" t="s">
        <v>66</v>
      </c>
      <c r="E26" s="85" t="s">
        <v>67</v>
      </c>
      <c r="F26" s="85" t="s">
        <v>68</v>
      </c>
      <c r="G26" s="85" t="s">
        <v>69</v>
      </c>
      <c r="H26" s="86" t="s">
        <v>70</v>
      </c>
      <c r="I26" s="85" t="s">
        <v>71</v>
      </c>
      <c r="J26" s="85" t="s">
        <v>72</v>
      </c>
      <c r="K26" s="85" t="s">
        <v>73</v>
      </c>
      <c r="L26" s="85" t="s">
        <v>54</v>
      </c>
      <c r="M26" s="33" t="s">
        <v>74</v>
      </c>
      <c r="O26" s="101" t="s">
        <v>64</v>
      </c>
      <c r="P26" s="102" t="s">
        <v>65</v>
      </c>
      <c r="Q26" s="102" t="s">
        <v>75</v>
      </c>
      <c r="R26" s="102" t="s">
        <v>11</v>
      </c>
      <c r="S26" s="102" t="s">
        <v>76</v>
      </c>
      <c r="T26" s="102" t="s">
        <v>77</v>
      </c>
      <c r="U26" s="119" t="s">
        <v>78</v>
      </c>
      <c r="V26" s="119" t="s">
        <v>79</v>
      </c>
      <c r="W26" s="102" t="s">
        <v>54</v>
      </c>
      <c r="X26" s="120" t="s">
        <v>74</v>
      </c>
    </row>
    <row r="27" spans="2:24" ht="15.75">
      <c r="B27" s="72">
        <v>45052.525000000001</v>
      </c>
      <c r="C27" s="6" t="s">
        <v>85</v>
      </c>
      <c r="D27" s="6" t="s">
        <v>39</v>
      </c>
      <c r="E27" s="6">
        <v>0</v>
      </c>
      <c r="F27" s="6">
        <v>500</v>
      </c>
      <c r="G27" s="6">
        <v>0</v>
      </c>
      <c r="H27" s="83">
        <v>500</v>
      </c>
      <c r="I27" s="6">
        <v>0</v>
      </c>
      <c r="J27" s="83">
        <f>F27/H27</f>
        <v>1</v>
      </c>
      <c r="K27" s="83">
        <f>(H27-F27)*100/F27</f>
        <v>0</v>
      </c>
      <c r="L27" s="6" t="s">
        <v>80</v>
      </c>
      <c r="M27" s="103" t="s">
        <v>56</v>
      </c>
      <c r="O27" s="72">
        <v>45052.508333333331</v>
      </c>
      <c r="P27" s="100" t="s">
        <v>29</v>
      </c>
      <c r="Q27" s="100">
        <v>4550.8900000000003</v>
      </c>
      <c r="R27" s="100">
        <v>3540.58</v>
      </c>
      <c r="S27" s="100" t="s">
        <v>86</v>
      </c>
      <c r="T27" s="100">
        <v>791.29</v>
      </c>
      <c r="U27" s="117">
        <v>0.93540000000000001</v>
      </c>
      <c r="V27" s="117">
        <v>0.93269999999999997</v>
      </c>
      <c r="W27" s="6" t="s">
        <v>80</v>
      </c>
      <c r="X27" s="103" t="s">
        <v>56</v>
      </c>
    </row>
    <row r="28" spans="2:24" ht="15.75">
      <c r="B28" s="72">
        <v>45059.541666666664</v>
      </c>
      <c r="C28" s="6" t="s">
        <v>85</v>
      </c>
      <c r="D28" s="6" t="s">
        <v>39</v>
      </c>
      <c r="E28" s="6">
        <v>0</v>
      </c>
      <c r="F28" s="6">
        <v>200</v>
      </c>
      <c r="G28" s="6"/>
      <c r="H28" s="83">
        <v>201.14</v>
      </c>
      <c r="I28" s="6">
        <v>0</v>
      </c>
      <c r="J28" s="83">
        <f t="shared" ref="J28:J33" si="2">F28/H28</f>
        <v>0.99433230585661736</v>
      </c>
      <c r="K28" s="83">
        <f t="shared" ref="K28:K33" si="3">(H28-F28)*100/F28</f>
        <v>0.56999999999999318</v>
      </c>
      <c r="L28" s="6" t="s">
        <v>80</v>
      </c>
      <c r="M28" s="103" t="s">
        <v>1102</v>
      </c>
      <c r="O28" s="72">
        <v>45059.450694444444</v>
      </c>
      <c r="P28" s="100" t="s">
        <v>29</v>
      </c>
      <c r="Q28" s="100">
        <v>4549.72</v>
      </c>
      <c r="R28" s="100">
        <v>3536.06</v>
      </c>
      <c r="S28" s="100" t="s">
        <v>86</v>
      </c>
      <c r="T28" s="100">
        <v>798.21</v>
      </c>
      <c r="U28" s="117">
        <v>0.93269999999999997</v>
      </c>
      <c r="V28" s="117">
        <v>0.92190000000000005</v>
      </c>
      <c r="W28" s="6" t="s">
        <v>80</v>
      </c>
      <c r="X28" s="103" t="s">
        <v>1102</v>
      </c>
    </row>
    <row r="29" spans="2:24" ht="15.75">
      <c r="B29" s="72"/>
      <c r="C29" s="6" t="s">
        <v>85</v>
      </c>
      <c r="D29" s="6" t="s">
        <v>39</v>
      </c>
      <c r="E29" s="6">
        <v>0</v>
      </c>
      <c r="F29" s="6">
        <v>200</v>
      </c>
      <c r="G29" s="6"/>
      <c r="H29" s="83"/>
      <c r="I29" s="6">
        <v>0</v>
      </c>
      <c r="J29" s="83" t="e">
        <f t="shared" si="2"/>
        <v>#DIV/0!</v>
      </c>
      <c r="K29" s="83">
        <f t="shared" si="3"/>
        <v>-100</v>
      </c>
      <c r="L29" s="6" t="s">
        <v>80</v>
      </c>
      <c r="M29" s="103" t="s">
        <v>56</v>
      </c>
      <c r="O29" s="72">
        <v>45069.556944444441</v>
      </c>
      <c r="P29" s="100" t="s">
        <v>29</v>
      </c>
      <c r="Q29" s="100">
        <v>4289.42</v>
      </c>
      <c r="R29" s="100">
        <v>3339.98</v>
      </c>
      <c r="S29" s="100" t="s">
        <v>86</v>
      </c>
      <c r="T29" s="100">
        <v>775.56</v>
      </c>
      <c r="U29" s="117">
        <v>0.92190000000000005</v>
      </c>
      <c r="V29" s="117">
        <v>0.93789999999999996</v>
      </c>
      <c r="W29" s="6" t="s">
        <v>80</v>
      </c>
      <c r="X29" s="103" t="s">
        <v>56</v>
      </c>
    </row>
    <row r="30" spans="2:24" ht="15.75">
      <c r="B30" s="72"/>
      <c r="C30" s="6" t="s">
        <v>85</v>
      </c>
      <c r="D30" s="6" t="s">
        <v>39</v>
      </c>
      <c r="E30" s="6">
        <v>0</v>
      </c>
      <c r="F30" s="6">
        <v>200</v>
      </c>
      <c r="G30" s="6"/>
      <c r="H30" s="83"/>
      <c r="I30" s="6">
        <v>0</v>
      </c>
      <c r="J30" s="83" t="e">
        <f t="shared" si="2"/>
        <v>#DIV/0!</v>
      </c>
      <c r="K30" s="83">
        <f t="shared" si="3"/>
        <v>-100</v>
      </c>
      <c r="L30" s="6" t="s">
        <v>80</v>
      </c>
      <c r="M30" s="103" t="s">
        <v>56</v>
      </c>
      <c r="O30" s="72"/>
      <c r="P30" s="100" t="s">
        <v>29</v>
      </c>
      <c r="Q30" s="100"/>
      <c r="R30" s="100"/>
      <c r="S30" s="100" t="s">
        <v>86</v>
      </c>
      <c r="T30" s="100"/>
      <c r="U30" s="117"/>
      <c r="V30" s="117"/>
      <c r="W30" s="6" t="s">
        <v>80</v>
      </c>
      <c r="X30" s="103" t="s">
        <v>56</v>
      </c>
    </row>
    <row r="31" spans="2:24" ht="15.75">
      <c r="B31" s="72"/>
      <c r="C31" s="6" t="s">
        <v>85</v>
      </c>
      <c r="D31" s="6" t="s">
        <v>39</v>
      </c>
      <c r="E31" s="6">
        <v>0</v>
      </c>
      <c r="F31" s="6">
        <v>200</v>
      </c>
      <c r="G31" s="6"/>
      <c r="H31" s="83"/>
      <c r="I31" s="6">
        <v>0</v>
      </c>
      <c r="J31" s="83" t="e">
        <f t="shared" si="2"/>
        <v>#DIV/0!</v>
      </c>
      <c r="K31" s="83">
        <f t="shared" si="3"/>
        <v>-100</v>
      </c>
      <c r="L31" s="6" t="s">
        <v>80</v>
      </c>
      <c r="M31" s="103" t="s">
        <v>56</v>
      </c>
      <c r="O31" s="72"/>
      <c r="P31" s="100" t="s">
        <v>29</v>
      </c>
      <c r="Q31" s="100"/>
      <c r="R31" s="100"/>
      <c r="S31" s="100" t="s">
        <v>86</v>
      </c>
      <c r="T31" s="100"/>
      <c r="U31" s="117"/>
      <c r="V31" s="117"/>
      <c r="W31" s="6" t="s">
        <v>80</v>
      </c>
      <c r="X31" s="103" t="s">
        <v>56</v>
      </c>
    </row>
    <row r="32" spans="2:24" ht="15.75">
      <c r="B32" s="72"/>
      <c r="C32" s="6" t="s">
        <v>85</v>
      </c>
      <c r="D32" s="6" t="s">
        <v>39</v>
      </c>
      <c r="E32" s="6">
        <v>0</v>
      </c>
      <c r="F32" s="6">
        <v>200</v>
      </c>
      <c r="G32" s="6"/>
      <c r="H32" s="83"/>
      <c r="I32" s="6">
        <v>0</v>
      </c>
      <c r="J32" s="83" t="e">
        <f t="shared" si="2"/>
        <v>#DIV/0!</v>
      </c>
      <c r="K32" s="83">
        <f t="shared" si="3"/>
        <v>-100</v>
      </c>
      <c r="L32" s="6" t="s">
        <v>80</v>
      </c>
      <c r="M32" s="103" t="s">
        <v>56</v>
      </c>
      <c r="O32" s="72"/>
      <c r="P32" s="100" t="s">
        <v>29</v>
      </c>
      <c r="Q32" s="100"/>
      <c r="R32" s="100"/>
      <c r="S32" s="100" t="s">
        <v>86</v>
      </c>
      <c r="T32" s="100"/>
      <c r="U32" s="117"/>
      <c r="V32" s="117"/>
      <c r="W32" s="6" t="s">
        <v>80</v>
      </c>
      <c r="X32" s="103" t="s">
        <v>56</v>
      </c>
    </row>
    <row r="33" spans="2:24" ht="15.75">
      <c r="B33" s="72"/>
      <c r="C33" s="6" t="s">
        <v>85</v>
      </c>
      <c r="D33" s="6" t="s">
        <v>39</v>
      </c>
      <c r="E33" s="6">
        <v>0</v>
      </c>
      <c r="F33" s="6">
        <v>200</v>
      </c>
      <c r="G33" s="6"/>
      <c r="H33" s="83"/>
      <c r="I33" s="6">
        <v>0</v>
      </c>
      <c r="J33" s="83" t="e">
        <f t="shared" si="2"/>
        <v>#DIV/0!</v>
      </c>
      <c r="K33" s="83">
        <f t="shared" si="3"/>
        <v>-100</v>
      </c>
      <c r="L33" s="6" t="s">
        <v>80</v>
      </c>
      <c r="M33" s="103" t="s">
        <v>56</v>
      </c>
      <c r="O33" s="72"/>
      <c r="P33" s="100" t="s">
        <v>29</v>
      </c>
      <c r="Q33" s="100"/>
      <c r="R33" s="100"/>
      <c r="S33" s="100" t="s">
        <v>86</v>
      </c>
      <c r="T33" s="100"/>
      <c r="U33" s="117"/>
      <c r="V33" s="117"/>
      <c r="W33" s="6" t="s">
        <v>80</v>
      </c>
      <c r="X33" s="103" t="s">
        <v>56</v>
      </c>
    </row>
    <row r="34" spans="2:24" ht="15.75">
      <c r="B34" s="72"/>
      <c r="C34" s="6"/>
      <c r="D34" s="6"/>
      <c r="E34" s="6"/>
      <c r="F34" s="6"/>
      <c r="G34" s="6"/>
      <c r="H34" s="83"/>
      <c r="I34" s="6"/>
      <c r="J34" s="83"/>
      <c r="K34" s="83"/>
      <c r="L34" s="6"/>
      <c r="M34" s="104"/>
      <c r="O34" s="72"/>
      <c r="P34" s="100" t="s">
        <v>29</v>
      </c>
      <c r="Q34" s="100"/>
      <c r="R34" s="100"/>
      <c r="S34" s="100" t="s">
        <v>86</v>
      </c>
      <c r="T34" s="100"/>
      <c r="U34" s="117"/>
      <c r="V34" s="117"/>
      <c r="W34" s="6" t="s">
        <v>80</v>
      </c>
      <c r="X34" s="103"/>
    </row>
    <row r="35" spans="2:24" ht="15.75">
      <c r="B35" s="72"/>
      <c r="C35" s="6"/>
      <c r="D35" s="6"/>
      <c r="E35" s="6"/>
      <c r="F35" s="6"/>
      <c r="G35" s="6"/>
      <c r="H35" s="83"/>
      <c r="I35" s="6"/>
      <c r="J35" s="83"/>
      <c r="K35" s="83"/>
      <c r="L35" s="6"/>
      <c r="M35" s="104"/>
      <c r="O35" s="72"/>
      <c r="P35" s="100" t="s">
        <v>29</v>
      </c>
      <c r="Q35" s="100"/>
      <c r="R35" s="100"/>
      <c r="S35" s="100" t="s">
        <v>86</v>
      </c>
      <c r="T35" s="100"/>
      <c r="U35" s="117"/>
      <c r="V35" s="117"/>
      <c r="W35" s="6" t="s">
        <v>80</v>
      </c>
      <c r="X35" s="103"/>
    </row>
    <row r="36" spans="2:24" ht="15.75">
      <c r="B36" s="72"/>
      <c r="C36" s="6"/>
      <c r="D36" s="6"/>
      <c r="E36" s="6"/>
      <c r="F36" s="6"/>
      <c r="G36" s="6"/>
      <c r="H36" s="83"/>
      <c r="I36" s="6"/>
      <c r="J36" s="83"/>
      <c r="K36" s="83"/>
      <c r="L36" s="6"/>
      <c r="M36" s="104"/>
      <c r="O36" s="72"/>
      <c r="P36" s="100" t="s">
        <v>29</v>
      </c>
      <c r="Q36" s="100"/>
      <c r="R36" s="100"/>
      <c r="S36" s="100" t="s">
        <v>86</v>
      </c>
      <c r="T36" s="100"/>
      <c r="U36" s="117"/>
      <c r="V36" s="117"/>
      <c r="W36" s="6"/>
      <c r="X36" s="103"/>
    </row>
    <row r="37" spans="2:24" ht="15.75">
      <c r="B37" s="72"/>
      <c r="C37" s="6"/>
      <c r="D37" s="6"/>
      <c r="E37" s="6"/>
      <c r="F37" s="6"/>
      <c r="G37" s="6"/>
      <c r="H37" s="83"/>
      <c r="I37" s="6"/>
      <c r="J37" s="83"/>
      <c r="K37" s="83"/>
      <c r="L37" s="6"/>
      <c r="M37" s="104"/>
      <c r="O37" s="70"/>
      <c r="P37" s="100" t="s">
        <v>29</v>
      </c>
      <c r="Q37" s="100"/>
      <c r="R37" s="100"/>
      <c r="S37" s="100" t="s">
        <v>86</v>
      </c>
      <c r="T37" s="100"/>
      <c r="U37" s="117"/>
      <c r="V37" s="117"/>
      <c r="W37" s="6"/>
      <c r="X37" s="103"/>
    </row>
    <row r="38" spans="2:24" ht="15.75">
      <c r="B38" s="72"/>
      <c r="C38" s="6"/>
      <c r="D38" s="6"/>
      <c r="E38" s="6"/>
      <c r="F38" s="6"/>
      <c r="G38" s="6"/>
      <c r="H38" s="83"/>
      <c r="I38" s="6"/>
      <c r="J38" s="83"/>
      <c r="K38" s="83"/>
      <c r="L38" s="6"/>
      <c r="M38" s="104"/>
      <c r="O38" s="105"/>
      <c r="P38" s="100"/>
      <c r="Q38" s="100"/>
      <c r="R38" s="100"/>
      <c r="S38" s="100"/>
      <c r="T38" s="100"/>
      <c r="U38" s="117"/>
      <c r="V38" s="117"/>
      <c r="W38" s="6"/>
      <c r="X38" s="103"/>
    </row>
    <row r="39" spans="2:24" ht="15.75">
      <c r="B39" s="72"/>
      <c r="C39" s="6"/>
      <c r="D39" s="6"/>
      <c r="E39" s="6"/>
      <c r="F39" s="6"/>
      <c r="G39" s="6"/>
      <c r="H39" s="83"/>
      <c r="I39" s="6"/>
      <c r="J39" s="83"/>
      <c r="K39" s="83"/>
      <c r="L39" s="6"/>
      <c r="M39" s="104"/>
      <c r="O39" s="105"/>
      <c r="P39" s="100"/>
      <c r="Q39" s="100"/>
      <c r="R39" s="100"/>
      <c r="S39" s="100"/>
      <c r="T39" s="100"/>
      <c r="U39" s="117"/>
      <c r="V39" s="117"/>
      <c r="W39" s="6"/>
      <c r="X39" s="103"/>
    </row>
    <row r="40" spans="2:24" ht="15.75">
      <c r="B40" s="82"/>
      <c r="C40" s="6"/>
      <c r="D40" s="6"/>
      <c r="E40" s="6"/>
      <c r="F40" s="6"/>
      <c r="G40" s="6"/>
      <c r="H40" s="83"/>
      <c r="I40" s="6"/>
      <c r="J40" s="83"/>
      <c r="K40" s="83"/>
      <c r="L40" s="6"/>
      <c r="M40" s="104"/>
      <c r="O40" s="109"/>
      <c r="P40" s="174" t="s">
        <v>87</v>
      </c>
      <c r="Q40" s="174"/>
      <c r="R40" s="174"/>
      <c r="S40" s="174"/>
      <c r="T40" s="121">
        <f>COUNT(O27:O39)</f>
        <v>3</v>
      </c>
      <c r="U40" s="122"/>
      <c r="V40" s="122"/>
      <c r="W40" s="123"/>
      <c r="X40" s="124"/>
    </row>
    <row r="41" spans="2:24">
      <c r="B41" s="87"/>
      <c r="C41" s="94"/>
      <c r="D41" s="173" t="s">
        <v>88</v>
      </c>
      <c r="E41" s="173"/>
      <c r="F41" s="173"/>
      <c r="G41" s="173"/>
      <c r="H41" s="173"/>
      <c r="I41" s="173"/>
      <c r="J41" s="113">
        <f>COUNT(B27:B39)</f>
        <v>2</v>
      </c>
      <c r="K41" s="107"/>
      <c r="L41" s="94"/>
      <c r="M41" s="108"/>
      <c r="S41" s="77"/>
      <c r="T41" s="77"/>
      <c r="U41" s="78"/>
      <c r="V41" s="78"/>
      <c r="W41" s="77"/>
      <c r="X41" s="77"/>
    </row>
    <row r="44" spans="2:24">
      <c r="B44" s="80"/>
      <c r="C44" s="90"/>
      <c r="D44" s="90"/>
      <c r="E44" s="90"/>
      <c r="F44" s="90"/>
      <c r="G44" s="175" t="s">
        <v>38</v>
      </c>
      <c r="H44" s="175"/>
      <c r="I44" s="81"/>
      <c r="J44" s="110"/>
      <c r="K44" s="110"/>
      <c r="L44" s="81"/>
      <c r="M44" s="95"/>
    </row>
    <row r="45" spans="2:24">
      <c r="B45" s="82"/>
      <c r="C45" s="6"/>
      <c r="D45" s="6"/>
      <c r="E45" s="6"/>
      <c r="F45" s="6"/>
      <c r="G45" s="6"/>
      <c r="H45" s="83"/>
      <c r="I45" s="6"/>
      <c r="J45" s="83"/>
      <c r="K45" s="83"/>
      <c r="L45" s="6"/>
      <c r="M45" s="98"/>
    </row>
    <row r="46" spans="2:24" ht="15.75">
      <c r="B46" s="84" t="s">
        <v>64</v>
      </c>
      <c r="C46" s="85" t="s">
        <v>65</v>
      </c>
      <c r="D46" s="85" t="s">
        <v>66</v>
      </c>
      <c r="E46" s="85" t="s">
        <v>67</v>
      </c>
      <c r="F46" s="85" t="s">
        <v>68</v>
      </c>
      <c r="G46" s="85" t="s">
        <v>69</v>
      </c>
      <c r="H46" s="86" t="s">
        <v>70</v>
      </c>
      <c r="I46" s="85" t="s">
        <v>71</v>
      </c>
      <c r="J46" s="85" t="s">
        <v>72</v>
      </c>
      <c r="K46" s="85" t="s">
        <v>73</v>
      </c>
      <c r="L46" s="85" t="s">
        <v>54</v>
      </c>
      <c r="M46" s="33" t="s">
        <v>74</v>
      </c>
    </row>
    <row r="47" spans="2:24" ht="15.75">
      <c r="B47" s="7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83"/>
      <c r="I47" s="6">
        <v>0</v>
      </c>
      <c r="J47" s="83" t="e">
        <f>F47/H47</f>
        <v>#DIV/0!</v>
      </c>
      <c r="K47" s="83">
        <f>(H47-F47)*100/F47</f>
        <v>-100</v>
      </c>
      <c r="L47" s="6" t="s">
        <v>80</v>
      </c>
      <c r="M47" s="103" t="s">
        <v>56</v>
      </c>
    </row>
    <row r="48" spans="2:24" ht="15.75">
      <c r="B48" s="7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83"/>
      <c r="I48" s="6">
        <v>0</v>
      </c>
      <c r="J48" s="83" t="e">
        <f>F48/H48</f>
        <v>#DIV/0!</v>
      </c>
      <c r="K48" s="83">
        <f>(H48-F48)*100/F48</f>
        <v>-100</v>
      </c>
      <c r="L48" s="6" t="s">
        <v>80</v>
      </c>
      <c r="M48" s="103" t="s">
        <v>56</v>
      </c>
    </row>
    <row r="49" spans="2:13" ht="15.75">
      <c r="B49" s="7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83"/>
      <c r="I49" s="6">
        <v>0</v>
      </c>
      <c r="J49" s="83" t="e">
        <f>F49/H49</f>
        <v>#DIV/0!</v>
      </c>
      <c r="K49" s="83">
        <f>(H49-F49)*100/F49</f>
        <v>-100</v>
      </c>
      <c r="L49" s="6" t="s">
        <v>80</v>
      </c>
      <c r="M49" s="103" t="s">
        <v>56</v>
      </c>
    </row>
    <row r="50" spans="2:13" ht="15.75">
      <c r="B50" s="7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83"/>
      <c r="I50" s="6">
        <v>0</v>
      </c>
      <c r="J50" s="83" t="e">
        <f>F50/H50</f>
        <v>#DIV/0!</v>
      </c>
      <c r="K50" s="83">
        <f>(H50-F50)*100/F50</f>
        <v>-100</v>
      </c>
      <c r="L50" s="6" t="s">
        <v>80</v>
      </c>
      <c r="M50" s="103" t="s">
        <v>56</v>
      </c>
    </row>
    <row r="51" spans="2:13" ht="15.75">
      <c r="B51" s="7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83"/>
      <c r="I51" s="6">
        <v>0</v>
      </c>
      <c r="J51" s="83" t="e">
        <f>F51/H51</f>
        <v>#DIV/0!</v>
      </c>
      <c r="K51" s="83">
        <f>(H51-F51)*100/F51</f>
        <v>-100</v>
      </c>
      <c r="L51" s="6" t="s">
        <v>80</v>
      </c>
      <c r="M51" s="103" t="s">
        <v>56</v>
      </c>
    </row>
    <row r="52" spans="2:13" ht="15.75">
      <c r="B52" s="72"/>
      <c r="C52" s="6"/>
      <c r="D52" s="6"/>
      <c r="E52" s="6"/>
      <c r="F52" s="6"/>
      <c r="G52" s="6"/>
      <c r="H52" s="83"/>
      <c r="I52" s="6"/>
      <c r="J52" s="83"/>
      <c r="K52" s="83"/>
      <c r="L52" s="6"/>
      <c r="M52" s="103" t="s">
        <v>56</v>
      </c>
    </row>
    <row r="53" spans="2:13" ht="15.75">
      <c r="B53" s="72"/>
      <c r="C53" s="6"/>
      <c r="D53" s="6"/>
      <c r="E53" s="6"/>
      <c r="F53" s="6"/>
      <c r="G53" s="6"/>
      <c r="H53" s="83"/>
      <c r="I53" s="6"/>
      <c r="J53" s="83"/>
      <c r="K53" s="83"/>
      <c r="L53" s="6"/>
      <c r="M53" s="103" t="s">
        <v>56</v>
      </c>
    </row>
    <row r="54" spans="2:13" ht="15.75">
      <c r="B54" s="72"/>
      <c r="C54" s="6"/>
      <c r="D54" s="6"/>
      <c r="E54" s="6"/>
      <c r="F54" s="6"/>
      <c r="G54" s="6"/>
      <c r="H54" s="83"/>
      <c r="I54" s="6"/>
      <c r="J54" s="83"/>
      <c r="K54" s="83"/>
      <c r="L54" s="6"/>
      <c r="M54" s="104"/>
    </row>
    <row r="55" spans="2:13" ht="15.75">
      <c r="B55" s="72"/>
      <c r="C55" s="6"/>
      <c r="D55" s="6"/>
      <c r="E55" s="6"/>
      <c r="F55" s="6"/>
      <c r="G55" s="6"/>
      <c r="H55" s="83"/>
      <c r="I55" s="6"/>
      <c r="J55" s="83"/>
      <c r="K55" s="83"/>
      <c r="L55" s="6"/>
      <c r="M55" s="104"/>
    </row>
    <row r="56" spans="2:13" ht="15.75">
      <c r="B56" s="72"/>
      <c r="C56" s="6"/>
      <c r="D56" s="6"/>
      <c r="E56" s="6"/>
      <c r="F56" s="6"/>
      <c r="G56" s="6"/>
      <c r="H56" s="83"/>
      <c r="I56" s="6"/>
      <c r="J56" s="83"/>
      <c r="K56" s="83"/>
      <c r="L56" s="6"/>
      <c r="M56" s="104"/>
    </row>
    <row r="57" spans="2:13" ht="15.75">
      <c r="B57" s="72"/>
      <c r="C57" s="6"/>
      <c r="D57" s="6"/>
      <c r="E57" s="6"/>
      <c r="F57" s="6"/>
      <c r="G57" s="6"/>
      <c r="H57" s="83"/>
      <c r="I57" s="6"/>
      <c r="J57" s="83"/>
      <c r="K57" s="83"/>
      <c r="L57" s="6"/>
      <c r="M57" s="104"/>
    </row>
    <row r="58" spans="2:13" ht="15.75">
      <c r="B58" s="72"/>
      <c r="C58" s="6"/>
      <c r="D58" s="6"/>
      <c r="E58" s="6"/>
      <c r="F58" s="6"/>
      <c r="G58" s="6"/>
      <c r="H58" s="83"/>
      <c r="I58" s="6"/>
      <c r="J58" s="83"/>
      <c r="K58" s="83"/>
      <c r="L58" s="6"/>
      <c r="M58" s="104"/>
    </row>
    <row r="59" spans="2:13" ht="15.75">
      <c r="B59" s="72"/>
      <c r="C59" s="6"/>
      <c r="D59" s="6"/>
      <c r="E59" s="6"/>
      <c r="F59" s="6"/>
      <c r="G59" s="6"/>
      <c r="H59" s="83"/>
      <c r="I59" s="6"/>
      <c r="J59" s="83"/>
      <c r="K59" s="83"/>
      <c r="L59" s="6"/>
      <c r="M59" s="104"/>
    </row>
    <row r="60" spans="2:13" ht="15.75">
      <c r="B60" s="82"/>
      <c r="C60" s="6"/>
      <c r="D60" s="6"/>
      <c r="E60" s="6"/>
      <c r="F60" s="6"/>
      <c r="G60" s="6"/>
      <c r="H60" s="83"/>
      <c r="I60" s="6"/>
      <c r="J60" s="83"/>
      <c r="K60" s="83"/>
      <c r="L60" s="6"/>
      <c r="M60" s="104"/>
    </row>
    <row r="61" spans="2:13">
      <c r="B61" s="87"/>
      <c r="C61" s="94"/>
      <c r="D61" s="173" t="s">
        <v>89</v>
      </c>
      <c r="E61" s="173"/>
      <c r="F61" s="173"/>
      <c r="G61" s="173"/>
      <c r="H61" s="173"/>
      <c r="I61" s="173"/>
      <c r="J61" s="113">
        <f>COUNT(B47:B59)</f>
        <v>0</v>
      </c>
      <c r="K61" s="107"/>
      <c r="L61" s="94"/>
      <c r="M61" s="108"/>
    </row>
    <row r="64" spans="2:13">
      <c r="B64" s="80"/>
      <c r="C64" s="90"/>
      <c r="D64" s="90"/>
      <c r="E64" s="90"/>
      <c r="F64" s="90"/>
      <c r="G64" s="175" t="s">
        <v>37</v>
      </c>
      <c r="H64" s="175"/>
      <c r="I64" s="81"/>
      <c r="J64" s="110"/>
      <c r="K64" s="110"/>
      <c r="L64" s="81"/>
      <c r="M64" s="95"/>
    </row>
    <row r="65" spans="2:13">
      <c r="B65" s="82"/>
      <c r="C65" s="6"/>
      <c r="D65" s="6"/>
      <c r="E65" s="6"/>
      <c r="F65" s="6"/>
      <c r="G65" s="6"/>
      <c r="H65" s="83"/>
      <c r="I65" s="6"/>
      <c r="J65" s="83"/>
      <c r="K65" s="83"/>
      <c r="L65" s="6"/>
      <c r="M65" s="98"/>
    </row>
    <row r="66" spans="2:13" ht="15.75">
      <c r="B66" s="84" t="s">
        <v>64</v>
      </c>
      <c r="C66" s="85" t="s">
        <v>65</v>
      </c>
      <c r="D66" s="85" t="s">
        <v>66</v>
      </c>
      <c r="E66" s="85" t="s">
        <v>67</v>
      </c>
      <c r="F66" s="85" t="s">
        <v>68</v>
      </c>
      <c r="G66" s="85" t="s">
        <v>69</v>
      </c>
      <c r="H66" s="86" t="s">
        <v>70</v>
      </c>
      <c r="I66" s="85" t="s">
        <v>71</v>
      </c>
      <c r="J66" s="85" t="s">
        <v>72</v>
      </c>
      <c r="K66" s="85" t="s">
        <v>73</v>
      </c>
      <c r="L66" s="85" t="s">
        <v>54</v>
      </c>
      <c r="M66" s="33" t="s">
        <v>74</v>
      </c>
    </row>
    <row r="67" spans="2:13" ht="15.75">
      <c r="B67" s="72">
        <v>45052.499305555553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25">
        <v>5.04</v>
      </c>
      <c r="I67" s="6">
        <v>0</v>
      </c>
      <c r="J67" s="83">
        <f>F67/H67</f>
        <v>0.99206349206349209</v>
      </c>
      <c r="K67" s="83">
        <f>(H67-F67)*100/F67</f>
        <v>0.80000000000000071</v>
      </c>
      <c r="L67" s="6" t="s">
        <v>80</v>
      </c>
      <c r="M67" s="103" t="s">
        <v>56</v>
      </c>
    </row>
    <row r="68" spans="2:13" ht="15.75">
      <c r="B68" s="72">
        <v>45055.557638888888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83">
        <v>5.01</v>
      </c>
      <c r="I68" s="6">
        <v>0</v>
      </c>
      <c r="J68" s="83">
        <f t="shared" ref="J68:J73" si="4">F68/H68</f>
        <v>0.99800399201596812</v>
      </c>
      <c r="K68" s="83">
        <f t="shared" ref="K68:K73" si="5">(H68-F68)*100/F68</f>
        <v>0.19999999999999574</v>
      </c>
      <c r="L68" s="6" t="s">
        <v>80</v>
      </c>
      <c r="M68" s="103" t="s">
        <v>56</v>
      </c>
    </row>
    <row r="69" spans="2:13" ht="15.75">
      <c r="B69" s="72">
        <v>45061.493055555555</v>
      </c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83">
        <v>5.0199999999999996</v>
      </c>
      <c r="I69" s="6">
        <v>0</v>
      </c>
      <c r="J69" s="83">
        <f t="shared" si="4"/>
        <v>0.99601593625498019</v>
      </c>
      <c r="K69" s="83">
        <f t="shared" si="5"/>
        <v>0.39999999999999147</v>
      </c>
      <c r="L69" s="6" t="s">
        <v>80</v>
      </c>
      <c r="M69" s="103" t="s">
        <v>35</v>
      </c>
    </row>
    <row r="70" spans="2:13" ht="15.75">
      <c r="B70" s="7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83"/>
      <c r="I70" s="6">
        <v>0</v>
      </c>
      <c r="J70" s="83" t="e">
        <f t="shared" si="4"/>
        <v>#DIV/0!</v>
      </c>
      <c r="K70" s="83">
        <f t="shared" si="5"/>
        <v>-100</v>
      </c>
      <c r="L70" s="6" t="s">
        <v>80</v>
      </c>
      <c r="M70" s="103" t="s">
        <v>56</v>
      </c>
    </row>
    <row r="71" spans="2:13" ht="15.75">
      <c r="B71" s="7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25"/>
      <c r="I71" s="6">
        <v>0</v>
      </c>
      <c r="J71" s="83" t="e">
        <f t="shared" si="4"/>
        <v>#DIV/0!</v>
      </c>
      <c r="K71" s="83">
        <f t="shared" si="5"/>
        <v>-100</v>
      </c>
      <c r="L71" s="6" t="s">
        <v>80</v>
      </c>
      <c r="M71" s="103" t="s">
        <v>56</v>
      </c>
    </row>
    <row r="72" spans="2:13" ht="15.75">
      <c r="B72" s="7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25"/>
      <c r="I72" s="6">
        <v>0</v>
      </c>
      <c r="J72" s="83" t="e">
        <f t="shared" si="4"/>
        <v>#DIV/0!</v>
      </c>
      <c r="K72" s="83">
        <f t="shared" si="5"/>
        <v>-100</v>
      </c>
      <c r="L72" s="6" t="s">
        <v>80</v>
      </c>
      <c r="M72" s="103" t="s">
        <v>56</v>
      </c>
    </row>
    <row r="73" spans="2:13" ht="15.75">
      <c r="B73" s="7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25"/>
      <c r="I73" s="6">
        <v>0</v>
      </c>
      <c r="J73" s="83" t="e">
        <f t="shared" si="4"/>
        <v>#DIV/0!</v>
      </c>
      <c r="K73" s="83">
        <f t="shared" si="5"/>
        <v>-100</v>
      </c>
      <c r="L73" s="6" t="s">
        <v>80</v>
      </c>
      <c r="M73" s="103" t="s">
        <v>56</v>
      </c>
    </row>
    <row r="74" spans="2:13" ht="15.75">
      <c r="B74" s="72"/>
      <c r="C74" s="6"/>
      <c r="D74" s="6"/>
      <c r="E74" s="6"/>
      <c r="F74" s="6"/>
      <c r="G74" s="6"/>
      <c r="H74" s="125"/>
      <c r="I74" s="6"/>
      <c r="J74" s="83"/>
      <c r="K74" s="83"/>
      <c r="L74" s="6"/>
      <c r="M74" s="104"/>
    </row>
    <row r="75" spans="2:13" ht="15.75">
      <c r="B75" s="72"/>
      <c r="C75" s="6"/>
      <c r="D75" s="6"/>
      <c r="E75" s="6"/>
      <c r="F75" s="6"/>
      <c r="G75" s="6"/>
      <c r="H75" s="125"/>
      <c r="I75" s="6"/>
      <c r="J75" s="83"/>
      <c r="K75" s="83"/>
      <c r="L75" s="6"/>
      <c r="M75" s="104"/>
    </row>
    <row r="76" spans="2:13" ht="15.75">
      <c r="B76" s="72"/>
      <c r="C76" s="6"/>
      <c r="D76" s="6"/>
      <c r="E76" s="6"/>
      <c r="F76" s="6"/>
      <c r="G76" s="6"/>
      <c r="H76" s="125"/>
      <c r="I76" s="6"/>
      <c r="J76" s="83"/>
      <c r="K76" s="83"/>
      <c r="L76" s="6"/>
      <c r="M76" s="104"/>
    </row>
    <row r="77" spans="2:13" ht="15.75">
      <c r="B77" s="72"/>
      <c r="C77" s="6"/>
      <c r="D77" s="6"/>
      <c r="E77" s="6"/>
      <c r="F77" s="6"/>
      <c r="G77" s="6"/>
      <c r="H77" s="125"/>
      <c r="I77" s="6"/>
      <c r="J77" s="83"/>
      <c r="K77" s="83"/>
      <c r="L77" s="6"/>
      <c r="M77" s="104"/>
    </row>
    <row r="78" spans="2:13" ht="15.75">
      <c r="B78" s="72"/>
      <c r="C78" s="6"/>
      <c r="D78" s="6"/>
      <c r="E78" s="6"/>
      <c r="F78" s="6"/>
      <c r="G78" s="6"/>
      <c r="H78" s="125"/>
      <c r="I78" s="6"/>
      <c r="J78" s="83"/>
      <c r="K78" s="83"/>
      <c r="L78" s="6"/>
      <c r="M78" s="104"/>
    </row>
    <row r="79" spans="2:13" ht="15.75">
      <c r="B79" s="72"/>
      <c r="C79" s="6"/>
      <c r="D79" s="6"/>
      <c r="E79" s="6"/>
      <c r="F79" s="6"/>
      <c r="G79" s="6"/>
      <c r="H79" s="125"/>
      <c r="I79" s="6"/>
      <c r="J79" s="83"/>
      <c r="K79" s="83"/>
      <c r="L79" s="6"/>
      <c r="M79" s="104"/>
    </row>
    <row r="80" spans="2:13" ht="15.75">
      <c r="B80" s="82"/>
      <c r="C80" s="6"/>
      <c r="D80" s="6"/>
      <c r="E80" s="6"/>
      <c r="F80" s="6"/>
      <c r="G80" s="6"/>
      <c r="H80" s="125"/>
      <c r="I80" s="6"/>
      <c r="J80" s="83"/>
      <c r="K80" s="83"/>
      <c r="L80" s="6"/>
      <c r="M80" s="104"/>
    </row>
    <row r="81" spans="2:13">
      <c r="B81" s="87"/>
      <c r="C81" s="94"/>
      <c r="D81" s="173" t="s">
        <v>90</v>
      </c>
      <c r="E81" s="173"/>
      <c r="F81" s="173"/>
      <c r="G81" s="173"/>
      <c r="H81" s="173"/>
      <c r="I81" s="173"/>
      <c r="J81" s="113">
        <f>COUNT(B67:B79)</f>
        <v>3</v>
      </c>
      <c r="K81" s="107"/>
      <c r="L81" s="94"/>
      <c r="M81" s="108"/>
    </row>
    <row r="84" spans="2:13">
      <c r="B84" s="80"/>
      <c r="C84" s="90"/>
      <c r="D84" s="90"/>
      <c r="E84" s="90"/>
      <c r="F84" s="90"/>
      <c r="G84" s="175" t="s">
        <v>91</v>
      </c>
      <c r="H84" s="175"/>
      <c r="I84" s="81"/>
      <c r="J84" s="110"/>
      <c r="K84" s="110"/>
      <c r="L84" s="81"/>
      <c r="M84" s="95"/>
    </row>
    <row r="85" spans="2:13">
      <c r="B85" s="82"/>
      <c r="C85" s="6"/>
      <c r="D85" s="6"/>
      <c r="E85" s="6"/>
      <c r="F85" s="6"/>
      <c r="G85" s="6"/>
      <c r="H85" s="83"/>
      <c r="I85" s="6"/>
      <c r="J85" s="83"/>
      <c r="K85" s="83"/>
      <c r="L85" s="6"/>
      <c r="M85" s="98"/>
    </row>
    <row r="86" spans="2:13" ht="15.75">
      <c r="B86" s="84" t="s">
        <v>64</v>
      </c>
      <c r="C86" s="85" t="s">
        <v>65</v>
      </c>
      <c r="D86" s="85" t="s">
        <v>66</v>
      </c>
      <c r="E86" s="85" t="s">
        <v>67</v>
      </c>
      <c r="F86" s="85" t="s">
        <v>68</v>
      </c>
      <c r="G86" s="85" t="s">
        <v>69</v>
      </c>
      <c r="H86" s="86" t="s">
        <v>70</v>
      </c>
      <c r="I86" s="85" t="s">
        <v>71</v>
      </c>
      <c r="J86" s="85" t="s">
        <v>72</v>
      </c>
      <c r="K86" s="85" t="s">
        <v>73</v>
      </c>
      <c r="L86" s="85" t="s">
        <v>54</v>
      </c>
      <c r="M86" s="33" t="s">
        <v>74</v>
      </c>
    </row>
    <row r="87" spans="2:13" ht="15.75">
      <c r="B87" s="72"/>
      <c r="C87" s="6" t="s">
        <v>91</v>
      </c>
      <c r="D87" s="6" t="s">
        <v>39</v>
      </c>
      <c r="E87" s="6">
        <v>0</v>
      </c>
      <c r="F87" s="6">
        <v>60</v>
      </c>
      <c r="G87" s="6">
        <v>0</v>
      </c>
      <c r="H87" s="83"/>
      <c r="I87" s="6">
        <v>0</v>
      </c>
      <c r="J87" s="83" t="e">
        <f t="shared" ref="J87:J92" si="6">F87/H87</f>
        <v>#DIV/0!</v>
      </c>
      <c r="K87" s="83">
        <f t="shared" ref="K87:K92" si="7">(H87-F87)*100/F87</f>
        <v>-100</v>
      </c>
      <c r="L87" s="6" t="s">
        <v>80</v>
      </c>
      <c r="M87" s="103" t="s">
        <v>56</v>
      </c>
    </row>
    <row r="88" spans="2:13" ht="15.75">
      <c r="B88" s="72"/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83"/>
      <c r="I88" s="6">
        <v>0</v>
      </c>
      <c r="J88" s="83" t="e">
        <f t="shared" si="6"/>
        <v>#DIV/0!</v>
      </c>
      <c r="K88" s="83">
        <f t="shared" si="7"/>
        <v>-100</v>
      </c>
      <c r="L88" s="6" t="s">
        <v>80</v>
      </c>
      <c r="M88" s="103" t="s">
        <v>56</v>
      </c>
    </row>
    <row r="89" spans="2:13" ht="15.75">
      <c r="B89" s="72"/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83"/>
      <c r="I89" s="6">
        <v>0</v>
      </c>
      <c r="J89" s="83" t="e">
        <f t="shared" si="6"/>
        <v>#DIV/0!</v>
      </c>
      <c r="K89" s="83">
        <f t="shared" si="7"/>
        <v>-100</v>
      </c>
      <c r="L89" s="6" t="s">
        <v>80</v>
      </c>
      <c r="M89" s="103" t="s">
        <v>56</v>
      </c>
    </row>
    <row r="90" spans="2:13" ht="15.75">
      <c r="B90" s="72"/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83"/>
      <c r="I90" s="6">
        <v>0</v>
      </c>
      <c r="J90" s="83" t="e">
        <f t="shared" si="6"/>
        <v>#DIV/0!</v>
      </c>
      <c r="K90" s="83">
        <f t="shared" si="7"/>
        <v>-100</v>
      </c>
      <c r="L90" s="6" t="s">
        <v>80</v>
      </c>
      <c r="M90" s="103" t="s">
        <v>56</v>
      </c>
    </row>
    <row r="91" spans="2:13" ht="15.75">
      <c r="B91" s="72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83"/>
      <c r="I91" s="6">
        <v>0</v>
      </c>
      <c r="J91" s="83" t="e">
        <f t="shared" si="6"/>
        <v>#DIV/0!</v>
      </c>
      <c r="K91" s="83">
        <f t="shared" si="7"/>
        <v>-100</v>
      </c>
      <c r="L91" s="6" t="s">
        <v>80</v>
      </c>
      <c r="M91" s="103" t="s">
        <v>56</v>
      </c>
    </row>
    <row r="92" spans="2:13" ht="15.75">
      <c r="B92" s="72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83"/>
      <c r="I92" s="6">
        <v>0</v>
      </c>
      <c r="J92" s="83" t="e">
        <f t="shared" si="6"/>
        <v>#DIV/0!</v>
      </c>
      <c r="K92" s="83">
        <f t="shared" si="7"/>
        <v>-100</v>
      </c>
      <c r="L92" s="6" t="s">
        <v>80</v>
      </c>
      <c r="M92" s="103" t="s">
        <v>56</v>
      </c>
    </row>
    <row r="93" spans="2:13" ht="15.75">
      <c r="B93" s="72"/>
      <c r="C93" s="6"/>
      <c r="D93" s="6"/>
      <c r="E93" s="6"/>
      <c r="F93" s="6"/>
      <c r="G93" s="6"/>
      <c r="H93" s="83"/>
      <c r="I93" s="6"/>
      <c r="J93" s="83"/>
      <c r="K93" s="83"/>
      <c r="L93" s="6"/>
      <c r="M93" s="103" t="s">
        <v>56</v>
      </c>
    </row>
    <row r="94" spans="2:13" ht="15.75">
      <c r="B94" s="72"/>
      <c r="C94" s="6"/>
      <c r="D94" s="6"/>
      <c r="E94" s="6"/>
      <c r="F94" s="6"/>
      <c r="G94" s="6"/>
      <c r="H94" s="83"/>
      <c r="I94" s="6"/>
      <c r="J94" s="83"/>
      <c r="K94" s="83"/>
      <c r="L94" s="6"/>
      <c r="M94" s="104"/>
    </row>
    <row r="95" spans="2:13" ht="15.75">
      <c r="B95" s="72"/>
      <c r="C95" s="6"/>
      <c r="D95" s="6"/>
      <c r="E95" s="6"/>
      <c r="F95" s="6"/>
      <c r="G95" s="6"/>
      <c r="H95" s="83"/>
      <c r="I95" s="6"/>
      <c r="J95" s="83"/>
      <c r="K95" s="83"/>
      <c r="L95" s="6"/>
      <c r="M95" s="104"/>
    </row>
    <row r="96" spans="2:13" ht="15.75">
      <c r="B96" s="72"/>
      <c r="C96" s="6"/>
      <c r="D96" s="6"/>
      <c r="E96" s="6"/>
      <c r="F96" s="6"/>
      <c r="G96" s="6"/>
      <c r="H96" s="83"/>
      <c r="I96" s="6"/>
      <c r="J96" s="83"/>
      <c r="K96" s="83"/>
      <c r="L96" s="6"/>
      <c r="M96" s="104"/>
    </row>
    <row r="97" spans="2:13" ht="15.75">
      <c r="B97" s="72"/>
      <c r="C97" s="6"/>
      <c r="D97" s="6"/>
      <c r="E97" s="6"/>
      <c r="F97" s="6"/>
      <c r="G97" s="6"/>
      <c r="H97" s="83"/>
      <c r="I97" s="6"/>
      <c r="J97" s="83"/>
      <c r="K97" s="83"/>
      <c r="L97" s="6"/>
      <c r="M97" s="104"/>
    </row>
    <row r="98" spans="2:13" ht="15.75">
      <c r="B98" s="72"/>
      <c r="C98" s="6"/>
      <c r="D98" s="6"/>
      <c r="E98" s="6"/>
      <c r="F98" s="6"/>
      <c r="G98" s="6"/>
      <c r="H98" s="83"/>
      <c r="I98" s="6"/>
      <c r="J98" s="83"/>
      <c r="K98" s="83"/>
      <c r="L98" s="6"/>
      <c r="M98" s="104"/>
    </row>
    <row r="99" spans="2:13" ht="15.75">
      <c r="B99" s="72"/>
      <c r="C99" s="6"/>
      <c r="D99" s="6"/>
      <c r="E99" s="6"/>
      <c r="F99" s="6"/>
      <c r="G99" s="6"/>
      <c r="H99" s="83"/>
      <c r="I99" s="6"/>
      <c r="J99" s="83"/>
      <c r="K99" s="83"/>
      <c r="L99" s="6"/>
      <c r="M99" s="104"/>
    </row>
    <row r="100" spans="2:13" ht="15.75">
      <c r="B100" s="82"/>
      <c r="C100" s="6"/>
      <c r="D100" s="6"/>
      <c r="E100" s="6"/>
      <c r="F100" s="6"/>
      <c r="G100" s="6"/>
      <c r="H100" s="83"/>
      <c r="I100" s="6"/>
      <c r="J100" s="83"/>
      <c r="K100" s="83"/>
      <c r="L100" s="6"/>
      <c r="M100" s="104"/>
    </row>
    <row r="101" spans="2:13">
      <c r="B101" s="87"/>
      <c r="C101" s="94"/>
      <c r="D101" s="173" t="s">
        <v>92</v>
      </c>
      <c r="E101" s="173"/>
      <c r="F101" s="173"/>
      <c r="G101" s="173"/>
      <c r="H101" s="173"/>
      <c r="I101" s="173"/>
      <c r="J101" s="113">
        <f>COUNT(B87:B99)</f>
        <v>0</v>
      </c>
      <c r="K101" s="107"/>
      <c r="L101" s="94"/>
      <c r="M101" s="108"/>
    </row>
    <row r="104" spans="2:13">
      <c r="B104" s="80"/>
      <c r="C104" s="81"/>
      <c r="D104" s="81"/>
      <c r="E104" s="81"/>
      <c r="F104" s="81"/>
      <c r="G104" s="172" t="s">
        <v>93</v>
      </c>
      <c r="H104" s="172"/>
      <c r="I104" s="81"/>
      <c r="J104" s="81"/>
      <c r="K104" s="81"/>
      <c r="L104" s="81"/>
      <c r="M104" s="95"/>
    </row>
    <row r="105" spans="2:13">
      <c r="B105" s="82"/>
      <c r="C105" s="6"/>
      <c r="D105" s="6"/>
      <c r="E105" s="6"/>
      <c r="F105" s="6"/>
      <c r="G105" s="6"/>
      <c r="H105" s="83"/>
      <c r="I105" s="6"/>
      <c r="J105" s="6"/>
      <c r="K105" s="6"/>
      <c r="L105" s="6"/>
      <c r="M105" s="98"/>
    </row>
    <row r="106" spans="2:13" ht="15.75">
      <c r="B106" s="126" t="s">
        <v>64</v>
      </c>
      <c r="C106" s="85" t="s">
        <v>65</v>
      </c>
      <c r="D106" s="85" t="s">
        <v>66</v>
      </c>
      <c r="E106" s="85" t="s">
        <v>67</v>
      </c>
      <c r="F106" s="85" t="s">
        <v>68</v>
      </c>
      <c r="G106" s="85" t="s">
        <v>69</v>
      </c>
      <c r="H106" s="86" t="s">
        <v>70</v>
      </c>
      <c r="I106" s="85" t="s">
        <v>71</v>
      </c>
      <c r="J106" s="85" t="s">
        <v>72</v>
      </c>
      <c r="K106" s="85" t="s">
        <v>73</v>
      </c>
      <c r="L106" s="85" t="s">
        <v>54</v>
      </c>
      <c r="M106" s="127" t="s">
        <v>74</v>
      </c>
    </row>
    <row r="107" spans="2:13" ht="15.75">
      <c r="B107" s="72">
        <v>45052.49722222222</v>
      </c>
      <c r="C107" s="6" t="s">
        <v>93</v>
      </c>
      <c r="D107" s="6" t="s">
        <v>39</v>
      </c>
      <c r="E107" s="6">
        <v>0</v>
      </c>
      <c r="F107" s="6">
        <v>320</v>
      </c>
      <c r="G107" s="6">
        <v>0</v>
      </c>
      <c r="H107" s="83">
        <v>320.39999999999998</v>
      </c>
      <c r="I107" s="6">
        <f>G107-E107</f>
        <v>0</v>
      </c>
      <c r="J107" s="83">
        <f>F107/H107</f>
        <v>0.99875156054931347</v>
      </c>
      <c r="K107" s="83">
        <f>(H107-F107)*100/F107</f>
        <v>0.12499999999999289</v>
      </c>
      <c r="L107" s="6" t="s">
        <v>80</v>
      </c>
      <c r="M107" s="103" t="s">
        <v>56</v>
      </c>
    </row>
    <row r="108" spans="2:13" ht="15.75">
      <c r="B108" s="72"/>
      <c r="C108" s="6" t="s">
        <v>93</v>
      </c>
      <c r="D108" s="6" t="s">
        <v>39</v>
      </c>
      <c r="E108" s="6">
        <v>0</v>
      </c>
      <c r="F108" s="6">
        <v>320</v>
      </c>
      <c r="G108" s="6">
        <v>0</v>
      </c>
      <c r="H108" s="83"/>
      <c r="I108" s="6">
        <f>G108-E108</f>
        <v>0</v>
      </c>
      <c r="J108" s="83" t="e">
        <f>F108/H108</f>
        <v>#DIV/0!</v>
      </c>
      <c r="K108" s="83">
        <f>(H108-F108)*100/F108</f>
        <v>-100</v>
      </c>
      <c r="L108" s="6" t="s">
        <v>80</v>
      </c>
      <c r="M108" s="103" t="s">
        <v>56</v>
      </c>
    </row>
    <row r="109" spans="2:13" ht="15.75">
      <c r="B109" s="72"/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83"/>
      <c r="I109" s="6">
        <f t="shared" ref="I109:I115" si="8">G109-E109</f>
        <v>0</v>
      </c>
      <c r="J109" s="83" t="e">
        <f t="shared" ref="J109:J115" si="9">F109/H109</f>
        <v>#DIV/0!</v>
      </c>
      <c r="K109" s="83">
        <f t="shared" ref="K109:K115" si="10">(H109-F109)*100/F109</f>
        <v>-100</v>
      </c>
      <c r="L109" s="6" t="s">
        <v>80</v>
      </c>
      <c r="M109" s="103" t="s">
        <v>56</v>
      </c>
    </row>
    <row r="110" spans="2:13" ht="15.75">
      <c r="B110" s="72"/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83"/>
      <c r="I110" s="6">
        <f t="shared" si="8"/>
        <v>0</v>
      </c>
      <c r="J110" s="83" t="e">
        <f t="shared" si="9"/>
        <v>#DIV/0!</v>
      </c>
      <c r="K110" s="83">
        <f t="shared" si="10"/>
        <v>-100</v>
      </c>
      <c r="L110" s="6" t="s">
        <v>80</v>
      </c>
      <c r="M110" s="103" t="s">
        <v>56</v>
      </c>
    </row>
    <row r="111" spans="2:13" ht="15.75">
      <c r="B111" s="72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83"/>
      <c r="I111" s="6">
        <f t="shared" si="8"/>
        <v>0</v>
      </c>
      <c r="J111" s="83" t="e">
        <f t="shared" si="9"/>
        <v>#DIV/0!</v>
      </c>
      <c r="K111" s="83">
        <f t="shared" si="10"/>
        <v>-100</v>
      </c>
      <c r="L111" s="6" t="s">
        <v>80</v>
      </c>
      <c r="M111" s="103" t="s">
        <v>56</v>
      </c>
    </row>
    <row r="112" spans="2:13" ht="15.75">
      <c r="B112" s="72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83"/>
      <c r="I112" s="6">
        <f t="shared" si="8"/>
        <v>0</v>
      </c>
      <c r="J112" s="83" t="e">
        <f t="shared" si="9"/>
        <v>#DIV/0!</v>
      </c>
      <c r="K112" s="83">
        <f t="shared" si="10"/>
        <v>-100</v>
      </c>
      <c r="L112" s="6" t="s">
        <v>80</v>
      </c>
      <c r="M112" s="103" t="s">
        <v>56</v>
      </c>
    </row>
    <row r="113" spans="2:13" ht="15.75">
      <c r="B113" s="72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83"/>
      <c r="I113" s="6">
        <f t="shared" si="8"/>
        <v>0</v>
      </c>
      <c r="J113" s="83" t="e">
        <f t="shared" si="9"/>
        <v>#DIV/0!</v>
      </c>
      <c r="K113" s="83">
        <f t="shared" si="10"/>
        <v>-100</v>
      </c>
      <c r="L113" s="6" t="s">
        <v>80</v>
      </c>
      <c r="M113" s="103" t="s">
        <v>56</v>
      </c>
    </row>
    <row r="114" spans="2:13" ht="15.75">
      <c r="B114" s="72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83"/>
      <c r="I114" s="6">
        <f t="shared" si="8"/>
        <v>0</v>
      </c>
      <c r="J114" s="83" t="e">
        <f t="shared" si="9"/>
        <v>#DIV/0!</v>
      </c>
      <c r="K114" s="83">
        <f t="shared" si="10"/>
        <v>-100</v>
      </c>
      <c r="L114" s="6" t="s">
        <v>80</v>
      </c>
      <c r="M114" s="104"/>
    </row>
    <row r="115" spans="2:13" ht="15.75">
      <c r="B115" s="72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83"/>
      <c r="I115" s="6">
        <f t="shared" si="8"/>
        <v>0</v>
      </c>
      <c r="J115" s="83" t="e">
        <f t="shared" si="9"/>
        <v>#DIV/0!</v>
      </c>
      <c r="K115" s="83">
        <f t="shared" si="10"/>
        <v>-100</v>
      </c>
      <c r="L115" s="6" t="s">
        <v>80</v>
      </c>
      <c r="M115" s="104"/>
    </row>
    <row r="116" spans="2:13" ht="15.75">
      <c r="B116" s="72"/>
      <c r="C116" s="6"/>
      <c r="D116" s="6"/>
      <c r="E116" s="6"/>
      <c r="F116" s="6"/>
      <c r="G116" s="6"/>
      <c r="H116" s="83"/>
      <c r="I116" s="6"/>
      <c r="J116" s="83"/>
      <c r="K116" s="83"/>
      <c r="L116" s="6"/>
      <c r="M116" s="104"/>
    </row>
    <row r="117" spans="2:13" ht="15.75">
      <c r="B117" s="72"/>
      <c r="C117" s="6"/>
      <c r="D117" s="6"/>
      <c r="E117" s="6"/>
      <c r="F117" s="6"/>
      <c r="G117" s="6"/>
      <c r="H117" s="83"/>
      <c r="I117" s="6"/>
      <c r="J117" s="83"/>
      <c r="K117" s="83"/>
      <c r="L117" s="6"/>
      <c r="M117" s="104"/>
    </row>
    <row r="118" spans="2:13" ht="15.75">
      <c r="B118" s="82"/>
      <c r="C118" s="6"/>
      <c r="D118" s="6"/>
      <c r="E118" s="6"/>
      <c r="F118" s="6"/>
      <c r="G118" s="6"/>
      <c r="H118" s="83"/>
      <c r="I118" s="6"/>
      <c r="J118" s="83"/>
      <c r="K118" s="83"/>
      <c r="L118" s="6"/>
      <c r="M118" s="104"/>
    </row>
    <row r="119" spans="2:13">
      <c r="B119" s="87"/>
      <c r="C119" s="173" t="s">
        <v>94</v>
      </c>
      <c r="D119" s="173"/>
      <c r="E119" s="173"/>
      <c r="F119" s="173"/>
      <c r="G119" s="173"/>
      <c r="H119" s="173"/>
      <c r="I119" s="113">
        <f>COUNT(B107:B118)</f>
        <v>1</v>
      </c>
      <c r="J119" s="107"/>
      <c r="K119" s="107"/>
      <c r="L119" s="94"/>
      <c r="M119" s="108"/>
    </row>
  </sheetData>
  <mergeCells count="16">
    <mergeCell ref="C119:H119"/>
    <mergeCell ref="G64:H64"/>
    <mergeCell ref="D81:I81"/>
    <mergeCell ref="G84:H84"/>
    <mergeCell ref="D101:I101"/>
    <mergeCell ref="G104:H104"/>
    <mergeCell ref="G24:H24"/>
    <mergeCell ref="P40:S40"/>
    <mergeCell ref="D41:I41"/>
    <mergeCell ref="G44:H44"/>
    <mergeCell ref="D61:I61"/>
    <mergeCell ref="D1:J1"/>
    <mergeCell ref="D2:J2"/>
    <mergeCell ref="G5:H5"/>
    <mergeCell ref="C21:H21"/>
    <mergeCell ref="P21:S21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56"/>
  <sheetViews>
    <sheetView workbookViewId="0">
      <selection activeCell="C15" sqref="C15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176" t="s">
        <v>95</v>
      </c>
      <c r="C2" s="176"/>
      <c r="D2" s="178" t="str">
        <f>'MONTHLY 31'!$B$2</f>
        <v>01/05/2023 00:15</v>
      </c>
      <c r="E2" s="178"/>
    </row>
    <row r="3" spans="2:5">
      <c r="B3" s="176" t="s">
        <v>96</v>
      </c>
      <c r="C3" s="176"/>
      <c r="D3" s="178"/>
      <c r="E3" s="178"/>
    </row>
    <row r="7" spans="2:5" s="2" customFormat="1">
      <c r="B7" s="68" t="s">
        <v>97</v>
      </c>
      <c r="C7" s="68" t="s">
        <v>98</v>
      </c>
      <c r="D7" s="69" t="s">
        <v>99</v>
      </c>
    </row>
    <row r="8" spans="2:5" s="2" customFormat="1">
      <c r="B8" s="100" t="s">
        <v>897</v>
      </c>
      <c r="C8" s="100" t="s">
        <v>900</v>
      </c>
      <c r="D8" s="71">
        <f t="shared" ref="D8:D13" si="0">C8-B8</f>
        <v>3.125E-2</v>
      </c>
    </row>
    <row r="9" spans="2:5" s="2" customFormat="1">
      <c r="B9" s="100" t="s">
        <v>937</v>
      </c>
      <c r="C9" s="70">
        <v>45054.322916666664</v>
      </c>
      <c r="D9" s="71">
        <f t="shared" si="0"/>
        <v>3.125E-2</v>
      </c>
    </row>
    <row r="10" spans="2:5" s="2" customFormat="1">
      <c r="B10" s="100" t="s">
        <v>1088</v>
      </c>
      <c r="C10" s="70">
        <v>45055.885416666664</v>
      </c>
      <c r="D10" s="71">
        <f t="shared" si="0"/>
        <v>2.0833333328482695E-2</v>
      </c>
    </row>
    <row r="11" spans="2:5" s="2" customFormat="1">
      <c r="B11" s="70">
        <v>45055.979166666664</v>
      </c>
      <c r="C11" s="70">
        <v>45056</v>
      </c>
      <c r="D11" s="71">
        <f t="shared" si="0"/>
        <v>2.0833333335758653E-2</v>
      </c>
    </row>
    <row r="12" spans="2:5">
      <c r="B12" s="72">
        <v>45055.9375</v>
      </c>
      <c r="C12" s="72">
        <v>45055.947916666664</v>
      </c>
      <c r="D12" s="71">
        <f t="shared" si="0"/>
        <v>1.0416666664241347E-2</v>
      </c>
    </row>
    <row r="13" spans="2:5">
      <c r="B13" s="72">
        <v>45056.010416666664</v>
      </c>
      <c r="C13" s="72">
        <v>45056.041666666664</v>
      </c>
      <c r="D13" s="71">
        <f t="shared" si="0"/>
        <v>3.125E-2</v>
      </c>
    </row>
    <row r="14" spans="2:5">
      <c r="B14" s="72">
        <v>45056.364583333336</v>
      </c>
      <c r="C14" s="72">
        <v>45056.4375</v>
      </c>
      <c r="D14" s="71">
        <f t="shared" ref="D14:D23" si="1">C14-B14</f>
        <v>7.2916666664241347E-2</v>
      </c>
    </row>
    <row r="15" spans="2:5">
      <c r="B15" s="72"/>
      <c r="C15" s="72"/>
      <c r="D15" s="71">
        <f t="shared" si="1"/>
        <v>0</v>
      </c>
    </row>
    <row r="16" spans="2:5">
      <c r="B16" s="72"/>
      <c r="C16" s="72"/>
      <c r="D16" s="71">
        <f t="shared" si="1"/>
        <v>0</v>
      </c>
    </row>
    <row r="17" spans="2:4">
      <c r="B17" s="72"/>
      <c r="C17" s="72"/>
      <c r="D17" s="71">
        <f t="shared" si="1"/>
        <v>0</v>
      </c>
    </row>
    <row r="18" spans="2:4">
      <c r="B18" s="72"/>
      <c r="C18" s="72"/>
      <c r="D18" s="71">
        <f t="shared" si="1"/>
        <v>0</v>
      </c>
    </row>
    <row r="19" spans="2:4">
      <c r="B19" s="72"/>
      <c r="C19" s="72"/>
      <c r="D19" s="71">
        <f t="shared" si="1"/>
        <v>0</v>
      </c>
    </row>
    <row r="20" spans="2:4">
      <c r="B20" s="72"/>
      <c r="C20" s="72"/>
      <c r="D20" s="71">
        <f t="shared" si="1"/>
        <v>0</v>
      </c>
    </row>
    <row r="21" spans="2:4">
      <c r="B21" s="72"/>
      <c r="C21" s="72"/>
      <c r="D21" s="71">
        <f t="shared" si="1"/>
        <v>0</v>
      </c>
    </row>
    <row r="22" spans="2:4">
      <c r="B22" s="72"/>
      <c r="C22" s="72"/>
      <c r="D22" s="71">
        <f t="shared" si="1"/>
        <v>0</v>
      </c>
    </row>
    <row r="23" spans="2:4">
      <c r="B23" s="72"/>
      <c r="C23" s="72"/>
      <c r="D23" s="71">
        <f t="shared" si="1"/>
        <v>0</v>
      </c>
    </row>
    <row r="24" spans="2:4">
      <c r="B24" s="73" t="s">
        <v>100</v>
      </c>
      <c r="C24" s="72"/>
      <c r="D24" s="71">
        <f>SUM(D7:D23)</f>
        <v>0.21874999999272404</v>
      </c>
    </row>
    <row r="25" spans="2:4">
      <c r="B25" s="74"/>
      <c r="C25" s="74"/>
      <c r="D25" s="75"/>
    </row>
    <row r="26" spans="2:4">
      <c r="B26" s="74"/>
      <c r="C26" s="74"/>
      <c r="D26" s="75"/>
    </row>
    <row r="27" spans="2:4">
      <c r="B27" s="74"/>
      <c r="C27" s="74"/>
      <c r="D27" s="75"/>
    </row>
    <row r="28" spans="2:4">
      <c r="B28" s="74"/>
      <c r="C28" s="74"/>
      <c r="D28" s="75"/>
    </row>
    <row r="29" spans="2:4">
      <c r="B29" s="74"/>
      <c r="C29" s="74"/>
      <c r="D29" s="75"/>
    </row>
    <row r="30" spans="2:4">
      <c r="B30" s="74"/>
      <c r="C30" s="74"/>
      <c r="D30" s="75"/>
    </row>
    <row r="31" spans="2:4">
      <c r="B31" s="74"/>
      <c r="C31" s="74"/>
      <c r="D31" s="75"/>
    </row>
    <row r="32" spans="2:4">
      <c r="B32" s="74"/>
      <c r="C32" s="74"/>
      <c r="D32" s="75"/>
    </row>
    <row r="33" spans="2:4">
      <c r="B33" s="74"/>
      <c r="C33" s="74"/>
      <c r="D33" s="75"/>
    </row>
    <row r="34" spans="2:4">
      <c r="B34" s="74"/>
      <c r="C34" s="74"/>
      <c r="D34" s="75"/>
    </row>
    <row r="35" spans="2:4">
      <c r="B35" s="74"/>
      <c r="C35" s="74"/>
      <c r="D35" s="75"/>
    </row>
    <row r="36" spans="2:4">
      <c r="B36" s="74"/>
      <c r="C36" s="74"/>
      <c r="D36" s="75"/>
    </row>
    <row r="37" spans="2:4">
      <c r="B37" s="74"/>
      <c r="C37" s="74"/>
      <c r="D37" s="75"/>
    </row>
    <row r="38" spans="2:4">
      <c r="B38" s="74"/>
      <c r="C38" s="74"/>
      <c r="D38" s="75"/>
    </row>
    <row r="39" spans="2:4">
      <c r="B39" s="74"/>
      <c r="C39" s="74"/>
      <c r="D39" s="75"/>
    </row>
    <row r="40" spans="2:4">
      <c r="B40" s="74"/>
      <c r="C40" s="74"/>
      <c r="D40" s="75"/>
    </row>
    <row r="41" spans="2:4">
      <c r="B41" s="74"/>
      <c r="C41" s="74"/>
      <c r="D41" s="75"/>
    </row>
    <row r="42" spans="2:4">
      <c r="B42" s="74"/>
      <c r="C42" s="74"/>
      <c r="D42" s="75"/>
    </row>
    <row r="43" spans="2:4">
      <c r="B43" s="74"/>
      <c r="C43" s="74"/>
      <c r="D43" s="75"/>
    </row>
    <row r="44" spans="2:4" ht="15.75">
      <c r="B44" s="177" t="s">
        <v>100</v>
      </c>
      <c r="C44" s="177"/>
      <c r="D44" s="75">
        <f>SUM(D11:D42)</f>
        <v>0.35416666665696539</v>
      </c>
    </row>
    <row r="45" spans="2:4">
      <c r="B45" s="74"/>
      <c r="C45" s="74"/>
      <c r="D45" s="75"/>
    </row>
    <row r="46" spans="2:4">
      <c r="B46" s="74"/>
      <c r="C46" s="74"/>
      <c r="D46" s="75"/>
    </row>
    <row r="47" spans="2:4">
      <c r="B47" s="74"/>
      <c r="C47" s="74"/>
      <c r="D47" s="75"/>
    </row>
    <row r="48" spans="2:4">
      <c r="B48" s="74"/>
      <c r="C48" s="74"/>
      <c r="D48" s="75"/>
    </row>
    <row r="49" spans="2:4">
      <c r="B49" s="74"/>
      <c r="C49" s="74"/>
      <c r="D49" s="75"/>
    </row>
    <row r="50" spans="2:4">
      <c r="B50" s="74"/>
      <c r="C50" s="74"/>
      <c r="D50" s="75"/>
    </row>
    <row r="51" spans="2:4">
      <c r="B51" s="74"/>
      <c r="C51" s="74"/>
      <c r="D51" s="75"/>
    </row>
    <row r="52" spans="2:4">
      <c r="B52" s="74"/>
      <c r="C52" s="74"/>
      <c r="D52" s="75"/>
    </row>
    <row r="53" spans="2:4">
      <c r="B53" s="74"/>
      <c r="C53" s="74"/>
      <c r="D53" s="75"/>
    </row>
    <row r="54" spans="2:4">
      <c r="B54" s="74"/>
      <c r="C54" s="74"/>
      <c r="D54" s="75"/>
    </row>
    <row r="55" spans="2:4">
      <c r="D55" s="75"/>
    </row>
    <row r="56" spans="2:4">
      <c r="D56" s="75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179" t="s">
        <v>101</v>
      </c>
      <c r="C2" s="179"/>
      <c r="D2" s="179"/>
      <c r="E2" s="179"/>
      <c r="F2" s="180">
        <v>1</v>
      </c>
      <c r="G2" s="181"/>
      <c r="H2" s="181"/>
    </row>
    <row r="3" spans="2:24" customFormat="1" ht="15" customHeight="1">
      <c r="B3" s="179"/>
      <c r="C3" s="179"/>
      <c r="D3" s="179"/>
      <c r="E3" s="179"/>
      <c r="F3" s="181"/>
      <c r="G3" s="181"/>
      <c r="H3" s="181"/>
    </row>
    <row r="8" spans="2:24">
      <c r="U8" s="39"/>
    </row>
    <row r="9" spans="2:24" ht="15.75">
      <c r="J9" s="29"/>
      <c r="K9" s="29"/>
      <c r="U9" s="39"/>
    </row>
    <row r="10" spans="2:24">
      <c r="U10" s="39"/>
    </row>
    <row r="11" spans="2:24">
      <c r="U11" s="39"/>
    </row>
    <row r="12" spans="2:24" ht="15.75" customHeight="1">
      <c r="B12" s="184" t="s">
        <v>93</v>
      </c>
      <c r="C12" s="195" t="s">
        <v>102</v>
      </c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40"/>
      <c r="U12" s="39"/>
    </row>
    <row r="13" spans="2:24" ht="15" customHeight="1">
      <c r="B13" s="185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0" t="s">
        <v>116</v>
      </c>
      <c r="Q13" s="4" t="s">
        <v>117</v>
      </c>
      <c r="R13" s="41"/>
      <c r="U13" s="39"/>
    </row>
    <row r="14" spans="2:24" ht="15" customHeight="1">
      <c r="B14" s="185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2"/>
    </row>
    <row r="15" spans="2:24" ht="15" customHeight="1">
      <c r="B15" s="185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1" t="s">
        <v>131</v>
      </c>
      <c r="Q15" s="8" t="s">
        <v>132</v>
      </c>
      <c r="R15" s="43" t="s">
        <v>74</v>
      </c>
      <c r="X15" s="42"/>
    </row>
    <row r="16" spans="2:24" ht="15.75" customHeight="1">
      <c r="B16" s="185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4"/>
      <c r="X16" s="42"/>
    </row>
    <row r="17" spans="2:28" ht="15.75" customHeight="1">
      <c r="B17" s="185"/>
      <c r="C17" s="10"/>
      <c r="P17" s="1"/>
      <c r="Q17" s="1"/>
      <c r="R17" s="45"/>
      <c r="X17" s="42"/>
    </row>
    <row r="18" spans="2:28" ht="15.75" customHeight="1">
      <c r="B18" s="185"/>
      <c r="C18" s="8" t="s">
        <v>103</v>
      </c>
      <c r="D18" s="8" t="s">
        <v>104</v>
      </c>
      <c r="E18" s="8" t="s">
        <v>105</v>
      </c>
      <c r="F18" s="8" t="s">
        <v>133</v>
      </c>
      <c r="G18" s="8" t="s">
        <v>107</v>
      </c>
      <c r="H18" s="8" t="s">
        <v>108</v>
      </c>
      <c r="I18" s="8" t="s">
        <v>109</v>
      </c>
      <c r="J18" s="8" t="s">
        <v>110</v>
      </c>
      <c r="K18" s="8" t="s">
        <v>111</v>
      </c>
      <c r="L18" s="8" t="s">
        <v>112</v>
      </c>
      <c r="M18" s="8" t="s">
        <v>113</v>
      </c>
      <c r="N18" s="8" t="s">
        <v>114</v>
      </c>
      <c r="O18" s="8" t="s">
        <v>115</v>
      </c>
      <c r="P18" s="31" t="s">
        <v>116</v>
      </c>
      <c r="Q18" s="8" t="s">
        <v>117</v>
      </c>
      <c r="R18" s="45"/>
    </row>
    <row r="19" spans="2:28" ht="15.75">
      <c r="B19" s="11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5"/>
    </row>
    <row r="20" spans="2:28" ht="15.75">
      <c r="B20" s="11"/>
      <c r="C20" s="8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1" t="s">
        <v>131</v>
      </c>
      <c r="Q20" s="8" t="s">
        <v>132</v>
      </c>
      <c r="R20" s="46" t="s">
        <v>74</v>
      </c>
    </row>
    <row r="21" spans="2:28" ht="15.75"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47"/>
      <c r="R21" s="48"/>
      <c r="S21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/>
    <row r="25" spans="2:28" ht="15" customHeight="1">
      <c r="B25" s="186" t="s">
        <v>84</v>
      </c>
      <c r="C25" s="197" t="s">
        <v>102</v>
      </c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82"/>
      <c r="S25" s="49"/>
      <c r="T25" s="50"/>
    </row>
    <row r="26" spans="2:28" ht="15" customHeight="1">
      <c r="B26" s="186"/>
      <c r="C26" s="14" t="s">
        <v>103</v>
      </c>
      <c r="D26" s="15" t="s">
        <v>134</v>
      </c>
      <c r="E26" s="15" t="s">
        <v>135</v>
      </c>
      <c r="F26" s="15" t="s">
        <v>136</v>
      </c>
      <c r="G26" s="15" t="s">
        <v>137</v>
      </c>
      <c r="H26" s="15" t="s">
        <v>138</v>
      </c>
      <c r="I26" s="15" t="s">
        <v>139</v>
      </c>
      <c r="J26" s="15" t="s">
        <v>140</v>
      </c>
      <c r="K26" s="15" t="s">
        <v>141</v>
      </c>
      <c r="L26" s="15" t="s">
        <v>142</v>
      </c>
      <c r="M26" s="15" t="s">
        <v>143</v>
      </c>
      <c r="N26" s="15" t="s">
        <v>144</v>
      </c>
      <c r="O26" s="15" t="s">
        <v>145</v>
      </c>
      <c r="P26" s="15" t="s">
        <v>146</v>
      </c>
      <c r="Q26" s="15" t="s">
        <v>147</v>
      </c>
      <c r="R26" s="15" t="s">
        <v>148</v>
      </c>
      <c r="S26" s="15" t="s">
        <v>149</v>
      </c>
      <c r="T26" s="51" t="s">
        <v>74</v>
      </c>
      <c r="Z26" s="1"/>
      <c r="AA26" s="1"/>
      <c r="AB26" s="1"/>
    </row>
    <row r="27" spans="2:28" ht="15.75" customHeight="1">
      <c r="B27" s="186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34"/>
    </row>
    <row r="28" spans="2:28" ht="15" customHeight="1">
      <c r="B28" s="18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52"/>
      <c r="T28" s="52"/>
    </row>
    <row r="29" spans="2:28" ht="15.75" customHeight="1">
      <c r="B29" s="187"/>
      <c r="C29" s="18" t="s">
        <v>103</v>
      </c>
      <c r="D29" s="19" t="s">
        <v>134</v>
      </c>
      <c r="E29" s="19" t="s">
        <v>135</v>
      </c>
      <c r="F29" s="19" t="s">
        <v>136</v>
      </c>
      <c r="G29" s="19" t="s">
        <v>137</v>
      </c>
      <c r="H29" s="19" t="s">
        <v>138</v>
      </c>
      <c r="I29" s="19" t="s">
        <v>139</v>
      </c>
      <c r="J29" s="19" t="s">
        <v>140</v>
      </c>
      <c r="K29" s="19" t="s">
        <v>141</v>
      </c>
      <c r="L29" s="19" t="s">
        <v>142</v>
      </c>
      <c r="M29" s="19" t="s">
        <v>143</v>
      </c>
      <c r="N29" s="19" t="s">
        <v>144</v>
      </c>
      <c r="O29" s="19" t="s">
        <v>145</v>
      </c>
      <c r="P29" s="19" t="s">
        <v>146</v>
      </c>
      <c r="Q29" s="19" t="s">
        <v>147</v>
      </c>
      <c r="R29" s="19" t="s">
        <v>148</v>
      </c>
      <c r="S29" s="19" t="s">
        <v>149</v>
      </c>
      <c r="T29" s="53" t="s">
        <v>74</v>
      </c>
    </row>
    <row r="30" spans="2:28">
      <c r="B30" s="20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34"/>
    </row>
    <row r="31" spans="2:28">
      <c r="C31" s="21"/>
    </row>
    <row r="32" spans="2:28">
      <c r="C32" s="21"/>
    </row>
    <row r="33" spans="2:25" ht="15" customHeight="1">
      <c r="C33" s="21"/>
    </row>
    <row r="34" spans="2:25" ht="15.75" customHeight="1"/>
    <row r="35" spans="2:25" ht="15" customHeight="1"/>
    <row r="36" spans="2:25" ht="15.75" customHeight="1">
      <c r="B36" s="188" t="s">
        <v>37</v>
      </c>
      <c r="C36" s="199" t="s">
        <v>102</v>
      </c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200"/>
    </row>
    <row r="37" spans="2:25" ht="15.75" customHeight="1">
      <c r="B37" s="189"/>
      <c r="C37" s="22" t="s">
        <v>103</v>
      </c>
      <c r="D37" s="8" t="s">
        <v>134</v>
      </c>
      <c r="E37" s="8" t="s">
        <v>135</v>
      </c>
      <c r="F37" s="8" t="s">
        <v>150</v>
      </c>
      <c r="G37" s="8" t="s">
        <v>151</v>
      </c>
      <c r="H37" s="8" t="s">
        <v>152</v>
      </c>
      <c r="I37" s="8" t="s">
        <v>153</v>
      </c>
      <c r="J37" s="8" t="s">
        <v>154</v>
      </c>
      <c r="K37" s="8" t="s">
        <v>155</v>
      </c>
      <c r="L37" s="8" t="s">
        <v>156</v>
      </c>
      <c r="M37" s="8" t="s">
        <v>157</v>
      </c>
      <c r="N37" s="8" t="s">
        <v>158</v>
      </c>
      <c r="O37" s="32" t="s">
        <v>159</v>
      </c>
    </row>
    <row r="38" spans="2:25">
      <c r="B38" s="189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189"/>
      <c r="C39" s="22" t="s">
        <v>160</v>
      </c>
      <c r="D39" s="8" t="s">
        <v>161</v>
      </c>
      <c r="E39" s="8" t="s">
        <v>162</v>
      </c>
      <c r="F39" s="8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3" t="s">
        <v>74</v>
      </c>
      <c r="W39" s="1"/>
      <c r="X39" s="1"/>
      <c r="Y39" s="1"/>
    </row>
    <row r="40" spans="2:25">
      <c r="B40" s="189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4"/>
      <c r="W40" s="1"/>
      <c r="X40" s="1"/>
      <c r="Y40" s="1"/>
    </row>
    <row r="41" spans="2:25">
      <c r="B41" s="23"/>
      <c r="C41" s="21"/>
      <c r="J41" s="35"/>
      <c r="O41" s="36"/>
    </row>
    <row r="42" spans="2:25" ht="15.75" customHeight="1">
      <c r="B42" s="23"/>
      <c r="C42" s="22" t="s">
        <v>103</v>
      </c>
      <c r="D42" s="8" t="s">
        <v>134</v>
      </c>
      <c r="E42" s="8" t="s">
        <v>135</v>
      </c>
      <c r="F42" s="8" t="s">
        <v>150</v>
      </c>
      <c r="G42" s="8" t="s">
        <v>151</v>
      </c>
      <c r="H42" s="8" t="s">
        <v>152</v>
      </c>
      <c r="I42" s="8" t="s">
        <v>153</v>
      </c>
      <c r="J42" s="8" t="s">
        <v>154</v>
      </c>
      <c r="K42" s="8" t="s">
        <v>155</v>
      </c>
      <c r="L42" s="8" t="s">
        <v>156</v>
      </c>
      <c r="M42" s="8" t="s">
        <v>157</v>
      </c>
      <c r="N42" s="8" t="s">
        <v>158</v>
      </c>
      <c r="O42" s="32" t="s">
        <v>159</v>
      </c>
    </row>
    <row r="43" spans="2:25" ht="15" customHeight="1">
      <c r="B43" s="23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3"/>
      <c r="C44" s="22" t="s">
        <v>160</v>
      </c>
      <c r="D44" s="8" t="s">
        <v>161</v>
      </c>
      <c r="E44" s="8" t="s">
        <v>162</v>
      </c>
      <c r="F44" s="8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3" t="s">
        <v>74</v>
      </c>
      <c r="R44" s="54"/>
    </row>
    <row r="45" spans="2:25" ht="15" customHeight="1">
      <c r="B45" s="2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37"/>
      <c r="R45" s="55"/>
    </row>
    <row r="46" spans="2:25" ht="15.75" customHeight="1">
      <c r="J46" s="38"/>
      <c r="R46"/>
      <c r="Y46" s="1"/>
    </row>
    <row r="47" spans="2:25" ht="15.75">
      <c r="J47" s="38"/>
      <c r="R47" s="55"/>
    </row>
    <row r="48" spans="2:25">
      <c r="B48" s="190" t="s">
        <v>62</v>
      </c>
      <c r="C48" s="25" t="s">
        <v>102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56"/>
      <c r="R48"/>
    </row>
    <row r="49" spans="2:20">
      <c r="B49" s="191"/>
      <c r="C49" s="22" t="s">
        <v>103</v>
      </c>
      <c r="D49" s="8" t="s">
        <v>125</v>
      </c>
      <c r="E49" s="8" t="s">
        <v>172</v>
      </c>
      <c r="F49" s="8" t="s">
        <v>173</v>
      </c>
      <c r="G49" s="8" t="s">
        <v>174</v>
      </c>
      <c r="H49" s="8" t="s">
        <v>175</v>
      </c>
      <c r="I49" s="8" t="s">
        <v>176</v>
      </c>
      <c r="J49" s="8" t="s">
        <v>110</v>
      </c>
      <c r="K49" s="8" t="s">
        <v>177</v>
      </c>
      <c r="L49" s="8" t="s">
        <v>178</v>
      </c>
      <c r="M49" s="8" t="s">
        <v>179</v>
      </c>
      <c r="N49" s="8" t="s">
        <v>180</v>
      </c>
      <c r="O49" s="8" t="s">
        <v>181</v>
      </c>
      <c r="P49" s="8" t="s">
        <v>182</v>
      </c>
      <c r="Q49" s="32" t="s">
        <v>183</v>
      </c>
    </row>
    <row r="50" spans="2:20">
      <c r="B50" s="191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191"/>
      <c r="C51" s="22" t="s">
        <v>184</v>
      </c>
      <c r="D51" s="8" t="s">
        <v>185</v>
      </c>
      <c r="E51" s="8" t="s">
        <v>186</v>
      </c>
      <c r="F51" s="8" t="s">
        <v>187</v>
      </c>
      <c r="G51" s="8" t="s">
        <v>188</v>
      </c>
      <c r="H51" s="8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3" t="s">
        <v>74</v>
      </c>
    </row>
    <row r="52" spans="2:20" ht="15.75">
      <c r="B52" s="19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37"/>
    </row>
    <row r="53" spans="2:20">
      <c r="B53" s="23"/>
      <c r="Q53" s="36"/>
    </row>
    <row r="54" spans="2:20">
      <c r="B54" s="23"/>
      <c r="C54" s="22" t="s">
        <v>103</v>
      </c>
      <c r="D54" s="8" t="s">
        <v>125</v>
      </c>
      <c r="E54" s="8" t="s">
        <v>172</v>
      </c>
      <c r="F54" s="8" t="s">
        <v>173</v>
      </c>
      <c r="G54" s="8" t="s">
        <v>174</v>
      </c>
      <c r="H54" s="8" t="s">
        <v>175</v>
      </c>
      <c r="I54" s="8" t="s">
        <v>176</v>
      </c>
      <c r="J54" s="8" t="s">
        <v>110</v>
      </c>
      <c r="K54" s="8" t="s">
        <v>177</v>
      </c>
      <c r="L54" s="8" t="s">
        <v>178</v>
      </c>
      <c r="M54" s="8" t="s">
        <v>179</v>
      </c>
      <c r="N54" s="8" t="s">
        <v>180</v>
      </c>
      <c r="O54" s="8" t="s">
        <v>181</v>
      </c>
      <c r="P54" s="8" t="s">
        <v>182</v>
      </c>
      <c r="Q54" s="32" t="s">
        <v>183</v>
      </c>
    </row>
    <row r="55" spans="2:20">
      <c r="B55" s="23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3"/>
      <c r="C56" s="22" t="s">
        <v>184</v>
      </c>
      <c r="D56" s="8" t="s">
        <v>185</v>
      </c>
      <c r="E56" s="8" t="s">
        <v>186</v>
      </c>
      <c r="F56" s="8" t="s">
        <v>187</v>
      </c>
      <c r="G56" s="8" t="s">
        <v>188</v>
      </c>
      <c r="H56" s="8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3" t="s">
        <v>74</v>
      </c>
    </row>
    <row r="57" spans="2:20" ht="15.75"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37"/>
    </row>
    <row r="61" spans="2:20">
      <c r="B61" s="186" t="s">
        <v>196</v>
      </c>
      <c r="C61" s="197" t="s">
        <v>102</v>
      </c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82"/>
      <c r="S61" s="57"/>
      <c r="T61" s="58"/>
    </row>
    <row r="62" spans="2:20" ht="15.75">
      <c r="B62" s="186"/>
      <c r="C62" s="27" t="s">
        <v>103</v>
      </c>
      <c r="D62" s="27" t="s">
        <v>197</v>
      </c>
      <c r="E62" s="27" t="s">
        <v>198</v>
      </c>
      <c r="F62" s="27" t="s">
        <v>199</v>
      </c>
      <c r="G62" s="27" t="s">
        <v>200</v>
      </c>
      <c r="H62" s="27" t="s">
        <v>201</v>
      </c>
      <c r="I62" s="27" t="s">
        <v>202</v>
      </c>
      <c r="J62" s="27" t="s">
        <v>203</v>
      </c>
      <c r="K62" s="27" t="s">
        <v>204</v>
      </c>
      <c r="L62" s="27" t="s">
        <v>205</v>
      </c>
      <c r="M62" s="27" t="s">
        <v>206</v>
      </c>
      <c r="N62" s="27" t="s">
        <v>207</v>
      </c>
      <c r="O62" s="27" t="s">
        <v>208</v>
      </c>
      <c r="P62" s="27" t="s">
        <v>209</v>
      </c>
      <c r="Q62" s="27" t="s">
        <v>210</v>
      </c>
      <c r="R62" s="27" t="s">
        <v>211</v>
      </c>
      <c r="S62" s="27" t="s">
        <v>212</v>
      </c>
      <c r="T62" s="51" t="s">
        <v>74</v>
      </c>
    </row>
    <row r="63" spans="2:20" ht="15.75">
      <c r="B63" s="192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37"/>
    </row>
    <row r="64" spans="2:20">
      <c r="B64" s="192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59"/>
      <c r="T64" s="59"/>
    </row>
    <row r="65" spans="2:20" ht="15.75">
      <c r="B65" s="187"/>
      <c r="C65" s="60" t="s">
        <v>103</v>
      </c>
      <c r="D65" s="60" t="s">
        <v>197</v>
      </c>
      <c r="E65" s="60" t="s">
        <v>198</v>
      </c>
      <c r="F65" s="60" t="s">
        <v>199</v>
      </c>
      <c r="G65" s="60" t="s">
        <v>200</v>
      </c>
      <c r="H65" s="60" t="s">
        <v>201</v>
      </c>
      <c r="I65" s="60" t="s">
        <v>202</v>
      </c>
      <c r="J65" s="60" t="s">
        <v>203</v>
      </c>
      <c r="K65" s="60" t="s">
        <v>204</v>
      </c>
      <c r="L65" s="60" t="s">
        <v>205</v>
      </c>
      <c r="M65" s="60" t="s">
        <v>206</v>
      </c>
      <c r="N65" s="60" t="s">
        <v>207</v>
      </c>
      <c r="O65" s="60" t="s">
        <v>208</v>
      </c>
      <c r="P65" s="60" t="s">
        <v>209</v>
      </c>
      <c r="Q65" s="60" t="s">
        <v>210</v>
      </c>
      <c r="R65" s="60" t="s">
        <v>211</v>
      </c>
      <c r="S65" s="60" t="s">
        <v>212</v>
      </c>
      <c r="T65" s="53" t="s">
        <v>74</v>
      </c>
    </row>
    <row r="66" spans="2:20" ht="15.75">
      <c r="B66" s="20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37"/>
    </row>
    <row r="69" spans="2:20">
      <c r="B69" s="186" t="s">
        <v>213</v>
      </c>
      <c r="C69" s="197" t="s">
        <v>102</v>
      </c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82"/>
      <c r="S69" s="57"/>
      <c r="T69" s="58"/>
    </row>
    <row r="70" spans="2:20" ht="15.75">
      <c r="B70" s="186"/>
      <c r="C70" s="60" t="s">
        <v>103</v>
      </c>
      <c r="D70" s="60" t="s">
        <v>197</v>
      </c>
      <c r="E70" s="60" t="s">
        <v>198</v>
      </c>
      <c r="F70" s="60" t="s">
        <v>199</v>
      </c>
      <c r="G70" s="60" t="s">
        <v>200</v>
      </c>
      <c r="H70" s="60" t="s">
        <v>201</v>
      </c>
      <c r="I70" s="60" t="s">
        <v>202</v>
      </c>
      <c r="J70" s="60" t="s">
        <v>203</v>
      </c>
      <c r="K70" s="60" t="s">
        <v>204</v>
      </c>
      <c r="L70" s="60" t="s">
        <v>205</v>
      </c>
      <c r="M70" s="60" t="s">
        <v>206</v>
      </c>
      <c r="N70" s="60" t="s">
        <v>207</v>
      </c>
      <c r="O70" s="60" t="s">
        <v>208</v>
      </c>
      <c r="P70" s="60" t="s">
        <v>209</v>
      </c>
      <c r="Q70" s="60" t="s">
        <v>210</v>
      </c>
      <c r="R70" s="60" t="s">
        <v>211</v>
      </c>
      <c r="S70" s="60" t="s">
        <v>212</v>
      </c>
      <c r="T70" s="53" t="s">
        <v>74</v>
      </c>
    </row>
    <row r="71" spans="2:20" ht="15.75">
      <c r="B71" s="186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37"/>
    </row>
    <row r="72" spans="2:20">
      <c r="B72" s="192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59"/>
      <c r="T72" s="59"/>
    </row>
    <row r="73" spans="2:20" ht="15.75">
      <c r="B73" s="187"/>
      <c r="C73" s="60" t="s">
        <v>103</v>
      </c>
      <c r="D73" s="60" t="s">
        <v>197</v>
      </c>
      <c r="E73" s="60" t="s">
        <v>198</v>
      </c>
      <c r="F73" s="60" t="s">
        <v>199</v>
      </c>
      <c r="G73" s="60" t="s">
        <v>200</v>
      </c>
      <c r="H73" s="60" t="s">
        <v>201</v>
      </c>
      <c r="I73" s="60" t="s">
        <v>202</v>
      </c>
      <c r="J73" s="60" t="s">
        <v>203</v>
      </c>
      <c r="K73" s="60" t="s">
        <v>204</v>
      </c>
      <c r="L73" s="60" t="s">
        <v>205</v>
      </c>
      <c r="M73" s="60" t="s">
        <v>206</v>
      </c>
      <c r="N73" s="60" t="s">
        <v>207</v>
      </c>
      <c r="O73" s="60" t="s">
        <v>208</v>
      </c>
      <c r="P73" s="60" t="s">
        <v>209</v>
      </c>
      <c r="Q73" s="60" t="s">
        <v>210</v>
      </c>
      <c r="R73" s="60" t="s">
        <v>211</v>
      </c>
      <c r="S73" s="60" t="s">
        <v>212</v>
      </c>
      <c r="T73" s="53" t="s">
        <v>74</v>
      </c>
    </row>
    <row r="74" spans="2:20" ht="15.75">
      <c r="B74" s="20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37"/>
    </row>
    <row r="77" spans="2:20">
      <c r="B77" s="193" t="s">
        <v>91</v>
      </c>
      <c r="C77" s="182" t="s">
        <v>102</v>
      </c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61"/>
      <c r="S77" s="61"/>
      <c r="T77" s="13"/>
    </row>
    <row r="78" spans="2:20">
      <c r="B78" s="194"/>
      <c r="C78" s="15" t="s">
        <v>103</v>
      </c>
      <c r="D78" s="15" t="s">
        <v>214</v>
      </c>
      <c r="E78" s="15" t="s">
        <v>215</v>
      </c>
      <c r="F78" s="15" t="s">
        <v>216</v>
      </c>
      <c r="G78" s="15" t="s">
        <v>217</v>
      </c>
      <c r="H78" s="62" t="s">
        <v>218</v>
      </c>
      <c r="I78" s="62" t="s">
        <v>219</v>
      </c>
      <c r="J78" s="62" t="s">
        <v>220</v>
      </c>
      <c r="K78" s="62" t="s">
        <v>221</v>
      </c>
      <c r="L78" s="62" t="s">
        <v>134</v>
      </c>
      <c r="M78" s="15" t="s">
        <v>222</v>
      </c>
      <c r="N78" s="62" t="s">
        <v>223</v>
      </c>
      <c r="O78" s="62" t="s">
        <v>215</v>
      </c>
      <c r="P78" s="62" t="s">
        <v>224</v>
      </c>
      <c r="Q78" s="62" t="s">
        <v>225</v>
      </c>
      <c r="R78" s="62" t="s">
        <v>215</v>
      </c>
      <c r="S78" s="62" t="s">
        <v>226</v>
      </c>
      <c r="T78" s="60" t="s">
        <v>215</v>
      </c>
    </row>
    <row r="79" spans="2:20">
      <c r="B79" s="194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194"/>
      <c r="C80" s="60" t="s">
        <v>227</v>
      </c>
      <c r="D80" s="60" t="s">
        <v>228</v>
      </c>
      <c r="E80" s="60" t="s">
        <v>229</v>
      </c>
      <c r="F80" s="60" t="s">
        <v>215</v>
      </c>
      <c r="G80" s="60" t="s">
        <v>224</v>
      </c>
      <c r="H80" s="60" t="s">
        <v>230</v>
      </c>
      <c r="I80" s="60" t="s">
        <v>215</v>
      </c>
      <c r="J80" s="60" t="s">
        <v>231</v>
      </c>
      <c r="K80" s="60" t="s">
        <v>232</v>
      </c>
      <c r="L80" s="60" t="s">
        <v>233</v>
      </c>
      <c r="M80" s="60" t="s">
        <v>215</v>
      </c>
      <c r="N80" s="60" t="s">
        <v>234</v>
      </c>
      <c r="O80" s="60" t="s">
        <v>215</v>
      </c>
      <c r="P80" s="60" t="s">
        <v>235</v>
      </c>
      <c r="Q80" s="60" t="s">
        <v>215</v>
      </c>
      <c r="R80" s="60" t="s">
        <v>236</v>
      </c>
      <c r="S80" s="60" t="s">
        <v>215</v>
      </c>
      <c r="T80" s="53" t="s">
        <v>74</v>
      </c>
    </row>
    <row r="81" spans="2:20" ht="15.75">
      <c r="B81" s="194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37" t="s">
        <v>237</v>
      </c>
    </row>
    <row r="82" spans="2:20">
      <c r="B82" s="194"/>
      <c r="C82" s="63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28"/>
      <c r="Q82" s="28"/>
      <c r="R82" s="66"/>
      <c r="S82" s="59"/>
      <c r="T82" s="67"/>
    </row>
    <row r="83" spans="2:20">
      <c r="B83" s="194"/>
      <c r="C83" s="19" t="s">
        <v>103</v>
      </c>
      <c r="D83" s="19" t="s">
        <v>214</v>
      </c>
      <c r="E83" s="19" t="s">
        <v>215</v>
      </c>
      <c r="F83" s="19" t="s">
        <v>216</v>
      </c>
      <c r="G83" s="19" t="s">
        <v>217</v>
      </c>
      <c r="H83" s="60" t="s">
        <v>218</v>
      </c>
      <c r="I83" s="60" t="s">
        <v>219</v>
      </c>
      <c r="J83" s="60" t="s">
        <v>220</v>
      </c>
      <c r="K83" s="60" t="s">
        <v>221</v>
      </c>
      <c r="L83" s="60" t="s">
        <v>134</v>
      </c>
      <c r="M83" s="19" t="s">
        <v>222</v>
      </c>
      <c r="N83" s="60" t="s">
        <v>223</v>
      </c>
      <c r="O83" s="60" t="s">
        <v>215</v>
      </c>
      <c r="P83" s="60" t="s">
        <v>224</v>
      </c>
      <c r="Q83" s="60" t="s">
        <v>225</v>
      </c>
      <c r="R83" s="60" t="s">
        <v>215</v>
      </c>
      <c r="S83" s="60" t="s">
        <v>226</v>
      </c>
      <c r="T83" s="60" t="s">
        <v>215</v>
      </c>
    </row>
    <row r="84" spans="2:20">
      <c r="B84" s="64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64"/>
      <c r="C85" s="60" t="s">
        <v>227</v>
      </c>
      <c r="D85" s="60" t="s">
        <v>228</v>
      </c>
      <c r="E85" s="60" t="s">
        <v>229</v>
      </c>
      <c r="F85" s="60" t="s">
        <v>215</v>
      </c>
      <c r="G85" s="60" t="s">
        <v>224</v>
      </c>
      <c r="H85" s="60" t="s">
        <v>230</v>
      </c>
      <c r="I85" s="60" t="s">
        <v>215</v>
      </c>
      <c r="J85" s="60" t="s">
        <v>231</v>
      </c>
      <c r="K85" s="60" t="s">
        <v>232</v>
      </c>
      <c r="L85" s="60" t="s">
        <v>233</v>
      </c>
      <c r="M85" s="60" t="s">
        <v>215</v>
      </c>
      <c r="N85" s="60" t="s">
        <v>234</v>
      </c>
      <c r="O85" s="60" t="s">
        <v>215</v>
      </c>
      <c r="P85" s="60" t="s">
        <v>235</v>
      </c>
      <c r="Q85" s="60" t="s">
        <v>215</v>
      </c>
      <c r="R85" s="60" t="s">
        <v>236</v>
      </c>
      <c r="S85" s="60" t="s">
        <v>215</v>
      </c>
      <c r="T85" s="51" t="s">
        <v>74</v>
      </c>
    </row>
    <row r="86" spans="2:20" ht="15.75">
      <c r="B86" s="6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37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2018-05-18T12:00:00Z</cp:lastPrinted>
  <dcterms:created xsi:type="dcterms:W3CDTF">2013-08-23T16:44:00Z</dcterms:created>
  <dcterms:modified xsi:type="dcterms:W3CDTF">2025-11-24T16:44:06Z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