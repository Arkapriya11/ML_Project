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815" windowHeight="7815" tabRatio="913" activeTab="30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44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3" r:id="rId29"/>
    <sheet name="30" sheetId="40" r:id="rId30"/>
    <sheet name="MONTHLY 30" sheetId="39" r:id="rId31"/>
  </sheets>
  <calcPr calcId="124519"/>
</workbook>
</file>

<file path=xl/calcChain.xml><?xml version="1.0" encoding="utf-8"?>
<calcChain xmlns="http://schemas.openxmlformats.org/spreadsheetml/2006/main">
  <c r="E39" i="33"/>
  <c r="C31" i="39"/>
  <c r="D31"/>
  <c r="E31"/>
  <c r="F31"/>
  <c r="G31"/>
  <c r="H31"/>
  <c r="I31"/>
  <c r="J31"/>
  <c r="K31"/>
  <c r="L31"/>
  <c r="M31"/>
  <c r="N31"/>
  <c r="O31"/>
  <c r="P31"/>
  <c r="Q31"/>
  <c r="B31"/>
  <c r="A31"/>
  <c r="Q38" i="44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M36"/>
  <c r="L36"/>
  <c r="K36"/>
  <c r="J36"/>
  <c r="I36"/>
  <c r="H36"/>
  <c r="G36"/>
  <c r="F36"/>
  <c r="E36"/>
  <c r="D36"/>
  <c r="C36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K38" i="39"/>
  <c r="H38"/>
  <c r="E38"/>
  <c r="D38"/>
  <c r="N37"/>
  <c r="M37"/>
  <c r="J37"/>
  <c r="F37"/>
  <c r="E37"/>
  <c r="M34"/>
  <c r="K34"/>
  <c r="E34"/>
  <c r="C34"/>
  <c r="O33"/>
  <c r="K33"/>
  <c r="C33"/>
  <c r="O32"/>
  <c r="N32"/>
  <c r="I32"/>
  <c r="G32"/>
  <c r="F32"/>
  <c r="L28"/>
  <c r="M27"/>
  <c r="L27"/>
  <c r="Q26"/>
  <c r="M26"/>
  <c r="L26"/>
  <c r="E26"/>
  <c r="M25"/>
  <c r="F25"/>
  <c r="O24"/>
  <c r="N24"/>
  <c r="F24"/>
  <c r="C24"/>
  <c r="Q23"/>
  <c r="N23"/>
  <c r="L23"/>
  <c r="G23"/>
  <c r="E23"/>
  <c r="Q22"/>
  <c r="L22"/>
  <c r="B22"/>
  <c r="A22"/>
  <c r="Q21"/>
  <c r="N21"/>
  <c r="C21"/>
  <c r="A21"/>
  <c r="N20"/>
  <c r="J20"/>
  <c r="G20"/>
  <c r="B20"/>
  <c r="O19"/>
  <c r="L19"/>
  <c r="H19"/>
  <c r="F18"/>
  <c r="O16"/>
  <c r="N16"/>
  <c r="G16"/>
  <c r="F16"/>
  <c r="J14"/>
  <c r="K12"/>
  <c r="J12"/>
  <c r="C12"/>
  <c r="B12"/>
  <c r="Q38" i="4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39" s="1"/>
  <c r="Q37"/>
  <c r="P37"/>
  <c r="O37"/>
  <c r="N37"/>
  <c r="M37"/>
  <c r="L37"/>
  <c r="K37"/>
  <c r="J37"/>
  <c r="I37"/>
  <c r="H37"/>
  <c r="G37"/>
  <c r="F37"/>
  <c r="E37"/>
  <c r="D37"/>
  <c r="C37"/>
  <c r="B37"/>
  <c r="Q36"/>
  <c r="Q38" i="39" s="1"/>
  <c r="P36" i="40"/>
  <c r="P38" i="39" s="1"/>
  <c r="O36" i="40"/>
  <c r="O38" i="39" s="1"/>
  <c r="N36" i="40"/>
  <c r="N38" i="39" s="1"/>
  <c r="M36" i="40"/>
  <c r="M38" i="39" s="1"/>
  <c r="L36" i="40"/>
  <c r="L38" i="39" s="1"/>
  <c r="K36" i="40"/>
  <c r="J36"/>
  <c r="J38" i="39" s="1"/>
  <c r="I36" i="40"/>
  <c r="I38" i="39" s="1"/>
  <c r="H36" i="40"/>
  <c r="G36"/>
  <c r="G38" i="39" s="1"/>
  <c r="F36" i="40"/>
  <c r="F38" i="39" s="1"/>
  <c r="E36" i="40"/>
  <c r="D36"/>
  <c r="C36"/>
  <c r="C38" i="39" s="1"/>
  <c r="B36" i="40"/>
  <c r="B38" i="39" s="1"/>
  <c r="Q35" i="4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8" i="39" s="1"/>
  <c r="Q38" i="43"/>
  <c r="Q40" s="1"/>
  <c r="P38"/>
  <c r="P39" s="1"/>
  <c r="O38"/>
  <c r="O39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7" i="39" s="1"/>
  <c r="P36" i="43"/>
  <c r="P37" i="39" s="1"/>
  <c r="O36" i="43"/>
  <c r="O37" i="39" s="1"/>
  <c r="N36" i="43"/>
  <c r="M36"/>
  <c r="L36"/>
  <c r="L37" i="39" s="1"/>
  <c r="K36" i="43"/>
  <c r="K37" i="39" s="1"/>
  <c r="J36" i="43"/>
  <c r="I36"/>
  <c r="I37" i="39" s="1"/>
  <c r="H36" i="43"/>
  <c r="H37" i="39" s="1"/>
  <c r="G36" i="43"/>
  <c r="G37" i="39" s="1"/>
  <c r="F36" i="43"/>
  <c r="E36"/>
  <c r="D36"/>
  <c r="D37" i="39" s="1"/>
  <c r="C36" i="43"/>
  <c r="C37" i="39" s="1"/>
  <c r="B36" i="43"/>
  <c r="B37" i="39" s="1"/>
  <c r="Q35" i="4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7" i="39" s="1"/>
  <c r="Q38" i="3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40"/>
  <c r="G40"/>
  <c r="F40"/>
  <c r="E40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6" i="39" s="1"/>
  <c r="P36" i="33"/>
  <c r="P36" i="39" s="1"/>
  <c r="O36" i="33"/>
  <c r="O36" i="39" s="1"/>
  <c r="N36" i="33"/>
  <c r="N36" i="39" s="1"/>
  <c r="M36" i="33"/>
  <c r="M36" i="39" s="1"/>
  <c r="L36" i="33"/>
  <c r="L36" i="39" s="1"/>
  <c r="K36" i="33"/>
  <c r="K36" i="39" s="1"/>
  <c r="J36" i="33"/>
  <c r="J36" i="39" s="1"/>
  <c r="I36" i="33"/>
  <c r="I36" i="39" s="1"/>
  <c r="H36" i="33"/>
  <c r="H36" i="39" s="1"/>
  <c r="G36" i="33"/>
  <c r="G36" i="39" s="1"/>
  <c r="F36" i="33"/>
  <c r="F36" i="39" s="1"/>
  <c r="E36" i="33"/>
  <c r="E36" i="39" s="1"/>
  <c r="D36" i="33"/>
  <c r="D36" i="39" s="1"/>
  <c r="C36" i="33"/>
  <c r="C36" i="39" s="1"/>
  <c r="B36" i="33"/>
  <c r="B36" i="39" s="1"/>
  <c r="Q35" i="3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6" i="39" s="1"/>
  <c r="Q38" i="3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5" i="39" s="1"/>
  <c r="P36" i="32"/>
  <c r="P35" i="39" s="1"/>
  <c r="O36" i="32"/>
  <c r="O35" i="39" s="1"/>
  <c r="N36" i="32"/>
  <c r="N35" i="39" s="1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G35" i="39" s="1"/>
  <c r="F36" i="32"/>
  <c r="F35" i="39" s="1"/>
  <c r="E36" i="32"/>
  <c r="E35" i="39" s="1"/>
  <c r="D36" i="32"/>
  <c r="D35" i="39" s="1"/>
  <c r="C36" i="32"/>
  <c r="C35" i="39" s="1"/>
  <c r="B36" i="32"/>
  <c r="B35" i="39" s="1"/>
  <c r="Q35" i="3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5" i="39" s="1"/>
  <c r="Q38" i="3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4" i="39" s="1"/>
  <c r="P36" i="31"/>
  <c r="P34" i="39" s="1"/>
  <c r="O36" i="31"/>
  <c r="O34" i="39" s="1"/>
  <c r="N36" i="31"/>
  <c r="N34" i="39" s="1"/>
  <c r="M36" i="31"/>
  <c r="L36"/>
  <c r="L34" i="39" s="1"/>
  <c r="K36" i="31"/>
  <c r="J36"/>
  <c r="J34" i="39" s="1"/>
  <c r="I36" i="31"/>
  <c r="I34" i="39" s="1"/>
  <c r="H36" i="31"/>
  <c r="H34" i="39" s="1"/>
  <c r="G36" i="31"/>
  <c r="G34" i="39" s="1"/>
  <c r="F36" i="31"/>
  <c r="F34" i="39" s="1"/>
  <c r="E36" i="31"/>
  <c r="D36"/>
  <c r="D34" i="39" s="1"/>
  <c r="C36" i="31"/>
  <c r="B36"/>
  <c r="B34" i="39" s="1"/>
  <c r="Q35" i="3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4" i="39" s="1"/>
  <c r="Q38" i="3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3" i="39" s="1"/>
  <c r="P36" i="30"/>
  <c r="P33" i="39" s="1"/>
  <c r="O36" i="30"/>
  <c r="N36"/>
  <c r="N33" i="39" s="1"/>
  <c r="M36" i="30"/>
  <c r="M33" i="39" s="1"/>
  <c r="L36" i="30"/>
  <c r="L33" i="39" s="1"/>
  <c r="K36" i="30"/>
  <c r="J36"/>
  <c r="J33" i="39" s="1"/>
  <c r="I36" i="30"/>
  <c r="I33" i="39" s="1"/>
  <c r="H36" i="30"/>
  <c r="H33" i="39" s="1"/>
  <c r="G36" i="30"/>
  <c r="G33" i="39" s="1"/>
  <c r="F36" i="30"/>
  <c r="F33" i="39" s="1"/>
  <c r="E36" i="30"/>
  <c r="E33" i="39" s="1"/>
  <c r="D36" i="30"/>
  <c r="D33" i="39" s="1"/>
  <c r="C36" i="30"/>
  <c r="B36"/>
  <c r="B33" i="39" s="1"/>
  <c r="Q35" i="3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3" i="39" s="1"/>
  <c r="Q38" i="29"/>
  <c r="Q39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2" i="39" s="1"/>
  <c r="P36" i="29"/>
  <c r="P32" i="39" s="1"/>
  <c r="O36" i="29"/>
  <c r="N36"/>
  <c r="M36"/>
  <c r="M32" i="39" s="1"/>
  <c r="L36" i="29"/>
  <c r="L32" i="39" s="1"/>
  <c r="K36" i="29"/>
  <c r="K32" i="39" s="1"/>
  <c r="J36" i="29"/>
  <c r="J32" i="39" s="1"/>
  <c r="I36" i="29"/>
  <c r="H36"/>
  <c r="H32" i="39" s="1"/>
  <c r="G36" i="29"/>
  <c r="F36"/>
  <c r="E36"/>
  <c r="E32" i="39" s="1"/>
  <c r="D36" i="29"/>
  <c r="D32" i="39" s="1"/>
  <c r="C36" i="29"/>
  <c r="C32" i="39" s="1"/>
  <c r="B36" i="29"/>
  <c r="B32" i="39" s="1"/>
  <c r="Q35" i="2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2" i="39" s="1"/>
  <c r="Q38" i="27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0" i="39" s="1"/>
  <c r="P36" i="27"/>
  <c r="P30" i="39" s="1"/>
  <c r="O36" i="27"/>
  <c r="O30" i="39" s="1"/>
  <c r="N36" i="27"/>
  <c r="N30" i="39" s="1"/>
  <c r="M36" i="27"/>
  <c r="M30" i="39" s="1"/>
  <c r="L36" i="27"/>
  <c r="L30" i="39" s="1"/>
  <c r="K36" i="27"/>
  <c r="K30" i="39" s="1"/>
  <c r="J36" i="27"/>
  <c r="J30" i="39" s="1"/>
  <c r="I36" i="27"/>
  <c r="I30" i="39" s="1"/>
  <c r="H36" i="27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0" i="39" s="1"/>
  <c r="Q38" i="26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9" i="39" s="1"/>
  <c r="P36" i="26"/>
  <c r="P29" i="39" s="1"/>
  <c r="O36" i="26"/>
  <c r="O29" i="39" s="1"/>
  <c r="N36" i="26"/>
  <c r="N29" i="39" s="1"/>
  <c r="M36" i="26"/>
  <c r="M29" i="39" s="1"/>
  <c r="L36" i="26"/>
  <c r="L29" i="39" s="1"/>
  <c r="K36" i="26"/>
  <c r="K29" i="39" s="1"/>
  <c r="J36" i="26"/>
  <c r="J29" i="39" s="1"/>
  <c r="I36" i="26"/>
  <c r="I29" i="39" s="1"/>
  <c r="H36" i="26"/>
  <c r="H29" i="39" s="1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9" i="39" s="1"/>
  <c r="Q38" i="25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39" s="1"/>
  <c r="Q37"/>
  <c r="P37"/>
  <c r="O37"/>
  <c r="N37"/>
  <c r="M37"/>
  <c r="L37"/>
  <c r="K37"/>
  <c r="J37"/>
  <c r="I37"/>
  <c r="H37"/>
  <c r="G37"/>
  <c r="F37"/>
  <c r="E37"/>
  <c r="D37"/>
  <c r="C37"/>
  <c r="B37"/>
  <c r="Q36"/>
  <c r="Q28" i="39" s="1"/>
  <c r="P36" i="25"/>
  <c r="P28" i="39" s="1"/>
  <c r="O36" i="25"/>
  <c r="O28" i="39" s="1"/>
  <c r="N36" i="25"/>
  <c r="N28" i="39" s="1"/>
  <c r="M36" i="25"/>
  <c r="M28" i="39" s="1"/>
  <c r="L36" i="25"/>
  <c r="K36"/>
  <c r="K28" i="39" s="1"/>
  <c r="J36" i="25"/>
  <c r="J28" i="39" s="1"/>
  <c r="I36" i="25"/>
  <c r="I28" i="39" s="1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8" i="39" s="1"/>
  <c r="B39" i="24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7" i="39" s="1"/>
  <c r="P36" i="24"/>
  <c r="P27" i="39" s="1"/>
  <c r="O36" i="24"/>
  <c r="O27" i="39" s="1"/>
  <c r="N36" i="24"/>
  <c r="N27" i="39" s="1"/>
  <c r="M36" i="24"/>
  <c r="L36"/>
  <c r="K36"/>
  <c r="K27" i="39" s="1"/>
  <c r="J36" i="24"/>
  <c r="J27" i="39" s="1"/>
  <c r="I36" i="24"/>
  <c r="I27" i="39" s="1"/>
  <c r="H36" i="24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7" i="39" s="1"/>
  <c r="Q38" i="2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26" i="39" s="1"/>
  <c r="O36" i="23"/>
  <c r="O26" i="39" s="1"/>
  <c r="N36" i="23"/>
  <c r="N26" i="39" s="1"/>
  <c r="M36" i="23"/>
  <c r="L36"/>
  <c r="K36"/>
  <c r="K26" i="39" s="1"/>
  <c r="J36" i="23"/>
  <c r="J26" i="39" s="1"/>
  <c r="I36" i="23"/>
  <c r="I26" i="39" s="1"/>
  <c r="H36" i="23"/>
  <c r="H26" i="39" s="1"/>
  <c r="G36" i="23"/>
  <c r="G26" i="39" s="1"/>
  <c r="F36" i="23"/>
  <c r="F26" i="39" s="1"/>
  <c r="E36" i="23"/>
  <c r="D36"/>
  <c r="D26" i="39" s="1"/>
  <c r="C36" i="23"/>
  <c r="C26" i="39" s="1"/>
  <c r="B36" i="23"/>
  <c r="B26" i="39" s="1"/>
  <c r="Q35" i="2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6" i="39" s="1"/>
  <c r="Q38" i="2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5" i="39" s="1"/>
  <c r="P36" i="22"/>
  <c r="P25" i="39" s="1"/>
  <c r="O36" i="22"/>
  <c r="O25" i="39" s="1"/>
  <c r="N36" i="22"/>
  <c r="N25" i="39" s="1"/>
  <c r="M36" i="22"/>
  <c r="L36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E36"/>
  <c r="E25" i="39" s="1"/>
  <c r="D36" i="22"/>
  <c r="D25" i="39" s="1"/>
  <c r="C36" i="22"/>
  <c r="C25" i="39" s="1"/>
  <c r="B36" i="22"/>
  <c r="B25" i="39" s="1"/>
  <c r="Q35" i="2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5" i="39" s="1"/>
  <c r="Q38" i="2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40"/>
  <c r="G40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4" i="39" s="1"/>
  <c r="P36" i="21"/>
  <c r="P24" i="39" s="1"/>
  <c r="O36" i="21"/>
  <c r="N36"/>
  <c r="M36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E36"/>
  <c r="E24" i="39" s="1"/>
  <c r="D36" i="21"/>
  <c r="D24" i="39" s="1"/>
  <c r="C36" i="21"/>
  <c r="B36"/>
  <c r="B24" i="39" s="1"/>
  <c r="Q35" i="2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4" i="39" s="1"/>
  <c r="K39" i="20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23" i="39" s="1"/>
  <c r="O36" i="20"/>
  <c r="O23" i="39" s="1"/>
  <c r="N36" i="20"/>
  <c r="M36"/>
  <c r="M23" i="39" s="1"/>
  <c r="L36" i="20"/>
  <c r="K36"/>
  <c r="K23" i="39" s="1"/>
  <c r="J36" i="20"/>
  <c r="J23" i="39" s="1"/>
  <c r="I36" i="20"/>
  <c r="I23" i="39" s="1"/>
  <c r="H36" i="20"/>
  <c r="H23" i="39" s="1"/>
  <c r="G36" i="20"/>
  <c r="F36"/>
  <c r="F23" i="39" s="1"/>
  <c r="E36" i="20"/>
  <c r="D36"/>
  <c r="D23" i="39" s="1"/>
  <c r="C36" i="20"/>
  <c r="C23" i="39" s="1"/>
  <c r="B36" i="20"/>
  <c r="B23" i="39" s="1"/>
  <c r="Q35" i="2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3" i="39" s="1"/>
  <c r="Q38" i="19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39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22" i="39" s="1"/>
  <c r="O36" i="19"/>
  <c r="O22" i="39" s="1"/>
  <c r="N36" i="19"/>
  <c r="N22" i="39" s="1"/>
  <c r="M36" i="19"/>
  <c r="M22" i="39" s="1"/>
  <c r="L36" i="19"/>
  <c r="K36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C22" i="39" s="1"/>
  <c r="B36" i="19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38" i="1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40"/>
  <c r="G40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21" i="39" s="1"/>
  <c r="O36" i="18"/>
  <c r="O21" i="39" s="1"/>
  <c r="N36" i="18"/>
  <c r="M36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F21" i="39" s="1"/>
  <c r="E36" i="18"/>
  <c r="E21" i="39" s="1"/>
  <c r="D36" i="18"/>
  <c r="D21" i="39" s="1"/>
  <c r="C36" i="18"/>
  <c r="B36"/>
  <c r="B21" i="39" s="1"/>
  <c r="Q35" i="1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38" i="17"/>
  <c r="Q40" s="1"/>
  <c r="P38"/>
  <c r="P40" s="1"/>
  <c r="O38"/>
  <c r="O40" s="1"/>
  <c r="N38"/>
  <c r="N40" s="1"/>
  <c r="M38"/>
  <c r="M40" s="1"/>
  <c r="L38"/>
  <c r="L40" s="1"/>
  <c r="K38"/>
  <c r="K39" s="1"/>
  <c r="J38"/>
  <c r="J40" s="1"/>
  <c r="I38"/>
  <c r="I40" s="1"/>
  <c r="H40"/>
  <c r="G38"/>
  <c r="G40" s="1"/>
  <c r="F38"/>
  <c r="F40" s="1"/>
  <c r="E38"/>
  <c r="E40" s="1"/>
  <c r="D38"/>
  <c r="D40" s="1"/>
  <c r="C38"/>
  <c r="C39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0" i="39" s="1"/>
  <c r="P36" i="17"/>
  <c r="P20" i="39" s="1"/>
  <c r="O36" i="17"/>
  <c r="O20" i="39" s="1"/>
  <c r="N36" i="17"/>
  <c r="M36"/>
  <c r="M20" i="39" s="1"/>
  <c r="L36" i="17"/>
  <c r="L20" i="39" s="1"/>
  <c r="K36" i="17"/>
  <c r="K20" i="39" s="1"/>
  <c r="J36" i="17"/>
  <c r="I36"/>
  <c r="I20" i="39" s="1"/>
  <c r="H36" i="17"/>
  <c r="H20" i="39" s="1"/>
  <c r="G36" i="17"/>
  <c r="F36"/>
  <c r="F20" i="39" s="1"/>
  <c r="E36" i="17"/>
  <c r="E20" i="39" s="1"/>
  <c r="D36" i="17"/>
  <c r="D20" i="39" s="1"/>
  <c r="C36" i="17"/>
  <c r="C20" i="39" s="1"/>
  <c r="B36" i="17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0" i="39" s="1"/>
  <c r="Q38" i="16"/>
  <c r="Q40" s="1"/>
  <c r="P38"/>
  <c r="P40" s="1"/>
  <c r="O38"/>
  <c r="O40" s="1"/>
  <c r="N38"/>
  <c r="N40" s="1"/>
  <c r="M38"/>
  <c r="M40" s="1"/>
  <c r="L38"/>
  <c r="L40" s="1"/>
  <c r="K38"/>
  <c r="K40" s="1"/>
  <c r="J38"/>
  <c r="J39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9" i="39" s="1"/>
  <c r="P36" i="16"/>
  <c r="P19" i="39" s="1"/>
  <c r="O36" i="16"/>
  <c r="N36"/>
  <c r="N19" i="39" s="1"/>
  <c r="M36" i="16"/>
  <c r="M19" i="39" s="1"/>
  <c r="L36" i="16"/>
  <c r="K36"/>
  <c r="K19" i="39" s="1"/>
  <c r="J36" i="16"/>
  <c r="J19" i="39" s="1"/>
  <c r="I36" i="16"/>
  <c r="I19" i="39" s="1"/>
  <c r="H36" i="16"/>
  <c r="G36"/>
  <c r="G19" i="39" s="1"/>
  <c r="F36" i="16"/>
  <c r="F19" i="39" s="1"/>
  <c r="E36" i="16"/>
  <c r="E19" i="39" s="1"/>
  <c r="D36" i="16"/>
  <c r="D19" i="39" s="1"/>
  <c r="C36" i="16"/>
  <c r="C19" i="39" s="1"/>
  <c r="B36" i="16"/>
  <c r="B19" i="39" s="1"/>
  <c r="Q35" i="16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9" i="39" s="1"/>
  <c r="E39" i="15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40"/>
  <c r="G40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G18" i="39" s="1"/>
  <c r="F36" i="15"/>
  <c r="E36"/>
  <c r="E18" i="39" s="1"/>
  <c r="D36" i="15"/>
  <c r="D18" i="39" s="1"/>
  <c r="C36" i="15"/>
  <c r="C18" i="39" s="1"/>
  <c r="B36" i="15"/>
  <c r="B18" i="39" s="1"/>
  <c r="Q35" i="1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8" i="39" s="1"/>
  <c r="Q38" i="14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7" i="39" s="1"/>
  <c r="P36" i="14"/>
  <c r="P17" i="39" s="1"/>
  <c r="O36" i="14"/>
  <c r="O17" i="39" s="1"/>
  <c r="N36" i="14"/>
  <c r="N17" i="39" s="1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H17" i="39" s="1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B17" i="39" s="1"/>
  <c r="Q35" i="14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7" i="39" s="1"/>
  <c r="K39" i="13"/>
  <c r="C39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6" i="39" s="1"/>
  <c r="P36" i="13"/>
  <c r="P16" i="39" s="1"/>
  <c r="O36" i="13"/>
  <c r="N36"/>
  <c r="M36"/>
  <c r="M16" i="39" s="1"/>
  <c r="L36" i="13"/>
  <c r="L16" i="39" s="1"/>
  <c r="K36" i="13"/>
  <c r="K16" i="39" s="1"/>
  <c r="J36" i="13"/>
  <c r="J16" i="39" s="1"/>
  <c r="I36" i="13"/>
  <c r="I16" i="39" s="1"/>
  <c r="H36" i="13"/>
  <c r="H16" i="39" s="1"/>
  <c r="G36" i="13"/>
  <c r="F36"/>
  <c r="E36"/>
  <c r="E16" i="39" s="1"/>
  <c r="D36" i="13"/>
  <c r="D16" i="39" s="1"/>
  <c r="C36" i="13"/>
  <c r="C16" i="39" s="1"/>
  <c r="B36" i="13"/>
  <c r="B16" i="39" s="1"/>
  <c r="Q35" i="1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6" i="39" s="1"/>
  <c r="Q38" i="1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5" i="39" s="1"/>
  <c r="P36" i="12"/>
  <c r="P15" i="39" s="1"/>
  <c r="O36" i="12"/>
  <c r="O15" i="39" s="1"/>
  <c r="N36" i="12"/>
  <c r="N15" i="39" s="1"/>
  <c r="M36" i="12"/>
  <c r="M15" i="39" s="1"/>
  <c r="L36" i="12"/>
  <c r="L15" i="39" s="1"/>
  <c r="K36" i="12"/>
  <c r="K15" i="39" s="1"/>
  <c r="J36" i="12"/>
  <c r="J15" i="39" s="1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5" i="39" s="1"/>
  <c r="Q38" i="1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K14" i="39" s="1"/>
  <c r="J36" i="11"/>
  <c r="I36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4" i="39" s="1"/>
  <c r="Q38" i="1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3" i="39" s="1"/>
  <c r="P36" i="10"/>
  <c r="P13" i="39" s="1"/>
  <c r="O36" i="10"/>
  <c r="O13" i="39" s="1"/>
  <c r="N36" i="10"/>
  <c r="N13" i="39" s="1"/>
  <c r="M36" i="10"/>
  <c r="M13" i="39" s="1"/>
  <c r="L36" i="10"/>
  <c r="L13" i="39" s="1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3" i="39" s="1"/>
  <c r="F40" i="9"/>
  <c r="Q38"/>
  <c r="Q40" s="1"/>
  <c r="P38"/>
  <c r="P40" s="1"/>
  <c r="O38"/>
  <c r="O40" s="1"/>
  <c r="N38"/>
  <c r="N39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39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2" i="39" s="1"/>
  <c r="P36" i="9"/>
  <c r="P12" i="39" s="1"/>
  <c r="O36" i="9"/>
  <c r="O12" i="39" s="1"/>
  <c r="N36" i="9"/>
  <c r="N12" i="39" s="1"/>
  <c r="M36" i="9"/>
  <c r="M12" i="39" s="1"/>
  <c r="L36" i="9"/>
  <c r="L12" i="39" s="1"/>
  <c r="K36" i="9"/>
  <c r="J36"/>
  <c r="I36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2" i="39" s="1"/>
  <c r="Q38" i="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39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1" i="39" s="1"/>
  <c r="P36" i="8"/>
  <c r="P11" i="39" s="1"/>
  <c r="O36" i="8"/>
  <c r="O11" i="39" s="1"/>
  <c r="N36" i="8"/>
  <c r="N11" i="39" s="1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1" i="39" s="1"/>
  <c r="Q38" i="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0" i="39" s="1"/>
  <c r="P36" i="3"/>
  <c r="P10" i="39" s="1"/>
  <c r="O36" i="3"/>
  <c r="O10" i="39" s="1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0" i="39" s="1"/>
  <c r="Q38" i="2"/>
  <c r="Q40" s="1"/>
  <c r="P38"/>
  <c r="P40" s="1"/>
  <c r="O38"/>
  <c r="O39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39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9" i="39" s="1"/>
  <c r="B2" s="1"/>
  <c r="C39" i="40" l="1"/>
  <c r="Q39"/>
  <c r="P39"/>
  <c r="O39"/>
  <c r="N39"/>
  <c r="M39"/>
  <c r="L39"/>
  <c r="K39"/>
  <c r="J39"/>
  <c r="B40"/>
  <c r="I39"/>
  <c r="H39"/>
  <c r="G39"/>
  <c r="F39"/>
  <c r="E39"/>
  <c r="D39"/>
  <c r="O40" i="43"/>
  <c r="N39"/>
  <c r="P40"/>
  <c r="M39"/>
  <c r="L39"/>
  <c r="K39"/>
  <c r="J39"/>
  <c r="I39"/>
  <c r="H39"/>
  <c r="G39"/>
  <c r="F39"/>
  <c r="E39"/>
  <c r="D39"/>
  <c r="C39"/>
  <c r="B39"/>
  <c r="Q39"/>
  <c r="Q39" i="33"/>
  <c r="P39"/>
  <c r="O39"/>
  <c r="N39"/>
  <c r="M39"/>
  <c r="L39"/>
  <c r="K39"/>
  <c r="J39"/>
  <c r="I39"/>
  <c r="H39"/>
  <c r="G39"/>
  <c r="F39"/>
  <c r="D39"/>
  <c r="C39"/>
  <c r="B39"/>
  <c r="B39" i="32"/>
  <c r="Q39"/>
  <c r="P39"/>
  <c r="O39"/>
  <c r="N39"/>
  <c r="M39"/>
  <c r="L39"/>
  <c r="K39"/>
  <c r="J39"/>
  <c r="I39"/>
  <c r="H39"/>
  <c r="G39"/>
  <c r="F39"/>
  <c r="E39"/>
  <c r="D39"/>
  <c r="C39"/>
  <c r="P39" i="31"/>
  <c r="O39"/>
  <c r="N39"/>
  <c r="M39"/>
  <c r="L39"/>
  <c r="K39"/>
  <c r="J39"/>
  <c r="I39"/>
  <c r="H39"/>
  <c r="G39"/>
  <c r="F39"/>
  <c r="E39"/>
  <c r="D39"/>
  <c r="C39"/>
  <c r="B39"/>
  <c r="Q39"/>
  <c r="O39" i="30"/>
  <c r="N39"/>
  <c r="M39"/>
  <c r="L39"/>
  <c r="K39"/>
  <c r="J39"/>
  <c r="I39"/>
  <c r="H39"/>
  <c r="G39"/>
  <c r="F39"/>
  <c r="E39"/>
  <c r="D39"/>
  <c r="C39"/>
  <c r="B39"/>
  <c r="Q39"/>
  <c r="P39"/>
  <c r="L39" i="29"/>
  <c r="K39"/>
  <c r="J39"/>
  <c r="I39"/>
  <c r="H39"/>
  <c r="G39"/>
  <c r="F39"/>
  <c r="E39"/>
  <c r="D39"/>
  <c r="C39"/>
  <c r="B39"/>
  <c r="Q40"/>
  <c r="P39"/>
  <c r="O39"/>
  <c r="N39"/>
  <c r="M39"/>
  <c r="Q39" i="44"/>
  <c r="P39"/>
  <c r="O39"/>
  <c r="N39"/>
  <c r="M39"/>
  <c r="L39"/>
  <c r="K39"/>
  <c r="J39"/>
  <c r="I39"/>
  <c r="H39"/>
  <c r="G39"/>
  <c r="F39"/>
  <c r="E39"/>
  <c r="D39"/>
  <c r="C39"/>
  <c r="B39"/>
  <c r="D39" i="27"/>
  <c r="C39"/>
  <c r="B39"/>
  <c r="Q39"/>
  <c r="P39"/>
  <c r="O39"/>
  <c r="N39"/>
  <c r="M39"/>
  <c r="L39"/>
  <c r="K39"/>
  <c r="J39"/>
  <c r="I39"/>
  <c r="H39"/>
  <c r="G39"/>
  <c r="F39"/>
  <c r="E39"/>
  <c r="Q39" i="26"/>
  <c r="P39"/>
  <c r="O39"/>
  <c r="N39"/>
  <c r="M39"/>
  <c r="L39"/>
  <c r="K39"/>
  <c r="J39"/>
  <c r="I39"/>
  <c r="H39"/>
  <c r="G39"/>
  <c r="F39"/>
  <c r="E39"/>
  <c r="D39"/>
  <c r="C39"/>
  <c r="B39"/>
  <c r="B40" i="25"/>
  <c r="Q39"/>
  <c r="P39"/>
  <c r="O39"/>
  <c r="N39"/>
  <c r="M39"/>
  <c r="L39"/>
  <c r="K39"/>
  <c r="J39"/>
  <c r="I39"/>
  <c r="H39"/>
  <c r="G39"/>
  <c r="F39"/>
  <c r="E39"/>
  <c r="D39"/>
  <c r="C39"/>
  <c r="Q39" i="24"/>
  <c r="P39"/>
  <c r="O39"/>
  <c r="N39"/>
  <c r="M39"/>
  <c r="L39"/>
  <c r="K39"/>
  <c r="J39"/>
  <c r="C39"/>
  <c r="I39"/>
  <c r="H39"/>
  <c r="G39"/>
  <c r="F39"/>
  <c r="E39"/>
  <c r="D39"/>
  <c r="Q39" i="23"/>
  <c r="P39"/>
  <c r="O39"/>
  <c r="N39"/>
  <c r="M39"/>
  <c r="L39"/>
  <c r="K39"/>
  <c r="J39"/>
  <c r="I39"/>
  <c r="H39"/>
  <c r="G39"/>
  <c r="F39"/>
  <c r="E39"/>
  <c r="D39"/>
  <c r="C39"/>
  <c r="B39"/>
  <c r="Q39" i="22"/>
  <c r="P39"/>
  <c r="O39"/>
  <c r="N39"/>
  <c r="M39"/>
  <c r="L39"/>
  <c r="K39"/>
  <c r="J39"/>
  <c r="I39"/>
  <c r="H39"/>
  <c r="G39"/>
  <c r="F39"/>
  <c r="E39"/>
  <c r="D39"/>
  <c r="C39"/>
  <c r="B39"/>
  <c r="N39" i="21"/>
  <c r="M39"/>
  <c r="L39"/>
  <c r="K39"/>
  <c r="J39"/>
  <c r="I39"/>
  <c r="H39"/>
  <c r="G39"/>
  <c r="F39"/>
  <c r="E39"/>
  <c r="D39"/>
  <c r="C39"/>
  <c r="B39"/>
  <c r="Q39"/>
  <c r="P39"/>
  <c r="O39"/>
  <c r="J39" i="20"/>
  <c r="I39"/>
  <c r="H39"/>
  <c r="G39"/>
  <c r="F39"/>
  <c r="E39"/>
  <c r="D39"/>
  <c r="C39"/>
  <c r="B39"/>
  <c r="Q39"/>
  <c r="P39"/>
  <c r="O39"/>
  <c r="N39"/>
  <c r="M39"/>
  <c r="L39"/>
  <c r="G39" i="19"/>
  <c r="F39"/>
  <c r="H40"/>
  <c r="E39"/>
  <c r="I39"/>
  <c r="D39"/>
  <c r="C39"/>
  <c r="B39"/>
  <c r="Q39"/>
  <c r="P39"/>
  <c r="O39"/>
  <c r="N39"/>
  <c r="M39"/>
  <c r="L39"/>
  <c r="K39"/>
  <c r="J39"/>
  <c r="G39" i="18"/>
  <c r="F39"/>
  <c r="E39"/>
  <c r="D39"/>
  <c r="C39"/>
  <c r="B39"/>
  <c r="Q39"/>
  <c r="P39"/>
  <c r="O39"/>
  <c r="N39"/>
  <c r="M39"/>
  <c r="L39"/>
  <c r="K39"/>
  <c r="J39"/>
  <c r="I39"/>
  <c r="H39"/>
  <c r="E39" i="17"/>
  <c r="D39"/>
  <c r="C40"/>
  <c r="B39"/>
  <c r="Q39"/>
  <c r="P39"/>
  <c r="O39"/>
  <c r="N39"/>
  <c r="M39"/>
  <c r="L39"/>
  <c r="K40"/>
  <c r="J39"/>
  <c r="I39"/>
  <c r="H39"/>
  <c r="G39"/>
  <c r="F39"/>
  <c r="D39" i="16"/>
  <c r="C39"/>
  <c r="B39"/>
  <c r="Q39"/>
  <c r="P39"/>
  <c r="O39"/>
  <c r="N39"/>
  <c r="M39"/>
  <c r="L39"/>
  <c r="K39"/>
  <c r="J40"/>
  <c r="I39"/>
  <c r="H39"/>
  <c r="G39"/>
  <c r="F39"/>
  <c r="E39"/>
  <c r="D39" i="15"/>
  <c r="C39"/>
  <c r="B39"/>
  <c r="Q39"/>
  <c r="P39"/>
  <c r="O39"/>
  <c r="N39"/>
  <c r="M39"/>
  <c r="L39"/>
  <c r="K39"/>
  <c r="J39"/>
  <c r="I39"/>
  <c r="H39"/>
  <c r="G39"/>
  <c r="F39"/>
  <c r="G39" i="14"/>
  <c r="F39"/>
  <c r="E39"/>
  <c r="D39"/>
  <c r="C39"/>
  <c r="B39"/>
  <c r="Q39"/>
  <c r="P39"/>
  <c r="O39"/>
  <c r="N39"/>
  <c r="M39"/>
  <c r="L39"/>
  <c r="K39"/>
  <c r="J39"/>
  <c r="I39"/>
  <c r="H39"/>
  <c r="E39" i="13"/>
  <c r="D39"/>
  <c r="B39"/>
  <c r="Q39"/>
  <c r="P39"/>
  <c r="O39"/>
  <c r="N39"/>
  <c r="M39"/>
  <c r="L39"/>
  <c r="J39"/>
  <c r="I39"/>
  <c r="H39"/>
  <c r="G39"/>
  <c r="F39"/>
  <c r="G39" i="12"/>
  <c r="F39"/>
  <c r="E39"/>
  <c r="D39"/>
  <c r="C39"/>
  <c r="B39"/>
  <c r="Q39"/>
  <c r="P39"/>
  <c r="O39"/>
  <c r="N39"/>
  <c r="M39"/>
  <c r="L39"/>
  <c r="K39"/>
  <c r="J39"/>
  <c r="I39"/>
  <c r="H39"/>
  <c r="H39" i="11"/>
  <c r="G39"/>
  <c r="F39"/>
  <c r="E39"/>
  <c r="D39"/>
  <c r="C39"/>
  <c r="B39"/>
  <c r="Q39"/>
  <c r="P39"/>
  <c r="O39"/>
  <c r="N39"/>
  <c r="M39"/>
  <c r="L39"/>
  <c r="K39"/>
  <c r="J39"/>
  <c r="I39"/>
  <c r="J39" i="10"/>
  <c r="I39"/>
  <c r="H39"/>
  <c r="G39"/>
  <c r="F39"/>
  <c r="E39"/>
  <c r="D39"/>
  <c r="C39"/>
  <c r="B39"/>
  <c r="Q39"/>
  <c r="P39"/>
  <c r="O39"/>
  <c r="N39"/>
  <c r="M39"/>
  <c r="L39"/>
  <c r="K39"/>
  <c r="H39" i="9"/>
  <c r="G39"/>
  <c r="E39"/>
  <c r="D39"/>
  <c r="C39"/>
  <c r="B39"/>
  <c r="Q39"/>
  <c r="P39"/>
  <c r="O39"/>
  <c r="N40"/>
  <c r="M39"/>
  <c r="L39"/>
  <c r="K39"/>
  <c r="J39"/>
  <c r="I39"/>
  <c r="N39" i="8"/>
  <c r="J39"/>
  <c r="I39"/>
  <c r="H39"/>
  <c r="G39"/>
  <c r="F40"/>
  <c r="E39"/>
  <c r="D39"/>
  <c r="C39"/>
  <c r="B39"/>
  <c r="Q39"/>
  <c r="P39"/>
  <c r="O39"/>
  <c r="M39"/>
  <c r="L39"/>
  <c r="K39"/>
  <c r="M44" i="39"/>
  <c r="M45" s="1"/>
  <c r="L39" i="3"/>
  <c r="K39"/>
  <c r="K44" i="39"/>
  <c r="K45" s="1"/>
  <c r="J39" i="3"/>
  <c r="J44" i="39"/>
  <c r="J46" s="1"/>
  <c r="I39" i="3"/>
  <c r="H39"/>
  <c r="H44" i="39"/>
  <c r="H46" s="1"/>
  <c r="G39" i="3"/>
  <c r="F39"/>
  <c r="I44" i="39"/>
  <c r="I45" s="1"/>
  <c r="F44"/>
  <c r="F45" s="1"/>
  <c r="E39" i="3"/>
  <c r="L44" i="39"/>
  <c r="L46" s="1"/>
  <c r="G44"/>
  <c r="G46" s="1"/>
  <c r="E44"/>
  <c r="E45" s="1"/>
  <c r="D39" i="3"/>
  <c r="C39"/>
  <c r="C44" i="39"/>
  <c r="C45" s="1"/>
  <c r="B39" i="3"/>
  <c r="B44" i="39"/>
  <c r="B46" s="1"/>
  <c r="Q39" i="3"/>
  <c r="P39"/>
  <c r="D44" i="39"/>
  <c r="D45" s="1"/>
  <c r="Q44"/>
  <c r="Q45" s="1"/>
  <c r="O39" i="3"/>
  <c r="P44" i="39"/>
  <c r="P45" s="1"/>
  <c r="O44"/>
  <c r="O46" s="1"/>
  <c r="N39" i="3"/>
  <c r="N44" i="39"/>
  <c r="N46" s="1"/>
  <c r="M39" i="3"/>
  <c r="O40" i="2"/>
  <c r="N39"/>
  <c r="M39"/>
  <c r="L39"/>
  <c r="K39"/>
  <c r="J39"/>
  <c r="I39"/>
  <c r="H39"/>
  <c r="E39"/>
  <c r="G39"/>
  <c r="F39"/>
  <c r="D40"/>
  <c r="C39"/>
  <c r="B39"/>
  <c r="Q39"/>
  <c r="P39"/>
  <c r="Q40" i="39"/>
  <c r="Q41"/>
  <c r="Q42"/>
  <c r="Q43"/>
  <c r="P40"/>
  <c r="P41"/>
  <c r="P42"/>
  <c r="P43"/>
  <c r="O40"/>
  <c r="O41"/>
  <c r="O42"/>
  <c r="O43"/>
  <c r="N40"/>
  <c r="N41"/>
  <c r="N42"/>
  <c r="N43"/>
  <c r="M40"/>
  <c r="M41"/>
  <c r="M42"/>
  <c r="M43"/>
  <c r="L40"/>
  <c r="L41"/>
  <c r="L42"/>
  <c r="L43"/>
  <c r="K40"/>
  <c r="K41"/>
  <c r="K42"/>
  <c r="K43"/>
  <c r="J40"/>
  <c r="J41"/>
  <c r="J42"/>
  <c r="J43"/>
  <c r="I40"/>
  <c r="I41"/>
  <c r="I42"/>
  <c r="I43"/>
  <c r="H40"/>
  <c r="H41"/>
  <c r="H42"/>
  <c r="H43"/>
  <c r="G40"/>
  <c r="G41"/>
  <c r="G42"/>
  <c r="G43"/>
  <c r="F40"/>
  <c r="F41"/>
  <c r="F42"/>
  <c r="F43"/>
  <c r="E40"/>
  <c r="E41"/>
  <c r="E42"/>
  <c r="E43"/>
  <c r="D40"/>
  <c r="D41"/>
  <c r="D42"/>
  <c r="D43"/>
  <c r="C40"/>
  <c r="C41"/>
  <c r="C42"/>
  <c r="C43"/>
  <c r="B40"/>
  <c r="B41"/>
  <c r="B42"/>
  <c r="B43"/>
  <c r="M46" l="1"/>
  <c r="H45"/>
  <c r="G45"/>
  <c r="L45"/>
  <c r="N45"/>
  <c r="B45"/>
  <c r="I46"/>
  <c r="P46"/>
  <c r="J45"/>
  <c r="E46"/>
  <c r="D46"/>
  <c r="O45"/>
  <c r="F46"/>
  <c r="C46"/>
  <c r="K46"/>
  <c r="Q46"/>
</calcChain>
</file>

<file path=xl/sharedStrings.xml><?xml version="1.0" encoding="utf-8"?>
<sst xmlns="http://schemas.openxmlformats.org/spreadsheetml/2006/main" count="2779" uniqueCount="779">
  <si>
    <t>Station:</t>
  </si>
  <si>
    <t>IGKV ,RAIPUR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</si>
  <si>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</si>
  <si>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</si>
  <si>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</si>
  <si>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</si>
  <si>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</si>
  <si>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</si>
  <si>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</si>
  <si>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</si>
  <si>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</si>
  <si>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</si>
  <si>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</si>
  <si>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</si>
  <si>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</si>
  <si>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</si>
  <si>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</si>
  <si>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01 Hour</t>
  </si>
  <si>
    <t>Zero Referrence</t>
  </si>
  <si>
    <t>Z.Ref</t>
  </si>
  <si>
    <t>Warm Up</t>
  </si>
  <si>
    <t>Wm. Up</t>
  </si>
  <si>
    <t>Date &amp; Time</t>
  </si>
  <si>
    <t>NO</t>
  </si>
  <si>
    <t>NO2</t>
  </si>
  <si>
    <t>NOX</t>
  </si>
  <si>
    <t>SO2</t>
  </si>
  <si>
    <t>O3</t>
  </si>
  <si>
    <t>PM 10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</si>
  <si>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</si>
  <si>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</si>
  <si>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</si>
  <si>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</si>
  <si>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</si>
  <si>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</si>
  <si>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</si>
  <si>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</si>
  <si>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</si>
  <si>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</si>
  <si>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</si>
  <si>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</si>
  <si>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mg/m3</t>
  </si>
  <si>
    <t>m/sec</t>
  </si>
  <si>
    <t>deg</t>
  </si>
  <si>
    <t>degreC</t>
  </si>
  <si>
    <t>%</t>
  </si>
  <si>
    <t>w/m2</t>
  </si>
  <si>
    <t>mm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</si>
  <si>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</si>
  <si>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</si>
  <si>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</si>
  <si>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</si>
  <si>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</si>
  <si>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</si>
  <si>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</si>
  <si>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</si>
  <si>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</si>
  <si>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</si>
  <si>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</si>
  <si>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</si>
  <si>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01/11/2023 01:00</t>
  </si>
  <si>
    <t>01/11/2023 02:00</t>
  </si>
  <si>
    <t>01/11/2023 03:00</t>
  </si>
  <si>
    <t>01/11/2023 04:00</t>
  </si>
  <si>
    <t>01/11/2023 05:00</t>
  </si>
  <si>
    <t>01/11/2023 06:00</t>
  </si>
  <si>
    <t>01/11/2023 07:00</t>
  </si>
  <si>
    <t>01/11/2023 08:00</t>
  </si>
  <si>
    <t>01/11/2023 09:00</t>
  </si>
  <si>
    <t>01/11/2023 10:00</t>
  </si>
  <si>
    <t>01/11/2023 11:00</t>
  </si>
  <si>
    <t>01/11/2023 12:00</t>
  </si>
  <si>
    <t>01/11/2023 13:00</t>
  </si>
  <si>
    <t>01/11/2023 14:00</t>
  </si>
  <si>
    <t>01/11/2023 15:00</t>
  </si>
  <si>
    <t>01/11/2023 16:00</t>
  </si>
  <si>
    <t>01/11/2023 17:00</t>
  </si>
  <si>
    <t>01/11/2023 18:00</t>
  </si>
  <si>
    <t>01/11/2023 19:00</t>
  </si>
  <si>
    <t>01/11/2023 20:00</t>
  </si>
  <si>
    <t>01/11/2023 21:00</t>
  </si>
  <si>
    <t>01/11/2023 22:00</t>
  </si>
  <si>
    <t>01/11/2023 23:00</t>
  </si>
  <si>
    <t>01/11/2023 24:00</t>
  </si>
  <si>
    <t>02/11/2023 01:00</t>
  </si>
  <si>
    <t>02/11/2023 02:00</t>
  </si>
  <si>
    <t>02/11/2023 03:00</t>
  </si>
  <si>
    <t>02/11/2023 04:00</t>
  </si>
  <si>
    <t>02/11/2023 05:00</t>
  </si>
  <si>
    <t>02/11/2023 06:00</t>
  </si>
  <si>
    <t>02/11/2023 07:00</t>
  </si>
  <si>
    <t>02/11/2023 08:00</t>
  </si>
  <si>
    <t>02/11/2023 09:00</t>
  </si>
  <si>
    <t>02/11/2023 10:00</t>
  </si>
  <si>
    <t>02/11/2023 11:00</t>
  </si>
  <si>
    <t>02/11/2023 12:00</t>
  </si>
  <si>
    <t>02/11/2023 13:00</t>
  </si>
  <si>
    <t>02/11/2023 14:00</t>
  </si>
  <si>
    <t>02/11/2023 15:00</t>
  </si>
  <si>
    <t>02/11/2023 16:00</t>
  </si>
  <si>
    <t>02/11/2023 17:00</t>
  </si>
  <si>
    <t>02/11/2023 18:00</t>
  </si>
  <si>
    <t>02/11/2023 19:00</t>
  </si>
  <si>
    <t>02/11/2023 20:00</t>
  </si>
  <si>
    <t>02/11/2023 21:00</t>
  </si>
  <si>
    <t>02/11/2023 22:00</t>
  </si>
  <si>
    <t>02/11/2023 23:00</t>
  </si>
  <si>
    <t>02/11/2023 24:00</t>
  </si>
  <si>
    <t>03/11/2023 01:00</t>
  </si>
  <si>
    <t>03/11/2023 02:00</t>
  </si>
  <si>
    <t>03/11/2023 03:00</t>
  </si>
  <si>
    <t>03/11/2023 04:00</t>
  </si>
  <si>
    <t>03/11/2023 05:00</t>
  </si>
  <si>
    <t>03/11/2023 06:00</t>
  </si>
  <si>
    <t>03/11/2023 07:00</t>
  </si>
  <si>
    <t>03/11/2023 08:00</t>
  </si>
  <si>
    <t>03/11/2023 09:00</t>
  </si>
  <si>
    <t>03/11/2023 10:00</t>
  </si>
  <si>
    <t>03/11/2023 11:00</t>
  </si>
  <si>
    <t>03/11/2023 12:00</t>
  </si>
  <si>
    <t>03/11/2023 13:00</t>
  </si>
  <si>
    <t>03/11/2023 14:00</t>
  </si>
  <si>
    <t>03/11/2023 15:00</t>
  </si>
  <si>
    <t>03/11/2023 16:00</t>
  </si>
  <si>
    <t>03/11/2023 17:00</t>
  </si>
  <si>
    <t>03/11/2023 18:00</t>
  </si>
  <si>
    <t>03/11/2023 19:00</t>
  </si>
  <si>
    <t>03/11/2023 20:00</t>
  </si>
  <si>
    <t>03/11/2023 21:00</t>
  </si>
  <si>
    <t>03/11/2023 22:00</t>
  </si>
  <si>
    <t>03/11/2023 23:00</t>
  </si>
  <si>
    <t>03/11/2023 24:00</t>
  </si>
  <si>
    <t>04/11/2023 01:00</t>
  </si>
  <si>
    <t>04/11/2023 02:00</t>
  </si>
  <si>
    <t>04/11/2023 03:00</t>
  </si>
  <si>
    <t>04/11/2023 04:00</t>
  </si>
  <si>
    <t>04/11/2023 05:00</t>
  </si>
  <si>
    <t>04/11/2023 06:00</t>
  </si>
  <si>
    <t>04/11/2023 07:00</t>
  </si>
  <si>
    <t>04/11/2023 08:00</t>
  </si>
  <si>
    <t>04/11/2023 09:00</t>
  </si>
  <si>
    <t>04/11/2023 10:00</t>
  </si>
  <si>
    <t>04/11/2023 11:00</t>
  </si>
  <si>
    <t>04/11/2023 12:00</t>
  </si>
  <si>
    <t>04/11/2023 13:00</t>
  </si>
  <si>
    <t>04/11/2023 14:00</t>
  </si>
  <si>
    <t>04/11/2023 15:00</t>
  </si>
  <si>
    <t>04/11/2023 16:00</t>
  </si>
  <si>
    <t>04/11/2023 17:00</t>
  </si>
  <si>
    <t>04/11/2023 18:00</t>
  </si>
  <si>
    <t>04/11/2023 19:00</t>
  </si>
  <si>
    <t>04/11/2023 20:00</t>
  </si>
  <si>
    <t>04/11/2023 21:00</t>
  </si>
  <si>
    <t>04/11/2023 22:00</t>
  </si>
  <si>
    <t>04/11/2023 23:00</t>
  </si>
  <si>
    <t>04/11/2023 24:00</t>
  </si>
  <si>
    <t>05/11/2023 01:00</t>
  </si>
  <si>
    <t>05/11/2023 02:00</t>
  </si>
  <si>
    <t>05/11/2023 03:00</t>
  </si>
  <si>
    <t>05/11/2023 04:00</t>
  </si>
  <si>
    <t>05/11/2023 05:00</t>
  </si>
  <si>
    <t>05/11/2023 06:00</t>
  </si>
  <si>
    <t>05/11/2023 07:00</t>
  </si>
  <si>
    <t>05/11/2023 08:00</t>
  </si>
  <si>
    <t>05/11/2023 09:00</t>
  </si>
  <si>
    <t>05/11/2023 10:00</t>
  </si>
  <si>
    <t>05/11/2023 11:00</t>
  </si>
  <si>
    <t>05/11/2023 12:00</t>
  </si>
  <si>
    <t>05/11/2023 13:00</t>
  </si>
  <si>
    <t>05/11/2023 14:00</t>
  </si>
  <si>
    <t>05/11/2023 15:00</t>
  </si>
  <si>
    <t>05/11/2023 16:00</t>
  </si>
  <si>
    <t>05/11/2023 17:00</t>
  </si>
  <si>
    <t>05/11/2023 18:00</t>
  </si>
  <si>
    <t>05/11/2023 19:00</t>
  </si>
  <si>
    <t>05/11/2023 20:00</t>
  </si>
  <si>
    <t>05/11/2023 21:00</t>
  </si>
  <si>
    <t>05/11/2023 22:00</t>
  </si>
  <si>
    <t>05/11/2023 23:00</t>
  </si>
  <si>
    <t>05/11/2023 24:00</t>
  </si>
  <si>
    <t>06/11/2023 01:00</t>
  </si>
  <si>
    <t>06/11/2023 02:00</t>
  </si>
  <si>
    <t>06/11/2023 03:00</t>
  </si>
  <si>
    <t>06/11/2023 04:00</t>
  </si>
  <si>
    <t>06/11/2023 05:00</t>
  </si>
  <si>
    <t>06/11/2023 06:00</t>
  </si>
  <si>
    <t>06/11/2023 07:00</t>
  </si>
  <si>
    <t>06/11/2023 08:00</t>
  </si>
  <si>
    <t>06/11/2023 09:00</t>
  </si>
  <si>
    <t>06/11/2023 10:00</t>
  </si>
  <si>
    <t>06/11/2023 11:00</t>
  </si>
  <si>
    <t>06/11/2023 12:00</t>
  </si>
  <si>
    <t>06/11/2023 13:00</t>
  </si>
  <si>
    <t>06/11/2023 14:00</t>
  </si>
  <si>
    <t>06/11/2023 15:00</t>
  </si>
  <si>
    <t>06/11/2023 16:00</t>
  </si>
  <si>
    <t>06/11/2023 17:00</t>
  </si>
  <si>
    <t>06/11/2023 18:00</t>
  </si>
  <si>
    <t>06/11/2023 19:00</t>
  </si>
  <si>
    <t>06/11/2023 20:00</t>
  </si>
  <si>
    <t>06/11/2023 21:00</t>
  </si>
  <si>
    <t>06/11/2023 22:00</t>
  </si>
  <si>
    <t>06/11/2023 23:00</t>
  </si>
  <si>
    <t>06/11/2023 24:00</t>
  </si>
  <si>
    <t>07/11/2023 01:00</t>
  </si>
  <si>
    <t>07/11/2023 02:00</t>
  </si>
  <si>
    <t>07/11/2023 03:00</t>
  </si>
  <si>
    <t>07/11/2023 04:00</t>
  </si>
  <si>
    <t>07/11/2023 05:00</t>
  </si>
  <si>
    <t>07/11/2023 06:00</t>
  </si>
  <si>
    <t>07/11/2023 07:00</t>
  </si>
  <si>
    <t>07/11/2023 08:00</t>
  </si>
  <si>
    <t>07/11/2023 09:00</t>
  </si>
  <si>
    <t>07/11/2023 10:00</t>
  </si>
  <si>
    <t>07/11/2023 11:00</t>
  </si>
  <si>
    <t>07/11/2023 12:00</t>
  </si>
  <si>
    <t>07/11/2023 13:00</t>
  </si>
  <si>
    <t>07/11/2023 14:00</t>
  </si>
  <si>
    <t>07/11/2023 15:00</t>
  </si>
  <si>
    <t>07/11/2023 16:00</t>
  </si>
  <si>
    <t>07/11/2023 17:00</t>
  </si>
  <si>
    <t>07/11/2023 18:00</t>
  </si>
  <si>
    <t>07/11/2023 19:00</t>
  </si>
  <si>
    <t>07/11/2023 20:00</t>
  </si>
  <si>
    <t>07/11/2023 21:00</t>
  </si>
  <si>
    <t>07/11/2023 22:00</t>
  </si>
  <si>
    <t>07/11/2023 23:00</t>
  </si>
  <si>
    <t>07/11/2023 24:00</t>
  </si>
  <si>
    <t>08/11/2023 01:00</t>
  </si>
  <si>
    <t>08/11/2023 02:00</t>
  </si>
  <si>
    <t>08/11/2023 03:00</t>
  </si>
  <si>
    <t>08/11/2023 04:00</t>
  </si>
  <si>
    <t>08/11/2023 05:00</t>
  </si>
  <si>
    <t>08/11/2023 06:00</t>
  </si>
  <si>
    <t>08/11/2023 07:00</t>
  </si>
  <si>
    <t>08/11/2023 08:00</t>
  </si>
  <si>
    <t>08/11/2023 09:00</t>
  </si>
  <si>
    <t>08/11/2023 10:00</t>
  </si>
  <si>
    <t>08/11/2023 11:00</t>
  </si>
  <si>
    <t>08/11/2023 12:00</t>
  </si>
  <si>
    <t>08/11/2023 13:00</t>
  </si>
  <si>
    <t>08/11/2023 14:00</t>
  </si>
  <si>
    <t>08/11/2023 15:00</t>
  </si>
  <si>
    <t>08/11/2023 16:00</t>
  </si>
  <si>
    <t>08/11/2023 17:00</t>
  </si>
  <si>
    <t>08/11/2023 18:00</t>
  </si>
  <si>
    <t>08/11/2023 19:00</t>
  </si>
  <si>
    <t>08/11/2023 20:00</t>
  </si>
  <si>
    <t>08/11/2023 21:00</t>
  </si>
  <si>
    <t>08/11/2023 22:00</t>
  </si>
  <si>
    <t>08/11/2023 23:00</t>
  </si>
  <si>
    <t>08/11/2023 24:00</t>
  </si>
  <si>
    <t>09/11/2023 01:00</t>
  </si>
  <si>
    <t>09/11/2023 02:00</t>
  </si>
  <si>
    <t>09/11/2023 03:00</t>
  </si>
  <si>
    <t>09/11/2023 04:00</t>
  </si>
  <si>
    <t>09/11/2023 05:00</t>
  </si>
  <si>
    <t>09/11/2023 06:00</t>
  </si>
  <si>
    <t>09/11/2023 07:00</t>
  </si>
  <si>
    <t>09/11/2023 08:00</t>
  </si>
  <si>
    <t>09/11/2023 09:00</t>
  </si>
  <si>
    <t>09/11/2023 10:00</t>
  </si>
  <si>
    <t>09/11/2023 11:00</t>
  </si>
  <si>
    <t>09/11/2023 12:00</t>
  </si>
  <si>
    <t>09/11/2023 13:00</t>
  </si>
  <si>
    <t>09/11/2023 14:00</t>
  </si>
  <si>
    <t>09/11/2023 15:00</t>
  </si>
  <si>
    <t>09/11/2023 16:00</t>
  </si>
  <si>
    <t>09/11/2023 17:00</t>
  </si>
  <si>
    <t>09/11/2023 18:00</t>
  </si>
  <si>
    <t>09/11/2023 19:00</t>
  </si>
  <si>
    <t>09/11/2023 20:00</t>
  </si>
  <si>
    <t>09/11/2023 21:00</t>
  </si>
  <si>
    <t>09/11/2023 22:00</t>
  </si>
  <si>
    <t>09/11/2023 23:00</t>
  </si>
  <si>
    <t>09/11/2023 24:00</t>
  </si>
  <si>
    <t>10/11/2023 01:00</t>
  </si>
  <si>
    <t>10/11/2023 02:00</t>
  </si>
  <si>
    <t>10/11/2023 03:00</t>
  </si>
  <si>
    <t>10/11/2023 04:00</t>
  </si>
  <si>
    <t>10/11/2023 05:00</t>
  </si>
  <si>
    <t>10/11/2023 06:00</t>
  </si>
  <si>
    <t>10/11/2023 07:00</t>
  </si>
  <si>
    <t>10/11/2023 08:00</t>
  </si>
  <si>
    <t>10/11/2023 09:00</t>
  </si>
  <si>
    <t>10/11/2023 10:00</t>
  </si>
  <si>
    <t>10/11/2023 11:00</t>
  </si>
  <si>
    <t>10/11/2023 12:00</t>
  </si>
  <si>
    <t>10/11/2023 13:00</t>
  </si>
  <si>
    <t>10/11/2023 14:00</t>
  </si>
  <si>
    <t>10/11/2023 15:00</t>
  </si>
  <si>
    <t>10/11/2023 16:00</t>
  </si>
  <si>
    <t>10/11/2023 17:00</t>
  </si>
  <si>
    <t>10/11/2023 18:00</t>
  </si>
  <si>
    <t>10/11/2023 19:00</t>
  </si>
  <si>
    <t>10/11/2023 20:00</t>
  </si>
  <si>
    <t>10/11/2023 21:00</t>
  </si>
  <si>
    <t>10/11/2023 22:00</t>
  </si>
  <si>
    <t>10/11/2023 23:00</t>
  </si>
  <si>
    <t>10/11/2023 24:00</t>
  </si>
  <si>
    <t>11/11/2023 01:00</t>
  </si>
  <si>
    <t>11/11/2023 02:00</t>
  </si>
  <si>
    <t>11/11/2023 03:00</t>
  </si>
  <si>
    <t>11/11/2023 04:00</t>
  </si>
  <si>
    <t>11/11/2023 05:00</t>
  </si>
  <si>
    <t>11/11/2023 06:00</t>
  </si>
  <si>
    <t>11/11/2023 07:00</t>
  </si>
  <si>
    <t>11/11/2023 08:00</t>
  </si>
  <si>
    <t>11/11/2023 09:00</t>
  </si>
  <si>
    <t>11/11/2023 10:00</t>
  </si>
  <si>
    <t>11/11/2023 11:00</t>
  </si>
  <si>
    <t>11/11/2023 12:00</t>
  </si>
  <si>
    <t>11/11/2023 13:00</t>
  </si>
  <si>
    <t>11/11/2023 14:00</t>
  </si>
  <si>
    <t>11/11/2023 15:00</t>
  </si>
  <si>
    <t>11/11/2023 16:00</t>
  </si>
  <si>
    <t>11/11/2023 17:00</t>
  </si>
  <si>
    <t>11/11/2023 18:00</t>
  </si>
  <si>
    <t>11/11/2023 19:00</t>
  </si>
  <si>
    <t>11/11/2023 20:00</t>
  </si>
  <si>
    <t>11/11/2023 21:00</t>
  </si>
  <si>
    <t>11/11/2023 22:00</t>
  </si>
  <si>
    <t>11/11/2023 23:00</t>
  </si>
  <si>
    <t>11/11/2023 24:00</t>
  </si>
  <si>
    <t>12/11/2023 01:00</t>
  </si>
  <si>
    <t>12/11/2023 02:00</t>
  </si>
  <si>
    <t>12/11/2023 03:00</t>
  </si>
  <si>
    <t>12/11/2023 04:00</t>
  </si>
  <si>
    <t>12/11/2023 05:00</t>
  </si>
  <si>
    <t>12/11/2023 06:00</t>
  </si>
  <si>
    <t>12/11/2023 07:00</t>
  </si>
  <si>
    <t>12/11/2023 08:00</t>
  </si>
  <si>
    <t>12/11/2023 09:00</t>
  </si>
  <si>
    <t>12/11/2023 10:00</t>
  </si>
  <si>
    <t>12/11/2023 11:00</t>
  </si>
  <si>
    <t>12/11/2023 12:00</t>
  </si>
  <si>
    <t>12/11/2023 13:00</t>
  </si>
  <si>
    <t>12/11/2023 14:00</t>
  </si>
  <si>
    <t>12/11/2023 15:00</t>
  </si>
  <si>
    <t>12/11/2023 16:00</t>
  </si>
  <si>
    <t>12/11/2023 17:00</t>
  </si>
  <si>
    <t>12/11/2023 18:00</t>
  </si>
  <si>
    <t>12/11/2023 19:00</t>
  </si>
  <si>
    <t>12/11/2023 20:00</t>
  </si>
  <si>
    <t>12/11/2023 21:00</t>
  </si>
  <si>
    <t>12/11/2023 22:00</t>
  </si>
  <si>
    <t>12/11/2023 23:00</t>
  </si>
  <si>
    <t>12/11/2023 24:00</t>
  </si>
  <si>
    <t>13/11/2023 01:00</t>
  </si>
  <si>
    <t>13/11/2023 02:00</t>
  </si>
  <si>
    <t>13/11/2023 03:00</t>
  </si>
  <si>
    <t>13/11/2023 04:00</t>
  </si>
  <si>
    <t>13/11/2023 05:00</t>
  </si>
  <si>
    <t>13/11/2023 06:00</t>
  </si>
  <si>
    <t>13/11/2023 07:00</t>
  </si>
  <si>
    <t>13/11/2023 08:00</t>
  </si>
  <si>
    <t>13/11/2023 09:00</t>
  </si>
  <si>
    <t>13/11/2023 10:00</t>
  </si>
  <si>
    <t>13/11/2023 11:00</t>
  </si>
  <si>
    <t>13/11/2023 12:00</t>
  </si>
  <si>
    <t>13/11/2023 13:00</t>
  </si>
  <si>
    <t>13/11/2023 14:00</t>
  </si>
  <si>
    <t>13/11/2023 15:00</t>
  </si>
  <si>
    <t>13/11/2023 16:00</t>
  </si>
  <si>
    <t>13/11/2023 17:00</t>
  </si>
  <si>
    <t>13/11/2023 18:00</t>
  </si>
  <si>
    <t>13/11/2023 19:00</t>
  </si>
  <si>
    <t>13/11/2023 20:00</t>
  </si>
  <si>
    <t>13/11/2023 21:00</t>
  </si>
  <si>
    <t>13/11/2023 22:00</t>
  </si>
  <si>
    <t>13/11/2023 23:00</t>
  </si>
  <si>
    <t>13/11/2023 24:00</t>
  </si>
  <si>
    <t>14/11/2023 01:00</t>
  </si>
  <si>
    <t>14/11/2023 02:00</t>
  </si>
  <si>
    <t>14/11/2023 03:00</t>
  </si>
  <si>
    <t>14/11/2023 04:00</t>
  </si>
  <si>
    <t>14/11/2023 05:00</t>
  </si>
  <si>
    <t>14/11/2023 06:00</t>
  </si>
  <si>
    <t>14/11/2023 07:00</t>
  </si>
  <si>
    <t>14/11/2023 08:00</t>
  </si>
  <si>
    <t>14/11/2023 09:00</t>
  </si>
  <si>
    <t>14/11/2023 10:00</t>
  </si>
  <si>
    <t>14/11/2023 11:00</t>
  </si>
  <si>
    <t>14/11/2023 12:00</t>
  </si>
  <si>
    <t>14/11/2023 13:00</t>
  </si>
  <si>
    <t>14/11/2023 14:00</t>
  </si>
  <si>
    <t>14/11/2023 15:00</t>
  </si>
  <si>
    <t>14/11/2023 16:00</t>
  </si>
  <si>
    <t>14/11/2023 17:00</t>
  </si>
  <si>
    <t>14/11/2023 18:00</t>
  </si>
  <si>
    <t>14/11/2023 19:00</t>
  </si>
  <si>
    <t>14/11/2023 20:00</t>
  </si>
  <si>
    <t>14/11/2023 21:00</t>
  </si>
  <si>
    <t>14/11/2023 22:00</t>
  </si>
  <si>
    <t>14/11/2023 23:00</t>
  </si>
  <si>
    <t>14/11/2023 24:00</t>
  </si>
  <si>
    <t>15/11/2023 01:00</t>
  </si>
  <si>
    <t>15/11/2023 02:00</t>
  </si>
  <si>
    <t>15/11/2023 03:00</t>
  </si>
  <si>
    <t>15/11/2023 04:00</t>
  </si>
  <si>
    <t>15/11/2023 05:00</t>
  </si>
  <si>
    <t>15/11/2023 06:00</t>
  </si>
  <si>
    <t>15/11/2023 07:00</t>
  </si>
  <si>
    <t>15/11/2023 08:00</t>
  </si>
  <si>
    <t>15/11/2023 09:00</t>
  </si>
  <si>
    <t>15/11/2023 10:00</t>
  </si>
  <si>
    <t>15/11/2023 11:00</t>
  </si>
  <si>
    <t>15/11/2023 12:00</t>
  </si>
  <si>
    <t>15/11/2023 13:00</t>
  </si>
  <si>
    <t>15/11/2023 14:00</t>
  </si>
  <si>
    <t>15/11/2023 15:00</t>
  </si>
  <si>
    <t>15/11/2023 16:00</t>
  </si>
  <si>
    <t>15/11/2023 17:00</t>
  </si>
  <si>
    <t>15/11/2023 18:00</t>
  </si>
  <si>
    <t>15/11/2023 19:00</t>
  </si>
  <si>
    <t>15/11/2023 20:00</t>
  </si>
  <si>
    <t>15/11/2023 21:00</t>
  </si>
  <si>
    <t>15/11/2023 22:00</t>
  </si>
  <si>
    <t>15/11/2023 23:00</t>
  </si>
  <si>
    <t>15/11/2023 24:00</t>
  </si>
  <si>
    <t>16/11/2023 01:00</t>
  </si>
  <si>
    <t>16/11/2023 02:00</t>
  </si>
  <si>
    <t>16/11/2023 03:00</t>
  </si>
  <si>
    <t>16/11/2023 04:00</t>
  </si>
  <si>
    <t>16/11/2023 05:00</t>
  </si>
  <si>
    <t>16/11/2023 06:00</t>
  </si>
  <si>
    <t>16/11/2023 07:00</t>
  </si>
  <si>
    <t>16/11/2023 08:00</t>
  </si>
  <si>
    <t>16/11/2023 09:00</t>
  </si>
  <si>
    <t>16/11/2023 10:00</t>
  </si>
  <si>
    <t>16/11/2023 11:00</t>
  </si>
  <si>
    <t>16/11/2023 12:00</t>
  </si>
  <si>
    <t>16/11/2023 13:00</t>
  </si>
  <si>
    <t>16/11/2023 14:00</t>
  </si>
  <si>
    <t>16/11/2023 15:00</t>
  </si>
  <si>
    <t>16/11/2023 16:00</t>
  </si>
  <si>
    <t>16/11/2023 17:00</t>
  </si>
  <si>
    <t>16/11/2023 18:00</t>
  </si>
  <si>
    <t>16/11/2023 19:00</t>
  </si>
  <si>
    <t>16/11/2023 20:00</t>
  </si>
  <si>
    <t>16/11/2023 21:00</t>
  </si>
  <si>
    <t>16/11/2023 22:00</t>
  </si>
  <si>
    <t>16/11/2023 23:00</t>
  </si>
  <si>
    <t>16/11/2023 24:00</t>
  </si>
  <si>
    <t>17/11/2023 01:00</t>
  </si>
  <si>
    <t>17/11/2023 02:00</t>
  </si>
  <si>
    <t>17/11/2023 03:00</t>
  </si>
  <si>
    <t>17/11/2023 04:00</t>
  </si>
  <si>
    <t>17/11/2023 05:00</t>
  </si>
  <si>
    <t>17/11/2023 06:00</t>
  </si>
  <si>
    <t>17/11/2023 07:00</t>
  </si>
  <si>
    <t>17/11/2023 08:00</t>
  </si>
  <si>
    <t>17/11/2023 09:00</t>
  </si>
  <si>
    <t>17/11/2023 10:00</t>
  </si>
  <si>
    <t>17/11/2023 11:00</t>
  </si>
  <si>
    <t>17/11/2023 12:00</t>
  </si>
  <si>
    <t>17/11/2023 13:00</t>
  </si>
  <si>
    <t>17/11/2023 14:00</t>
  </si>
  <si>
    <t>17/11/2023 15:00</t>
  </si>
  <si>
    <t>17/11/2023 16:00</t>
  </si>
  <si>
    <t>17/11/2023 17:00</t>
  </si>
  <si>
    <t>17/11/2023 18:00</t>
  </si>
  <si>
    <t>17/11/2023 19:00</t>
  </si>
  <si>
    <t>17/11/2023 20:00</t>
  </si>
  <si>
    <t>17/11/2023 21:00</t>
  </si>
  <si>
    <t>17/11/2023 22:00</t>
  </si>
  <si>
    <t>17/11/2023 23:00</t>
  </si>
  <si>
    <t>17/11/2023 24:00</t>
  </si>
  <si>
    <t>18/11/2023 01:00</t>
  </si>
  <si>
    <t>18/11/2023 02:00</t>
  </si>
  <si>
    <t>18/11/2023 03:00</t>
  </si>
  <si>
    <t>18/11/2023 04:00</t>
  </si>
  <si>
    <t>18/11/2023 05:00</t>
  </si>
  <si>
    <t>18/11/2023 06:00</t>
  </si>
  <si>
    <t>18/11/2023 07:00</t>
  </si>
  <si>
    <t>18/11/2023 08:00</t>
  </si>
  <si>
    <t>18/11/2023 09:00</t>
  </si>
  <si>
    <t>18/11/2023 10:00</t>
  </si>
  <si>
    <t>18/11/2023 11:00</t>
  </si>
  <si>
    <t>18/11/2023 12:00</t>
  </si>
  <si>
    <t>18/11/2023 13:00</t>
  </si>
  <si>
    <t>18/11/2023 14:00</t>
  </si>
  <si>
    <t>18/11/2023 15:00</t>
  </si>
  <si>
    <t>18/11/2023 16:00</t>
  </si>
  <si>
    <t>18/11/2023 17:00</t>
  </si>
  <si>
    <t>18/11/2023 18:00</t>
  </si>
  <si>
    <t>18/11/2023 19:00</t>
  </si>
  <si>
    <t>18/11/2023 20:00</t>
  </si>
  <si>
    <t>18/11/2023 21:00</t>
  </si>
  <si>
    <t>18/11/2023 22:00</t>
  </si>
  <si>
    <t>18/11/2023 23:00</t>
  </si>
  <si>
    <t>18/11/2023 24:00</t>
  </si>
  <si>
    <t>19/11/2023 01:00</t>
  </si>
  <si>
    <t>19/11/2023 02:00</t>
  </si>
  <si>
    <t>19/11/2023 03:00</t>
  </si>
  <si>
    <t>19/11/2023 04:00</t>
  </si>
  <si>
    <t>19/11/2023 05:00</t>
  </si>
  <si>
    <t>19/11/2023 06:00</t>
  </si>
  <si>
    <t>19/11/2023 07:00</t>
  </si>
  <si>
    <t>19/11/2023 08:00</t>
  </si>
  <si>
    <t>19/11/2023 09:00</t>
  </si>
  <si>
    <t>19/11/2023 10:00</t>
  </si>
  <si>
    <t>19/11/2023 11:00</t>
  </si>
  <si>
    <t>19/11/2023 12:00</t>
  </si>
  <si>
    <t>19/11/2023 13:00</t>
  </si>
  <si>
    <t>19/11/2023 14:00</t>
  </si>
  <si>
    <t>19/11/2023 15:00</t>
  </si>
  <si>
    <t>19/11/2023 16:00</t>
  </si>
  <si>
    <t>19/11/2023 17:00</t>
  </si>
  <si>
    <t>19/11/2023 18:00</t>
  </si>
  <si>
    <t>19/11/2023 19:00</t>
  </si>
  <si>
    <t>19/11/2023 20:00</t>
  </si>
  <si>
    <t>19/11/2023 21:00</t>
  </si>
  <si>
    <t>19/11/2023 22:00</t>
  </si>
  <si>
    <t>19/11/2023 23:00</t>
  </si>
  <si>
    <t>19/11/2023 24:00</t>
  </si>
  <si>
    <t>20/11/2023 01:00</t>
  </si>
  <si>
    <t>20/11/2023 02:00</t>
  </si>
  <si>
    <t>20/11/2023 03:00</t>
  </si>
  <si>
    <t>20/11/2023 04:00</t>
  </si>
  <si>
    <t>20/11/2023 05:00</t>
  </si>
  <si>
    <t>20/11/2023 06:00</t>
  </si>
  <si>
    <t>20/11/2023 07:00</t>
  </si>
  <si>
    <t>20/11/2023 08:00</t>
  </si>
  <si>
    <t>20/11/2023 09:00</t>
  </si>
  <si>
    <t>20/11/2023 10:00</t>
  </si>
  <si>
    <t>20/11/2023 11:00</t>
  </si>
  <si>
    <t>20/11/2023 12:00</t>
  </si>
  <si>
    <t>20/11/2023 13:00</t>
  </si>
  <si>
    <t>20/11/2023 14:00</t>
  </si>
  <si>
    <t>20/11/2023 15:00</t>
  </si>
  <si>
    <t>20/11/2023 16:00</t>
  </si>
  <si>
    <t>20/11/2023 17:00</t>
  </si>
  <si>
    <t>20/11/2023 18:00</t>
  </si>
  <si>
    <t>20/11/2023 19:00</t>
  </si>
  <si>
    <t>20/11/2023 20:00</t>
  </si>
  <si>
    <t>20/11/2023 21:00</t>
  </si>
  <si>
    <t>20/11/2023 22:00</t>
  </si>
  <si>
    <t>20/11/2023 23:00</t>
  </si>
  <si>
    <t>20/11/2023 24:00</t>
  </si>
  <si>
    <t>21/11/2023 01:00</t>
  </si>
  <si>
    <t>21/11/2023 02:00</t>
  </si>
  <si>
    <t>21/11/2023 03:00</t>
  </si>
  <si>
    <t>21/11/2023 04:00</t>
  </si>
  <si>
    <t>21/11/2023 05:00</t>
  </si>
  <si>
    <t>21/11/2023 06:00</t>
  </si>
  <si>
    <t>21/11/2023 07:00</t>
  </si>
  <si>
    <t>21/11/2023 08:00</t>
  </si>
  <si>
    <t>21/11/2023 09:00</t>
  </si>
  <si>
    <t>21/11/2023 10:00</t>
  </si>
  <si>
    <t>21/11/2023 11:00</t>
  </si>
  <si>
    <t>21/11/2023 12:00</t>
  </si>
  <si>
    <t>21/11/2023 13:00</t>
  </si>
  <si>
    <t>21/11/2023 14:00</t>
  </si>
  <si>
    <t>21/11/2023 15:00</t>
  </si>
  <si>
    <t>21/11/2023 16:00</t>
  </si>
  <si>
    <t>21/11/2023 17:00</t>
  </si>
  <si>
    <t>21/11/2023 18:00</t>
  </si>
  <si>
    <t>21/11/2023 19:00</t>
  </si>
  <si>
    <t>21/11/2023 20:00</t>
  </si>
  <si>
    <t>21/11/2023 21:00</t>
  </si>
  <si>
    <t>21/11/2023 22:00</t>
  </si>
  <si>
    <t>21/11/2023 23:00</t>
  </si>
  <si>
    <t>21/11/2023 24:00</t>
  </si>
  <si>
    <t>22/11/2023 01:00</t>
  </si>
  <si>
    <t>22/11/2023 02:00</t>
  </si>
  <si>
    <t>22/11/2023 03:00</t>
  </si>
  <si>
    <t>22/11/2023 04:00</t>
  </si>
  <si>
    <t>22/11/2023 05:00</t>
  </si>
  <si>
    <t>22/11/2023 06:00</t>
  </si>
  <si>
    <t>22/11/2023 07:00</t>
  </si>
  <si>
    <t>22/11/2023 08:00</t>
  </si>
  <si>
    <t>22/11/2023 09:00</t>
  </si>
  <si>
    <t>22/11/2023 10:00</t>
  </si>
  <si>
    <t>22/11/2023 11:00</t>
  </si>
  <si>
    <t>22/11/2023 12:00</t>
  </si>
  <si>
    <t>22/11/2023 13:00</t>
  </si>
  <si>
    <t>22/11/2023 14:00</t>
  </si>
  <si>
    <t>22/11/2023 15:00</t>
  </si>
  <si>
    <t>22/11/2023 16:00</t>
  </si>
  <si>
    <t>22/11/2023 17:00</t>
  </si>
  <si>
    <t>22/11/2023 18:00</t>
  </si>
  <si>
    <t>22/11/2023 19:00</t>
  </si>
  <si>
    <t>22/11/2023 20:00</t>
  </si>
  <si>
    <t>22/11/2023 21:00</t>
  </si>
  <si>
    <t>22/11/2023 22:00</t>
  </si>
  <si>
    <t>22/11/2023 23:00</t>
  </si>
  <si>
    <t>22/11/2023 24:00</t>
  </si>
  <si>
    <t>23/11/2023 01:00</t>
  </si>
  <si>
    <t>23/11/2023 02:00</t>
  </si>
  <si>
    <t>23/11/2023 03:00</t>
  </si>
  <si>
    <t>23/11/2023 04:00</t>
  </si>
  <si>
    <t>23/11/2023 05:00</t>
  </si>
  <si>
    <t>23/11/2023 06:00</t>
  </si>
  <si>
    <t>23/11/2023 07:00</t>
  </si>
  <si>
    <t>23/11/2023 08:00</t>
  </si>
  <si>
    <t>23/11/2023 09:00</t>
  </si>
  <si>
    <t>23/11/2023 10:00</t>
  </si>
  <si>
    <t>23/11/2023 11:00</t>
  </si>
  <si>
    <t>23/11/2023 12:00</t>
  </si>
  <si>
    <t>23/11/2023 13:00</t>
  </si>
  <si>
    <t>23/11/2023 14:00</t>
  </si>
  <si>
    <t>23/11/2023 15:00</t>
  </si>
  <si>
    <t>23/11/2023 16:00</t>
  </si>
  <si>
    <t>23/11/2023 17:00</t>
  </si>
  <si>
    <t>23/11/2023 18:00</t>
  </si>
  <si>
    <t>23/11/2023 19:00</t>
  </si>
  <si>
    <t>23/11/2023 20:00</t>
  </si>
  <si>
    <t>23/11/2023 21:00</t>
  </si>
  <si>
    <t>23/11/2023 22:00</t>
  </si>
  <si>
    <t>23/11/2023 23:00</t>
  </si>
  <si>
    <t>23/11/2023 24:00</t>
  </si>
  <si>
    <t>24/11/2023 01:00</t>
  </si>
  <si>
    <t>24/11/2023 02:00</t>
  </si>
  <si>
    <t>24/11/2023 03:00</t>
  </si>
  <si>
    <t>24/11/2023 04:00</t>
  </si>
  <si>
    <t>24/11/2023 05:00</t>
  </si>
  <si>
    <t>24/11/2023 06:00</t>
  </si>
  <si>
    <t>24/11/2023 07:00</t>
  </si>
  <si>
    <t>24/11/2023 08:00</t>
  </si>
  <si>
    <t>24/11/2023 09:00</t>
  </si>
  <si>
    <t>24/11/2023 10:00</t>
  </si>
  <si>
    <t>24/11/2023 11:00</t>
  </si>
  <si>
    <t>24/11/2023 12:00</t>
  </si>
  <si>
    <t>24/11/2023 13:00</t>
  </si>
  <si>
    <t>24/11/2023 14:00</t>
  </si>
  <si>
    <t>24/11/2023 15:00</t>
  </si>
  <si>
    <t>24/11/2023 16:00</t>
  </si>
  <si>
    <t>24/11/2023 17:00</t>
  </si>
  <si>
    <t>24/11/2023 18:00</t>
  </si>
  <si>
    <t>24/11/2023 19:00</t>
  </si>
  <si>
    <t>24/11/2023 20:00</t>
  </si>
  <si>
    <t>24/11/2023 21:00</t>
  </si>
  <si>
    <t>24/11/2023 22:00</t>
  </si>
  <si>
    <t>24/11/2023 23:00</t>
  </si>
  <si>
    <t>24/11/2023 24:00</t>
  </si>
  <si>
    <t>25/11/2023 01:00</t>
  </si>
  <si>
    <t>25/11/2023 02:00</t>
  </si>
  <si>
    <t>25/11/2023 03:00</t>
  </si>
  <si>
    <t>25/11/2023 04:00</t>
  </si>
  <si>
    <t>25/11/2023 05:00</t>
  </si>
  <si>
    <t>25/11/2023 06:00</t>
  </si>
  <si>
    <t>25/11/2023 07:00</t>
  </si>
  <si>
    <t>25/11/2023 08:00</t>
  </si>
  <si>
    <t>25/11/2023 09:00</t>
  </si>
  <si>
    <t>25/11/2023 10:00</t>
  </si>
  <si>
    <t>25/11/2023 11:00</t>
  </si>
  <si>
    <t>25/11/2023 12:00</t>
  </si>
  <si>
    <t>25/11/2023 13:00</t>
  </si>
  <si>
    <t>25/11/2023 14:00</t>
  </si>
  <si>
    <t>25/11/2023 15:00</t>
  </si>
  <si>
    <t>25/11/2023 16:00</t>
  </si>
  <si>
    <t>25/11/2023 17:00</t>
  </si>
  <si>
    <t>25/11/2023 18:00</t>
  </si>
  <si>
    <t>25/11/2023 19:00</t>
  </si>
  <si>
    <t>25/11/2023 20:00</t>
  </si>
  <si>
    <t>25/11/2023 21:00</t>
  </si>
  <si>
    <t>25/11/2023 22:00</t>
  </si>
  <si>
    <t>25/11/2023 23:00</t>
  </si>
  <si>
    <t>25/11/2023 24:00</t>
  </si>
  <si>
    <t>26/11/2023 01:00</t>
  </si>
  <si>
    <t>26/11/2023 02:00</t>
  </si>
  <si>
    <t>26/11/2023 03:00</t>
  </si>
  <si>
    <t>26/11/2023 04:00</t>
  </si>
  <si>
    <t>26/11/2023 05:00</t>
  </si>
  <si>
    <t>26/11/2023 06:00</t>
  </si>
  <si>
    <t>26/11/2023 07:00</t>
  </si>
  <si>
    <t>26/11/2023 08:00</t>
  </si>
  <si>
    <t>26/11/2023 09:00</t>
  </si>
  <si>
    <t>26/11/2023 10:00</t>
  </si>
  <si>
    <t>26/11/2023 11:00</t>
  </si>
  <si>
    <t>26/11/2023 12:00</t>
  </si>
  <si>
    <t>26/11/2023 13:00</t>
  </si>
  <si>
    <t>26/11/2023 14:00</t>
  </si>
  <si>
    <t>26/11/2023 15:00</t>
  </si>
  <si>
    <t>26/11/2023 16:00</t>
  </si>
  <si>
    <t>26/11/2023 17:00</t>
  </si>
  <si>
    <t>26/11/2023 18:00</t>
  </si>
  <si>
    <t>26/11/2023 19:00</t>
  </si>
  <si>
    <t>26/11/2023 20:00</t>
  </si>
  <si>
    <t>26/11/2023 21:00</t>
  </si>
  <si>
    <t>26/11/2023 22:00</t>
  </si>
  <si>
    <t>26/11/2023 23:00</t>
  </si>
  <si>
    <t>26/11/2023 24:00</t>
  </si>
  <si>
    <t>27/11/2023 01:00</t>
  </si>
  <si>
    <t>27/11/2023 02:00</t>
  </si>
  <si>
    <t>27/11/2023 03:00</t>
  </si>
  <si>
    <t>27/11/2023 04:00</t>
  </si>
  <si>
    <t>27/11/2023 05:00</t>
  </si>
  <si>
    <t>27/11/2023 06:00</t>
  </si>
  <si>
    <t>27/11/2023 07:00</t>
  </si>
  <si>
    <t>27/11/2023 08:00</t>
  </si>
  <si>
    <t>27/11/2023 09:00</t>
  </si>
  <si>
    <t>27/11/2023 10:00</t>
  </si>
  <si>
    <t>27/11/2023 11:00</t>
  </si>
  <si>
    <t>27/11/2023 12:00</t>
  </si>
  <si>
    <t>27/11/2023 13:00</t>
  </si>
  <si>
    <t>27/11/2023 14:00</t>
  </si>
  <si>
    <t>27/11/2023 15:00</t>
  </si>
  <si>
    <t>27/11/2023 16:00</t>
  </si>
  <si>
    <t>27/11/2023 17:00</t>
  </si>
  <si>
    <t>27/11/2023 18:00</t>
  </si>
  <si>
    <t>27/11/2023 19:00</t>
  </si>
  <si>
    <t>27/11/2023 20:00</t>
  </si>
  <si>
    <t>27/11/2023 21:00</t>
  </si>
  <si>
    <t>27/11/2023 22:00</t>
  </si>
  <si>
    <t>27/11/2023 23:00</t>
  </si>
  <si>
    <t>27/11/2023 24:00</t>
  </si>
  <si>
    <t>28/11/2023 01:00</t>
  </si>
  <si>
    <t>28/11/2023 02:00</t>
  </si>
  <si>
    <t>28/11/2023 04:00</t>
  </si>
  <si>
    <t>28/11/2023 05:00</t>
  </si>
  <si>
    <t>28/11/2023 06:00</t>
  </si>
  <si>
    <t>28/11/2023 07:00</t>
  </si>
  <si>
    <t>28/11/2023 08:00</t>
  </si>
  <si>
    <t>28/11/2023 09:00</t>
  </si>
  <si>
    <t>28/11/2023 10:00</t>
  </si>
  <si>
    <t>28/11/2023 11:00</t>
  </si>
  <si>
    <t>28/11/2023 12:00</t>
  </si>
  <si>
    <t>28/11/2023 13:00</t>
  </si>
  <si>
    <t>28/11/2023 14:00</t>
  </si>
  <si>
    <t>28/11/2023 15:00</t>
  </si>
  <si>
    <t>28/11/2023 16:00</t>
  </si>
  <si>
    <t>28/11/2023 17:00</t>
  </si>
  <si>
    <t>28/11/2023 18:00</t>
  </si>
  <si>
    <t>28/11/2023 19:00</t>
  </si>
  <si>
    <t>28/11/2023 20:00</t>
  </si>
  <si>
    <t>28/11/2023 21:00</t>
  </si>
  <si>
    <t>28/11/2023 22:00</t>
  </si>
  <si>
    <t>28/11/2023 23:00</t>
  </si>
  <si>
    <t>28/11/2023 24:00</t>
  </si>
  <si>
    <t>29/11/2023 01:00</t>
  </si>
  <si>
    <t>29/11/2023 02:00</t>
  </si>
  <si>
    <t>29/11/2023 03:00</t>
  </si>
  <si>
    <t>29/11/2023 04:00</t>
  </si>
  <si>
    <t>29/11/2023 05:00</t>
  </si>
  <si>
    <t>29/11/2023 06:00</t>
  </si>
  <si>
    <t>29/11/2023 07:00</t>
  </si>
  <si>
    <t>29/11/2023 08:00</t>
  </si>
  <si>
    <t>29/11/2023 09:00</t>
  </si>
  <si>
    <t>29/11/2023 10:00</t>
  </si>
  <si>
    <t>29/11/2023 11:00</t>
  </si>
  <si>
    <t>29/11/2023 12:00</t>
  </si>
  <si>
    <t>29/11/2023 13:00</t>
  </si>
  <si>
    <t>29/11/2023 14:00</t>
  </si>
  <si>
    <t>29/11/2023 15:00</t>
  </si>
  <si>
    <t>29/11/2023 16:00</t>
  </si>
  <si>
    <t>29/11/2023 17:00</t>
  </si>
  <si>
    <t>29/11/2023 18:00</t>
  </si>
  <si>
    <t>29/11/2023 19:00</t>
  </si>
  <si>
    <t>29/11/2023 20:00</t>
  </si>
  <si>
    <t>29/11/2023 21:00</t>
  </si>
  <si>
    <t>29/11/2023 22:00</t>
  </si>
  <si>
    <t>29/11/2023 23:00</t>
  </si>
  <si>
    <t>29/11/2023 24:00</t>
  </si>
  <si>
    <t>30/11/2023 01:00</t>
  </si>
  <si>
    <t>30/11/2023 02:00</t>
  </si>
  <si>
    <t>30/11/2023 03:00</t>
  </si>
  <si>
    <t>30/11/2023 04:00</t>
  </si>
  <si>
    <t>30/11/2023 05:00</t>
  </si>
  <si>
    <t>30/11/2023 06:00</t>
  </si>
  <si>
    <t>30/11/2023 07:00</t>
  </si>
  <si>
    <t>30/11/2023 08:00</t>
  </si>
  <si>
    <t>30/11/2023 09:00</t>
  </si>
  <si>
    <t>30/11/2023 10:00</t>
  </si>
  <si>
    <t>30/11/2023 11:00</t>
  </si>
  <si>
    <t>30/11/2023 12:00</t>
  </si>
  <si>
    <t>30/11/2023 13:00</t>
  </si>
  <si>
    <t>30/11/2023 14:00</t>
  </si>
  <si>
    <t>30/11/2023 15:00</t>
  </si>
  <si>
    <t>30/11/2023 16:00</t>
  </si>
  <si>
    <t>30/11/2023 17:00</t>
  </si>
  <si>
    <t>30/11/2023 18:00</t>
  </si>
  <si>
    <t>30/11/2023 19:00</t>
  </si>
  <si>
    <t>30/11/2023 20:00</t>
  </si>
  <si>
    <t>30/11/2023 21:00</t>
  </si>
  <si>
    <t>30/11/2023 22:00</t>
  </si>
  <si>
    <t>30/11/2023 23:00</t>
  </si>
  <si>
    <t>30/11/2023 24:00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</si>
</sst>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0"/>
      <name val="Arial"/>
      <charset val="134"/>
    </font>
    <font>
      <b/>
      <sz val="9"/>
      <name val="Arial"/>
      <charset val="134"/>
    </font>
    <font>
      <b/>
      <i/>
      <sz val="10"/>
      <name val="Arial"/>
      <charset val="134"/>
    </font>
    <font>
      <b/>
      <sz val="10"/>
      <color theme="0"/>
      <name val="Arial"/>
      <charset val="134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1"/>
      <color theme="1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rgb="FFFF0000"/>
      <name val="Arial"/>
      <charset val="134"/>
    </font>
    <font>
      <b/>
      <sz val="10"/>
      <color theme="5" tint="-0.249977111117893"/>
      <name val="Arial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2" fontId="7" fillId="0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7" fillId="0" borderId="1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9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/>
    <xf numFmtId="2" fontId="7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0" fontId="8" fillId="0" borderId="0" xfId="0" applyFont="1" applyFill="1" applyAlignment="1">
      <alignment vertical="center"/>
    </xf>
    <xf numFmtId="0" fontId="11" fillId="3" borderId="0" xfId="0" applyFont="1" applyFill="1" applyAlignment="1"/>
    <xf numFmtId="0" fontId="1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1" fillId="3" borderId="0" xfId="0" applyFont="1" applyFill="1" applyAlignment="1">
      <alignment horizontal="left"/>
    </xf>
    <xf numFmtId="2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4" activePane="bottomRight" state="frozen"/>
      <selection pane="topRight"/>
      <selection pane="bottomLeft"/>
      <selection pane="bottomRight" activeCell="A9" sqref="A9:Q32"/>
    </sheetView>
  </sheetViews>
  <sheetFormatPr defaultColWidth="8.85546875" defaultRowHeight="15"/>
  <cols>
    <col min="1" max="1" width="19.5703125" style="41" customWidth="1"/>
    <col min="2" max="2" width="14.42578125" style="39" customWidth="1"/>
    <col min="3" max="3" width="10.42578125" style="39" customWidth="1"/>
    <col min="4" max="4" width="10.140625" style="39" customWidth="1"/>
    <col min="5" max="5" width="10.28515625" style="39" customWidth="1"/>
    <col min="6" max="6" width="9.85546875" style="39" customWidth="1"/>
    <col min="7" max="7" width="11.28515625" style="39" customWidth="1"/>
    <col min="8" max="8" width="12" style="39" customWidth="1"/>
    <col min="9" max="9" width="11.5703125" style="39" customWidth="1"/>
    <col min="10" max="10" width="10.5703125" style="39" customWidth="1"/>
    <col min="11" max="11" width="10" style="39" customWidth="1"/>
    <col min="12" max="12" width="11.140625" style="39" customWidth="1"/>
    <col min="13" max="13" width="11.28515625" style="39" customWidth="1"/>
    <col min="14" max="14" width="9.7109375" style="39" customWidth="1"/>
    <col min="15" max="15" width="10" style="39" customWidth="1"/>
    <col min="16" max="16" width="9.7109375" style="39" customWidth="1"/>
    <col min="17" max="17" width="10.140625" style="39" customWidth="1"/>
    <col min="18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01/11/2023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60</v>
      </c>
      <c r="B9" s="51">
        <v>8.64</v>
      </c>
      <c r="C9" s="51">
        <v>19.920000000000002</v>
      </c>
      <c r="D9" s="51">
        <v>18.690000000000001</v>
      </c>
      <c r="E9" s="51">
        <v>4.4000000000000004</v>
      </c>
      <c r="F9" s="51">
        <v>2.91</v>
      </c>
      <c r="G9" s="51">
        <v>54.51</v>
      </c>
      <c r="H9" s="51">
        <v>29.31</v>
      </c>
      <c r="I9" s="51">
        <v>6.81</v>
      </c>
      <c r="J9" s="51">
        <v>0.24</v>
      </c>
      <c r="K9" s="51">
        <v>263.54000000000002</v>
      </c>
      <c r="L9" s="51">
        <v>20.91</v>
      </c>
      <c r="M9" s="51">
        <v>93.15</v>
      </c>
      <c r="N9" s="51">
        <v>0</v>
      </c>
      <c r="O9" s="51">
        <v>0</v>
      </c>
      <c r="P9" s="51">
        <v>0.79</v>
      </c>
      <c r="Q9" s="51">
        <v>4.53</v>
      </c>
      <c r="R9" s="49"/>
      <c r="S9" s="49"/>
      <c r="T9" s="49"/>
      <c r="U9" s="49"/>
    </row>
    <row r="10" spans="1:21" customFormat="1">
      <c r="A10" s="50" t="s">
        <v>61</v>
      </c>
      <c r="B10" s="51">
        <v>11.37</v>
      </c>
      <c r="C10" s="51">
        <v>22.1</v>
      </c>
      <c r="D10" s="51">
        <v>22.02</v>
      </c>
      <c r="E10" s="51">
        <v>4.91</v>
      </c>
      <c r="F10" s="51">
        <v>2.77</v>
      </c>
      <c r="G10" s="51">
        <v>51.81</v>
      </c>
      <c r="H10" s="51">
        <v>27.13</v>
      </c>
      <c r="I10" s="51">
        <v>6.79</v>
      </c>
      <c r="J10" s="51">
        <v>0.13</v>
      </c>
      <c r="K10" s="51">
        <v>184.54</v>
      </c>
      <c r="L10" s="51">
        <v>20.54</v>
      </c>
      <c r="M10" s="51">
        <v>94.84</v>
      </c>
      <c r="N10" s="51">
        <v>0</v>
      </c>
      <c r="O10" s="51">
        <v>0</v>
      </c>
      <c r="P10" s="51">
        <v>0.81</v>
      </c>
      <c r="Q10" s="51">
        <v>4.66</v>
      </c>
      <c r="R10" s="49"/>
      <c r="S10" s="49"/>
      <c r="T10" s="49"/>
      <c r="U10" s="49"/>
    </row>
    <row r="11" spans="1:21" customFormat="1">
      <c r="A11" s="50" t="s">
        <v>62</v>
      </c>
      <c r="B11" s="51">
        <v>18.399999999999999</v>
      </c>
      <c r="C11" s="51">
        <v>25.87</v>
      </c>
      <c r="D11" s="51">
        <v>29.62</v>
      </c>
      <c r="E11" s="51">
        <v>6.32</v>
      </c>
      <c r="F11" s="51">
        <v>2.7</v>
      </c>
      <c r="G11" s="51">
        <v>62.61</v>
      </c>
      <c r="H11" s="51">
        <v>26.98</v>
      </c>
      <c r="I11" s="51">
        <v>6.7</v>
      </c>
      <c r="J11" s="51">
        <v>0.1</v>
      </c>
      <c r="K11" s="51">
        <v>179.66</v>
      </c>
      <c r="L11" s="51">
        <v>20.5</v>
      </c>
      <c r="M11" s="51">
        <v>95.3</v>
      </c>
      <c r="N11" s="51">
        <v>0</v>
      </c>
      <c r="O11" s="51">
        <v>0</v>
      </c>
      <c r="P11" s="51">
        <v>0.82</v>
      </c>
      <c r="Q11" s="51">
        <v>5.05</v>
      </c>
      <c r="R11" s="49"/>
      <c r="S11" s="49"/>
      <c r="T11" s="49"/>
      <c r="U11" s="49"/>
    </row>
    <row r="12" spans="1:21" customFormat="1">
      <c r="A12" s="50" t="s">
        <v>63</v>
      </c>
      <c r="B12" s="51">
        <v>20.66</v>
      </c>
      <c r="C12" s="51">
        <v>27.05</v>
      </c>
      <c r="D12" s="51">
        <v>32.049999999999997</v>
      </c>
      <c r="E12" s="51">
        <v>6.29</v>
      </c>
      <c r="F12" s="51">
        <v>2.62</v>
      </c>
      <c r="G12" s="51">
        <v>64.650000000000006</v>
      </c>
      <c r="H12" s="51">
        <v>28.34</v>
      </c>
      <c r="I12" s="51">
        <v>6.68</v>
      </c>
      <c r="J12" s="51">
        <v>0.16</v>
      </c>
      <c r="K12" s="51">
        <v>218.44</v>
      </c>
      <c r="L12" s="51">
        <v>20.3</v>
      </c>
      <c r="M12" s="51">
        <v>95.68</v>
      </c>
      <c r="N12" s="51">
        <v>0</v>
      </c>
      <c r="O12" s="51">
        <v>0</v>
      </c>
      <c r="P12" s="51">
        <v>0.81</v>
      </c>
      <c r="Q12" s="51">
        <v>5.19</v>
      </c>
      <c r="R12" s="49"/>
      <c r="S12" s="49"/>
      <c r="T12" s="49"/>
      <c r="U12" s="49"/>
    </row>
    <row r="13" spans="1:21" customFormat="1">
      <c r="A13" s="50" t="s">
        <v>64</v>
      </c>
      <c r="B13" s="51">
        <v>29.39</v>
      </c>
      <c r="C13" s="51">
        <v>28.71</v>
      </c>
      <c r="D13" s="51">
        <v>39.92</v>
      </c>
      <c r="E13" s="51">
        <v>6.74</v>
      </c>
      <c r="F13" s="51">
        <v>2.57</v>
      </c>
      <c r="G13" s="51">
        <v>70.08</v>
      </c>
      <c r="H13" s="51">
        <v>29.16</v>
      </c>
      <c r="I13" s="51">
        <v>6.62</v>
      </c>
      <c r="J13" s="51">
        <v>0.12</v>
      </c>
      <c r="K13" s="51">
        <v>342.17</v>
      </c>
      <c r="L13" s="51">
        <v>19.739999999999998</v>
      </c>
      <c r="M13" s="51">
        <v>98.26</v>
      </c>
      <c r="N13" s="51">
        <v>0</v>
      </c>
      <c r="O13" s="51">
        <v>0</v>
      </c>
      <c r="P13" s="51">
        <v>0.79</v>
      </c>
      <c r="Q13" s="51">
        <v>5.55</v>
      </c>
      <c r="R13" s="49"/>
      <c r="S13" s="49"/>
      <c r="T13" s="49"/>
      <c r="U13" s="49"/>
    </row>
    <row r="14" spans="1:21" customFormat="1">
      <c r="A14" s="50" t="s">
        <v>65</v>
      </c>
      <c r="B14" s="51">
        <v>30.7</v>
      </c>
      <c r="C14" s="51">
        <v>28.59</v>
      </c>
      <c r="D14" s="51">
        <v>40.86</v>
      </c>
      <c r="E14" s="51">
        <v>6.92</v>
      </c>
      <c r="F14" s="51">
        <v>2.56</v>
      </c>
      <c r="G14" s="51">
        <v>71.64</v>
      </c>
      <c r="H14" s="51">
        <v>32.54</v>
      </c>
      <c r="I14" s="51">
        <v>6.87</v>
      </c>
      <c r="J14" s="51">
        <v>0.21</v>
      </c>
      <c r="K14" s="51">
        <v>58.75</v>
      </c>
      <c r="L14" s="51">
        <v>19.91</v>
      </c>
      <c r="M14" s="51">
        <v>97.27</v>
      </c>
      <c r="N14" s="51">
        <v>0</v>
      </c>
      <c r="O14" s="51">
        <v>0</v>
      </c>
      <c r="P14" s="51">
        <v>0.81</v>
      </c>
      <c r="Q14" s="51">
        <v>5.68</v>
      </c>
      <c r="R14" s="49"/>
      <c r="S14" s="49"/>
      <c r="T14" s="49"/>
      <c r="U14" s="49"/>
    </row>
    <row r="15" spans="1:21" customFormat="1">
      <c r="A15" s="50" t="s">
        <v>66</v>
      </c>
      <c r="B15" s="51">
        <v>30.09</v>
      </c>
      <c r="C15" s="51">
        <v>28.56</v>
      </c>
      <c r="D15" s="51">
        <v>40.270000000000003</v>
      </c>
      <c r="E15" s="51">
        <v>7.23</v>
      </c>
      <c r="F15" s="51">
        <v>2.86</v>
      </c>
      <c r="G15" s="51">
        <v>71.64</v>
      </c>
      <c r="H15" s="51">
        <v>34.17</v>
      </c>
      <c r="I15" s="51">
        <v>7.1</v>
      </c>
      <c r="J15" s="51">
        <v>0.36</v>
      </c>
      <c r="K15" s="51">
        <v>51.59</v>
      </c>
      <c r="L15" s="51">
        <v>20.309999999999999</v>
      </c>
      <c r="M15" s="51">
        <v>95.84</v>
      </c>
      <c r="N15" s="51">
        <v>29.4</v>
      </c>
      <c r="O15" s="51">
        <v>0</v>
      </c>
      <c r="P15" s="51">
        <v>0.82</v>
      </c>
      <c r="Q15" s="51">
        <v>5.61</v>
      </c>
      <c r="R15" s="49"/>
      <c r="S15" s="49"/>
      <c r="T15" s="49"/>
      <c r="U15" s="49"/>
    </row>
    <row r="16" spans="1:21" customFormat="1">
      <c r="A16" s="50" t="s">
        <v>67</v>
      </c>
      <c r="B16" s="51">
        <v>29.36</v>
      </c>
      <c r="C16" s="51">
        <v>26.13</v>
      </c>
      <c r="D16" s="51">
        <v>38.549999999999997</v>
      </c>
      <c r="E16" s="51">
        <v>6.22</v>
      </c>
      <c r="F16" s="51">
        <v>2.76</v>
      </c>
      <c r="G16" s="51">
        <v>66.34</v>
      </c>
      <c r="H16" s="51">
        <v>34.17</v>
      </c>
      <c r="I16" s="51">
        <v>7.15</v>
      </c>
      <c r="J16" s="51">
        <v>0.48</v>
      </c>
      <c r="K16" s="51">
        <v>104.37</v>
      </c>
      <c r="L16" s="51">
        <v>22.78</v>
      </c>
      <c r="M16" s="51">
        <v>89.76</v>
      </c>
      <c r="N16" s="51">
        <v>197.3</v>
      </c>
      <c r="O16" s="51">
        <v>0</v>
      </c>
      <c r="P16" s="51">
        <v>0.8</v>
      </c>
      <c r="Q16" s="51">
        <v>5.52</v>
      </c>
      <c r="R16" s="49"/>
      <c r="S16" s="49"/>
      <c r="T16" s="49"/>
      <c r="U16" s="49"/>
    </row>
    <row r="17" spans="1:21" customFormat="1">
      <c r="A17" s="50" t="s">
        <v>68</v>
      </c>
      <c r="B17" s="51">
        <v>26.77</v>
      </c>
      <c r="C17" s="51">
        <v>25.88</v>
      </c>
      <c r="D17" s="51">
        <v>35.54</v>
      </c>
      <c r="E17" s="51">
        <v>6.03</v>
      </c>
      <c r="F17" s="51">
        <v>2.93</v>
      </c>
      <c r="G17" s="51">
        <v>71.760000000000005</v>
      </c>
      <c r="H17" s="51">
        <v>36.42</v>
      </c>
      <c r="I17" s="51">
        <v>7.17</v>
      </c>
      <c r="J17" s="51">
        <v>0.41</v>
      </c>
      <c r="K17" s="51">
        <v>95.54</v>
      </c>
      <c r="L17" s="51">
        <v>25.89</v>
      </c>
      <c r="M17" s="51">
        <v>75.14</v>
      </c>
      <c r="N17" s="51">
        <v>321.8</v>
      </c>
      <c r="O17" s="51">
        <v>0</v>
      </c>
      <c r="P17" s="51">
        <v>0.79</v>
      </c>
      <c r="Q17" s="51">
        <v>5.41</v>
      </c>
      <c r="R17" s="49"/>
      <c r="S17" s="49"/>
      <c r="T17" s="49"/>
      <c r="U17" s="49"/>
    </row>
    <row r="18" spans="1:21" customFormat="1">
      <c r="A18" s="50" t="s">
        <v>69</v>
      </c>
      <c r="B18" s="51">
        <v>21.77</v>
      </c>
      <c r="C18" s="51">
        <v>25.86</v>
      </c>
      <c r="D18" s="51">
        <v>32.32</v>
      </c>
      <c r="E18" s="51">
        <v>6.43</v>
      </c>
      <c r="F18" s="51">
        <v>3.29</v>
      </c>
      <c r="G18" s="51">
        <v>71.760000000000005</v>
      </c>
      <c r="H18" s="51">
        <v>36.42</v>
      </c>
      <c r="I18" s="51">
        <v>7.21</v>
      </c>
      <c r="J18" s="51">
        <v>0.39</v>
      </c>
      <c r="K18" s="51">
        <v>108.65</v>
      </c>
      <c r="L18" s="51">
        <v>28.09</v>
      </c>
      <c r="M18" s="51">
        <v>64.849999999999994</v>
      </c>
      <c r="N18" s="51">
        <v>445.4</v>
      </c>
      <c r="O18" s="51">
        <v>0</v>
      </c>
      <c r="P18" s="51">
        <v>0.8</v>
      </c>
      <c r="Q18" s="51">
        <v>5.2</v>
      </c>
      <c r="R18" s="49"/>
      <c r="S18" s="49"/>
      <c r="T18" s="49"/>
      <c r="U18" s="49"/>
    </row>
    <row r="19" spans="1:21" customFormat="1">
      <c r="A19" s="50" t="s">
        <v>70</v>
      </c>
      <c r="B19" s="51">
        <v>16.079999999999998</v>
      </c>
      <c r="C19" s="51">
        <v>24.33</v>
      </c>
      <c r="D19" s="51">
        <v>26.96</v>
      </c>
      <c r="E19" s="51">
        <v>8.32</v>
      </c>
      <c r="F19" s="51">
        <v>6.25</v>
      </c>
      <c r="G19" s="51">
        <v>68.989999999999995</v>
      </c>
      <c r="H19" s="51">
        <v>30.21</v>
      </c>
      <c r="I19" s="51">
        <v>7.04</v>
      </c>
      <c r="J19" s="51">
        <v>0.56999999999999995</v>
      </c>
      <c r="K19" s="51">
        <v>116.45</v>
      </c>
      <c r="L19" s="51">
        <v>29.16</v>
      </c>
      <c r="M19" s="51">
        <v>56.03</v>
      </c>
      <c r="N19" s="51">
        <v>506.5</v>
      </c>
      <c r="O19" s="51">
        <v>0</v>
      </c>
      <c r="P19" s="51">
        <v>0.78</v>
      </c>
      <c r="Q19" s="51">
        <v>4.95</v>
      </c>
      <c r="R19" s="49"/>
      <c r="S19" s="49"/>
      <c r="T19" s="49"/>
      <c r="U19" s="49"/>
    </row>
    <row r="20" spans="1:21" customFormat="1">
      <c r="A20" s="50" t="s">
        <v>71</v>
      </c>
      <c r="B20" s="51">
        <v>10.76</v>
      </c>
      <c r="C20" s="51">
        <v>23.49</v>
      </c>
      <c r="D20" s="51">
        <v>22.18</v>
      </c>
      <c r="E20" s="51">
        <v>8.11</v>
      </c>
      <c r="F20" s="51">
        <v>6.53</v>
      </c>
      <c r="G20" s="51">
        <v>64.48</v>
      </c>
      <c r="H20" s="51">
        <v>29.68</v>
      </c>
      <c r="I20" s="51">
        <v>6.74</v>
      </c>
      <c r="J20" s="51">
        <v>0.32</v>
      </c>
      <c r="K20" s="51">
        <v>129.32</v>
      </c>
      <c r="L20" s="51">
        <v>30.25</v>
      </c>
      <c r="M20" s="51">
        <v>47.8</v>
      </c>
      <c r="N20" s="51">
        <v>584.4</v>
      </c>
      <c r="O20" s="51">
        <v>0</v>
      </c>
      <c r="P20" s="51">
        <v>0.77</v>
      </c>
      <c r="Q20" s="51">
        <v>4.7</v>
      </c>
      <c r="R20" s="49"/>
      <c r="S20" s="49"/>
      <c r="T20" s="49"/>
      <c r="U20" s="49"/>
    </row>
    <row r="21" spans="1:21" customFormat="1">
      <c r="A21" s="50" t="s">
        <v>72</v>
      </c>
      <c r="B21" s="51">
        <v>5.79</v>
      </c>
      <c r="C21" s="51">
        <v>22.89</v>
      </c>
      <c r="D21" s="51">
        <v>17.95</v>
      </c>
      <c r="E21" s="51">
        <v>7.92</v>
      </c>
      <c r="F21" s="51">
        <v>6.27</v>
      </c>
      <c r="G21" s="51">
        <v>60.1</v>
      </c>
      <c r="H21" s="51">
        <v>29.68</v>
      </c>
      <c r="I21" s="51">
        <v>6.22</v>
      </c>
      <c r="J21" s="51">
        <v>0.4</v>
      </c>
      <c r="K21" s="51">
        <v>168.27</v>
      </c>
      <c r="L21" s="51">
        <v>30.63</v>
      </c>
      <c r="M21" s="51">
        <v>43.64</v>
      </c>
      <c r="N21" s="51">
        <v>575.4</v>
      </c>
      <c r="O21" s="51">
        <v>0</v>
      </c>
      <c r="P21" s="51">
        <v>0.74</v>
      </c>
      <c r="Q21" s="51">
        <v>4.4000000000000004</v>
      </c>
      <c r="R21" s="49"/>
      <c r="S21" s="49"/>
      <c r="T21" s="49"/>
      <c r="U21" s="49"/>
    </row>
    <row r="22" spans="1:21" customFormat="1">
      <c r="A22" s="50" t="s">
        <v>73</v>
      </c>
      <c r="B22" s="51">
        <v>4.72</v>
      </c>
      <c r="C22" s="51">
        <v>21.62</v>
      </c>
      <c r="D22" s="51">
        <v>16.39</v>
      </c>
      <c r="E22" s="51">
        <v>8.0399999999999991</v>
      </c>
      <c r="F22" s="51">
        <v>6.38</v>
      </c>
      <c r="G22" s="51">
        <v>56.43</v>
      </c>
      <c r="H22" s="51">
        <v>24.97</v>
      </c>
      <c r="I22" s="51">
        <v>5.81</v>
      </c>
      <c r="J22" s="51">
        <v>0.43</v>
      </c>
      <c r="K22" s="51">
        <v>212.75</v>
      </c>
      <c r="L22" s="51">
        <v>30.95</v>
      </c>
      <c r="M22" s="51">
        <v>42.03</v>
      </c>
      <c r="N22" s="51">
        <v>514</v>
      </c>
      <c r="O22" s="51">
        <v>0</v>
      </c>
      <c r="P22" s="51">
        <v>0.7</v>
      </c>
      <c r="Q22" s="51">
        <v>4.34</v>
      </c>
      <c r="R22" s="49"/>
      <c r="S22" s="49"/>
      <c r="T22" s="49"/>
      <c r="U22" s="49"/>
    </row>
    <row r="23" spans="1:21" customFormat="1">
      <c r="A23" s="50" t="s">
        <v>74</v>
      </c>
      <c r="B23" s="51">
        <v>4.76</v>
      </c>
      <c r="C23" s="51">
        <v>20.69</v>
      </c>
      <c r="D23" s="51">
        <v>15.98</v>
      </c>
      <c r="E23" s="51">
        <v>7.51</v>
      </c>
      <c r="F23" s="51">
        <v>5.93</v>
      </c>
      <c r="G23" s="51">
        <v>50.09</v>
      </c>
      <c r="H23" s="51">
        <v>23.19</v>
      </c>
      <c r="I23" s="51">
        <v>5.38</v>
      </c>
      <c r="J23" s="51">
        <v>0.36</v>
      </c>
      <c r="K23" s="51">
        <v>179.3</v>
      </c>
      <c r="L23" s="51">
        <v>30.82</v>
      </c>
      <c r="M23" s="51">
        <v>42.96</v>
      </c>
      <c r="N23" s="51">
        <v>442.6</v>
      </c>
      <c r="O23" s="51">
        <v>0</v>
      </c>
      <c r="P23" s="51">
        <v>0.65</v>
      </c>
      <c r="Q23" s="51">
        <v>4.34</v>
      </c>
      <c r="R23" s="49"/>
      <c r="S23" s="49"/>
      <c r="T23" s="49"/>
      <c r="U23" s="49"/>
    </row>
    <row r="24" spans="1:21" customFormat="1">
      <c r="A24" s="50" t="s">
        <v>75</v>
      </c>
      <c r="B24" s="51">
        <v>4.83</v>
      </c>
      <c r="C24" s="51">
        <v>19.55</v>
      </c>
      <c r="D24" s="51">
        <v>15.44</v>
      </c>
      <c r="E24" s="51">
        <v>7.77</v>
      </c>
      <c r="F24" s="51">
        <v>6.37</v>
      </c>
      <c r="G24" s="51">
        <v>48.26</v>
      </c>
      <c r="H24" s="51">
        <v>22.27</v>
      </c>
      <c r="I24" s="51">
        <v>5.07</v>
      </c>
      <c r="J24" s="51">
        <v>0.56000000000000005</v>
      </c>
      <c r="K24" s="51">
        <v>149.41</v>
      </c>
      <c r="L24" s="51">
        <v>29.6</v>
      </c>
      <c r="M24" s="51">
        <v>47.39</v>
      </c>
      <c r="N24" s="51">
        <v>87.4</v>
      </c>
      <c r="O24" s="51">
        <v>0</v>
      </c>
      <c r="P24" s="51">
        <v>0.63</v>
      </c>
      <c r="Q24" s="51">
        <v>4.3099999999999996</v>
      </c>
      <c r="R24" s="49"/>
      <c r="S24" s="49"/>
      <c r="T24" s="49"/>
      <c r="U24" s="49"/>
    </row>
    <row r="25" spans="1:21" customFormat="1">
      <c r="A25" s="50" t="s">
        <v>76</v>
      </c>
      <c r="B25" s="51">
        <v>5.67</v>
      </c>
      <c r="C25" s="51">
        <v>20.97</v>
      </c>
      <c r="D25" s="51">
        <v>16.52</v>
      </c>
      <c r="E25" s="51">
        <v>7.64</v>
      </c>
      <c r="F25" s="51">
        <v>4.83</v>
      </c>
      <c r="G25" s="51">
        <v>48.45</v>
      </c>
      <c r="H25" s="51">
        <v>20.22</v>
      </c>
      <c r="I25" s="51">
        <v>4.71</v>
      </c>
      <c r="J25" s="51">
        <v>0.6</v>
      </c>
      <c r="K25" s="51">
        <v>143.15</v>
      </c>
      <c r="L25" s="51">
        <v>28.42</v>
      </c>
      <c r="M25" s="51">
        <v>52.02</v>
      </c>
      <c r="N25" s="51">
        <v>39.1</v>
      </c>
      <c r="O25" s="51">
        <v>0</v>
      </c>
      <c r="P25" s="51">
        <v>0.62</v>
      </c>
      <c r="Q25" s="51">
        <v>4.3499999999999996</v>
      </c>
      <c r="R25" s="49"/>
      <c r="S25" s="49"/>
      <c r="T25" s="49"/>
      <c r="U25" s="49"/>
    </row>
    <row r="26" spans="1:21" customFormat="1">
      <c r="A26" s="50" t="s">
        <v>77</v>
      </c>
      <c r="B26" s="51">
        <v>8.2100000000000009</v>
      </c>
      <c r="C26" s="51">
        <v>19.329999999999998</v>
      </c>
      <c r="D26" s="51">
        <v>18.04</v>
      </c>
      <c r="E26" s="51">
        <v>6.96</v>
      </c>
      <c r="F26" s="51">
        <v>3.57</v>
      </c>
      <c r="G26" s="51">
        <v>67.84</v>
      </c>
      <c r="H26" s="51">
        <v>21.09</v>
      </c>
      <c r="I26" s="51">
        <v>4.82</v>
      </c>
      <c r="J26" s="51">
        <v>0.2</v>
      </c>
      <c r="K26" s="51">
        <v>109.25</v>
      </c>
      <c r="L26" s="51">
        <v>26.94</v>
      </c>
      <c r="M26" s="51">
        <v>62.4</v>
      </c>
      <c r="N26" s="51">
        <v>0</v>
      </c>
      <c r="O26" s="51">
        <v>0</v>
      </c>
      <c r="P26" s="51">
        <v>0.62</v>
      </c>
      <c r="Q26" s="51">
        <v>4.4400000000000004</v>
      </c>
      <c r="R26" s="49"/>
      <c r="S26" s="49"/>
      <c r="T26" s="49"/>
      <c r="U26" s="49"/>
    </row>
    <row r="27" spans="1:21" customFormat="1">
      <c r="A27" s="50" t="s">
        <v>78</v>
      </c>
      <c r="B27" s="51">
        <v>10.43</v>
      </c>
      <c r="C27" s="51">
        <v>21.3</v>
      </c>
      <c r="D27" s="51">
        <v>20.58</v>
      </c>
      <c r="E27" s="51">
        <v>5.79</v>
      </c>
      <c r="F27" s="51">
        <v>2.77</v>
      </c>
      <c r="G27" s="51">
        <v>87.24</v>
      </c>
      <c r="H27" s="51">
        <v>25.42</v>
      </c>
      <c r="I27" s="51">
        <v>5.28</v>
      </c>
      <c r="J27" s="51">
        <v>0.17</v>
      </c>
      <c r="K27" s="51">
        <v>98.3</v>
      </c>
      <c r="L27" s="51">
        <v>25.34</v>
      </c>
      <c r="M27" s="51">
        <v>63.86</v>
      </c>
      <c r="N27" s="51">
        <v>0</v>
      </c>
      <c r="O27" s="51">
        <v>0</v>
      </c>
      <c r="P27" s="51">
        <v>0.69</v>
      </c>
      <c r="Q27" s="51">
        <v>4.57</v>
      </c>
      <c r="R27" s="49"/>
      <c r="S27" s="49"/>
      <c r="T27" s="49"/>
      <c r="U27" s="49"/>
    </row>
    <row r="28" spans="1:21" customFormat="1">
      <c r="A28" s="50" t="s">
        <v>79</v>
      </c>
      <c r="B28" s="51">
        <v>12.61</v>
      </c>
      <c r="C28" s="51">
        <v>22.92</v>
      </c>
      <c r="D28" s="51">
        <v>23.44</v>
      </c>
      <c r="E28" s="51">
        <v>5.54</v>
      </c>
      <c r="F28" s="51">
        <v>2.71</v>
      </c>
      <c r="G28" s="51">
        <v>103.66</v>
      </c>
      <c r="H28" s="51">
        <v>30.74</v>
      </c>
      <c r="I28" s="51">
        <v>5.9</v>
      </c>
      <c r="J28" s="51">
        <v>0.21</v>
      </c>
      <c r="K28" s="51">
        <v>171.75</v>
      </c>
      <c r="L28" s="51">
        <v>24.62</v>
      </c>
      <c r="M28" s="51">
        <v>75.510000000000005</v>
      </c>
      <c r="N28" s="51">
        <v>0</v>
      </c>
      <c r="O28" s="51">
        <v>0</v>
      </c>
      <c r="P28" s="51">
        <v>0.79</v>
      </c>
      <c r="Q28" s="51">
        <v>4.6900000000000004</v>
      </c>
      <c r="R28" s="49"/>
      <c r="S28" s="49"/>
      <c r="T28" s="49"/>
      <c r="U28" s="49"/>
    </row>
    <row r="29" spans="1:21" customFormat="1">
      <c r="A29" s="50" t="s">
        <v>80</v>
      </c>
      <c r="B29" s="51">
        <v>14.57</v>
      </c>
      <c r="C29" s="51">
        <v>23.27</v>
      </c>
      <c r="D29" s="51">
        <v>24.97</v>
      </c>
      <c r="E29" s="51">
        <v>6.01</v>
      </c>
      <c r="F29" s="51">
        <v>2.68</v>
      </c>
      <c r="G29" s="51">
        <v>109.6</v>
      </c>
      <c r="H29" s="51">
        <v>33.630000000000003</v>
      </c>
      <c r="I29" s="51">
        <v>6.59</v>
      </c>
      <c r="J29" s="51">
        <v>0.18</v>
      </c>
      <c r="K29" s="51">
        <v>166.48</v>
      </c>
      <c r="L29" s="51">
        <v>23.48</v>
      </c>
      <c r="M29" s="51">
        <v>80.53</v>
      </c>
      <c r="N29" s="51">
        <v>0</v>
      </c>
      <c r="O29" s="51">
        <v>0</v>
      </c>
      <c r="P29" s="51">
        <v>0.87</v>
      </c>
      <c r="Q29" s="51">
        <v>4.79</v>
      </c>
      <c r="R29" s="49"/>
      <c r="S29" s="49"/>
      <c r="T29" s="49"/>
      <c r="U29" s="49"/>
    </row>
    <row r="30" spans="1:21" customFormat="1">
      <c r="A30" s="50" t="s">
        <v>81</v>
      </c>
      <c r="B30" s="51">
        <v>18.27</v>
      </c>
      <c r="C30" s="51">
        <v>26.22</v>
      </c>
      <c r="D30" s="51">
        <v>29.7</v>
      </c>
      <c r="E30" s="51">
        <v>6.14</v>
      </c>
      <c r="F30" s="51">
        <v>2.77</v>
      </c>
      <c r="G30" s="51">
        <v>113.28</v>
      </c>
      <c r="H30" s="51">
        <v>33.630000000000003</v>
      </c>
      <c r="I30" s="51">
        <v>7.36</v>
      </c>
      <c r="J30" s="51">
        <v>0.2</v>
      </c>
      <c r="K30" s="51">
        <v>180.52</v>
      </c>
      <c r="L30" s="51">
        <v>23.58</v>
      </c>
      <c r="M30" s="51">
        <v>77.180000000000007</v>
      </c>
      <c r="N30" s="51">
        <v>0</v>
      </c>
      <c r="O30" s="51">
        <v>0</v>
      </c>
      <c r="P30" s="51">
        <v>0.97</v>
      </c>
      <c r="Q30" s="51">
        <v>5.0199999999999996</v>
      </c>
      <c r="R30" s="49"/>
      <c r="S30" s="49"/>
      <c r="T30" s="49"/>
      <c r="U30" s="49"/>
    </row>
    <row r="31" spans="1:21" customFormat="1">
      <c r="A31" s="50" t="s">
        <v>82</v>
      </c>
      <c r="B31" s="51">
        <v>21.58</v>
      </c>
      <c r="C31" s="51">
        <v>28.01</v>
      </c>
      <c r="D31" s="51">
        <v>33.29</v>
      </c>
      <c r="E31" s="51">
        <v>6.46</v>
      </c>
      <c r="F31" s="51">
        <v>2.71</v>
      </c>
      <c r="G31" s="51">
        <v>113.28</v>
      </c>
      <c r="H31" s="51">
        <v>34.42</v>
      </c>
      <c r="I31" s="51">
        <v>7.49</v>
      </c>
      <c r="J31" s="51">
        <v>0.12</v>
      </c>
      <c r="K31" s="51">
        <v>194.68</v>
      </c>
      <c r="L31" s="51">
        <v>22.79</v>
      </c>
      <c r="M31" s="51">
        <v>79.430000000000007</v>
      </c>
      <c r="N31" s="51">
        <v>0</v>
      </c>
      <c r="O31" s="51">
        <v>0</v>
      </c>
      <c r="P31" s="51">
        <v>0.99</v>
      </c>
      <c r="Q31" s="51">
        <v>5.22</v>
      </c>
      <c r="R31" s="49"/>
      <c r="S31" s="49"/>
      <c r="T31" s="49"/>
      <c r="U31" s="49"/>
    </row>
    <row r="32" spans="1:21" customFormat="1">
      <c r="A32" s="50" t="s">
        <v>83</v>
      </c>
      <c r="B32" s="51">
        <v>23.57</v>
      </c>
      <c r="C32" s="51">
        <v>28.76</v>
      </c>
      <c r="D32" s="51">
        <v>35.28</v>
      </c>
      <c r="E32" s="51">
        <v>6.51</v>
      </c>
      <c r="F32" s="51">
        <v>2.63</v>
      </c>
      <c r="G32" s="51">
        <v>110.89</v>
      </c>
      <c r="H32" s="51">
        <v>34.42</v>
      </c>
      <c r="I32" s="51">
        <v>7.47</v>
      </c>
      <c r="J32" s="51">
        <v>0.16</v>
      </c>
      <c r="K32" s="51">
        <v>169.23</v>
      </c>
      <c r="L32" s="51">
        <v>22.71</v>
      </c>
      <c r="M32" s="51">
        <v>83.02</v>
      </c>
      <c r="N32" s="51">
        <v>0</v>
      </c>
      <c r="O32" s="51">
        <v>0</v>
      </c>
      <c r="P32" s="51">
        <v>0.98</v>
      </c>
      <c r="Q32" s="51">
        <v>5.31</v>
      </c>
      <c r="R32" s="49"/>
      <c r="S32" s="49"/>
      <c r="T32" s="49"/>
      <c r="U32" s="49"/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4.72</v>
      </c>
      <c r="C34" s="40">
        <f t="shared" si="0"/>
        <v>19.329999999999998</v>
      </c>
      <c r="D34" s="40">
        <f t="shared" si="0"/>
        <v>15.44</v>
      </c>
      <c r="E34" s="40">
        <f t="shared" si="0"/>
        <v>4.4000000000000004</v>
      </c>
      <c r="F34" s="40">
        <f t="shared" si="0"/>
        <v>2.56</v>
      </c>
      <c r="G34" s="40">
        <f t="shared" si="0"/>
        <v>48.26</v>
      </c>
      <c r="H34" s="40">
        <f t="shared" si="0"/>
        <v>20.22</v>
      </c>
      <c r="I34" s="40">
        <f t="shared" si="0"/>
        <v>4.71</v>
      </c>
      <c r="J34" s="40">
        <f t="shared" si="0"/>
        <v>0.1</v>
      </c>
      <c r="K34" s="40">
        <f t="shared" si="0"/>
        <v>51.59</v>
      </c>
      <c r="L34" s="40">
        <f t="shared" si="0"/>
        <v>19.739999999999998</v>
      </c>
      <c r="M34" s="40">
        <f t="shared" si="0"/>
        <v>42.03</v>
      </c>
      <c r="N34" s="40">
        <f t="shared" si="0"/>
        <v>0</v>
      </c>
      <c r="O34" s="40">
        <f t="shared" si="0"/>
        <v>0</v>
      </c>
      <c r="P34" s="40">
        <f t="shared" si="0"/>
        <v>0.62</v>
      </c>
      <c r="Q34" s="40">
        <f t="shared" si="0"/>
        <v>4.3099999999999996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30.7</v>
      </c>
      <c r="C35" s="33">
        <f t="shared" si="1"/>
        <v>28.76</v>
      </c>
      <c r="D35" s="33">
        <f t="shared" si="1"/>
        <v>40.86</v>
      </c>
      <c r="E35" s="33">
        <f t="shared" si="1"/>
        <v>8.32</v>
      </c>
      <c r="F35" s="33">
        <f t="shared" si="1"/>
        <v>6.53</v>
      </c>
      <c r="G35" s="33">
        <f t="shared" si="1"/>
        <v>113.28</v>
      </c>
      <c r="H35" s="33">
        <f t="shared" si="1"/>
        <v>36.42</v>
      </c>
      <c r="I35" s="33">
        <f t="shared" si="1"/>
        <v>7.49</v>
      </c>
      <c r="J35" s="33">
        <f t="shared" si="1"/>
        <v>0.6</v>
      </c>
      <c r="K35" s="33">
        <f t="shared" si="1"/>
        <v>342.17</v>
      </c>
      <c r="L35" s="33">
        <f t="shared" si="1"/>
        <v>30.95</v>
      </c>
      <c r="M35" s="33">
        <f t="shared" si="1"/>
        <v>98.26</v>
      </c>
      <c r="N35" s="33">
        <f t="shared" si="1"/>
        <v>584.4</v>
      </c>
      <c r="O35" s="33">
        <f t="shared" si="1"/>
        <v>0</v>
      </c>
      <c r="P35" s="33">
        <f t="shared" si="1"/>
        <v>0.99</v>
      </c>
      <c r="Q35" s="33">
        <f t="shared" si="1"/>
        <v>5.68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16.208333333333332</v>
      </c>
      <c r="C36" s="40">
        <f t="shared" si="2"/>
        <v>24.250833333333333</v>
      </c>
      <c r="D36" s="40">
        <f t="shared" si="2"/>
        <v>26.94</v>
      </c>
      <c r="E36" s="40">
        <f t="shared" si="2"/>
        <v>6.6754166666666643</v>
      </c>
      <c r="F36" s="40">
        <f t="shared" si="2"/>
        <v>3.7654166666666655</v>
      </c>
      <c r="G36" s="40">
        <f t="shared" si="2"/>
        <v>73.307916666666657</v>
      </c>
      <c r="H36" s="40">
        <f t="shared" si="2"/>
        <v>29.508749999999996</v>
      </c>
      <c r="I36" s="40">
        <f t="shared" si="2"/>
        <v>6.4575000000000005</v>
      </c>
      <c r="J36" s="40">
        <f t="shared" si="2"/>
        <v>0.29499999999999998</v>
      </c>
      <c r="K36" s="40">
        <f t="shared" si="2"/>
        <v>158.17125000000001</v>
      </c>
      <c r="L36" s="40">
        <f t="shared" si="2"/>
        <v>24.927499999999998</v>
      </c>
      <c r="M36" s="40">
        <f t="shared" si="2"/>
        <v>73.078749999999999</v>
      </c>
      <c r="N36" s="40">
        <f t="shared" si="2"/>
        <v>155.97083333333333</v>
      </c>
      <c r="O36" s="40">
        <f t="shared" si="2"/>
        <v>0</v>
      </c>
      <c r="P36" s="40">
        <f t="shared" si="2"/>
        <v>0.78499999999999981</v>
      </c>
      <c r="Q36" s="40">
        <f t="shared" si="2"/>
        <v>4.9095833333333339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8.942638783144325</v>
      </c>
      <c r="C37" s="40">
        <f t="shared" ref="C37:Q37" si="3">STDEV(C9:C32)</f>
        <v>3.1539608178574161</v>
      </c>
      <c r="D37" s="40">
        <f t="shared" si="3"/>
        <v>8.6783348432849579</v>
      </c>
      <c r="E37" s="40">
        <f t="shared" si="3"/>
        <v>1.0125515732079136</v>
      </c>
      <c r="F37" s="40">
        <f t="shared" si="3"/>
        <v>1.5610614537291132</v>
      </c>
      <c r="G37" s="40">
        <f t="shared" si="3"/>
        <v>21.350942343355161</v>
      </c>
      <c r="H37" s="40">
        <f t="shared" si="3"/>
        <v>4.8131651996509399</v>
      </c>
      <c r="I37" s="40">
        <f t="shared" si="3"/>
        <v>0.8557389382485554</v>
      </c>
      <c r="J37" s="40">
        <f t="shared" si="3"/>
        <v>0.15617715693348391</v>
      </c>
      <c r="K37" s="40">
        <f t="shared" si="3"/>
        <v>64.21766351297137</v>
      </c>
      <c r="L37" s="40">
        <f t="shared" si="3"/>
        <v>3.9937388497496946</v>
      </c>
      <c r="M37" s="40">
        <f t="shared" si="3"/>
        <v>19.952030802707085</v>
      </c>
      <c r="N37" s="40">
        <f t="shared" si="3"/>
        <v>224.21762813055705</v>
      </c>
      <c r="O37" s="40">
        <f t="shared" si="3"/>
        <v>0</v>
      </c>
      <c r="P37" s="40">
        <f t="shared" si="3"/>
        <v>0.10249072068283641</v>
      </c>
      <c r="Q37" s="40">
        <f t="shared" si="3"/>
        <v>0.45684627008737994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1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3" width="11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02/11/2023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84</v>
      </c>
      <c r="B9" s="51">
        <v>24.09</v>
      </c>
      <c r="C9" s="51">
        <v>28.65</v>
      </c>
      <c r="D9" s="51">
        <v>35.56</v>
      </c>
      <c r="E9" s="51">
        <v>6.97</v>
      </c>
      <c r="F9" s="51">
        <v>2.57</v>
      </c>
      <c r="G9" s="51">
        <v>96.47</v>
      </c>
      <c r="H9" s="51">
        <v>32.630000000000003</v>
      </c>
      <c r="I9" s="51">
        <v>7.37</v>
      </c>
      <c r="J9" s="51">
        <v>0.17</v>
      </c>
      <c r="K9" s="51">
        <v>182.99</v>
      </c>
      <c r="L9" s="51">
        <v>22.37</v>
      </c>
      <c r="M9" s="51">
        <v>85.05</v>
      </c>
      <c r="N9" s="51">
        <v>0</v>
      </c>
      <c r="O9" s="51">
        <v>0</v>
      </c>
      <c r="P9" s="51">
        <v>0.97</v>
      </c>
      <c r="Q9" s="51">
        <v>5.34</v>
      </c>
    </row>
    <row r="10" spans="1:21" customFormat="1">
      <c r="A10" s="50" t="s">
        <v>85</v>
      </c>
      <c r="B10" s="51">
        <v>24.6</v>
      </c>
      <c r="C10" s="51">
        <v>28.36</v>
      </c>
      <c r="D10" s="51">
        <v>35.89</v>
      </c>
      <c r="E10" s="51">
        <v>7.14</v>
      </c>
      <c r="F10" s="51">
        <v>2.46</v>
      </c>
      <c r="G10" s="51">
        <v>93.56</v>
      </c>
      <c r="H10" s="51">
        <v>31.47</v>
      </c>
      <c r="I10" s="51">
        <v>7.44</v>
      </c>
      <c r="J10" s="51">
        <v>0.11</v>
      </c>
      <c r="K10" s="51">
        <v>172.63</v>
      </c>
      <c r="L10" s="51">
        <v>22.09</v>
      </c>
      <c r="M10" s="51">
        <v>87.42</v>
      </c>
      <c r="N10" s="51">
        <v>0</v>
      </c>
      <c r="O10" s="51">
        <v>0</v>
      </c>
      <c r="P10" s="51">
        <v>0.95</v>
      </c>
      <c r="Q10" s="51">
        <v>5.35</v>
      </c>
    </row>
    <row r="11" spans="1:21" customFormat="1">
      <c r="A11" s="50" t="s">
        <v>86</v>
      </c>
      <c r="B11" s="51">
        <v>25.84</v>
      </c>
      <c r="C11" s="51">
        <v>28.78</v>
      </c>
      <c r="D11" s="51">
        <v>36.479999999999997</v>
      </c>
      <c r="E11" s="51">
        <v>6.28</v>
      </c>
      <c r="F11" s="51">
        <v>2.91</v>
      </c>
      <c r="G11" s="51">
        <v>90.39</v>
      </c>
      <c r="H11" s="51">
        <v>31.73</v>
      </c>
      <c r="I11" s="51">
        <v>7.78</v>
      </c>
      <c r="J11" s="51">
        <v>0.18</v>
      </c>
      <c r="K11" s="51">
        <v>138.15</v>
      </c>
      <c r="L11" s="51">
        <v>22.23</v>
      </c>
      <c r="M11" s="51">
        <v>82.14</v>
      </c>
      <c r="N11" s="51">
        <v>0</v>
      </c>
      <c r="O11" s="51">
        <v>0</v>
      </c>
      <c r="P11" s="51">
        <v>0.92</v>
      </c>
      <c r="Q11" s="51">
        <v>5.38</v>
      </c>
    </row>
    <row r="12" spans="1:21" customFormat="1">
      <c r="A12" s="50" t="s">
        <v>87</v>
      </c>
      <c r="B12" s="51">
        <v>26.06</v>
      </c>
      <c r="C12" s="51">
        <v>25.6</v>
      </c>
      <c r="D12" s="51">
        <v>35.29</v>
      </c>
      <c r="E12" s="51">
        <v>6.53</v>
      </c>
      <c r="F12" s="51">
        <v>2.73</v>
      </c>
      <c r="G12" s="51">
        <v>90.39</v>
      </c>
      <c r="H12" s="51">
        <v>32.869999999999997</v>
      </c>
      <c r="I12" s="51">
        <v>9.02</v>
      </c>
      <c r="J12" s="51">
        <v>0.35</v>
      </c>
      <c r="K12" s="51">
        <v>42.16</v>
      </c>
      <c r="L12" s="51">
        <v>22.38</v>
      </c>
      <c r="M12" s="51">
        <v>81.05</v>
      </c>
      <c r="N12" s="51">
        <v>0</v>
      </c>
      <c r="O12" s="51">
        <v>0</v>
      </c>
      <c r="P12" s="51">
        <v>0.87</v>
      </c>
      <c r="Q12" s="51">
        <v>5.33</v>
      </c>
    </row>
    <row r="13" spans="1:21" customFormat="1">
      <c r="A13" s="50" t="s">
        <v>88</v>
      </c>
      <c r="B13" s="51">
        <v>25.69</v>
      </c>
      <c r="C13" s="51">
        <v>24.45</v>
      </c>
      <c r="D13" s="51">
        <v>34.729999999999997</v>
      </c>
      <c r="E13" s="51">
        <v>6.19</v>
      </c>
      <c r="F13" s="51">
        <v>2.76</v>
      </c>
      <c r="G13" s="51">
        <v>88.97</v>
      </c>
      <c r="H13" s="51">
        <v>32.869999999999997</v>
      </c>
      <c r="I13" s="51">
        <v>9.02</v>
      </c>
      <c r="J13" s="51">
        <v>0.44</v>
      </c>
      <c r="K13" s="51">
        <v>40.130000000000003</v>
      </c>
      <c r="L13" s="51">
        <v>21.99</v>
      </c>
      <c r="M13" s="51">
        <v>84.32</v>
      </c>
      <c r="N13" s="51">
        <v>0</v>
      </c>
      <c r="O13" s="51">
        <v>0</v>
      </c>
      <c r="P13" s="51">
        <v>0.86</v>
      </c>
      <c r="Q13" s="51">
        <v>5.32</v>
      </c>
    </row>
    <row r="14" spans="1:21" customFormat="1">
      <c r="A14" s="50" t="s">
        <v>89</v>
      </c>
      <c r="B14" s="51">
        <v>25.03</v>
      </c>
      <c r="C14" s="51">
        <v>24.62</v>
      </c>
      <c r="D14" s="51">
        <v>34.18</v>
      </c>
      <c r="E14" s="51">
        <v>6.35</v>
      </c>
      <c r="F14" s="51">
        <v>2.68</v>
      </c>
      <c r="G14" s="51">
        <v>87.85</v>
      </c>
      <c r="H14" s="51">
        <v>34.44</v>
      </c>
      <c r="I14" s="51">
        <v>8.77</v>
      </c>
      <c r="J14" s="51">
        <v>0.39</v>
      </c>
      <c r="K14" s="51">
        <v>46.04</v>
      </c>
      <c r="L14" s="51">
        <v>21.72</v>
      </c>
      <c r="M14" s="51">
        <v>86.11</v>
      </c>
      <c r="N14" s="51">
        <v>0</v>
      </c>
      <c r="O14" s="51">
        <v>0</v>
      </c>
      <c r="P14" s="51">
        <v>0.86</v>
      </c>
      <c r="Q14" s="51">
        <v>5.3</v>
      </c>
    </row>
    <row r="15" spans="1:21" customFormat="1">
      <c r="A15" s="50" t="s">
        <v>90</v>
      </c>
      <c r="B15" s="51">
        <v>25.13</v>
      </c>
      <c r="C15" s="51">
        <v>24.06</v>
      </c>
      <c r="D15" s="51">
        <v>33.9</v>
      </c>
      <c r="E15" s="51">
        <v>6.34</v>
      </c>
      <c r="F15" s="51">
        <v>2.78</v>
      </c>
      <c r="G15" s="51">
        <v>87.85</v>
      </c>
      <c r="H15" s="51">
        <v>34.44</v>
      </c>
      <c r="I15" s="51">
        <v>8.77</v>
      </c>
      <c r="J15" s="51">
        <v>0.45</v>
      </c>
      <c r="K15" s="51">
        <v>68.010000000000005</v>
      </c>
      <c r="L15" s="51">
        <v>22.04</v>
      </c>
      <c r="M15" s="51">
        <v>86.35</v>
      </c>
      <c r="N15" s="51">
        <v>8.1</v>
      </c>
      <c r="O15" s="51">
        <v>0</v>
      </c>
      <c r="P15" s="51">
        <v>0.9</v>
      </c>
      <c r="Q15" s="51">
        <v>5.32</v>
      </c>
    </row>
    <row r="16" spans="1:21" customFormat="1">
      <c r="A16" s="50" t="s">
        <v>91</v>
      </c>
      <c r="B16" s="51">
        <v>24.69</v>
      </c>
      <c r="C16" s="51">
        <v>25.39</v>
      </c>
      <c r="D16" s="51">
        <v>33.22</v>
      </c>
      <c r="E16" s="51">
        <v>6.52</v>
      </c>
      <c r="F16" s="51">
        <v>2.98</v>
      </c>
      <c r="G16" s="51">
        <v>90.86</v>
      </c>
      <c r="H16" s="51">
        <v>34.42</v>
      </c>
      <c r="I16" s="51">
        <v>8.9</v>
      </c>
      <c r="J16" s="51">
        <v>0.41</v>
      </c>
      <c r="K16" s="51">
        <v>108.37</v>
      </c>
      <c r="L16" s="51">
        <v>23.59</v>
      </c>
      <c r="M16" s="51">
        <v>83.6</v>
      </c>
      <c r="N16" s="51">
        <v>51.5</v>
      </c>
      <c r="O16" s="51">
        <v>0</v>
      </c>
      <c r="P16" s="51">
        <v>0.97</v>
      </c>
      <c r="Q16" s="51">
        <v>5.29</v>
      </c>
    </row>
    <row r="17" spans="1:17" customFormat="1">
      <c r="A17" s="50" t="s">
        <v>92</v>
      </c>
      <c r="B17" s="51">
        <v>21.89</v>
      </c>
      <c r="C17" s="51">
        <v>27.37</v>
      </c>
      <c r="D17" s="51">
        <v>32.35</v>
      </c>
      <c r="E17" s="51">
        <v>6.86</v>
      </c>
      <c r="F17" s="51">
        <v>3.15</v>
      </c>
      <c r="G17" s="51">
        <v>90.86</v>
      </c>
      <c r="H17" s="51">
        <v>37</v>
      </c>
      <c r="I17" s="51">
        <v>8.89</v>
      </c>
      <c r="J17" s="51">
        <v>0.44</v>
      </c>
      <c r="K17" s="51">
        <v>48.76</v>
      </c>
      <c r="L17" s="51">
        <v>25.56</v>
      </c>
      <c r="M17" s="51">
        <v>77.430000000000007</v>
      </c>
      <c r="N17" s="51">
        <v>134.80000000000001</v>
      </c>
      <c r="O17" s="51">
        <v>0</v>
      </c>
      <c r="P17" s="51">
        <v>0.98</v>
      </c>
      <c r="Q17" s="51">
        <v>5.19</v>
      </c>
    </row>
    <row r="18" spans="1:17" customFormat="1">
      <c r="A18" s="50" t="s">
        <v>93</v>
      </c>
      <c r="B18" s="51">
        <v>17.920000000000002</v>
      </c>
      <c r="C18" s="51">
        <v>28.84</v>
      </c>
      <c r="D18" s="51">
        <v>30.33</v>
      </c>
      <c r="E18" s="51">
        <v>7.21</v>
      </c>
      <c r="F18" s="51">
        <v>3.29</v>
      </c>
      <c r="G18" s="51">
        <v>89.97</v>
      </c>
      <c r="H18" s="51">
        <v>37.15</v>
      </c>
      <c r="I18" s="51">
        <v>8.57</v>
      </c>
      <c r="J18" s="51">
        <v>0.47</v>
      </c>
      <c r="K18" s="51">
        <v>142.66</v>
      </c>
      <c r="L18" s="51">
        <v>27.88</v>
      </c>
      <c r="M18" s="51">
        <v>71.03</v>
      </c>
      <c r="N18" s="51">
        <v>257.60000000000002</v>
      </c>
      <c r="O18" s="51">
        <v>0</v>
      </c>
      <c r="P18" s="51">
        <v>1.01</v>
      </c>
      <c r="Q18" s="51">
        <v>5.07</v>
      </c>
    </row>
    <row r="19" spans="1:17" customFormat="1">
      <c r="A19" s="50" t="s">
        <v>94</v>
      </c>
      <c r="B19" s="51">
        <v>13.64</v>
      </c>
      <c r="C19" s="51">
        <v>28.58</v>
      </c>
      <c r="D19" s="51">
        <v>27.23</v>
      </c>
      <c r="E19" s="51">
        <v>7.02</v>
      </c>
      <c r="F19" s="51">
        <v>4.24</v>
      </c>
      <c r="G19" s="51">
        <v>89.97</v>
      </c>
      <c r="H19" s="51">
        <v>37.15</v>
      </c>
      <c r="I19" s="51">
        <v>8.5399999999999991</v>
      </c>
      <c r="J19" s="51">
        <v>0.28999999999999998</v>
      </c>
      <c r="K19" s="51">
        <v>175.9</v>
      </c>
      <c r="L19" s="51">
        <v>27.91</v>
      </c>
      <c r="M19" s="51">
        <v>67.709999999999994</v>
      </c>
      <c r="N19" s="51">
        <v>131.5</v>
      </c>
      <c r="O19" s="51">
        <v>0</v>
      </c>
      <c r="P19" s="51">
        <v>0.99</v>
      </c>
      <c r="Q19" s="51">
        <v>4.9000000000000004</v>
      </c>
    </row>
    <row r="20" spans="1:17" customFormat="1">
      <c r="A20" s="50" t="s">
        <v>95</v>
      </c>
      <c r="B20" s="51">
        <v>10.01</v>
      </c>
      <c r="C20" s="51">
        <v>27.79</v>
      </c>
      <c r="D20" s="51">
        <v>23.9</v>
      </c>
      <c r="E20" s="51">
        <v>7.35</v>
      </c>
      <c r="F20" s="51">
        <v>5.01</v>
      </c>
      <c r="G20" s="51">
        <v>81.72</v>
      </c>
      <c r="H20" s="51">
        <v>35.14</v>
      </c>
      <c r="I20" s="51">
        <v>8.09</v>
      </c>
      <c r="J20" s="51">
        <v>0.37</v>
      </c>
      <c r="K20" s="51">
        <v>336.82</v>
      </c>
      <c r="L20" s="51">
        <v>29.82</v>
      </c>
      <c r="M20" s="51">
        <v>67.02</v>
      </c>
      <c r="N20" s="51">
        <v>521.29999999999995</v>
      </c>
      <c r="O20" s="51">
        <v>0</v>
      </c>
      <c r="P20" s="51">
        <v>0.96</v>
      </c>
      <c r="Q20" s="51">
        <v>4.7</v>
      </c>
    </row>
    <row r="21" spans="1:17" customFormat="1">
      <c r="A21" s="50" t="s">
        <v>96</v>
      </c>
      <c r="B21" s="51">
        <v>8.1999999999999993</v>
      </c>
      <c r="C21" s="51">
        <v>26.3</v>
      </c>
      <c r="D21" s="51">
        <v>21.67</v>
      </c>
      <c r="E21" s="51">
        <v>7.16</v>
      </c>
      <c r="F21" s="51">
        <v>6.1</v>
      </c>
      <c r="G21" s="51">
        <v>82.73</v>
      </c>
      <c r="H21" s="51">
        <v>33.159999999999997</v>
      </c>
      <c r="I21" s="51">
        <v>7.83</v>
      </c>
      <c r="J21" s="51">
        <v>0.44</v>
      </c>
      <c r="K21" s="51">
        <v>47.9</v>
      </c>
      <c r="L21" s="51">
        <v>31</v>
      </c>
      <c r="M21" s="51">
        <v>60.66</v>
      </c>
      <c r="N21" s="51">
        <v>490.9</v>
      </c>
      <c r="O21" s="51">
        <v>0</v>
      </c>
      <c r="P21" s="51">
        <v>0.93</v>
      </c>
      <c r="Q21" s="51">
        <v>4.6100000000000003</v>
      </c>
    </row>
    <row r="22" spans="1:17" customFormat="1">
      <c r="A22" s="50" t="s">
        <v>97</v>
      </c>
      <c r="B22" s="51">
        <v>7.12</v>
      </c>
      <c r="C22" s="51">
        <v>22.56</v>
      </c>
      <c r="D22" s="51">
        <v>18.809999999999999</v>
      </c>
      <c r="E22" s="51">
        <v>6.65</v>
      </c>
      <c r="F22" s="51">
        <v>8.2899999999999991</v>
      </c>
      <c r="G22" s="51">
        <v>82.73</v>
      </c>
      <c r="H22" s="51">
        <v>29.95</v>
      </c>
      <c r="I22" s="51">
        <v>7.59</v>
      </c>
      <c r="J22" s="51">
        <v>0.33</v>
      </c>
      <c r="K22" s="51">
        <v>126.74</v>
      </c>
      <c r="L22" s="51">
        <v>30.46</v>
      </c>
      <c r="M22" s="51">
        <v>61.58</v>
      </c>
      <c r="N22" s="51">
        <v>201.2</v>
      </c>
      <c r="O22" s="51">
        <v>0</v>
      </c>
      <c r="P22" s="51">
        <v>0.89</v>
      </c>
      <c r="Q22" s="51">
        <v>4.46</v>
      </c>
    </row>
    <row r="23" spans="1:17" customFormat="1">
      <c r="A23" s="50" t="s">
        <v>98</v>
      </c>
      <c r="B23" s="51">
        <v>6.95</v>
      </c>
      <c r="C23" s="51">
        <v>20.59</v>
      </c>
      <c r="D23" s="51">
        <v>17.68</v>
      </c>
      <c r="E23" s="51">
        <v>6.08</v>
      </c>
      <c r="F23" s="51">
        <v>6.89</v>
      </c>
      <c r="G23" s="51">
        <v>72.459999999999994</v>
      </c>
      <c r="H23" s="51">
        <v>27.91</v>
      </c>
      <c r="I23" s="51">
        <v>7.2</v>
      </c>
      <c r="J23" s="51">
        <v>0.27</v>
      </c>
      <c r="K23" s="51">
        <v>187.39</v>
      </c>
      <c r="L23" s="51">
        <v>30.8</v>
      </c>
      <c r="M23" s="51">
        <v>58.54</v>
      </c>
      <c r="N23" s="51">
        <v>374.8</v>
      </c>
      <c r="O23" s="51">
        <v>0</v>
      </c>
      <c r="P23" s="51">
        <v>0.78</v>
      </c>
      <c r="Q23" s="51">
        <v>4.4000000000000004</v>
      </c>
    </row>
    <row r="24" spans="1:17" customFormat="1">
      <c r="A24" s="50" t="s">
        <v>99</v>
      </c>
      <c r="B24" s="51">
        <v>7.1</v>
      </c>
      <c r="C24" s="51">
        <v>18.809999999999999</v>
      </c>
      <c r="D24" s="51">
        <v>16.78</v>
      </c>
      <c r="E24" s="51">
        <v>7.05</v>
      </c>
      <c r="F24" s="51">
        <v>7.6</v>
      </c>
      <c r="G24" s="51">
        <v>65.42</v>
      </c>
      <c r="H24" s="51">
        <v>26.92</v>
      </c>
      <c r="I24" s="51">
        <v>6.92</v>
      </c>
      <c r="J24" s="51">
        <v>0.54</v>
      </c>
      <c r="K24" s="51">
        <v>313.87</v>
      </c>
      <c r="L24" s="51">
        <v>29.95</v>
      </c>
      <c r="M24" s="51">
        <v>68.400000000000006</v>
      </c>
      <c r="N24" s="51">
        <v>92</v>
      </c>
      <c r="O24" s="51">
        <v>0</v>
      </c>
      <c r="P24" s="51">
        <v>0.75</v>
      </c>
      <c r="Q24" s="51">
        <v>4.41</v>
      </c>
    </row>
    <row r="25" spans="1:17" customFormat="1">
      <c r="A25" s="50" t="s">
        <v>100</v>
      </c>
      <c r="B25" s="51">
        <v>9.27</v>
      </c>
      <c r="C25" s="51">
        <v>21.25</v>
      </c>
      <c r="D25" s="51">
        <v>19.89</v>
      </c>
      <c r="E25" s="51">
        <v>9.9600000000000009</v>
      </c>
      <c r="F25" s="51">
        <v>5.08</v>
      </c>
      <c r="G25" s="51">
        <v>69.33</v>
      </c>
      <c r="H25" s="51">
        <v>25.4</v>
      </c>
      <c r="I25" s="51">
        <v>6.72</v>
      </c>
      <c r="J25" s="51">
        <v>0.56000000000000005</v>
      </c>
      <c r="K25" s="51">
        <v>348.8</v>
      </c>
      <c r="L25" s="51">
        <v>28.04</v>
      </c>
      <c r="M25" s="51">
        <v>72.45</v>
      </c>
      <c r="N25" s="51">
        <v>41.7</v>
      </c>
      <c r="O25" s="51">
        <v>0</v>
      </c>
      <c r="P25" s="51">
        <v>0.81</v>
      </c>
      <c r="Q25" s="51">
        <v>4.5</v>
      </c>
    </row>
    <row r="26" spans="1:17" customFormat="1">
      <c r="A26" s="50" t="s">
        <v>101</v>
      </c>
      <c r="B26" s="51">
        <v>12.33</v>
      </c>
      <c r="C26" s="51">
        <v>25.12</v>
      </c>
      <c r="D26" s="51">
        <v>24.36</v>
      </c>
      <c r="E26" s="51">
        <v>6.57</v>
      </c>
      <c r="F26" s="51">
        <v>5.51</v>
      </c>
      <c r="G26" s="51">
        <v>70.459999999999994</v>
      </c>
      <c r="H26" s="51">
        <v>25.35</v>
      </c>
      <c r="I26" s="51">
        <v>6.84</v>
      </c>
      <c r="J26" s="51">
        <v>0.32</v>
      </c>
      <c r="K26" s="51">
        <v>120.04</v>
      </c>
      <c r="L26" s="51">
        <v>27.1</v>
      </c>
      <c r="M26" s="51">
        <v>76.3</v>
      </c>
      <c r="N26" s="51">
        <v>0</v>
      </c>
      <c r="O26" s="51">
        <v>0</v>
      </c>
      <c r="P26" s="51">
        <v>0.89</v>
      </c>
      <c r="Q26" s="51">
        <v>4.67</v>
      </c>
    </row>
    <row r="27" spans="1:17" customFormat="1">
      <c r="A27" s="50" t="s">
        <v>102</v>
      </c>
      <c r="B27" s="51">
        <v>16.420000000000002</v>
      </c>
      <c r="C27" s="51">
        <v>27.25</v>
      </c>
      <c r="D27" s="51">
        <v>28.75</v>
      </c>
      <c r="E27" s="51">
        <v>6.51</v>
      </c>
      <c r="F27" s="51">
        <v>2.78</v>
      </c>
      <c r="G27" s="51">
        <v>82.13</v>
      </c>
      <c r="H27" s="51">
        <v>24.83</v>
      </c>
      <c r="I27" s="51">
        <v>7</v>
      </c>
      <c r="J27" s="51">
        <v>0.21</v>
      </c>
      <c r="K27" s="51">
        <v>149.06</v>
      </c>
      <c r="L27" s="51">
        <v>26.32</v>
      </c>
      <c r="M27" s="51">
        <v>77.44</v>
      </c>
      <c r="N27" s="51">
        <v>0</v>
      </c>
      <c r="O27" s="51">
        <v>0</v>
      </c>
      <c r="P27" s="51">
        <v>0.96</v>
      </c>
      <c r="Q27" s="51">
        <v>4.9000000000000004</v>
      </c>
    </row>
    <row r="28" spans="1:17" customFormat="1">
      <c r="A28" s="50" t="s">
        <v>103</v>
      </c>
      <c r="B28" s="51">
        <v>17.100000000000001</v>
      </c>
      <c r="C28" s="51">
        <v>27.51</v>
      </c>
      <c r="D28" s="51">
        <v>29.39</v>
      </c>
      <c r="E28" s="51">
        <v>6.98</v>
      </c>
      <c r="F28" s="51">
        <v>2.58</v>
      </c>
      <c r="G28" s="51">
        <v>86.27</v>
      </c>
      <c r="H28" s="51">
        <v>26.57</v>
      </c>
      <c r="I28" s="51">
        <v>7.54</v>
      </c>
      <c r="J28" s="51">
        <v>0.26</v>
      </c>
      <c r="K28" s="51">
        <v>177.72</v>
      </c>
      <c r="L28" s="51">
        <v>25.77</v>
      </c>
      <c r="M28" s="51">
        <v>82.74</v>
      </c>
      <c r="N28" s="51">
        <v>0</v>
      </c>
      <c r="O28" s="51">
        <v>0</v>
      </c>
      <c r="P28" s="51">
        <v>1.01</v>
      </c>
      <c r="Q28" s="51">
        <v>5.03</v>
      </c>
    </row>
    <row r="29" spans="1:17" customFormat="1">
      <c r="A29" s="50" t="s">
        <v>104</v>
      </c>
      <c r="B29" s="51">
        <v>18.12</v>
      </c>
      <c r="C29" s="51">
        <v>27.54</v>
      </c>
      <c r="D29" s="51">
        <v>30.27</v>
      </c>
      <c r="E29" s="51">
        <v>7.65</v>
      </c>
      <c r="F29" s="51">
        <v>2.4700000000000002</v>
      </c>
      <c r="G29" s="51">
        <v>86.27</v>
      </c>
      <c r="H29" s="51">
        <v>28.16</v>
      </c>
      <c r="I29" s="51">
        <v>8.16</v>
      </c>
      <c r="J29" s="51">
        <v>0.21</v>
      </c>
      <c r="K29" s="51">
        <v>217.5</v>
      </c>
      <c r="L29" s="51">
        <v>25.48</v>
      </c>
      <c r="M29" s="51">
        <v>91.66</v>
      </c>
      <c r="N29" s="51">
        <v>0</v>
      </c>
      <c r="O29" s="51">
        <v>0</v>
      </c>
      <c r="P29" s="51">
        <v>1.1200000000000001</v>
      </c>
      <c r="Q29" s="51">
        <v>5.09</v>
      </c>
    </row>
    <row r="30" spans="1:17" customFormat="1">
      <c r="A30" s="50" t="s">
        <v>105</v>
      </c>
      <c r="B30" s="51">
        <v>17.86</v>
      </c>
      <c r="C30" s="51">
        <v>26.44</v>
      </c>
      <c r="D30" s="51">
        <v>29.48</v>
      </c>
      <c r="E30" s="51">
        <v>7.33</v>
      </c>
      <c r="F30" s="51">
        <v>2.5099999999999998</v>
      </c>
      <c r="G30" s="51">
        <v>83.79</v>
      </c>
      <c r="H30" s="51">
        <v>28.16</v>
      </c>
      <c r="I30" s="51">
        <v>8.48</v>
      </c>
      <c r="J30" s="51">
        <v>0.2</v>
      </c>
      <c r="K30" s="51">
        <v>208.45</v>
      </c>
      <c r="L30" s="51">
        <v>24.74</v>
      </c>
      <c r="M30" s="51">
        <v>92.73</v>
      </c>
      <c r="N30" s="51">
        <v>0</v>
      </c>
      <c r="O30" s="51">
        <v>0</v>
      </c>
      <c r="P30" s="51">
        <v>1.1399999999999999</v>
      </c>
      <c r="Q30" s="51">
        <v>5.08</v>
      </c>
    </row>
    <row r="31" spans="1:17" customFormat="1">
      <c r="A31" s="50" t="s">
        <v>106</v>
      </c>
      <c r="B31" s="51">
        <v>21.03</v>
      </c>
      <c r="C31" s="51">
        <v>24.74</v>
      </c>
      <c r="D31" s="51">
        <v>30.05</v>
      </c>
      <c r="E31" s="51">
        <v>7.27</v>
      </c>
      <c r="F31" s="51">
        <v>3.01</v>
      </c>
      <c r="G31" s="51">
        <v>81.96</v>
      </c>
      <c r="H31" s="51">
        <v>27.3</v>
      </c>
      <c r="I31" s="51">
        <v>8.65</v>
      </c>
      <c r="J31" s="51">
        <v>0.23</v>
      </c>
      <c r="K31" s="51">
        <v>214.78</v>
      </c>
      <c r="L31" s="51">
        <v>24.6</v>
      </c>
      <c r="M31" s="51">
        <v>93.4</v>
      </c>
      <c r="N31" s="51">
        <v>0</v>
      </c>
      <c r="O31" s="51">
        <v>0</v>
      </c>
      <c r="P31" s="51">
        <v>1.1299999999999999</v>
      </c>
      <c r="Q31" s="51">
        <v>5.13</v>
      </c>
    </row>
    <row r="32" spans="1:17" customFormat="1">
      <c r="A32" s="50" t="s">
        <v>107</v>
      </c>
      <c r="B32" s="51">
        <v>22.13</v>
      </c>
      <c r="C32" s="51">
        <v>22.43</v>
      </c>
      <c r="D32" s="51">
        <v>30.19</v>
      </c>
      <c r="E32" s="51">
        <v>6.38</v>
      </c>
      <c r="F32" s="51">
        <v>2.8</v>
      </c>
      <c r="G32" s="51">
        <v>81.96</v>
      </c>
      <c r="H32" s="51">
        <v>27.99</v>
      </c>
      <c r="I32" s="51">
        <v>8.8000000000000007</v>
      </c>
      <c r="J32" s="51">
        <v>0.12</v>
      </c>
      <c r="K32" s="51">
        <v>193.45</v>
      </c>
      <c r="L32" s="51">
        <v>24.47</v>
      </c>
      <c r="M32" s="51">
        <v>94.4</v>
      </c>
      <c r="N32" s="51">
        <v>0</v>
      </c>
      <c r="O32" s="51">
        <v>0</v>
      </c>
      <c r="P32" s="51">
        <v>1.1100000000000001</v>
      </c>
      <c r="Q32" s="51">
        <v>5.13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6.95</v>
      </c>
      <c r="C34" s="40">
        <f t="shared" si="0"/>
        <v>18.809999999999999</v>
      </c>
      <c r="D34" s="40">
        <f t="shared" si="0"/>
        <v>16.78</v>
      </c>
      <c r="E34" s="40">
        <f t="shared" si="0"/>
        <v>6.08</v>
      </c>
      <c r="F34" s="40">
        <f t="shared" si="0"/>
        <v>2.46</v>
      </c>
      <c r="G34" s="40">
        <f t="shared" si="0"/>
        <v>65.42</v>
      </c>
      <c r="H34" s="40">
        <f t="shared" si="0"/>
        <v>24.83</v>
      </c>
      <c r="I34" s="40">
        <f t="shared" si="0"/>
        <v>6.72</v>
      </c>
      <c r="J34" s="40">
        <f t="shared" si="0"/>
        <v>0.11</v>
      </c>
      <c r="K34" s="40">
        <f t="shared" si="0"/>
        <v>40.130000000000003</v>
      </c>
      <c r="L34" s="40">
        <f t="shared" si="0"/>
        <v>21.72</v>
      </c>
      <c r="M34" s="40">
        <f t="shared" si="0"/>
        <v>58.54</v>
      </c>
      <c r="N34" s="40">
        <f t="shared" si="0"/>
        <v>0</v>
      </c>
      <c r="O34" s="40">
        <f t="shared" si="0"/>
        <v>0</v>
      </c>
      <c r="P34" s="40">
        <f t="shared" si="0"/>
        <v>0.75</v>
      </c>
      <c r="Q34" s="40">
        <f t="shared" si="0"/>
        <v>4.4000000000000004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26.06</v>
      </c>
      <c r="C35" s="33">
        <f t="shared" si="1"/>
        <v>28.84</v>
      </c>
      <c r="D35" s="33">
        <f t="shared" si="1"/>
        <v>36.479999999999997</v>
      </c>
      <c r="E35" s="33">
        <f t="shared" si="1"/>
        <v>9.9600000000000009</v>
      </c>
      <c r="F35" s="33">
        <f t="shared" si="1"/>
        <v>8.2899999999999991</v>
      </c>
      <c r="G35" s="33">
        <f t="shared" si="1"/>
        <v>96.47</v>
      </c>
      <c r="H35" s="33">
        <f t="shared" si="1"/>
        <v>37.15</v>
      </c>
      <c r="I35" s="33">
        <f t="shared" si="1"/>
        <v>9.02</v>
      </c>
      <c r="J35" s="33">
        <f t="shared" si="1"/>
        <v>0.56000000000000005</v>
      </c>
      <c r="K35" s="33">
        <f t="shared" si="1"/>
        <v>348.8</v>
      </c>
      <c r="L35" s="33">
        <f t="shared" si="1"/>
        <v>31</v>
      </c>
      <c r="M35" s="33">
        <f t="shared" si="1"/>
        <v>94.4</v>
      </c>
      <c r="N35" s="33">
        <f t="shared" si="1"/>
        <v>521.29999999999995</v>
      </c>
      <c r="O35" s="33">
        <f t="shared" si="1"/>
        <v>0</v>
      </c>
      <c r="P35" s="33">
        <f t="shared" si="1"/>
        <v>1.1399999999999999</v>
      </c>
      <c r="Q35" s="33">
        <f t="shared" si="1"/>
        <v>5.38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17.842500000000001</v>
      </c>
      <c r="C36" s="40">
        <f t="shared" si="2"/>
        <v>25.542916666666667</v>
      </c>
      <c r="D36" s="40">
        <f t="shared" si="2"/>
        <v>28.765833333333333</v>
      </c>
      <c r="E36" s="40">
        <f t="shared" si="2"/>
        <v>6.9312499999999986</v>
      </c>
      <c r="F36" s="40">
        <f t="shared" si="2"/>
        <v>3.8825000000000003</v>
      </c>
      <c r="G36" s="40">
        <f t="shared" si="2"/>
        <v>84.34875000000001</v>
      </c>
      <c r="H36" s="40">
        <f t="shared" si="2"/>
        <v>30.958749999999995</v>
      </c>
      <c r="I36" s="40">
        <f t="shared" si="2"/>
        <v>8.0370833333333334</v>
      </c>
      <c r="J36" s="40">
        <f t="shared" si="2"/>
        <v>0.32333333333333342</v>
      </c>
      <c r="K36" s="40">
        <f t="shared" si="2"/>
        <v>158.67999999999998</v>
      </c>
      <c r="L36" s="40">
        <f t="shared" si="2"/>
        <v>25.762916666666669</v>
      </c>
      <c r="M36" s="40">
        <f t="shared" si="2"/>
        <v>78.730416666666684</v>
      </c>
      <c r="N36" s="40">
        <f t="shared" si="2"/>
        <v>96.058333333333323</v>
      </c>
      <c r="O36" s="40">
        <f t="shared" si="2"/>
        <v>0</v>
      </c>
      <c r="P36" s="40">
        <f t="shared" si="2"/>
        <v>0.94833333333333358</v>
      </c>
      <c r="Q36" s="40">
        <f t="shared" si="2"/>
        <v>4.9958333333333327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6.9215700970730234</v>
      </c>
      <c r="C37" s="40">
        <f t="shared" ref="C37:Q37" si="3">STDEV(C9:C32)</f>
        <v>2.8027695606569445</v>
      </c>
      <c r="D37" s="40">
        <f t="shared" si="3"/>
        <v>6.1589672459132032</v>
      </c>
      <c r="E37" s="40">
        <f t="shared" si="3"/>
        <v>0.77319952146908888</v>
      </c>
      <c r="F37" s="40">
        <f t="shared" si="3"/>
        <v>1.7822537027229208</v>
      </c>
      <c r="G37" s="40">
        <f t="shared" si="3"/>
        <v>7.9479536948060758</v>
      </c>
      <c r="H37" s="40">
        <f t="shared" si="3"/>
        <v>3.9909248274380276</v>
      </c>
      <c r="I37" s="40">
        <f t="shared" si="3"/>
        <v>0.77281798952117498</v>
      </c>
      <c r="J37" s="40">
        <f t="shared" si="3"/>
        <v>0.12933497683103357</v>
      </c>
      <c r="K37" s="40">
        <f t="shared" si="3"/>
        <v>89.256526298957638</v>
      </c>
      <c r="L37" s="40">
        <f t="shared" si="3"/>
        <v>3.1451128121975365</v>
      </c>
      <c r="M37" s="40">
        <f t="shared" si="3"/>
        <v>10.716768445095402</v>
      </c>
      <c r="N37" s="40">
        <f t="shared" si="3"/>
        <v>159.75278433081934</v>
      </c>
      <c r="O37" s="40">
        <f t="shared" si="3"/>
        <v>0</v>
      </c>
      <c r="P37" s="40">
        <f t="shared" si="3"/>
        <v>0.1054459130536121</v>
      </c>
      <c r="Q37" s="40">
        <f t="shared" si="3"/>
        <v>0.33497458263948554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4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03/11/2023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108</v>
      </c>
      <c r="B9" s="51">
        <v>25.39</v>
      </c>
      <c r="C9" s="51">
        <v>23.31</v>
      </c>
      <c r="D9" s="51">
        <v>32.96</v>
      </c>
      <c r="E9" s="51">
        <v>6.27</v>
      </c>
      <c r="F9" s="51">
        <v>2.63</v>
      </c>
      <c r="G9" s="51">
        <v>76.2</v>
      </c>
      <c r="H9" s="51">
        <v>27.99</v>
      </c>
      <c r="I9" s="51">
        <v>8.9600000000000009</v>
      </c>
      <c r="J9" s="51">
        <v>0.16</v>
      </c>
      <c r="K9" s="51">
        <v>292.67</v>
      </c>
      <c r="L9" s="51">
        <v>24.46</v>
      </c>
      <c r="M9" s="51">
        <v>94.09</v>
      </c>
      <c r="N9" s="51">
        <v>0</v>
      </c>
      <c r="O9" s="51">
        <v>0</v>
      </c>
      <c r="P9" s="51">
        <v>1.1100000000000001</v>
      </c>
      <c r="Q9" s="51">
        <v>5.29</v>
      </c>
    </row>
    <row r="10" spans="1:21" customFormat="1">
      <c r="A10" s="50" t="s">
        <v>109</v>
      </c>
      <c r="B10" s="51">
        <v>30.75</v>
      </c>
      <c r="C10" s="51">
        <v>23.06</v>
      </c>
      <c r="D10" s="51">
        <v>37.89</v>
      </c>
      <c r="E10" s="51">
        <v>6.57</v>
      </c>
      <c r="F10" s="51">
        <v>2.72</v>
      </c>
      <c r="G10" s="51">
        <v>79.86</v>
      </c>
      <c r="H10" s="51">
        <v>27.5</v>
      </c>
      <c r="I10" s="51">
        <v>9.15</v>
      </c>
      <c r="J10" s="51">
        <v>0.18</v>
      </c>
      <c r="K10" s="51">
        <v>226.2</v>
      </c>
      <c r="L10" s="51">
        <v>24.36</v>
      </c>
      <c r="M10" s="51">
        <v>93.91</v>
      </c>
      <c r="N10" s="51">
        <v>0</v>
      </c>
      <c r="O10" s="51">
        <v>0</v>
      </c>
      <c r="P10" s="51">
        <v>1.1299999999999999</v>
      </c>
      <c r="Q10" s="51">
        <v>5.5</v>
      </c>
    </row>
    <row r="11" spans="1:21" customFormat="1">
      <c r="A11" s="50" t="s">
        <v>110</v>
      </c>
      <c r="B11" s="51">
        <v>31.17</v>
      </c>
      <c r="C11" s="51">
        <v>23.83</v>
      </c>
      <c r="D11" s="51">
        <v>38.119999999999997</v>
      </c>
      <c r="E11" s="51">
        <v>6.42</v>
      </c>
      <c r="F11" s="51">
        <v>2.88</v>
      </c>
      <c r="G11" s="51">
        <v>81.09</v>
      </c>
      <c r="H11" s="51">
        <v>30.13</v>
      </c>
      <c r="I11" s="51">
        <v>9.39</v>
      </c>
      <c r="J11" s="51">
        <v>0.16</v>
      </c>
      <c r="K11" s="51">
        <v>179.97</v>
      </c>
      <c r="L11" s="51">
        <v>24.35</v>
      </c>
      <c r="M11" s="51">
        <v>93.51</v>
      </c>
      <c r="N11" s="51">
        <v>0</v>
      </c>
      <c r="O11" s="51">
        <v>0</v>
      </c>
      <c r="P11" s="51">
        <v>1.1599999999999999</v>
      </c>
      <c r="Q11" s="51">
        <v>5.53</v>
      </c>
    </row>
    <row r="12" spans="1:21" customFormat="1">
      <c r="A12" s="50" t="s">
        <v>111</v>
      </c>
      <c r="B12" s="51">
        <v>32.28</v>
      </c>
      <c r="C12" s="51">
        <v>25.35</v>
      </c>
      <c r="D12" s="51">
        <v>40.479999999999997</v>
      </c>
      <c r="E12" s="51">
        <v>6.28</v>
      </c>
      <c r="F12" s="51">
        <v>2.7</v>
      </c>
      <c r="G12" s="51">
        <v>88.04</v>
      </c>
      <c r="H12" s="51">
        <v>31.37</v>
      </c>
      <c r="I12" s="51">
        <v>9.4600000000000009</v>
      </c>
      <c r="J12" s="51">
        <v>0.14000000000000001</v>
      </c>
      <c r="K12" s="51">
        <v>221.23</v>
      </c>
      <c r="L12" s="51">
        <v>23.64</v>
      </c>
      <c r="M12" s="51">
        <v>96.71</v>
      </c>
      <c r="N12" s="51">
        <v>0</v>
      </c>
      <c r="O12" s="51">
        <v>0</v>
      </c>
      <c r="P12" s="51">
        <v>1.17</v>
      </c>
      <c r="Q12" s="51">
        <v>5.63</v>
      </c>
    </row>
    <row r="13" spans="1:21" customFormat="1">
      <c r="A13" s="50" t="s">
        <v>112</v>
      </c>
      <c r="B13" s="51">
        <v>34.42</v>
      </c>
      <c r="C13" s="51">
        <v>26.74</v>
      </c>
      <c r="D13" s="51">
        <v>42.92</v>
      </c>
      <c r="E13" s="51">
        <v>6.91</v>
      </c>
      <c r="F13" s="51">
        <v>2.61</v>
      </c>
      <c r="G13" s="51">
        <v>88.04</v>
      </c>
      <c r="H13" s="51">
        <v>36.04</v>
      </c>
      <c r="I13" s="51">
        <v>9.5299999999999994</v>
      </c>
      <c r="J13" s="51">
        <v>0.23</v>
      </c>
      <c r="K13" s="51">
        <v>353.09</v>
      </c>
      <c r="L13" s="51">
        <v>23.28</v>
      </c>
      <c r="M13" s="51">
        <v>99.7</v>
      </c>
      <c r="N13" s="51">
        <v>0</v>
      </c>
      <c r="O13" s="51">
        <v>0</v>
      </c>
      <c r="P13" s="51">
        <v>1.17</v>
      </c>
      <c r="Q13" s="51">
        <v>5.77</v>
      </c>
    </row>
    <row r="14" spans="1:21" customFormat="1">
      <c r="A14" s="50" t="s">
        <v>113</v>
      </c>
      <c r="B14" s="51">
        <v>35.840000000000003</v>
      </c>
      <c r="C14" s="51">
        <v>27.38</v>
      </c>
      <c r="D14" s="51">
        <v>44.12</v>
      </c>
      <c r="E14" s="51">
        <v>7.12</v>
      </c>
      <c r="F14" s="51">
        <v>2.5499999999999998</v>
      </c>
      <c r="G14" s="51">
        <v>92.1</v>
      </c>
      <c r="H14" s="51">
        <v>36.04</v>
      </c>
      <c r="I14" s="51">
        <v>9.56</v>
      </c>
      <c r="J14" s="51">
        <v>0.25</v>
      </c>
      <c r="K14" s="51">
        <v>48.29</v>
      </c>
      <c r="L14" s="51">
        <v>23.18</v>
      </c>
      <c r="M14" s="51">
        <v>99.16</v>
      </c>
      <c r="N14" s="51">
        <v>0</v>
      </c>
      <c r="O14" s="51">
        <v>0</v>
      </c>
      <c r="P14" s="51">
        <v>1.1599999999999999</v>
      </c>
      <c r="Q14" s="51">
        <v>5.83</v>
      </c>
    </row>
    <row r="15" spans="1:21" customFormat="1">
      <c r="A15" s="50" t="s">
        <v>114</v>
      </c>
      <c r="B15" s="51">
        <v>35.78</v>
      </c>
      <c r="C15" s="51">
        <v>27.88</v>
      </c>
      <c r="D15" s="51">
        <v>44.61</v>
      </c>
      <c r="E15" s="51">
        <v>7.76</v>
      </c>
      <c r="F15" s="51">
        <v>2.57</v>
      </c>
      <c r="G15" s="51">
        <v>92.1</v>
      </c>
      <c r="H15" s="51">
        <v>35.85</v>
      </c>
      <c r="I15" s="51">
        <v>9.4600000000000009</v>
      </c>
      <c r="J15" s="51">
        <v>0.32</v>
      </c>
      <c r="K15" s="51">
        <v>50.04</v>
      </c>
      <c r="L15" s="51">
        <v>23.78</v>
      </c>
      <c r="M15" s="51">
        <v>96.6</v>
      </c>
      <c r="N15" s="51">
        <v>36.799999999999997</v>
      </c>
      <c r="O15" s="51">
        <v>0</v>
      </c>
      <c r="P15" s="51">
        <v>1.1499999999999999</v>
      </c>
      <c r="Q15" s="51">
        <v>5.85</v>
      </c>
    </row>
    <row r="16" spans="1:21" customFormat="1">
      <c r="A16" s="50" t="s">
        <v>115</v>
      </c>
      <c r="B16" s="51">
        <v>35.549999999999997</v>
      </c>
      <c r="C16" s="51">
        <v>27.94</v>
      </c>
      <c r="D16" s="51">
        <v>44.38</v>
      </c>
      <c r="E16" s="51">
        <v>7.28</v>
      </c>
      <c r="F16" s="51">
        <v>2.4900000000000002</v>
      </c>
      <c r="G16" s="51">
        <v>87.52</v>
      </c>
      <c r="H16" s="51">
        <v>35.03</v>
      </c>
      <c r="I16" s="51">
        <v>9.74</v>
      </c>
      <c r="J16" s="51">
        <v>0.61</v>
      </c>
      <c r="K16" s="51">
        <v>35.81</v>
      </c>
      <c r="L16" s="51">
        <v>24.25</v>
      </c>
      <c r="M16" s="51">
        <v>93.1</v>
      </c>
      <c r="N16" s="51">
        <v>92.7</v>
      </c>
      <c r="O16" s="51">
        <v>0</v>
      </c>
      <c r="P16" s="51">
        <v>1.1599999999999999</v>
      </c>
      <c r="Q16" s="51">
        <v>5.85</v>
      </c>
    </row>
    <row r="17" spans="1:17" customFormat="1">
      <c r="A17" s="50" t="s">
        <v>116</v>
      </c>
      <c r="B17" s="51">
        <v>34.75</v>
      </c>
      <c r="C17" s="51">
        <v>26.04</v>
      </c>
      <c r="D17" s="51">
        <v>42.82</v>
      </c>
      <c r="E17" s="51">
        <v>6.6</v>
      </c>
      <c r="F17" s="51">
        <v>3.04</v>
      </c>
      <c r="G17" s="51">
        <v>87.52</v>
      </c>
      <c r="H17" s="51">
        <v>33.590000000000003</v>
      </c>
      <c r="I17" s="51">
        <v>9.7200000000000006</v>
      </c>
      <c r="J17" s="51">
        <v>0.62</v>
      </c>
      <c r="K17" s="51">
        <v>47.99</v>
      </c>
      <c r="L17" s="51">
        <v>26.47</v>
      </c>
      <c r="M17" s="51">
        <v>85.04</v>
      </c>
      <c r="N17" s="51">
        <v>214.4</v>
      </c>
      <c r="O17" s="51">
        <v>0</v>
      </c>
      <c r="P17" s="51">
        <v>1.1100000000000001</v>
      </c>
      <c r="Q17" s="51">
        <v>5.77</v>
      </c>
    </row>
    <row r="18" spans="1:17" customFormat="1">
      <c r="A18" s="50" t="s">
        <v>117</v>
      </c>
      <c r="B18" s="51">
        <v>32.619999999999997</v>
      </c>
      <c r="C18" s="51">
        <v>24.65</v>
      </c>
      <c r="D18" s="51">
        <v>39.270000000000003</v>
      </c>
      <c r="E18" s="51">
        <v>6.61</v>
      </c>
      <c r="F18" s="51">
        <v>3.47</v>
      </c>
      <c r="G18" s="51">
        <v>86.96</v>
      </c>
      <c r="H18" s="51">
        <v>33.08</v>
      </c>
      <c r="I18" s="51">
        <v>9.51</v>
      </c>
      <c r="J18" s="51">
        <v>0.5</v>
      </c>
      <c r="K18" s="51">
        <v>62.27</v>
      </c>
      <c r="L18" s="51">
        <v>29.83</v>
      </c>
      <c r="M18" s="51">
        <v>74.92</v>
      </c>
      <c r="N18" s="51">
        <v>405.2</v>
      </c>
      <c r="O18" s="51">
        <v>0</v>
      </c>
      <c r="P18" s="51">
        <v>1.05</v>
      </c>
      <c r="Q18" s="51">
        <v>5.61</v>
      </c>
    </row>
    <row r="19" spans="1:17" customFormat="1">
      <c r="A19" s="50" t="s">
        <v>118</v>
      </c>
      <c r="B19" s="51">
        <v>27.94</v>
      </c>
      <c r="C19" s="51">
        <v>24.57</v>
      </c>
      <c r="D19" s="51">
        <v>36.6</v>
      </c>
      <c r="E19" s="51">
        <v>6.68</v>
      </c>
      <c r="F19" s="51">
        <v>5.4</v>
      </c>
      <c r="G19" s="51">
        <v>76.900000000000006</v>
      </c>
      <c r="H19" s="51">
        <v>33.08</v>
      </c>
      <c r="I19" s="51">
        <v>9.17</v>
      </c>
      <c r="J19" s="51">
        <v>0.42</v>
      </c>
      <c r="K19" s="51">
        <v>120.93</v>
      </c>
      <c r="L19" s="51">
        <v>30.85</v>
      </c>
      <c r="M19" s="51">
        <v>62.58</v>
      </c>
      <c r="N19" s="51">
        <v>417.3</v>
      </c>
      <c r="O19" s="51">
        <v>0</v>
      </c>
      <c r="P19" s="51">
        <v>1.02</v>
      </c>
      <c r="Q19" s="51">
        <v>5.42</v>
      </c>
    </row>
    <row r="20" spans="1:17" customFormat="1">
      <c r="A20" s="50" t="s">
        <v>119</v>
      </c>
      <c r="B20" s="51">
        <v>23.2</v>
      </c>
      <c r="C20" s="51">
        <v>23.6</v>
      </c>
      <c r="D20" s="51">
        <v>32.29</v>
      </c>
      <c r="E20" s="51">
        <v>5.54</v>
      </c>
      <c r="F20" s="51">
        <v>3.88</v>
      </c>
      <c r="G20" s="51">
        <v>64.650000000000006</v>
      </c>
      <c r="H20" s="51">
        <v>26.49</v>
      </c>
      <c r="I20" s="51">
        <v>8.65</v>
      </c>
      <c r="J20" s="51">
        <v>0.3</v>
      </c>
      <c r="K20" s="51">
        <v>182.52</v>
      </c>
      <c r="L20" s="51">
        <v>30.73</v>
      </c>
      <c r="M20" s="51">
        <v>63</v>
      </c>
      <c r="N20" s="51">
        <v>428</v>
      </c>
      <c r="O20" s="51">
        <v>0</v>
      </c>
      <c r="P20" s="51">
        <v>0.95</v>
      </c>
      <c r="Q20" s="51">
        <v>5.24</v>
      </c>
    </row>
    <row r="21" spans="1:17" customFormat="1">
      <c r="A21" s="50" t="s">
        <v>120</v>
      </c>
      <c r="B21" s="51">
        <v>18.79</v>
      </c>
      <c r="C21" s="51">
        <v>21.53</v>
      </c>
      <c r="D21" s="51">
        <v>27.31</v>
      </c>
      <c r="E21" s="51">
        <v>5.0999999999999996</v>
      </c>
      <c r="F21" s="51">
        <v>4.84</v>
      </c>
      <c r="G21" s="51">
        <v>47.44</v>
      </c>
      <c r="H21" s="51">
        <v>22.47</v>
      </c>
      <c r="I21" s="51">
        <v>8.16</v>
      </c>
      <c r="J21" s="51">
        <v>0.28999999999999998</v>
      </c>
      <c r="K21" s="51">
        <v>178.54</v>
      </c>
      <c r="L21" s="51">
        <v>32.43</v>
      </c>
      <c r="M21" s="51">
        <v>58.9</v>
      </c>
      <c r="N21" s="51">
        <v>568.79999999999995</v>
      </c>
      <c r="O21" s="51">
        <v>0</v>
      </c>
      <c r="P21" s="51">
        <v>0.86</v>
      </c>
      <c r="Q21" s="51">
        <v>5</v>
      </c>
    </row>
    <row r="22" spans="1:17" customFormat="1">
      <c r="A22" s="50" t="s">
        <v>121</v>
      </c>
      <c r="B22" s="51">
        <v>13.91</v>
      </c>
      <c r="C22" s="51">
        <v>22.13</v>
      </c>
      <c r="D22" s="51">
        <v>23.55</v>
      </c>
      <c r="E22" s="51">
        <v>4.84</v>
      </c>
      <c r="F22" s="51">
        <v>5.58</v>
      </c>
      <c r="G22" s="51">
        <v>37.83</v>
      </c>
      <c r="H22" s="51">
        <v>17.420000000000002</v>
      </c>
      <c r="I22" s="51">
        <v>7.49</v>
      </c>
      <c r="J22" s="51">
        <v>0.72</v>
      </c>
      <c r="K22" s="51">
        <v>322.95999999999998</v>
      </c>
      <c r="L22" s="51">
        <v>31.3</v>
      </c>
      <c r="M22" s="51">
        <v>86.93</v>
      </c>
      <c r="N22" s="51">
        <v>252.9</v>
      </c>
      <c r="O22" s="51">
        <v>1.4</v>
      </c>
      <c r="P22" s="51">
        <v>0.79</v>
      </c>
      <c r="Q22" s="51">
        <v>4.8099999999999996</v>
      </c>
    </row>
    <row r="23" spans="1:17" customFormat="1">
      <c r="A23" s="50" t="s">
        <v>122</v>
      </c>
      <c r="B23" s="51">
        <v>11.51</v>
      </c>
      <c r="C23" s="51">
        <v>22.71</v>
      </c>
      <c r="D23" s="51">
        <v>22.31</v>
      </c>
      <c r="E23" s="51">
        <v>4.91</v>
      </c>
      <c r="F23" s="51">
        <v>3.59</v>
      </c>
      <c r="G23" s="51">
        <v>37.97</v>
      </c>
      <c r="H23" s="51">
        <v>17.420000000000002</v>
      </c>
      <c r="I23" s="51">
        <v>6.64</v>
      </c>
      <c r="J23" s="51">
        <v>0.61</v>
      </c>
      <c r="K23" s="51">
        <v>86.17</v>
      </c>
      <c r="L23" s="51">
        <v>27.76</v>
      </c>
      <c r="M23" s="51">
        <v>73.849999999999994</v>
      </c>
      <c r="N23" s="51">
        <v>408.2</v>
      </c>
      <c r="O23" s="51">
        <v>0</v>
      </c>
      <c r="P23" s="51">
        <v>0.65</v>
      </c>
      <c r="Q23" s="51">
        <v>4.7</v>
      </c>
    </row>
    <row r="24" spans="1:17" customFormat="1">
      <c r="A24" s="50" t="s">
        <v>123</v>
      </c>
      <c r="B24" s="51">
        <v>10.73</v>
      </c>
      <c r="C24" s="51">
        <v>22.72</v>
      </c>
      <c r="D24" s="51">
        <v>21.83</v>
      </c>
      <c r="E24" s="51">
        <v>5.0999999999999996</v>
      </c>
      <c r="F24" s="51">
        <v>4.24</v>
      </c>
      <c r="G24" s="51">
        <v>37.97</v>
      </c>
      <c r="H24" s="51">
        <v>12.73</v>
      </c>
      <c r="I24" s="51">
        <v>6.12</v>
      </c>
      <c r="J24" s="51">
        <v>0.45</v>
      </c>
      <c r="K24" s="51">
        <v>154.82</v>
      </c>
      <c r="L24" s="51">
        <v>28.69</v>
      </c>
      <c r="M24" s="51">
        <v>63.65</v>
      </c>
      <c r="N24" s="51">
        <v>89.9</v>
      </c>
      <c r="O24" s="51">
        <v>0</v>
      </c>
      <c r="P24" s="51">
        <v>0.62</v>
      </c>
      <c r="Q24" s="51">
        <v>4.67</v>
      </c>
    </row>
    <row r="25" spans="1:17" customFormat="1">
      <c r="A25" s="50" t="s">
        <v>124</v>
      </c>
      <c r="B25" s="51">
        <v>11.93</v>
      </c>
      <c r="C25" s="51">
        <v>23.47</v>
      </c>
      <c r="D25" s="51">
        <v>23.14</v>
      </c>
      <c r="E25" s="51">
        <v>5.23</v>
      </c>
      <c r="F25" s="51">
        <v>3.13</v>
      </c>
      <c r="G25" s="51">
        <v>43.41</v>
      </c>
      <c r="H25" s="51">
        <v>14</v>
      </c>
      <c r="I25" s="51">
        <v>5.59</v>
      </c>
      <c r="J25" s="51">
        <v>0.36</v>
      </c>
      <c r="K25" s="51">
        <v>171.99</v>
      </c>
      <c r="L25" s="51">
        <v>28.57</v>
      </c>
      <c r="M25" s="51">
        <v>75.3</v>
      </c>
      <c r="N25" s="51">
        <v>51.6</v>
      </c>
      <c r="O25" s="51">
        <v>0</v>
      </c>
      <c r="P25" s="51">
        <v>0.6</v>
      </c>
      <c r="Q25" s="51">
        <v>4.7300000000000004</v>
      </c>
    </row>
    <row r="26" spans="1:17" customFormat="1">
      <c r="A26" s="50" t="s">
        <v>125</v>
      </c>
      <c r="B26" s="51">
        <v>12.7</v>
      </c>
      <c r="C26" s="51">
        <v>23.82</v>
      </c>
      <c r="D26" s="51">
        <v>23.44</v>
      </c>
      <c r="E26" s="51">
        <v>5.15</v>
      </c>
      <c r="F26" s="51">
        <v>2.84</v>
      </c>
      <c r="G26" s="51">
        <v>46.01</v>
      </c>
      <c r="H26" s="51">
        <v>14.71</v>
      </c>
      <c r="I26" s="51">
        <v>6.55</v>
      </c>
      <c r="J26" s="51">
        <v>0.26</v>
      </c>
      <c r="K26" s="51">
        <v>169.02</v>
      </c>
      <c r="L26" s="51">
        <v>26.81</v>
      </c>
      <c r="M26" s="51">
        <v>86</v>
      </c>
      <c r="N26" s="51">
        <v>0</v>
      </c>
      <c r="O26" s="51">
        <v>0</v>
      </c>
      <c r="P26" s="51">
        <v>0.59</v>
      </c>
      <c r="Q26" s="51">
        <v>4.74</v>
      </c>
    </row>
    <row r="27" spans="1:17" customFormat="1">
      <c r="A27" s="50" t="s">
        <v>126</v>
      </c>
      <c r="B27" s="51">
        <v>22.04</v>
      </c>
      <c r="C27" s="51">
        <v>21.37</v>
      </c>
      <c r="D27" s="51">
        <v>30.19</v>
      </c>
      <c r="E27" s="51">
        <v>6.22</v>
      </c>
      <c r="F27" s="51">
        <v>2.94</v>
      </c>
      <c r="G27" s="51">
        <v>59.5</v>
      </c>
      <c r="H27" s="51">
        <v>14.71</v>
      </c>
      <c r="I27" s="51">
        <v>7.34</v>
      </c>
      <c r="J27" s="51">
        <v>0.25</v>
      </c>
      <c r="K27" s="51">
        <v>184.2</v>
      </c>
      <c r="L27" s="51">
        <v>25.89</v>
      </c>
      <c r="M27" s="51">
        <v>90.16</v>
      </c>
      <c r="N27" s="51">
        <v>0</v>
      </c>
      <c r="O27" s="51">
        <v>0</v>
      </c>
      <c r="P27" s="51">
        <v>0.68</v>
      </c>
      <c r="Q27" s="51">
        <v>4.8899999999999997</v>
      </c>
    </row>
    <row r="28" spans="1:17" customFormat="1">
      <c r="A28" s="50" t="s">
        <v>127</v>
      </c>
      <c r="B28" s="51">
        <v>21.23</v>
      </c>
      <c r="C28" s="51">
        <v>22.11</v>
      </c>
      <c r="D28" s="51">
        <v>29.43</v>
      </c>
      <c r="E28" s="51">
        <v>6.05</v>
      </c>
      <c r="F28" s="51">
        <v>2.83</v>
      </c>
      <c r="G28" s="51">
        <v>59.5</v>
      </c>
      <c r="H28" s="51">
        <v>15.55</v>
      </c>
      <c r="I28" s="51">
        <v>8.52</v>
      </c>
      <c r="J28" s="51">
        <v>0.2</v>
      </c>
      <c r="K28" s="51">
        <v>164.38</v>
      </c>
      <c r="L28" s="51">
        <v>25.87</v>
      </c>
      <c r="M28" s="51">
        <v>89.39</v>
      </c>
      <c r="N28" s="51">
        <v>0</v>
      </c>
      <c r="O28" s="51">
        <v>0.2</v>
      </c>
      <c r="P28" s="51">
        <v>0.65</v>
      </c>
      <c r="Q28" s="51">
        <v>5.0199999999999996</v>
      </c>
    </row>
    <row r="29" spans="1:17" customFormat="1">
      <c r="A29" s="50" t="s">
        <v>128</v>
      </c>
      <c r="B29" s="51">
        <v>19.89</v>
      </c>
      <c r="C29" s="51">
        <v>20.92</v>
      </c>
      <c r="D29" s="51">
        <v>28.15</v>
      </c>
      <c r="E29" s="51">
        <v>6.05</v>
      </c>
      <c r="F29" s="51">
        <v>2.89</v>
      </c>
      <c r="G29" s="51">
        <v>55.94</v>
      </c>
      <c r="H29" s="51">
        <v>15.55</v>
      </c>
      <c r="I29" s="51">
        <v>8.07</v>
      </c>
      <c r="J29" s="51">
        <v>0.18</v>
      </c>
      <c r="K29" s="51">
        <v>278.66000000000003</v>
      </c>
      <c r="L29" s="51">
        <v>25.08</v>
      </c>
      <c r="M29" s="51">
        <v>97.52</v>
      </c>
      <c r="N29" s="51">
        <v>0</v>
      </c>
      <c r="O29" s="51">
        <v>0.4</v>
      </c>
      <c r="P29" s="51">
        <v>0.64</v>
      </c>
      <c r="Q29" s="51">
        <v>5.0199999999999996</v>
      </c>
    </row>
    <row r="30" spans="1:17" customFormat="1">
      <c r="A30" s="50" t="s">
        <v>129</v>
      </c>
      <c r="B30" s="51">
        <v>20.84</v>
      </c>
      <c r="C30" s="51">
        <v>20.7</v>
      </c>
      <c r="D30" s="51">
        <v>28.31</v>
      </c>
      <c r="E30" s="51">
        <v>5.76</v>
      </c>
      <c r="F30" s="51">
        <v>2.87</v>
      </c>
      <c r="G30" s="51">
        <v>50.12</v>
      </c>
      <c r="H30" s="51">
        <v>13.76</v>
      </c>
      <c r="I30" s="51">
        <v>7.87</v>
      </c>
      <c r="J30" s="51">
        <v>0.2</v>
      </c>
      <c r="K30" s="51">
        <v>309.07</v>
      </c>
      <c r="L30" s="51">
        <v>23.7</v>
      </c>
      <c r="M30" s="51">
        <v>101.1</v>
      </c>
      <c r="N30" s="51">
        <v>0</v>
      </c>
      <c r="O30" s="51">
        <v>0</v>
      </c>
      <c r="P30" s="51">
        <v>0.62</v>
      </c>
      <c r="Q30" s="51">
        <v>5.0999999999999996</v>
      </c>
    </row>
    <row r="31" spans="1:17" customFormat="1">
      <c r="A31" s="50" t="s">
        <v>130</v>
      </c>
      <c r="B31" s="51">
        <v>20.74</v>
      </c>
      <c r="C31" s="51">
        <v>20.76</v>
      </c>
      <c r="D31" s="51">
        <v>28.83</v>
      </c>
      <c r="E31" s="51">
        <v>5.59</v>
      </c>
      <c r="F31" s="51">
        <v>2.73</v>
      </c>
      <c r="G31" s="51">
        <v>43.66</v>
      </c>
      <c r="H31" s="51">
        <v>13.76</v>
      </c>
      <c r="I31" s="51">
        <v>7.58</v>
      </c>
      <c r="J31" s="51">
        <v>0.12</v>
      </c>
      <c r="K31" s="51">
        <v>229.59</v>
      </c>
      <c r="L31" s="51">
        <v>23.55</v>
      </c>
      <c r="M31" s="51">
        <v>100.28</v>
      </c>
      <c r="N31" s="51">
        <v>0</v>
      </c>
      <c r="O31" s="51">
        <v>0.2</v>
      </c>
      <c r="P31" s="51">
        <v>0.64</v>
      </c>
      <c r="Q31" s="51">
        <v>5.05</v>
      </c>
    </row>
    <row r="32" spans="1:17" customFormat="1">
      <c r="A32" s="50" t="s">
        <v>131</v>
      </c>
      <c r="B32" s="51">
        <v>21.58</v>
      </c>
      <c r="C32" s="51">
        <v>21.61</v>
      </c>
      <c r="D32" s="51">
        <v>29.95</v>
      </c>
      <c r="E32" s="51">
        <v>5.91</v>
      </c>
      <c r="F32" s="51">
        <v>2.75</v>
      </c>
      <c r="G32" s="51">
        <v>36.86</v>
      </c>
      <c r="H32" s="51">
        <v>12.1</v>
      </c>
      <c r="I32" s="51">
        <v>7.14</v>
      </c>
      <c r="J32" s="51">
        <v>0.14000000000000001</v>
      </c>
      <c r="K32" s="51">
        <v>321.85000000000002</v>
      </c>
      <c r="L32" s="51">
        <v>23.55</v>
      </c>
      <c r="M32" s="51">
        <v>102.79</v>
      </c>
      <c r="N32" s="51">
        <v>0</v>
      </c>
      <c r="O32" s="51">
        <v>0</v>
      </c>
      <c r="P32" s="51">
        <v>0.64</v>
      </c>
      <c r="Q32" s="51">
        <v>5.13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10.73</v>
      </c>
      <c r="C34" s="40">
        <f t="shared" si="0"/>
        <v>20.7</v>
      </c>
      <c r="D34" s="40">
        <f t="shared" si="0"/>
        <v>21.83</v>
      </c>
      <c r="E34" s="40">
        <f t="shared" si="0"/>
        <v>4.84</v>
      </c>
      <c r="F34" s="40">
        <f t="shared" si="0"/>
        <v>2.4900000000000002</v>
      </c>
      <c r="G34" s="40">
        <f t="shared" si="0"/>
        <v>36.86</v>
      </c>
      <c r="H34" s="40">
        <f t="shared" si="0"/>
        <v>12.1</v>
      </c>
      <c r="I34" s="40">
        <f t="shared" si="0"/>
        <v>5.59</v>
      </c>
      <c r="J34" s="40">
        <f t="shared" si="0"/>
        <v>0.12</v>
      </c>
      <c r="K34" s="40">
        <f t="shared" si="0"/>
        <v>35.81</v>
      </c>
      <c r="L34" s="40">
        <f t="shared" si="0"/>
        <v>23.18</v>
      </c>
      <c r="M34" s="40">
        <f t="shared" si="0"/>
        <v>58.9</v>
      </c>
      <c r="N34" s="40">
        <f t="shared" si="0"/>
        <v>0</v>
      </c>
      <c r="O34" s="40">
        <f t="shared" si="0"/>
        <v>0</v>
      </c>
      <c r="P34" s="40">
        <f t="shared" si="0"/>
        <v>0.59</v>
      </c>
      <c r="Q34" s="40">
        <f t="shared" si="0"/>
        <v>4.67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35.840000000000003</v>
      </c>
      <c r="C35" s="33">
        <f t="shared" si="1"/>
        <v>27.94</v>
      </c>
      <c r="D35" s="33">
        <f t="shared" si="1"/>
        <v>44.61</v>
      </c>
      <c r="E35" s="33">
        <f t="shared" si="1"/>
        <v>7.76</v>
      </c>
      <c r="F35" s="33">
        <f t="shared" si="1"/>
        <v>5.58</v>
      </c>
      <c r="G35" s="33">
        <f t="shared" si="1"/>
        <v>92.1</v>
      </c>
      <c r="H35" s="33">
        <f t="shared" si="1"/>
        <v>36.04</v>
      </c>
      <c r="I35" s="33">
        <f t="shared" si="1"/>
        <v>9.74</v>
      </c>
      <c r="J35" s="33">
        <f t="shared" si="1"/>
        <v>0.72</v>
      </c>
      <c r="K35" s="33">
        <f t="shared" si="1"/>
        <v>353.09</v>
      </c>
      <c r="L35" s="33">
        <f t="shared" si="1"/>
        <v>32.43</v>
      </c>
      <c r="M35" s="33">
        <f t="shared" si="1"/>
        <v>102.79</v>
      </c>
      <c r="N35" s="33">
        <f t="shared" si="1"/>
        <v>568.79999999999995</v>
      </c>
      <c r="O35" s="33">
        <f t="shared" si="1"/>
        <v>1.4</v>
      </c>
      <c r="P35" s="33">
        <f t="shared" si="1"/>
        <v>1.17</v>
      </c>
      <c r="Q35" s="33">
        <f t="shared" si="1"/>
        <v>5.85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24.399166666666673</v>
      </c>
      <c r="C36" s="40">
        <f t="shared" si="2"/>
        <v>23.675000000000001</v>
      </c>
      <c r="D36" s="40">
        <f t="shared" si="2"/>
        <v>33.037500000000001</v>
      </c>
      <c r="E36" s="40">
        <f t="shared" si="2"/>
        <v>6.0812499999999998</v>
      </c>
      <c r="F36" s="40">
        <f t="shared" si="2"/>
        <v>3.257083333333334</v>
      </c>
      <c r="G36" s="40">
        <f t="shared" si="2"/>
        <v>64.882916666666674</v>
      </c>
      <c r="H36" s="40">
        <f t="shared" si="2"/>
        <v>23.765416666666663</v>
      </c>
      <c r="I36" s="40">
        <f t="shared" si="2"/>
        <v>8.3070833333333347</v>
      </c>
      <c r="J36" s="40">
        <f t="shared" si="2"/>
        <v>0.31958333333333333</v>
      </c>
      <c r="K36" s="40">
        <f t="shared" si="2"/>
        <v>183.01083333333335</v>
      </c>
      <c r="L36" s="40">
        <f t="shared" si="2"/>
        <v>26.349166666666665</v>
      </c>
      <c r="M36" s="40">
        <f t="shared" si="2"/>
        <v>86.591250000000002</v>
      </c>
      <c r="N36" s="40">
        <f t="shared" si="2"/>
        <v>123.57499999999999</v>
      </c>
      <c r="O36" s="40">
        <f t="shared" si="2"/>
        <v>9.1666666666666674E-2</v>
      </c>
      <c r="P36" s="40">
        <f t="shared" si="2"/>
        <v>0.88833333333333331</v>
      </c>
      <c r="Q36" s="40">
        <f t="shared" si="2"/>
        <v>5.2562499999999988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8.5462872267621872</v>
      </c>
      <c r="C37" s="40">
        <f t="shared" ref="C37:Q37" si="3">STDEV(C9:C32)</f>
        <v>2.2413485847276782</v>
      </c>
      <c r="D37" s="40">
        <f t="shared" si="3"/>
        <v>7.7566219955988815</v>
      </c>
      <c r="E37" s="40">
        <f t="shared" si="3"/>
        <v>0.79331616867316357</v>
      </c>
      <c r="F37" s="40">
        <f t="shared" si="3"/>
        <v>0.89581383531190706</v>
      </c>
      <c r="G37" s="40">
        <f t="shared" si="3"/>
        <v>20.556816806357567</v>
      </c>
      <c r="H37" s="40">
        <f t="shared" si="3"/>
        <v>9.1283023704666491</v>
      </c>
      <c r="I37" s="40">
        <f t="shared" si="3"/>
        <v>1.2551164129852304</v>
      </c>
      <c r="J37" s="40">
        <f t="shared" si="3"/>
        <v>0.1776532814383037</v>
      </c>
      <c r="K37" s="40">
        <f t="shared" si="3"/>
        <v>96.7694590213016</v>
      </c>
      <c r="L37" s="40">
        <f t="shared" si="3"/>
        <v>2.9470263814146063</v>
      </c>
      <c r="M37" s="40">
        <f t="shared" si="3"/>
        <v>13.812110411582212</v>
      </c>
      <c r="N37" s="40">
        <f t="shared" si="3"/>
        <v>183.65730670013605</v>
      </c>
      <c r="O37" s="40">
        <f t="shared" si="3"/>
        <v>0.29476101840476543</v>
      </c>
      <c r="P37" s="40">
        <f t="shared" si="3"/>
        <v>0.23966764427044565</v>
      </c>
      <c r="Q37" s="40">
        <f t="shared" si="3"/>
        <v>0.40537489358349621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5.140625" style="41" customWidth="1"/>
    <col min="2" max="2" width="14.42578125" style="39" customWidth="1"/>
    <col min="3" max="3" width="10.140625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04/11/2023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132</v>
      </c>
      <c r="B9" s="51">
        <v>23.4</v>
      </c>
      <c r="C9" s="51">
        <v>22.53</v>
      </c>
      <c r="D9" s="51">
        <v>31.68</v>
      </c>
      <c r="E9" s="51">
        <v>6.23</v>
      </c>
      <c r="F9" s="51">
        <v>2.68</v>
      </c>
      <c r="G9" s="51">
        <v>38.58</v>
      </c>
      <c r="H9" s="51">
        <v>13.14</v>
      </c>
      <c r="I9" s="51">
        <v>6.71</v>
      </c>
      <c r="J9" s="51">
        <v>0.12</v>
      </c>
      <c r="K9" s="51">
        <v>242.1</v>
      </c>
      <c r="L9" s="51">
        <v>23.22</v>
      </c>
      <c r="M9" s="51">
        <v>103.85</v>
      </c>
      <c r="N9" s="51">
        <v>0</v>
      </c>
      <c r="O9" s="51">
        <v>0</v>
      </c>
      <c r="P9" s="51">
        <v>0.64</v>
      </c>
      <c r="Q9" s="51">
        <v>5.21</v>
      </c>
    </row>
    <row r="10" spans="1:21" customFormat="1">
      <c r="A10" s="50" t="s">
        <v>133</v>
      </c>
      <c r="B10" s="51">
        <v>22.33</v>
      </c>
      <c r="C10" s="51">
        <v>22.8</v>
      </c>
      <c r="D10" s="51">
        <v>31.17</v>
      </c>
      <c r="E10" s="51">
        <v>6.59</v>
      </c>
      <c r="F10" s="51">
        <v>2.4700000000000002</v>
      </c>
      <c r="G10" s="51">
        <v>34.14</v>
      </c>
      <c r="H10" s="51">
        <v>11.83</v>
      </c>
      <c r="I10" s="51">
        <v>6.36</v>
      </c>
      <c r="J10" s="51">
        <v>0.17</v>
      </c>
      <c r="K10" s="51">
        <v>178.41</v>
      </c>
      <c r="L10" s="51">
        <v>23.04</v>
      </c>
      <c r="M10" s="51">
        <v>103.08</v>
      </c>
      <c r="N10" s="51">
        <v>0</v>
      </c>
      <c r="O10" s="51">
        <v>0</v>
      </c>
      <c r="P10" s="51">
        <v>0.61</v>
      </c>
      <c r="Q10" s="51">
        <v>5.21</v>
      </c>
    </row>
    <row r="11" spans="1:21" customFormat="1">
      <c r="A11" s="50" t="s">
        <v>134</v>
      </c>
      <c r="B11" s="51">
        <v>27.11</v>
      </c>
      <c r="C11" s="51">
        <v>23.93</v>
      </c>
      <c r="D11" s="51">
        <v>35.6</v>
      </c>
      <c r="E11" s="51">
        <v>6.78</v>
      </c>
      <c r="F11" s="51">
        <v>2.4500000000000002</v>
      </c>
      <c r="G11" s="51">
        <v>35.92</v>
      </c>
      <c r="H11" s="51">
        <v>14.36</v>
      </c>
      <c r="I11" s="51">
        <v>6.02</v>
      </c>
      <c r="J11" s="51">
        <v>0.21</v>
      </c>
      <c r="K11" s="51">
        <v>258.38</v>
      </c>
      <c r="L11" s="51">
        <v>22.82</v>
      </c>
      <c r="M11" s="51">
        <v>104.07</v>
      </c>
      <c r="N11" s="51">
        <v>0</v>
      </c>
      <c r="O11" s="51">
        <v>0</v>
      </c>
      <c r="P11" s="51">
        <v>0.59</v>
      </c>
      <c r="Q11" s="51">
        <v>5.39</v>
      </c>
    </row>
    <row r="12" spans="1:21" customFormat="1">
      <c r="A12" s="50" t="s">
        <v>135</v>
      </c>
      <c r="B12" s="51">
        <v>32.92</v>
      </c>
      <c r="C12" s="51">
        <v>24.7</v>
      </c>
      <c r="D12" s="51">
        <v>39.450000000000003</v>
      </c>
      <c r="E12" s="51">
        <v>6.4</v>
      </c>
      <c r="F12" s="51">
        <v>2.89</v>
      </c>
      <c r="G12" s="51">
        <v>44.92</v>
      </c>
      <c r="H12" s="51">
        <v>14.36</v>
      </c>
      <c r="I12" s="51">
        <v>5.82</v>
      </c>
      <c r="J12" s="51">
        <v>0.18</v>
      </c>
      <c r="K12" s="51">
        <v>163.27000000000001</v>
      </c>
      <c r="L12" s="51">
        <v>22.63</v>
      </c>
      <c r="M12" s="51">
        <v>101.08</v>
      </c>
      <c r="N12" s="51">
        <v>0</v>
      </c>
      <c r="O12" s="51">
        <v>0</v>
      </c>
      <c r="P12" s="51">
        <v>0.57999999999999996</v>
      </c>
      <c r="Q12" s="51">
        <v>5.63</v>
      </c>
    </row>
    <row r="13" spans="1:21" customFormat="1">
      <c r="A13" s="50" t="s">
        <v>136</v>
      </c>
      <c r="B13" s="51">
        <v>35.26</v>
      </c>
      <c r="C13" s="51">
        <v>22.34</v>
      </c>
      <c r="D13" s="51">
        <v>41.14</v>
      </c>
      <c r="E13" s="51">
        <v>5.88</v>
      </c>
      <c r="F13" s="51">
        <v>2.91</v>
      </c>
      <c r="G13" s="51">
        <v>44.92</v>
      </c>
      <c r="H13" s="51">
        <v>12.97</v>
      </c>
      <c r="I13" s="51">
        <v>5.73</v>
      </c>
      <c r="J13" s="51">
        <v>0.14000000000000001</v>
      </c>
      <c r="K13" s="51">
        <v>179.09</v>
      </c>
      <c r="L13" s="51">
        <v>22.48</v>
      </c>
      <c r="M13" s="51">
        <v>100.36</v>
      </c>
      <c r="N13" s="51">
        <v>0</v>
      </c>
      <c r="O13" s="51">
        <v>0</v>
      </c>
      <c r="P13" s="51">
        <v>0.51</v>
      </c>
      <c r="Q13" s="51">
        <v>5.65</v>
      </c>
    </row>
    <row r="14" spans="1:21" customFormat="1">
      <c r="A14" s="50" t="s">
        <v>137</v>
      </c>
      <c r="B14" s="51">
        <v>35.229999999999997</v>
      </c>
      <c r="C14" s="51">
        <v>22.06</v>
      </c>
      <c r="D14" s="51">
        <v>40.78</v>
      </c>
      <c r="E14" s="51">
        <v>5.84</v>
      </c>
      <c r="F14" s="51">
        <v>2.71</v>
      </c>
      <c r="G14" s="51">
        <v>39.369999999999997</v>
      </c>
      <c r="H14" s="51">
        <v>13.36</v>
      </c>
      <c r="I14" s="51">
        <v>5.77</v>
      </c>
      <c r="J14" s="51">
        <v>0.11</v>
      </c>
      <c r="K14" s="51">
        <v>227.04</v>
      </c>
      <c r="L14" s="51">
        <v>22.46</v>
      </c>
      <c r="M14" s="51">
        <v>100.36</v>
      </c>
      <c r="N14" s="51">
        <v>0</v>
      </c>
      <c r="O14" s="51">
        <v>0</v>
      </c>
      <c r="P14" s="51">
        <v>0.51</v>
      </c>
      <c r="Q14" s="51">
        <v>5.65</v>
      </c>
    </row>
    <row r="15" spans="1:21" customFormat="1">
      <c r="A15" s="50" t="s">
        <v>138</v>
      </c>
      <c r="B15" s="51">
        <v>34.32</v>
      </c>
      <c r="C15" s="51">
        <v>22.32</v>
      </c>
      <c r="D15" s="51">
        <v>40.299999999999997</v>
      </c>
      <c r="E15" s="51">
        <v>5.87</v>
      </c>
      <c r="F15" s="51">
        <v>2.74</v>
      </c>
      <c r="G15" s="51">
        <v>39.33</v>
      </c>
      <c r="H15" s="51">
        <v>13.36</v>
      </c>
      <c r="I15" s="51">
        <v>5.85</v>
      </c>
      <c r="J15" s="51">
        <v>0.1</v>
      </c>
      <c r="K15" s="51">
        <v>200.08</v>
      </c>
      <c r="L15" s="51">
        <v>22.58</v>
      </c>
      <c r="M15" s="51">
        <v>99.99</v>
      </c>
      <c r="N15" s="51">
        <v>35.200000000000003</v>
      </c>
      <c r="O15" s="51">
        <v>0</v>
      </c>
      <c r="P15" s="51">
        <v>0.51</v>
      </c>
      <c r="Q15" s="51">
        <v>5.61</v>
      </c>
    </row>
    <row r="16" spans="1:21" customFormat="1">
      <c r="A16" s="50" t="s">
        <v>139</v>
      </c>
      <c r="B16" s="51">
        <v>33.270000000000003</v>
      </c>
      <c r="C16" s="51">
        <v>21.82</v>
      </c>
      <c r="D16" s="51">
        <v>39.380000000000003</v>
      </c>
      <c r="E16" s="51">
        <v>5.61</v>
      </c>
      <c r="F16" s="51">
        <v>2.7</v>
      </c>
      <c r="G16" s="51">
        <v>38.32</v>
      </c>
      <c r="H16" s="51">
        <v>9.76</v>
      </c>
      <c r="I16" s="51">
        <v>5.83</v>
      </c>
      <c r="J16" s="51">
        <v>0.19</v>
      </c>
      <c r="K16" s="51">
        <v>168.1</v>
      </c>
      <c r="L16" s="51">
        <v>24.47</v>
      </c>
      <c r="M16" s="51">
        <v>97.71</v>
      </c>
      <c r="N16" s="51">
        <v>157.69999999999999</v>
      </c>
      <c r="O16" s="51">
        <v>0</v>
      </c>
      <c r="P16" s="51">
        <v>0.5</v>
      </c>
      <c r="Q16" s="51">
        <v>5.57</v>
      </c>
    </row>
    <row r="17" spans="1:17" customFormat="1">
      <c r="A17" s="50" t="s">
        <v>140</v>
      </c>
      <c r="B17" s="51">
        <v>32.119999999999997</v>
      </c>
      <c r="C17" s="51">
        <v>21.97</v>
      </c>
      <c r="D17" s="51">
        <v>37.75</v>
      </c>
      <c r="E17" s="51">
        <v>6.16</v>
      </c>
      <c r="F17" s="51">
        <v>3.14</v>
      </c>
      <c r="G17" s="51">
        <v>37.47</v>
      </c>
      <c r="H17" s="51">
        <v>10.57</v>
      </c>
      <c r="I17" s="51">
        <v>6.9</v>
      </c>
      <c r="J17" s="51">
        <v>0.4</v>
      </c>
      <c r="K17" s="51">
        <v>57.94</v>
      </c>
      <c r="L17" s="51">
        <v>26.75</v>
      </c>
      <c r="M17" s="51">
        <v>86.17</v>
      </c>
      <c r="N17" s="51">
        <v>316.60000000000002</v>
      </c>
      <c r="O17" s="51">
        <v>0</v>
      </c>
      <c r="P17" s="51">
        <v>0.55000000000000004</v>
      </c>
      <c r="Q17" s="51">
        <v>5.52</v>
      </c>
    </row>
    <row r="18" spans="1:17" customFormat="1">
      <c r="A18" s="50" t="s">
        <v>141</v>
      </c>
      <c r="B18" s="51">
        <v>28.44</v>
      </c>
      <c r="C18" s="51">
        <v>23.83</v>
      </c>
      <c r="D18" s="51">
        <v>35.93</v>
      </c>
      <c r="E18" s="51">
        <v>5.98</v>
      </c>
      <c r="F18" s="51">
        <v>3.01</v>
      </c>
      <c r="G18" s="51">
        <v>37.47</v>
      </c>
      <c r="H18" s="51">
        <v>11.95</v>
      </c>
      <c r="I18" s="51">
        <v>7.11</v>
      </c>
      <c r="J18" s="51">
        <v>0.43</v>
      </c>
      <c r="K18" s="51">
        <v>50.1</v>
      </c>
      <c r="L18" s="51">
        <v>28.29</v>
      </c>
      <c r="M18" s="51">
        <v>78.13</v>
      </c>
      <c r="N18" s="51">
        <v>494.3</v>
      </c>
      <c r="O18" s="51">
        <v>0</v>
      </c>
      <c r="P18" s="51">
        <v>0.57999999999999996</v>
      </c>
      <c r="Q18" s="51">
        <v>5.36</v>
      </c>
    </row>
    <row r="19" spans="1:17" customFormat="1">
      <c r="A19" s="50" t="s">
        <v>142</v>
      </c>
      <c r="B19" s="51">
        <v>24.38</v>
      </c>
      <c r="C19" s="51">
        <v>25.41</v>
      </c>
      <c r="D19" s="51">
        <v>33.51</v>
      </c>
      <c r="E19" s="51">
        <v>5.26</v>
      </c>
      <c r="F19" s="51">
        <v>3.41</v>
      </c>
      <c r="G19" s="51">
        <v>40.799999999999997</v>
      </c>
      <c r="H19" s="51">
        <v>15</v>
      </c>
      <c r="I19" s="51">
        <v>7.02</v>
      </c>
      <c r="J19" s="51">
        <v>0.42</v>
      </c>
      <c r="K19" s="51">
        <v>67.56</v>
      </c>
      <c r="L19" s="51">
        <v>29.62</v>
      </c>
      <c r="M19" s="51">
        <v>68.16</v>
      </c>
      <c r="N19" s="51">
        <v>580.5</v>
      </c>
      <c r="O19" s="51">
        <v>0</v>
      </c>
      <c r="P19" s="51">
        <v>0.57999999999999996</v>
      </c>
      <c r="Q19" s="51">
        <v>5.28</v>
      </c>
    </row>
    <row r="20" spans="1:17" customFormat="1">
      <c r="A20" s="50" t="s">
        <v>143</v>
      </c>
      <c r="B20" s="51">
        <v>19.68</v>
      </c>
      <c r="C20" s="51">
        <v>25.49</v>
      </c>
      <c r="D20" s="51">
        <v>30.34</v>
      </c>
      <c r="E20" s="51">
        <v>5.23</v>
      </c>
      <c r="F20" s="51">
        <v>3.34</v>
      </c>
      <c r="G20" s="51">
        <v>40.799999999999997</v>
      </c>
      <c r="H20" s="51">
        <v>15</v>
      </c>
      <c r="I20" s="51">
        <v>6.47</v>
      </c>
      <c r="J20" s="51">
        <v>0.45</v>
      </c>
      <c r="K20" s="51">
        <v>39.57</v>
      </c>
      <c r="L20" s="51">
        <v>28.71</v>
      </c>
      <c r="M20" s="51">
        <v>69.64</v>
      </c>
      <c r="N20" s="51">
        <v>210</v>
      </c>
      <c r="O20" s="51">
        <v>0</v>
      </c>
      <c r="P20" s="51">
        <v>0.57999999999999996</v>
      </c>
      <c r="Q20" s="51">
        <v>5.12</v>
      </c>
    </row>
    <row r="21" spans="1:17" customFormat="1">
      <c r="A21" s="50" t="s">
        <v>144</v>
      </c>
      <c r="B21" s="51">
        <v>16.62</v>
      </c>
      <c r="C21" s="51">
        <v>25.47</v>
      </c>
      <c r="D21" s="51">
        <v>27.99</v>
      </c>
      <c r="E21" s="51">
        <v>8.89</v>
      </c>
      <c r="F21" s="51">
        <v>16.399999999999999</v>
      </c>
      <c r="G21" s="51">
        <v>41.99</v>
      </c>
      <c r="H21" s="51">
        <v>14.75</v>
      </c>
      <c r="I21" s="51">
        <v>6.27</v>
      </c>
      <c r="J21" s="51">
        <v>0.5</v>
      </c>
      <c r="K21" s="51">
        <v>55.02</v>
      </c>
      <c r="L21" s="51">
        <v>29.72</v>
      </c>
      <c r="M21" s="51">
        <v>65.760000000000005</v>
      </c>
      <c r="N21" s="51">
        <v>429.5</v>
      </c>
      <c r="O21" s="51">
        <v>0</v>
      </c>
      <c r="P21" s="51">
        <v>0.57999999999999996</v>
      </c>
      <c r="Q21" s="51">
        <v>5</v>
      </c>
    </row>
    <row r="22" spans="1:17" customFormat="1">
      <c r="A22" s="50" t="s">
        <v>145</v>
      </c>
      <c r="B22" s="51">
        <v>4.1900000000000004</v>
      </c>
      <c r="C22" s="51">
        <v>21.32</v>
      </c>
      <c r="D22" s="51">
        <v>15.69</v>
      </c>
      <c r="E22" s="51">
        <v>6.91</v>
      </c>
      <c r="F22" s="51">
        <v>7.27</v>
      </c>
      <c r="G22" s="51">
        <v>46.01</v>
      </c>
      <c r="H22" s="51">
        <v>16.18</v>
      </c>
      <c r="I22" s="51">
        <v>5.33</v>
      </c>
      <c r="J22" s="51">
        <v>0.48</v>
      </c>
      <c r="K22" s="51">
        <v>71.55</v>
      </c>
      <c r="L22" s="51">
        <v>30.77</v>
      </c>
      <c r="M22" s="51">
        <v>62.49</v>
      </c>
      <c r="N22" s="51">
        <v>453.4</v>
      </c>
      <c r="O22" s="51">
        <v>0</v>
      </c>
      <c r="P22" s="51">
        <v>0.53</v>
      </c>
      <c r="Q22" s="51">
        <v>4.37</v>
      </c>
    </row>
    <row r="23" spans="1:17" customFormat="1">
      <c r="A23" s="50" t="s">
        <v>146</v>
      </c>
      <c r="B23" s="51">
        <v>5.0999999999999996</v>
      </c>
      <c r="C23" s="51">
        <v>20.48</v>
      </c>
      <c r="D23" s="51">
        <v>15.93</v>
      </c>
      <c r="E23" s="51">
        <v>6.46</v>
      </c>
      <c r="F23" s="51">
        <v>7.64</v>
      </c>
      <c r="G23" s="51">
        <v>47.44</v>
      </c>
      <c r="H23" s="51">
        <v>17.75</v>
      </c>
      <c r="I23" s="51">
        <v>4.79</v>
      </c>
      <c r="J23" s="51">
        <v>0.6</v>
      </c>
      <c r="K23" s="51">
        <v>47.69</v>
      </c>
      <c r="L23" s="51">
        <v>30.65</v>
      </c>
      <c r="M23" s="51">
        <v>62.5</v>
      </c>
      <c r="N23" s="51">
        <v>278.3</v>
      </c>
      <c r="O23" s="51">
        <v>0</v>
      </c>
      <c r="P23" s="51">
        <v>0.5</v>
      </c>
      <c r="Q23" s="51">
        <v>4.28</v>
      </c>
    </row>
    <row r="24" spans="1:17" customFormat="1">
      <c r="A24" s="50" t="s">
        <v>147</v>
      </c>
      <c r="B24" s="51">
        <v>6.3</v>
      </c>
      <c r="C24" s="51">
        <v>20.81</v>
      </c>
      <c r="D24" s="51">
        <v>17.28</v>
      </c>
      <c r="E24" s="51">
        <v>11.27</v>
      </c>
      <c r="F24" s="51">
        <v>9.18</v>
      </c>
      <c r="G24" s="51">
        <v>50.04</v>
      </c>
      <c r="H24" s="51">
        <v>21.29</v>
      </c>
      <c r="I24" s="51">
        <v>5.13</v>
      </c>
      <c r="J24" s="51">
        <v>0.57999999999999996</v>
      </c>
      <c r="K24" s="51">
        <v>46.41</v>
      </c>
      <c r="L24" s="51">
        <v>29.4</v>
      </c>
      <c r="M24" s="51">
        <v>63.44</v>
      </c>
      <c r="N24" s="51">
        <v>112.9</v>
      </c>
      <c r="O24" s="51">
        <v>0</v>
      </c>
      <c r="P24" s="51">
        <v>0.52</v>
      </c>
      <c r="Q24" s="51">
        <v>4.32</v>
      </c>
    </row>
    <row r="25" spans="1:17" customFormat="1">
      <c r="A25" s="50" t="s">
        <v>148</v>
      </c>
      <c r="B25" s="51">
        <v>8.34</v>
      </c>
      <c r="C25" s="51">
        <v>23.54</v>
      </c>
      <c r="D25" s="51">
        <v>20.34</v>
      </c>
      <c r="E25" s="51">
        <v>13.05</v>
      </c>
      <c r="F25" s="51">
        <v>8.01</v>
      </c>
      <c r="G25" s="51">
        <v>58.98</v>
      </c>
      <c r="H25" s="51">
        <v>25.45</v>
      </c>
      <c r="I25" s="51">
        <v>5.13</v>
      </c>
      <c r="J25" s="51">
        <v>0.44</v>
      </c>
      <c r="K25" s="51">
        <v>48.72</v>
      </c>
      <c r="L25" s="51">
        <v>28.99</v>
      </c>
      <c r="M25" s="51">
        <v>70.44</v>
      </c>
      <c r="N25" s="51">
        <v>46.9</v>
      </c>
      <c r="O25" s="51">
        <v>0</v>
      </c>
      <c r="P25" s="51">
        <v>0.57999999999999996</v>
      </c>
      <c r="Q25" s="51">
        <v>4.3899999999999997</v>
      </c>
    </row>
    <row r="26" spans="1:17" customFormat="1">
      <c r="A26" s="50" t="s">
        <v>149</v>
      </c>
      <c r="B26" s="51">
        <v>13.61</v>
      </c>
      <c r="C26" s="51">
        <v>27.71</v>
      </c>
      <c r="D26" s="51">
        <v>26.74</v>
      </c>
      <c r="E26" s="51">
        <v>10.9</v>
      </c>
      <c r="F26" s="51">
        <v>5.32</v>
      </c>
      <c r="G26" s="51">
        <v>83.04</v>
      </c>
      <c r="H26" s="51">
        <v>28.85</v>
      </c>
      <c r="I26" s="51">
        <v>5.9</v>
      </c>
      <c r="J26" s="51">
        <v>0.28999999999999998</v>
      </c>
      <c r="K26" s="51">
        <v>75.12</v>
      </c>
      <c r="L26" s="51">
        <v>27.61</v>
      </c>
      <c r="M26" s="51">
        <v>76</v>
      </c>
      <c r="N26" s="51">
        <v>0</v>
      </c>
      <c r="O26" s="51">
        <v>0</v>
      </c>
      <c r="P26" s="51">
        <v>0.67</v>
      </c>
      <c r="Q26" s="51">
        <v>4.53</v>
      </c>
    </row>
    <row r="27" spans="1:17" customFormat="1">
      <c r="A27" s="50" t="s">
        <v>150</v>
      </c>
      <c r="B27" s="51">
        <v>12.31</v>
      </c>
      <c r="C27" s="51">
        <v>29.6</v>
      </c>
      <c r="D27" s="51">
        <v>26.44</v>
      </c>
      <c r="E27" s="51">
        <v>6.02</v>
      </c>
      <c r="F27" s="51">
        <v>3.03</v>
      </c>
      <c r="G27" s="51">
        <v>89.77</v>
      </c>
      <c r="H27" s="51">
        <v>35.619999999999997</v>
      </c>
      <c r="I27" s="51">
        <v>6.29</v>
      </c>
      <c r="J27" s="51">
        <v>0.21</v>
      </c>
      <c r="K27" s="51">
        <v>165.7</v>
      </c>
      <c r="L27" s="51">
        <v>26.3</v>
      </c>
      <c r="M27" s="51">
        <v>84.54</v>
      </c>
      <c r="N27" s="51">
        <v>0</v>
      </c>
      <c r="O27" s="51">
        <v>0</v>
      </c>
      <c r="P27" s="51">
        <v>0.77</v>
      </c>
      <c r="Q27" s="51">
        <v>4.72</v>
      </c>
    </row>
    <row r="28" spans="1:17" customFormat="1">
      <c r="A28" s="50" t="s">
        <v>151</v>
      </c>
      <c r="B28" s="51">
        <v>15.65</v>
      </c>
      <c r="C28" s="51">
        <v>29.96</v>
      </c>
      <c r="D28" s="51">
        <v>29.55</v>
      </c>
      <c r="E28" s="51">
        <v>6.64</v>
      </c>
      <c r="F28" s="51">
        <v>2.63</v>
      </c>
      <c r="G28" s="51">
        <v>105.6</v>
      </c>
      <c r="H28" s="51">
        <v>41.14</v>
      </c>
      <c r="I28" s="51">
        <v>6.98</v>
      </c>
      <c r="J28" s="51">
        <v>0.16</v>
      </c>
      <c r="K28" s="51">
        <v>148.27000000000001</v>
      </c>
      <c r="L28" s="51">
        <v>25.59</v>
      </c>
      <c r="M28" s="51">
        <v>87.04</v>
      </c>
      <c r="N28" s="51">
        <v>0</v>
      </c>
      <c r="O28" s="51">
        <v>0</v>
      </c>
      <c r="P28" s="51">
        <v>0.89</v>
      </c>
      <c r="Q28" s="51">
        <v>4.8899999999999997</v>
      </c>
    </row>
    <row r="29" spans="1:17" customFormat="1">
      <c r="A29" s="50" t="s">
        <v>152</v>
      </c>
      <c r="B29" s="51">
        <v>18.239999999999998</v>
      </c>
      <c r="C29" s="51">
        <v>29.87</v>
      </c>
      <c r="D29" s="51">
        <v>31.59</v>
      </c>
      <c r="E29" s="51">
        <v>7</v>
      </c>
      <c r="F29" s="51">
        <v>2.65</v>
      </c>
      <c r="G29" s="51">
        <v>108.04</v>
      </c>
      <c r="H29" s="51">
        <v>41.14</v>
      </c>
      <c r="I29" s="51">
        <v>7.92</v>
      </c>
      <c r="J29" s="51">
        <v>0.21</v>
      </c>
      <c r="K29" s="51">
        <v>164.92</v>
      </c>
      <c r="L29" s="51">
        <v>25</v>
      </c>
      <c r="M29" s="51">
        <v>91.17</v>
      </c>
      <c r="N29" s="51">
        <v>0</v>
      </c>
      <c r="O29" s="51">
        <v>0</v>
      </c>
      <c r="P29" s="51">
        <v>0.96</v>
      </c>
      <c r="Q29" s="51">
        <v>5.05</v>
      </c>
    </row>
    <row r="30" spans="1:17" customFormat="1">
      <c r="A30" s="50" t="s">
        <v>153</v>
      </c>
      <c r="B30" s="51">
        <v>21.74</v>
      </c>
      <c r="C30" s="51">
        <v>30.44</v>
      </c>
      <c r="D30" s="51">
        <v>34.69</v>
      </c>
      <c r="E30" s="51">
        <v>7.57</v>
      </c>
      <c r="F30" s="51">
        <v>2.75</v>
      </c>
      <c r="G30" s="51">
        <v>112.74</v>
      </c>
      <c r="H30" s="51">
        <v>44.55</v>
      </c>
      <c r="I30" s="51">
        <v>8.3800000000000008</v>
      </c>
      <c r="J30" s="51">
        <v>0.18</v>
      </c>
      <c r="K30" s="51">
        <v>144.6</v>
      </c>
      <c r="L30" s="51">
        <v>24.43</v>
      </c>
      <c r="M30" s="51">
        <v>91.11</v>
      </c>
      <c r="N30" s="51">
        <v>0</v>
      </c>
      <c r="O30" s="51">
        <v>0</v>
      </c>
      <c r="P30" s="51">
        <v>1.02</v>
      </c>
      <c r="Q30" s="51">
        <v>5.17</v>
      </c>
    </row>
    <row r="31" spans="1:17" customFormat="1">
      <c r="A31" s="50" t="s">
        <v>154</v>
      </c>
      <c r="B31" s="51">
        <v>25.18</v>
      </c>
      <c r="C31" s="51">
        <v>30.68</v>
      </c>
      <c r="D31" s="51">
        <v>37.57</v>
      </c>
      <c r="E31" s="51">
        <v>7.22</v>
      </c>
      <c r="F31" s="51">
        <v>2.77</v>
      </c>
      <c r="G31" s="51">
        <v>117.37</v>
      </c>
      <c r="H31" s="51">
        <v>47.42</v>
      </c>
      <c r="I31" s="51">
        <v>8.69</v>
      </c>
      <c r="J31" s="51">
        <v>0.12</v>
      </c>
      <c r="K31" s="51">
        <v>119.97</v>
      </c>
      <c r="L31" s="51">
        <v>24.24</v>
      </c>
      <c r="M31" s="51">
        <v>93.38</v>
      </c>
      <c r="N31" s="51">
        <v>0</v>
      </c>
      <c r="O31" s="51">
        <v>0</v>
      </c>
      <c r="P31" s="51">
        <v>1.03</v>
      </c>
      <c r="Q31" s="51">
        <v>5.31</v>
      </c>
    </row>
    <row r="32" spans="1:17" customFormat="1">
      <c r="A32" s="50" t="s">
        <v>155</v>
      </c>
      <c r="B32" s="51">
        <v>26.83</v>
      </c>
      <c r="C32" s="51">
        <v>31.6</v>
      </c>
      <c r="D32" s="51">
        <v>38.590000000000003</v>
      </c>
      <c r="E32" s="51">
        <v>7.87</v>
      </c>
      <c r="F32" s="51">
        <v>3.08</v>
      </c>
      <c r="G32" s="51">
        <v>119.69</v>
      </c>
      <c r="H32" s="51">
        <v>47.42</v>
      </c>
      <c r="I32" s="51">
        <v>8.9</v>
      </c>
      <c r="J32" s="51">
        <v>0.26</v>
      </c>
      <c r="K32" s="51">
        <v>106.6</v>
      </c>
      <c r="L32" s="51">
        <v>23.84</v>
      </c>
      <c r="M32" s="51">
        <v>92.34</v>
      </c>
      <c r="N32" s="51">
        <v>0</v>
      </c>
      <c r="O32" s="51">
        <v>0</v>
      </c>
      <c r="P32" s="51">
        <v>1.02</v>
      </c>
      <c r="Q32" s="51">
        <v>5.35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4.1900000000000004</v>
      </c>
      <c r="C34" s="40">
        <f t="shared" si="0"/>
        <v>20.48</v>
      </c>
      <c r="D34" s="40">
        <f t="shared" si="0"/>
        <v>15.69</v>
      </c>
      <c r="E34" s="40">
        <f t="shared" si="0"/>
        <v>5.23</v>
      </c>
      <c r="F34" s="40">
        <f t="shared" si="0"/>
        <v>2.4500000000000002</v>
      </c>
      <c r="G34" s="40">
        <f t="shared" si="0"/>
        <v>34.14</v>
      </c>
      <c r="H34" s="40">
        <f t="shared" si="0"/>
        <v>9.76</v>
      </c>
      <c r="I34" s="40">
        <f t="shared" si="0"/>
        <v>4.79</v>
      </c>
      <c r="J34" s="40">
        <f t="shared" si="0"/>
        <v>0.1</v>
      </c>
      <c r="K34" s="40">
        <f t="shared" si="0"/>
        <v>39.57</v>
      </c>
      <c r="L34" s="40">
        <f t="shared" si="0"/>
        <v>22.46</v>
      </c>
      <c r="M34" s="40">
        <f t="shared" si="0"/>
        <v>62.49</v>
      </c>
      <c r="N34" s="40">
        <f t="shared" si="0"/>
        <v>0</v>
      </c>
      <c r="O34" s="40">
        <f t="shared" si="0"/>
        <v>0</v>
      </c>
      <c r="P34" s="40">
        <f t="shared" si="0"/>
        <v>0.5</v>
      </c>
      <c r="Q34" s="40">
        <f t="shared" si="0"/>
        <v>4.28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35.26</v>
      </c>
      <c r="C35" s="33">
        <f t="shared" si="1"/>
        <v>31.6</v>
      </c>
      <c r="D35" s="33">
        <f t="shared" si="1"/>
        <v>41.14</v>
      </c>
      <c r="E35" s="33">
        <f t="shared" si="1"/>
        <v>13.05</v>
      </c>
      <c r="F35" s="33">
        <f t="shared" si="1"/>
        <v>16.399999999999999</v>
      </c>
      <c r="G35" s="33">
        <f t="shared" si="1"/>
        <v>119.69</v>
      </c>
      <c r="H35" s="33">
        <f t="shared" si="1"/>
        <v>47.42</v>
      </c>
      <c r="I35" s="33">
        <f t="shared" si="1"/>
        <v>8.9</v>
      </c>
      <c r="J35" s="33">
        <f t="shared" si="1"/>
        <v>0.6</v>
      </c>
      <c r="K35" s="33">
        <f t="shared" si="1"/>
        <v>258.38</v>
      </c>
      <c r="L35" s="33">
        <f t="shared" si="1"/>
        <v>30.77</v>
      </c>
      <c r="M35" s="33">
        <f t="shared" si="1"/>
        <v>104.07</v>
      </c>
      <c r="N35" s="33">
        <f t="shared" si="1"/>
        <v>580.5</v>
      </c>
      <c r="O35" s="33">
        <f t="shared" si="1"/>
        <v>0</v>
      </c>
      <c r="P35" s="33">
        <f t="shared" si="1"/>
        <v>1.03</v>
      </c>
      <c r="Q35" s="33">
        <f t="shared" si="1"/>
        <v>5.65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21.773750000000003</v>
      </c>
      <c r="C36" s="40">
        <f t="shared" si="2"/>
        <v>25.028333333333332</v>
      </c>
      <c r="D36" s="40">
        <f t="shared" si="2"/>
        <v>31.642916666666668</v>
      </c>
      <c r="E36" s="40">
        <f t="shared" si="2"/>
        <v>7.1512500000000001</v>
      </c>
      <c r="F36" s="40">
        <f t="shared" si="2"/>
        <v>4.3825000000000003</v>
      </c>
      <c r="G36" s="40">
        <f t="shared" si="2"/>
        <v>60.53125</v>
      </c>
      <c r="H36" s="40">
        <f t="shared" si="2"/>
        <v>22.384166666666669</v>
      </c>
      <c r="I36" s="40">
        <f t="shared" si="2"/>
        <v>6.4708333333333323</v>
      </c>
      <c r="J36" s="40">
        <f t="shared" si="2"/>
        <v>0.28958333333333336</v>
      </c>
      <c r="K36" s="40">
        <f t="shared" si="2"/>
        <v>126.09208333333328</v>
      </c>
      <c r="L36" s="40">
        <f t="shared" si="2"/>
        <v>25.983749999999997</v>
      </c>
      <c r="M36" s="40">
        <f t="shared" si="2"/>
        <v>85.533750000000012</v>
      </c>
      <c r="N36" s="40">
        <f t="shared" si="2"/>
        <v>129.8041666666667</v>
      </c>
      <c r="O36" s="40">
        <f t="shared" si="2"/>
        <v>0</v>
      </c>
      <c r="P36" s="40">
        <f t="shared" si="2"/>
        <v>0.65874999999999984</v>
      </c>
      <c r="Q36" s="40">
        <f t="shared" si="2"/>
        <v>5.1075000000000008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9.8860524554633908</v>
      </c>
      <c r="C37" s="40">
        <f t="shared" ref="C37:Q37" si="3">STDEV(C9:C32)</f>
        <v>3.5646118962679028</v>
      </c>
      <c r="D37" s="40">
        <f t="shared" si="3"/>
        <v>7.9211744183969701</v>
      </c>
      <c r="E37" s="40">
        <f t="shared" si="3"/>
        <v>1.9833356016306616</v>
      </c>
      <c r="F37" s="40">
        <f t="shared" si="3"/>
        <v>3.2554920151752129</v>
      </c>
      <c r="G37" s="40">
        <f t="shared" si="3"/>
        <v>30.537848406953735</v>
      </c>
      <c r="H37" s="40">
        <f t="shared" si="3"/>
        <v>13.002167349988282</v>
      </c>
      <c r="I37" s="40">
        <f t="shared" si="3"/>
        <v>1.1107730041132087</v>
      </c>
      <c r="J37" s="40">
        <f t="shared" si="3"/>
        <v>0.16036586340280623</v>
      </c>
      <c r="K37" s="40">
        <f t="shared" si="3"/>
        <v>69.182185504096353</v>
      </c>
      <c r="L37" s="40">
        <f t="shared" si="3"/>
        <v>2.9189006454932849</v>
      </c>
      <c r="M37" s="40">
        <f t="shared" si="3"/>
        <v>14.845020190505702</v>
      </c>
      <c r="N37" s="40">
        <f t="shared" si="3"/>
        <v>189.94466351881366</v>
      </c>
      <c r="O37" s="40">
        <f t="shared" si="3"/>
        <v>0</v>
      </c>
      <c r="P37" s="40">
        <f t="shared" si="3"/>
        <v>0.18233539330633025</v>
      </c>
      <c r="Q37" s="40">
        <f t="shared" si="3"/>
        <v>0.45232971814046335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05/11/2023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156</v>
      </c>
      <c r="B9" s="51">
        <v>29.03</v>
      </c>
      <c r="C9" s="51">
        <v>27.59</v>
      </c>
      <c r="D9" s="51">
        <v>37.96</v>
      </c>
      <c r="E9" s="51">
        <v>6.22</v>
      </c>
      <c r="F9" s="51">
        <v>2.92</v>
      </c>
      <c r="G9" s="51">
        <v>119.69</v>
      </c>
      <c r="H9" s="51">
        <v>46.62</v>
      </c>
      <c r="I9" s="51">
        <v>9.0399999999999991</v>
      </c>
      <c r="J9" s="51">
        <v>0.2</v>
      </c>
      <c r="K9" s="51">
        <v>236.37</v>
      </c>
      <c r="L9" s="51">
        <v>23.56</v>
      </c>
      <c r="M9" s="51">
        <v>94.82</v>
      </c>
      <c r="N9" s="51">
        <v>0</v>
      </c>
      <c r="O9" s="51">
        <v>0</v>
      </c>
      <c r="P9" s="51">
        <v>0.96</v>
      </c>
      <c r="Q9" s="51">
        <v>5.38</v>
      </c>
    </row>
    <row r="10" spans="1:21" customFormat="1">
      <c r="A10" s="50" t="s">
        <v>157</v>
      </c>
      <c r="B10" s="51">
        <v>29.13</v>
      </c>
      <c r="C10" s="51">
        <v>24.53</v>
      </c>
      <c r="D10" s="51">
        <v>37.49</v>
      </c>
      <c r="E10" s="51">
        <v>5.75</v>
      </c>
      <c r="F10" s="51">
        <v>2.92</v>
      </c>
      <c r="G10" s="51">
        <v>113.4</v>
      </c>
      <c r="H10" s="51">
        <v>45.62</v>
      </c>
      <c r="I10" s="51">
        <v>9.06</v>
      </c>
      <c r="J10" s="51">
        <v>0.43</v>
      </c>
      <c r="K10" s="51">
        <v>31.65</v>
      </c>
      <c r="L10" s="51">
        <v>22.66</v>
      </c>
      <c r="M10" s="51">
        <v>94.82</v>
      </c>
      <c r="N10" s="51">
        <v>0</v>
      </c>
      <c r="O10" s="51">
        <v>0</v>
      </c>
      <c r="P10" s="51">
        <v>0.93</v>
      </c>
      <c r="Q10" s="51">
        <v>5.37</v>
      </c>
    </row>
    <row r="11" spans="1:21" customFormat="1">
      <c r="A11" s="50" t="s">
        <v>158</v>
      </c>
      <c r="B11" s="51">
        <v>28.55</v>
      </c>
      <c r="C11" s="51">
        <v>24.17</v>
      </c>
      <c r="D11" s="51">
        <v>36.880000000000003</v>
      </c>
      <c r="E11" s="51">
        <v>5.98</v>
      </c>
      <c r="F11" s="51">
        <v>2.81</v>
      </c>
      <c r="G11" s="51">
        <v>104.52</v>
      </c>
      <c r="H11" s="51">
        <v>43.16</v>
      </c>
      <c r="I11" s="51">
        <v>8.91</v>
      </c>
      <c r="J11" s="51">
        <v>0.26</v>
      </c>
      <c r="K11" s="51">
        <v>244.91</v>
      </c>
      <c r="L11" s="51">
        <v>22.36</v>
      </c>
      <c r="M11" s="51">
        <v>92.12</v>
      </c>
      <c r="N11" s="51">
        <v>0</v>
      </c>
      <c r="O11" s="51">
        <v>0</v>
      </c>
      <c r="P11" s="51">
        <v>0.89</v>
      </c>
      <c r="Q11" s="51">
        <v>5.35</v>
      </c>
    </row>
    <row r="12" spans="1:21" customFormat="1">
      <c r="A12" s="50" t="s">
        <v>159</v>
      </c>
      <c r="B12" s="51">
        <v>28.02</v>
      </c>
      <c r="C12" s="51">
        <v>23.95</v>
      </c>
      <c r="D12" s="51">
        <v>36.15</v>
      </c>
      <c r="E12" s="51">
        <v>6.54</v>
      </c>
      <c r="F12" s="51">
        <v>2.68</v>
      </c>
      <c r="G12" s="51">
        <v>100.2</v>
      </c>
      <c r="H12" s="51">
        <v>42.76</v>
      </c>
      <c r="I12" s="51">
        <v>8.59</v>
      </c>
      <c r="J12" s="51">
        <v>0.45</v>
      </c>
      <c r="K12" s="51">
        <v>40.53</v>
      </c>
      <c r="L12" s="51">
        <v>21.8</v>
      </c>
      <c r="M12" s="51">
        <v>91.4</v>
      </c>
      <c r="N12" s="51">
        <v>0</v>
      </c>
      <c r="O12" s="51">
        <v>0</v>
      </c>
      <c r="P12" s="51">
        <v>0.86</v>
      </c>
      <c r="Q12" s="51">
        <v>5.32</v>
      </c>
    </row>
    <row r="13" spans="1:21" customFormat="1">
      <c r="A13" s="50" t="s">
        <v>160</v>
      </c>
      <c r="B13" s="51">
        <v>27.93</v>
      </c>
      <c r="C13" s="51">
        <v>25.93</v>
      </c>
      <c r="D13" s="51">
        <v>36.89</v>
      </c>
      <c r="E13" s="51">
        <v>6.36</v>
      </c>
      <c r="F13" s="51">
        <v>2.76</v>
      </c>
      <c r="G13" s="51">
        <v>94.94</v>
      </c>
      <c r="H13" s="51">
        <v>42.07</v>
      </c>
      <c r="I13" s="51">
        <v>8.2899999999999991</v>
      </c>
      <c r="J13" s="51">
        <v>0.42</v>
      </c>
      <c r="K13" s="51">
        <v>37.93</v>
      </c>
      <c r="L13" s="51">
        <v>21.47</v>
      </c>
      <c r="M13" s="51">
        <v>88.7</v>
      </c>
      <c r="N13" s="51">
        <v>0</v>
      </c>
      <c r="O13" s="51">
        <v>0</v>
      </c>
      <c r="P13" s="51">
        <v>0.85</v>
      </c>
      <c r="Q13" s="51">
        <v>5.35</v>
      </c>
    </row>
    <row r="14" spans="1:21" customFormat="1">
      <c r="A14" s="50" t="s">
        <v>161</v>
      </c>
      <c r="B14" s="51">
        <v>27.58</v>
      </c>
      <c r="C14" s="51">
        <v>26.42</v>
      </c>
      <c r="D14" s="51">
        <v>37.229999999999997</v>
      </c>
      <c r="E14" s="51">
        <v>6.45</v>
      </c>
      <c r="F14" s="51">
        <v>2.8</v>
      </c>
      <c r="G14" s="51">
        <v>94.22</v>
      </c>
      <c r="H14" s="51">
        <v>41.14</v>
      </c>
      <c r="I14" s="51">
        <v>8.09</v>
      </c>
      <c r="J14" s="51">
        <v>0.38</v>
      </c>
      <c r="K14" s="51">
        <v>37.01</v>
      </c>
      <c r="L14" s="51">
        <v>20.73</v>
      </c>
      <c r="M14" s="51">
        <v>92.67</v>
      </c>
      <c r="N14" s="51">
        <v>0</v>
      </c>
      <c r="O14" s="51">
        <v>0</v>
      </c>
      <c r="P14" s="51">
        <v>0.82</v>
      </c>
      <c r="Q14" s="51">
        <v>5.37</v>
      </c>
    </row>
    <row r="15" spans="1:21" customFormat="1">
      <c r="A15" s="50" t="s">
        <v>162</v>
      </c>
      <c r="B15" s="51">
        <v>28.91</v>
      </c>
      <c r="C15" s="51">
        <v>26.85</v>
      </c>
      <c r="D15" s="51">
        <v>38.57</v>
      </c>
      <c r="E15" s="51">
        <v>6.94</v>
      </c>
      <c r="F15" s="51">
        <v>2.75</v>
      </c>
      <c r="G15" s="51">
        <v>88.18</v>
      </c>
      <c r="H15" s="51">
        <v>41.29</v>
      </c>
      <c r="I15" s="51">
        <v>8.1</v>
      </c>
      <c r="J15" s="51">
        <v>0.39</v>
      </c>
      <c r="K15" s="51">
        <v>41.51</v>
      </c>
      <c r="L15" s="51">
        <v>21.03</v>
      </c>
      <c r="M15" s="51">
        <v>92.29</v>
      </c>
      <c r="N15" s="51">
        <v>40.200000000000003</v>
      </c>
      <c r="O15" s="51">
        <v>0</v>
      </c>
      <c r="P15" s="51">
        <v>0.83</v>
      </c>
      <c r="Q15" s="51">
        <v>5.42</v>
      </c>
    </row>
    <row r="16" spans="1:21" customFormat="1">
      <c r="A16" s="50" t="s">
        <v>163</v>
      </c>
      <c r="B16" s="51">
        <v>28.75</v>
      </c>
      <c r="C16" s="51">
        <v>27.29</v>
      </c>
      <c r="D16" s="51">
        <v>38.46</v>
      </c>
      <c r="E16" s="51">
        <v>7.34</v>
      </c>
      <c r="F16" s="51">
        <v>2.59</v>
      </c>
      <c r="G16" s="51">
        <v>88.46</v>
      </c>
      <c r="H16" s="51">
        <v>41.29</v>
      </c>
      <c r="I16" s="51">
        <v>8.2799999999999994</v>
      </c>
      <c r="J16" s="51">
        <v>0.59</v>
      </c>
      <c r="K16" s="51">
        <v>38.81</v>
      </c>
      <c r="L16" s="51">
        <v>22.28</v>
      </c>
      <c r="M16" s="51">
        <v>86.69</v>
      </c>
      <c r="N16" s="51">
        <v>141.19999999999999</v>
      </c>
      <c r="O16" s="51">
        <v>0</v>
      </c>
      <c r="P16" s="51">
        <v>0.84</v>
      </c>
      <c r="Q16" s="51">
        <v>5.45</v>
      </c>
    </row>
    <row r="17" spans="1:17" customFormat="1">
      <c r="A17" s="50" t="s">
        <v>164</v>
      </c>
      <c r="B17" s="51">
        <v>27.31</v>
      </c>
      <c r="C17" s="51">
        <v>27.93</v>
      </c>
      <c r="D17" s="51">
        <v>37.56</v>
      </c>
      <c r="E17" s="51">
        <v>6.94</v>
      </c>
      <c r="F17" s="51">
        <v>2.69</v>
      </c>
      <c r="G17" s="51">
        <v>88.52</v>
      </c>
      <c r="H17" s="51">
        <v>40.42</v>
      </c>
      <c r="I17" s="51">
        <v>8.25</v>
      </c>
      <c r="J17" s="51">
        <v>0.76</v>
      </c>
      <c r="K17" s="51">
        <v>40.46</v>
      </c>
      <c r="L17" s="51">
        <v>24.42</v>
      </c>
      <c r="M17" s="51">
        <v>77.180000000000007</v>
      </c>
      <c r="N17" s="51">
        <v>278.2</v>
      </c>
      <c r="O17" s="51">
        <v>0</v>
      </c>
      <c r="P17" s="51">
        <v>0.83</v>
      </c>
      <c r="Q17" s="51">
        <v>5.39</v>
      </c>
    </row>
    <row r="18" spans="1:17" customFormat="1">
      <c r="A18" s="50" t="s">
        <v>165</v>
      </c>
      <c r="B18" s="51">
        <v>24.19</v>
      </c>
      <c r="C18" s="51">
        <v>27.93</v>
      </c>
      <c r="D18" s="51">
        <v>35.340000000000003</v>
      </c>
      <c r="E18" s="51">
        <v>6.69</v>
      </c>
      <c r="F18" s="51">
        <v>3.17</v>
      </c>
      <c r="G18" s="51">
        <v>91.53</v>
      </c>
      <c r="H18" s="51">
        <v>40.42</v>
      </c>
      <c r="I18" s="51">
        <v>7.99</v>
      </c>
      <c r="J18" s="51">
        <v>0.64</v>
      </c>
      <c r="K18" s="51">
        <v>47.88</v>
      </c>
      <c r="L18" s="51">
        <v>27.07</v>
      </c>
      <c r="M18" s="51">
        <v>73.39</v>
      </c>
      <c r="N18" s="51">
        <v>440.6</v>
      </c>
      <c r="O18" s="51">
        <v>0</v>
      </c>
      <c r="P18" s="51">
        <v>0.81</v>
      </c>
      <c r="Q18" s="51">
        <v>5.24</v>
      </c>
    </row>
    <row r="19" spans="1:17" customFormat="1">
      <c r="A19" s="50" t="s">
        <v>166</v>
      </c>
      <c r="B19" s="51">
        <v>21.87</v>
      </c>
      <c r="C19" s="51">
        <v>23.51</v>
      </c>
      <c r="D19" s="51">
        <v>31.17</v>
      </c>
      <c r="E19" s="51">
        <v>7.38</v>
      </c>
      <c r="F19" s="51">
        <v>4.42</v>
      </c>
      <c r="G19" s="51">
        <v>91.53</v>
      </c>
      <c r="H19" s="51">
        <v>39.119999999999997</v>
      </c>
      <c r="I19" s="51">
        <v>7.89</v>
      </c>
      <c r="J19" s="51">
        <v>0.51</v>
      </c>
      <c r="K19" s="51">
        <v>79.319999999999993</v>
      </c>
      <c r="L19" s="51">
        <v>28.9</v>
      </c>
      <c r="M19" s="51">
        <v>71.5</v>
      </c>
      <c r="N19" s="51">
        <v>528.79999999999995</v>
      </c>
      <c r="O19" s="51">
        <v>0</v>
      </c>
      <c r="P19" s="51">
        <v>0.77</v>
      </c>
      <c r="Q19" s="51">
        <v>5.08</v>
      </c>
    </row>
    <row r="20" spans="1:17" customFormat="1">
      <c r="A20" s="50" t="s">
        <v>167</v>
      </c>
      <c r="B20" s="51">
        <v>16.96</v>
      </c>
      <c r="C20" s="51">
        <v>22.61</v>
      </c>
      <c r="D20" s="51">
        <v>26.76</v>
      </c>
      <c r="E20" s="51">
        <v>9.42</v>
      </c>
      <c r="F20" s="51">
        <v>7.94</v>
      </c>
      <c r="G20" s="51">
        <v>82.01</v>
      </c>
      <c r="H20" s="51">
        <v>33.83</v>
      </c>
      <c r="I20" s="51">
        <v>7.49</v>
      </c>
      <c r="J20" s="51">
        <v>0.94</v>
      </c>
      <c r="K20" s="51">
        <v>53.3</v>
      </c>
      <c r="L20" s="51">
        <v>29.55</v>
      </c>
      <c r="M20" s="51">
        <v>64.55</v>
      </c>
      <c r="N20" s="51">
        <v>551.5</v>
      </c>
      <c r="O20" s="51">
        <v>0</v>
      </c>
      <c r="P20" s="51">
        <v>0.73</v>
      </c>
      <c r="Q20" s="51">
        <v>4.88</v>
      </c>
    </row>
    <row r="21" spans="1:17" customFormat="1">
      <c r="A21" s="50" t="s">
        <v>168</v>
      </c>
      <c r="B21" s="51">
        <v>13.1</v>
      </c>
      <c r="C21" s="51">
        <v>23.41</v>
      </c>
      <c r="D21" s="51">
        <v>24.09</v>
      </c>
      <c r="E21" s="51">
        <v>8.57</v>
      </c>
      <c r="F21" s="51">
        <v>6.1</v>
      </c>
      <c r="G21" s="51">
        <v>74.739999999999995</v>
      </c>
      <c r="H21" s="51">
        <v>31.64</v>
      </c>
      <c r="I21" s="51">
        <v>7.02</v>
      </c>
      <c r="J21" s="51">
        <v>0.83</v>
      </c>
      <c r="K21" s="51">
        <v>58.45</v>
      </c>
      <c r="L21" s="51">
        <v>29.55</v>
      </c>
      <c r="M21" s="51">
        <v>57.7</v>
      </c>
      <c r="N21" s="51">
        <v>424.9</v>
      </c>
      <c r="O21" s="51">
        <v>0</v>
      </c>
      <c r="P21" s="51">
        <v>0.69</v>
      </c>
      <c r="Q21" s="51">
        <v>4.67</v>
      </c>
    </row>
    <row r="22" spans="1:17" customFormat="1">
      <c r="A22" s="50" t="s">
        <v>169</v>
      </c>
      <c r="B22" s="51">
        <v>10.29</v>
      </c>
      <c r="C22" s="51">
        <v>21.05</v>
      </c>
      <c r="D22" s="51">
        <v>20.6</v>
      </c>
      <c r="E22" s="51">
        <v>8.14</v>
      </c>
      <c r="F22" s="51">
        <v>8.74</v>
      </c>
      <c r="G22" s="51">
        <v>69.08</v>
      </c>
      <c r="H22" s="51">
        <v>28.28</v>
      </c>
      <c r="I22" s="51">
        <v>6.58</v>
      </c>
      <c r="J22" s="51">
        <v>0.62</v>
      </c>
      <c r="K22" s="51">
        <v>52.16</v>
      </c>
      <c r="L22" s="51">
        <v>29.97</v>
      </c>
      <c r="M22" s="51">
        <v>52.29</v>
      </c>
      <c r="N22" s="51">
        <v>364.1</v>
      </c>
      <c r="O22" s="51">
        <v>0</v>
      </c>
      <c r="P22" s="51">
        <v>0.66</v>
      </c>
      <c r="Q22" s="51">
        <v>4.54</v>
      </c>
    </row>
    <row r="23" spans="1:17" customFormat="1">
      <c r="A23" s="50" t="s">
        <v>170</v>
      </c>
      <c r="B23" s="51">
        <v>8.1199999999999992</v>
      </c>
      <c r="C23" s="51">
        <v>21.29</v>
      </c>
      <c r="D23" s="51">
        <v>18.37</v>
      </c>
      <c r="E23" s="51">
        <v>7.64</v>
      </c>
      <c r="F23" s="51">
        <v>8.93</v>
      </c>
      <c r="G23" s="51">
        <v>65.33</v>
      </c>
      <c r="H23" s="51">
        <v>25.86</v>
      </c>
      <c r="I23" s="51">
        <v>6.11</v>
      </c>
      <c r="J23" s="51">
        <v>0.54</v>
      </c>
      <c r="K23" s="51">
        <v>100.04</v>
      </c>
      <c r="L23" s="51">
        <v>30.29</v>
      </c>
      <c r="M23" s="51">
        <v>45.1</v>
      </c>
      <c r="N23" s="51">
        <v>405.3</v>
      </c>
      <c r="O23" s="51">
        <v>0</v>
      </c>
      <c r="P23" s="51">
        <v>0.69</v>
      </c>
      <c r="Q23" s="51">
        <v>4.43</v>
      </c>
    </row>
    <row r="24" spans="1:17" customFormat="1">
      <c r="A24" s="50" t="s">
        <v>171</v>
      </c>
      <c r="B24" s="51">
        <v>5.88</v>
      </c>
      <c r="C24" s="51">
        <v>21.43</v>
      </c>
      <c r="D24" s="51">
        <v>17.18</v>
      </c>
      <c r="E24" s="51">
        <v>6.5</v>
      </c>
      <c r="F24" s="51">
        <v>7.61</v>
      </c>
      <c r="G24" s="51">
        <v>61.86</v>
      </c>
      <c r="H24" s="51">
        <v>24.79</v>
      </c>
      <c r="I24" s="51">
        <v>5.64</v>
      </c>
      <c r="J24" s="51">
        <v>0.74</v>
      </c>
      <c r="K24" s="51">
        <v>55.34</v>
      </c>
      <c r="L24" s="51">
        <v>29.64</v>
      </c>
      <c r="M24" s="51">
        <v>40.56</v>
      </c>
      <c r="N24" s="51">
        <v>107.1</v>
      </c>
      <c r="O24" s="51">
        <v>0</v>
      </c>
      <c r="P24" s="51">
        <v>0.66</v>
      </c>
      <c r="Q24" s="51">
        <v>4.29</v>
      </c>
    </row>
    <row r="25" spans="1:17" customFormat="1">
      <c r="A25" s="50" t="s">
        <v>172</v>
      </c>
      <c r="B25" s="51">
        <v>6.46</v>
      </c>
      <c r="C25" s="51">
        <v>22.5</v>
      </c>
      <c r="D25" s="51">
        <v>18.29</v>
      </c>
      <c r="E25" s="51">
        <v>5.89</v>
      </c>
      <c r="F25" s="51">
        <v>5.39</v>
      </c>
      <c r="G25" s="51">
        <v>61.35</v>
      </c>
      <c r="H25" s="51">
        <v>24.54</v>
      </c>
      <c r="I25" s="51">
        <v>5.17</v>
      </c>
      <c r="J25" s="51">
        <v>0.48</v>
      </c>
      <c r="K25" s="51">
        <v>72.19</v>
      </c>
      <c r="L25" s="51">
        <v>28.81</v>
      </c>
      <c r="M25" s="51">
        <v>42.97</v>
      </c>
      <c r="N25" s="51">
        <v>43.7</v>
      </c>
      <c r="O25" s="51">
        <v>0</v>
      </c>
      <c r="P25" s="51">
        <v>0.64</v>
      </c>
      <c r="Q25" s="51">
        <v>4.32</v>
      </c>
    </row>
    <row r="26" spans="1:17" customFormat="1">
      <c r="A26" s="50" t="s">
        <v>173</v>
      </c>
      <c r="B26" s="51">
        <v>8.67</v>
      </c>
      <c r="C26" s="51">
        <v>24.39</v>
      </c>
      <c r="D26" s="51">
        <v>21.05</v>
      </c>
      <c r="E26" s="51">
        <v>5.45</v>
      </c>
      <c r="F26" s="51">
        <v>3.16</v>
      </c>
      <c r="G26" s="51">
        <v>85.6</v>
      </c>
      <c r="H26" s="51">
        <v>27.11</v>
      </c>
      <c r="I26" s="51">
        <v>5.37</v>
      </c>
      <c r="J26" s="51">
        <v>0.15</v>
      </c>
      <c r="K26" s="51">
        <v>135.58000000000001</v>
      </c>
      <c r="L26" s="51">
        <v>26.49</v>
      </c>
      <c r="M26" s="51">
        <v>61.15</v>
      </c>
      <c r="N26" s="51">
        <v>0.5</v>
      </c>
      <c r="O26" s="51">
        <v>0</v>
      </c>
      <c r="P26" s="51">
        <v>0.67</v>
      </c>
      <c r="Q26" s="51">
        <v>4.43</v>
      </c>
    </row>
    <row r="27" spans="1:17" customFormat="1">
      <c r="A27" s="50" t="s">
        <v>174</v>
      </c>
      <c r="B27" s="51">
        <v>12.15</v>
      </c>
      <c r="C27" s="51">
        <v>26.41</v>
      </c>
      <c r="D27" s="51">
        <v>24.9</v>
      </c>
      <c r="E27" s="51">
        <v>6.61</v>
      </c>
      <c r="F27" s="51">
        <v>2.65</v>
      </c>
      <c r="G27" s="51">
        <v>101.27</v>
      </c>
      <c r="H27" s="51">
        <v>31.51</v>
      </c>
      <c r="I27" s="51">
        <v>5.73</v>
      </c>
      <c r="J27" s="51">
        <v>0.25</v>
      </c>
      <c r="K27" s="51">
        <v>124.7</v>
      </c>
      <c r="L27" s="51">
        <v>24.48</v>
      </c>
      <c r="M27" s="51">
        <v>64.849999999999994</v>
      </c>
      <c r="N27" s="51">
        <v>0</v>
      </c>
      <c r="O27" s="51">
        <v>0</v>
      </c>
      <c r="P27" s="51">
        <v>0.72</v>
      </c>
      <c r="Q27" s="51">
        <v>4.62</v>
      </c>
    </row>
    <row r="28" spans="1:17" customFormat="1">
      <c r="A28" s="50" t="s">
        <v>175</v>
      </c>
      <c r="B28" s="51">
        <v>12.71</v>
      </c>
      <c r="C28" s="51">
        <v>26.77</v>
      </c>
      <c r="D28" s="51">
        <v>25.22</v>
      </c>
      <c r="E28" s="51">
        <v>7.01</v>
      </c>
      <c r="F28" s="51">
        <v>2.97</v>
      </c>
      <c r="G28" s="51">
        <v>101.27</v>
      </c>
      <c r="H28" s="51">
        <v>31.98</v>
      </c>
      <c r="I28" s="51">
        <v>6.05</v>
      </c>
      <c r="J28" s="51">
        <v>0.16</v>
      </c>
      <c r="K28" s="51">
        <v>213.49</v>
      </c>
      <c r="L28" s="51">
        <v>23.17</v>
      </c>
      <c r="M28" s="51">
        <v>76.67</v>
      </c>
      <c r="N28" s="51">
        <v>0</v>
      </c>
      <c r="O28" s="51">
        <v>0</v>
      </c>
      <c r="P28" s="51">
        <v>0.74</v>
      </c>
      <c r="Q28" s="51">
        <v>4.6500000000000004</v>
      </c>
    </row>
    <row r="29" spans="1:17" customFormat="1">
      <c r="A29" s="50" t="s">
        <v>176</v>
      </c>
      <c r="B29" s="51">
        <v>12.6</v>
      </c>
      <c r="C29" s="51">
        <v>22.76</v>
      </c>
      <c r="D29" s="51">
        <v>23.27</v>
      </c>
      <c r="E29" s="51">
        <v>6.23</v>
      </c>
      <c r="F29" s="51">
        <v>2.85</v>
      </c>
      <c r="G29" s="51">
        <v>100.59</v>
      </c>
      <c r="H29" s="51">
        <v>31.98</v>
      </c>
      <c r="I29" s="51">
        <v>6.1</v>
      </c>
      <c r="J29" s="51">
        <v>0.24</v>
      </c>
      <c r="K29" s="51">
        <v>222.07</v>
      </c>
      <c r="L29" s="51">
        <v>21.28</v>
      </c>
      <c r="M29" s="51">
        <v>82.68</v>
      </c>
      <c r="N29" s="51">
        <v>0</v>
      </c>
      <c r="O29" s="51">
        <v>0</v>
      </c>
      <c r="P29" s="51">
        <v>0.72</v>
      </c>
      <c r="Q29" s="51">
        <v>4.63</v>
      </c>
    </row>
    <row r="30" spans="1:17" customFormat="1">
      <c r="A30" s="50" t="s">
        <v>177</v>
      </c>
      <c r="B30" s="51">
        <v>12.36</v>
      </c>
      <c r="C30" s="51">
        <v>21.81</v>
      </c>
      <c r="D30" s="51">
        <v>22.65</v>
      </c>
      <c r="E30" s="51">
        <v>6.22</v>
      </c>
      <c r="F30" s="51">
        <v>2.65</v>
      </c>
      <c r="G30" s="51">
        <v>100.59</v>
      </c>
      <c r="H30" s="51">
        <v>32.81</v>
      </c>
      <c r="I30" s="51">
        <v>6.3</v>
      </c>
      <c r="J30" s="51">
        <v>0.15</v>
      </c>
      <c r="K30" s="51">
        <v>242.83</v>
      </c>
      <c r="L30" s="51">
        <v>20.309999999999999</v>
      </c>
      <c r="M30" s="51">
        <v>82.14</v>
      </c>
      <c r="N30" s="51">
        <v>0</v>
      </c>
      <c r="O30" s="51">
        <v>0</v>
      </c>
      <c r="P30" s="51">
        <v>0.71</v>
      </c>
      <c r="Q30" s="51">
        <v>4.5999999999999996</v>
      </c>
    </row>
    <row r="31" spans="1:17" customFormat="1">
      <c r="A31" s="50" t="s">
        <v>178</v>
      </c>
      <c r="B31" s="51">
        <v>12.42</v>
      </c>
      <c r="C31" s="51">
        <v>21.4</v>
      </c>
      <c r="D31" s="51">
        <v>22.5</v>
      </c>
      <c r="E31" s="51">
        <v>6.57</v>
      </c>
      <c r="F31" s="51">
        <v>2.76</v>
      </c>
      <c r="G31" s="51">
        <v>85.1</v>
      </c>
      <c r="H31" s="51">
        <v>32.81</v>
      </c>
      <c r="I31" s="51">
        <v>6.3</v>
      </c>
      <c r="J31" s="51">
        <v>0.17</v>
      </c>
      <c r="K31" s="51">
        <v>244.34</v>
      </c>
      <c r="L31" s="51">
        <v>19.78</v>
      </c>
      <c r="M31" s="51">
        <v>85.34</v>
      </c>
      <c r="N31" s="51">
        <v>0</v>
      </c>
      <c r="O31" s="51">
        <v>0</v>
      </c>
      <c r="P31" s="51">
        <v>0.71</v>
      </c>
      <c r="Q31" s="51">
        <v>4.6100000000000003</v>
      </c>
    </row>
    <row r="32" spans="1:17" customFormat="1">
      <c r="A32" s="50" t="s">
        <v>179</v>
      </c>
      <c r="B32" s="51">
        <v>12.56</v>
      </c>
      <c r="C32" s="51">
        <v>21.26</v>
      </c>
      <c r="D32" s="51">
        <v>22.4</v>
      </c>
      <c r="E32" s="51">
        <v>6.25</v>
      </c>
      <c r="F32" s="51">
        <v>2.63</v>
      </c>
      <c r="G32" s="51">
        <v>82.81</v>
      </c>
      <c r="H32" s="51">
        <v>28.94</v>
      </c>
      <c r="I32" s="51">
        <v>6.44</v>
      </c>
      <c r="J32" s="51">
        <v>0.16</v>
      </c>
      <c r="K32" s="51">
        <v>230.75</v>
      </c>
      <c r="L32" s="51">
        <v>19.5</v>
      </c>
      <c r="M32" s="51">
        <v>87.62</v>
      </c>
      <c r="N32" s="51">
        <v>0</v>
      </c>
      <c r="O32" s="51">
        <v>0</v>
      </c>
      <c r="P32" s="51">
        <v>0.7</v>
      </c>
      <c r="Q32" s="51">
        <v>4.6399999999999997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5.88</v>
      </c>
      <c r="C34" s="40">
        <f t="shared" si="0"/>
        <v>21.05</v>
      </c>
      <c r="D34" s="40">
        <f t="shared" si="0"/>
        <v>17.18</v>
      </c>
      <c r="E34" s="40">
        <f t="shared" si="0"/>
        <v>5.45</v>
      </c>
      <c r="F34" s="40">
        <f t="shared" si="0"/>
        <v>2.59</v>
      </c>
      <c r="G34" s="40">
        <f t="shared" si="0"/>
        <v>61.35</v>
      </c>
      <c r="H34" s="40">
        <f t="shared" si="0"/>
        <v>24.54</v>
      </c>
      <c r="I34" s="40">
        <f t="shared" si="0"/>
        <v>5.17</v>
      </c>
      <c r="J34" s="40">
        <f t="shared" si="0"/>
        <v>0.15</v>
      </c>
      <c r="K34" s="40">
        <f t="shared" si="0"/>
        <v>31.65</v>
      </c>
      <c r="L34" s="40">
        <f t="shared" si="0"/>
        <v>19.5</v>
      </c>
      <c r="M34" s="40">
        <f t="shared" si="0"/>
        <v>40.56</v>
      </c>
      <c r="N34" s="40">
        <f t="shared" si="0"/>
        <v>0</v>
      </c>
      <c r="O34" s="40">
        <f t="shared" si="0"/>
        <v>0</v>
      </c>
      <c r="P34" s="40">
        <f t="shared" si="0"/>
        <v>0.64</v>
      </c>
      <c r="Q34" s="40">
        <f t="shared" si="0"/>
        <v>4.29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29.13</v>
      </c>
      <c r="C35" s="33">
        <f t="shared" si="1"/>
        <v>27.93</v>
      </c>
      <c r="D35" s="33">
        <f t="shared" si="1"/>
        <v>38.57</v>
      </c>
      <c r="E35" s="33">
        <f t="shared" si="1"/>
        <v>9.42</v>
      </c>
      <c r="F35" s="33">
        <f t="shared" si="1"/>
        <v>8.93</v>
      </c>
      <c r="G35" s="33">
        <f t="shared" si="1"/>
        <v>119.69</v>
      </c>
      <c r="H35" s="33">
        <f t="shared" si="1"/>
        <v>46.62</v>
      </c>
      <c r="I35" s="33">
        <f t="shared" si="1"/>
        <v>9.06</v>
      </c>
      <c r="J35" s="33">
        <f t="shared" si="1"/>
        <v>0.94</v>
      </c>
      <c r="K35" s="33">
        <f t="shared" si="1"/>
        <v>244.91</v>
      </c>
      <c r="L35" s="33">
        <f t="shared" si="1"/>
        <v>30.29</v>
      </c>
      <c r="M35" s="33">
        <f t="shared" si="1"/>
        <v>94.82</v>
      </c>
      <c r="N35" s="33">
        <f t="shared" si="1"/>
        <v>551.5</v>
      </c>
      <c r="O35" s="33">
        <f t="shared" si="1"/>
        <v>0</v>
      </c>
      <c r="P35" s="33">
        <f t="shared" si="1"/>
        <v>0.96</v>
      </c>
      <c r="Q35" s="33">
        <f t="shared" si="1"/>
        <v>5.45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18.564583333333335</v>
      </c>
      <c r="C36" s="40">
        <f t="shared" si="2"/>
        <v>24.299583333333334</v>
      </c>
      <c r="D36" s="40">
        <f t="shared" si="2"/>
        <v>28.790833333333328</v>
      </c>
      <c r="E36" s="40">
        <f t="shared" si="2"/>
        <v>6.7954166666666653</v>
      </c>
      <c r="F36" s="40">
        <f t="shared" si="2"/>
        <v>4.0370833333333334</v>
      </c>
      <c r="G36" s="40">
        <f t="shared" si="2"/>
        <v>89.449583333333308</v>
      </c>
      <c r="H36" s="40">
        <f t="shared" si="2"/>
        <v>35.416249999999998</v>
      </c>
      <c r="I36" s="40">
        <f t="shared" si="2"/>
        <v>7.199583333333333</v>
      </c>
      <c r="J36" s="40">
        <f t="shared" si="2"/>
        <v>0.43583333333333335</v>
      </c>
      <c r="K36" s="40">
        <f t="shared" si="2"/>
        <v>111.73416666666667</v>
      </c>
      <c r="L36" s="40">
        <f t="shared" si="2"/>
        <v>24.545833333333334</v>
      </c>
      <c r="M36" s="40">
        <f t="shared" si="2"/>
        <v>74.966666666666654</v>
      </c>
      <c r="N36" s="40">
        <f t="shared" si="2"/>
        <v>138.58750000000001</v>
      </c>
      <c r="O36" s="40">
        <f t="shared" si="2"/>
        <v>0</v>
      </c>
      <c r="P36" s="40">
        <f t="shared" si="2"/>
        <v>0.7679166666666668</v>
      </c>
      <c r="Q36" s="40">
        <f t="shared" si="2"/>
        <v>4.9179166666666676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8.7170567326196728</v>
      </c>
      <c r="C37" s="40">
        <f t="shared" ref="C37:Q37" si="3">STDEV(C9:C32)</f>
        <v>2.3967395954516539</v>
      </c>
      <c r="D37" s="40">
        <f t="shared" si="3"/>
        <v>7.8411777712649666</v>
      </c>
      <c r="E37" s="40">
        <f t="shared" si="3"/>
        <v>0.92100596781651356</v>
      </c>
      <c r="F37" s="40">
        <f t="shared" si="3"/>
        <v>2.1506995407291902</v>
      </c>
      <c r="G37" s="40">
        <f t="shared" si="3"/>
        <v>15.209346233889393</v>
      </c>
      <c r="H37" s="40">
        <f t="shared" si="3"/>
        <v>6.9375931251093554</v>
      </c>
      <c r="I37" s="40">
        <f t="shared" si="3"/>
        <v>1.2570513433070918</v>
      </c>
      <c r="J37" s="40">
        <f t="shared" si="3"/>
        <v>0.23555515677661978</v>
      </c>
      <c r="K37" s="40">
        <f t="shared" si="3"/>
        <v>84.216432297032043</v>
      </c>
      <c r="L37" s="40">
        <f t="shared" si="3"/>
        <v>3.7463070705251456</v>
      </c>
      <c r="M37" s="40">
        <f t="shared" si="3"/>
        <v>17.454117657114775</v>
      </c>
      <c r="N37" s="40">
        <f t="shared" si="3"/>
        <v>198.54472130655012</v>
      </c>
      <c r="O37" s="40">
        <f t="shared" si="3"/>
        <v>0</v>
      </c>
      <c r="P37" s="40">
        <f t="shared" si="3"/>
        <v>9.0936153745200879E-2</v>
      </c>
      <c r="Q37" s="40">
        <f t="shared" si="3"/>
        <v>0.41679918182621378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06/11/2023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180</v>
      </c>
      <c r="B9" s="51">
        <v>15.53</v>
      </c>
      <c r="C9" s="51">
        <v>24.48</v>
      </c>
      <c r="D9" s="51">
        <v>26.59</v>
      </c>
      <c r="E9" s="51">
        <v>6.35</v>
      </c>
      <c r="F9" s="51">
        <v>2.66</v>
      </c>
      <c r="G9" s="51">
        <v>77.94</v>
      </c>
      <c r="H9" s="51">
        <v>28.94</v>
      </c>
      <c r="I9" s="51">
        <v>6.5</v>
      </c>
      <c r="J9" s="51">
        <v>0.44</v>
      </c>
      <c r="K9" s="51">
        <v>40.6</v>
      </c>
      <c r="L9" s="51">
        <v>20.18</v>
      </c>
      <c r="M9" s="51">
        <v>81.459999999999994</v>
      </c>
      <c r="N9" s="51">
        <v>0</v>
      </c>
      <c r="O9" s="51">
        <v>0</v>
      </c>
      <c r="P9" s="51">
        <v>0.72</v>
      </c>
      <c r="Q9" s="51">
        <v>4.79</v>
      </c>
    </row>
    <row r="10" spans="1:21" customFormat="1">
      <c r="A10" s="50" t="s">
        <v>181</v>
      </c>
      <c r="B10" s="51">
        <v>15.46</v>
      </c>
      <c r="C10" s="51">
        <v>24.88</v>
      </c>
      <c r="D10" s="51">
        <v>26.57</v>
      </c>
      <c r="E10" s="51">
        <v>6.87</v>
      </c>
      <c r="F10" s="51">
        <v>2.87</v>
      </c>
      <c r="G10" s="51">
        <v>78.290000000000006</v>
      </c>
      <c r="H10" s="51">
        <v>28.67</v>
      </c>
      <c r="I10" s="51">
        <v>6.62</v>
      </c>
      <c r="J10" s="51">
        <v>0.39</v>
      </c>
      <c r="K10" s="51">
        <v>244.56</v>
      </c>
      <c r="L10" s="51">
        <v>20.21</v>
      </c>
      <c r="M10" s="51">
        <v>84.76</v>
      </c>
      <c r="N10" s="51">
        <v>0</v>
      </c>
      <c r="O10" s="51">
        <v>0</v>
      </c>
      <c r="P10" s="51">
        <v>0.72</v>
      </c>
      <c r="Q10" s="51">
        <v>4.8</v>
      </c>
    </row>
    <row r="11" spans="1:21" customFormat="1">
      <c r="A11" s="50" t="s">
        <v>182</v>
      </c>
      <c r="B11" s="51">
        <v>16.329999999999998</v>
      </c>
      <c r="C11" s="51">
        <v>24.99</v>
      </c>
      <c r="D11" s="51">
        <v>27.51</v>
      </c>
      <c r="E11" s="51">
        <v>5.62</v>
      </c>
      <c r="F11" s="51">
        <v>2.73</v>
      </c>
      <c r="G11" s="51">
        <v>78.290000000000006</v>
      </c>
      <c r="H11" s="51">
        <v>29.05</v>
      </c>
      <c r="I11" s="51">
        <v>6.52</v>
      </c>
      <c r="J11" s="51">
        <v>0.19</v>
      </c>
      <c r="K11" s="51">
        <v>251.14</v>
      </c>
      <c r="L11" s="51">
        <v>19.18</v>
      </c>
      <c r="M11" s="51">
        <v>89.31</v>
      </c>
      <c r="N11" s="51">
        <v>0</v>
      </c>
      <c r="O11" s="51">
        <v>0</v>
      </c>
      <c r="P11" s="51">
        <v>0.72</v>
      </c>
      <c r="Q11" s="51">
        <v>4.8099999999999996</v>
      </c>
    </row>
    <row r="12" spans="1:21" customFormat="1">
      <c r="A12" s="50" t="s">
        <v>183</v>
      </c>
      <c r="B12" s="51">
        <v>18.61</v>
      </c>
      <c r="C12" s="51">
        <v>25.94</v>
      </c>
      <c r="D12" s="51">
        <v>29.73</v>
      </c>
      <c r="E12" s="51">
        <v>5.4</v>
      </c>
      <c r="F12" s="51">
        <v>2.77</v>
      </c>
      <c r="G12" s="51">
        <v>78.900000000000006</v>
      </c>
      <c r="H12" s="51">
        <v>31.58</v>
      </c>
      <c r="I12" s="51">
        <v>6.49</v>
      </c>
      <c r="J12" s="51">
        <v>0.21</v>
      </c>
      <c r="K12" s="51">
        <v>222.91</v>
      </c>
      <c r="L12" s="51">
        <v>19.260000000000002</v>
      </c>
      <c r="M12" s="51">
        <v>86.38</v>
      </c>
      <c r="N12" s="51">
        <v>0</v>
      </c>
      <c r="O12" s="51">
        <v>0</v>
      </c>
      <c r="P12" s="51">
        <v>0.71</v>
      </c>
      <c r="Q12" s="51">
        <v>4.9400000000000004</v>
      </c>
    </row>
    <row r="13" spans="1:21" customFormat="1">
      <c r="A13" s="50" t="s">
        <v>184</v>
      </c>
      <c r="B13" s="51">
        <v>20.23</v>
      </c>
      <c r="C13" s="51">
        <v>26.23</v>
      </c>
      <c r="D13" s="51">
        <v>31.28</v>
      </c>
      <c r="E13" s="51">
        <v>6.16</v>
      </c>
      <c r="F13" s="51">
        <v>2.59</v>
      </c>
      <c r="G13" s="51">
        <v>82.59</v>
      </c>
      <c r="H13" s="51">
        <v>31.61</v>
      </c>
      <c r="I13" s="51">
        <v>6.53</v>
      </c>
      <c r="J13" s="51">
        <v>0.28000000000000003</v>
      </c>
      <c r="K13" s="51">
        <v>47.79</v>
      </c>
      <c r="L13" s="51">
        <v>19.37</v>
      </c>
      <c r="M13" s="51">
        <v>84.48</v>
      </c>
      <c r="N13" s="51">
        <v>0</v>
      </c>
      <c r="O13" s="51">
        <v>0</v>
      </c>
      <c r="P13" s="51">
        <v>0.7</v>
      </c>
      <c r="Q13" s="51">
        <v>4.9800000000000004</v>
      </c>
    </row>
    <row r="14" spans="1:21" customFormat="1">
      <c r="A14" s="50" t="s">
        <v>185</v>
      </c>
      <c r="B14" s="51">
        <v>23.22</v>
      </c>
      <c r="C14" s="51">
        <v>25.5</v>
      </c>
      <c r="D14" s="51">
        <v>32.49</v>
      </c>
      <c r="E14" s="51">
        <v>5.93</v>
      </c>
      <c r="F14" s="51">
        <v>2.84</v>
      </c>
      <c r="G14" s="51">
        <v>82.59</v>
      </c>
      <c r="H14" s="51">
        <v>32.659999999999997</v>
      </c>
      <c r="I14" s="51">
        <v>6.5</v>
      </c>
      <c r="J14" s="51">
        <v>0.21</v>
      </c>
      <c r="K14" s="51">
        <v>124.07</v>
      </c>
      <c r="L14" s="51">
        <v>18.97</v>
      </c>
      <c r="M14" s="51">
        <v>89.22</v>
      </c>
      <c r="N14" s="51">
        <v>0</v>
      </c>
      <c r="O14" s="51">
        <v>0</v>
      </c>
      <c r="P14" s="51">
        <v>0.68</v>
      </c>
      <c r="Q14" s="51">
        <v>5.08</v>
      </c>
    </row>
    <row r="15" spans="1:21" customFormat="1">
      <c r="A15" s="50" t="s">
        <v>186</v>
      </c>
      <c r="B15" s="51">
        <v>27.65</v>
      </c>
      <c r="C15" s="51">
        <v>25.09</v>
      </c>
      <c r="D15" s="51">
        <v>36.590000000000003</v>
      </c>
      <c r="E15" s="51">
        <v>5.96</v>
      </c>
      <c r="F15" s="51">
        <v>2.5299999999999998</v>
      </c>
      <c r="G15" s="51">
        <v>88.06</v>
      </c>
      <c r="H15" s="51">
        <v>36.08</v>
      </c>
      <c r="I15" s="51">
        <v>6.58</v>
      </c>
      <c r="J15" s="51">
        <v>0.24</v>
      </c>
      <c r="K15" s="51">
        <v>52.96</v>
      </c>
      <c r="L15" s="51">
        <v>19.34</v>
      </c>
      <c r="M15" s="51">
        <v>87.89</v>
      </c>
      <c r="N15" s="51">
        <v>29</v>
      </c>
      <c r="O15" s="51">
        <v>0</v>
      </c>
      <c r="P15" s="51">
        <v>0.72</v>
      </c>
      <c r="Q15" s="51">
        <v>5.24</v>
      </c>
    </row>
    <row r="16" spans="1:21" customFormat="1">
      <c r="A16" s="50" t="s">
        <v>187</v>
      </c>
      <c r="B16" s="51">
        <v>30.73</v>
      </c>
      <c r="C16" s="51">
        <v>26.09</v>
      </c>
      <c r="D16" s="51">
        <v>39.520000000000003</v>
      </c>
      <c r="E16" s="51">
        <v>6.24</v>
      </c>
      <c r="F16" s="51">
        <v>2.79</v>
      </c>
      <c r="G16" s="51">
        <v>93.59</v>
      </c>
      <c r="H16" s="51">
        <v>37.270000000000003</v>
      </c>
      <c r="I16" s="51">
        <v>7.67</v>
      </c>
      <c r="J16" s="51">
        <v>0.59</v>
      </c>
      <c r="K16" s="51">
        <v>49.06</v>
      </c>
      <c r="L16" s="51">
        <v>21.16</v>
      </c>
      <c r="M16" s="51">
        <v>81.05</v>
      </c>
      <c r="N16" s="51">
        <v>152.30000000000001</v>
      </c>
      <c r="O16" s="51">
        <v>0</v>
      </c>
      <c r="P16" s="51">
        <v>0.81</v>
      </c>
      <c r="Q16" s="51">
        <v>5.38</v>
      </c>
    </row>
    <row r="17" spans="1:17" customFormat="1">
      <c r="A17" s="50" t="s">
        <v>188</v>
      </c>
      <c r="B17" s="51">
        <v>30.5</v>
      </c>
      <c r="C17" s="51">
        <v>26.45</v>
      </c>
      <c r="D17" s="51">
        <v>39.630000000000003</v>
      </c>
      <c r="E17" s="51">
        <v>5.45</v>
      </c>
      <c r="F17" s="51">
        <v>2.85</v>
      </c>
      <c r="G17" s="51">
        <v>94.65</v>
      </c>
      <c r="H17" s="51">
        <v>38.44</v>
      </c>
      <c r="I17" s="51">
        <v>8.07</v>
      </c>
      <c r="J17" s="51">
        <v>0.68</v>
      </c>
      <c r="K17" s="51">
        <v>41.38</v>
      </c>
      <c r="L17" s="51">
        <v>24.66</v>
      </c>
      <c r="M17" s="51">
        <v>75.290000000000006</v>
      </c>
      <c r="N17" s="51">
        <v>368.8</v>
      </c>
      <c r="O17" s="51">
        <v>0</v>
      </c>
      <c r="P17" s="51">
        <v>0.82</v>
      </c>
      <c r="Q17" s="51">
        <v>5.39</v>
      </c>
    </row>
    <row r="18" spans="1:17" customFormat="1">
      <c r="A18" s="50" t="s">
        <v>189</v>
      </c>
      <c r="B18" s="51">
        <v>28.57</v>
      </c>
      <c r="C18" s="51">
        <v>26.41</v>
      </c>
      <c r="D18" s="51">
        <v>37.71</v>
      </c>
      <c r="E18" s="51">
        <v>6.04</v>
      </c>
      <c r="F18" s="51">
        <v>3.47</v>
      </c>
      <c r="G18" s="51">
        <v>97.5</v>
      </c>
      <c r="H18" s="51">
        <v>38.65</v>
      </c>
      <c r="I18" s="51">
        <v>8.06</v>
      </c>
      <c r="J18" s="51">
        <v>0.59</v>
      </c>
      <c r="K18" s="51">
        <v>82.32</v>
      </c>
      <c r="L18" s="51">
        <v>28.04</v>
      </c>
      <c r="M18" s="51">
        <v>61.39</v>
      </c>
      <c r="N18" s="51">
        <v>495.8</v>
      </c>
      <c r="O18" s="51">
        <v>0</v>
      </c>
      <c r="P18" s="51">
        <v>0.84</v>
      </c>
      <c r="Q18" s="51">
        <v>5.32</v>
      </c>
    </row>
    <row r="19" spans="1:17" customFormat="1">
      <c r="A19" s="50" t="s">
        <v>190</v>
      </c>
      <c r="B19" s="51">
        <v>23.81</v>
      </c>
      <c r="C19" s="51">
        <v>27.66</v>
      </c>
      <c r="D19" s="51">
        <v>34.31</v>
      </c>
      <c r="E19" s="51">
        <v>7.67</v>
      </c>
      <c r="F19" s="51">
        <v>4.08</v>
      </c>
      <c r="G19" s="51">
        <v>97.5</v>
      </c>
      <c r="H19" s="51">
        <v>38.65</v>
      </c>
      <c r="I19" s="51">
        <v>8.0399999999999991</v>
      </c>
      <c r="J19" s="51">
        <v>0.48</v>
      </c>
      <c r="K19" s="51">
        <v>91.44</v>
      </c>
      <c r="L19" s="51">
        <v>29.59</v>
      </c>
      <c r="M19" s="51">
        <v>56.31</v>
      </c>
      <c r="N19" s="51">
        <v>578.4</v>
      </c>
      <c r="O19" s="51">
        <v>0</v>
      </c>
      <c r="P19" s="51">
        <v>0.85</v>
      </c>
      <c r="Q19" s="51">
        <v>5.15</v>
      </c>
    </row>
    <row r="20" spans="1:17" customFormat="1">
      <c r="A20" s="50" t="s">
        <v>191</v>
      </c>
      <c r="B20" s="51">
        <v>16.760000000000002</v>
      </c>
      <c r="C20" s="51">
        <v>28.05</v>
      </c>
      <c r="D20" s="51">
        <v>29.38</v>
      </c>
      <c r="E20" s="51">
        <v>8.31</v>
      </c>
      <c r="F20" s="51">
        <v>4.33</v>
      </c>
      <c r="G20" s="51">
        <v>86.47</v>
      </c>
      <c r="H20" s="51">
        <v>37.11</v>
      </c>
      <c r="I20" s="51">
        <v>7.6</v>
      </c>
      <c r="J20" s="51">
        <v>0.5</v>
      </c>
      <c r="K20" s="51">
        <v>69.599999999999994</v>
      </c>
      <c r="L20" s="51">
        <v>30.78</v>
      </c>
      <c r="M20" s="51">
        <v>46.84</v>
      </c>
      <c r="N20" s="51">
        <v>661.1</v>
      </c>
      <c r="O20" s="51">
        <v>0</v>
      </c>
      <c r="P20" s="51">
        <v>0.8</v>
      </c>
      <c r="Q20" s="51">
        <v>4.8600000000000003</v>
      </c>
    </row>
    <row r="21" spans="1:17" customFormat="1">
      <c r="A21" s="50" t="s">
        <v>192</v>
      </c>
      <c r="B21" s="51">
        <v>12.23</v>
      </c>
      <c r="C21" s="51">
        <v>27.81</v>
      </c>
      <c r="D21" s="51">
        <v>25.69</v>
      </c>
      <c r="E21" s="51">
        <v>8.6</v>
      </c>
      <c r="F21" s="51">
        <v>7.06</v>
      </c>
      <c r="G21" s="51">
        <v>73.31</v>
      </c>
      <c r="H21" s="51">
        <v>29.56</v>
      </c>
      <c r="I21" s="51">
        <v>6.99</v>
      </c>
      <c r="J21" s="51">
        <v>0.59</v>
      </c>
      <c r="K21" s="51">
        <v>98.74</v>
      </c>
      <c r="L21" s="51">
        <v>31.54</v>
      </c>
      <c r="M21" s="51">
        <v>35.42</v>
      </c>
      <c r="N21" s="51">
        <v>666.7</v>
      </c>
      <c r="O21" s="51">
        <v>0</v>
      </c>
      <c r="P21" s="51">
        <v>0.75</v>
      </c>
      <c r="Q21" s="51">
        <v>4.66</v>
      </c>
    </row>
    <row r="22" spans="1:17" customFormat="1">
      <c r="A22" s="50" t="s">
        <v>193</v>
      </c>
      <c r="B22" s="51">
        <v>9.1300000000000008</v>
      </c>
      <c r="C22" s="51">
        <v>26.7</v>
      </c>
      <c r="D22" s="51">
        <v>22.62</v>
      </c>
      <c r="E22" s="51">
        <v>7.64</v>
      </c>
      <c r="F22" s="51">
        <v>5.65</v>
      </c>
      <c r="G22" s="51">
        <v>62</v>
      </c>
      <c r="H22" s="51">
        <v>25.89</v>
      </c>
      <c r="I22" s="51">
        <v>6.35</v>
      </c>
      <c r="J22" s="51">
        <v>0.44</v>
      </c>
      <c r="K22" s="51">
        <v>133.72999999999999</v>
      </c>
      <c r="L22" s="51">
        <v>31.72</v>
      </c>
      <c r="M22" s="51">
        <v>32.29</v>
      </c>
      <c r="N22" s="51">
        <v>588.20000000000005</v>
      </c>
      <c r="O22" s="51">
        <v>0</v>
      </c>
      <c r="P22" s="51">
        <v>0.7</v>
      </c>
      <c r="Q22" s="51">
        <v>4.51</v>
      </c>
    </row>
    <row r="23" spans="1:17" customFormat="1">
      <c r="A23" s="50" t="s">
        <v>194</v>
      </c>
      <c r="B23" s="51">
        <v>6.55</v>
      </c>
      <c r="C23" s="51">
        <v>24.22</v>
      </c>
      <c r="D23" s="51">
        <v>19.260000000000002</v>
      </c>
      <c r="E23" s="51">
        <v>6.85</v>
      </c>
      <c r="F23" s="51">
        <v>5.37</v>
      </c>
      <c r="G23" s="51">
        <v>52.65</v>
      </c>
      <c r="H23" s="51">
        <v>23.35</v>
      </c>
      <c r="I23" s="51">
        <v>5.69</v>
      </c>
      <c r="J23" s="51">
        <v>0.32</v>
      </c>
      <c r="K23" s="51">
        <v>138.37</v>
      </c>
      <c r="L23" s="51">
        <v>31.2</v>
      </c>
      <c r="M23" s="51">
        <v>31.82</v>
      </c>
      <c r="N23" s="51">
        <v>414.2</v>
      </c>
      <c r="O23" s="51">
        <v>0</v>
      </c>
      <c r="P23" s="51">
        <v>0.63</v>
      </c>
      <c r="Q23" s="51">
        <v>4.3499999999999996</v>
      </c>
    </row>
    <row r="24" spans="1:17" customFormat="1">
      <c r="A24" s="50" t="s">
        <v>195</v>
      </c>
      <c r="B24" s="51">
        <v>6.32</v>
      </c>
      <c r="C24" s="51">
        <v>21.71</v>
      </c>
      <c r="D24" s="51">
        <v>17.489999999999998</v>
      </c>
      <c r="E24" s="51">
        <v>6.64</v>
      </c>
      <c r="F24" s="51">
        <v>4.7699999999999996</v>
      </c>
      <c r="G24" s="51">
        <v>51.93</v>
      </c>
      <c r="H24" s="51">
        <v>20.99</v>
      </c>
      <c r="I24" s="51">
        <v>5.15</v>
      </c>
      <c r="J24" s="51">
        <v>0.37</v>
      </c>
      <c r="K24" s="51">
        <v>97.16</v>
      </c>
      <c r="L24" s="51">
        <v>29.9</v>
      </c>
      <c r="M24" s="51">
        <v>33.14</v>
      </c>
      <c r="N24" s="51">
        <v>104.9</v>
      </c>
      <c r="O24" s="51">
        <v>0</v>
      </c>
      <c r="P24" s="51">
        <v>0.59</v>
      </c>
      <c r="Q24" s="51">
        <v>4.26</v>
      </c>
    </row>
    <row r="25" spans="1:17" customFormat="1">
      <c r="A25" s="50" t="s">
        <v>196</v>
      </c>
      <c r="B25" s="51">
        <v>7.07</v>
      </c>
      <c r="C25" s="51">
        <v>19.22</v>
      </c>
      <c r="D25" s="51">
        <v>16.71</v>
      </c>
      <c r="E25" s="51">
        <v>5.98</v>
      </c>
      <c r="F25" s="51">
        <v>4.24</v>
      </c>
      <c r="G25" s="51">
        <v>53.96</v>
      </c>
      <c r="H25" s="51">
        <v>21.38</v>
      </c>
      <c r="I25" s="51">
        <v>5.04</v>
      </c>
      <c r="J25" s="51">
        <v>0.22</v>
      </c>
      <c r="K25" s="51">
        <v>158.86000000000001</v>
      </c>
      <c r="L25" s="51">
        <v>28.76</v>
      </c>
      <c r="M25" s="51">
        <v>46.74</v>
      </c>
      <c r="N25" s="51">
        <v>44.3</v>
      </c>
      <c r="O25" s="51">
        <v>0</v>
      </c>
      <c r="P25" s="51">
        <v>0.56000000000000005</v>
      </c>
      <c r="Q25" s="51">
        <v>4.29</v>
      </c>
    </row>
    <row r="26" spans="1:17" customFormat="1">
      <c r="A26" s="50" t="s">
        <v>197</v>
      </c>
      <c r="B26" s="51">
        <v>9.52</v>
      </c>
      <c r="C26" s="51">
        <v>21.75</v>
      </c>
      <c r="D26" s="51">
        <v>20.350000000000001</v>
      </c>
      <c r="E26" s="51">
        <v>5.43</v>
      </c>
      <c r="F26" s="51">
        <v>3.03</v>
      </c>
      <c r="G26" s="51">
        <v>77.13</v>
      </c>
      <c r="H26" s="51">
        <v>28.97</v>
      </c>
      <c r="I26" s="51">
        <v>5.04</v>
      </c>
      <c r="J26" s="51">
        <v>0.28000000000000003</v>
      </c>
      <c r="K26" s="51">
        <v>170.99</v>
      </c>
      <c r="L26" s="51">
        <v>26.18</v>
      </c>
      <c r="M26" s="51">
        <v>60.75</v>
      </c>
      <c r="N26" s="51">
        <v>0</v>
      </c>
      <c r="O26" s="51">
        <v>0</v>
      </c>
      <c r="P26" s="51">
        <v>0.62</v>
      </c>
      <c r="Q26" s="51">
        <v>4.4400000000000004</v>
      </c>
    </row>
    <row r="27" spans="1:17" customFormat="1">
      <c r="A27" s="50" t="s">
        <v>198</v>
      </c>
      <c r="B27" s="51">
        <v>11.71</v>
      </c>
      <c r="C27" s="51">
        <v>23.47</v>
      </c>
      <c r="D27" s="51">
        <v>22.84</v>
      </c>
      <c r="E27" s="51">
        <v>6</v>
      </c>
      <c r="F27" s="51">
        <v>2.69</v>
      </c>
      <c r="G27" s="51">
        <v>94.68</v>
      </c>
      <c r="H27" s="51">
        <v>29.03</v>
      </c>
      <c r="I27" s="51">
        <v>7.07</v>
      </c>
      <c r="J27" s="51">
        <v>0.24</v>
      </c>
      <c r="K27" s="51">
        <v>194.12</v>
      </c>
      <c r="L27" s="51">
        <v>23.74</v>
      </c>
      <c r="M27" s="51">
        <v>72.849999999999994</v>
      </c>
      <c r="N27" s="51">
        <v>0</v>
      </c>
      <c r="O27" s="51">
        <v>0</v>
      </c>
      <c r="P27" s="51">
        <v>0.7</v>
      </c>
      <c r="Q27" s="51">
        <v>4.55</v>
      </c>
    </row>
    <row r="28" spans="1:17" customFormat="1">
      <c r="A28" s="50" t="s">
        <v>199</v>
      </c>
      <c r="B28" s="51">
        <v>17.8</v>
      </c>
      <c r="C28" s="51">
        <v>24.83</v>
      </c>
      <c r="D28" s="51">
        <v>28.6</v>
      </c>
      <c r="E28" s="51">
        <v>6</v>
      </c>
      <c r="F28" s="51">
        <v>2.66</v>
      </c>
      <c r="G28" s="51">
        <v>116.58</v>
      </c>
      <c r="H28" s="51">
        <v>35.96</v>
      </c>
      <c r="I28" s="51">
        <v>7.56</v>
      </c>
      <c r="J28" s="51">
        <v>0.22</v>
      </c>
      <c r="K28" s="51">
        <v>228.61</v>
      </c>
      <c r="L28" s="51">
        <v>22.62</v>
      </c>
      <c r="M28" s="51">
        <v>74.5</v>
      </c>
      <c r="N28" s="51">
        <v>0</v>
      </c>
      <c r="O28" s="51">
        <v>0</v>
      </c>
      <c r="P28" s="51">
        <v>0.81</v>
      </c>
      <c r="Q28" s="51">
        <v>4.83</v>
      </c>
    </row>
    <row r="29" spans="1:17" customFormat="1">
      <c r="A29" s="50" t="s">
        <v>200</v>
      </c>
      <c r="B29" s="51">
        <v>17.600000000000001</v>
      </c>
      <c r="C29" s="51">
        <v>24.92</v>
      </c>
      <c r="D29" s="51">
        <v>28.45</v>
      </c>
      <c r="E29" s="51">
        <v>6.28</v>
      </c>
      <c r="F29" s="51">
        <v>2.81</v>
      </c>
      <c r="G29" s="51">
        <v>116.58</v>
      </c>
      <c r="H29" s="51">
        <v>35.96</v>
      </c>
      <c r="I29" s="51">
        <v>7.93</v>
      </c>
      <c r="J29" s="51">
        <v>0.16</v>
      </c>
      <c r="K29" s="51">
        <v>231.15</v>
      </c>
      <c r="L29" s="51">
        <v>21.78</v>
      </c>
      <c r="M29" s="51">
        <v>77.900000000000006</v>
      </c>
      <c r="N29" s="51">
        <v>0</v>
      </c>
      <c r="O29" s="51">
        <v>0</v>
      </c>
      <c r="P29" s="51">
        <v>0.84</v>
      </c>
      <c r="Q29" s="51">
        <v>4.83</v>
      </c>
    </row>
    <row r="30" spans="1:17" customFormat="1">
      <c r="A30" s="50" t="s">
        <v>201</v>
      </c>
      <c r="B30" s="51">
        <v>32.450000000000003</v>
      </c>
      <c r="C30" s="51">
        <v>29.59</v>
      </c>
      <c r="D30" s="51">
        <v>42.83</v>
      </c>
      <c r="E30" s="51">
        <v>6.41</v>
      </c>
      <c r="F30" s="51">
        <v>2.72</v>
      </c>
      <c r="G30" s="51">
        <v>135.62</v>
      </c>
      <c r="H30" s="51">
        <v>38.4</v>
      </c>
      <c r="I30" s="51">
        <v>8.4700000000000006</v>
      </c>
      <c r="J30" s="51">
        <v>0.14000000000000001</v>
      </c>
      <c r="K30" s="51">
        <v>216.66</v>
      </c>
      <c r="L30" s="51">
        <v>21.67</v>
      </c>
      <c r="M30" s="51">
        <v>76.14</v>
      </c>
      <c r="N30" s="51">
        <v>0</v>
      </c>
      <c r="O30" s="51">
        <v>0</v>
      </c>
      <c r="P30" s="51">
        <v>1.01</v>
      </c>
      <c r="Q30" s="51">
        <v>5.43</v>
      </c>
    </row>
    <row r="31" spans="1:17" customFormat="1">
      <c r="A31" s="50" t="s">
        <v>202</v>
      </c>
      <c r="B31" s="51">
        <v>39.24</v>
      </c>
      <c r="C31" s="51">
        <v>30.48</v>
      </c>
      <c r="D31" s="51">
        <v>48.44</v>
      </c>
      <c r="E31" s="51">
        <v>7.18</v>
      </c>
      <c r="F31" s="51">
        <v>2.78</v>
      </c>
      <c r="G31" s="51">
        <v>135.62</v>
      </c>
      <c r="H31" s="51">
        <v>38.5</v>
      </c>
      <c r="I31" s="51">
        <v>9.19</v>
      </c>
      <c r="J31" s="51">
        <v>0.19</v>
      </c>
      <c r="K31" s="51">
        <v>228.07</v>
      </c>
      <c r="L31" s="51">
        <v>21.15</v>
      </c>
      <c r="M31" s="51">
        <v>85.95</v>
      </c>
      <c r="N31" s="51">
        <v>0</v>
      </c>
      <c r="O31" s="51">
        <v>0</v>
      </c>
      <c r="P31" s="51">
        <v>1.06</v>
      </c>
      <c r="Q31" s="51">
        <v>5.75</v>
      </c>
    </row>
    <row r="32" spans="1:17" customFormat="1">
      <c r="A32" s="50" t="s">
        <v>203</v>
      </c>
      <c r="B32" s="51">
        <v>42.17</v>
      </c>
      <c r="C32" s="51">
        <v>30.18</v>
      </c>
      <c r="D32" s="51">
        <v>50.94</v>
      </c>
      <c r="E32" s="51">
        <v>7</v>
      </c>
      <c r="F32" s="51">
        <v>2.66</v>
      </c>
      <c r="G32" s="51">
        <v>122.87</v>
      </c>
      <c r="H32" s="51">
        <v>38.5</v>
      </c>
      <c r="I32" s="51">
        <v>9.34</v>
      </c>
      <c r="J32" s="51">
        <v>0.13</v>
      </c>
      <c r="K32" s="51">
        <v>192.88</v>
      </c>
      <c r="L32" s="51">
        <v>20.420000000000002</v>
      </c>
      <c r="M32" s="51">
        <v>85.2</v>
      </c>
      <c r="N32" s="51">
        <v>0</v>
      </c>
      <c r="O32" s="51">
        <v>0</v>
      </c>
      <c r="P32" s="51">
        <v>1.08</v>
      </c>
      <c r="Q32" s="51">
        <v>5.83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6.32</v>
      </c>
      <c r="C34" s="40">
        <f t="shared" si="0"/>
        <v>19.22</v>
      </c>
      <c r="D34" s="40">
        <f t="shared" si="0"/>
        <v>16.71</v>
      </c>
      <c r="E34" s="40">
        <f t="shared" si="0"/>
        <v>5.4</v>
      </c>
      <c r="F34" s="40">
        <f t="shared" si="0"/>
        <v>2.5299999999999998</v>
      </c>
      <c r="G34" s="40">
        <f t="shared" si="0"/>
        <v>51.93</v>
      </c>
      <c r="H34" s="40">
        <f t="shared" si="0"/>
        <v>20.99</v>
      </c>
      <c r="I34" s="40">
        <f t="shared" si="0"/>
        <v>5.04</v>
      </c>
      <c r="J34" s="40">
        <f t="shared" si="0"/>
        <v>0.13</v>
      </c>
      <c r="K34" s="40">
        <f t="shared" si="0"/>
        <v>40.6</v>
      </c>
      <c r="L34" s="40">
        <f t="shared" si="0"/>
        <v>18.97</v>
      </c>
      <c r="M34" s="40">
        <f t="shared" si="0"/>
        <v>31.82</v>
      </c>
      <c r="N34" s="40">
        <f t="shared" si="0"/>
        <v>0</v>
      </c>
      <c r="O34" s="40">
        <f t="shared" si="0"/>
        <v>0</v>
      </c>
      <c r="P34" s="40">
        <f t="shared" si="0"/>
        <v>0.56000000000000005</v>
      </c>
      <c r="Q34" s="40">
        <f t="shared" si="0"/>
        <v>4.26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42.17</v>
      </c>
      <c r="C35" s="33">
        <f t="shared" si="1"/>
        <v>30.48</v>
      </c>
      <c r="D35" s="33">
        <f t="shared" si="1"/>
        <v>50.94</v>
      </c>
      <c r="E35" s="33">
        <f t="shared" si="1"/>
        <v>8.6</v>
      </c>
      <c r="F35" s="33">
        <f t="shared" si="1"/>
        <v>7.06</v>
      </c>
      <c r="G35" s="33">
        <f t="shared" si="1"/>
        <v>135.62</v>
      </c>
      <c r="H35" s="33">
        <f t="shared" si="1"/>
        <v>38.65</v>
      </c>
      <c r="I35" s="33">
        <f t="shared" si="1"/>
        <v>9.34</v>
      </c>
      <c r="J35" s="33">
        <f t="shared" si="1"/>
        <v>0.68</v>
      </c>
      <c r="K35" s="33">
        <f t="shared" si="1"/>
        <v>251.14</v>
      </c>
      <c r="L35" s="33">
        <f t="shared" si="1"/>
        <v>31.72</v>
      </c>
      <c r="M35" s="33">
        <f t="shared" si="1"/>
        <v>89.31</v>
      </c>
      <c r="N35" s="33">
        <f t="shared" si="1"/>
        <v>666.7</v>
      </c>
      <c r="O35" s="33">
        <f t="shared" si="1"/>
        <v>0</v>
      </c>
      <c r="P35" s="33">
        <f t="shared" si="1"/>
        <v>1.08</v>
      </c>
      <c r="Q35" s="33">
        <f t="shared" si="1"/>
        <v>5.83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19.966249999999999</v>
      </c>
      <c r="C36" s="40">
        <f t="shared" si="2"/>
        <v>25.693749999999998</v>
      </c>
      <c r="D36" s="40">
        <f t="shared" si="2"/>
        <v>30.647083333333342</v>
      </c>
      <c r="E36" s="40">
        <f t="shared" si="2"/>
        <v>6.5004166666666663</v>
      </c>
      <c r="F36" s="40">
        <f t="shared" si="2"/>
        <v>3.4562499999999994</v>
      </c>
      <c r="G36" s="40">
        <f t="shared" si="2"/>
        <v>88.720833333333346</v>
      </c>
      <c r="H36" s="40">
        <f t="shared" si="2"/>
        <v>32.300000000000004</v>
      </c>
      <c r="I36" s="40">
        <f t="shared" si="2"/>
        <v>7.0416666666666679</v>
      </c>
      <c r="J36" s="40">
        <f t="shared" si="2"/>
        <v>0.33750000000000008</v>
      </c>
      <c r="K36" s="40">
        <f t="shared" si="2"/>
        <v>141.9654166666667</v>
      </c>
      <c r="L36" s="40">
        <f t="shared" si="2"/>
        <v>24.225833333333327</v>
      </c>
      <c r="M36" s="40">
        <f t="shared" si="2"/>
        <v>68.211666666666673</v>
      </c>
      <c r="N36" s="40">
        <f t="shared" si="2"/>
        <v>170.98749999999998</v>
      </c>
      <c r="O36" s="40">
        <f t="shared" si="2"/>
        <v>0</v>
      </c>
      <c r="P36" s="40">
        <f t="shared" si="2"/>
        <v>0.7683333333333332</v>
      </c>
      <c r="Q36" s="40">
        <f t="shared" si="2"/>
        <v>4.9362500000000002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10.147508930767197</v>
      </c>
      <c r="C37" s="40">
        <f t="shared" ref="C37:Q37" si="3">STDEV(C9:C32)</f>
        <v>2.6337439255207347</v>
      </c>
      <c r="D37" s="40">
        <f t="shared" si="3"/>
        <v>9.1984032069686172</v>
      </c>
      <c r="E37" s="40">
        <f t="shared" si="3"/>
        <v>0.87074420527184937</v>
      </c>
      <c r="F37" s="40">
        <f t="shared" si="3"/>
        <v>1.201165421399244</v>
      </c>
      <c r="G37" s="40">
        <f t="shared" si="3"/>
        <v>23.6144811718253</v>
      </c>
      <c r="H37" s="40">
        <f t="shared" si="3"/>
        <v>5.7299624401227387</v>
      </c>
      <c r="I37" s="40">
        <f t="shared" si="3"/>
        <v>1.1888966995995942</v>
      </c>
      <c r="J37" s="40">
        <f t="shared" si="3"/>
        <v>0.16461417340847795</v>
      </c>
      <c r="K37" s="40">
        <f t="shared" si="3"/>
        <v>73.818323928716495</v>
      </c>
      <c r="L37" s="40">
        <f t="shared" si="3"/>
        <v>4.6983039647225908</v>
      </c>
      <c r="M37" s="40">
        <f t="shared" si="3"/>
        <v>20.254331724922153</v>
      </c>
      <c r="N37" s="40">
        <f t="shared" si="3"/>
        <v>251.15230146787169</v>
      </c>
      <c r="O37" s="40">
        <f t="shared" si="3"/>
        <v>0</v>
      </c>
      <c r="P37" s="40">
        <f t="shared" si="3"/>
        <v>0.13447697933480898</v>
      </c>
      <c r="Q37" s="40">
        <f t="shared" si="3"/>
        <v>0.43597778662996672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07/11/2023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204</v>
      </c>
      <c r="B9" s="51">
        <v>47.53</v>
      </c>
      <c r="C9" s="51">
        <v>30.62</v>
      </c>
      <c r="D9" s="51">
        <v>55.42</v>
      </c>
      <c r="E9" s="51">
        <v>7.47</v>
      </c>
      <c r="F9" s="51">
        <v>2.65</v>
      </c>
      <c r="G9" s="51">
        <v>109.01</v>
      </c>
      <c r="H9" s="51">
        <v>36.36</v>
      </c>
      <c r="I9" s="51">
        <v>9.6300000000000008</v>
      </c>
      <c r="J9" s="51">
        <v>0.16</v>
      </c>
      <c r="K9" s="51">
        <v>186.97</v>
      </c>
      <c r="L9" s="51">
        <v>20.260000000000002</v>
      </c>
      <c r="M9" s="51">
        <v>88.44</v>
      </c>
      <c r="N9" s="51">
        <v>0</v>
      </c>
      <c r="O9" s="51">
        <v>0</v>
      </c>
      <c r="P9" s="51">
        <v>1.1000000000000001</v>
      </c>
      <c r="Q9" s="51">
        <v>6.05</v>
      </c>
    </row>
    <row r="10" spans="1:21" customFormat="1">
      <c r="A10" s="50" t="s">
        <v>205</v>
      </c>
      <c r="B10" s="51">
        <v>55.12</v>
      </c>
      <c r="C10" s="51">
        <v>28.95</v>
      </c>
      <c r="D10" s="51">
        <v>60.68</v>
      </c>
      <c r="E10" s="51">
        <v>6.79</v>
      </c>
      <c r="F10" s="51">
        <v>2.87</v>
      </c>
      <c r="G10" s="51">
        <v>116.22</v>
      </c>
      <c r="H10" s="51">
        <v>35.880000000000003</v>
      </c>
      <c r="I10" s="51">
        <v>9.65</v>
      </c>
      <c r="J10" s="51">
        <v>0.1</v>
      </c>
      <c r="K10" s="51">
        <v>237.09</v>
      </c>
      <c r="L10" s="51">
        <v>19.87</v>
      </c>
      <c r="M10" s="51">
        <v>87.58</v>
      </c>
      <c r="N10" s="51">
        <v>0</v>
      </c>
      <c r="O10" s="51">
        <v>0</v>
      </c>
      <c r="P10" s="51">
        <v>1.07</v>
      </c>
      <c r="Q10" s="51">
        <v>6.28</v>
      </c>
    </row>
    <row r="11" spans="1:21" customFormat="1">
      <c r="A11" s="50" t="s">
        <v>206</v>
      </c>
      <c r="B11" s="51">
        <v>58.29</v>
      </c>
      <c r="C11" s="51">
        <v>28.72</v>
      </c>
      <c r="D11" s="51">
        <v>63.1</v>
      </c>
      <c r="E11" s="51">
        <v>6.91</v>
      </c>
      <c r="F11" s="51">
        <v>2.71</v>
      </c>
      <c r="G11" s="51">
        <v>116.76</v>
      </c>
      <c r="H11" s="51">
        <v>39.14</v>
      </c>
      <c r="I11" s="51">
        <v>9.9</v>
      </c>
      <c r="J11" s="51">
        <v>0.12</v>
      </c>
      <c r="K11" s="51">
        <v>201.71</v>
      </c>
      <c r="L11" s="51">
        <v>19.690000000000001</v>
      </c>
      <c r="M11" s="51">
        <v>90.51</v>
      </c>
      <c r="N11" s="51">
        <v>0</v>
      </c>
      <c r="O11" s="51">
        <v>0</v>
      </c>
      <c r="P11" s="51">
        <v>1.07</v>
      </c>
      <c r="Q11" s="51">
        <v>6.42</v>
      </c>
    </row>
    <row r="12" spans="1:21" customFormat="1">
      <c r="A12" s="50" t="s">
        <v>207</v>
      </c>
      <c r="B12" s="51">
        <v>60.6</v>
      </c>
      <c r="C12" s="51">
        <v>28.57</v>
      </c>
      <c r="D12" s="51">
        <v>64.459999999999994</v>
      </c>
      <c r="E12" s="51">
        <v>6.7</v>
      </c>
      <c r="F12" s="51">
        <v>2.63</v>
      </c>
      <c r="G12" s="51">
        <v>116.76</v>
      </c>
      <c r="H12" s="51">
        <v>39.619999999999997</v>
      </c>
      <c r="I12" s="51">
        <v>10.07</v>
      </c>
      <c r="J12" s="51">
        <v>0.11</v>
      </c>
      <c r="K12" s="51">
        <v>240.27</v>
      </c>
      <c r="L12" s="51">
        <v>19.399999999999999</v>
      </c>
      <c r="M12" s="51">
        <v>89.62</v>
      </c>
      <c r="N12" s="51">
        <v>0</v>
      </c>
      <c r="O12" s="51">
        <v>0</v>
      </c>
      <c r="P12" s="51">
        <v>1.07</v>
      </c>
      <c r="Q12" s="51">
        <v>6.51</v>
      </c>
    </row>
    <row r="13" spans="1:21" customFormat="1">
      <c r="A13" s="50" t="s">
        <v>208</v>
      </c>
      <c r="B13" s="51">
        <v>60.87</v>
      </c>
      <c r="C13" s="51">
        <v>28.32</v>
      </c>
      <c r="D13" s="51">
        <v>64.959999999999994</v>
      </c>
      <c r="E13" s="51">
        <v>7</v>
      </c>
      <c r="F13" s="51">
        <v>2.69</v>
      </c>
      <c r="G13" s="51">
        <v>116.39</v>
      </c>
      <c r="H13" s="51">
        <v>39.619999999999997</v>
      </c>
      <c r="I13" s="51">
        <v>10.11</v>
      </c>
      <c r="J13" s="51">
        <v>0.14000000000000001</v>
      </c>
      <c r="K13" s="51">
        <v>248.29</v>
      </c>
      <c r="L13" s="51">
        <v>19.22</v>
      </c>
      <c r="M13" s="51">
        <v>92.99</v>
      </c>
      <c r="N13" s="51">
        <v>0</v>
      </c>
      <c r="O13" s="51">
        <v>0</v>
      </c>
      <c r="P13" s="51">
        <v>1.04</v>
      </c>
      <c r="Q13" s="51">
        <v>6.53</v>
      </c>
    </row>
    <row r="14" spans="1:21" customFormat="1">
      <c r="A14" s="50" t="s">
        <v>209</v>
      </c>
      <c r="B14" s="51">
        <v>61.92</v>
      </c>
      <c r="C14" s="51">
        <v>27.11</v>
      </c>
      <c r="D14" s="51">
        <v>64.87</v>
      </c>
      <c r="E14" s="51">
        <v>6.88</v>
      </c>
      <c r="F14" s="51">
        <v>2.64</v>
      </c>
      <c r="G14" s="51">
        <v>106.33</v>
      </c>
      <c r="H14" s="51">
        <v>37.49</v>
      </c>
      <c r="I14" s="51">
        <v>9.8699999999999992</v>
      </c>
      <c r="J14" s="51">
        <v>0.22</v>
      </c>
      <c r="K14" s="51">
        <v>181.04</v>
      </c>
      <c r="L14" s="51">
        <v>18.55</v>
      </c>
      <c r="M14" s="51">
        <v>93.72</v>
      </c>
      <c r="N14" s="51">
        <v>0</v>
      </c>
      <c r="O14" s="51">
        <v>0</v>
      </c>
      <c r="P14" s="51">
        <v>1.01</v>
      </c>
      <c r="Q14" s="51">
        <v>6.55</v>
      </c>
    </row>
    <row r="15" spans="1:21" customFormat="1">
      <c r="A15" s="50" t="s">
        <v>210</v>
      </c>
      <c r="B15" s="51">
        <v>62.12</v>
      </c>
      <c r="C15" s="51">
        <v>27.9</v>
      </c>
      <c r="D15" s="51">
        <v>65.739999999999995</v>
      </c>
      <c r="E15" s="51">
        <v>6.98</v>
      </c>
      <c r="F15" s="51">
        <v>2.7</v>
      </c>
      <c r="G15" s="51">
        <v>101.61</v>
      </c>
      <c r="H15" s="51">
        <v>36.69</v>
      </c>
      <c r="I15" s="51">
        <v>9.77</v>
      </c>
      <c r="J15" s="51">
        <v>0.12</v>
      </c>
      <c r="K15" s="51">
        <v>356.98</v>
      </c>
      <c r="L15" s="51">
        <v>18.899999999999999</v>
      </c>
      <c r="M15" s="51">
        <v>93.21</v>
      </c>
      <c r="N15" s="51">
        <v>26.6</v>
      </c>
      <c r="O15" s="51">
        <v>0</v>
      </c>
      <c r="P15" s="51">
        <v>1.04</v>
      </c>
      <c r="Q15" s="51">
        <v>6.52</v>
      </c>
    </row>
    <row r="16" spans="1:21" customFormat="1">
      <c r="A16" s="50" t="s">
        <v>211</v>
      </c>
      <c r="B16" s="51">
        <v>63.73</v>
      </c>
      <c r="C16" s="51">
        <v>29.66</v>
      </c>
      <c r="D16" s="51">
        <v>67.48</v>
      </c>
      <c r="E16" s="51">
        <v>7.46</v>
      </c>
      <c r="F16" s="51">
        <v>2.59</v>
      </c>
      <c r="G16" s="51">
        <v>117.81</v>
      </c>
      <c r="H16" s="51">
        <v>41.34</v>
      </c>
      <c r="I16" s="51">
        <v>10.11</v>
      </c>
      <c r="J16" s="51">
        <v>0.3</v>
      </c>
      <c r="K16" s="51">
        <v>219.25</v>
      </c>
      <c r="L16" s="51">
        <v>22.07</v>
      </c>
      <c r="M16" s="51">
        <v>87.47</v>
      </c>
      <c r="N16" s="51">
        <v>191.6</v>
      </c>
      <c r="O16" s="51">
        <v>0</v>
      </c>
      <c r="P16" s="51">
        <v>1.08</v>
      </c>
      <c r="Q16" s="51">
        <v>6.75</v>
      </c>
    </row>
    <row r="17" spans="1:17" customFormat="1">
      <c r="A17" s="50" t="s">
        <v>212</v>
      </c>
      <c r="B17" s="51">
        <v>58.31</v>
      </c>
      <c r="C17" s="51">
        <v>32.590000000000003</v>
      </c>
      <c r="D17" s="51">
        <v>63.81</v>
      </c>
      <c r="E17" s="51">
        <v>7.59</v>
      </c>
      <c r="F17" s="51">
        <v>2.86</v>
      </c>
      <c r="G17" s="51">
        <v>125.98</v>
      </c>
      <c r="H17" s="51">
        <v>48.76</v>
      </c>
      <c r="I17" s="51">
        <v>10.25</v>
      </c>
      <c r="J17" s="51">
        <v>0.44</v>
      </c>
      <c r="K17" s="51">
        <v>53.81</v>
      </c>
      <c r="L17" s="51">
        <v>25.59</v>
      </c>
      <c r="M17" s="51">
        <v>67.41</v>
      </c>
      <c r="N17" s="51">
        <v>350.8</v>
      </c>
      <c r="O17" s="51">
        <v>0</v>
      </c>
      <c r="P17" s="51">
        <v>1.1100000000000001</v>
      </c>
      <c r="Q17" s="51">
        <v>6.59</v>
      </c>
    </row>
    <row r="18" spans="1:17" customFormat="1">
      <c r="A18" s="50" t="s">
        <v>213</v>
      </c>
      <c r="B18" s="51">
        <v>47.08</v>
      </c>
      <c r="C18" s="51">
        <v>35.369999999999997</v>
      </c>
      <c r="D18" s="51">
        <v>56.52</v>
      </c>
      <c r="E18" s="51">
        <v>8.08</v>
      </c>
      <c r="F18" s="51">
        <v>2.87</v>
      </c>
      <c r="G18" s="51">
        <v>128.07</v>
      </c>
      <c r="H18" s="51">
        <v>48.76</v>
      </c>
      <c r="I18" s="51">
        <v>10.42</v>
      </c>
      <c r="J18" s="51">
        <v>0.36</v>
      </c>
      <c r="K18" s="51">
        <v>196.18</v>
      </c>
      <c r="L18" s="51">
        <v>28.71</v>
      </c>
      <c r="M18" s="51">
        <v>57.21</v>
      </c>
      <c r="N18" s="51">
        <v>507.7</v>
      </c>
      <c r="O18" s="51">
        <v>0</v>
      </c>
      <c r="P18" s="51">
        <v>1.1299999999999999</v>
      </c>
      <c r="Q18" s="51">
        <v>6.22</v>
      </c>
    </row>
    <row r="19" spans="1:17" customFormat="1">
      <c r="A19" s="50" t="s">
        <v>214</v>
      </c>
      <c r="B19" s="51">
        <v>32.979999999999997</v>
      </c>
      <c r="C19" s="51">
        <v>35.86</v>
      </c>
      <c r="D19" s="51">
        <v>46.22</v>
      </c>
      <c r="E19" s="51">
        <v>6.29</v>
      </c>
      <c r="F19" s="51">
        <v>2.94</v>
      </c>
      <c r="G19" s="51">
        <v>128.07</v>
      </c>
      <c r="H19" s="51">
        <v>48.12</v>
      </c>
      <c r="I19" s="51">
        <v>10.32</v>
      </c>
      <c r="J19" s="51">
        <v>0.27</v>
      </c>
      <c r="K19" s="51">
        <v>169.78</v>
      </c>
      <c r="L19" s="51">
        <v>30.77</v>
      </c>
      <c r="M19" s="51">
        <v>44.41</v>
      </c>
      <c r="N19" s="51">
        <v>607.9</v>
      </c>
      <c r="O19" s="51">
        <v>0</v>
      </c>
      <c r="P19" s="51">
        <v>1.1000000000000001</v>
      </c>
      <c r="Q19" s="51">
        <v>5.66</v>
      </c>
    </row>
    <row r="20" spans="1:17" customFormat="1">
      <c r="A20" s="50" t="s">
        <v>215</v>
      </c>
      <c r="B20" s="51">
        <v>21.44</v>
      </c>
      <c r="C20" s="51">
        <v>32.51</v>
      </c>
      <c r="D20" s="51">
        <v>35.53</v>
      </c>
      <c r="E20" s="51">
        <v>5.85</v>
      </c>
      <c r="F20" s="51">
        <v>3.68</v>
      </c>
      <c r="G20" s="51">
        <v>111.88</v>
      </c>
      <c r="H20" s="51">
        <v>43.44</v>
      </c>
      <c r="I20" s="51">
        <v>9.6300000000000008</v>
      </c>
      <c r="J20" s="51">
        <v>0.38</v>
      </c>
      <c r="K20" s="51">
        <v>249.43</v>
      </c>
      <c r="L20" s="51">
        <v>31.51</v>
      </c>
      <c r="M20" s="51">
        <v>33.53</v>
      </c>
      <c r="N20" s="51">
        <v>662.5</v>
      </c>
      <c r="O20" s="51">
        <v>0</v>
      </c>
      <c r="P20" s="51">
        <v>1.02</v>
      </c>
      <c r="Q20" s="51">
        <v>5.15</v>
      </c>
    </row>
    <row r="21" spans="1:17" customFormat="1">
      <c r="A21" s="50" t="s">
        <v>216</v>
      </c>
      <c r="B21" s="51">
        <v>14.83</v>
      </c>
      <c r="C21" s="51">
        <v>28.96</v>
      </c>
      <c r="D21" s="51">
        <v>28.37</v>
      </c>
      <c r="E21" s="51">
        <v>5.95</v>
      </c>
      <c r="F21" s="51">
        <v>6.6</v>
      </c>
      <c r="G21" s="51">
        <v>91.88</v>
      </c>
      <c r="H21" s="51">
        <v>39.53</v>
      </c>
      <c r="I21" s="51">
        <v>8.91</v>
      </c>
      <c r="J21" s="51">
        <v>0.75</v>
      </c>
      <c r="K21" s="51">
        <v>34.51</v>
      </c>
      <c r="L21" s="51">
        <v>31.72</v>
      </c>
      <c r="M21" s="51">
        <v>28.94</v>
      </c>
      <c r="N21" s="51">
        <v>640.4</v>
      </c>
      <c r="O21" s="51">
        <v>0</v>
      </c>
      <c r="P21" s="51">
        <v>0.93</v>
      </c>
      <c r="Q21" s="51">
        <v>4.8099999999999996</v>
      </c>
    </row>
    <row r="22" spans="1:17" customFormat="1">
      <c r="A22" s="50" t="s">
        <v>217</v>
      </c>
      <c r="B22" s="51">
        <v>11.01</v>
      </c>
      <c r="C22" s="51">
        <v>26.24</v>
      </c>
      <c r="D22" s="51">
        <v>23.89</v>
      </c>
      <c r="E22" s="51">
        <v>4.9000000000000004</v>
      </c>
      <c r="F22" s="51">
        <v>6.36</v>
      </c>
      <c r="G22" s="51">
        <v>83.75</v>
      </c>
      <c r="H22" s="51">
        <v>34.97</v>
      </c>
      <c r="I22" s="51">
        <v>7.96</v>
      </c>
      <c r="J22" s="51">
        <v>0.72</v>
      </c>
      <c r="K22" s="51">
        <v>103.42</v>
      </c>
      <c r="L22" s="51">
        <v>31.95</v>
      </c>
      <c r="M22" s="51">
        <v>29.46</v>
      </c>
      <c r="N22" s="51">
        <v>565.1</v>
      </c>
      <c r="O22" s="51">
        <v>0</v>
      </c>
      <c r="P22" s="51">
        <v>0.84</v>
      </c>
      <c r="Q22" s="51">
        <v>4.59</v>
      </c>
    </row>
    <row r="23" spans="1:17" customFormat="1">
      <c r="A23" s="50" t="s">
        <v>218</v>
      </c>
      <c r="B23" s="51">
        <v>8.59</v>
      </c>
      <c r="C23" s="51">
        <v>24.19</v>
      </c>
      <c r="D23" s="51">
        <v>20.88</v>
      </c>
      <c r="E23" s="51">
        <v>5.51</v>
      </c>
      <c r="F23" s="51">
        <v>7.46</v>
      </c>
      <c r="G23" s="51">
        <v>82.31</v>
      </c>
      <c r="H23" s="51">
        <v>30.54</v>
      </c>
      <c r="I23" s="51">
        <v>7.38</v>
      </c>
      <c r="J23" s="51">
        <v>0.54</v>
      </c>
      <c r="K23" s="51">
        <v>63.87</v>
      </c>
      <c r="L23" s="51">
        <v>31.64</v>
      </c>
      <c r="M23" s="51">
        <v>29.56</v>
      </c>
      <c r="N23" s="51">
        <v>417.2</v>
      </c>
      <c r="O23" s="51">
        <v>0</v>
      </c>
      <c r="P23" s="51">
        <v>0.77</v>
      </c>
      <c r="Q23" s="51">
        <v>4.45</v>
      </c>
    </row>
    <row r="24" spans="1:17" customFormat="1">
      <c r="A24" s="50" t="s">
        <v>219</v>
      </c>
      <c r="B24" s="51">
        <v>7.46</v>
      </c>
      <c r="C24" s="51">
        <v>23.96</v>
      </c>
      <c r="D24" s="51">
        <v>19.47</v>
      </c>
      <c r="E24" s="51">
        <v>5.49</v>
      </c>
      <c r="F24" s="51">
        <v>8.84</v>
      </c>
      <c r="G24" s="51">
        <v>78.91</v>
      </c>
      <c r="H24" s="51">
        <v>28.46</v>
      </c>
      <c r="I24" s="51">
        <v>6.73</v>
      </c>
      <c r="J24" s="51">
        <v>0.59</v>
      </c>
      <c r="K24" s="51">
        <v>62.82</v>
      </c>
      <c r="L24" s="51">
        <v>30.36</v>
      </c>
      <c r="M24" s="51">
        <v>27.36</v>
      </c>
      <c r="N24" s="51">
        <v>83.6</v>
      </c>
      <c r="O24" s="51">
        <v>0</v>
      </c>
      <c r="P24" s="51">
        <v>0.73</v>
      </c>
      <c r="Q24" s="51">
        <v>4.37</v>
      </c>
    </row>
    <row r="25" spans="1:17" customFormat="1">
      <c r="A25" s="50" t="s">
        <v>220</v>
      </c>
      <c r="B25" s="51">
        <v>6.91</v>
      </c>
      <c r="C25" s="51">
        <v>25.58</v>
      </c>
      <c r="D25" s="51">
        <v>20.25</v>
      </c>
      <c r="E25" s="51">
        <v>4.97</v>
      </c>
      <c r="F25" s="51">
        <v>6.2</v>
      </c>
      <c r="G25" s="51">
        <v>75.349999999999994</v>
      </c>
      <c r="H25" s="51">
        <v>27.01</v>
      </c>
      <c r="I25" s="51">
        <v>6.19</v>
      </c>
      <c r="J25" s="51">
        <v>0.22</v>
      </c>
      <c r="K25" s="51">
        <v>104.6</v>
      </c>
      <c r="L25" s="51">
        <v>29.57</v>
      </c>
      <c r="M25" s="51">
        <v>39.270000000000003</v>
      </c>
      <c r="N25" s="51">
        <v>43.5</v>
      </c>
      <c r="O25" s="51">
        <v>0</v>
      </c>
      <c r="P25" s="51">
        <v>0.71</v>
      </c>
      <c r="Q25" s="51">
        <v>4.34</v>
      </c>
    </row>
    <row r="26" spans="1:17" customFormat="1">
      <c r="A26" s="50" t="s">
        <v>221</v>
      </c>
      <c r="B26" s="51">
        <v>8.7100000000000009</v>
      </c>
      <c r="C26" s="51">
        <v>27.39</v>
      </c>
      <c r="D26" s="51">
        <v>22.65</v>
      </c>
      <c r="E26" s="51">
        <v>4.16</v>
      </c>
      <c r="F26" s="51">
        <v>3.19</v>
      </c>
      <c r="G26" s="51">
        <v>97.95</v>
      </c>
      <c r="H26" s="51">
        <v>30.04</v>
      </c>
      <c r="I26" s="51">
        <v>5.94</v>
      </c>
      <c r="J26" s="51">
        <v>0.22</v>
      </c>
      <c r="K26" s="51">
        <v>159.44</v>
      </c>
      <c r="L26" s="51">
        <v>27.14</v>
      </c>
      <c r="M26" s="51">
        <v>50.92</v>
      </c>
      <c r="N26" s="51">
        <v>0</v>
      </c>
      <c r="O26" s="51">
        <v>0</v>
      </c>
      <c r="P26" s="51">
        <v>0.73</v>
      </c>
      <c r="Q26" s="51">
        <v>4.43</v>
      </c>
    </row>
    <row r="27" spans="1:17" customFormat="1">
      <c r="A27" s="50" t="s">
        <v>222</v>
      </c>
      <c r="B27" s="51">
        <v>11.29</v>
      </c>
      <c r="C27" s="51">
        <v>29.15</v>
      </c>
      <c r="D27" s="51">
        <v>25.63</v>
      </c>
      <c r="E27" s="51">
        <v>7.14</v>
      </c>
      <c r="F27" s="51">
        <v>2.69</v>
      </c>
      <c r="G27" s="51">
        <v>125.43</v>
      </c>
      <c r="H27" s="51">
        <v>34.89</v>
      </c>
      <c r="I27" s="51">
        <v>6.63</v>
      </c>
      <c r="J27" s="51">
        <v>0.27</v>
      </c>
      <c r="K27" s="51">
        <v>187.09</v>
      </c>
      <c r="L27" s="51">
        <v>24.8</v>
      </c>
      <c r="M27" s="51">
        <v>70.61</v>
      </c>
      <c r="N27" s="51">
        <v>0</v>
      </c>
      <c r="O27" s="51">
        <v>0</v>
      </c>
      <c r="P27" s="51">
        <v>0.86</v>
      </c>
      <c r="Q27" s="51">
        <v>4.58</v>
      </c>
    </row>
    <row r="28" spans="1:17" customFormat="1">
      <c r="A28" s="50" t="s">
        <v>223</v>
      </c>
      <c r="B28" s="51">
        <v>11.69</v>
      </c>
      <c r="C28" s="51">
        <v>29.12</v>
      </c>
      <c r="D28" s="51">
        <v>25.78</v>
      </c>
      <c r="E28" s="51">
        <v>7.51</v>
      </c>
      <c r="F28" s="51">
        <v>2.73</v>
      </c>
      <c r="G28" s="51">
        <v>125.43</v>
      </c>
      <c r="H28" s="51">
        <v>34.89</v>
      </c>
      <c r="I28" s="51">
        <v>7.64</v>
      </c>
      <c r="J28" s="51">
        <v>0.18</v>
      </c>
      <c r="K28" s="51">
        <v>258.91000000000003</v>
      </c>
      <c r="L28" s="51">
        <v>22.78</v>
      </c>
      <c r="M28" s="51">
        <v>69.62</v>
      </c>
      <c r="N28" s="51">
        <v>0</v>
      </c>
      <c r="O28" s="51">
        <v>0</v>
      </c>
      <c r="P28" s="51">
        <v>0.88</v>
      </c>
      <c r="Q28" s="51">
        <v>4.63</v>
      </c>
    </row>
    <row r="29" spans="1:17" customFormat="1">
      <c r="A29" s="50" t="s">
        <v>224</v>
      </c>
      <c r="B29" s="51">
        <v>12.11</v>
      </c>
      <c r="C29" s="51">
        <v>28.04</v>
      </c>
      <c r="D29" s="51">
        <v>25.38</v>
      </c>
      <c r="E29" s="51">
        <v>7.3</v>
      </c>
      <c r="F29" s="51">
        <v>2.73</v>
      </c>
      <c r="G29" s="51">
        <v>122.36</v>
      </c>
      <c r="H29" s="51">
        <v>32.840000000000003</v>
      </c>
      <c r="I29" s="51">
        <v>7.76</v>
      </c>
      <c r="J29" s="51">
        <v>0.13</v>
      </c>
      <c r="K29" s="51">
        <v>239.61</v>
      </c>
      <c r="L29" s="51">
        <v>21.45</v>
      </c>
      <c r="M29" s="51">
        <v>77.849999999999994</v>
      </c>
      <c r="N29" s="51">
        <v>0</v>
      </c>
      <c r="O29" s="51">
        <v>0</v>
      </c>
      <c r="P29" s="51">
        <v>0.87</v>
      </c>
      <c r="Q29" s="51">
        <v>4.6500000000000004</v>
      </c>
    </row>
    <row r="30" spans="1:17" customFormat="1">
      <c r="A30" s="50" t="s">
        <v>225</v>
      </c>
      <c r="B30" s="51">
        <v>12.39</v>
      </c>
      <c r="C30" s="51">
        <v>24.81</v>
      </c>
      <c r="D30" s="51">
        <v>24.16</v>
      </c>
      <c r="E30" s="51">
        <v>6.88</v>
      </c>
      <c r="F30" s="51">
        <v>2.62</v>
      </c>
      <c r="G30" s="51">
        <v>122.36</v>
      </c>
      <c r="H30" s="51">
        <v>32.71</v>
      </c>
      <c r="I30" s="51">
        <v>7.86</v>
      </c>
      <c r="J30" s="51">
        <v>0.12</v>
      </c>
      <c r="K30" s="51">
        <v>202.38</v>
      </c>
      <c r="L30" s="51">
        <v>21.12</v>
      </c>
      <c r="M30" s="51">
        <v>81.55</v>
      </c>
      <c r="N30" s="51">
        <v>0</v>
      </c>
      <c r="O30" s="51">
        <v>0</v>
      </c>
      <c r="P30" s="51">
        <v>0.84</v>
      </c>
      <c r="Q30" s="51">
        <v>4.63</v>
      </c>
    </row>
    <row r="31" spans="1:17" customFormat="1">
      <c r="A31" s="50" t="s">
        <v>226</v>
      </c>
      <c r="B31" s="51">
        <v>12.79</v>
      </c>
      <c r="C31" s="51">
        <v>23.82</v>
      </c>
      <c r="D31" s="51">
        <v>23.86</v>
      </c>
      <c r="E31" s="51">
        <v>6.75</v>
      </c>
      <c r="F31" s="51">
        <v>2.6</v>
      </c>
      <c r="G31" s="51">
        <v>101.26</v>
      </c>
      <c r="H31" s="51">
        <v>32.229999999999997</v>
      </c>
      <c r="I31" s="51">
        <v>7.91</v>
      </c>
      <c r="J31" s="51">
        <v>0.14000000000000001</v>
      </c>
      <c r="K31" s="51">
        <v>215.5</v>
      </c>
      <c r="L31" s="51">
        <v>20.59</v>
      </c>
      <c r="M31" s="51">
        <v>86.72</v>
      </c>
      <c r="N31" s="51">
        <v>0</v>
      </c>
      <c r="O31" s="51">
        <v>0</v>
      </c>
      <c r="P31" s="51">
        <v>0.83</v>
      </c>
      <c r="Q31" s="51">
        <v>4.6500000000000004</v>
      </c>
    </row>
    <row r="32" spans="1:17" customFormat="1">
      <c r="A32" s="50" t="s">
        <v>227</v>
      </c>
      <c r="B32" s="51">
        <v>13.2</v>
      </c>
      <c r="C32" s="51">
        <v>23.22</v>
      </c>
      <c r="D32" s="51">
        <v>23.81</v>
      </c>
      <c r="E32" s="51">
        <v>7.02</v>
      </c>
      <c r="F32" s="51">
        <v>2.67</v>
      </c>
      <c r="G32" s="51">
        <v>86.81</v>
      </c>
      <c r="H32" s="51">
        <v>32.229999999999997</v>
      </c>
      <c r="I32" s="51">
        <v>8.0399999999999991</v>
      </c>
      <c r="J32" s="51">
        <v>0.21</v>
      </c>
      <c r="K32" s="51">
        <v>218.88</v>
      </c>
      <c r="L32" s="51">
        <v>19.850000000000001</v>
      </c>
      <c r="M32" s="51">
        <v>88.1</v>
      </c>
      <c r="N32" s="51">
        <v>0</v>
      </c>
      <c r="O32" s="51">
        <v>0</v>
      </c>
      <c r="P32" s="51">
        <v>0.84</v>
      </c>
      <c r="Q32" s="51">
        <v>4.66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6.91</v>
      </c>
      <c r="C34" s="40">
        <f t="shared" si="0"/>
        <v>23.22</v>
      </c>
      <c r="D34" s="40">
        <f t="shared" si="0"/>
        <v>19.47</v>
      </c>
      <c r="E34" s="40">
        <f t="shared" si="0"/>
        <v>4.16</v>
      </c>
      <c r="F34" s="40">
        <f t="shared" si="0"/>
        <v>2.59</v>
      </c>
      <c r="G34" s="40">
        <f t="shared" si="0"/>
        <v>75.349999999999994</v>
      </c>
      <c r="H34" s="40">
        <f t="shared" si="0"/>
        <v>27.01</v>
      </c>
      <c r="I34" s="40">
        <f t="shared" si="0"/>
        <v>5.94</v>
      </c>
      <c r="J34" s="40">
        <f t="shared" si="0"/>
        <v>0.1</v>
      </c>
      <c r="K34" s="40">
        <f t="shared" si="0"/>
        <v>34.51</v>
      </c>
      <c r="L34" s="40">
        <f t="shared" si="0"/>
        <v>18.55</v>
      </c>
      <c r="M34" s="40">
        <f t="shared" si="0"/>
        <v>27.36</v>
      </c>
      <c r="N34" s="40">
        <f t="shared" si="0"/>
        <v>0</v>
      </c>
      <c r="O34" s="40">
        <f t="shared" si="0"/>
        <v>0</v>
      </c>
      <c r="P34" s="40">
        <f t="shared" si="0"/>
        <v>0.71</v>
      </c>
      <c r="Q34" s="40">
        <f t="shared" si="0"/>
        <v>4.34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63.73</v>
      </c>
      <c r="C35" s="33">
        <f t="shared" si="1"/>
        <v>35.86</v>
      </c>
      <c r="D35" s="33">
        <f t="shared" si="1"/>
        <v>67.48</v>
      </c>
      <c r="E35" s="33">
        <f t="shared" si="1"/>
        <v>8.08</v>
      </c>
      <c r="F35" s="33">
        <f t="shared" si="1"/>
        <v>8.84</v>
      </c>
      <c r="G35" s="33">
        <f t="shared" si="1"/>
        <v>128.07</v>
      </c>
      <c r="H35" s="33">
        <f t="shared" si="1"/>
        <v>48.76</v>
      </c>
      <c r="I35" s="33">
        <f t="shared" si="1"/>
        <v>10.42</v>
      </c>
      <c r="J35" s="33">
        <f t="shared" si="1"/>
        <v>0.75</v>
      </c>
      <c r="K35" s="33">
        <f t="shared" si="1"/>
        <v>356.98</v>
      </c>
      <c r="L35" s="33">
        <f t="shared" si="1"/>
        <v>31.95</v>
      </c>
      <c r="M35" s="33">
        <f t="shared" si="1"/>
        <v>93.72</v>
      </c>
      <c r="N35" s="33">
        <f t="shared" si="1"/>
        <v>662.5</v>
      </c>
      <c r="O35" s="33">
        <f t="shared" si="1"/>
        <v>0</v>
      </c>
      <c r="P35" s="33">
        <f t="shared" si="1"/>
        <v>1.1299999999999999</v>
      </c>
      <c r="Q35" s="33">
        <f t="shared" si="1"/>
        <v>6.75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31.707083333333344</v>
      </c>
      <c r="C36" s="40">
        <f t="shared" si="2"/>
        <v>28.360833333333328</v>
      </c>
      <c r="D36" s="40">
        <f t="shared" si="2"/>
        <v>41.371666666666663</v>
      </c>
      <c r="E36" s="40">
        <f t="shared" si="2"/>
        <v>6.5658333333333339</v>
      </c>
      <c r="F36" s="40">
        <f t="shared" si="2"/>
        <v>3.6883333333333339</v>
      </c>
      <c r="G36" s="40">
        <f t="shared" si="2"/>
        <v>107.86208333333336</v>
      </c>
      <c r="H36" s="40">
        <f t="shared" si="2"/>
        <v>36.898333333333333</v>
      </c>
      <c r="I36" s="40">
        <f t="shared" si="2"/>
        <v>8.6949999999999985</v>
      </c>
      <c r="J36" s="40">
        <f t="shared" si="2"/>
        <v>0.28374999999999995</v>
      </c>
      <c r="K36" s="40">
        <f t="shared" si="2"/>
        <v>182.9929166666667</v>
      </c>
      <c r="L36" s="40">
        <f t="shared" si="2"/>
        <v>24.479583333333338</v>
      </c>
      <c r="M36" s="40">
        <f t="shared" si="2"/>
        <v>66.919166666666669</v>
      </c>
      <c r="N36" s="40">
        <f t="shared" si="2"/>
        <v>170.70416666666665</v>
      </c>
      <c r="O36" s="40">
        <f t="shared" si="2"/>
        <v>0</v>
      </c>
      <c r="P36" s="40">
        <f t="shared" si="2"/>
        <v>0.94458333333333311</v>
      </c>
      <c r="Q36" s="40">
        <f t="shared" si="2"/>
        <v>5.4175000000000013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23.18091108971505</v>
      </c>
      <c r="C37" s="40">
        <f t="shared" ref="C37:Q37" si="3">STDEV(C9:C32)</f>
        <v>3.3674334397304642</v>
      </c>
      <c r="D37" s="40">
        <f t="shared" si="3"/>
        <v>19.31298024120311</v>
      </c>
      <c r="E37" s="40">
        <f t="shared" si="3"/>
        <v>0.9791918436479421</v>
      </c>
      <c r="F37" s="40">
        <f t="shared" si="3"/>
        <v>1.8551167001066247</v>
      </c>
      <c r="G37" s="40">
        <f t="shared" si="3"/>
        <v>16.954439967201662</v>
      </c>
      <c r="H37" s="40">
        <f t="shared" si="3"/>
        <v>6.0582883697472054</v>
      </c>
      <c r="I37" s="40">
        <f t="shared" si="3"/>
        <v>1.4538404912207785</v>
      </c>
      <c r="J37" s="40">
        <f t="shared" si="3"/>
        <v>0.19340906188023185</v>
      </c>
      <c r="K37" s="40">
        <f t="shared" si="3"/>
        <v>77.822163964815715</v>
      </c>
      <c r="L37" s="40">
        <f t="shared" si="3"/>
        <v>5.0336782982372794</v>
      </c>
      <c r="M37" s="40">
        <f t="shared" si="3"/>
        <v>24.857200849210102</v>
      </c>
      <c r="N37" s="40">
        <f t="shared" si="3"/>
        <v>250.1926240166141</v>
      </c>
      <c r="O37" s="40">
        <f t="shared" si="3"/>
        <v>0</v>
      </c>
      <c r="P37" s="40">
        <f t="shared" si="3"/>
        <v>0.13900200707549218</v>
      </c>
      <c r="Q37" s="40">
        <f t="shared" si="3"/>
        <v>0.93063442596037338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08/11/2023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228</v>
      </c>
      <c r="B9" s="51">
        <v>18.52</v>
      </c>
      <c r="C9" s="51">
        <v>24.19</v>
      </c>
      <c r="D9" s="51">
        <v>28.84</v>
      </c>
      <c r="E9" s="51">
        <v>7.13</v>
      </c>
      <c r="F9" s="51">
        <v>2.63</v>
      </c>
      <c r="G9" s="51">
        <v>74.64</v>
      </c>
      <c r="H9" s="51">
        <v>31.48</v>
      </c>
      <c r="I9" s="51">
        <v>8.2200000000000006</v>
      </c>
      <c r="J9" s="51">
        <v>0.06</v>
      </c>
      <c r="K9" s="51">
        <v>171.36</v>
      </c>
      <c r="L9" s="51">
        <v>19.600000000000001</v>
      </c>
      <c r="M9" s="51">
        <v>87.23</v>
      </c>
      <c r="N9" s="51">
        <v>0</v>
      </c>
      <c r="O9" s="51">
        <v>0</v>
      </c>
      <c r="P9" s="51">
        <v>0.88</v>
      </c>
      <c r="Q9" s="51">
        <v>4.88</v>
      </c>
    </row>
    <row r="10" spans="1:21" customFormat="1">
      <c r="A10" s="50" t="s">
        <v>229</v>
      </c>
      <c r="B10" s="51">
        <v>27.97</v>
      </c>
      <c r="C10" s="51">
        <v>26.64</v>
      </c>
      <c r="D10" s="51">
        <v>37.700000000000003</v>
      </c>
      <c r="E10" s="51">
        <v>7.81</v>
      </c>
      <c r="F10" s="51">
        <v>2.68</v>
      </c>
      <c r="G10" s="51">
        <v>90.44</v>
      </c>
      <c r="H10" s="51">
        <v>36.200000000000003</v>
      </c>
      <c r="I10" s="51">
        <v>8.83</v>
      </c>
      <c r="J10" s="51">
        <v>0.22</v>
      </c>
      <c r="K10" s="51">
        <v>164.43</v>
      </c>
      <c r="L10" s="51">
        <v>19.940000000000001</v>
      </c>
      <c r="M10" s="51">
        <v>82.59</v>
      </c>
      <c r="N10" s="51">
        <v>0</v>
      </c>
      <c r="O10" s="51">
        <v>0</v>
      </c>
      <c r="P10" s="51">
        <v>0.99</v>
      </c>
      <c r="Q10" s="51">
        <v>5.34</v>
      </c>
    </row>
    <row r="11" spans="1:21" customFormat="1">
      <c r="A11" s="50" t="s">
        <v>230</v>
      </c>
      <c r="B11" s="51">
        <v>30.6</v>
      </c>
      <c r="C11" s="51">
        <v>27.72</v>
      </c>
      <c r="D11" s="51">
        <v>40.369999999999997</v>
      </c>
      <c r="E11" s="51">
        <v>7.32</v>
      </c>
      <c r="F11" s="51">
        <v>2.7</v>
      </c>
      <c r="G11" s="51">
        <v>109.33</v>
      </c>
      <c r="H11" s="51">
        <v>38.89</v>
      </c>
      <c r="I11" s="51">
        <v>9.98</v>
      </c>
      <c r="J11" s="51">
        <v>0.19</v>
      </c>
      <c r="K11" s="51">
        <v>234.69</v>
      </c>
      <c r="L11" s="51">
        <v>19.239999999999998</v>
      </c>
      <c r="M11" s="51">
        <v>89.68</v>
      </c>
      <c r="N11" s="51">
        <v>0</v>
      </c>
      <c r="O11" s="51">
        <v>0</v>
      </c>
      <c r="P11" s="51">
        <v>1.06</v>
      </c>
      <c r="Q11" s="51">
        <v>5.44</v>
      </c>
    </row>
    <row r="12" spans="1:21" customFormat="1">
      <c r="A12" s="50" t="s">
        <v>231</v>
      </c>
      <c r="B12" s="51">
        <v>30.32</v>
      </c>
      <c r="C12" s="51">
        <v>27.39</v>
      </c>
      <c r="D12" s="51">
        <v>39.979999999999997</v>
      </c>
      <c r="E12" s="51">
        <v>7.81</v>
      </c>
      <c r="F12" s="51">
        <v>2.62</v>
      </c>
      <c r="G12" s="51">
        <v>109.33</v>
      </c>
      <c r="H12" s="51">
        <v>38.89</v>
      </c>
      <c r="I12" s="51">
        <v>10.5</v>
      </c>
      <c r="J12" s="51">
        <v>0.32</v>
      </c>
      <c r="K12" s="51">
        <v>185.57</v>
      </c>
      <c r="L12" s="51">
        <v>18.48</v>
      </c>
      <c r="M12" s="51">
        <v>92.93</v>
      </c>
      <c r="N12" s="51">
        <v>0</v>
      </c>
      <c r="O12" s="51">
        <v>0</v>
      </c>
      <c r="P12" s="51">
        <v>1.0900000000000001</v>
      </c>
      <c r="Q12" s="51">
        <v>5.45</v>
      </c>
    </row>
    <row r="13" spans="1:21" customFormat="1">
      <c r="A13" s="50" t="s">
        <v>232</v>
      </c>
      <c r="B13" s="51">
        <v>32.19</v>
      </c>
      <c r="C13" s="51">
        <v>27.45</v>
      </c>
      <c r="D13" s="51">
        <v>41.51</v>
      </c>
      <c r="E13" s="51">
        <v>8.0399999999999991</v>
      </c>
      <c r="F13" s="51">
        <v>2.62</v>
      </c>
      <c r="G13" s="51">
        <v>107.53</v>
      </c>
      <c r="H13" s="51">
        <v>41.71</v>
      </c>
      <c r="I13" s="51">
        <v>10.92</v>
      </c>
      <c r="J13" s="51">
        <v>0.1</v>
      </c>
      <c r="K13" s="51">
        <v>187.21</v>
      </c>
      <c r="L13" s="51">
        <v>18.18</v>
      </c>
      <c r="M13" s="51">
        <v>92.5</v>
      </c>
      <c r="N13" s="51">
        <v>0</v>
      </c>
      <c r="O13" s="51">
        <v>0</v>
      </c>
      <c r="P13" s="51">
        <v>1.1399999999999999</v>
      </c>
      <c r="Q13" s="51">
        <v>5.52</v>
      </c>
    </row>
    <row r="14" spans="1:21" customFormat="1">
      <c r="A14" s="50" t="s">
        <v>233</v>
      </c>
      <c r="B14" s="51">
        <v>35.590000000000003</v>
      </c>
      <c r="C14" s="51">
        <v>27.72</v>
      </c>
      <c r="D14" s="51">
        <v>44.33</v>
      </c>
      <c r="E14" s="51">
        <v>8.18</v>
      </c>
      <c r="F14" s="51">
        <v>2.62</v>
      </c>
      <c r="G14" s="51">
        <v>111.71</v>
      </c>
      <c r="H14" s="51">
        <v>42.45</v>
      </c>
      <c r="I14" s="51">
        <v>11.62</v>
      </c>
      <c r="J14" s="51">
        <v>0.12</v>
      </c>
      <c r="K14" s="51">
        <v>195.83</v>
      </c>
      <c r="L14" s="51">
        <v>18.05</v>
      </c>
      <c r="M14" s="51">
        <v>94.38</v>
      </c>
      <c r="N14" s="51">
        <v>0</v>
      </c>
      <c r="O14" s="51">
        <v>0</v>
      </c>
      <c r="P14" s="51">
        <v>1.19</v>
      </c>
      <c r="Q14" s="51">
        <v>5.7</v>
      </c>
    </row>
    <row r="15" spans="1:21" customFormat="1">
      <c r="A15" s="50" t="s">
        <v>234</v>
      </c>
      <c r="B15" s="51">
        <v>51.47</v>
      </c>
      <c r="C15" s="51">
        <v>28.96</v>
      </c>
      <c r="D15" s="51">
        <v>56.87</v>
      </c>
      <c r="E15" s="51">
        <v>8.52</v>
      </c>
      <c r="F15" s="51">
        <v>2.69</v>
      </c>
      <c r="G15" s="51">
        <v>125.47</v>
      </c>
      <c r="H15" s="51">
        <v>44.98</v>
      </c>
      <c r="I15" s="51">
        <v>12.48</v>
      </c>
      <c r="J15" s="51">
        <v>0.35</v>
      </c>
      <c r="K15" s="51">
        <v>234.5</v>
      </c>
      <c r="L15" s="51">
        <v>18.41</v>
      </c>
      <c r="M15" s="51">
        <v>95.12</v>
      </c>
      <c r="N15" s="51">
        <v>28</v>
      </c>
      <c r="O15" s="51">
        <v>0</v>
      </c>
      <c r="P15" s="51">
        <v>1.25</v>
      </c>
      <c r="Q15" s="51">
        <v>6.25</v>
      </c>
    </row>
    <row r="16" spans="1:21" customFormat="1">
      <c r="A16" s="50" t="s">
        <v>235</v>
      </c>
      <c r="B16" s="51">
        <v>50.96</v>
      </c>
      <c r="C16" s="51">
        <v>29.02</v>
      </c>
      <c r="D16" s="51">
        <v>56.54</v>
      </c>
      <c r="E16" s="51">
        <v>8.24</v>
      </c>
      <c r="F16" s="51">
        <v>2.69</v>
      </c>
      <c r="G16" s="51">
        <v>135.59</v>
      </c>
      <c r="H16" s="51">
        <v>46.81</v>
      </c>
      <c r="I16" s="51">
        <v>12.88</v>
      </c>
      <c r="J16" s="51">
        <v>0.1</v>
      </c>
      <c r="K16" s="51">
        <v>253.41</v>
      </c>
      <c r="L16" s="51">
        <v>21.65</v>
      </c>
      <c r="M16" s="51">
        <v>90.84</v>
      </c>
      <c r="N16" s="51">
        <v>165.8</v>
      </c>
      <c r="O16" s="51">
        <v>0</v>
      </c>
      <c r="P16" s="51">
        <v>1.29</v>
      </c>
      <c r="Q16" s="51">
        <v>6.24</v>
      </c>
    </row>
    <row r="17" spans="1:17" customFormat="1">
      <c r="A17" s="50" t="s">
        <v>236</v>
      </c>
      <c r="B17" s="51">
        <v>48.85</v>
      </c>
      <c r="C17" s="51">
        <v>29.73</v>
      </c>
      <c r="D17" s="51">
        <v>55.33</v>
      </c>
      <c r="E17" s="51">
        <v>8</v>
      </c>
      <c r="F17" s="51">
        <v>2.83</v>
      </c>
      <c r="G17" s="51">
        <v>160.72</v>
      </c>
      <c r="H17" s="51">
        <v>56.49</v>
      </c>
      <c r="I17" s="51">
        <v>13.47</v>
      </c>
      <c r="J17" s="51">
        <v>0.35</v>
      </c>
      <c r="K17" s="51">
        <v>253.36</v>
      </c>
      <c r="L17" s="51">
        <v>25.37</v>
      </c>
      <c r="M17" s="51">
        <v>68.72</v>
      </c>
      <c r="N17" s="51">
        <v>296.89999999999998</v>
      </c>
      <c r="O17" s="51">
        <v>0</v>
      </c>
      <c r="P17" s="51">
        <v>1.36</v>
      </c>
      <c r="Q17" s="51">
        <v>6.13</v>
      </c>
    </row>
    <row r="18" spans="1:17" customFormat="1">
      <c r="A18" s="50" t="s">
        <v>237</v>
      </c>
      <c r="B18" s="51">
        <v>40.520000000000003</v>
      </c>
      <c r="C18" s="51">
        <v>31.25</v>
      </c>
      <c r="D18" s="51">
        <v>49.57</v>
      </c>
      <c r="E18" s="51">
        <v>7.58</v>
      </c>
      <c r="F18" s="51">
        <v>2.8</v>
      </c>
      <c r="G18" s="51">
        <v>188.26</v>
      </c>
      <c r="H18" s="51">
        <v>66.91</v>
      </c>
      <c r="I18" s="51">
        <v>13.6</v>
      </c>
      <c r="J18" s="51">
        <v>0.21</v>
      </c>
      <c r="K18" s="51">
        <v>202.75</v>
      </c>
      <c r="L18" s="51">
        <v>27.38</v>
      </c>
      <c r="M18" s="51">
        <v>55</v>
      </c>
      <c r="N18" s="51">
        <v>439.2</v>
      </c>
      <c r="O18" s="51">
        <v>0</v>
      </c>
      <c r="P18" s="51">
        <v>1.41</v>
      </c>
      <c r="Q18" s="51">
        <v>5.88</v>
      </c>
    </row>
    <row r="19" spans="1:17" customFormat="1">
      <c r="A19" s="50" t="s">
        <v>238</v>
      </c>
      <c r="B19" s="51">
        <v>31.54</v>
      </c>
      <c r="C19" s="51">
        <v>32.69</v>
      </c>
      <c r="D19" s="51">
        <v>42.89</v>
      </c>
      <c r="E19" s="51">
        <v>5.71</v>
      </c>
      <c r="F19" s="51">
        <v>2.88</v>
      </c>
      <c r="G19" s="51">
        <v>188.26</v>
      </c>
      <c r="H19" s="51">
        <v>66.91</v>
      </c>
      <c r="I19" s="51">
        <v>13.64</v>
      </c>
      <c r="J19" s="51">
        <v>0.26</v>
      </c>
      <c r="K19" s="51">
        <v>252.41</v>
      </c>
      <c r="L19" s="51">
        <v>29.24</v>
      </c>
      <c r="M19" s="51">
        <v>43.53</v>
      </c>
      <c r="N19" s="51">
        <v>501.2</v>
      </c>
      <c r="O19" s="51">
        <v>0</v>
      </c>
      <c r="P19" s="51">
        <v>1.4</v>
      </c>
      <c r="Q19" s="51">
        <v>5.58</v>
      </c>
    </row>
    <row r="20" spans="1:17" customFormat="1">
      <c r="A20" s="50" t="s">
        <v>239</v>
      </c>
      <c r="B20" s="51">
        <v>21.65</v>
      </c>
      <c r="C20" s="51">
        <v>34.03</v>
      </c>
      <c r="D20" s="51">
        <v>36.119999999999997</v>
      </c>
      <c r="E20" s="51">
        <v>6.29</v>
      </c>
      <c r="F20" s="51">
        <v>4.7</v>
      </c>
      <c r="G20" s="51">
        <v>164.08</v>
      </c>
      <c r="H20" s="51">
        <v>61.98</v>
      </c>
      <c r="I20" s="51">
        <v>13.2</v>
      </c>
      <c r="J20" s="51">
        <v>0.32</v>
      </c>
      <c r="K20" s="51">
        <v>243.92</v>
      </c>
      <c r="L20" s="51">
        <v>30.82</v>
      </c>
      <c r="M20" s="51">
        <v>38.979999999999997</v>
      </c>
      <c r="N20" s="51">
        <v>577.9</v>
      </c>
      <c r="O20" s="51">
        <v>0</v>
      </c>
      <c r="P20" s="51">
        <v>1.39</v>
      </c>
      <c r="Q20" s="51">
        <v>5.14</v>
      </c>
    </row>
    <row r="21" spans="1:17" customFormat="1">
      <c r="A21" s="50" t="s">
        <v>240</v>
      </c>
      <c r="B21" s="51">
        <v>9.32</v>
      </c>
      <c r="C21" s="51">
        <v>33.42</v>
      </c>
      <c r="D21" s="51">
        <v>26.28</v>
      </c>
      <c r="E21" s="51">
        <v>5.22</v>
      </c>
      <c r="F21" s="51">
        <v>5.42</v>
      </c>
      <c r="G21" s="51">
        <v>133.63</v>
      </c>
      <c r="H21" s="51">
        <v>55.63</v>
      </c>
      <c r="I21" s="51">
        <v>12.38</v>
      </c>
      <c r="J21" s="51">
        <v>0.39</v>
      </c>
      <c r="K21" s="51">
        <v>223.43</v>
      </c>
      <c r="L21" s="51">
        <v>31.43</v>
      </c>
      <c r="M21" s="51">
        <v>34.909999999999997</v>
      </c>
      <c r="N21" s="51">
        <v>574.6</v>
      </c>
      <c r="O21" s="51">
        <v>0</v>
      </c>
      <c r="P21" s="51">
        <v>1.29</v>
      </c>
      <c r="Q21" s="51">
        <v>4.6500000000000004</v>
      </c>
    </row>
    <row r="22" spans="1:17" customFormat="1">
      <c r="A22" s="50" t="s">
        <v>241</v>
      </c>
      <c r="B22" s="51">
        <v>4.43</v>
      </c>
      <c r="C22" s="51">
        <v>28.82</v>
      </c>
      <c r="D22" s="51">
        <v>19.96</v>
      </c>
      <c r="E22" s="51">
        <v>6.15</v>
      </c>
      <c r="F22" s="51">
        <v>9.6199999999999992</v>
      </c>
      <c r="G22" s="51">
        <v>96.71</v>
      </c>
      <c r="H22" s="51">
        <v>45.66</v>
      </c>
      <c r="I22" s="51">
        <v>11.15</v>
      </c>
      <c r="J22" s="51">
        <v>0.26</v>
      </c>
      <c r="K22" s="51">
        <v>338.24</v>
      </c>
      <c r="L22" s="51">
        <v>31.13</v>
      </c>
      <c r="M22" s="51">
        <v>35.92</v>
      </c>
      <c r="N22" s="51">
        <v>372.7</v>
      </c>
      <c r="O22" s="51">
        <v>0</v>
      </c>
      <c r="P22" s="51">
        <v>1.18</v>
      </c>
      <c r="Q22" s="51">
        <v>4.3499999999999996</v>
      </c>
    </row>
    <row r="23" spans="1:17" customFormat="1">
      <c r="A23" s="50" t="s">
        <v>242</v>
      </c>
      <c r="B23" s="51">
        <v>3.8</v>
      </c>
      <c r="C23" s="51">
        <v>27.11</v>
      </c>
      <c r="D23" s="51">
        <v>18.57</v>
      </c>
      <c r="E23" s="51">
        <v>6.6</v>
      </c>
      <c r="F23" s="51">
        <v>9.98</v>
      </c>
      <c r="G23" s="51">
        <v>117.49</v>
      </c>
      <c r="H23" s="51">
        <v>47.18</v>
      </c>
      <c r="I23" s="51">
        <v>10.28</v>
      </c>
      <c r="J23" s="51">
        <v>0.28999999999999998</v>
      </c>
      <c r="K23" s="51">
        <v>204.95</v>
      </c>
      <c r="L23" s="51">
        <v>30.69</v>
      </c>
      <c r="M23" s="51">
        <v>40.479999999999997</v>
      </c>
      <c r="N23" s="51">
        <v>271.2</v>
      </c>
      <c r="O23" s="51">
        <v>0</v>
      </c>
      <c r="P23" s="51">
        <v>1.1499999999999999</v>
      </c>
      <c r="Q23" s="51">
        <v>4.3</v>
      </c>
    </row>
    <row r="24" spans="1:17" customFormat="1">
      <c r="A24" s="50" t="s">
        <v>243</v>
      </c>
      <c r="B24" s="51">
        <v>4.87</v>
      </c>
      <c r="C24" s="51">
        <v>28.48</v>
      </c>
      <c r="D24" s="51">
        <v>20.14</v>
      </c>
      <c r="E24" s="51">
        <v>7.05</v>
      </c>
      <c r="F24" s="51">
        <v>7.98</v>
      </c>
      <c r="G24" s="51">
        <v>117.49</v>
      </c>
      <c r="H24" s="51">
        <v>47.18</v>
      </c>
      <c r="I24" s="51">
        <v>10.06</v>
      </c>
      <c r="J24" s="51">
        <v>0.59</v>
      </c>
      <c r="K24" s="51">
        <v>42.44</v>
      </c>
      <c r="L24" s="51">
        <v>29.72</v>
      </c>
      <c r="M24" s="51">
        <v>31.55</v>
      </c>
      <c r="N24" s="51">
        <v>80.3</v>
      </c>
      <c r="O24" s="51">
        <v>0</v>
      </c>
      <c r="P24" s="51">
        <v>1.1100000000000001</v>
      </c>
      <c r="Q24" s="51">
        <v>4.3099999999999996</v>
      </c>
    </row>
    <row r="25" spans="1:17" customFormat="1">
      <c r="A25" s="50" t="s">
        <v>244</v>
      </c>
      <c r="B25" s="51">
        <v>5.86</v>
      </c>
      <c r="C25" s="51">
        <v>29.24</v>
      </c>
      <c r="D25" s="51">
        <v>20.74</v>
      </c>
      <c r="E25" s="51">
        <v>4.8899999999999997</v>
      </c>
      <c r="F25" s="51">
        <v>3.94</v>
      </c>
      <c r="G25" s="51">
        <v>108.4</v>
      </c>
      <c r="H25" s="51">
        <v>39.86</v>
      </c>
      <c r="I25" s="51">
        <v>9.0399999999999991</v>
      </c>
      <c r="J25" s="51">
        <v>0.32</v>
      </c>
      <c r="K25" s="51">
        <v>174.97</v>
      </c>
      <c r="L25" s="51">
        <v>28.93</v>
      </c>
      <c r="M25" s="51">
        <v>49.58</v>
      </c>
      <c r="N25" s="51">
        <v>49.2</v>
      </c>
      <c r="O25" s="51">
        <v>0</v>
      </c>
      <c r="P25" s="51">
        <v>1.04</v>
      </c>
      <c r="Q25" s="51">
        <v>4.3600000000000003</v>
      </c>
    </row>
    <row r="26" spans="1:17" customFormat="1">
      <c r="A26" s="50" t="s">
        <v>245</v>
      </c>
      <c r="B26" s="51">
        <v>6.85</v>
      </c>
      <c r="C26" s="51">
        <v>25.36</v>
      </c>
      <c r="D26" s="51">
        <v>19.809999999999999</v>
      </c>
      <c r="E26" s="51">
        <v>4.2300000000000004</v>
      </c>
      <c r="F26" s="51">
        <v>3.05</v>
      </c>
      <c r="G26" s="51">
        <v>120.35</v>
      </c>
      <c r="H26" s="51">
        <v>37.619999999999997</v>
      </c>
      <c r="I26" s="51">
        <v>8.69</v>
      </c>
      <c r="J26" s="51">
        <v>0.28999999999999998</v>
      </c>
      <c r="K26" s="51">
        <v>177.91</v>
      </c>
      <c r="L26" s="51">
        <v>25.65</v>
      </c>
      <c r="M26" s="51">
        <v>69.17</v>
      </c>
      <c r="N26" s="51">
        <v>0.1</v>
      </c>
      <c r="O26" s="51">
        <v>0</v>
      </c>
      <c r="P26" s="51">
        <v>0.98</v>
      </c>
      <c r="Q26" s="51">
        <v>4.3899999999999997</v>
      </c>
    </row>
    <row r="27" spans="1:17" customFormat="1">
      <c r="A27" s="50" t="s">
        <v>246</v>
      </c>
      <c r="B27" s="51">
        <v>8.7799999999999994</v>
      </c>
      <c r="C27" s="51">
        <v>26.01</v>
      </c>
      <c r="D27" s="51">
        <v>21.91</v>
      </c>
      <c r="E27" s="51">
        <v>6.79</v>
      </c>
      <c r="F27" s="51">
        <v>2.56</v>
      </c>
      <c r="G27" s="51">
        <v>122.16</v>
      </c>
      <c r="H27" s="51">
        <v>37.619999999999997</v>
      </c>
      <c r="I27" s="51">
        <v>8.6199999999999992</v>
      </c>
      <c r="J27" s="51">
        <v>0.23</v>
      </c>
      <c r="K27" s="51">
        <v>191.98</v>
      </c>
      <c r="L27" s="51">
        <v>23.43</v>
      </c>
      <c r="M27" s="51">
        <v>74.7</v>
      </c>
      <c r="N27" s="51">
        <v>0</v>
      </c>
      <c r="O27" s="51">
        <v>0</v>
      </c>
      <c r="P27" s="51">
        <v>1.03</v>
      </c>
      <c r="Q27" s="51">
        <v>4.47</v>
      </c>
    </row>
    <row r="28" spans="1:17" customFormat="1">
      <c r="A28" s="50" t="s">
        <v>247</v>
      </c>
      <c r="B28" s="51">
        <v>10.44</v>
      </c>
      <c r="C28" s="51">
        <v>26.31</v>
      </c>
      <c r="D28" s="51">
        <v>23.35</v>
      </c>
      <c r="E28" s="51">
        <v>6.93</v>
      </c>
      <c r="F28" s="51">
        <v>2.73</v>
      </c>
      <c r="G28" s="51">
        <v>160.25</v>
      </c>
      <c r="H28" s="51">
        <v>38.4</v>
      </c>
      <c r="I28" s="51">
        <v>8.77</v>
      </c>
      <c r="J28" s="51">
        <v>0.2</v>
      </c>
      <c r="K28" s="51">
        <v>254.04</v>
      </c>
      <c r="L28" s="51">
        <v>22.21</v>
      </c>
      <c r="M28" s="51">
        <v>78.099999999999994</v>
      </c>
      <c r="N28" s="51">
        <v>0</v>
      </c>
      <c r="O28" s="51">
        <v>0</v>
      </c>
      <c r="P28" s="51">
        <v>1.03</v>
      </c>
      <c r="Q28" s="51">
        <v>4.57</v>
      </c>
    </row>
    <row r="29" spans="1:17" customFormat="1">
      <c r="A29" s="50" t="s">
        <v>248</v>
      </c>
      <c r="B29" s="51">
        <v>11.25</v>
      </c>
      <c r="C29" s="51">
        <v>26.13</v>
      </c>
      <c r="D29" s="51">
        <v>23.99</v>
      </c>
      <c r="E29" s="51">
        <v>7.16</v>
      </c>
      <c r="F29" s="51">
        <v>2.61</v>
      </c>
      <c r="G29" s="51">
        <v>196.74</v>
      </c>
      <c r="H29" s="51">
        <v>40.68</v>
      </c>
      <c r="I29" s="51">
        <v>8.9700000000000006</v>
      </c>
      <c r="J29" s="51">
        <v>0.12</v>
      </c>
      <c r="K29" s="51">
        <v>240.05</v>
      </c>
      <c r="L29" s="51">
        <v>21.46</v>
      </c>
      <c r="M29" s="51">
        <v>78.22</v>
      </c>
      <c r="N29" s="51">
        <v>0</v>
      </c>
      <c r="O29" s="51">
        <v>0</v>
      </c>
      <c r="P29" s="51">
        <v>1.02</v>
      </c>
      <c r="Q29" s="51">
        <v>4.6100000000000003</v>
      </c>
    </row>
    <row r="30" spans="1:17" customFormat="1">
      <c r="A30" s="50" t="s">
        <v>249</v>
      </c>
      <c r="B30" s="51">
        <v>11.04</v>
      </c>
      <c r="C30" s="51">
        <v>26.71</v>
      </c>
      <c r="D30" s="51">
        <v>24.13</v>
      </c>
      <c r="E30" s="51">
        <v>7.19</v>
      </c>
      <c r="F30" s="51">
        <v>2.97</v>
      </c>
      <c r="G30" s="51">
        <v>196.74</v>
      </c>
      <c r="H30" s="51">
        <v>40.68</v>
      </c>
      <c r="I30" s="51">
        <v>9.3000000000000007</v>
      </c>
      <c r="J30" s="51">
        <v>0.12</v>
      </c>
      <c r="K30" s="51">
        <v>231.36</v>
      </c>
      <c r="L30" s="51">
        <v>21.27</v>
      </c>
      <c r="M30" s="51">
        <v>80.06</v>
      </c>
      <c r="N30" s="51">
        <v>0</v>
      </c>
      <c r="O30" s="51">
        <v>0</v>
      </c>
      <c r="P30" s="51">
        <v>1.03</v>
      </c>
      <c r="Q30" s="51">
        <v>4.62</v>
      </c>
    </row>
    <row r="31" spans="1:17" customFormat="1">
      <c r="A31" s="50" t="s">
        <v>250</v>
      </c>
      <c r="B31" s="51">
        <v>9.69</v>
      </c>
      <c r="C31" s="51">
        <v>25.82</v>
      </c>
      <c r="D31" s="51">
        <v>22.61</v>
      </c>
      <c r="E31" s="51">
        <v>7.66</v>
      </c>
      <c r="F31" s="51">
        <v>2.83</v>
      </c>
      <c r="G31" s="51">
        <v>94.26</v>
      </c>
      <c r="H31" s="51">
        <v>40.450000000000003</v>
      </c>
      <c r="I31" s="51">
        <v>9.41</v>
      </c>
      <c r="J31" s="51">
        <v>0.19</v>
      </c>
      <c r="K31" s="51">
        <v>251.92</v>
      </c>
      <c r="L31" s="51">
        <v>20.56</v>
      </c>
      <c r="M31" s="51">
        <v>82.55</v>
      </c>
      <c r="N31" s="51">
        <v>0</v>
      </c>
      <c r="O31" s="51">
        <v>0</v>
      </c>
      <c r="P31" s="51">
        <v>1</v>
      </c>
      <c r="Q31" s="51">
        <v>4.57</v>
      </c>
    </row>
    <row r="32" spans="1:17" customFormat="1">
      <c r="A32" s="50" t="s">
        <v>251</v>
      </c>
      <c r="B32" s="51">
        <v>10.51</v>
      </c>
      <c r="C32" s="51">
        <v>26.58</v>
      </c>
      <c r="D32" s="51">
        <v>23.67</v>
      </c>
      <c r="E32" s="51">
        <v>7.71</v>
      </c>
      <c r="F32" s="51">
        <v>2.75</v>
      </c>
      <c r="G32" s="51">
        <v>90.82</v>
      </c>
      <c r="H32" s="51">
        <v>38.75</v>
      </c>
      <c r="I32" s="51">
        <v>9.3000000000000007</v>
      </c>
      <c r="J32" s="51">
        <v>0.13</v>
      </c>
      <c r="K32" s="51">
        <v>231.07</v>
      </c>
      <c r="L32" s="51">
        <v>20.260000000000002</v>
      </c>
      <c r="M32" s="51">
        <v>82.06</v>
      </c>
      <c r="N32" s="51">
        <v>0</v>
      </c>
      <c r="O32" s="51">
        <v>0</v>
      </c>
      <c r="P32" s="51">
        <v>1</v>
      </c>
      <c r="Q32" s="51">
        <v>4.6100000000000003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3.8</v>
      </c>
      <c r="C34" s="40">
        <f t="shared" si="0"/>
        <v>24.19</v>
      </c>
      <c r="D34" s="40">
        <f t="shared" si="0"/>
        <v>18.57</v>
      </c>
      <c r="E34" s="40">
        <f t="shared" si="0"/>
        <v>4.2300000000000004</v>
      </c>
      <c r="F34" s="40">
        <f t="shared" si="0"/>
        <v>2.56</v>
      </c>
      <c r="G34" s="40">
        <f t="shared" si="0"/>
        <v>74.64</v>
      </c>
      <c r="H34" s="40">
        <f t="shared" si="0"/>
        <v>31.48</v>
      </c>
      <c r="I34" s="40">
        <f t="shared" si="0"/>
        <v>8.2200000000000006</v>
      </c>
      <c r="J34" s="40">
        <f t="shared" si="0"/>
        <v>0.06</v>
      </c>
      <c r="K34" s="40">
        <f t="shared" si="0"/>
        <v>42.44</v>
      </c>
      <c r="L34" s="40">
        <f t="shared" si="0"/>
        <v>18.05</v>
      </c>
      <c r="M34" s="40">
        <f t="shared" si="0"/>
        <v>31.55</v>
      </c>
      <c r="N34" s="40">
        <f t="shared" si="0"/>
        <v>0</v>
      </c>
      <c r="O34" s="40">
        <f t="shared" si="0"/>
        <v>0</v>
      </c>
      <c r="P34" s="40">
        <f t="shared" si="0"/>
        <v>0.88</v>
      </c>
      <c r="Q34" s="40">
        <f t="shared" si="0"/>
        <v>4.3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51.47</v>
      </c>
      <c r="C35" s="33">
        <f t="shared" si="1"/>
        <v>34.03</v>
      </c>
      <c r="D35" s="33">
        <f t="shared" si="1"/>
        <v>56.87</v>
      </c>
      <c r="E35" s="33">
        <f t="shared" si="1"/>
        <v>8.52</v>
      </c>
      <c r="F35" s="33">
        <f t="shared" si="1"/>
        <v>9.98</v>
      </c>
      <c r="G35" s="33">
        <f t="shared" si="1"/>
        <v>196.74</v>
      </c>
      <c r="H35" s="33">
        <f t="shared" si="1"/>
        <v>66.91</v>
      </c>
      <c r="I35" s="33">
        <f t="shared" si="1"/>
        <v>13.64</v>
      </c>
      <c r="J35" s="33">
        <f t="shared" si="1"/>
        <v>0.59</v>
      </c>
      <c r="K35" s="33">
        <f t="shared" si="1"/>
        <v>338.24</v>
      </c>
      <c r="L35" s="33">
        <f t="shared" si="1"/>
        <v>31.43</v>
      </c>
      <c r="M35" s="33">
        <f t="shared" si="1"/>
        <v>95.12</v>
      </c>
      <c r="N35" s="33">
        <f t="shared" si="1"/>
        <v>577.9</v>
      </c>
      <c r="O35" s="33">
        <f t="shared" si="1"/>
        <v>0</v>
      </c>
      <c r="P35" s="33">
        <f t="shared" si="1"/>
        <v>1.41</v>
      </c>
      <c r="Q35" s="33">
        <f t="shared" si="1"/>
        <v>6.25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21.542500000000004</v>
      </c>
      <c r="C36" s="40">
        <f t="shared" si="2"/>
        <v>28.19916666666667</v>
      </c>
      <c r="D36" s="40">
        <f t="shared" si="2"/>
        <v>33.133749999999999</v>
      </c>
      <c r="E36" s="40">
        <f t="shared" si="2"/>
        <v>7.00875</v>
      </c>
      <c r="F36" s="40">
        <f t="shared" si="2"/>
        <v>3.7875000000000001</v>
      </c>
      <c r="G36" s="40">
        <f t="shared" si="2"/>
        <v>130.01666666666668</v>
      </c>
      <c r="H36" s="40">
        <f t="shared" si="2"/>
        <v>45.142083333333325</v>
      </c>
      <c r="I36" s="40">
        <f t="shared" si="2"/>
        <v>10.637916666666667</v>
      </c>
      <c r="J36" s="40">
        <f t="shared" si="2"/>
        <v>0.23875000000000005</v>
      </c>
      <c r="K36" s="40">
        <f t="shared" si="2"/>
        <v>214.24166666666665</v>
      </c>
      <c r="L36" s="40">
        <f t="shared" si="2"/>
        <v>23.879166666666663</v>
      </c>
      <c r="M36" s="40">
        <f t="shared" si="2"/>
        <v>69.533333333333317</v>
      </c>
      <c r="N36" s="40">
        <f t="shared" si="2"/>
        <v>139.87916666666663</v>
      </c>
      <c r="O36" s="40">
        <f t="shared" si="2"/>
        <v>0</v>
      </c>
      <c r="P36" s="40">
        <f t="shared" si="2"/>
        <v>1.1379166666666667</v>
      </c>
      <c r="Q36" s="40">
        <f t="shared" si="2"/>
        <v>5.0566666666666666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15.809288202770578</v>
      </c>
      <c r="C37" s="40">
        <f t="shared" ref="C37:Q37" si="3">STDEV(C9:C32)</f>
        <v>2.5404893685831067</v>
      </c>
      <c r="D37" s="40">
        <f t="shared" si="3"/>
        <v>12.906853862597</v>
      </c>
      <c r="E37" s="40">
        <f t="shared" si="3"/>
        <v>1.1128706026582182</v>
      </c>
      <c r="F37" s="40">
        <f t="shared" si="3"/>
        <v>2.2228345593545344</v>
      </c>
      <c r="G37" s="40">
        <f t="shared" si="3"/>
        <v>36.091981123918309</v>
      </c>
      <c r="H37" s="40">
        <f t="shared" si="3"/>
        <v>9.6332427061832391</v>
      </c>
      <c r="I37" s="40">
        <f t="shared" si="3"/>
        <v>1.8289958736413485</v>
      </c>
      <c r="J37" s="40">
        <f t="shared" si="3"/>
        <v>0.11961214494101875</v>
      </c>
      <c r="K37" s="40">
        <f t="shared" si="3"/>
        <v>53.25912231857501</v>
      </c>
      <c r="L37" s="40">
        <f t="shared" si="3"/>
        <v>4.8262704267254026</v>
      </c>
      <c r="M37" s="40">
        <f t="shared" si="3"/>
        <v>22.00632965597713</v>
      </c>
      <c r="N37" s="40">
        <f t="shared" si="3"/>
        <v>206.03820029762457</v>
      </c>
      <c r="O37" s="40">
        <f t="shared" si="3"/>
        <v>0</v>
      </c>
      <c r="P37" s="40">
        <f t="shared" si="3"/>
        <v>0.15294156788919683</v>
      </c>
      <c r="Q37" s="40">
        <f t="shared" si="3"/>
        <v>0.66296217130369828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09/11/2023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252</v>
      </c>
      <c r="B9" s="51">
        <v>11.66</v>
      </c>
      <c r="C9" s="51">
        <v>26.71</v>
      </c>
      <c r="D9" s="51">
        <v>24.56</v>
      </c>
      <c r="E9" s="51">
        <v>7.63</v>
      </c>
      <c r="F9" s="51">
        <v>2.64</v>
      </c>
      <c r="G9" s="51">
        <v>90.82</v>
      </c>
      <c r="H9" s="51">
        <v>38.75</v>
      </c>
      <c r="I9" s="51">
        <v>9.52</v>
      </c>
      <c r="J9" s="51">
        <v>0.12</v>
      </c>
      <c r="K9" s="51">
        <v>213.6</v>
      </c>
      <c r="L9" s="51">
        <v>19.86</v>
      </c>
      <c r="M9" s="51">
        <v>88.64</v>
      </c>
      <c r="N9" s="51">
        <v>0</v>
      </c>
      <c r="O9" s="51">
        <v>0</v>
      </c>
      <c r="P9" s="51">
        <v>1.02</v>
      </c>
      <c r="Q9" s="51">
        <v>4.6900000000000004</v>
      </c>
    </row>
    <row r="10" spans="1:21" customFormat="1">
      <c r="A10" s="50" t="s">
        <v>253</v>
      </c>
      <c r="B10" s="51">
        <v>10.96</v>
      </c>
      <c r="C10" s="51">
        <v>26.34</v>
      </c>
      <c r="D10" s="51">
        <v>23.9</v>
      </c>
      <c r="E10" s="51">
        <v>7.68</v>
      </c>
      <c r="F10" s="51">
        <v>2.64</v>
      </c>
      <c r="G10" s="51">
        <v>76.75</v>
      </c>
      <c r="H10" s="51">
        <v>36.520000000000003</v>
      </c>
      <c r="I10" s="51">
        <v>9.57</v>
      </c>
      <c r="J10" s="51">
        <v>0.12</v>
      </c>
      <c r="K10" s="51">
        <v>217.45</v>
      </c>
      <c r="L10" s="51">
        <v>19.38</v>
      </c>
      <c r="M10" s="51">
        <v>86.04</v>
      </c>
      <c r="N10" s="51">
        <v>0</v>
      </c>
      <c r="O10" s="51">
        <v>0</v>
      </c>
      <c r="P10" s="51">
        <v>1.02</v>
      </c>
      <c r="Q10" s="51">
        <v>4.6900000000000004</v>
      </c>
    </row>
    <row r="11" spans="1:21" customFormat="1">
      <c r="A11" s="50" t="s">
        <v>254</v>
      </c>
      <c r="B11" s="51">
        <v>11.53</v>
      </c>
      <c r="C11" s="51">
        <v>25.38</v>
      </c>
      <c r="D11" s="51">
        <v>23.12</v>
      </c>
      <c r="E11" s="51">
        <v>5.99</v>
      </c>
      <c r="F11" s="51">
        <v>2.95</v>
      </c>
      <c r="G11" s="51">
        <v>76.75</v>
      </c>
      <c r="H11" s="51">
        <v>36.32</v>
      </c>
      <c r="I11" s="51">
        <v>9.41</v>
      </c>
      <c r="J11" s="51">
        <v>0.15</v>
      </c>
      <c r="K11" s="51">
        <v>199.58</v>
      </c>
      <c r="L11" s="51">
        <v>19.32</v>
      </c>
      <c r="M11" s="51">
        <v>83.98</v>
      </c>
      <c r="N11" s="51">
        <v>0</v>
      </c>
      <c r="O11" s="51">
        <v>0</v>
      </c>
      <c r="P11" s="51">
        <v>0.99</v>
      </c>
      <c r="Q11" s="51">
        <v>4.63</v>
      </c>
    </row>
    <row r="12" spans="1:21" customFormat="1">
      <c r="A12" s="50" t="s">
        <v>255</v>
      </c>
      <c r="B12" s="51">
        <v>12.21</v>
      </c>
      <c r="C12" s="51">
        <v>24.36</v>
      </c>
      <c r="D12" s="51">
        <v>23.87</v>
      </c>
      <c r="E12" s="51">
        <v>5.21</v>
      </c>
      <c r="F12" s="51">
        <v>2.66</v>
      </c>
      <c r="G12" s="51">
        <v>75.67</v>
      </c>
      <c r="H12" s="51">
        <v>34.880000000000003</v>
      </c>
      <c r="I12" s="51">
        <v>9.1300000000000008</v>
      </c>
      <c r="J12" s="51">
        <v>0.22</v>
      </c>
      <c r="K12" s="51">
        <v>201.83</v>
      </c>
      <c r="L12" s="51">
        <v>18.920000000000002</v>
      </c>
      <c r="M12" s="51">
        <v>89.21</v>
      </c>
      <c r="N12" s="51">
        <v>0</v>
      </c>
      <c r="O12" s="51">
        <v>0</v>
      </c>
      <c r="P12" s="51">
        <v>0.92</v>
      </c>
      <c r="Q12" s="51">
        <v>4.67</v>
      </c>
    </row>
    <row r="13" spans="1:21" customFormat="1">
      <c r="A13" s="50" t="s">
        <v>256</v>
      </c>
      <c r="B13" s="51">
        <v>16.399999999999999</v>
      </c>
      <c r="C13" s="51">
        <v>25.6</v>
      </c>
      <c r="D13" s="51">
        <v>27.87</v>
      </c>
      <c r="E13" s="51">
        <v>5.56</v>
      </c>
      <c r="F13" s="51">
        <v>2.72</v>
      </c>
      <c r="G13" s="51">
        <v>81.290000000000006</v>
      </c>
      <c r="H13" s="51">
        <v>32.99</v>
      </c>
      <c r="I13" s="51">
        <v>8.9600000000000009</v>
      </c>
      <c r="J13" s="51">
        <v>0.13</v>
      </c>
      <c r="K13" s="51">
        <v>198.78</v>
      </c>
      <c r="L13" s="51">
        <v>18.36</v>
      </c>
      <c r="M13" s="51">
        <v>89.23</v>
      </c>
      <c r="N13" s="51">
        <v>0</v>
      </c>
      <c r="O13" s="51">
        <v>0</v>
      </c>
      <c r="P13" s="51">
        <v>0.91</v>
      </c>
      <c r="Q13" s="51">
        <v>4.83</v>
      </c>
    </row>
    <row r="14" spans="1:21" customFormat="1">
      <c r="A14" s="50" t="s">
        <v>257</v>
      </c>
      <c r="B14" s="51">
        <v>17.489999999999998</v>
      </c>
      <c r="C14" s="51">
        <v>25.5</v>
      </c>
      <c r="D14" s="51">
        <v>28.67</v>
      </c>
      <c r="E14" s="51">
        <v>5.66</v>
      </c>
      <c r="F14" s="51">
        <v>2.67</v>
      </c>
      <c r="G14" s="51">
        <v>81.290000000000006</v>
      </c>
      <c r="H14" s="51">
        <v>32.78</v>
      </c>
      <c r="I14" s="51">
        <v>8.7799999999999994</v>
      </c>
      <c r="J14" s="51">
        <v>0.13</v>
      </c>
      <c r="K14" s="51">
        <v>240.31</v>
      </c>
      <c r="L14" s="51">
        <v>18.37</v>
      </c>
      <c r="M14" s="51">
        <v>91.68</v>
      </c>
      <c r="N14" s="51">
        <v>0</v>
      </c>
      <c r="O14" s="51">
        <v>0</v>
      </c>
      <c r="P14" s="51">
        <v>0.89</v>
      </c>
      <c r="Q14" s="51">
        <v>4.8899999999999997</v>
      </c>
    </row>
    <row r="15" spans="1:21" customFormat="1">
      <c r="A15" s="50" t="s">
        <v>258</v>
      </c>
      <c r="B15" s="51">
        <v>18.14</v>
      </c>
      <c r="C15" s="51">
        <v>24.97</v>
      </c>
      <c r="D15" s="51">
        <v>28.94</v>
      </c>
      <c r="E15" s="51">
        <v>5.67</v>
      </c>
      <c r="F15" s="51">
        <v>2.5499999999999998</v>
      </c>
      <c r="G15" s="51">
        <v>63.49</v>
      </c>
      <c r="H15" s="51">
        <v>31.75</v>
      </c>
      <c r="I15" s="51">
        <v>8.6199999999999992</v>
      </c>
      <c r="J15" s="51">
        <v>0.18</v>
      </c>
      <c r="K15" s="51">
        <v>172.44</v>
      </c>
      <c r="L15" s="51">
        <v>19.36</v>
      </c>
      <c r="M15" s="51">
        <v>90.87</v>
      </c>
      <c r="N15" s="51">
        <v>28.3</v>
      </c>
      <c r="O15" s="51">
        <v>0</v>
      </c>
      <c r="P15" s="51">
        <v>0.89</v>
      </c>
      <c r="Q15" s="51">
        <v>4.8899999999999997</v>
      </c>
    </row>
    <row r="16" spans="1:21" customFormat="1">
      <c r="A16" s="50" t="s">
        <v>259</v>
      </c>
      <c r="B16" s="51">
        <v>23.61</v>
      </c>
      <c r="C16" s="51">
        <v>27.58</v>
      </c>
      <c r="D16" s="51">
        <v>34.700000000000003</v>
      </c>
      <c r="E16" s="51">
        <v>6.17</v>
      </c>
      <c r="F16" s="51">
        <v>2.75</v>
      </c>
      <c r="G16" s="51">
        <v>97.83</v>
      </c>
      <c r="H16" s="51">
        <v>33.43</v>
      </c>
      <c r="I16" s="51">
        <v>8.93</v>
      </c>
      <c r="J16" s="51">
        <v>0.28000000000000003</v>
      </c>
      <c r="K16" s="51">
        <v>150.26</v>
      </c>
      <c r="L16" s="51">
        <v>22.38</v>
      </c>
      <c r="M16" s="51">
        <v>84.15</v>
      </c>
      <c r="N16" s="51">
        <v>173.9</v>
      </c>
      <c r="O16" s="51">
        <v>0</v>
      </c>
      <c r="P16" s="51">
        <v>0.99</v>
      </c>
      <c r="Q16" s="51">
        <v>5.17</v>
      </c>
    </row>
    <row r="17" spans="1:17" customFormat="1">
      <c r="A17" s="50" t="s">
        <v>260</v>
      </c>
      <c r="B17" s="51">
        <v>23.09</v>
      </c>
      <c r="C17" s="51">
        <v>31.34</v>
      </c>
      <c r="D17" s="51">
        <v>34.74</v>
      </c>
      <c r="E17" s="51">
        <v>6.61</v>
      </c>
      <c r="F17" s="51">
        <v>2.87</v>
      </c>
      <c r="G17" s="51">
        <v>147.44999999999999</v>
      </c>
      <c r="H17" s="51">
        <v>48.27</v>
      </c>
      <c r="I17" s="51">
        <v>10.3</v>
      </c>
      <c r="J17" s="51">
        <v>0.21</v>
      </c>
      <c r="K17" s="51">
        <v>172.25</v>
      </c>
      <c r="L17" s="51">
        <v>26.26</v>
      </c>
      <c r="M17" s="51">
        <v>65.569999999999993</v>
      </c>
      <c r="N17" s="51">
        <v>341.9</v>
      </c>
      <c r="O17" s="51">
        <v>0</v>
      </c>
      <c r="P17" s="51">
        <v>1.1200000000000001</v>
      </c>
      <c r="Q17" s="51">
        <v>5.18</v>
      </c>
    </row>
    <row r="18" spans="1:17" customFormat="1">
      <c r="A18" s="50" t="s">
        <v>261</v>
      </c>
      <c r="B18" s="51">
        <v>17.670000000000002</v>
      </c>
      <c r="C18" s="51">
        <v>31.93</v>
      </c>
      <c r="D18" s="51">
        <v>32.01</v>
      </c>
      <c r="E18" s="51">
        <v>6.63</v>
      </c>
      <c r="F18" s="51">
        <v>3.3</v>
      </c>
      <c r="G18" s="51">
        <v>147.44999999999999</v>
      </c>
      <c r="H18" s="51">
        <v>48.27</v>
      </c>
      <c r="I18" s="51">
        <v>10.8</v>
      </c>
      <c r="J18" s="51">
        <v>0.23</v>
      </c>
      <c r="K18" s="51">
        <v>260.99</v>
      </c>
      <c r="L18" s="51">
        <v>28.43</v>
      </c>
      <c r="M18" s="51">
        <v>50.62</v>
      </c>
      <c r="N18" s="51">
        <v>483.9</v>
      </c>
      <c r="O18" s="51">
        <v>0</v>
      </c>
      <c r="P18" s="51">
        <v>1.1499999999999999</v>
      </c>
      <c r="Q18" s="51">
        <v>5.01</v>
      </c>
    </row>
    <row r="19" spans="1:17" customFormat="1">
      <c r="A19" s="50" t="s">
        <v>262</v>
      </c>
      <c r="B19" s="51">
        <v>10.1</v>
      </c>
      <c r="C19" s="51">
        <v>30.94</v>
      </c>
      <c r="D19" s="51">
        <v>25.62</v>
      </c>
      <c r="E19" s="51">
        <v>6.34</v>
      </c>
      <c r="F19" s="51">
        <v>3.99</v>
      </c>
      <c r="G19" s="51">
        <v>128.13999999999999</v>
      </c>
      <c r="H19" s="51">
        <v>47.77</v>
      </c>
      <c r="I19" s="51">
        <v>10.61</v>
      </c>
      <c r="J19" s="51">
        <v>0.27</v>
      </c>
      <c r="K19" s="51">
        <v>194.87</v>
      </c>
      <c r="L19" s="51">
        <v>30.47</v>
      </c>
      <c r="M19" s="51">
        <v>45.26</v>
      </c>
      <c r="N19" s="51">
        <v>553.1</v>
      </c>
      <c r="O19" s="51">
        <v>0</v>
      </c>
      <c r="P19" s="51">
        <v>1.1399999999999999</v>
      </c>
      <c r="Q19" s="51">
        <v>4.66</v>
      </c>
    </row>
    <row r="20" spans="1:17" customFormat="1">
      <c r="A20" s="50" t="s">
        <v>263</v>
      </c>
      <c r="B20" s="51">
        <v>5.1100000000000003</v>
      </c>
      <c r="C20" s="51">
        <v>28.22</v>
      </c>
      <c r="D20" s="51">
        <v>20.190000000000001</v>
      </c>
      <c r="E20" s="51">
        <v>6.77</v>
      </c>
      <c r="F20" s="51">
        <v>5.23</v>
      </c>
      <c r="G20" s="51">
        <v>111.73</v>
      </c>
      <c r="H20" s="51">
        <v>47.77</v>
      </c>
      <c r="I20" s="51">
        <v>10.3</v>
      </c>
      <c r="J20" s="51">
        <v>0.38</v>
      </c>
      <c r="K20" s="51">
        <v>210.87</v>
      </c>
      <c r="L20" s="51">
        <v>31.85</v>
      </c>
      <c r="M20" s="51">
        <v>37.369999999999997</v>
      </c>
      <c r="N20" s="51">
        <v>630.1</v>
      </c>
      <c r="O20" s="51">
        <v>0</v>
      </c>
      <c r="P20" s="51">
        <v>1.08</v>
      </c>
      <c r="Q20" s="51">
        <v>4.3899999999999997</v>
      </c>
    </row>
    <row r="21" spans="1:17" customFormat="1">
      <c r="A21" s="50" t="s">
        <v>264</v>
      </c>
      <c r="B21" s="51">
        <v>4.32</v>
      </c>
      <c r="C21" s="51">
        <v>24.96</v>
      </c>
      <c r="D21" s="51">
        <v>17.600000000000001</v>
      </c>
      <c r="E21" s="51">
        <v>6.08</v>
      </c>
      <c r="F21" s="51">
        <v>4.58</v>
      </c>
      <c r="G21" s="51">
        <v>79.17</v>
      </c>
      <c r="H21" s="51">
        <v>42.72</v>
      </c>
      <c r="I21" s="51">
        <v>9.42</v>
      </c>
      <c r="J21" s="51">
        <v>0.34</v>
      </c>
      <c r="K21" s="51">
        <v>180.06</v>
      </c>
      <c r="L21" s="51">
        <v>32.520000000000003</v>
      </c>
      <c r="M21" s="51">
        <v>31.59</v>
      </c>
      <c r="N21" s="51">
        <v>594.20000000000005</v>
      </c>
      <c r="O21" s="51">
        <v>0</v>
      </c>
      <c r="P21" s="51">
        <v>0.98</v>
      </c>
      <c r="Q21" s="51">
        <v>4.28</v>
      </c>
    </row>
    <row r="22" spans="1:17" customFormat="1">
      <c r="A22" s="50" t="s">
        <v>265</v>
      </c>
      <c r="B22" s="51">
        <v>4.4800000000000004</v>
      </c>
      <c r="C22" s="51">
        <v>22.12</v>
      </c>
      <c r="D22" s="51">
        <v>16.48</v>
      </c>
      <c r="E22" s="51">
        <v>6.05</v>
      </c>
      <c r="F22" s="51">
        <v>5.85</v>
      </c>
      <c r="G22" s="51">
        <v>74.72</v>
      </c>
      <c r="H22" s="51">
        <v>37.479999999999997</v>
      </c>
      <c r="I22" s="51">
        <v>8.69</v>
      </c>
      <c r="J22" s="51">
        <v>0.38</v>
      </c>
      <c r="K22" s="51">
        <v>334.55</v>
      </c>
      <c r="L22" s="51">
        <v>32.270000000000003</v>
      </c>
      <c r="M22" s="51">
        <v>30.9</v>
      </c>
      <c r="N22" s="51">
        <v>503.1</v>
      </c>
      <c r="O22" s="51">
        <v>0</v>
      </c>
      <c r="P22" s="51">
        <v>0.92</v>
      </c>
      <c r="Q22" s="51">
        <v>4.26</v>
      </c>
    </row>
    <row r="23" spans="1:17" customFormat="1">
      <c r="A23" s="50" t="s">
        <v>266</v>
      </c>
      <c r="B23" s="51">
        <v>4.3899999999999997</v>
      </c>
      <c r="C23" s="51">
        <v>20.72</v>
      </c>
      <c r="D23" s="51">
        <v>15.67</v>
      </c>
      <c r="E23" s="51">
        <v>6.49</v>
      </c>
      <c r="F23" s="51">
        <v>6.7</v>
      </c>
      <c r="G23" s="51">
        <v>74.72</v>
      </c>
      <c r="H23" s="51">
        <v>34.74</v>
      </c>
      <c r="I23" s="51">
        <v>8.11</v>
      </c>
      <c r="J23" s="51">
        <v>0.28000000000000003</v>
      </c>
      <c r="K23" s="51">
        <v>236.62</v>
      </c>
      <c r="L23" s="51">
        <v>31.66</v>
      </c>
      <c r="M23" s="51">
        <v>35.409999999999997</v>
      </c>
      <c r="N23" s="51">
        <v>348.2</v>
      </c>
      <c r="O23" s="51">
        <v>0</v>
      </c>
      <c r="P23" s="51">
        <v>0.85</v>
      </c>
      <c r="Q23" s="51">
        <v>4.24</v>
      </c>
    </row>
    <row r="24" spans="1:17" customFormat="1">
      <c r="A24" s="50" t="s">
        <v>267</v>
      </c>
      <c r="B24" s="51">
        <v>4.3099999999999996</v>
      </c>
      <c r="C24" s="51">
        <v>19.61</v>
      </c>
      <c r="D24" s="51">
        <v>15</v>
      </c>
      <c r="E24" s="51">
        <v>5.9</v>
      </c>
      <c r="F24" s="51">
        <v>6.44</v>
      </c>
      <c r="G24" s="51">
        <v>80.19</v>
      </c>
      <c r="H24" s="51">
        <v>31.31</v>
      </c>
      <c r="I24" s="51">
        <v>7.68</v>
      </c>
      <c r="J24" s="51">
        <v>0.25</v>
      </c>
      <c r="K24" s="51">
        <v>134.66999999999999</v>
      </c>
      <c r="L24" s="51">
        <v>30.31</v>
      </c>
      <c r="M24" s="51">
        <v>38.67</v>
      </c>
      <c r="N24" s="51">
        <v>86.7</v>
      </c>
      <c r="O24" s="51">
        <v>0</v>
      </c>
      <c r="P24" s="51">
        <v>0.81</v>
      </c>
      <c r="Q24" s="51">
        <v>4.2300000000000004</v>
      </c>
    </row>
    <row r="25" spans="1:17" customFormat="1">
      <c r="A25" s="50" t="s">
        <v>268</v>
      </c>
      <c r="B25" s="51">
        <v>4.59</v>
      </c>
      <c r="C25" s="51">
        <v>18.93</v>
      </c>
      <c r="D25" s="51">
        <v>14.87</v>
      </c>
      <c r="E25" s="51">
        <v>5.81</v>
      </c>
      <c r="F25" s="51">
        <v>5.47</v>
      </c>
      <c r="G25" s="51">
        <v>80.19</v>
      </c>
      <c r="H25" s="51">
        <v>31.6</v>
      </c>
      <c r="I25" s="51">
        <v>7.28</v>
      </c>
      <c r="J25" s="51">
        <v>0.23</v>
      </c>
      <c r="K25" s="51">
        <v>175.7</v>
      </c>
      <c r="L25" s="51">
        <v>28.7</v>
      </c>
      <c r="M25" s="51">
        <v>49.35</v>
      </c>
      <c r="N25" s="51">
        <v>37.5</v>
      </c>
      <c r="O25" s="51">
        <v>0</v>
      </c>
      <c r="P25" s="51">
        <v>0.76</v>
      </c>
      <c r="Q25" s="51">
        <v>4.24</v>
      </c>
    </row>
    <row r="26" spans="1:17" customFormat="1">
      <c r="A26" s="50" t="s">
        <v>269</v>
      </c>
      <c r="B26" s="51">
        <v>4.99</v>
      </c>
      <c r="C26" s="51">
        <v>20.66</v>
      </c>
      <c r="D26" s="51">
        <v>16.149999999999999</v>
      </c>
      <c r="E26" s="51">
        <v>5.52</v>
      </c>
      <c r="F26" s="51">
        <v>4.71</v>
      </c>
      <c r="G26" s="51">
        <v>112.47</v>
      </c>
      <c r="H26" s="51">
        <v>31.6</v>
      </c>
      <c r="I26" s="51">
        <v>7.07</v>
      </c>
      <c r="J26" s="51">
        <v>0.26</v>
      </c>
      <c r="K26" s="51">
        <v>183.83</v>
      </c>
      <c r="L26" s="51">
        <v>26.12</v>
      </c>
      <c r="M26" s="51">
        <v>60.21</v>
      </c>
      <c r="N26" s="51">
        <v>0</v>
      </c>
      <c r="O26" s="51">
        <v>0</v>
      </c>
      <c r="P26" s="51">
        <v>0.78</v>
      </c>
      <c r="Q26" s="51">
        <v>4.26</v>
      </c>
    </row>
    <row r="27" spans="1:17" customFormat="1">
      <c r="A27" s="50" t="s">
        <v>270</v>
      </c>
      <c r="B27" s="51">
        <v>5.6</v>
      </c>
      <c r="C27" s="51">
        <v>21.9</v>
      </c>
      <c r="D27" s="51">
        <v>17.28</v>
      </c>
      <c r="E27" s="51">
        <v>5.52</v>
      </c>
      <c r="F27" s="51">
        <v>3.25</v>
      </c>
      <c r="G27" s="51">
        <v>135.85</v>
      </c>
      <c r="H27" s="51">
        <v>32.22</v>
      </c>
      <c r="I27" s="51">
        <v>6.77</v>
      </c>
      <c r="J27" s="51">
        <v>0.26</v>
      </c>
      <c r="K27" s="51">
        <v>171.3</v>
      </c>
      <c r="L27" s="51">
        <v>24.39</v>
      </c>
      <c r="M27" s="51">
        <v>68.53</v>
      </c>
      <c r="N27" s="51">
        <v>0</v>
      </c>
      <c r="O27" s="51">
        <v>0</v>
      </c>
      <c r="P27" s="51">
        <v>0.79</v>
      </c>
      <c r="Q27" s="51">
        <v>4.3099999999999996</v>
      </c>
    </row>
    <row r="28" spans="1:17" customFormat="1">
      <c r="A28" s="50" t="s">
        <v>271</v>
      </c>
      <c r="B28" s="51">
        <v>6.37</v>
      </c>
      <c r="C28" s="51">
        <v>22.59</v>
      </c>
      <c r="D28" s="51">
        <v>18.260000000000002</v>
      </c>
      <c r="E28" s="51">
        <v>5.74</v>
      </c>
      <c r="F28" s="51">
        <v>3</v>
      </c>
      <c r="G28" s="51">
        <v>152.81</v>
      </c>
      <c r="H28" s="51">
        <v>32.9</v>
      </c>
      <c r="I28" s="51">
        <v>6.61</v>
      </c>
      <c r="J28" s="51">
        <v>0.16</v>
      </c>
      <c r="K28" s="51">
        <v>210.21</v>
      </c>
      <c r="L28" s="51">
        <v>23.34</v>
      </c>
      <c r="M28" s="51">
        <v>74.28</v>
      </c>
      <c r="N28" s="51">
        <v>0</v>
      </c>
      <c r="O28" s="51">
        <v>0</v>
      </c>
      <c r="P28" s="51">
        <v>0.81</v>
      </c>
      <c r="Q28" s="51">
        <v>4.3600000000000003</v>
      </c>
    </row>
    <row r="29" spans="1:17" customFormat="1">
      <c r="A29" s="50" t="s">
        <v>272</v>
      </c>
      <c r="B29" s="51">
        <v>6.97</v>
      </c>
      <c r="C29" s="51">
        <v>22.99</v>
      </c>
      <c r="D29" s="51">
        <v>18.95</v>
      </c>
      <c r="E29" s="51">
        <v>5.5</v>
      </c>
      <c r="F29" s="51">
        <v>2.82</v>
      </c>
      <c r="G29" s="51">
        <v>152.81</v>
      </c>
      <c r="H29" s="51">
        <v>32.9</v>
      </c>
      <c r="I29" s="51">
        <v>6.53</v>
      </c>
      <c r="J29" s="51">
        <v>0.14000000000000001</v>
      </c>
      <c r="K29" s="51">
        <v>166.3</v>
      </c>
      <c r="L29" s="51">
        <v>22.22</v>
      </c>
      <c r="M29" s="51">
        <v>75.72</v>
      </c>
      <c r="N29" s="51">
        <v>0</v>
      </c>
      <c r="O29" s="51">
        <v>0</v>
      </c>
      <c r="P29" s="51">
        <v>0.81</v>
      </c>
      <c r="Q29" s="51">
        <v>4.3899999999999997</v>
      </c>
    </row>
    <row r="30" spans="1:17" customFormat="1">
      <c r="A30" s="50" t="s">
        <v>273</v>
      </c>
      <c r="B30" s="51">
        <v>7.37</v>
      </c>
      <c r="C30" s="51">
        <v>23.68</v>
      </c>
      <c r="D30" s="51">
        <v>19.64</v>
      </c>
      <c r="E30" s="51">
        <v>5.82</v>
      </c>
      <c r="F30" s="51">
        <v>2.77</v>
      </c>
      <c r="G30" s="51">
        <v>129.07</v>
      </c>
      <c r="H30" s="51">
        <v>30.87</v>
      </c>
      <c r="I30" s="51">
        <v>6.48</v>
      </c>
      <c r="J30" s="51">
        <v>0.12</v>
      </c>
      <c r="K30" s="51">
        <v>190.83</v>
      </c>
      <c r="L30" s="51">
        <v>21.77</v>
      </c>
      <c r="M30" s="51">
        <v>74.709999999999994</v>
      </c>
      <c r="N30" s="51">
        <v>0</v>
      </c>
      <c r="O30" s="51">
        <v>0</v>
      </c>
      <c r="P30" s="51">
        <v>0.82</v>
      </c>
      <c r="Q30" s="51">
        <v>4.46</v>
      </c>
    </row>
    <row r="31" spans="1:17" customFormat="1">
      <c r="A31" s="50" t="s">
        <v>274</v>
      </c>
      <c r="B31" s="51">
        <v>8.31</v>
      </c>
      <c r="C31" s="51">
        <v>24.37</v>
      </c>
      <c r="D31" s="51">
        <v>20.23</v>
      </c>
      <c r="E31" s="51">
        <v>5.55</v>
      </c>
      <c r="F31" s="51">
        <v>2.95</v>
      </c>
      <c r="G31" s="51">
        <v>94.16</v>
      </c>
      <c r="H31" s="51">
        <v>28.75</v>
      </c>
      <c r="I31" s="51">
        <v>6.47</v>
      </c>
      <c r="J31" s="51">
        <v>0.12</v>
      </c>
      <c r="K31" s="51">
        <v>228.59</v>
      </c>
      <c r="L31" s="51">
        <v>21.41</v>
      </c>
      <c r="M31" s="51">
        <v>79.62</v>
      </c>
      <c r="N31" s="51">
        <v>0</v>
      </c>
      <c r="O31" s="51">
        <v>0</v>
      </c>
      <c r="P31" s="51">
        <v>0.81</v>
      </c>
      <c r="Q31" s="51">
        <v>4.46</v>
      </c>
    </row>
    <row r="32" spans="1:17" customFormat="1">
      <c r="A32" s="50" t="s">
        <v>275</v>
      </c>
      <c r="B32" s="51">
        <v>8.83</v>
      </c>
      <c r="C32" s="51">
        <v>22.46</v>
      </c>
      <c r="D32" s="51">
        <v>20.170000000000002</v>
      </c>
      <c r="E32" s="51">
        <v>5.52</v>
      </c>
      <c r="F32" s="51">
        <v>2.69</v>
      </c>
      <c r="G32" s="51">
        <v>92.39</v>
      </c>
      <c r="H32" s="51">
        <v>29.37</v>
      </c>
      <c r="I32" s="51">
        <v>6.64</v>
      </c>
      <c r="J32" s="51">
        <v>0.15</v>
      </c>
      <c r="K32" s="51">
        <v>229.9</v>
      </c>
      <c r="L32" s="51">
        <v>20.55</v>
      </c>
      <c r="M32" s="51">
        <v>78.55</v>
      </c>
      <c r="N32" s="51">
        <v>0</v>
      </c>
      <c r="O32" s="51">
        <v>0</v>
      </c>
      <c r="P32" s="51">
        <v>0.79</v>
      </c>
      <c r="Q32" s="51">
        <v>4.4800000000000004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4.3099999999999996</v>
      </c>
      <c r="C34" s="40">
        <f t="shared" si="0"/>
        <v>18.93</v>
      </c>
      <c r="D34" s="40">
        <f t="shared" si="0"/>
        <v>14.87</v>
      </c>
      <c r="E34" s="40">
        <f t="shared" si="0"/>
        <v>5.21</v>
      </c>
      <c r="F34" s="40">
        <f t="shared" si="0"/>
        <v>2.5499999999999998</v>
      </c>
      <c r="G34" s="40">
        <f t="shared" si="0"/>
        <v>63.49</v>
      </c>
      <c r="H34" s="40">
        <f t="shared" si="0"/>
        <v>28.75</v>
      </c>
      <c r="I34" s="40">
        <f t="shared" si="0"/>
        <v>6.47</v>
      </c>
      <c r="J34" s="40">
        <f t="shared" si="0"/>
        <v>0.12</v>
      </c>
      <c r="K34" s="40">
        <f t="shared" si="0"/>
        <v>134.66999999999999</v>
      </c>
      <c r="L34" s="40">
        <f t="shared" si="0"/>
        <v>18.36</v>
      </c>
      <c r="M34" s="40">
        <f t="shared" si="0"/>
        <v>30.9</v>
      </c>
      <c r="N34" s="40">
        <f t="shared" si="0"/>
        <v>0</v>
      </c>
      <c r="O34" s="40">
        <f t="shared" si="0"/>
        <v>0</v>
      </c>
      <c r="P34" s="40">
        <f t="shared" si="0"/>
        <v>0.76</v>
      </c>
      <c r="Q34" s="40">
        <f t="shared" si="0"/>
        <v>4.2300000000000004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23.61</v>
      </c>
      <c r="C35" s="33">
        <f t="shared" si="1"/>
        <v>31.93</v>
      </c>
      <c r="D35" s="33">
        <f t="shared" si="1"/>
        <v>34.74</v>
      </c>
      <c r="E35" s="33">
        <f t="shared" si="1"/>
        <v>7.68</v>
      </c>
      <c r="F35" s="33">
        <f t="shared" si="1"/>
        <v>6.7</v>
      </c>
      <c r="G35" s="33">
        <f t="shared" si="1"/>
        <v>152.81</v>
      </c>
      <c r="H35" s="33">
        <f t="shared" si="1"/>
        <v>48.27</v>
      </c>
      <c r="I35" s="33">
        <f t="shared" si="1"/>
        <v>10.8</v>
      </c>
      <c r="J35" s="33">
        <f t="shared" si="1"/>
        <v>0.38</v>
      </c>
      <c r="K35" s="33">
        <f t="shared" si="1"/>
        <v>334.55</v>
      </c>
      <c r="L35" s="33">
        <f t="shared" si="1"/>
        <v>32.520000000000003</v>
      </c>
      <c r="M35" s="33">
        <f t="shared" si="1"/>
        <v>91.68</v>
      </c>
      <c r="N35" s="33">
        <f t="shared" si="1"/>
        <v>630.1</v>
      </c>
      <c r="O35" s="33">
        <f t="shared" si="1"/>
        <v>0</v>
      </c>
      <c r="P35" s="33">
        <f t="shared" si="1"/>
        <v>1.1499999999999999</v>
      </c>
      <c r="Q35" s="33">
        <f t="shared" si="1"/>
        <v>5.18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10.354166666666666</v>
      </c>
      <c r="C36" s="40">
        <f t="shared" si="2"/>
        <v>24.744166666666661</v>
      </c>
      <c r="D36" s="40">
        <f t="shared" si="2"/>
        <v>22.43708333333333</v>
      </c>
      <c r="E36" s="40">
        <f t="shared" si="2"/>
        <v>6.0591666666666661</v>
      </c>
      <c r="F36" s="40">
        <f t="shared" si="2"/>
        <v>3.6749999999999994</v>
      </c>
      <c r="G36" s="40">
        <f t="shared" si="2"/>
        <v>101.55041666666669</v>
      </c>
      <c r="H36" s="40">
        <f t="shared" si="2"/>
        <v>36.081666666666663</v>
      </c>
      <c r="I36" s="40">
        <f t="shared" si="2"/>
        <v>8.4449999999999985</v>
      </c>
      <c r="J36" s="40">
        <f t="shared" si="2"/>
        <v>0.21291666666666667</v>
      </c>
      <c r="K36" s="40">
        <f t="shared" si="2"/>
        <v>203.15791666666667</v>
      </c>
      <c r="L36" s="40">
        <f t="shared" si="2"/>
        <v>24.509166666666658</v>
      </c>
      <c r="M36" s="40">
        <f t="shared" si="2"/>
        <v>66.673333333333318</v>
      </c>
      <c r="N36" s="40">
        <f t="shared" si="2"/>
        <v>157.53749999999997</v>
      </c>
      <c r="O36" s="40">
        <f t="shared" si="2"/>
        <v>0</v>
      </c>
      <c r="P36" s="40">
        <f t="shared" si="2"/>
        <v>0.91874999999999984</v>
      </c>
      <c r="Q36" s="40">
        <f t="shared" si="2"/>
        <v>4.5695833333333331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6.058955223947204</v>
      </c>
      <c r="C37" s="40">
        <f t="shared" ref="C37:Q37" si="3">STDEV(C9:C32)</f>
        <v>3.5154242945930103</v>
      </c>
      <c r="D37" s="40">
        <f t="shared" si="3"/>
        <v>6.111984292580753</v>
      </c>
      <c r="E37" s="40">
        <f t="shared" si="3"/>
        <v>0.64210196038965539</v>
      </c>
      <c r="F37" s="40">
        <f t="shared" si="3"/>
        <v>1.3411286615968394</v>
      </c>
      <c r="G37" s="40">
        <f t="shared" si="3"/>
        <v>29.208728665479757</v>
      </c>
      <c r="H37" s="40">
        <f t="shared" si="3"/>
        <v>6.246022502477075</v>
      </c>
      <c r="I37" s="40">
        <f t="shared" si="3"/>
        <v>1.435515359662199</v>
      </c>
      <c r="J37" s="40">
        <f t="shared" si="3"/>
        <v>8.2381887343753235E-2</v>
      </c>
      <c r="K37" s="40">
        <f t="shared" si="3"/>
        <v>40.950330887781959</v>
      </c>
      <c r="L37" s="40">
        <f t="shared" si="3"/>
        <v>5.0615609524496259</v>
      </c>
      <c r="M37" s="40">
        <f t="shared" si="3"/>
        <v>21.260959867624887</v>
      </c>
      <c r="N37" s="40">
        <f t="shared" si="3"/>
        <v>230.85461604654998</v>
      </c>
      <c r="O37" s="40">
        <f t="shared" si="3"/>
        <v>0</v>
      </c>
      <c r="P37" s="40">
        <f t="shared" si="3"/>
        <v>0.12237904409980657</v>
      </c>
      <c r="Q37" s="40">
        <f t="shared" si="3"/>
        <v>0.29978947927513677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0" activePane="bottomRight" state="frozen"/>
      <selection activeCell="G19" sqref="G19"/>
      <selection pane="topRight" activeCell="G19" sqref="G19"/>
      <selection pane="bottomLeft" activeCell="G19" sqref="G19"/>
      <selection pane="bottomRight" activeCell="H38" sqref="G38:H38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10/11/2023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276</v>
      </c>
      <c r="B9" s="51">
        <v>13.49</v>
      </c>
      <c r="C9" s="51">
        <v>23.98</v>
      </c>
      <c r="D9" s="51">
        <v>24.7</v>
      </c>
      <c r="E9" s="51">
        <v>5.86</v>
      </c>
      <c r="F9" s="51">
        <v>2.65</v>
      </c>
      <c r="G9" s="51">
        <v>89.54</v>
      </c>
      <c r="H9" s="51">
        <v>31.6</v>
      </c>
      <c r="I9" s="51">
        <v>6.87</v>
      </c>
      <c r="J9" s="51">
        <v>0.13</v>
      </c>
      <c r="K9" s="51">
        <v>259.75</v>
      </c>
      <c r="L9" s="51">
        <v>20.46</v>
      </c>
      <c r="M9" s="51">
        <v>77.75</v>
      </c>
      <c r="N9" s="51">
        <v>0</v>
      </c>
      <c r="O9" s="51">
        <v>0</v>
      </c>
      <c r="P9" s="51">
        <v>0.83</v>
      </c>
      <c r="Q9" s="51">
        <v>4.6900000000000004</v>
      </c>
    </row>
    <row r="10" spans="1:21" customFormat="1">
      <c r="A10" s="50" t="s">
        <v>277</v>
      </c>
      <c r="B10" s="51">
        <v>18.48</v>
      </c>
      <c r="C10" s="51">
        <v>26.36</v>
      </c>
      <c r="D10" s="51">
        <v>29.94</v>
      </c>
      <c r="E10" s="51">
        <v>6.16</v>
      </c>
      <c r="F10" s="51">
        <v>2.59</v>
      </c>
      <c r="G10" s="51">
        <v>88.22</v>
      </c>
      <c r="H10" s="51">
        <v>33.31</v>
      </c>
      <c r="I10" s="51">
        <v>7.54</v>
      </c>
      <c r="J10" s="51">
        <v>0.13</v>
      </c>
      <c r="K10" s="51">
        <v>221.69</v>
      </c>
      <c r="L10" s="51">
        <v>20.21</v>
      </c>
      <c r="M10" s="51">
        <v>85.84</v>
      </c>
      <c r="N10" s="51">
        <v>0</v>
      </c>
      <c r="O10" s="51">
        <v>0</v>
      </c>
      <c r="P10" s="51">
        <v>0.91</v>
      </c>
      <c r="Q10" s="51">
        <v>4.91</v>
      </c>
    </row>
    <row r="11" spans="1:21" customFormat="1">
      <c r="A11" s="50" t="s">
        <v>278</v>
      </c>
      <c r="B11" s="51">
        <v>21.7</v>
      </c>
      <c r="C11" s="51">
        <v>27.43</v>
      </c>
      <c r="D11" s="51">
        <v>32.94</v>
      </c>
      <c r="E11" s="51">
        <v>5.41</v>
      </c>
      <c r="F11" s="51">
        <v>2.57</v>
      </c>
      <c r="G11" s="51">
        <v>94.58</v>
      </c>
      <c r="H11" s="51">
        <v>34.36</v>
      </c>
      <c r="I11" s="51">
        <v>8.42</v>
      </c>
      <c r="J11" s="51">
        <v>0.24</v>
      </c>
      <c r="K11" s="51">
        <v>208.38</v>
      </c>
      <c r="L11" s="51">
        <v>19.7</v>
      </c>
      <c r="M11" s="51">
        <v>91.03</v>
      </c>
      <c r="N11" s="51">
        <v>0</v>
      </c>
      <c r="O11" s="51">
        <v>0</v>
      </c>
      <c r="P11" s="51">
        <v>1.02</v>
      </c>
      <c r="Q11" s="51">
        <v>5.07</v>
      </c>
    </row>
    <row r="12" spans="1:21" customFormat="1">
      <c r="A12" s="50" t="s">
        <v>279</v>
      </c>
      <c r="B12" s="51">
        <v>21.01</v>
      </c>
      <c r="C12" s="51">
        <v>27.4</v>
      </c>
      <c r="D12" s="51">
        <v>32.520000000000003</v>
      </c>
      <c r="E12" s="51">
        <v>5.12</v>
      </c>
      <c r="F12" s="51">
        <v>2.76</v>
      </c>
      <c r="G12" s="51">
        <v>94.58</v>
      </c>
      <c r="H12" s="51">
        <v>34.36</v>
      </c>
      <c r="I12" s="51">
        <v>8.77</v>
      </c>
      <c r="J12" s="51">
        <v>0.14000000000000001</v>
      </c>
      <c r="K12" s="51">
        <v>187.65</v>
      </c>
      <c r="L12" s="51">
        <v>19.29</v>
      </c>
      <c r="M12" s="51">
        <v>88.61</v>
      </c>
      <c r="N12" s="51">
        <v>0</v>
      </c>
      <c r="O12" s="51">
        <v>0</v>
      </c>
      <c r="P12" s="51">
        <v>1.04</v>
      </c>
      <c r="Q12" s="51">
        <v>5.0599999999999996</v>
      </c>
    </row>
    <row r="13" spans="1:21" customFormat="1">
      <c r="A13" s="50" t="s">
        <v>280</v>
      </c>
      <c r="B13" s="51">
        <v>18.760000000000002</v>
      </c>
      <c r="C13" s="51">
        <v>26.36</v>
      </c>
      <c r="D13" s="51">
        <v>30.17</v>
      </c>
      <c r="E13" s="51">
        <v>5.13</v>
      </c>
      <c r="F13" s="51">
        <v>2.69</v>
      </c>
      <c r="G13" s="51">
        <v>83.01</v>
      </c>
      <c r="H13" s="51">
        <v>34.340000000000003</v>
      </c>
      <c r="I13" s="51">
        <v>8.75</v>
      </c>
      <c r="J13" s="51">
        <v>0.1</v>
      </c>
      <c r="K13" s="51">
        <v>216.33</v>
      </c>
      <c r="L13" s="51">
        <v>18.850000000000001</v>
      </c>
      <c r="M13" s="51">
        <v>91.89</v>
      </c>
      <c r="N13" s="51">
        <v>0</v>
      </c>
      <c r="O13" s="51">
        <v>0</v>
      </c>
      <c r="P13" s="51">
        <v>1.02</v>
      </c>
      <c r="Q13" s="51">
        <v>4.9800000000000004</v>
      </c>
    </row>
    <row r="14" spans="1:21" customFormat="1">
      <c r="A14" s="50" t="s">
        <v>281</v>
      </c>
      <c r="B14" s="51">
        <v>16.920000000000002</v>
      </c>
      <c r="C14" s="51">
        <v>25.21</v>
      </c>
      <c r="D14" s="51">
        <v>28.09</v>
      </c>
      <c r="E14" s="51">
        <v>4.96</v>
      </c>
      <c r="F14" s="51">
        <v>2.61</v>
      </c>
      <c r="G14" s="51">
        <v>73.12</v>
      </c>
      <c r="H14" s="51">
        <v>30.96</v>
      </c>
      <c r="I14" s="51">
        <v>8.66</v>
      </c>
      <c r="J14" s="51">
        <v>0.13</v>
      </c>
      <c r="K14" s="51">
        <v>195.15</v>
      </c>
      <c r="L14" s="51">
        <v>18.5</v>
      </c>
      <c r="M14" s="51">
        <v>92.52</v>
      </c>
      <c r="N14" s="51">
        <v>0</v>
      </c>
      <c r="O14" s="51">
        <v>0</v>
      </c>
      <c r="P14" s="51">
        <v>0.99</v>
      </c>
      <c r="Q14" s="51">
        <v>4.91</v>
      </c>
    </row>
    <row r="15" spans="1:21" customFormat="1">
      <c r="A15" s="50" t="s">
        <v>282</v>
      </c>
      <c r="B15" s="51">
        <v>16.010000000000002</v>
      </c>
      <c r="C15" s="51">
        <v>24.85</v>
      </c>
      <c r="D15" s="51">
        <v>27.18</v>
      </c>
      <c r="E15" s="51">
        <v>4.9800000000000004</v>
      </c>
      <c r="F15" s="51">
        <v>2.5499999999999998</v>
      </c>
      <c r="G15" s="51">
        <v>74.95</v>
      </c>
      <c r="H15" s="51">
        <v>31.2</v>
      </c>
      <c r="I15" s="51">
        <v>8.4700000000000006</v>
      </c>
      <c r="J15" s="51">
        <v>0.23</v>
      </c>
      <c r="K15" s="51">
        <v>175.56</v>
      </c>
      <c r="L15" s="51">
        <v>19.16</v>
      </c>
      <c r="M15" s="51">
        <v>91.88</v>
      </c>
      <c r="N15" s="51">
        <v>29.7</v>
      </c>
      <c r="O15" s="51">
        <v>0</v>
      </c>
      <c r="P15" s="51">
        <v>0.96</v>
      </c>
      <c r="Q15" s="51">
        <v>4.8600000000000003</v>
      </c>
    </row>
    <row r="16" spans="1:21" customFormat="1">
      <c r="A16" s="50" t="s">
        <v>283</v>
      </c>
      <c r="B16" s="51">
        <v>14.83</v>
      </c>
      <c r="C16" s="51">
        <v>25.45</v>
      </c>
      <c r="D16" s="51">
        <v>26</v>
      </c>
      <c r="E16" s="51">
        <v>5.3</v>
      </c>
      <c r="F16" s="51">
        <v>2.65</v>
      </c>
      <c r="G16" s="51">
        <v>77.3</v>
      </c>
      <c r="H16" s="51">
        <v>31.2</v>
      </c>
      <c r="I16" s="51">
        <v>8.34</v>
      </c>
      <c r="J16" s="51">
        <v>0.28000000000000003</v>
      </c>
      <c r="K16" s="51">
        <v>168.7</v>
      </c>
      <c r="L16" s="51">
        <v>22.77</v>
      </c>
      <c r="M16" s="51">
        <v>82.78</v>
      </c>
      <c r="N16" s="51">
        <v>177.6</v>
      </c>
      <c r="O16" s="51">
        <v>0</v>
      </c>
      <c r="P16" s="51">
        <v>0.93</v>
      </c>
      <c r="Q16" s="51">
        <v>4.82</v>
      </c>
    </row>
    <row r="17" spans="1:17" customFormat="1">
      <c r="A17" s="50" t="s">
        <v>284</v>
      </c>
      <c r="B17" s="51">
        <v>13.07</v>
      </c>
      <c r="C17" s="51">
        <v>23.71</v>
      </c>
      <c r="D17" s="51">
        <v>24.22</v>
      </c>
      <c r="E17" s="51">
        <v>4.7</v>
      </c>
      <c r="F17" s="51">
        <v>2.92</v>
      </c>
      <c r="G17" s="51">
        <v>77.3</v>
      </c>
      <c r="H17" s="51">
        <v>32.35</v>
      </c>
      <c r="I17" s="51">
        <v>8.4600000000000009</v>
      </c>
      <c r="J17" s="51">
        <v>0.13</v>
      </c>
      <c r="K17" s="51">
        <v>260.26</v>
      </c>
      <c r="L17" s="51">
        <v>25.95</v>
      </c>
      <c r="M17" s="51">
        <v>68.22</v>
      </c>
      <c r="N17" s="51">
        <v>327.9</v>
      </c>
      <c r="O17" s="51">
        <v>0</v>
      </c>
      <c r="P17" s="51">
        <v>0.9</v>
      </c>
      <c r="Q17" s="51">
        <v>4.7</v>
      </c>
    </row>
    <row r="18" spans="1:17" customFormat="1">
      <c r="A18" s="50" t="s">
        <v>285</v>
      </c>
      <c r="B18" s="51">
        <v>11.17</v>
      </c>
      <c r="C18" s="51">
        <v>23.31</v>
      </c>
      <c r="D18" s="51">
        <v>22.05</v>
      </c>
      <c r="E18" s="51">
        <v>4.47</v>
      </c>
      <c r="F18" s="51">
        <v>3.11</v>
      </c>
      <c r="G18" s="51">
        <v>71.260000000000005</v>
      </c>
      <c r="H18" s="51">
        <v>32.35</v>
      </c>
      <c r="I18" s="51">
        <v>8.43</v>
      </c>
      <c r="J18" s="51">
        <v>0.16</v>
      </c>
      <c r="K18" s="51">
        <v>199.64</v>
      </c>
      <c r="L18" s="51">
        <v>28.7</v>
      </c>
      <c r="M18" s="51">
        <v>55.69</v>
      </c>
      <c r="N18" s="51">
        <v>474.4</v>
      </c>
      <c r="O18" s="51">
        <v>0</v>
      </c>
      <c r="P18" s="51">
        <v>0.86</v>
      </c>
      <c r="Q18" s="51">
        <v>4.59</v>
      </c>
    </row>
    <row r="19" spans="1:17" customFormat="1">
      <c r="A19" s="50" t="s">
        <v>286</v>
      </c>
      <c r="B19" s="51">
        <v>8.91</v>
      </c>
      <c r="C19" s="51">
        <v>21.48</v>
      </c>
      <c r="D19" s="51">
        <v>19.72</v>
      </c>
      <c r="E19" s="51">
        <v>5.67</v>
      </c>
      <c r="F19" s="51">
        <v>3.6</v>
      </c>
      <c r="G19" s="51">
        <v>70.78</v>
      </c>
      <c r="H19" s="51">
        <v>32.17</v>
      </c>
      <c r="I19" s="51">
        <v>8.2799999999999994</v>
      </c>
      <c r="J19" s="51">
        <v>0.3</v>
      </c>
      <c r="K19" s="51">
        <v>235.09</v>
      </c>
      <c r="L19" s="51">
        <v>30.14</v>
      </c>
      <c r="M19" s="51">
        <v>44.75</v>
      </c>
      <c r="N19" s="51">
        <v>542.1</v>
      </c>
      <c r="O19" s="51">
        <v>0</v>
      </c>
      <c r="P19" s="51">
        <v>0.84</v>
      </c>
      <c r="Q19" s="51">
        <v>4.4800000000000004</v>
      </c>
    </row>
    <row r="20" spans="1:17" customFormat="1">
      <c r="A20" s="50" t="s">
        <v>287</v>
      </c>
      <c r="B20" s="51">
        <v>6.58</v>
      </c>
      <c r="C20" s="51">
        <v>20.64</v>
      </c>
      <c r="D20" s="51">
        <v>17.37</v>
      </c>
      <c r="E20" s="51">
        <v>6.27</v>
      </c>
      <c r="F20" s="51">
        <v>6.38</v>
      </c>
      <c r="G20" s="51">
        <v>65.73</v>
      </c>
      <c r="H20" s="51">
        <v>30.5</v>
      </c>
      <c r="I20" s="51">
        <v>7.89</v>
      </c>
      <c r="J20" s="51">
        <v>0.21</v>
      </c>
      <c r="K20" s="51">
        <v>144.47999999999999</v>
      </c>
      <c r="L20" s="51">
        <v>31.44</v>
      </c>
      <c r="M20" s="51">
        <v>40.94</v>
      </c>
      <c r="N20" s="51">
        <v>587.20000000000005</v>
      </c>
      <c r="O20" s="51">
        <v>0</v>
      </c>
      <c r="P20" s="51">
        <v>0.79</v>
      </c>
      <c r="Q20" s="51">
        <v>4.34</v>
      </c>
    </row>
    <row r="21" spans="1:17" customFormat="1">
      <c r="A21" s="50" t="s">
        <v>288</v>
      </c>
      <c r="B21" s="51">
        <v>5.2</v>
      </c>
      <c r="C21" s="51">
        <v>20.14</v>
      </c>
      <c r="D21" s="51">
        <v>15.71</v>
      </c>
      <c r="E21" s="51">
        <v>6.47</v>
      </c>
      <c r="F21" s="51">
        <v>6.95</v>
      </c>
      <c r="G21" s="51">
        <v>73.349999999999994</v>
      </c>
      <c r="H21" s="51">
        <v>28.91</v>
      </c>
      <c r="I21" s="51">
        <v>7.42</v>
      </c>
      <c r="J21" s="51">
        <v>0.35</v>
      </c>
      <c r="K21" s="51">
        <v>316.86</v>
      </c>
      <c r="L21" s="51">
        <v>31.71</v>
      </c>
      <c r="M21" s="51">
        <v>36.94</v>
      </c>
      <c r="N21" s="51">
        <v>572</v>
      </c>
      <c r="O21" s="51">
        <v>0</v>
      </c>
      <c r="P21" s="51">
        <v>0.77</v>
      </c>
      <c r="Q21" s="51">
        <v>4.2699999999999996</v>
      </c>
    </row>
    <row r="22" spans="1:17" customFormat="1">
      <c r="A22" s="50" t="s">
        <v>289</v>
      </c>
      <c r="B22" s="51">
        <v>4.3600000000000003</v>
      </c>
      <c r="C22" s="51">
        <v>20.6</v>
      </c>
      <c r="D22" s="51">
        <v>15.51</v>
      </c>
      <c r="E22" s="51">
        <v>8.3699999999999992</v>
      </c>
      <c r="F22" s="51">
        <v>15.53</v>
      </c>
      <c r="G22" s="51">
        <v>73.349999999999994</v>
      </c>
      <c r="H22" s="51">
        <v>29.59</v>
      </c>
      <c r="I22" s="51">
        <v>7.03</v>
      </c>
      <c r="J22" s="51">
        <v>0.45</v>
      </c>
      <c r="K22" s="51">
        <v>256.83999999999997</v>
      </c>
      <c r="L22" s="51">
        <v>32.5</v>
      </c>
      <c r="M22" s="51">
        <v>35.53</v>
      </c>
      <c r="N22" s="51">
        <v>490.4</v>
      </c>
      <c r="O22" s="51">
        <v>0</v>
      </c>
      <c r="P22" s="51">
        <v>0.76</v>
      </c>
      <c r="Q22" s="51">
        <v>4.2300000000000004</v>
      </c>
    </row>
    <row r="23" spans="1:17" customFormat="1">
      <c r="A23" s="50" t="s">
        <v>290</v>
      </c>
      <c r="B23" s="51">
        <v>3.64</v>
      </c>
      <c r="C23" s="51">
        <v>22.4</v>
      </c>
      <c r="D23" s="51">
        <v>14.87</v>
      </c>
      <c r="E23" s="51">
        <v>18.48</v>
      </c>
      <c r="F23" s="51">
        <v>44.17</v>
      </c>
      <c r="G23" s="11" t="s">
        <v>12</v>
      </c>
      <c r="H23" s="11" t="s">
        <v>12</v>
      </c>
      <c r="I23" s="51">
        <v>6.47</v>
      </c>
      <c r="J23" s="51">
        <v>0.45</v>
      </c>
      <c r="K23" s="51">
        <v>42.34</v>
      </c>
      <c r="L23" s="51">
        <v>32.200000000000003</v>
      </c>
      <c r="M23" s="51">
        <v>34.75</v>
      </c>
      <c r="N23" s="51">
        <v>382.8</v>
      </c>
      <c r="O23" s="51">
        <v>0</v>
      </c>
      <c r="P23" s="51">
        <v>0.72</v>
      </c>
      <c r="Q23" s="51">
        <v>4.25</v>
      </c>
    </row>
    <row r="24" spans="1:17" customFormat="1">
      <c r="A24" s="50" t="s">
        <v>291</v>
      </c>
      <c r="B24" s="51">
        <v>4.7699999999999996</v>
      </c>
      <c r="C24" s="51">
        <v>28.92</v>
      </c>
      <c r="D24" s="51">
        <v>19.98</v>
      </c>
      <c r="E24" s="51">
        <v>9.4499999999999993</v>
      </c>
      <c r="F24" s="51">
        <v>11.91</v>
      </c>
      <c r="G24" s="51">
        <v>67.61</v>
      </c>
      <c r="H24" s="51">
        <v>18.73</v>
      </c>
      <c r="I24" s="51">
        <v>5.12</v>
      </c>
      <c r="J24" s="51">
        <v>0.44</v>
      </c>
      <c r="K24" s="51">
        <v>74.5</v>
      </c>
      <c r="L24" s="51">
        <v>30.74</v>
      </c>
      <c r="M24" s="51">
        <v>36.68</v>
      </c>
      <c r="N24" s="51">
        <v>88.3</v>
      </c>
      <c r="O24" s="51">
        <v>0</v>
      </c>
      <c r="P24" s="51">
        <v>0.72</v>
      </c>
      <c r="Q24" s="51">
        <v>4.29</v>
      </c>
    </row>
    <row r="25" spans="1:17" customFormat="1">
      <c r="A25" s="50" t="s">
        <v>292</v>
      </c>
      <c r="B25" s="51">
        <v>5.43</v>
      </c>
      <c r="C25" s="51">
        <v>29.19</v>
      </c>
      <c r="D25" s="51">
        <v>20.72</v>
      </c>
      <c r="E25" s="51">
        <v>7.43</v>
      </c>
      <c r="F25" s="51">
        <v>5.3</v>
      </c>
      <c r="G25" s="51">
        <v>78.7</v>
      </c>
      <c r="H25" s="51">
        <v>23.64</v>
      </c>
      <c r="I25" s="51">
        <v>4.92</v>
      </c>
      <c r="J25" s="51">
        <v>0.26</v>
      </c>
      <c r="K25" s="51">
        <v>171.29</v>
      </c>
      <c r="L25" s="51">
        <v>29.96</v>
      </c>
      <c r="M25" s="51">
        <v>50</v>
      </c>
      <c r="N25" s="51">
        <v>45</v>
      </c>
      <c r="O25" s="51">
        <v>0</v>
      </c>
      <c r="P25" s="51">
        <v>0.71</v>
      </c>
      <c r="Q25" s="51">
        <v>4.3099999999999996</v>
      </c>
    </row>
    <row r="26" spans="1:17" customFormat="1">
      <c r="A26" s="50" t="s">
        <v>293</v>
      </c>
      <c r="B26" s="51">
        <v>6.6</v>
      </c>
      <c r="C26" s="51">
        <v>29.01</v>
      </c>
      <c r="D26" s="51">
        <v>21.8</v>
      </c>
      <c r="E26" s="51">
        <v>7.35</v>
      </c>
      <c r="F26" s="51">
        <v>4.37</v>
      </c>
      <c r="G26" s="51">
        <v>89.16</v>
      </c>
      <c r="H26" s="51">
        <v>27.25</v>
      </c>
      <c r="I26" s="51">
        <v>4.87</v>
      </c>
      <c r="J26" s="51">
        <v>0.25</v>
      </c>
      <c r="K26" s="51">
        <v>174.16</v>
      </c>
      <c r="L26" s="51">
        <v>27.37</v>
      </c>
      <c r="M26" s="51">
        <v>64.53</v>
      </c>
      <c r="N26" s="51">
        <v>0</v>
      </c>
      <c r="O26" s="51">
        <v>0</v>
      </c>
      <c r="P26" s="51">
        <v>0.77</v>
      </c>
      <c r="Q26" s="51">
        <v>4.3099999999999996</v>
      </c>
    </row>
    <row r="27" spans="1:17" customFormat="1">
      <c r="A27" s="50" t="s">
        <v>294</v>
      </c>
      <c r="B27" s="51">
        <v>8.51</v>
      </c>
      <c r="C27" s="51">
        <v>26.71</v>
      </c>
      <c r="D27" s="51">
        <v>20.96</v>
      </c>
      <c r="E27" s="51">
        <v>5.86</v>
      </c>
      <c r="F27" s="51">
        <v>3.36</v>
      </c>
      <c r="G27" s="51">
        <v>99.65</v>
      </c>
      <c r="H27" s="51">
        <v>29.88</v>
      </c>
      <c r="I27" s="51">
        <v>5.57</v>
      </c>
      <c r="J27" s="51">
        <v>0.2</v>
      </c>
      <c r="K27" s="51">
        <v>230.85</v>
      </c>
      <c r="L27" s="51">
        <v>25.7</v>
      </c>
      <c r="M27" s="51">
        <v>68.17</v>
      </c>
      <c r="N27" s="51">
        <v>0</v>
      </c>
      <c r="O27" s="51">
        <v>0</v>
      </c>
      <c r="P27" s="51">
        <v>0.76</v>
      </c>
      <c r="Q27" s="51">
        <v>4.3600000000000003</v>
      </c>
    </row>
    <row r="28" spans="1:17" customFormat="1">
      <c r="A28" s="50" t="s">
        <v>295</v>
      </c>
      <c r="B28" s="51">
        <v>9.0500000000000007</v>
      </c>
      <c r="C28" s="51">
        <v>24.67</v>
      </c>
      <c r="D28" s="51">
        <v>21.06</v>
      </c>
      <c r="E28" s="51">
        <v>5.57</v>
      </c>
      <c r="F28" s="51">
        <v>2.95</v>
      </c>
      <c r="G28" s="51">
        <v>101.83</v>
      </c>
      <c r="H28" s="51">
        <v>33.25</v>
      </c>
      <c r="I28" s="51">
        <v>5.9</v>
      </c>
      <c r="J28" s="51">
        <v>0.13</v>
      </c>
      <c r="K28" s="51">
        <v>214.88</v>
      </c>
      <c r="L28" s="51">
        <v>24.49</v>
      </c>
      <c r="M28" s="51">
        <v>74.040000000000006</v>
      </c>
      <c r="N28" s="51">
        <v>0</v>
      </c>
      <c r="O28" s="51">
        <v>0</v>
      </c>
      <c r="P28" s="51">
        <v>0.77</v>
      </c>
      <c r="Q28" s="51">
        <v>4.37</v>
      </c>
    </row>
    <row r="29" spans="1:17" customFormat="1">
      <c r="A29" s="50" t="s">
        <v>296</v>
      </c>
      <c r="B29" s="51">
        <v>9.9499999999999993</v>
      </c>
      <c r="C29" s="51">
        <v>23.3</v>
      </c>
      <c r="D29" s="51">
        <v>21.48</v>
      </c>
      <c r="E29" s="51">
        <v>5.85</v>
      </c>
      <c r="F29" s="51">
        <v>2.79</v>
      </c>
      <c r="G29" s="51">
        <v>101.83</v>
      </c>
      <c r="H29" s="51">
        <v>33.25</v>
      </c>
      <c r="I29" s="51">
        <v>6.1</v>
      </c>
      <c r="J29" s="51">
        <v>0.15</v>
      </c>
      <c r="K29" s="51">
        <v>173.88</v>
      </c>
      <c r="L29" s="51">
        <v>23.45</v>
      </c>
      <c r="M29" s="51">
        <v>81.599999999999994</v>
      </c>
      <c r="N29" s="51">
        <v>0</v>
      </c>
      <c r="O29" s="51">
        <v>0</v>
      </c>
      <c r="P29" s="51">
        <v>0.78</v>
      </c>
      <c r="Q29" s="51">
        <v>4.42</v>
      </c>
    </row>
    <row r="30" spans="1:17" customFormat="1">
      <c r="A30" s="50" t="s">
        <v>297</v>
      </c>
      <c r="B30" s="51">
        <v>11.04</v>
      </c>
      <c r="C30" s="51">
        <v>22.73</v>
      </c>
      <c r="D30" s="51">
        <v>22.08</v>
      </c>
      <c r="E30" s="51">
        <v>6</v>
      </c>
      <c r="F30" s="51">
        <v>2.76</v>
      </c>
      <c r="G30" s="51">
        <v>94.04</v>
      </c>
      <c r="H30" s="51">
        <v>32.369999999999997</v>
      </c>
      <c r="I30" s="51">
        <v>6.33</v>
      </c>
      <c r="J30" s="51">
        <v>0.12</v>
      </c>
      <c r="K30" s="51">
        <v>225.8</v>
      </c>
      <c r="L30" s="51">
        <v>22.68</v>
      </c>
      <c r="M30" s="51">
        <v>84.45</v>
      </c>
      <c r="N30" s="51">
        <v>0</v>
      </c>
      <c r="O30" s="51">
        <v>0</v>
      </c>
      <c r="P30" s="51">
        <v>0.81</v>
      </c>
      <c r="Q30" s="51">
        <v>4.4400000000000004</v>
      </c>
    </row>
    <row r="31" spans="1:17" customFormat="1">
      <c r="A31" s="50" t="s">
        <v>298</v>
      </c>
      <c r="B31" s="51">
        <v>11.62</v>
      </c>
      <c r="C31" s="51">
        <v>22.66</v>
      </c>
      <c r="D31" s="51">
        <v>22.5</v>
      </c>
      <c r="E31" s="51">
        <v>6.13</v>
      </c>
      <c r="F31" s="51">
        <v>2.74</v>
      </c>
      <c r="G31" s="51">
        <v>94.04</v>
      </c>
      <c r="H31" s="51">
        <v>32.549999999999997</v>
      </c>
      <c r="I31" s="51">
        <v>6.55</v>
      </c>
      <c r="J31" s="51">
        <v>0.13</v>
      </c>
      <c r="K31" s="51">
        <v>240.08</v>
      </c>
      <c r="L31" s="51">
        <v>21.79</v>
      </c>
      <c r="M31" s="51">
        <v>86.88</v>
      </c>
      <c r="N31" s="51">
        <v>0</v>
      </c>
      <c r="O31" s="51">
        <v>0</v>
      </c>
      <c r="P31" s="51">
        <v>0.87</v>
      </c>
      <c r="Q31" s="51">
        <v>4.49</v>
      </c>
    </row>
    <row r="32" spans="1:17" customFormat="1">
      <c r="A32" s="50" t="s">
        <v>299</v>
      </c>
      <c r="B32" s="51">
        <v>11.48</v>
      </c>
      <c r="C32" s="51">
        <v>23.94</v>
      </c>
      <c r="D32" s="51">
        <v>22.92</v>
      </c>
      <c r="E32" s="51">
        <v>7.03</v>
      </c>
      <c r="F32" s="51">
        <v>2.7</v>
      </c>
      <c r="G32" s="51">
        <v>85.25</v>
      </c>
      <c r="H32" s="51">
        <v>33.020000000000003</v>
      </c>
      <c r="I32" s="51">
        <v>7.18</v>
      </c>
      <c r="J32" s="51">
        <v>0.16</v>
      </c>
      <c r="K32" s="51">
        <v>237.44</v>
      </c>
      <c r="L32" s="51">
        <v>21.48</v>
      </c>
      <c r="M32" s="51">
        <v>87.42</v>
      </c>
      <c r="N32" s="51">
        <v>0</v>
      </c>
      <c r="O32" s="51">
        <v>0</v>
      </c>
      <c r="P32" s="51">
        <v>0.96</v>
      </c>
      <c r="Q32" s="51">
        <v>4.5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3.64</v>
      </c>
      <c r="C34" s="40">
        <f t="shared" si="0"/>
        <v>20.14</v>
      </c>
      <c r="D34" s="40">
        <f t="shared" si="0"/>
        <v>14.87</v>
      </c>
      <c r="E34" s="40">
        <f t="shared" si="0"/>
        <v>4.47</v>
      </c>
      <c r="F34" s="40">
        <f t="shared" si="0"/>
        <v>2.5499999999999998</v>
      </c>
      <c r="G34" s="40">
        <f t="shared" si="0"/>
        <v>65.73</v>
      </c>
      <c r="H34" s="40">
        <f t="shared" si="0"/>
        <v>18.73</v>
      </c>
      <c r="I34" s="40">
        <f t="shared" si="0"/>
        <v>4.87</v>
      </c>
      <c r="J34" s="40">
        <f t="shared" si="0"/>
        <v>0.1</v>
      </c>
      <c r="K34" s="40">
        <f t="shared" si="0"/>
        <v>42.34</v>
      </c>
      <c r="L34" s="40">
        <f t="shared" si="0"/>
        <v>18.5</v>
      </c>
      <c r="M34" s="40">
        <f t="shared" si="0"/>
        <v>34.75</v>
      </c>
      <c r="N34" s="40">
        <f t="shared" si="0"/>
        <v>0</v>
      </c>
      <c r="O34" s="40">
        <f t="shared" si="0"/>
        <v>0</v>
      </c>
      <c r="P34" s="40">
        <f t="shared" si="0"/>
        <v>0.71</v>
      </c>
      <c r="Q34" s="40">
        <f t="shared" si="0"/>
        <v>4.2300000000000004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21.7</v>
      </c>
      <c r="C35" s="33">
        <f t="shared" si="1"/>
        <v>29.19</v>
      </c>
      <c r="D35" s="33">
        <f t="shared" si="1"/>
        <v>32.94</v>
      </c>
      <c r="E35" s="33">
        <f t="shared" si="1"/>
        <v>18.48</v>
      </c>
      <c r="F35" s="33">
        <f t="shared" si="1"/>
        <v>44.17</v>
      </c>
      <c r="G35" s="33">
        <f t="shared" si="1"/>
        <v>101.83</v>
      </c>
      <c r="H35" s="33">
        <f t="shared" si="1"/>
        <v>34.36</v>
      </c>
      <c r="I35" s="33">
        <f t="shared" si="1"/>
        <v>8.77</v>
      </c>
      <c r="J35" s="33">
        <f t="shared" si="1"/>
        <v>0.45</v>
      </c>
      <c r="K35" s="33">
        <f t="shared" si="1"/>
        <v>316.86</v>
      </c>
      <c r="L35" s="33">
        <f t="shared" si="1"/>
        <v>32.5</v>
      </c>
      <c r="M35" s="33">
        <f t="shared" si="1"/>
        <v>92.52</v>
      </c>
      <c r="N35" s="33">
        <f t="shared" si="1"/>
        <v>587.20000000000005</v>
      </c>
      <c r="O35" s="33">
        <f t="shared" si="1"/>
        <v>0</v>
      </c>
      <c r="P35" s="33">
        <f t="shared" si="1"/>
        <v>1.04</v>
      </c>
      <c r="Q35" s="33">
        <f t="shared" si="1"/>
        <v>5.07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11.3575</v>
      </c>
      <c r="C36" s="40">
        <f t="shared" si="2"/>
        <v>24.602083333333336</v>
      </c>
      <c r="D36" s="40">
        <f t="shared" si="2"/>
        <v>23.103749999999994</v>
      </c>
      <c r="E36" s="40">
        <f t="shared" si="2"/>
        <v>6.5841666666666674</v>
      </c>
      <c r="F36" s="40">
        <f t="shared" si="2"/>
        <v>5.9420833333333327</v>
      </c>
      <c r="G36" s="40">
        <f t="shared" si="2"/>
        <v>83.442608695652154</v>
      </c>
      <c r="H36" s="40">
        <f t="shared" si="2"/>
        <v>30.919130434782609</v>
      </c>
      <c r="I36" s="40">
        <f t="shared" si="2"/>
        <v>7.180833333333335</v>
      </c>
      <c r="J36" s="40">
        <f t="shared" si="2"/>
        <v>0.21958333333333338</v>
      </c>
      <c r="K36" s="40">
        <f t="shared" si="2"/>
        <v>201.31666666666669</v>
      </c>
      <c r="L36" s="40">
        <f t="shared" si="2"/>
        <v>24.96833333333333</v>
      </c>
      <c r="M36" s="40">
        <f t="shared" si="2"/>
        <v>68.870416666666685</v>
      </c>
      <c r="N36" s="40">
        <f t="shared" si="2"/>
        <v>154.89166666666668</v>
      </c>
      <c r="O36" s="40">
        <f t="shared" si="2"/>
        <v>0</v>
      </c>
      <c r="P36" s="40">
        <f t="shared" si="2"/>
        <v>0.85375000000000012</v>
      </c>
      <c r="Q36" s="40">
        <f t="shared" si="2"/>
        <v>4.5687500000000005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5.396629584246563</v>
      </c>
      <c r="C37" s="40">
        <f t="shared" ref="C37:Q37" si="3">STDEV(C9:C32)</f>
        <v>2.6801281266689752</v>
      </c>
      <c r="D37" s="40">
        <f t="shared" si="3"/>
        <v>5.0703878699931986</v>
      </c>
      <c r="E37" s="40">
        <f t="shared" si="3"/>
        <v>2.7914635660491269</v>
      </c>
      <c r="F37" s="40">
        <f t="shared" si="3"/>
        <v>8.7468935997259933</v>
      </c>
      <c r="G37" s="40">
        <f t="shared" si="3"/>
        <v>11.404209038529185</v>
      </c>
      <c r="H37" s="40">
        <f t="shared" si="3"/>
        <v>3.6275861158169582</v>
      </c>
      <c r="I37" s="40">
        <f t="shared" si="3"/>
        <v>1.2964698446053342</v>
      </c>
      <c r="J37" s="40">
        <f t="shared" si="3"/>
        <v>0.10956352799479689</v>
      </c>
      <c r="K37" s="40">
        <f t="shared" si="3"/>
        <v>58.439549344054861</v>
      </c>
      <c r="L37" s="40">
        <f t="shared" si="3"/>
        <v>4.9050645226148255</v>
      </c>
      <c r="M37" s="40">
        <f t="shared" si="3"/>
        <v>21.267027035983958</v>
      </c>
      <c r="N37" s="40">
        <f t="shared" si="3"/>
        <v>223.79274945838824</v>
      </c>
      <c r="O37" s="40">
        <f t="shared" si="3"/>
        <v>0</v>
      </c>
      <c r="P37" s="40">
        <f t="shared" si="3"/>
        <v>0.10420767308809246</v>
      </c>
      <c r="Q37" s="40">
        <f t="shared" si="3"/>
        <v>0.27858825000970078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v>24</v>
      </c>
      <c r="H38" s="45"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0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 ht="25.5" customHeigh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11/11/2023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300</v>
      </c>
      <c r="B9" s="51">
        <v>8.89</v>
      </c>
      <c r="C9" s="51">
        <v>25.39</v>
      </c>
      <c r="D9" s="51">
        <v>21.52</v>
      </c>
      <c r="E9" s="51">
        <v>7.53</v>
      </c>
      <c r="F9" s="51">
        <v>2.81</v>
      </c>
      <c r="G9" s="51">
        <v>83.87</v>
      </c>
      <c r="H9" s="51">
        <v>37.450000000000003</v>
      </c>
      <c r="I9" s="51">
        <v>8.11</v>
      </c>
      <c r="J9" s="51">
        <v>0.18</v>
      </c>
      <c r="K9" s="51">
        <v>235.2</v>
      </c>
      <c r="L9" s="51">
        <v>21.13</v>
      </c>
      <c r="M9" s="51">
        <v>84.19</v>
      </c>
      <c r="N9" s="51">
        <v>0</v>
      </c>
      <c r="O9" s="51">
        <v>0</v>
      </c>
      <c r="P9" s="51">
        <v>1.03</v>
      </c>
      <c r="Q9" s="51">
        <v>4.5</v>
      </c>
    </row>
    <row r="10" spans="1:21" customFormat="1">
      <c r="A10" s="50" t="s">
        <v>301</v>
      </c>
      <c r="B10" s="51">
        <v>9.86</v>
      </c>
      <c r="C10" s="51">
        <v>27.07</v>
      </c>
      <c r="D10" s="51">
        <v>23.4</v>
      </c>
      <c r="E10" s="51">
        <v>7.62</v>
      </c>
      <c r="F10" s="51">
        <v>2.75</v>
      </c>
      <c r="G10" s="51">
        <v>90.83</v>
      </c>
      <c r="H10" s="51">
        <v>40.85</v>
      </c>
      <c r="I10" s="51">
        <v>8.8699999999999992</v>
      </c>
      <c r="J10" s="51">
        <v>0.16</v>
      </c>
      <c r="K10" s="51">
        <v>240.4</v>
      </c>
      <c r="L10" s="51">
        <v>21.24</v>
      </c>
      <c r="M10" s="51">
        <v>88.59</v>
      </c>
      <c r="N10" s="51">
        <v>0</v>
      </c>
      <c r="O10" s="51">
        <v>0</v>
      </c>
      <c r="P10" s="51">
        <v>1.06</v>
      </c>
      <c r="Q10" s="51">
        <v>4.5599999999999996</v>
      </c>
    </row>
    <row r="11" spans="1:21" customFormat="1">
      <c r="A11" s="50" t="s">
        <v>302</v>
      </c>
      <c r="B11" s="51">
        <v>9.5399999999999991</v>
      </c>
      <c r="C11" s="51">
        <v>26.26</v>
      </c>
      <c r="D11" s="51">
        <v>22.56</v>
      </c>
      <c r="E11" s="51">
        <v>6.46</v>
      </c>
      <c r="F11" s="51">
        <v>2.69</v>
      </c>
      <c r="G11" s="51">
        <v>90.83</v>
      </c>
      <c r="H11" s="51">
        <v>40.85</v>
      </c>
      <c r="I11" s="51">
        <v>8.92</v>
      </c>
      <c r="J11" s="51">
        <v>0.13</v>
      </c>
      <c r="K11" s="51">
        <v>174.45</v>
      </c>
      <c r="L11" s="51">
        <v>20.49</v>
      </c>
      <c r="M11" s="51">
        <v>89.6</v>
      </c>
      <c r="N11" s="51">
        <v>0</v>
      </c>
      <c r="O11" s="51">
        <v>0</v>
      </c>
      <c r="P11" s="51">
        <v>1.05</v>
      </c>
      <c r="Q11" s="51">
        <v>4.53</v>
      </c>
    </row>
    <row r="12" spans="1:21" customFormat="1">
      <c r="A12" s="50" t="s">
        <v>303</v>
      </c>
      <c r="B12" s="51">
        <v>13.46</v>
      </c>
      <c r="C12" s="51">
        <v>26.79</v>
      </c>
      <c r="D12" s="51">
        <v>25.58</v>
      </c>
      <c r="E12" s="51">
        <v>6.45</v>
      </c>
      <c r="F12" s="51">
        <v>2.8</v>
      </c>
      <c r="G12" s="51">
        <v>88.46</v>
      </c>
      <c r="H12" s="51">
        <v>39.880000000000003</v>
      </c>
      <c r="I12" s="51">
        <v>9</v>
      </c>
      <c r="J12" s="51">
        <v>0.21</v>
      </c>
      <c r="K12" s="51">
        <v>223.45</v>
      </c>
      <c r="L12" s="51">
        <v>20.57</v>
      </c>
      <c r="M12" s="51">
        <v>94</v>
      </c>
      <c r="N12" s="51">
        <v>0</v>
      </c>
      <c r="O12" s="51">
        <v>0</v>
      </c>
      <c r="P12" s="51">
        <v>1.03</v>
      </c>
      <c r="Q12" s="51">
        <v>4.7</v>
      </c>
    </row>
    <row r="13" spans="1:21" customFormat="1">
      <c r="A13" s="50" t="s">
        <v>304</v>
      </c>
      <c r="B13" s="51">
        <v>19.559999999999999</v>
      </c>
      <c r="C13" s="51">
        <v>23.51</v>
      </c>
      <c r="D13" s="51">
        <v>29.01</v>
      </c>
      <c r="E13" s="51">
        <v>5.42</v>
      </c>
      <c r="F13" s="51">
        <v>2.92</v>
      </c>
      <c r="G13" s="51">
        <v>88.46</v>
      </c>
      <c r="H13" s="51">
        <v>38.93</v>
      </c>
      <c r="I13" s="51">
        <v>9.25</v>
      </c>
      <c r="J13" s="51">
        <v>0.09</v>
      </c>
      <c r="K13" s="51">
        <v>198.59</v>
      </c>
      <c r="L13" s="51">
        <v>19.760000000000002</v>
      </c>
      <c r="M13" s="51">
        <v>92.5</v>
      </c>
      <c r="N13" s="51">
        <v>0</v>
      </c>
      <c r="O13" s="51">
        <v>0</v>
      </c>
      <c r="P13" s="51">
        <v>1</v>
      </c>
      <c r="Q13" s="51">
        <v>4.8499999999999996</v>
      </c>
    </row>
    <row r="14" spans="1:21" customFormat="1">
      <c r="A14" s="50" t="s">
        <v>305</v>
      </c>
      <c r="B14" s="51">
        <v>24.49</v>
      </c>
      <c r="C14" s="51">
        <v>25.37</v>
      </c>
      <c r="D14" s="51">
        <v>33.880000000000003</v>
      </c>
      <c r="E14" s="51">
        <v>5.75</v>
      </c>
      <c r="F14" s="51">
        <v>2.6</v>
      </c>
      <c r="G14" s="51">
        <v>97.07</v>
      </c>
      <c r="H14" s="51">
        <v>43.56</v>
      </c>
      <c r="I14" s="51">
        <v>10.07</v>
      </c>
      <c r="J14" s="51">
        <v>0.19</v>
      </c>
      <c r="K14" s="51">
        <v>186.33</v>
      </c>
      <c r="L14" s="51">
        <v>19.79</v>
      </c>
      <c r="M14" s="51">
        <v>92.27</v>
      </c>
      <c r="N14" s="51">
        <v>0</v>
      </c>
      <c r="O14" s="51">
        <v>0</v>
      </c>
      <c r="P14" s="51">
        <v>1.08</v>
      </c>
      <c r="Q14" s="51">
        <v>5.09</v>
      </c>
    </row>
    <row r="15" spans="1:21" customFormat="1">
      <c r="A15" s="50" t="s">
        <v>306</v>
      </c>
      <c r="B15" s="51">
        <v>24.89</v>
      </c>
      <c r="C15" s="51">
        <v>25.14</v>
      </c>
      <c r="D15" s="51">
        <v>34.450000000000003</v>
      </c>
      <c r="E15" s="51">
        <v>5.74</v>
      </c>
      <c r="F15" s="51">
        <v>2.69</v>
      </c>
      <c r="G15" s="51">
        <v>101.58</v>
      </c>
      <c r="H15" s="51">
        <v>46.41</v>
      </c>
      <c r="I15" s="51">
        <v>10.85</v>
      </c>
      <c r="J15" s="51">
        <v>0.25</v>
      </c>
      <c r="K15" s="51">
        <v>208.28</v>
      </c>
      <c r="L15" s="51">
        <v>19.82</v>
      </c>
      <c r="M15" s="51">
        <v>93.62</v>
      </c>
      <c r="N15" s="51">
        <v>26.1</v>
      </c>
      <c r="O15" s="51">
        <v>0</v>
      </c>
      <c r="P15" s="51">
        <v>1.1000000000000001</v>
      </c>
      <c r="Q15" s="51">
        <v>5.12</v>
      </c>
    </row>
    <row r="16" spans="1:21" customFormat="1">
      <c r="A16" s="50" t="s">
        <v>307</v>
      </c>
      <c r="B16" s="51">
        <v>24.25</v>
      </c>
      <c r="C16" s="51">
        <v>25.5</v>
      </c>
      <c r="D16" s="51">
        <v>33.729999999999997</v>
      </c>
      <c r="E16" s="51">
        <v>5.81</v>
      </c>
      <c r="F16" s="51">
        <v>2.76</v>
      </c>
      <c r="G16" s="51">
        <v>112.83</v>
      </c>
      <c r="H16" s="51">
        <v>47.25</v>
      </c>
      <c r="I16" s="51">
        <v>11.25</v>
      </c>
      <c r="J16" s="51">
        <v>0.21</v>
      </c>
      <c r="K16" s="51">
        <v>264.24</v>
      </c>
      <c r="L16" s="51">
        <v>22.88</v>
      </c>
      <c r="M16" s="51">
        <v>86.9</v>
      </c>
      <c r="N16" s="51">
        <v>151.6</v>
      </c>
      <c r="O16" s="51">
        <v>0</v>
      </c>
      <c r="P16" s="51">
        <v>1.1299999999999999</v>
      </c>
      <c r="Q16" s="51">
        <v>5.0999999999999996</v>
      </c>
    </row>
    <row r="17" spans="1:17" customFormat="1">
      <c r="A17" s="50" t="s">
        <v>308</v>
      </c>
      <c r="B17" s="51">
        <v>23.71</v>
      </c>
      <c r="C17" s="51">
        <v>27.58</v>
      </c>
      <c r="D17" s="51">
        <v>33.32</v>
      </c>
      <c r="E17" s="51">
        <v>5.82</v>
      </c>
      <c r="F17" s="51">
        <v>2.85</v>
      </c>
      <c r="G17" s="51">
        <v>124.65</v>
      </c>
      <c r="H17" s="51">
        <v>52.43</v>
      </c>
      <c r="I17" s="51">
        <v>11.68</v>
      </c>
      <c r="J17" s="51">
        <v>0.26</v>
      </c>
      <c r="K17" s="51">
        <v>256.24</v>
      </c>
      <c r="L17" s="51">
        <v>26.65</v>
      </c>
      <c r="M17" s="51">
        <v>74.64</v>
      </c>
      <c r="N17" s="51">
        <v>287.8</v>
      </c>
      <c r="O17" s="51">
        <v>0</v>
      </c>
      <c r="P17" s="51">
        <v>1.17</v>
      </c>
      <c r="Q17" s="51">
        <v>5.09</v>
      </c>
    </row>
    <row r="18" spans="1:17" customFormat="1">
      <c r="A18" s="50" t="s">
        <v>309</v>
      </c>
      <c r="B18" s="51">
        <v>16.62</v>
      </c>
      <c r="C18" s="51">
        <v>30.42</v>
      </c>
      <c r="D18" s="51">
        <v>29.73</v>
      </c>
      <c r="E18" s="51">
        <v>6.92</v>
      </c>
      <c r="F18" s="51">
        <v>4.03</v>
      </c>
      <c r="G18" s="51">
        <v>125.13</v>
      </c>
      <c r="H18" s="51">
        <v>53.71</v>
      </c>
      <c r="I18" s="51">
        <v>11.95</v>
      </c>
      <c r="J18" s="51">
        <v>0.2</v>
      </c>
      <c r="K18" s="51">
        <v>294.39999999999998</v>
      </c>
      <c r="L18" s="51">
        <v>29.06</v>
      </c>
      <c r="M18" s="51">
        <v>61.08</v>
      </c>
      <c r="N18" s="51">
        <v>416.2</v>
      </c>
      <c r="O18" s="51">
        <v>0</v>
      </c>
      <c r="P18" s="51">
        <v>1.2</v>
      </c>
      <c r="Q18" s="51">
        <v>4.8600000000000003</v>
      </c>
    </row>
    <row r="19" spans="1:17" customFormat="1">
      <c r="A19" s="50" t="s">
        <v>310</v>
      </c>
      <c r="B19" s="51">
        <v>7.41</v>
      </c>
      <c r="C19" s="51">
        <v>29.68</v>
      </c>
      <c r="D19" s="51">
        <v>22.8</v>
      </c>
      <c r="E19" s="51">
        <v>8.77</v>
      </c>
      <c r="F19" s="51">
        <v>6.2</v>
      </c>
      <c r="G19" s="51">
        <v>125.13</v>
      </c>
      <c r="H19" s="51">
        <v>53.71</v>
      </c>
      <c r="I19" s="51">
        <v>11.86</v>
      </c>
      <c r="J19" s="51">
        <v>0.2</v>
      </c>
      <c r="K19" s="51">
        <v>226.83</v>
      </c>
      <c r="L19" s="51">
        <v>31.28</v>
      </c>
      <c r="M19" s="51">
        <v>47.85</v>
      </c>
      <c r="N19" s="51">
        <v>479</v>
      </c>
      <c r="O19" s="51">
        <v>0</v>
      </c>
      <c r="P19" s="51">
        <v>1.1599999999999999</v>
      </c>
      <c r="Q19" s="51">
        <v>4.45</v>
      </c>
    </row>
    <row r="20" spans="1:17" customFormat="1">
      <c r="A20" s="50" t="s">
        <v>311</v>
      </c>
      <c r="B20" s="51">
        <v>4.74</v>
      </c>
      <c r="C20" s="51">
        <v>25.41</v>
      </c>
      <c r="D20" s="51">
        <v>18.43</v>
      </c>
      <c r="E20" s="51">
        <v>8.94</v>
      </c>
      <c r="F20" s="51">
        <v>8.6199999999999992</v>
      </c>
      <c r="G20" s="51">
        <v>116.44</v>
      </c>
      <c r="H20" s="51">
        <v>51.08</v>
      </c>
      <c r="I20" s="51">
        <v>10.83</v>
      </c>
      <c r="J20" s="51">
        <v>0.32</v>
      </c>
      <c r="K20" s="51">
        <v>309.20999999999998</v>
      </c>
      <c r="L20" s="51">
        <v>31.64</v>
      </c>
      <c r="M20" s="51">
        <v>42.45</v>
      </c>
      <c r="N20" s="51">
        <v>504.5</v>
      </c>
      <c r="O20" s="51">
        <v>0</v>
      </c>
      <c r="P20" s="51">
        <v>1.0900000000000001</v>
      </c>
      <c r="Q20" s="51">
        <v>4.3</v>
      </c>
    </row>
    <row r="21" spans="1:17" customFormat="1">
      <c r="A21" s="50" t="s">
        <v>312</v>
      </c>
      <c r="B21" s="51">
        <v>4.6100000000000003</v>
      </c>
      <c r="C21" s="51">
        <v>24.65</v>
      </c>
      <c r="D21" s="51">
        <v>17.93</v>
      </c>
      <c r="E21" s="51">
        <v>9.18</v>
      </c>
      <c r="F21" s="51">
        <v>9</v>
      </c>
      <c r="G21" s="51">
        <v>117.5</v>
      </c>
      <c r="H21" s="51">
        <v>50.67</v>
      </c>
      <c r="I21" s="51">
        <v>10.42</v>
      </c>
      <c r="J21" s="51">
        <v>0.32</v>
      </c>
      <c r="K21" s="51">
        <v>316.23</v>
      </c>
      <c r="L21" s="51">
        <v>32.01</v>
      </c>
      <c r="M21" s="51">
        <v>39.79</v>
      </c>
      <c r="N21" s="51">
        <v>438.7</v>
      </c>
      <c r="O21" s="51">
        <v>0</v>
      </c>
      <c r="P21" s="51">
        <v>1.1200000000000001</v>
      </c>
      <c r="Q21" s="51">
        <v>4.28</v>
      </c>
    </row>
    <row r="22" spans="1:17" customFormat="1">
      <c r="A22" s="50" t="s">
        <v>313</v>
      </c>
      <c r="B22" s="51">
        <v>4.79</v>
      </c>
      <c r="C22" s="51">
        <v>24.31</v>
      </c>
      <c r="D22" s="51">
        <v>17.8</v>
      </c>
      <c r="E22" s="51">
        <v>9.9499999999999993</v>
      </c>
      <c r="F22" s="51">
        <v>8.5299999999999994</v>
      </c>
      <c r="G22" s="51">
        <v>121.98</v>
      </c>
      <c r="H22" s="51">
        <v>54.21</v>
      </c>
      <c r="I22" s="51">
        <v>10.34</v>
      </c>
      <c r="J22" s="51">
        <v>0.2</v>
      </c>
      <c r="K22" s="51">
        <v>235.58</v>
      </c>
      <c r="L22" s="51">
        <v>32.340000000000003</v>
      </c>
      <c r="M22" s="51">
        <v>41.42</v>
      </c>
      <c r="N22" s="51">
        <v>334.7</v>
      </c>
      <c r="O22" s="51">
        <v>0</v>
      </c>
      <c r="P22" s="51">
        <v>1.0900000000000001</v>
      </c>
      <c r="Q22" s="51">
        <v>4.2699999999999996</v>
      </c>
    </row>
    <row r="23" spans="1:17" customFormat="1">
      <c r="A23" s="50" t="s">
        <v>314</v>
      </c>
      <c r="B23" s="51">
        <v>4.9000000000000004</v>
      </c>
      <c r="C23" s="51">
        <v>21.59</v>
      </c>
      <c r="D23" s="51">
        <v>16.559999999999999</v>
      </c>
      <c r="E23" s="51">
        <v>13.56</v>
      </c>
      <c r="F23" s="51">
        <v>16.09</v>
      </c>
      <c r="G23" s="51">
        <v>121.98</v>
      </c>
      <c r="H23" s="51">
        <v>54.21</v>
      </c>
      <c r="I23" s="51">
        <v>9.7799999999999994</v>
      </c>
      <c r="J23" s="51">
        <v>0.25</v>
      </c>
      <c r="K23" s="51">
        <v>171.39</v>
      </c>
      <c r="L23" s="51">
        <v>31.66</v>
      </c>
      <c r="M23" s="51">
        <v>44.57</v>
      </c>
      <c r="N23" s="51">
        <v>223.4</v>
      </c>
      <c r="O23" s="51">
        <v>0</v>
      </c>
      <c r="P23" s="51">
        <v>0.99</v>
      </c>
      <c r="Q23" s="51">
        <v>4.21</v>
      </c>
    </row>
    <row r="24" spans="1:17" customFormat="1">
      <c r="A24" s="50" t="s">
        <v>315</v>
      </c>
      <c r="B24" s="51">
        <v>4.84</v>
      </c>
      <c r="C24" s="51">
        <v>18.43</v>
      </c>
      <c r="D24" s="51">
        <v>14.86</v>
      </c>
      <c r="E24" s="51">
        <v>14.28</v>
      </c>
      <c r="F24" s="51">
        <v>17.84</v>
      </c>
      <c r="G24" s="51">
        <v>119.39</v>
      </c>
      <c r="H24" s="51">
        <v>50.78</v>
      </c>
      <c r="I24" s="51">
        <v>9.36</v>
      </c>
      <c r="J24" s="51">
        <v>0.3</v>
      </c>
      <c r="K24" s="51">
        <v>170.49</v>
      </c>
      <c r="L24" s="51">
        <v>30.58</v>
      </c>
      <c r="M24" s="51">
        <v>46.39</v>
      </c>
      <c r="N24" s="51">
        <v>92.5</v>
      </c>
      <c r="O24" s="51">
        <v>0</v>
      </c>
      <c r="P24" s="51">
        <v>0.95</v>
      </c>
      <c r="Q24" s="51">
        <v>4.17</v>
      </c>
    </row>
    <row r="25" spans="1:17" customFormat="1">
      <c r="A25" s="50" t="s">
        <v>316</v>
      </c>
      <c r="B25" s="51">
        <v>4.9800000000000004</v>
      </c>
      <c r="C25" s="51">
        <v>20</v>
      </c>
      <c r="D25" s="51">
        <v>15.79</v>
      </c>
      <c r="E25" s="51">
        <v>20.260000000000002</v>
      </c>
      <c r="F25" s="51">
        <v>16.97</v>
      </c>
      <c r="G25" s="51">
        <v>110.12</v>
      </c>
      <c r="H25" s="51">
        <v>49.42</v>
      </c>
      <c r="I25" s="51">
        <v>8.9700000000000006</v>
      </c>
      <c r="J25" s="51">
        <v>0.26</v>
      </c>
      <c r="K25" s="51">
        <v>174.11</v>
      </c>
      <c r="L25" s="51">
        <v>29.35</v>
      </c>
      <c r="M25" s="51">
        <v>57.19</v>
      </c>
      <c r="N25" s="51">
        <v>35.700000000000003</v>
      </c>
      <c r="O25" s="51">
        <v>0</v>
      </c>
      <c r="P25" s="51">
        <v>0.94</v>
      </c>
      <c r="Q25" s="51">
        <v>4.17</v>
      </c>
    </row>
    <row r="26" spans="1:17" customFormat="1">
      <c r="A26" s="50" t="s">
        <v>317</v>
      </c>
      <c r="B26" s="51">
        <v>6.1</v>
      </c>
      <c r="C26" s="51">
        <v>23.54</v>
      </c>
      <c r="D26" s="51">
        <v>18.55</v>
      </c>
      <c r="E26" s="51">
        <v>10.17</v>
      </c>
      <c r="F26" s="51">
        <v>6.15</v>
      </c>
      <c r="G26" s="51">
        <v>122.31</v>
      </c>
      <c r="H26" s="51">
        <v>51.61</v>
      </c>
      <c r="I26" s="51">
        <v>9.19</v>
      </c>
      <c r="J26" s="51">
        <v>0.27</v>
      </c>
      <c r="K26" s="51">
        <v>172.58</v>
      </c>
      <c r="L26" s="51">
        <v>27.24</v>
      </c>
      <c r="M26" s="51">
        <v>73.599999999999994</v>
      </c>
      <c r="N26" s="51">
        <v>0</v>
      </c>
      <c r="O26" s="51">
        <v>0</v>
      </c>
      <c r="P26" s="51">
        <v>0.98</v>
      </c>
      <c r="Q26" s="51">
        <v>4.24</v>
      </c>
    </row>
    <row r="27" spans="1:17" customFormat="1">
      <c r="A27" s="50" t="s">
        <v>318</v>
      </c>
      <c r="B27" s="51">
        <v>7.51</v>
      </c>
      <c r="C27" s="51">
        <v>25.39</v>
      </c>
      <c r="D27" s="51">
        <v>20.58</v>
      </c>
      <c r="E27" s="51">
        <v>9.36</v>
      </c>
      <c r="F27" s="51">
        <v>3.27</v>
      </c>
      <c r="G27" s="51">
        <v>135.63999999999999</v>
      </c>
      <c r="H27" s="51">
        <v>53.33</v>
      </c>
      <c r="I27" s="51">
        <v>9.6</v>
      </c>
      <c r="J27" s="51">
        <v>0.22</v>
      </c>
      <c r="K27" s="51">
        <v>214.71</v>
      </c>
      <c r="L27" s="51">
        <v>25.45</v>
      </c>
      <c r="M27" s="51">
        <v>73.62</v>
      </c>
      <c r="N27" s="51">
        <v>0</v>
      </c>
      <c r="O27" s="51">
        <v>0</v>
      </c>
      <c r="P27" s="51">
        <v>1.1499999999999999</v>
      </c>
      <c r="Q27" s="51">
        <v>4.34</v>
      </c>
    </row>
    <row r="28" spans="1:17" customFormat="1">
      <c r="A28" s="50" t="s">
        <v>319</v>
      </c>
      <c r="B28" s="51">
        <v>6.74</v>
      </c>
      <c r="C28" s="51">
        <v>25.25</v>
      </c>
      <c r="D28" s="51">
        <v>19.940000000000001</v>
      </c>
      <c r="E28" s="51">
        <v>9.0399999999999991</v>
      </c>
      <c r="F28" s="51">
        <v>3.88</v>
      </c>
      <c r="G28" s="51">
        <v>135.63999999999999</v>
      </c>
      <c r="H28" s="51">
        <v>53.33</v>
      </c>
      <c r="I28" s="51">
        <v>9.82</v>
      </c>
      <c r="J28" s="51">
        <v>0.11</v>
      </c>
      <c r="K28" s="51">
        <v>225.82</v>
      </c>
      <c r="L28" s="51">
        <v>24.17</v>
      </c>
      <c r="M28" s="51">
        <v>77.930000000000007</v>
      </c>
      <c r="N28" s="51">
        <v>0</v>
      </c>
      <c r="O28" s="51">
        <v>0</v>
      </c>
      <c r="P28" s="51">
        <v>1.1399999999999999</v>
      </c>
      <c r="Q28" s="51">
        <v>4.32</v>
      </c>
    </row>
    <row r="29" spans="1:17" customFormat="1">
      <c r="A29" s="50" t="s">
        <v>320</v>
      </c>
      <c r="B29" s="51">
        <v>5.68</v>
      </c>
      <c r="C29" s="51">
        <v>23.83</v>
      </c>
      <c r="D29" s="51">
        <v>18.329999999999998</v>
      </c>
      <c r="E29" s="51">
        <v>8.59</v>
      </c>
      <c r="F29" s="51">
        <v>3.8</v>
      </c>
      <c r="G29" s="51">
        <v>115.48</v>
      </c>
      <c r="H29" s="51">
        <v>50.93</v>
      </c>
      <c r="I29" s="51">
        <v>9.1999999999999993</v>
      </c>
      <c r="J29" s="51">
        <v>0.17</v>
      </c>
      <c r="K29" s="51">
        <v>193.34</v>
      </c>
      <c r="L29" s="51">
        <v>23.48</v>
      </c>
      <c r="M29" s="51">
        <v>81.84</v>
      </c>
      <c r="N29" s="51">
        <v>0</v>
      </c>
      <c r="O29" s="51">
        <v>0</v>
      </c>
      <c r="P29" s="51">
        <v>1.05</v>
      </c>
      <c r="Q29" s="51">
        <v>4.32</v>
      </c>
    </row>
    <row r="30" spans="1:17" customFormat="1">
      <c r="A30" s="50" t="s">
        <v>321</v>
      </c>
      <c r="B30" s="51">
        <v>5.8</v>
      </c>
      <c r="C30" s="51">
        <v>22.99</v>
      </c>
      <c r="D30" s="51">
        <v>17.940000000000001</v>
      </c>
      <c r="E30" s="51">
        <v>8.66</v>
      </c>
      <c r="F30" s="51">
        <v>3.45</v>
      </c>
      <c r="G30" s="51">
        <v>96.51</v>
      </c>
      <c r="H30" s="51">
        <v>47.26</v>
      </c>
      <c r="I30" s="51">
        <v>8.5</v>
      </c>
      <c r="J30" s="51">
        <v>0.14000000000000001</v>
      </c>
      <c r="K30" s="51">
        <v>215.95</v>
      </c>
      <c r="L30" s="51">
        <v>22.81</v>
      </c>
      <c r="M30" s="51">
        <v>82.15</v>
      </c>
      <c r="N30" s="51">
        <v>0</v>
      </c>
      <c r="O30" s="51">
        <v>0</v>
      </c>
      <c r="P30" s="51">
        <v>0.99</v>
      </c>
      <c r="Q30" s="51">
        <v>4.3099999999999996</v>
      </c>
    </row>
    <row r="31" spans="1:17" customFormat="1">
      <c r="A31" s="50" t="s">
        <v>322</v>
      </c>
      <c r="B31" s="51">
        <v>6.21</v>
      </c>
      <c r="C31" s="51">
        <v>22.4</v>
      </c>
      <c r="D31" s="51">
        <v>18.010000000000002</v>
      </c>
      <c r="E31" s="51">
        <v>8.6</v>
      </c>
      <c r="F31" s="51">
        <v>3.21</v>
      </c>
      <c r="G31" s="51">
        <v>85.22</v>
      </c>
      <c r="H31" s="51">
        <v>43.76</v>
      </c>
      <c r="I31" s="51">
        <v>7.91</v>
      </c>
      <c r="J31" s="51">
        <v>0.19</v>
      </c>
      <c r="K31" s="51">
        <v>213.16</v>
      </c>
      <c r="L31" s="51">
        <v>22.36</v>
      </c>
      <c r="M31" s="51">
        <v>90.92</v>
      </c>
      <c r="N31" s="51">
        <v>0</v>
      </c>
      <c r="O31" s="51">
        <v>0</v>
      </c>
      <c r="P31" s="51">
        <v>0.95</v>
      </c>
      <c r="Q31" s="51">
        <v>4.33</v>
      </c>
    </row>
    <row r="32" spans="1:17" customFormat="1">
      <c r="A32" s="50" t="s">
        <v>323</v>
      </c>
      <c r="B32" s="51">
        <v>6.91</v>
      </c>
      <c r="C32" s="51">
        <v>22.56</v>
      </c>
      <c r="D32" s="51">
        <v>18.43</v>
      </c>
      <c r="E32" s="51">
        <v>8.84</v>
      </c>
      <c r="F32" s="51">
        <v>3.02</v>
      </c>
      <c r="G32" s="51">
        <v>82.79</v>
      </c>
      <c r="H32" s="51">
        <v>44.35</v>
      </c>
      <c r="I32" s="51">
        <v>8.2100000000000009</v>
      </c>
      <c r="J32" s="51">
        <v>0.19</v>
      </c>
      <c r="K32" s="51">
        <v>209.74</v>
      </c>
      <c r="L32" s="51">
        <v>21.93</v>
      </c>
      <c r="M32" s="51">
        <v>90.32</v>
      </c>
      <c r="N32" s="51">
        <v>0</v>
      </c>
      <c r="O32" s="51">
        <v>0</v>
      </c>
      <c r="P32" s="51">
        <v>0.97</v>
      </c>
      <c r="Q32" s="51">
        <v>4.3600000000000003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4.6100000000000003</v>
      </c>
      <c r="C34" s="40">
        <f t="shared" si="0"/>
        <v>18.43</v>
      </c>
      <c r="D34" s="40">
        <f t="shared" si="0"/>
        <v>14.86</v>
      </c>
      <c r="E34" s="40">
        <f t="shared" si="0"/>
        <v>5.42</v>
      </c>
      <c r="F34" s="40">
        <f t="shared" si="0"/>
        <v>2.6</v>
      </c>
      <c r="G34" s="40">
        <f t="shared" si="0"/>
        <v>82.79</v>
      </c>
      <c r="H34" s="40">
        <f t="shared" si="0"/>
        <v>37.450000000000003</v>
      </c>
      <c r="I34" s="40">
        <f t="shared" si="0"/>
        <v>7.91</v>
      </c>
      <c r="J34" s="40">
        <f t="shared" si="0"/>
        <v>0.09</v>
      </c>
      <c r="K34" s="40">
        <f t="shared" si="0"/>
        <v>170.49</v>
      </c>
      <c r="L34" s="40">
        <f t="shared" si="0"/>
        <v>19.760000000000002</v>
      </c>
      <c r="M34" s="40">
        <f t="shared" si="0"/>
        <v>39.79</v>
      </c>
      <c r="N34" s="40">
        <f t="shared" si="0"/>
        <v>0</v>
      </c>
      <c r="O34" s="40">
        <f t="shared" si="0"/>
        <v>0</v>
      </c>
      <c r="P34" s="40">
        <f t="shared" si="0"/>
        <v>0.94</v>
      </c>
      <c r="Q34" s="40">
        <f t="shared" si="0"/>
        <v>4.17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24.89</v>
      </c>
      <c r="C35" s="33">
        <f t="shared" si="1"/>
        <v>30.42</v>
      </c>
      <c r="D35" s="33">
        <f t="shared" si="1"/>
        <v>34.450000000000003</v>
      </c>
      <c r="E35" s="33">
        <f t="shared" si="1"/>
        <v>20.260000000000002</v>
      </c>
      <c r="F35" s="33">
        <f t="shared" si="1"/>
        <v>17.84</v>
      </c>
      <c r="G35" s="33">
        <f t="shared" si="1"/>
        <v>135.63999999999999</v>
      </c>
      <c r="H35" s="33">
        <f t="shared" si="1"/>
        <v>54.21</v>
      </c>
      <c r="I35" s="33">
        <f t="shared" si="1"/>
        <v>11.95</v>
      </c>
      <c r="J35" s="33">
        <f t="shared" si="1"/>
        <v>0.32</v>
      </c>
      <c r="K35" s="33">
        <f t="shared" si="1"/>
        <v>316.23</v>
      </c>
      <c r="L35" s="33">
        <f t="shared" si="1"/>
        <v>32.340000000000003</v>
      </c>
      <c r="M35" s="33">
        <f t="shared" si="1"/>
        <v>94</v>
      </c>
      <c r="N35" s="33">
        <f t="shared" si="1"/>
        <v>504.5</v>
      </c>
      <c r="O35" s="33">
        <f t="shared" si="1"/>
        <v>0</v>
      </c>
      <c r="P35" s="33">
        <f t="shared" si="1"/>
        <v>1.2</v>
      </c>
      <c r="Q35" s="33">
        <f t="shared" si="1"/>
        <v>5.12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10.687083333333335</v>
      </c>
      <c r="C36" s="40">
        <f t="shared" si="2"/>
        <v>24.71083333333333</v>
      </c>
      <c r="D36" s="40">
        <f t="shared" si="2"/>
        <v>22.630416666666672</v>
      </c>
      <c r="E36" s="40">
        <f t="shared" si="2"/>
        <v>8.8216666666666637</v>
      </c>
      <c r="F36" s="40">
        <f t="shared" si="2"/>
        <v>5.7887500000000003</v>
      </c>
      <c r="G36" s="40">
        <f t="shared" si="2"/>
        <v>108.74333333333334</v>
      </c>
      <c r="H36" s="40">
        <f t="shared" si="2"/>
        <v>47.915416666666665</v>
      </c>
      <c r="I36" s="40">
        <f t="shared" si="2"/>
        <v>9.7475000000000005</v>
      </c>
      <c r="J36" s="40">
        <f t="shared" si="2"/>
        <v>0.2091666666666667</v>
      </c>
      <c r="K36" s="40">
        <f t="shared" si="2"/>
        <v>222.11333333333326</v>
      </c>
      <c r="L36" s="40">
        <f t="shared" si="2"/>
        <v>25.320416666666663</v>
      </c>
      <c r="M36" s="40">
        <f t="shared" si="2"/>
        <v>72.809583333333336</v>
      </c>
      <c r="N36" s="40">
        <f t="shared" si="2"/>
        <v>124.59166666666665</v>
      </c>
      <c r="O36" s="40">
        <f t="shared" si="2"/>
        <v>0</v>
      </c>
      <c r="P36" s="40">
        <f t="shared" si="2"/>
        <v>1.0591666666666664</v>
      </c>
      <c r="Q36" s="40">
        <f t="shared" si="2"/>
        <v>4.5195833333333333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7.2851304659420526</v>
      </c>
      <c r="C37" s="40">
        <f t="shared" ref="C37:Q37" si="3">STDEV(C9:C32)</f>
        <v>2.7091807147046687</v>
      </c>
      <c r="D37" s="40">
        <f t="shared" si="3"/>
        <v>6.3247426338198078</v>
      </c>
      <c r="E37" s="40">
        <f t="shared" si="3"/>
        <v>3.31857704795119</v>
      </c>
      <c r="F37" s="40">
        <f t="shared" si="3"/>
        <v>4.7630090165046246</v>
      </c>
      <c r="G37" s="40">
        <f t="shared" si="3"/>
        <v>17.108467943165433</v>
      </c>
      <c r="H37" s="40">
        <f t="shared" si="3"/>
        <v>5.4493046857347389</v>
      </c>
      <c r="I37" s="40">
        <f t="shared" si="3"/>
        <v>1.1838156804238522</v>
      </c>
      <c r="J37" s="40">
        <f t="shared" si="3"/>
        <v>6.1284558425832455E-2</v>
      </c>
      <c r="K37" s="40">
        <f t="shared" si="3"/>
        <v>42.107428929044325</v>
      </c>
      <c r="L37" s="40">
        <f t="shared" si="3"/>
        <v>4.5783910969064125</v>
      </c>
      <c r="M37" s="40">
        <f t="shared" si="3"/>
        <v>19.60376194579846</v>
      </c>
      <c r="N37" s="40">
        <f t="shared" si="3"/>
        <v>181.22078515174383</v>
      </c>
      <c r="O37" s="40">
        <f t="shared" si="3"/>
        <v>0</v>
      </c>
      <c r="P37" s="40">
        <f t="shared" si="3"/>
        <v>7.717381098176751E-2</v>
      </c>
      <c r="Q37" s="40">
        <f t="shared" si="3"/>
        <v>0.32412395866350996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1" activePane="bottomRight" state="frozen"/>
      <selection activeCell="G19" sqref="G19"/>
      <selection pane="topRight" activeCell="G19" sqref="G19"/>
      <selection pane="bottomLeft" activeCell="G19" sqref="G19"/>
      <selection pane="bottomRight" activeCell="H39" sqref="H39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12/11/2023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324</v>
      </c>
      <c r="B9" s="51">
        <v>6.98</v>
      </c>
      <c r="C9" s="51">
        <v>19.559999999999999</v>
      </c>
      <c r="D9" s="51">
        <v>17.170000000000002</v>
      </c>
      <c r="E9" s="51">
        <v>7.29</v>
      </c>
      <c r="F9" s="51">
        <v>2.97</v>
      </c>
      <c r="G9" s="51">
        <v>85.21</v>
      </c>
      <c r="H9" s="51">
        <v>44.8</v>
      </c>
      <c r="I9" s="51">
        <v>8.65</v>
      </c>
      <c r="J9" s="51">
        <v>0.17</v>
      </c>
      <c r="K9" s="51">
        <v>226.54</v>
      </c>
      <c r="L9" s="51">
        <v>21.45</v>
      </c>
      <c r="M9" s="51">
        <v>91.33</v>
      </c>
      <c r="N9" s="51">
        <v>0</v>
      </c>
      <c r="O9" s="51">
        <v>0</v>
      </c>
      <c r="P9" s="51">
        <v>0.96</v>
      </c>
      <c r="Q9" s="51">
        <v>4.3499999999999996</v>
      </c>
    </row>
    <row r="10" spans="1:21" customFormat="1">
      <c r="A10" s="50" t="s">
        <v>325</v>
      </c>
      <c r="B10" s="51">
        <v>8.1199999999999992</v>
      </c>
      <c r="C10" s="51">
        <v>20.51</v>
      </c>
      <c r="D10" s="51">
        <v>18.579999999999998</v>
      </c>
      <c r="E10" s="51">
        <v>7.49</v>
      </c>
      <c r="F10" s="51">
        <v>2.74</v>
      </c>
      <c r="G10" s="51">
        <v>88.57</v>
      </c>
      <c r="H10" s="51">
        <v>47.71</v>
      </c>
      <c r="I10" s="51">
        <v>8.94</v>
      </c>
      <c r="J10" s="51">
        <v>0.14000000000000001</v>
      </c>
      <c r="K10" s="51">
        <v>186.64</v>
      </c>
      <c r="L10" s="51">
        <v>21.07</v>
      </c>
      <c r="M10" s="51">
        <v>89.95</v>
      </c>
      <c r="N10" s="51">
        <v>0</v>
      </c>
      <c r="O10" s="51">
        <v>0</v>
      </c>
      <c r="P10" s="51">
        <v>0.98</v>
      </c>
      <c r="Q10" s="51">
        <v>4.3899999999999997</v>
      </c>
    </row>
    <row r="11" spans="1:21" customFormat="1">
      <c r="A11" s="50" t="s">
        <v>326</v>
      </c>
      <c r="B11" s="51">
        <v>9.8000000000000007</v>
      </c>
      <c r="C11" s="51">
        <v>21.44</v>
      </c>
      <c r="D11" s="51">
        <v>20.41</v>
      </c>
      <c r="E11" s="51">
        <v>4.6900000000000004</v>
      </c>
      <c r="F11" s="51">
        <v>2.73</v>
      </c>
      <c r="G11" s="51">
        <v>88.57</v>
      </c>
      <c r="H11" s="51">
        <v>47.71</v>
      </c>
      <c r="I11" s="51">
        <v>9.1300000000000008</v>
      </c>
      <c r="J11" s="51">
        <v>0.16</v>
      </c>
      <c r="K11" s="51">
        <v>244.09</v>
      </c>
      <c r="L11" s="51">
        <v>20.8</v>
      </c>
      <c r="M11" s="51">
        <v>93.69</v>
      </c>
      <c r="N11" s="51">
        <v>0</v>
      </c>
      <c r="O11" s="51">
        <v>0</v>
      </c>
      <c r="P11" s="51">
        <v>0.98</v>
      </c>
      <c r="Q11" s="51">
        <v>4.49</v>
      </c>
    </row>
    <row r="12" spans="1:21" customFormat="1">
      <c r="A12" s="50" t="s">
        <v>327</v>
      </c>
      <c r="B12" s="51">
        <v>10.199999999999999</v>
      </c>
      <c r="C12" s="51">
        <v>21.03</v>
      </c>
      <c r="D12" s="51">
        <v>20.47</v>
      </c>
      <c r="E12" s="51">
        <v>5.22</v>
      </c>
      <c r="F12" s="51">
        <v>2.79</v>
      </c>
      <c r="G12" s="51">
        <v>86.6</v>
      </c>
      <c r="H12" s="51">
        <v>45.32</v>
      </c>
      <c r="I12" s="51">
        <v>9.25</v>
      </c>
      <c r="J12" s="51">
        <v>0.37</v>
      </c>
      <c r="K12" s="51">
        <v>231.04</v>
      </c>
      <c r="L12" s="51">
        <v>20.27</v>
      </c>
      <c r="M12" s="51">
        <v>94.48</v>
      </c>
      <c r="N12" s="51">
        <v>0</v>
      </c>
      <c r="O12" s="51">
        <v>0</v>
      </c>
      <c r="P12" s="51">
        <v>0.97</v>
      </c>
      <c r="Q12" s="51">
        <v>4.54</v>
      </c>
    </row>
    <row r="13" spans="1:21" customFormat="1">
      <c r="A13" s="50" t="s">
        <v>328</v>
      </c>
      <c r="B13" s="51">
        <v>10.1</v>
      </c>
      <c r="C13" s="51">
        <v>21.75</v>
      </c>
      <c r="D13" s="51">
        <v>20.52</v>
      </c>
      <c r="E13" s="51">
        <v>5.6</v>
      </c>
      <c r="F13" s="51">
        <v>2.74</v>
      </c>
      <c r="G13" s="51">
        <v>81.03</v>
      </c>
      <c r="H13" s="51">
        <v>43.59</v>
      </c>
      <c r="I13" s="51">
        <v>9.25</v>
      </c>
      <c r="J13" s="51">
        <v>0.24</v>
      </c>
      <c r="K13" s="51">
        <v>206.08</v>
      </c>
      <c r="L13" s="51">
        <v>19.989999999999998</v>
      </c>
      <c r="M13" s="51">
        <v>94.59</v>
      </c>
      <c r="N13" s="51">
        <v>0</v>
      </c>
      <c r="O13" s="51">
        <v>0</v>
      </c>
      <c r="P13" s="51">
        <v>0.95</v>
      </c>
      <c r="Q13" s="51">
        <v>4.53</v>
      </c>
    </row>
    <row r="14" spans="1:21" customFormat="1">
      <c r="A14" s="50" t="s">
        <v>329</v>
      </c>
      <c r="B14" s="51">
        <v>8.36</v>
      </c>
      <c r="C14" s="51">
        <v>21.6</v>
      </c>
      <c r="D14" s="51">
        <v>19.34</v>
      </c>
      <c r="E14" s="51">
        <v>5.9</v>
      </c>
      <c r="F14" s="51">
        <v>2.8</v>
      </c>
      <c r="G14" s="51">
        <v>74.31</v>
      </c>
      <c r="H14" s="51">
        <v>41.67</v>
      </c>
      <c r="I14" s="51">
        <v>8.9700000000000006</v>
      </c>
      <c r="J14" s="51">
        <v>0.12</v>
      </c>
      <c r="K14" s="51">
        <v>225.65</v>
      </c>
      <c r="L14" s="51">
        <v>19.420000000000002</v>
      </c>
      <c r="M14" s="51">
        <v>97.73</v>
      </c>
      <c r="N14" s="51">
        <v>0</v>
      </c>
      <c r="O14" s="51">
        <v>0</v>
      </c>
      <c r="P14" s="51">
        <v>0.93</v>
      </c>
      <c r="Q14" s="51">
        <v>4.4800000000000004</v>
      </c>
    </row>
    <row r="15" spans="1:21" customFormat="1">
      <c r="A15" s="50" t="s">
        <v>330</v>
      </c>
      <c r="B15" s="51">
        <v>13.37</v>
      </c>
      <c r="C15" s="51">
        <v>24.45</v>
      </c>
      <c r="D15" s="51">
        <v>24.84</v>
      </c>
      <c r="E15" s="51">
        <v>6.98</v>
      </c>
      <c r="F15" s="51">
        <v>2.65</v>
      </c>
      <c r="G15" s="51">
        <v>74.31</v>
      </c>
      <c r="H15" s="51">
        <v>41.67</v>
      </c>
      <c r="I15" s="51">
        <v>8.67</v>
      </c>
      <c r="J15" s="51">
        <v>0.16</v>
      </c>
      <c r="K15" s="51">
        <v>283.89</v>
      </c>
      <c r="L15" s="51">
        <v>20.68</v>
      </c>
      <c r="M15" s="51">
        <v>97.12</v>
      </c>
      <c r="N15" s="51">
        <v>26.7</v>
      </c>
      <c r="O15" s="51">
        <v>0</v>
      </c>
      <c r="P15" s="51">
        <v>0.97</v>
      </c>
      <c r="Q15" s="51">
        <v>4.67</v>
      </c>
    </row>
    <row r="16" spans="1:21" customFormat="1">
      <c r="A16" s="50" t="s">
        <v>331</v>
      </c>
      <c r="B16" s="51">
        <v>14.97</v>
      </c>
      <c r="C16" s="51">
        <v>28.51</v>
      </c>
      <c r="D16" s="51">
        <v>28.1</v>
      </c>
      <c r="E16" s="51">
        <v>7.95</v>
      </c>
      <c r="F16" s="51">
        <v>2.66</v>
      </c>
      <c r="G16" s="51">
        <v>97.99</v>
      </c>
      <c r="H16" s="51">
        <v>50.02</v>
      </c>
      <c r="I16" s="51">
        <v>10.88</v>
      </c>
      <c r="J16" s="51">
        <v>0.34</v>
      </c>
      <c r="K16" s="51">
        <v>49.5</v>
      </c>
      <c r="L16" s="51">
        <v>22.54</v>
      </c>
      <c r="M16" s="51">
        <v>83.67</v>
      </c>
      <c r="N16" s="51">
        <v>144.6</v>
      </c>
      <c r="O16" s="51">
        <v>0</v>
      </c>
      <c r="P16" s="51">
        <v>1.1100000000000001</v>
      </c>
      <c r="Q16" s="51">
        <v>4.78</v>
      </c>
    </row>
    <row r="17" spans="1:17" customFormat="1">
      <c r="A17" s="50" t="s">
        <v>332</v>
      </c>
      <c r="B17" s="51">
        <v>16.09</v>
      </c>
      <c r="C17" s="51">
        <v>31.34</v>
      </c>
      <c r="D17" s="51">
        <v>30.49</v>
      </c>
      <c r="E17" s="51">
        <v>8.44</v>
      </c>
      <c r="F17" s="51">
        <v>2.82</v>
      </c>
      <c r="G17" s="51">
        <v>131.75</v>
      </c>
      <c r="H17" s="51">
        <v>58.11</v>
      </c>
      <c r="I17" s="51">
        <v>12.13</v>
      </c>
      <c r="J17" s="51">
        <v>0.42</v>
      </c>
      <c r="K17" s="51">
        <v>163.91</v>
      </c>
      <c r="L17" s="51">
        <v>27.08</v>
      </c>
      <c r="M17" s="51">
        <v>75.38</v>
      </c>
      <c r="N17" s="51">
        <v>294.2</v>
      </c>
      <c r="O17" s="51">
        <v>0</v>
      </c>
      <c r="P17" s="51">
        <v>1.41</v>
      </c>
      <c r="Q17" s="51">
        <v>4.87</v>
      </c>
    </row>
    <row r="18" spans="1:17" customFormat="1">
      <c r="A18" s="50" t="s">
        <v>333</v>
      </c>
      <c r="B18" s="51">
        <v>14.26</v>
      </c>
      <c r="C18" s="51">
        <v>31.96</v>
      </c>
      <c r="D18" s="51">
        <v>29.32</v>
      </c>
      <c r="E18" s="51">
        <v>7.86</v>
      </c>
      <c r="F18" s="51">
        <v>3.21</v>
      </c>
      <c r="G18" s="51">
        <v>145.1</v>
      </c>
      <c r="H18" s="51">
        <v>58.11</v>
      </c>
      <c r="I18" s="51">
        <v>12.21</v>
      </c>
      <c r="J18" s="51">
        <v>0.32</v>
      </c>
      <c r="K18" s="51">
        <v>263.04000000000002</v>
      </c>
      <c r="L18" s="51">
        <v>29.32</v>
      </c>
      <c r="M18" s="51">
        <v>57.01</v>
      </c>
      <c r="N18" s="51">
        <v>439.5</v>
      </c>
      <c r="O18" s="51">
        <v>0</v>
      </c>
      <c r="P18" s="51">
        <v>1.48</v>
      </c>
      <c r="Q18" s="51">
        <v>4.79</v>
      </c>
    </row>
    <row r="19" spans="1:17" customFormat="1">
      <c r="A19" s="50" t="s">
        <v>334</v>
      </c>
      <c r="B19" s="51">
        <v>11.07</v>
      </c>
      <c r="C19" s="51">
        <v>26.55</v>
      </c>
      <c r="D19" s="51">
        <v>24.1</v>
      </c>
      <c r="E19" s="51">
        <v>10.119999999999999</v>
      </c>
      <c r="F19" s="51">
        <v>5.18</v>
      </c>
      <c r="G19" s="51">
        <v>145.1</v>
      </c>
      <c r="H19" s="51">
        <v>56.89</v>
      </c>
      <c r="I19" s="51">
        <v>12.05</v>
      </c>
      <c r="J19" s="51">
        <v>0.5</v>
      </c>
      <c r="K19" s="51">
        <v>291.08999999999997</v>
      </c>
      <c r="L19" s="51">
        <v>30.7</v>
      </c>
      <c r="M19" s="51">
        <v>47.15</v>
      </c>
      <c r="N19" s="51">
        <v>493.4</v>
      </c>
      <c r="O19" s="51">
        <v>0</v>
      </c>
      <c r="P19" s="51">
        <v>1.41</v>
      </c>
      <c r="Q19" s="51">
        <v>4.59</v>
      </c>
    </row>
    <row r="20" spans="1:17" customFormat="1">
      <c r="A20" s="50" t="s">
        <v>335</v>
      </c>
      <c r="B20" s="51">
        <v>8.0299999999999994</v>
      </c>
      <c r="C20" s="51">
        <v>24.98</v>
      </c>
      <c r="D20" s="51">
        <v>20.85</v>
      </c>
      <c r="E20" s="51">
        <v>11.05</v>
      </c>
      <c r="F20" s="51">
        <v>6.15</v>
      </c>
      <c r="G20" s="51">
        <v>122.14</v>
      </c>
      <c r="H20" s="51">
        <v>51.2</v>
      </c>
      <c r="I20" s="51">
        <v>11.42</v>
      </c>
      <c r="J20" s="51">
        <v>0.23</v>
      </c>
      <c r="K20" s="51">
        <v>347.7</v>
      </c>
      <c r="L20" s="51">
        <v>31.49</v>
      </c>
      <c r="M20" s="51">
        <v>42.04</v>
      </c>
      <c r="N20" s="51">
        <v>515.70000000000005</v>
      </c>
      <c r="O20" s="51">
        <v>0</v>
      </c>
      <c r="P20" s="51">
        <v>1.32</v>
      </c>
      <c r="Q20" s="51">
        <v>4.3899999999999997</v>
      </c>
    </row>
    <row r="21" spans="1:17" customFormat="1">
      <c r="A21" s="50" t="s">
        <v>336</v>
      </c>
      <c r="B21" s="51">
        <v>6.42</v>
      </c>
      <c r="C21" s="51">
        <v>23.88</v>
      </c>
      <c r="D21" s="51">
        <v>18.97</v>
      </c>
      <c r="E21" s="51">
        <v>13.38</v>
      </c>
      <c r="F21" s="51">
        <v>8.2799999999999994</v>
      </c>
      <c r="G21" s="51">
        <v>122.14</v>
      </c>
      <c r="H21" s="51">
        <v>51.2</v>
      </c>
      <c r="I21" s="51">
        <v>10.8</v>
      </c>
      <c r="J21" s="51">
        <v>0.57999999999999996</v>
      </c>
      <c r="K21" s="51">
        <v>201.55</v>
      </c>
      <c r="L21" s="51">
        <v>31.91</v>
      </c>
      <c r="M21" s="51">
        <v>40.299999999999997</v>
      </c>
      <c r="N21" s="51">
        <v>463.1</v>
      </c>
      <c r="O21" s="51">
        <v>0</v>
      </c>
      <c r="P21" s="51">
        <v>1.27</v>
      </c>
      <c r="Q21" s="51">
        <v>4.33</v>
      </c>
    </row>
    <row r="22" spans="1:17" customFormat="1">
      <c r="A22" s="50" t="s">
        <v>337</v>
      </c>
      <c r="B22" s="51">
        <v>5.65</v>
      </c>
      <c r="C22" s="51">
        <v>22.3</v>
      </c>
      <c r="D22" s="51">
        <v>17.53</v>
      </c>
      <c r="E22" s="51">
        <v>10.72</v>
      </c>
      <c r="F22" s="51">
        <v>9.0500000000000007</v>
      </c>
      <c r="G22" s="51">
        <v>113.68</v>
      </c>
      <c r="H22" s="51">
        <v>49.67</v>
      </c>
      <c r="I22" s="51">
        <v>10.11</v>
      </c>
      <c r="J22" s="51">
        <v>0.6</v>
      </c>
      <c r="K22" s="51">
        <v>50.45</v>
      </c>
      <c r="L22" s="51">
        <v>31.88</v>
      </c>
      <c r="M22" s="51">
        <v>35.770000000000003</v>
      </c>
      <c r="N22" s="51">
        <v>404.4</v>
      </c>
      <c r="O22" s="51">
        <v>0</v>
      </c>
      <c r="P22" s="51">
        <v>1.18</v>
      </c>
      <c r="Q22" s="51">
        <v>4.28</v>
      </c>
    </row>
    <row r="23" spans="1:17" customFormat="1">
      <c r="A23" s="50" t="s">
        <v>338</v>
      </c>
      <c r="B23" s="51">
        <v>5.45</v>
      </c>
      <c r="C23" s="51">
        <v>22.61</v>
      </c>
      <c r="D23" s="51">
        <v>16.829999999999998</v>
      </c>
      <c r="E23" s="51">
        <v>7.95</v>
      </c>
      <c r="F23" s="51">
        <v>7.82</v>
      </c>
      <c r="G23" s="51">
        <v>93.13</v>
      </c>
      <c r="H23" s="51">
        <v>41.1</v>
      </c>
      <c r="I23" s="51">
        <v>9.32</v>
      </c>
      <c r="J23" s="51">
        <v>0.62</v>
      </c>
      <c r="K23" s="51">
        <v>38.17</v>
      </c>
      <c r="L23" s="51">
        <v>31.6</v>
      </c>
      <c r="M23" s="51">
        <v>33.4</v>
      </c>
      <c r="N23" s="51">
        <v>293.5</v>
      </c>
      <c r="O23" s="51">
        <v>0</v>
      </c>
      <c r="P23" s="51">
        <v>1.06</v>
      </c>
      <c r="Q23" s="51">
        <v>4.24</v>
      </c>
    </row>
    <row r="24" spans="1:17" customFormat="1">
      <c r="A24" s="50" t="s">
        <v>339</v>
      </c>
      <c r="B24" s="51">
        <v>4.38</v>
      </c>
      <c r="C24" s="51">
        <v>23.37</v>
      </c>
      <c r="D24" s="51">
        <v>17.04</v>
      </c>
      <c r="E24" s="51">
        <v>8.11</v>
      </c>
      <c r="F24" s="51">
        <v>6.37</v>
      </c>
      <c r="G24" s="51">
        <v>83.59</v>
      </c>
      <c r="H24" s="51">
        <v>32.58</v>
      </c>
      <c r="I24" s="51">
        <v>8.3800000000000008</v>
      </c>
      <c r="J24" s="51">
        <v>0.44</v>
      </c>
      <c r="K24" s="51">
        <v>45.44</v>
      </c>
      <c r="L24" s="51">
        <v>30.58</v>
      </c>
      <c r="M24" s="51">
        <v>34.31</v>
      </c>
      <c r="N24" s="51">
        <v>84.5</v>
      </c>
      <c r="O24" s="51">
        <v>0</v>
      </c>
      <c r="P24" s="51">
        <v>0.97</v>
      </c>
      <c r="Q24" s="51">
        <v>4.22</v>
      </c>
    </row>
    <row r="25" spans="1:17" customFormat="1">
      <c r="A25" s="50" t="s">
        <v>340</v>
      </c>
      <c r="B25" s="51">
        <v>5.1100000000000003</v>
      </c>
      <c r="C25" s="51">
        <v>25.32</v>
      </c>
      <c r="D25" s="51">
        <v>18.68</v>
      </c>
      <c r="E25" s="51">
        <v>7.46</v>
      </c>
      <c r="F25" s="51">
        <v>4.79</v>
      </c>
      <c r="G25" s="51">
        <v>71.92</v>
      </c>
      <c r="H25" s="51">
        <v>29.5</v>
      </c>
      <c r="I25" s="51">
        <v>7.43</v>
      </c>
      <c r="J25" s="51">
        <v>0.25</v>
      </c>
      <c r="K25" s="51">
        <v>165.55</v>
      </c>
      <c r="L25" s="51">
        <v>29.61</v>
      </c>
      <c r="M25" s="51">
        <v>43.75</v>
      </c>
      <c r="N25" s="51">
        <v>34.299999999999997</v>
      </c>
      <c r="O25" s="51">
        <v>0</v>
      </c>
      <c r="P25" s="51">
        <v>0.91</v>
      </c>
      <c r="Q25" s="51">
        <v>4.24</v>
      </c>
    </row>
    <row r="26" spans="1:17" customFormat="1">
      <c r="A26" s="50" t="s">
        <v>341</v>
      </c>
      <c r="B26" s="51">
        <v>5.42</v>
      </c>
      <c r="C26" s="51">
        <v>25.76</v>
      </c>
      <c r="D26" s="51">
        <v>19.05</v>
      </c>
      <c r="E26" s="51">
        <v>7.14</v>
      </c>
      <c r="F26" s="51">
        <v>3.48</v>
      </c>
      <c r="G26" s="51">
        <v>72.63</v>
      </c>
      <c r="H26" s="51">
        <v>30.47</v>
      </c>
      <c r="I26" s="51">
        <v>6.98</v>
      </c>
      <c r="J26" s="51">
        <v>0.28000000000000003</v>
      </c>
      <c r="K26" s="51">
        <v>225.88</v>
      </c>
      <c r="L26" s="51">
        <v>27.51</v>
      </c>
      <c r="M26" s="51">
        <v>63.34</v>
      </c>
      <c r="N26" s="51">
        <v>0</v>
      </c>
      <c r="O26" s="51">
        <v>0</v>
      </c>
      <c r="P26" s="51">
        <v>0.94</v>
      </c>
      <c r="Q26" s="51">
        <v>4.29</v>
      </c>
    </row>
    <row r="27" spans="1:17" customFormat="1">
      <c r="A27" s="50" t="s">
        <v>342</v>
      </c>
      <c r="B27" s="51">
        <v>6.48</v>
      </c>
      <c r="C27" s="51">
        <v>26</v>
      </c>
      <c r="D27" s="51">
        <v>20.04</v>
      </c>
      <c r="E27" s="51">
        <v>5.24</v>
      </c>
      <c r="F27" s="51">
        <v>3.04</v>
      </c>
      <c r="G27" s="51">
        <v>79.34</v>
      </c>
      <c r="H27" s="51">
        <v>32.340000000000003</v>
      </c>
      <c r="I27" s="51">
        <v>7.64</v>
      </c>
      <c r="J27" s="51">
        <v>0.23</v>
      </c>
      <c r="K27" s="51">
        <v>218.37</v>
      </c>
      <c r="L27" s="51">
        <v>24.81</v>
      </c>
      <c r="M27" s="51">
        <v>69.67</v>
      </c>
      <c r="N27" s="51">
        <v>0</v>
      </c>
      <c r="O27" s="51">
        <v>0</v>
      </c>
      <c r="P27" s="51">
        <v>1</v>
      </c>
      <c r="Q27" s="51">
        <v>4.32</v>
      </c>
    </row>
    <row r="28" spans="1:17" customFormat="1">
      <c r="A28" s="50" t="s">
        <v>343</v>
      </c>
      <c r="B28" s="51">
        <v>7.14</v>
      </c>
      <c r="C28" s="51">
        <v>25.16</v>
      </c>
      <c r="D28" s="51">
        <v>19.61</v>
      </c>
      <c r="E28" s="51">
        <v>5.2</v>
      </c>
      <c r="F28" s="51">
        <v>3.02</v>
      </c>
      <c r="G28" s="51">
        <v>79.34</v>
      </c>
      <c r="H28" s="51">
        <v>34.96</v>
      </c>
      <c r="I28" s="51">
        <v>7.87</v>
      </c>
      <c r="J28" s="51">
        <v>0.17</v>
      </c>
      <c r="K28" s="51">
        <v>183.92</v>
      </c>
      <c r="L28" s="51">
        <v>23.13</v>
      </c>
      <c r="M28" s="51">
        <v>75.84</v>
      </c>
      <c r="N28" s="51">
        <v>0</v>
      </c>
      <c r="O28" s="51">
        <v>0</v>
      </c>
      <c r="P28" s="51">
        <v>0.97</v>
      </c>
      <c r="Q28" s="51">
        <v>4.3499999999999996</v>
      </c>
    </row>
    <row r="29" spans="1:17" customFormat="1">
      <c r="A29" s="50" t="s">
        <v>344</v>
      </c>
      <c r="B29" s="51">
        <v>8.6199999999999992</v>
      </c>
      <c r="C29" s="51">
        <v>21.33</v>
      </c>
      <c r="D29" s="51">
        <v>19.27</v>
      </c>
      <c r="E29" s="51">
        <v>4.3499999999999996</v>
      </c>
      <c r="F29" s="51">
        <v>2.86</v>
      </c>
      <c r="G29" s="51">
        <v>92.1</v>
      </c>
      <c r="H29" s="51">
        <v>39.9</v>
      </c>
      <c r="I29" s="51">
        <v>7.65</v>
      </c>
      <c r="J29" s="51">
        <v>0.12</v>
      </c>
      <c r="K29" s="51">
        <v>228.63</v>
      </c>
      <c r="L29" s="51">
        <v>22.64</v>
      </c>
      <c r="M29" s="51">
        <v>76.38</v>
      </c>
      <c r="N29" s="51">
        <v>0</v>
      </c>
      <c r="O29" s="51">
        <v>0</v>
      </c>
      <c r="P29" s="51">
        <v>0.9</v>
      </c>
      <c r="Q29" s="51">
        <v>4.3899999999999997</v>
      </c>
    </row>
    <row r="30" spans="1:17" customFormat="1">
      <c r="A30" s="50" t="s">
        <v>345</v>
      </c>
      <c r="B30" s="51">
        <v>11.33</v>
      </c>
      <c r="C30" s="51">
        <v>22.66</v>
      </c>
      <c r="D30" s="51">
        <v>22.28</v>
      </c>
      <c r="E30" s="51">
        <v>4.5599999999999996</v>
      </c>
      <c r="F30" s="51">
        <v>2.74</v>
      </c>
      <c r="G30" s="51">
        <v>126.57</v>
      </c>
      <c r="H30" s="51">
        <v>60.9</v>
      </c>
      <c r="I30" s="51">
        <v>7.91</v>
      </c>
      <c r="J30" s="51">
        <v>0.24</v>
      </c>
      <c r="K30" s="51">
        <v>225.63</v>
      </c>
      <c r="L30" s="51">
        <v>22.22</v>
      </c>
      <c r="M30" s="51">
        <v>79.510000000000005</v>
      </c>
      <c r="N30" s="51">
        <v>0</v>
      </c>
      <c r="O30" s="51">
        <v>0</v>
      </c>
      <c r="P30" s="51">
        <v>0.94</v>
      </c>
      <c r="Q30" s="51">
        <v>4.49</v>
      </c>
    </row>
    <row r="31" spans="1:17" customFormat="1">
      <c r="A31" s="50" t="s">
        <v>346</v>
      </c>
      <c r="B31" s="51">
        <v>17.010000000000002</v>
      </c>
      <c r="C31" s="51">
        <v>25.65</v>
      </c>
      <c r="D31" s="51">
        <v>28.39</v>
      </c>
      <c r="E31" s="51">
        <v>6.2</v>
      </c>
      <c r="F31" s="51">
        <v>2.6</v>
      </c>
      <c r="G31" s="51">
        <v>242.53</v>
      </c>
      <c r="H31" s="51">
        <v>60.9</v>
      </c>
      <c r="I31" s="51">
        <v>8.4600000000000009</v>
      </c>
      <c r="J31" s="51">
        <v>0.14000000000000001</v>
      </c>
      <c r="K31" s="51">
        <v>247.13</v>
      </c>
      <c r="L31" s="51">
        <v>22.07</v>
      </c>
      <c r="M31" s="51">
        <v>75.2</v>
      </c>
      <c r="N31" s="51">
        <v>0</v>
      </c>
      <c r="O31" s="51">
        <v>0</v>
      </c>
      <c r="P31" s="51">
        <v>1</v>
      </c>
      <c r="Q31" s="51">
        <v>4.76</v>
      </c>
    </row>
    <row r="32" spans="1:17" customFormat="1">
      <c r="A32" s="50" t="s">
        <v>347</v>
      </c>
      <c r="B32" s="51">
        <v>23.37</v>
      </c>
      <c r="C32" s="51">
        <v>26.8</v>
      </c>
      <c r="D32" s="51">
        <v>34.090000000000003</v>
      </c>
      <c r="E32" s="51">
        <v>8.15</v>
      </c>
      <c r="F32" s="51">
        <v>2.66</v>
      </c>
      <c r="G32" s="51">
        <v>242.53</v>
      </c>
      <c r="H32" s="27" t="s">
        <v>14</v>
      </c>
      <c r="I32" s="51">
        <v>9.16</v>
      </c>
      <c r="J32" s="51">
        <v>0.13</v>
      </c>
      <c r="K32" s="51">
        <v>156.91999999999999</v>
      </c>
      <c r="L32" s="51">
        <v>21.97</v>
      </c>
      <c r="M32" s="51">
        <v>77.81</v>
      </c>
      <c r="N32" s="51">
        <v>0</v>
      </c>
      <c r="O32" s="51">
        <v>0</v>
      </c>
      <c r="P32" s="51">
        <v>1.07</v>
      </c>
      <c r="Q32" s="51">
        <v>5.0199999999999996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4.38</v>
      </c>
      <c r="C34" s="40">
        <f t="shared" si="0"/>
        <v>19.559999999999999</v>
      </c>
      <c r="D34" s="40">
        <f t="shared" si="0"/>
        <v>16.829999999999998</v>
      </c>
      <c r="E34" s="40">
        <f t="shared" si="0"/>
        <v>4.3499999999999996</v>
      </c>
      <c r="F34" s="40">
        <f t="shared" si="0"/>
        <v>2.6</v>
      </c>
      <c r="G34" s="40">
        <f t="shared" si="0"/>
        <v>71.92</v>
      </c>
      <c r="H34" s="40">
        <f t="shared" si="0"/>
        <v>29.5</v>
      </c>
      <c r="I34" s="40">
        <f t="shared" si="0"/>
        <v>6.98</v>
      </c>
      <c r="J34" s="40">
        <f t="shared" si="0"/>
        <v>0.12</v>
      </c>
      <c r="K34" s="40">
        <f t="shared" si="0"/>
        <v>38.17</v>
      </c>
      <c r="L34" s="40">
        <f t="shared" si="0"/>
        <v>19.420000000000002</v>
      </c>
      <c r="M34" s="40">
        <f t="shared" si="0"/>
        <v>33.4</v>
      </c>
      <c r="N34" s="40">
        <f t="shared" si="0"/>
        <v>0</v>
      </c>
      <c r="O34" s="40">
        <f t="shared" si="0"/>
        <v>0</v>
      </c>
      <c r="P34" s="40">
        <f t="shared" si="0"/>
        <v>0.9</v>
      </c>
      <c r="Q34" s="40">
        <f t="shared" si="0"/>
        <v>4.22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23.37</v>
      </c>
      <c r="C35" s="33">
        <f t="shared" si="1"/>
        <v>31.96</v>
      </c>
      <c r="D35" s="33">
        <f t="shared" si="1"/>
        <v>34.090000000000003</v>
      </c>
      <c r="E35" s="33">
        <f t="shared" si="1"/>
        <v>13.38</v>
      </c>
      <c r="F35" s="33">
        <f t="shared" si="1"/>
        <v>9.0500000000000007</v>
      </c>
      <c r="G35" s="33">
        <f t="shared" si="1"/>
        <v>242.53</v>
      </c>
      <c r="H35" s="33">
        <f t="shared" si="1"/>
        <v>60.9</v>
      </c>
      <c r="I35" s="33">
        <f t="shared" si="1"/>
        <v>12.21</v>
      </c>
      <c r="J35" s="33">
        <f t="shared" si="1"/>
        <v>0.62</v>
      </c>
      <c r="K35" s="33">
        <f t="shared" si="1"/>
        <v>347.7</v>
      </c>
      <c r="L35" s="33">
        <f t="shared" si="1"/>
        <v>31.91</v>
      </c>
      <c r="M35" s="33">
        <f t="shared" si="1"/>
        <v>97.73</v>
      </c>
      <c r="N35" s="33">
        <f t="shared" si="1"/>
        <v>515.70000000000005</v>
      </c>
      <c r="O35" s="33">
        <f t="shared" si="1"/>
        <v>0</v>
      </c>
      <c r="P35" s="33">
        <f t="shared" si="1"/>
        <v>1.48</v>
      </c>
      <c r="Q35" s="33">
        <f t="shared" si="1"/>
        <v>5.0199999999999996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9.9054166666666656</v>
      </c>
      <c r="C36" s="40">
        <f t="shared" si="2"/>
        <v>24.355</v>
      </c>
      <c r="D36" s="40">
        <f t="shared" si="2"/>
        <v>21.915416666666669</v>
      </c>
      <c r="E36" s="40">
        <f t="shared" si="2"/>
        <v>7.3770833333333323</v>
      </c>
      <c r="F36" s="40">
        <f t="shared" si="2"/>
        <v>4.0062500000000005</v>
      </c>
      <c r="G36" s="40">
        <f t="shared" si="2"/>
        <v>110.00750000000001</v>
      </c>
      <c r="H36" s="40">
        <f t="shared" si="2"/>
        <v>45.666086956521745</v>
      </c>
      <c r="I36" s="40">
        <f t="shared" si="2"/>
        <v>9.3024999999999984</v>
      </c>
      <c r="J36" s="40">
        <f t="shared" si="2"/>
        <v>0.29041666666666671</v>
      </c>
      <c r="K36" s="40">
        <f t="shared" si="2"/>
        <v>196.11708333333334</v>
      </c>
      <c r="L36" s="40">
        <f t="shared" si="2"/>
        <v>25.197500000000005</v>
      </c>
      <c r="M36" s="40">
        <f t="shared" si="2"/>
        <v>69.55916666666667</v>
      </c>
      <c r="N36" s="40">
        <f t="shared" si="2"/>
        <v>133.07916666666668</v>
      </c>
      <c r="O36" s="40">
        <f t="shared" si="2"/>
        <v>0</v>
      </c>
      <c r="P36" s="40">
        <f t="shared" si="2"/>
        <v>1.07</v>
      </c>
      <c r="Q36" s="40">
        <f t="shared" si="2"/>
        <v>4.4916666666666663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4.6278626667522111</v>
      </c>
      <c r="C37" s="40">
        <f t="shared" ref="C37:Q37" si="3">STDEV(C9:C32)</f>
        <v>3.1979259583021546</v>
      </c>
      <c r="D37" s="40">
        <f t="shared" si="3"/>
        <v>4.8001883832296244</v>
      </c>
      <c r="E37" s="40">
        <f t="shared" si="3"/>
        <v>2.2518002057613051</v>
      </c>
      <c r="F37" s="40">
        <f t="shared" si="3"/>
        <v>2.0200211202081428</v>
      </c>
      <c r="G37" s="40">
        <f t="shared" si="3"/>
        <v>46.759870406522516</v>
      </c>
      <c r="H37" s="40">
        <f t="shared" si="3"/>
        <v>9.6562324382330953</v>
      </c>
      <c r="I37" s="40">
        <f t="shared" si="3"/>
        <v>1.545462502885824</v>
      </c>
      <c r="J37" s="40">
        <f t="shared" si="3"/>
        <v>0.15979549883922067</v>
      </c>
      <c r="K37" s="40">
        <f t="shared" si="3"/>
        <v>80.663537772067713</v>
      </c>
      <c r="L37" s="40">
        <f t="shared" si="3"/>
        <v>4.556893726518342</v>
      </c>
      <c r="M37" s="40">
        <f t="shared" si="3"/>
        <v>22.32202946139445</v>
      </c>
      <c r="N37" s="40">
        <f t="shared" si="3"/>
        <v>193.15958704874208</v>
      </c>
      <c r="O37" s="40">
        <f t="shared" si="3"/>
        <v>0</v>
      </c>
      <c r="P37" s="40">
        <f t="shared" si="3"/>
        <v>0.17643818969431926</v>
      </c>
      <c r="Q37" s="40">
        <f t="shared" si="3"/>
        <v>0.22111705864359527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G19" sqref="G19"/>
      <selection pane="topRight" activeCell="G19" sqref="G19"/>
      <selection pane="bottomLeft" activeCell="G19" sqref="G19"/>
      <selection pane="bottomRight" activeCell="G38" sqref="G38:H38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13/11/2023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348</v>
      </c>
      <c r="B9" s="51">
        <v>28.15</v>
      </c>
      <c r="C9" s="51">
        <v>29.04</v>
      </c>
      <c r="D9" s="51">
        <v>38.97</v>
      </c>
      <c r="E9" s="51">
        <v>12.2</v>
      </c>
      <c r="F9" s="51">
        <v>2.77</v>
      </c>
      <c r="G9" s="27" t="s">
        <v>14</v>
      </c>
      <c r="H9" s="27" t="s">
        <v>14</v>
      </c>
      <c r="I9" s="51">
        <v>10.039999999999999</v>
      </c>
      <c r="J9" s="51">
        <v>0.24</v>
      </c>
      <c r="K9" s="51">
        <v>251.1</v>
      </c>
      <c r="L9" s="51">
        <v>21.19</v>
      </c>
      <c r="M9" s="51">
        <v>85.3</v>
      </c>
      <c r="N9" s="51">
        <v>0</v>
      </c>
      <c r="O9" s="51">
        <v>0</v>
      </c>
      <c r="P9" s="51">
        <v>1.1599999999999999</v>
      </c>
      <c r="Q9" s="51">
        <v>5.21</v>
      </c>
    </row>
    <row r="10" spans="1:21" customFormat="1">
      <c r="A10" s="50" t="s">
        <v>349</v>
      </c>
      <c r="B10" s="51">
        <v>26.98</v>
      </c>
      <c r="C10" s="51">
        <v>29.41</v>
      </c>
      <c r="D10" s="51">
        <v>38.18</v>
      </c>
      <c r="E10" s="51">
        <v>11.9</v>
      </c>
      <c r="F10" s="51">
        <v>2.77</v>
      </c>
      <c r="G10" s="27" t="s">
        <v>14</v>
      </c>
      <c r="H10" s="27" t="s">
        <v>14</v>
      </c>
      <c r="I10" s="51">
        <v>10.37</v>
      </c>
      <c r="J10" s="51">
        <v>0.15</v>
      </c>
      <c r="K10" s="51">
        <v>233.28</v>
      </c>
      <c r="L10" s="51">
        <v>20.149999999999999</v>
      </c>
      <c r="M10" s="51">
        <v>88</v>
      </c>
      <c r="N10" s="51">
        <v>0</v>
      </c>
      <c r="O10" s="51">
        <v>0</v>
      </c>
      <c r="P10" s="51">
        <v>1.1599999999999999</v>
      </c>
      <c r="Q10" s="51">
        <v>5.2</v>
      </c>
    </row>
    <row r="11" spans="1:21" customFormat="1">
      <c r="A11" s="50" t="s">
        <v>350</v>
      </c>
      <c r="B11" s="51">
        <v>26.55</v>
      </c>
      <c r="C11" s="51">
        <v>29.75</v>
      </c>
      <c r="D11" s="51">
        <v>38.18</v>
      </c>
      <c r="E11" s="51">
        <v>9.9</v>
      </c>
      <c r="F11" s="51">
        <v>2.65</v>
      </c>
      <c r="G11" s="27" t="s">
        <v>14</v>
      </c>
      <c r="H11" s="27" t="s">
        <v>14</v>
      </c>
      <c r="I11" s="51">
        <v>10.4</v>
      </c>
      <c r="J11" s="51">
        <v>0.17</v>
      </c>
      <c r="K11" s="51">
        <v>238.74</v>
      </c>
      <c r="L11" s="51">
        <v>20.04</v>
      </c>
      <c r="M11" s="51">
        <v>92.09</v>
      </c>
      <c r="N11" s="51">
        <v>0</v>
      </c>
      <c r="O11" s="51">
        <v>0</v>
      </c>
      <c r="P11" s="51">
        <v>1.17</v>
      </c>
      <c r="Q11" s="51">
        <v>5.18</v>
      </c>
    </row>
    <row r="12" spans="1:21" customFormat="1">
      <c r="A12" s="50" t="s">
        <v>351</v>
      </c>
      <c r="B12" s="51">
        <v>26.65</v>
      </c>
      <c r="C12" s="51">
        <v>28.89</v>
      </c>
      <c r="D12" s="51">
        <v>37.82</v>
      </c>
      <c r="E12" s="51">
        <v>8.9499999999999993</v>
      </c>
      <c r="F12" s="51">
        <v>2.62</v>
      </c>
      <c r="G12" s="51">
        <v>215.24</v>
      </c>
      <c r="H12" s="51">
        <v>143.24</v>
      </c>
      <c r="I12" s="51">
        <v>10.35</v>
      </c>
      <c r="J12" s="51">
        <v>0.12</v>
      </c>
      <c r="K12" s="51">
        <v>150.71</v>
      </c>
      <c r="L12" s="51">
        <v>19.7</v>
      </c>
      <c r="M12" s="51">
        <v>92.66</v>
      </c>
      <c r="N12" s="51">
        <v>0</v>
      </c>
      <c r="O12" s="51">
        <v>0</v>
      </c>
      <c r="P12" s="51">
        <v>1.1599999999999999</v>
      </c>
      <c r="Q12" s="51">
        <v>5.16</v>
      </c>
    </row>
    <row r="13" spans="1:21" customFormat="1">
      <c r="A13" s="50" t="s">
        <v>352</v>
      </c>
      <c r="B13" s="51">
        <v>26.7</v>
      </c>
      <c r="C13" s="51">
        <v>28.84</v>
      </c>
      <c r="D13" s="51">
        <v>37.840000000000003</v>
      </c>
      <c r="E13" s="51">
        <v>7.39</v>
      </c>
      <c r="F13" s="51">
        <v>2.65</v>
      </c>
      <c r="G13" s="51">
        <v>215.24</v>
      </c>
      <c r="H13" s="51">
        <v>143.24</v>
      </c>
      <c r="I13" s="51">
        <v>10.28</v>
      </c>
      <c r="J13" s="51">
        <v>0.15</v>
      </c>
      <c r="K13" s="51">
        <v>98.82</v>
      </c>
      <c r="L13" s="51">
        <v>19.649999999999999</v>
      </c>
      <c r="M13" s="51">
        <v>86.24</v>
      </c>
      <c r="N13" s="51">
        <v>0</v>
      </c>
      <c r="O13" s="51">
        <v>0</v>
      </c>
      <c r="P13" s="51">
        <v>1.17</v>
      </c>
      <c r="Q13" s="51">
        <v>5.19</v>
      </c>
    </row>
    <row r="14" spans="1:21" customFormat="1">
      <c r="A14" s="50" t="s">
        <v>353</v>
      </c>
      <c r="B14" s="51">
        <v>25.56</v>
      </c>
      <c r="C14" s="51">
        <v>28.12</v>
      </c>
      <c r="D14" s="51">
        <v>36.07</v>
      </c>
      <c r="E14" s="51">
        <v>5.71</v>
      </c>
      <c r="F14" s="51">
        <v>3.03</v>
      </c>
      <c r="G14" s="51">
        <v>166.62</v>
      </c>
      <c r="H14" s="51">
        <v>83.71</v>
      </c>
      <c r="I14" s="51">
        <v>10.15</v>
      </c>
      <c r="J14" s="51">
        <v>0.12</v>
      </c>
      <c r="K14" s="51">
        <v>168.13</v>
      </c>
      <c r="L14" s="51">
        <v>19.47</v>
      </c>
      <c r="M14" s="51">
        <v>86.68</v>
      </c>
      <c r="N14" s="51">
        <v>0</v>
      </c>
      <c r="O14" s="51">
        <v>0</v>
      </c>
      <c r="P14" s="51">
        <v>1.17</v>
      </c>
      <c r="Q14" s="51">
        <v>5.12</v>
      </c>
    </row>
    <row r="15" spans="1:21" customFormat="1">
      <c r="A15" s="50" t="s">
        <v>354</v>
      </c>
      <c r="B15" s="51">
        <v>25.5</v>
      </c>
      <c r="C15" s="51">
        <v>25.53</v>
      </c>
      <c r="D15" s="51">
        <v>34.74</v>
      </c>
      <c r="E15" s="51">
        <v>3.67</v>
      </c>
      <c r="F15" s="51">
        <v>2.67</v>
      </c>
      <c r="G15" s="51">
        <v>138.72</v>
      </c>
      <c r="H15" s="51">
        <v>49.78</v>
      </c>
      <c r="I15" s="51">
        <v>10</v>
      </c>
      <c r="J15" s="51">
        <v>0.15</v>
      </c>
      <c r="K15" s="51">
        <v>140.72</v>
      </c>
      <c r="L15" s="51">
        <v>19.649999999999999</v>
      </c>
      <c r="M15" s="51">
        <v>89.04</v>
      </c>
      <c r="N15" s="51">
        <v>25.7</v>
      </c>
      <c r="O15" s="51">
        <v>0</v>
      </c>
      <c r="P15" s="51">
        <v>1.08</v>
      </c>
      <c r="Q15" s="51">
        <v>5.09</v>
      </c>
    </row>
    <row r="16" spans="1:21" customFormat="1">
      <c r="A16" s="50" t="s">
        <v>355</v>
      </c>
      <c r="B16" s="51">
        <v>24.93</v>
      </c>
      <c r="C16" s="51">
        <v>25.39</v>
      </c>
      <c r="D16" s="51">
        <v>34.61</v>
      </c>
      <c r="E16" s="51">
        <v>3.83</v>
      </c>
      <c r="F16" s="51">
        <v>2.63</v>
      </c>
      <c r="G16" s="51">
        <v>87.23</v>
      </c>
      <c r="H16" s="51">
        <v>49.32</v>
      </c>
      <c r="I16" s="51">
        <v>9.59</v>
      </c>
      <c r="J16" s="51">
        <v>0.56000000000000005</v>
      </c>
      <c r="K16" s="51">
        <v>47.67</v>
      </c>
      <c r="L16" s="51">
        <v>21.29</v>
      </c>
      <c r="M16" s="51">
        <v>83.8</v>
      </c>
      <c r="N16" s="51">
        <v>139.30000000000001</v>
      </c>
      <c r="O16" s="51">
        <v>0</v>
      </c>
      <c r="P16" s="51">
        <v>1.06</v>
      </c>
      <c r="Q16" s="51">
        <v>5.04</v>
      </c>
    </row>
    <row r="17" spans="1:17" customFormat="1">
      <c r="A17" s="50" t="s">
        <v>356</v>
      </c>
      <c r="B17" s="51">
        <v>22.95</v>
      </c>
      <c r="C17" s="51">
        <v>25.23</v>
      </c>
      <c r="D17" s="51">
        <v>32.72</v>
      </c>
      <c r="E17" s="51">
        <v>3.43</v>
      </c>
      <c r="F17" s="51">
        <v>2.79</v>
      </c>
      <c r="G17" s="51">
        <v>95.65</v>
      </c>
      <c r="H17" s="51">
        <v>49.32</v>
      </c>
      <c r="I17" s="51">
        <v>9.4499999999999993</v>
      </c>
      <c r="J17" s="51">
        <v>0.62</v>
      </c>
      <c r="K17" s="51">
        <v>38.79</v>
      </c>
      <c r="L17" s="51">
        <v>24.07</v>
      </c>
      <c r="M17" s="51">
        <v>79</v>
      </c>
      <c r="N17" s="51">
        <v>267.89999999999998</v>
      </c>
      <c r="O17" s="51">
        <v>0</v>
      </c>
      <c r="P17" s="51">
        <v>1.02</v>
      </c>
      <c r="Q17" s="51">
        <v>4.99</v>
      </c>
    </row>
    <row r="18" spans="1:17" customFormat="1">
      <c r="A18" s="50" t="s">
        <v>357</v>
      </c>
      <c r="B18" s="51">
        <v>20.82</v>
      </c>
      <c r="C18" s="51">
        <v>24.45</v>
      </c>
      <c r="D18" s="51">
        <v>30.34</v>
      </c>
      <c r="E18" s="51">
        <v>3.58</v>
      </c>
      <c r="F18" s="51">
        <v>2.99</v>
      </c>
      <c r="G18" s="51">
        <v>95.65</v>
      </c>
      <c r="H18" s="51">
        <v>43.27</v>
      </c>
      <c r="I18" s="51">
        <v>9.1999999999999993</v>
      </c>
      <c r="J18" s="51">
        <v>0.71</v>
      </c>
      <c r="K18" s="51">
        <v>49.5</v>
      </c>
      <c r="L18" s="51">
        <v>26.38</v>
      </c>
      <c r="M18" s="51">
        <v>70.569999999999993</v>
      </c>
      <c r="N18" s="51">
        <v>387.8</v>
      </c>
      <c r="O18" s="51">
        <v>0</v>
      </c>
      <c r="P18" s="51">
        <v>0.99</v>
      </c>
      <c r="Q18" s="51">
        <v>4.9000000000000004</v>
      </c>
    </row>
    <row r="19" spans="1:17" customFormat="1">
      <c r="A19" s="50" t="s">
        <v>358</v>
      </c>
      <c r="B19" s="51">
        <v>15.48</v>
      </c>
      <c r="C19" s="51">
        <v>26.46</v>
      </c>
      <c r="D19" s="51">
        <v>26.55</v>
      </c>
      <c r="E19" s="51">
        <v>7.45</v>
      </c>
      <c r="F19" s="51">
        <v>3.93</v>
      </c>
      <c r="G19" s="51">
        <v>94.56</v>
      </c>
      <c r="H19" s="51">
        <v>46.86</v>
      </c>
      <c r="I19" s="51">
        <v>9.0500000000000007</v>
      </c>
      <c r="J19" s="51">
        <v>0.51</v>
      </c>
      <c r="K19" s="51">
        <v>70.23</v>
      </c>
      <c r="L19" s="51">
        <v>28.41</v>
      </c>
      <c r="M19" s="51">
        <v>62.88</v>
      </c>
      <c r="N19" s="51">
        <v>460.7</v>
      </c>
      <c r="O19" s="51">
        <v>0</v>
      </c>
      <c r="P19" s="51">
        <v>0.98</v>
      </c>
      <c r="Q19" s="51">
        <v>4.7300000000000004</v>
      </c>
    </row>
    <row r="20" spans="1:17" customFormat="1">
      <c r="A20" s="50" t="s">
        <v>359</v>
      </c>
      <c r="B20" s="51">
        <v>6.73</v>
      </c>
      <c r="C20" s="51">
        <v>26.07</v>
      </c>
      <c r="D20" s="51">
        <v>20.37</v>
      </c>
      <c r="E20" s="51">
        <v>8.18</v>
      </c>
      <c r="F20" s="51">
        <v>5.53</v>
      </c>
      <c r="G20" s="51">
        <v>94.56</v>
      </c>
      <c r="H20" s="51">
        <v>46.86</v>
      </c>
      <c r="I20" s="51">
        <v>8.42</v>
      </c>
      <c r="J20" s="51">
        <v>0.53</v>
      </c>
      <c r="K20" s="51">
        <v>338.61</v>
      </c>
      <c r="L20" s="51">
        <v>29.53</v>
      </c>
      <c r="M20" s="51">
        <v>55.99</v>
      </c>
      <c r="N20" s="51">
        <v>486.8</v>
      </c>
      <c r="O20" s="51">
        <v>0</v>
      </c>
      <c r="P20" s="51">
        <v>0.94</v>
      </c>
      <c r="Q20" s="51">
        <v>4.4000000000000004</v>
      </c>
    </row>
    <row r="21" spans="1:17" customFormat="1">
      <c r="A21" s="50" t="s">
        <v>360</v>
      </c>
      <c r="B21" s="51">
        <v>4.7699999999999996</v>
      </c>
      <c r="C21" s="51">
        <v>23.99</v>
      </c>
      <c r="D21" s="51">
        <v>17.71</v>
      </c>
      <c r="E21" s="51">
        <v>8.35</v>
      </c>
      <c r="F21" s="51">
        <v>6.17</v>
      </c>
      <c r="G21" s="51">
        <v>86.62</v>
      </c>
      <c r="H21" s="51">
        <v>45.1</v>
      </c>
      <c r="I21" s="51">
        <v>7.74</v>
      </c>
      <c r="J21" s="51">
        <v>0.47</v>
      </c>
      <c r="K21" s="51">
        <v>336.89</v>
      </c>
      <c r="L21" s="51">
        <v>30.37</v>
      </c>
      <c r="M21" s="51">
        <v>50.81</v>
      </c>
      <c r="N21" s="51">
        <v>469</v>
      </c>
      <c r="O21" s="51">
        <v>0</v>
      </c>
      <c r="P21" s="51">
        <v>0.88</v>
      </c>
      <c r="Q21" s="51">
        <v>4.2699999999999996</v>
      </c>
    </row>
    <row r="22" spans="1:17" customFormat="1">
      <c r="A22" s="50" t="s">
        <v>361</v>
      </c>
      <c r="B22" s="51">
        <v>4.72</v>
      </c>
      <c r="C22" s="51">
        <v>22.31</v>
      </c>
      <c r="D22" s="51">
        <v>16.73</v>
      </c>
      <c r="E22" s="51">
        <v>7.97</v>
      </c>
      <c r="F22" s="51">
        <v>6.11</v>
      </c>
      <c r="G22" s="51">
        <v>80.11</v>
      </c>
      <c r="H22" s="51">
        <v>40.17</v>
      </c>
      <c r="I22" s="51">
        <v>6.98</v>
      </c>
      <c r="J22" s="51">
        <v>0.36</v>
      </c>
      <c r="K22" s="51">
        <v>337.01</v>
      </c>
      <c r="L22" s="51">
        <v>30.7</v>
      </c>
      <c r="M22" s="51">
        <v>42.08</v>
      </c>
      <c r="N22" s="51">
        <v>380.1</v>
      </c>
      <c r="O22" s="51">
        <v>0</v>
      </c>
      <c r="P22" s="51">
        <v>0.8</v>
      </c>
      <c r="Q22" s="51">
        <v>4.25</v>
      </c>
    </row>
    <row r="23" spans="1:17" customFormat="1">
      <c r="A23" s="50" t="s">
        <v>362</v>
      </c>
      <c r="B23" s="51">
        <v>4.71</v>
      </c>
      <c r="C23" s="51">
        <v>21.99</v>
      </c>
      <c r="D23" s="51">
        <v>16.600000000000001</v>
      </c>
      <c r="E23" s="51">
        <v>7.75</v>
      </c>
      <c r="F23" s="51">
        <v>6.06</v>
      </c>
      <c r="G23" s="51">
        <v>62.06</v>
      </c>
      <c r="H23" s="51">
        <v>25.33</v>
      </c>
      <c r="I23" s="51">
        <v>5.99</v>
      </c>
      <c r="J23" s="51">
        <v>0.47</v>
      </c>
      <c r="K23" s="51">
        <v>336.62</v>
      </c>
      <c r="L23" s="51">
        <v>30.16</v>
      </c>
      <c r="M23" s="51">
        <v>37.18</v>
      </c>
      <c r="N23" s="51">
        <v>233.3</v>
      </c>
      <c r="O23" s="51">
        <v>0</v>
      </c>
      <c r="P23" s="51">
        <v>0.76</v>
      </c>
      <c r="Q23" s="51">
        <v>4.25</v>
      </c>
    </row>
    <row r="24" spans="1:17" customFormat="1">
      <c r="A24" s="50" t="s">
        <v>363</v>
      </c>
      <c r="B24" s="51">
        <v>5.28</v>
      </c>
      <c r="C24" s="51">
        <v>21.34</v>
      </c>
      <c r="D24" s="51">
        <v>16.36</v>
      </c>
      <c r="E24" s="51">
        <v>7.88</v>
      </c>
      <c r="F24" s="51">
        <v>6.38</v>
      </c>
      <c r="G24" s="51">
        <v>65.87</v>
      </c>
      <c r="H24" s="51">
        <v>24.49</v>
      </c>
      <c r="I24" s="51">
        <v>5.46</v>
      </c>
      <c r="J24" s="51">
        <v>0.22</v>
      </c>
      <c r="K24" s="51">
        <v>355.66</v>
      </c>
      <c r="L24" s="51">
        <v>29.45</v>
      </c>
      <c r="M24" s="51">
        <v>44.19</v>
      </c>
      <c r="N24" s="51">
        <v>108.4</v>
      </c>
      <c r="O24" s="51">
        <v>0</v>
      </c>
      <c r="P24" s="51">
        <v>0.74</v>
      </c>
      <c r="Q24" s="51">
        <v>4.21</v>
      </c>
    </row>
    <row r="25" spans="1:17" customFormat="1">
      <c r="A25" s="50" t="s">
        <v>364</v>
      </c>
      <c r="B25" s="51">
        <v>5.98</v>
      </c>
      <c r="C25" s="51">
        <v>18.57</v>
      </c>
      <c r="D25" s="51">
        <v>15.85</v>
      </c>
      <c r="E25" s="51">
        <v>8.6999999999999993</v>
      </c>
      <c r="F25" s="51">
        <v>6.09</v>
      </c>
      <c r="G25" s="51">
        <v>77.05</v>
      </c>
      <c r="H25" s="51">
        <v>30.85</v>
      </c>
      <c r="I25" s="51">
        <v>5.37</v>
      </c>
      <c r="J25" s="51">
        <v>0.27</v>
      </c>
      <c r="K25" s="51">
        <v>100.47</v>
      </c>
      <c r="L25" s="51">
        <v>28.39</v>
      </c>
      <c r="M25" s="51">
        <v>52.31</v>
      </c>
      <c r="N25" s="51">
        <v>40.5</v>
      </c>
      <c r="O25" s="51">
        <v>0</v>
      </c>
      <c r="P25" s="51">
        <v>0.73</v>
      </c>
      <c r="Q25" s="51">
        <v>4.22</v>
      </c>
    </row>
    <row r="26" spans="1:17" customFormat="1">
      <c r="A26" s="50" t="s">
        <v>365</v>
      </c>
      <c r="B26" s="51">
        <v>7.06</v>
      </c>
      <c r="C26" s="51">
        <v>20.03</v>
      </c>
      <c r="D26" s="51">
        <v>17.45</v>
      </c>
      <c r="E26" s="51">
        <v>6.12</v>
      </c>
      <c r="F26" s="51">
        <v>3.11</v>
      </c>
      <c r="G26" s="51">
        <v>87.53</v>
      </c>
      <c r="H26" s="51">
        <v>39.409999999999997</v>
      </c>
      <c r="I26" s="51">
        <v>5.55</v>
      </c>
      <c r="J26" s="51">
        <v>0.2</v>
      </c>
      <c r="K26" s="51">
        <v>167.42</v>
      </c>
      <c r="L26" s="51">
        <v>26.32</v>
      </c>
      <c r="M26" s="51">
        <v>61.37</v>
      </c>
      <c r="N26" s="51">
        <v>0</v>
      </c>
      <c r="O26" s="51">
        <v>0</v>
      </c>
      <c r="P26" s="51">
        <v>0.78</v>
      </c>
      <c r="Q26" s="51">
        <v>4.29</v>
      </c>
    </row>
    <row r="27" spans="1:17" customFormat="1">
      <c r="A27" s="50" t="s">
        <v>366</v>
      </c>
      <c r="B27" s="51">
        <v>8.74</v>
      </c>
      <c r="C27" s="51">
        <v>22.74</v>
      </c>
      <c r="D27" s="51">
        <v>20.25</v>
      </c>
      <c r="E27" s="51">
        <v>5.29</v>
      </c>
      <c r="F27" s="51">
        <v>2.88</v>
      </c>
      <c r="G27" s="51">
        <v>116.16</v>
      </c>
      <c r="H27" s="51">
        <v>49.33</v>
      </c>
      <c r="I27" s="51">
        <v>5.96</v>
      </c>
      <c r="J27" s="51">
        <v>0.13</v>
      </c>
      <c r="K27" s="51">
        <v>144.46</v>
      </c>
      <c r="L27" s="51">
        <v>24.91</v>
      </c>
      <c r="M27" s="51">
        <v>66.650000000000006</v>
      </c>
      <c r="N27" s="51">
        <v>0</v>
      </c>
      <c r="O27" s="51">
        <v>0</v>
      </c>
      <c r="P27" s="51">
        <v>0.9</v>
      </c>
      <c r="Q27" s="51">
        <v>4.3600000000000003</v>
      </c>
    </row>
    <row r="28" spans="1:17" customFormat="1">
      <c r="A28" s="50" t="s">
        <v>367</v>
      </c>
      <c r="B28" s="51">
        <v>9.75</v>
      </c>
      <c r="C28" s="51">
        <v>23.96</v>
      </c>
      <c r="D28" s="51">
        <v>21.69</v>
      </c>
      <c r="E28" s="51">
        <v>5.96</v>
      </c>
      <c r="F28" s="51">
        <v>2.79</v>
      </c>
      <c r="G28" s="51">
        <v>151.46</v>
      </c>
      <c r="H28" s="51">
        <v>78.61</v>
      </c>
      <c r="I28" s="51">
        <v>6.68</v>
      </c>
      <c r="J28" s="51">
        <v>0.17</v>
      </c>
      <c r="K28" s="51">
        <v>171.98</v>
      </c>
      <c r="L28" s="51">
        <v>24.42</v>
      </c>
      <c r="M28" s="51">
        <v>69.28</v>
      </c>
      <c r="N28" s="51">
        <v>0</v>
      </c>
      <c r="O28" s="51">
        <v>0</v>
      </c>
      <c r="P28" s="51">
        <v>0.96</v>
      </c>
      <c r="Q28" s="51">
        <v>4.45</v>
      </c>
    </row>
    <row r="29" spans="1:17" customFormat="1">
      <c r="A29" s="50" t="s">
        <v>368</v>
      </c>
      <c r="B29" s="51">
        <v>9.26</v>
      </c>
      <c r="C29" s="51">
        <v>27.31</v>
      </c>
      <c r="D29" s="51">
        <v>22.27</v>
      </c>
      <c r="E29" s="51">
        <v>6.86</v>
      </c>
      <c r="F29" s="51">
        <v>2.99</v>
      </c>
      <c r="G29" s="51">
        <v>151.46</v>
      </c>
      <c r="H29" s="51">
        <v>78.61</v>
      </c>
      <c r="I29" s="51">
        <v>7.32</v>
      </c>
      <c r="J29" s="51">
        <v>0.16</v>
      </c>
      <c r="K29" s="51">
        <v>156.68</v>
      </c>
      <c r="L29" s="51">
        <v>24.04</v>
      </c>
      <c r="M29" s="51">
        <v>69.52</v>
      </c>
      <c r="N29" s="51">
        <v>0</v>
      </c>
      <c r="O29" s="51">
        <v>0</v>
      </c>
      <c r="P29" s="51">
        <v>1.04</v>
      </c>
      <c r="Q29" s="51">
        <v>4.43</v>
      </c>
    </row>
    <row r="30" spans="1:17" customFormat="1">
      <c r="A30" s="50" t="s">
        <v>369</v>
      </c>
      <c r="B30" s="51">
        <v>7.86</v>
      </c>
      <c r="C30" s="51">
        <v>27.65</v>
      </c>
      <c r="D30" s="51">
        <v>22.06</v>
      </c>
      <c r="E30" s="51">
        <v>6.86</v>
      </c>
      <c r="F30" s="51">
        <v>3.32</v>
      </c>
      <c r="G30" s="51">
        <v>144.19</v>
      </c>
      <c r="H30" s="51">
        <v>76.11</v>
      </c>
      <c r="I30" s="51">
        <v>7.55</v>
      </c>
      <c r="J30" s="51">
        <v>0.21</v>
      </c>
      <c r="K30" s="51">
        <v>230.3</v>
      </c>
      <c r="L30" s="51">
        <v>24.02</v>
      </c>
      <c r="M30" s="51">
        <v>75.900000000000006</v>
      </c>
      <c r="N30" s="51">
        <v>0</v>
      </c>
      <c r="O30" s="51">
        <v>0</v>
      </c>
      <c r="P30" s="51">
        <v>1.04</v>
      </c>
      <c r="Q30" s="51">
        <v>4.4000000000000004</v>
      </c>
    </row>
    <row r="31" spans="1:17" customFormat="1">
      <c r="A31" s="50" t="s">
        <v>370</v>
      </c>
      <c r="B31" s="51">
        <v>12.57</v>
      </c>
      <c r="C31" s="51">
        <v>32.020000000000003</v>
      </c>
      <c r="D31" s="51">
        <v>28.16</v>
      </c>
      <c r="E31" s="51">
        <v>7.24</v>
      </c>
      <c r="F31" s="51">
        <v>2.57</v>
      </c>
      <c r="G31" s="51">
        <v>127.59</v>
      </c>
      <c r="H31" s="51">
        <v>70.760000000000005</v>
      </c>
      <c r="I31" s="51">
        <v>7.77</v>
      </c>
      <c r="J31" s="51">
        <v>0.14000000000000001</v>
      </c>
      <c r="K31" s="51">
        <v>205.56</v>
      </c>
      <c r="L31" s="51">
        <v>22.3</v>
      </c>
      <c r="M31" s="51">
        <v>83.19</v>
      </c>
      <c r="N31" s="51">
        <v>0</v>
      </c>
      <c r="O31" s="51">
        <v>0</v>
      </c>
      <c r="P31" s="51">
        <v>1.0900000000000001</v>
      </c>
      <c r="Q31" s="51">
        <v>4.62</v>
      </c>
    </row>
    <row r="32" spans="1:17" customFormat="1">
      <c r="A32" s="50" t="s">
        <v>371</v>
      </c>
      <c r="B32" s="51">
        <v>12.09</v>
      </c>
      <c r="C32" s="51">
        <v>31.06</v>
      </c>
      <c r="D32" s="51">
        <v>27.27</v>
      </c>
      <c r="E32" s="51">
        <v>6.7</v>
      </c>
      <c r="F32" s="51">
        <v>3.2</v>
      </c>
      <c r="G32" s="51">
        <v>126.13</v>
      </c>
      <c r="H32" s="51">
        <v>60.23</v>
      </c>
      <c r="I32" s="51">
        <v>7.95</v>
      </c>
      <c r="J32" s="51">
        <v>0.23</v>
      </c>
      <c r="K32" s="51">
        <v>210.34</v>
      </c>
      <c r="L32" s="51">
        <v>21.55</v>
      </c>
      <c r="M32" s="51">
        <v>82.55</v>
      </c>
      <c r="N32" s="51">
        <v>0</v>
      </c>
      <c r="O32" s="51">
        <v>0</v>
      </c>
      <c r="P32" s="51">
        <v>1.07</v>
      </c>
      <c r="Q32" s="51">
        <v>4.6399999999999997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4.71</v>
      </c>
      <c r="C34" s="40">
        <f t="shared" si="0"/>
        <v>18.57</v>
      </c>
      <c r="D34" s="40">
        <f t="shared" si="0"/>
        <v>15.85</v>
      </c>
      <c r="E34" s="40">
        <f t="shared" si="0"/>
        <v>3.43</v>
      </c>
      <c r="F34" s="40">
        <f t="shared" si="0"/>
        <v>2.57</v>
      </c>
      <c r="G34" s="40">
        <f t="shared" si="0"/>
        <v>62.06</v>
      </c>
      <c r="H34" s="40">
        <f t="shared" si="0"/>
        <v>24.49</v>
      </c>
      <c r="I34" s="40">
        <f t="shared" si="0"/>
        <v>5.37</v>
      </c>
      <c r="J34" s="40">
        <f t="shared" si="0"/>
        <v>0.12</v>
      </c>
      <c r="K34" s="40">
        <f t="shared" si="0"/>
        <v>38.79</v>
      </c>
      <c r="L34" s="40">
        <f t="shared" si="0"/>
        <v>19.47</v>
      </c>
      <c r="M34" s="40">
        <f t="shared" si="0"/>
        <v>37.18</v>
      </c>
      <c r="N34" s="40">
        <f t="shared" si="0"/>
        <v>0</v>
      </c>
      <c r="O34" s="40">
        <f t="shared" si="0"/>
        <v>0</v>
      </c>
      <c r="P34" s="40">
        <f t="shared" si="0"/>
        <v>0.73</v>
      </c>
      <c r="Q34" s="40">
        <f t="shared" si="0"/>
        <v>4.21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28.15</v>
      </c>
      <c r="C35" s="33">
        <f t="shared" si="1"/>
        <v>32.020000000000003</v>
      </c>
      <c r="D35" s="33">
        <f t="shared" si="1"/>
        <v>38.97</v>
      </c>
      <c r="E35" s="33">
        <f t="shared" si="1"/>
        <v>12.2</v>
      </c>
      <c r="F35" s="33">
        <f t="shared" si="1"/>
        <v>6.38</v>
      </c>
      <c r="G35" s="33">
        <f t="shared" si="1"/>
        <v>215.24</v>
      </c>
      <c r="H35" s="33">
        <f t="shared" si="1"/>
        <v>143.24</v>
      </c>
      <c r="I35" s="33">
        <f t="shared" si="1"/>
        <v>10.4</v>
      </c>
      <c r="J35" s="33">
        <f t="shared" si="1"/>
        <v>0.71</v>
      </c>
      <c r="K35" s="33">
        <f t="shared" si="1"/>
        <v>355.66</v>
      </c>
      <c r="L35" s="33">
        <f t="shared" si="1"/>
        <v>30.7</v>
      </c>
      <c r="M35" s="33">
        <f t="shared" si="1"/>
        <v>92.66</v>
      </c>
      <c r="N35" s="33">
        <f t="shared" si="1"/>
        <v>486.8</v>
      </c>
      <c r="O35" s="33">
        <f t="shared" si="1"/>
        <v>0</v>
      </c>
      <c r="P35" s="33">
        <f t="shared" si="1"/>
        <v>1.17</v>
      </c>
      <c r="Q35" s="33">
        <f t="shared" si="1"/>
        <v>5.21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15.407916666666665</v>
      </c>
      <c r="C36" s="40">
        <f t="shared" si="2"/>
        <v>25.839583333333326</v>
      </c>
      <c r="D36" s="40">
        <f t="shared" si="2"/>
        <v>27.032916666666665</v>
      </c>
      <c r="E36" s="40">
        <f t="shared" si="2"/>
        <v>7.1612499999999999</v>
      </c>
      <c r="F36" s="40">
        <f t="shared" si="2"/>
        <v>3.6958333333333329</v>
      </c>
      <c r="G36" s="40">
        <f t="shared" si="2"/>
        <v>118.0809523809524</v>
      </c>
      <c r="H36" s="40">
        <f t="shared" si="2"/>
        <v>60.695238095238089</v>
      </c>
      <c r="I36" s="40">
        <f t="shared" si="2"/>
        <v>8.2341666666666686</v>
      </c>
      <c r="J36" s="40">
        <f t="shared" si="2"/>
        <v>0.29416666666666669</v>
      </c>
      <c r="K36" s="40">
        <f t="shared" si="2"/>
        <v>190.82041666666666</v>
      </c>
      <c r="L36" s="40">
        <f t="shared" si="2"/>
        <v>24.423333333333328</v>
      </c>
      <c r="M36" s="40">
        <f t="shared" si="2"/>
        <v>71.13666666666667</v>
      </c>
      <c r="N36" s="40">
        <f t="shared" si="2"/>
        <v>124.97916666666667</v>
      </c>
      <c r="O36" s="40">
        <f t="shared" si="2"/>
        <v>0</v>
      </c>
      <c r="P36" s="40">
        <f t="shared" si="2"/>
        <v>0.99375000000000002</v>
      </c>
      <c r="Q36" s="40">
        <f t="shared" si="2"/>
        <v>4.6916666666666673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9.1477704478559527</v>
      </c>
      <c r="C37" s="40">
        <f t="shared" ref="C37:Q37" si="3">STDEV(C9:C32)</f>
        <v>3.5287705448174371</v>
      </c>
      <c r="D37" s="40">
        <f t="shared" si="3"/>
        <v>8.5122951889639165</v>
      </c>
      <c r="E37" s="40">
        <f t="shared" si="3"/>
        <v>2.3180376117667332</v>
      </c>
      <c r="F37" s="40">
        <f t="shared" si="3"/>
        <v>1.4277769788903585</v>
      </c>
      <c r="G37" s="40">
        <f t="shared" si="3"/>
        <v>43.993201623064586</v>
      </c>
      <c r="H37" s="40">
        <f t="shared" si="3"/>
        <v>32.327502473752538</v>
      </c>
      <c r="I37" s="40">
        <f t="shared" si="3"/>
        <v>1.7700255873037876</v>
      </c>
      <c r="J37" s="40">
        <f t="shared" si="3"/>
        <v>0.18294491132499455</v>
      </c>
      <c r="K37" s="40">
        <f t="shared" si="3"/>
        <v>99.228753041916391</v>
      </c>
      <c r="L37" s="40">
        <f t="shared" si="3"/>
        <v>3.9654263071076863</v>
      </c>
      <c r="M37" s="40">
        <f t="shared" si="3"/>
        <v>16.950709018559774</v>
      </c>
      <c r="N37" s="40">
        <f t="shared" si="3"/>
        <v>180.43722979176866</v>
      </c>
      <c r="O37" s="40">
        <f t="shared" si="3"/>
        <v>0</v>
      </c>
      <c r="P37" s="40">
        <f t="shared" si="3"/>
        <v>0.14828915642434309</v>
      </c>
      <c r="Q37" s="40">
        <f t="shared" si="3"/>
        <v>0.38612530818788277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v>24</v>
      </c>
      <c r="H38" s="45"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4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14/11/2023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372</v>
      </c>
      <c r="B9" s="51">
        <v>8.25</v>
      </c>
      <c r="C9" s="51">
        <v>26.22</v>
      </c>
      <c r="D9" s="51">
        <v>21.66</v>
      </c>
      <c r="E9" s="51">
        <v>6.3</v>
      </c>
      <c r="F9" s="51">
        <v>3.55</v>
      </c>
      <c r="G9" s="51">
        <v>105.27</v>
      </c>
      <c r="H9" s="51">
        <v>56.81</v>
      </c>
      <c r="I9" s="51">
        <v>7.53</v>
      </c>
      <c r="J9" s="51">
        <v>0.19</v>
      </c>
      <c r="K9" s="51">
        <v>252.91</v>
      </c>
      <c r="L9" s="51">
        <v>21.42</v>
      </c>
      <c r="M9" s="51">
        <v>84.64</v>
      </c>
      <c r="N9" s="51">
        <v>0</v>
      </c>
      <c r="O9" s="51">
        <v>0</v>
      </c>
      <c r="P9" s="51">
        <v>0.96</v>
      </c>
      <c r="Q9" s="51">
        <v>4.45</v>
      </c>
    </row>
    <row r="10" spans="1:21" customFormat="1">
      <c r="A10" s="50" t="s">
        <v>373</v>
      </c>
      <c r="B10" s="51">
        <v>6.73</v>
      </c>
      <c r="C10" s="51">
        <v>23.29</v>
      </c>
      <c r="D10" s="51">
        <v>18.579999999999998</v>
      </c>
      <c r="E10" s="51">
        <v>5.36</v>
      </c>
      <c r="F10" s="51">
        <v>3.46</v>
      </c>
      <c r="G10" s="51">
        <v>79.22</v>
      </c>
      <c r="H10" s="51">
        <v>42.23</v>
      </c>
      <c r="I10" s="51">
        <v>6.72</v>
      </c>
      <c r="J10" s="51">
        <v>0.1</v>
      </c>
      <c r="K10" s="51">
        <v>300.81</v>
      </c>
      <c r="L10" s="51">
        <v>21.17</v>
      </c>
      <c r="M10" s="51">
        <v>80.739999999999995</v>
      </c>
      <c r="N10" s="51">
        <v>0</v>
      </c>
      <c r="O10" s="51">
        <v>0</v>
      </c>
      <c r="P10" s="51">
        <v>0.86</v>
      </c>
      <c r="Q10" s="51">
        <v>4.3</v>
      </c>
    </row>
    <row r="11" spans="1:21" customFormat="1">
      <c r="A11" s="50" t="s">
        <v>374</v>
      </c>
      <c r="B11" s="51">
        <v>7.93</v>
      </c>
      <c r="C11" s="51">
        <v>21.61</v>
      </c>
      <c r="D11" s="51">
        <v>19</v>
      </c>
      <c r="E11" s="51">
        <v>6.01</v>
      </c>
      <c r="F11" s="51">
        <v>2.86</v>
      </c>
      <c r="G11" s="51">
        <v>79.08</v>
      </c>
      <c r="H11" s="51">
        <v>41.03</v>
      </c>
      <c r="I11" s="51">
        <v>6.42</v>
      </c>
      <c r="J11" s="51">
        <v>0.13</v>
      </c>
      <c r="K11" s="51">
        <v>320.02</v>
      </c>
      <c r="L11" s="51">
        <v>20.48</v>
      </c>
      <c r="M11" s="51">
        <v>83.47</v>
      </c>
      <c r="N11" s="51">
        <v>0</v>
      </c>
      <c r="O11" s="51">
        <v>0</v>
      </c>
      <c r="P11" s="51">
        <v>0.8</v>
      </c>
      <c r="Q11" s="51">
        <v>4.3099999999999996</v>
      </c>
    </row>
    <row r="12" spans="1:21" customFormat="1">
      <c r="A12" s="50" t="s">
        <v>375</v>
      </c>
      <c r="B12" s="51">
        <v>9.92</v>
      </c>
      <c r="C12" s="51">
        <v>22.32</v>
      </c>
      <c r="D12" s="51">
        <v>20.97</v>
      </c>
      <c r="E12" s="51">
        <v>5.71</v>
      </c>
      <c r="F12" s="51">
        <v>2.79</v>
      </c>
      <c r="G12" s="51">
        <v>79.14</v>
      </c>
      <c r="H12" s="51">
        <v>41.03</v>
      </c>
      <c r="I12" s="51">
        <v>6.45</v>
      </c>
      <c r="J12" s="51">
        <v>0.37</v>
      </c>
      <c r="K12" s="51">
        <v>67.239999999999995</v>
      </c>
      <c r="L12" s="51">
        <v>20.07</v>
      </c>
      <c r="M12" s="51">
        <v>84.67</v>
      </c>
      <c r="N12" s="51">
        <v>0</v>
      </c>
      <c r="O12" s="51">
        <v>0</v>
      </c>
      <c r="P12" s="51">
        <v>0.8</v>
      </c>
      <c r="Q12" s="51">
        <v>4.38</v>
      </c>
    </row>
    <row r="13" spans="1:21" customFormat="1">
      <c r="A13" s="50" t="s">
        <v>376</v>
      </c>
      <c r="B13" s="51">
        <v>10.98</v>
      </c>
      <c r="C13" s="51">
        <v>22.98</v>
      </c>
      <c r="D13" s="51">
        <v>22.17</v>
      </c>
      <c r="E13" s="51">
        <v>5.96</v>
      </c>
      <c r="F13" s="51">
        <v>2.8</v>
      </c>
      <c r="G13" s="51">
        <v>88</v>
      </c>
      <c r="H13" s="51">
        <v>39.07</v>
      </c>
      <c r="I13" s="51">
        <v>6.55</v>
      </c>
      <c r="J13" s="51">
        <v>0.35</v>
      </c>
      <c r="K13" s="51">
        <v>79.42</v>
      </c>
      <c r="L13" s="51">
        <v>19.809999999999999</v>
      </c>
      <c r="M13" s="51">
        <v>85.37</v>
      </c>
      <c r="N13" s="51">
        <v>0</v>
      </c>
      <c r="O13" s="51">
        <v>0</v>
      </c>
      <c r="P13" s="51">
        <v>0.81</v>
      </c>
      <c r="Q13" s="51">
        <v>4.4800000000000004</v>
      </c>
    </row>
    <row r="14" spans="1:21" customFormat="1">
      <c r="A14" s="50" t="s">
        <v>377</v>
      </c>
      <c r="B14" s="51">
        <v>11.86</v>
      </c>
      <c r="C14" s="51">
        <v>24.38</v>
      </c>
      <c r="D14" s="51">
        <v>23.6</v>
      </c>
      <c r="E14" s="51">
        <v>6.02</v>
      </c>
      <c r="F14" s="51">
        <v>2.67</v>
      </c>
      <c r="G14" s="51">
        <v>89.37</v>
      </c>
      <c r="H14" s="51">
        <v>45.8</v>
      </c>
      <c r="I14" s="51">
        <v>6.78</v>
      </c>
      <c r="J14" s="51">
        <v>0.13</v>
      </c>
      <c r="K14" s="51">
        <v>202.58</v>
      </c>
      <c r="L14" s="51">
        <v>19.29</v>
      </c>
      <c r="M14" s="51">
        <v>89.94</v>
      </c>
      <c r="N14" s="51">
        <v>0</v>
      </c>
      <c r="O14" s="51">
        <v>0</v>
      </c>
      <c r="P14" s="51">
        <v>0.84</v>
      </c>
      <c r="Q14" s="51">
        <v>4.5199999999999996</v>
      </c>
    </row>
    <row r="15" spans="1:21" customFormat="1">
      <c r="A15" s="50" t="s">
        <v>378</v>
      </c>
      <c r="B15" s="51">
        <v>11.91</v>
      </c>
      <c r="C15" s="51">
        <v>25.72</v>
      </c>
      <c r="D15" s="51">
        <v>23.89</v>
      </c>
      <c r="E15" s="51">
        <v>7.38</v>
      </c>
      <c r="F15" s="51">
        <v>2.84</v>
      </c>
      <c r="G15" s="51">
        <v>96.37</v>
      </c>
      <c r="H15" s="51">
        <v>45.8</v>
      </c>
      <c r="I15" s="51">
        <v>6.87</v>
      </c>
      <c r="J15" s="51">
        <v>0.28000000000000003</v>
      </c>
      <c r="K15" s="51">
        <v>130.56</v>
      </c>
      <c r="L15" s="51">
        <v>19.559999999999999</v>
      </c>
      <c r="M15" s="51">
        <v>89.91</v>
      </c>
      <c r="N15" s="51">
        <v>19.600000000000001</v>
      </c>
      <c r="O15" s="51">
        <v>0</v>
      </c>
      <c r="P15" s="51">
        <v>0.88</v>
      </c>
      <c r="Q15" s="51">
        <v>4.54</v>
      </c>
    </row>
    <row r="16" spans="1:21" customFormat="1">
      <c r="A16" s="50" t="s">
        <v>379</v>
      </c>
      <c r="B16" s="51">
        <v>11.67</v>
      </c>
      <c r="C16" s="51">
        <v>26.69</v>
      </c>
      <c r="D16" s="51">
        <v>24.46</v>
      </c>
      <c r="E16" s="51">
        <v>7.27</v>
      </c>
      <c r="F16" s="51">
        <v>2.88</v>
      </c>
      <c r="G16" s="51">
        <v>96.37</v>
      </c>
      <c r="H16" s="51">
        <v>48.54</v>
      </c>
      <c r="I16" s="51">
        <v>7.04</v>
      </c>
      <c r="J16" s="51">
        <v>0.5</v>
      </c>
      <c r="K16" s="51">
        <v>53.2</v>
      </c>
      <c r="L16" s="51">
        <v>20.94</v>
      </c>
      <c r="M16" s="51">
        <v>87.71</v>
      </c>
      <c r="N16" s="51">
        <v>141.6</v>
      </c>
      <c r="O16" s="51">
        <v>0</v>
      </c>
      <c r="P16" s="51">
        <v>0.91</v>
      </c>
      <c r="Q16" s="51">
        <v>4.54</v>
      </c>
    </row>
    <row r="17" spans="1:17" customFormat="1">
      <c r="A17" s="50" t="s">
        <v>380</v>
      </c>
      <c r="B17" s="51">
        <v>10.16</v>
      </c>
      <c r="C17" s="51">
        <v>26.09</v>
      </c>
      <c r="D17" s="51">
        <v>23.13</v>
      </c>
      <c r="E17" s="51">
        <v>7.53</v>
      </c>
      <c r="F17" s="51">
        <v>3.68</v>
      </c>
      <c r="G17" s="51">
        <v>97.35</v>
      </c>
      <c r="H17" s="51">
        <v>48.54</v>
      </c>
      <c r="I17" s="51">
        <v>7.13</v>
      </c>
      <c r="J17" s="51">
        <v>0.56999999999999995</v>
      </c>
      <c r="K17" s="51">
        <v>93.05</v>
      </c>
      <c r="L17" s="51">
        <v>24.44</v>
      </c>
      <c r="M17" s="51">
        <v>80.7</v>
      </c>
      <c r="N17" s="51">
        <v>266.2</v>
      </c>
      <c r="O17" s="51">
        <v>0</v>
      </c>
      <c r="P17" s="51">
        <v>0.92</v>
      </c>
      <c r="Q17" s="51">
        <v>4.51</v>
      </c>
    </row>
    <row r="18" spans="1:17" customFormat="1">
      <c r="A18" s="50" t="s">
        <v>381</v>
      </c>
      <c r="B18" s="51">
        <v>6.82</v>
      </c>
      <c r="C18" s="51">
        <v>25.16</v>
      </c>
      <c r="D18" s="51">
        <v>19.96</v>
      </c>
      <c r="E18" s="51">
        <v>8.1999999999999993</v>
      </c>
      <c r="F18" s="51">
        <v>4.62</v>
      </c>
      <c r="G18" s="51">
        <v>97.35</v>
      </c>
      <c r="H18" s="51">
        <v>47.19</v>
      </c>
      <c r="I18" s="51">
        <v>7.1</v>
      </c>
      <c r="J18" s="51">
        <v>0.7</v>
      </c>
      <c r="K18" s="51">
        <v>58.96</v>
      </c>
      <c r="L18" s="51">
        <v>26.74</v>
      </c>
      <c r="M18" s="51">
        <v>69.11</v>
      </c>
      <c r="N18" s="51">
        <v>376.4</v>
      </c>
      <c r="O18" s="51">
        <v>0</v>
      </c>
      <c r="P18" s="51">
        <v>0.91</v>
      </c>
      <c r="Q18" s="51">
        <v>4.3499999999999996</v>
      </c>
    </row>
    <row r="19" spans="1:17" customFormat="1">
      <c r="A19" s="50" t="s">
        <v>382</v>
      </c>
      <c r="B19" s="51">
        <v>5.35</v>
      </c>
      <c r="C19" s="51">
        <v>23.94</v>
      </c>
      <c r="D19" s="51">
        <v>18.14</v>
      </c>
      <c r="E19" s="51">
        <v>6.73</v>
      </c>
      <c r="F19" s="51">
        <v>5.46</v>
      </c>
      <c r="G19" s="51">
        <v>94.48</v>
      </c>
      <c r="H19" s="51">
        <v>46.17</v>
      </c>
      <c r="I19" s="51">
        <v>6.77</v>
      </c>
      <c r="J19" s="51">
        <v>0.56000000000000005</v>
      </c>
      <c r="K19" s="51">
        <v>61.07</v>
      </c>
      <c r="L19" s="51">
        <v>28.17</v>
      </c>
      <c r="M19" s="51">
        <v>62.38</v>
      </c>
      <c r="N19" s="51">
        <v>436.4</v>
      </c>
      <c r="O19" s="51">
        <v>0</v>
      </c>
      <c r="P19" s="51">
        <v>0.9</v>
      </c>
      <c r="Q19" s="51">
        <v>4.26</v>
      </c>
    </row>
    <row r="20" spans="1:17" customFormat="1">
      <c r="A20" s="50" t="s">
        <v>383</v>
      </c>
      <c r="B20" s="51">
        <v>5.45</v>
      </c>
      <c r="C20" s="51">
        <v>21.73</v>
      </c>
      <c r="D20" s="51">
        <v>16.82</v>
      </c>
      <c r="E20" s="51">
        <v>5.7</v>
      </c>
      <c r="F20" s="51">
        <v>4.79</v>
      </c>
      <c r="G20" s="51">
        <v>92.07</v>
      </c>
      <c r="H20" s="51">
        <v>46.04</v>
      </c>
      <c r="I20" s="51">
        <v>6.54</v>
      </c>
      <c r="J20" s="51">
        <v>0.51</v>
      </c>
      <c r="K20" s="51">
        <v>52.72</v>
      </c>
      <c r="L20" s="51">
        <v>29.22</v>
      </c>
      <c r="M20" s="51">
        <v>59.58</v>
      </c>
      <c r="N20" s="51">
        <v>511.6</v>
      </c>
      <c r="O20" s="51">
        <v>0</v>
      </c>
      <c r="P20" s="51">
        <v>0.88</v>
      </c>
      <c r="Q20" s="51">
        <v>4.25</v>
      </c>
    </row>
    <row r="21" spans="1:17" customFormat="1">
      <c r="A21" s="50" t="s">
        <v>384</v>
      </c>
      <c r="B21" s="51">
        <v>5.36</v>
      </c>
      <c r="C21" s="51">
        <v>18.34</v>
      </c>
      <c r="D21" s="51">
        <v>15.24</v>
      </c>
      <c r="E21" s="51">
        <v>5.3</v>
      </c>
      <c r="F21" s="51">
        <v>5.52</v>
      </c>
      <c r="G21" s="51">
        <v>91.19</v>
      </c>
      <c r="H21" s="51">
        <v>46.04</v>
      </c>
      <c r="I21" s="51">
        <v>6.57</v>
      </c>
      <c r="J21" s="51">
        <v>0.51</v>
      </c>
      <c r="K21" s="51">
        <v>62.78</v>
      </c>
      <c r="L21" s="51">
        <v>30.22</v>
      </c>
      <c r="M21" s="51">
        <v>41.6</v>
      </c>
      <c r="N21" s="51">
        <v>541.1</v>
      </c>
      <c r="O21" s="51">
        <v>0</v>
      </c>
      <c r="P21" s="51">
        <v>0.83</v>
      </c>
      <c r="Q21" s="51">
        <v>4.18</v>
      </c>
    </row>
    <row r="22" spans="1:17" customFormat="1">
      <c r="A22" s="50" t="s">
        <v>385</v>
      </c>
      <c r="B22" s="51">
        <v>5.4</v>
      </c>
      <c r="C22" s="51">
        <v>17.54</v>
      </c>
      <c r="D22" s="51">
        <v>14.85</v>
      </c>
      <c r="E22" s="51">
        <v>5.65</v>
      </c>
      <c r="F22" s="51">
        <v>6.54</v>
      </c>
      <c r="G22" s="51">
        <v>73.040000000000006</v>
      </c>
      <c r="H22" s="51">
        <v>39.119999999999997</v>
      </c>
      <c r="I22" s="51">
        <v>6.28</v>
      </c>
      <c r="J22" s="51">
        <v>0.52</v>
      </c>
      <c r="K22" s="51">
        <v>101.05</v>
      </c>
      <c r="L22" s="51">
        <v>30</v>
      </c>
      <c r="M22" s="51">
        <v>41.91</v>
      </c>
      <c r="N22" s="51">
        <v>353</v>
      </c>
      <c r="O22" s="51">
        <v>0</v>
      </c>
      <c r="P22" s="51">
        <v>0.8</v>
      </c>
      <c r="Q22" s="51">
        <v>4.1500000000000004</v>
      </c>
    </row>
    <row r="23" spans="1:17" customFormat="1">
      <c r="A23" s="50" t="s">
        <v>386</v>
      </c>
      <c r="B23" s="51">
        <v>5.36</v>
      </c>
      <c r="C23" s="51">
        <v>17.13</v>
      </c>
      <c r="D23" s="51">
        <v>14.59</v>
      </c>
      <c r="E23" s="51">
        <v>10.25</v>
      </c>
      <c r="F23" s="51">
        <v>10.38</v>
      </c>
      <c r="G23" s="51">
        <v>73.180000000000007</v>
      </c>
      <c r="H23" s="51">
        <v>40.49</v>
      </c>
      <c r="I23" s="51">
        <v>6.01</v>
      </c>
      <c r="J23" s="51">
        <v>0.51</v>
      </c>
      <c r="K23" s="51">
        <v>37</v>
      </c>
      <c r="L23" s="51">
        <v>29.22</v>
      </c>
      <c r="M23" s="51">
        <v>43.57</v>
      </c>
      <c r="N23" s="51">
        <v>173.6</v>
      </c>
      <c r="O23" s="51">
        <v>0</v>
      </c>
      <c r="P23" s="51">
        <v>0.76</v>
      </c>
      <c r="Q23" s="51">
        <v>4.17</v>
      </c>
    </row>
    <row r="24" spans="1:17" customFormat="1">
      <c r="A24" s="50" t="s">
        <v>387</v>
      </c>
      <c r="B24" s="51">
        <v>5.37</v>
      </c>
      <c r="C24" s="51">
        <v>19.440000000000001</v>
      </c>
      <c r="D24" s="51">
        <v>15.53</v>
      </c>
      <c r="E24" s="51">
        <v>9.6300000000000008</v>
      </c>
      <c r="F24" s="51">
        <v>9.81</v>
      </c>
      <c r="G24" s="51">
        <v>74.67</v>
      </c>
      <c r="H24" s="51">
        <v>40.49</v>
      </c>
      <c r="I24" s="51">
        <v>5.69</v>
      </c>
      <c r="J24" s="51">
        <v>0.52</v>
      </c>
      <c r="K24" s="51">
        <v>43.01</v>
      </c>
      <c r="L24" s="51">
        <v>28.48</v>
      </c>
      <c r="M24" s="51">
        <v>45.45</v>
      </c>
      <c r="N24" s="51">
        <v>111.6</v>
      </c>
      <c r="O24" s="51">
        <v>0</v>
      </c>
      <c r="P24" s="51">
        <v>0.77</v>
      </c>
      <c r="Q24" s="51">
        <v>4.17</v>
      </c>
    </row>
    <row r="25" spans="1:17" customFormat="1">
      <c r="A25" s="50" t="s">
        <v>388</v>
      </c>
      <c r="B25" s="51">
        <v>5.08</v>
      </c>
      <c r="C25" s="51">
        <v>24.03</v>
      </c>
      <c r="D25" s="51">
        <v>17.98</v>
      </c>
      <c r="E25" s="51">
        <v>6.48</v>
      </c>
      <c r="F25" s="51">
        <v>5.85</v>
      </c>
      <c r="G25" s="51">
        <v>78.38</v>
      </c>
      <c r="H25" s="51">
        <v>43.03</v>
      </c>
      <c r="I25" s="51">
        <v>5.67</v>
      </c>
      <c r="J25" s="51">
        <v>0.33</v>
      </c>
      <c r="K25" s="51">
        <v>123.41</v>
      </c>
      <c r="L25" s="51">
        <v>28.18</v>
      </c>
      <c r="M25" s="51">
        <v>54.14</v>
      </c>
      <c r="N25" s="51">
        <v>55.8</v>
      </c>
      <c r="O25" s="51">
        <v>0</v>
      </c>
      <c r="P25" s="51">
        <v>0.83</v>
      </c>
      <c r="Q25" s="51">
        <v>4.2300000000000004</v>
      </c>
    </row>
    <row r="26" spans="1:17" customFormat="1">
      <c r="A26" s="50" t="s">
        <v>389</v>
      </c>
      <c r="B26" s="51">
        <v>5.65</v>
      </c>
      <c r="C26" s="51">
        <v>26.35</v>
      </c>
      <c r="D26" s="51">
        <v>19.54</v>
      </c>
      <c r="E26" s="51">
        <v>6.47</v>
      </c>
      <c r="F26" s="51">
        <v>4.2699999999999996</v>
      </c>
      <c r="G26" s="51">
        <v>89.09</v>
      </c>
      <c r="H26" s="51">
        <v>45.7</v>
      </c>
      <c r="I26" s="51">
        <v>5.6</v>
      </c>
      <c r="J26" s="51">
        <v>0.25</v>
      </c>
      <c r="K26" s="51">
        <v>168.61</v>
      </c>
      <c r="L26" s="51">
        <v>26.12</v>
      </c>
      <c r="M26" s="51">
        <v>62.96</v>
      </c>
      <c r="N26" s="51">
        <v>0</v>
      </c>
      <c r="O26" s="51">
        <v>0</v>
      </c>
      <c r="P26" s="51">
        <v>0.89</v>
      </c>
      <c r="Q26" s="51">
        <v>4.2300000000000004</v>
      </c>
    </row>
    <row r="27" spans="1:17" customFormat="1">
      <c r="A27" s="50" t="s">
        <v>390</v>
      </c>
      <c r="B27" s="51">
        <v>6</v>
      </c>
      <c r="C27" s="51">
        <v>27.6</v>
      </c>
      <c r="D27" s="51">
        <v>20.58</v>
      </c>
      <c r="E27" s="51">
        <v>7.16</v>
      </c>
      <c r="F27" s="51">
        <v>3.7</v>
      </c>
      <c r="G27" s="51">
        <v>94.39</v>
      </c>
      <c r="H27" s="51">
        <v>47.35</v>
      </c>
      <c r="I27" s="51">
        <v>6.09</v>
      </c>
      <c r="J27" s="51">
        <v>0.2</v>
      </c>
      <c r="K27" s="51">
        <v>168.44</v>
      </c>
      <c r="L27" s="51">
        <v>24.91</v>
      </c>
      <c r="M27" s="51">
        <v>66.17</v>
      </c>
      <c r="N27" s="51">
        <v>0</v>
      </c>
      <c r="O27" s="51">
        <v>0</v>
      </c>
      <c r="P27" s="51">
        <v>0.95</v>
      </c>
      <c r="Q27" s="51">
        <v>4.29</v>
      </c>
    </row>
    <row r="28" spans="1:17" customFormat="1">
      <c r="A28" s="50" t="s">
        <v>391</v>
      </c>
      <c r="B28" s="51">
        <v>7.32</v>
      </c>
      <c r="C28" s="51">
        <v>29.35</v>
      </c>
      <c r="D28" s="51">
        <v>22.55</v>
      </c>
      <c r="E28" s="51">
        <v>6.87</v>
      </c>
      <c r="F28" s="51">
        <v>3.23</v>
      </c>
      <c r="G28" s="51">
        <v>111.22</v>
      </c>
      <c r="H28" s="51">
        <v>54.57</v>
      </c>
      <c r="I28" s="51">
        <v>6.84</v>
      </c>
      <c r="J28" s="51">
        <v>0.14000000000000001</v>
      </c>
      <c r="K28" s="51">
        <v>172.21</v>
      </c>
      <c r="L28" s="51">
        <v>24.05</v>
      </c>
      <c r="M28" s="51">
        <v>70.2</v>
      </c>
      <c r="N28" s="51">
        <v>0</v>
      </c>
      <c r="O28" s="51">
        <v>0</v>
      </c>
      <c r="P28" s="51">
        <v>1.04</v>
      </c>
      <c r="Q28" s="51">
        <v>4.38</v>
      </c>
    </row>
    <row r="29" spans="1:17" customFormat="1">
      <c r="A29" s="50" t="s">
        <v>392</v>
      </c>
      <c r="B29" s="51">
        <v>8.5500000000000007</v>
      </c>
      <c r="C29" s="51">
        <v>30.49</v>
      </c>
      <c r="D29" s="51">
        <v>23.92</v>
      </c>
      <c r="E29" s="51">
        <v>7.12</v>
      </c>
      <c r="F29" s="51">
        <v>2.76</v>
      </c>
      <c r="G29" s="51">
        <v>122.62</v>
      </c>
      <c r="H29" s="51">
        <v>59.13</v>
      </c>
      <c r="I29" s="51">
        <v>7.29</v>
      </c>
      <c r="J29" s="51">
        <v>0.19</v>
      </c>
      <c r="K29" s="51">
        <v>188.89</v>
      </c>
      <c r="L29" s="51">
        <v>23.84</v>
      </c>
      <c r="M29" s="51">
        <v>77.650000000000006</v>
      </c>
      <c r="N29" s="51">
        <v>0</v>
      </c>
      <c r="O29" s="51">
        <v>0</v>
      </c>
      <c r="P29" s="51">
        <v>1.08</v>
      </c>
      <c r="Q29" s="51">
        <v>4.43</v>
      </c>
    </row>
    <row r="30" spans="1:17" customFormat="1">
      <c r="A30" s="50" t="s">
        <v>393</v>
      </c>
      <c r="B30" s="51">
        <v>10.16</v>
      </c>
      <c r="C30" s="51">
        <v>27.04</v>
      </c>
      <c r="D30" s="51">
        <v>22.66</v>
      </c>
      <c r="E30" s="51">
        <v>5.86</v>
      </c>
      <c r="F30" s="51">
        <v>3.15</v>
      </c>
      <c r="G30" s="51">
        <v>122.62</v>
      </c>
      <c r="H30" s="51">
        <v>61.51</v>
      </c>
      <c r="I30" s="51">
        <v>7.38</v>
      </c>
      <c r="J30" s="51">
        <v>0.14000000000000001</v>
      </c>
      <c r="K30" s="51">
        <v>225.89</v>
      </c>
      <c r="L30" s="51">
        <v>22.1</v>
      </c>
      <c r="M30" s="51">
        <v>81.7</v>
      </c>
      <c r="N30" s="51">
        <v>0</v>
      </c>
      <c r="O30" s="51">
        <v>0</v>
      </c>
      <c r="P30" s="51">
        <v>1.05</v>
      </c>
      <c r="Q30" s="51">
        <v>4.4400000000000004</v>
      </c>
    </row>
    <row r="31" spans="1:17" customFormat="1">
      <c r="A31" s="50" t="s">
        <v>394</v>
      </c>
      <c r="B31" s="51">
        <v>17.28</v>
      </c>
      <c r="C31" s="51">
        <v>27.96</v>
      </c>
      <c r="D31" s="51">
        <v>29.82</v>
      </c>
      <c r="E31" s="51">
        <v>5.35</v>
      </c>
      <c r="F31" s="51">
        <v>2.78</v>
      </c>
      <c r="G31" s="51">
        <v>131.33000000000001</v>
      </c>
      <c r="H31" s="51">
        <v>68.28</v>
      </c>
      <c r="I31" s="51">
        <v>7.57</v>
      </c>
      <c r="J31" s="51">
        <v>0.15</v>
      </c>
      <c r="K31" s="51">
        <v>202.46</v>
      </c>
      <c r="L31" s="51">
        <v>21.61</v>
      </c>
      <c r="M31" s="51">
        <v>87.21</v>
      </c>
      <c r="N31" s="51">
        <v>0</v>
      </c>
      <c r="O31" s="51">
        <v>0</v>
      </c>
      <c r="P31" s="51">
        <v>1.08</v>
      </c>
      <c r="Q31" s="51">
        <v>4.72</v>
      </c>
    </row>
    <row r="32" spans="1:17" customFormat="1">
      <c r="A32" s="50" t="s">
        <v>395</v>
      </c>
      <c r="B32" s="51">
        <v>20.93</v>
      </c>
      <c r="C32" s="51">
        <v>28.35</v>
      </c>
      <c r="D32" s="51">
        <v>32.950000000000003</v>
      </c>
      <c r="E32" s="51">
        <v>5.37</v>
      </c>
      <c r="F32" s="51">
        <v>2.75</v>
      </c>
      <c r="G32" s="51">
        <v>131.33000000000001</v>
      </c>
      <c r="H32" s="51">
        <v>68.28</v>
      </c>
      <c r="I32" s="51">
        <v>7.65</v>
      </c>
      <c r="J32" s="51">
        <v>0.11</v>
      </c>
      <c r="K32" s="51">
        <v>202.69</v>
      </c>
      <c r="L32" s="51">
        <v>20.8</v>
      </c>
      <c r="M32" s="51">
        <v>86.29</v>
      </c>
      <c r="N32" s="51">
        <v>0</v>
      </c>
      <c r="O32" s="51">
        <v>0</v>
      </c>
      <c r="P32" s="51">
        <v>1.08</v>
      </c>
      <c r="Q32" s="51">
        <v>4.8499999999999996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5.08</v>
      </c>
      <c r="C34" s="40">
        <f t="shared" si="0"/>
        <v>17.13</v>
      </c>
      <c r="D34" s="40">
        <f t="shared" si="0"/>
        <v>14.59</v>
      </c>
      <c r="E34" s="40">
        <f t="shared" si="0"/>
        <v>5.3</v>
      </c>
      <c r="F34" s="40">
        <f t="shared" si="0"/>
        <v>2.67</v>
      </c>
      <c r="G34" s="40">
        <f t="shared" si="0"/>
        <v>73.040000000000006</v>
      </c>
      <c r="H34" s="40">
        <f t="shared" si="0"/>
        <v>39.07</v>
      </c>
      <c r="I34" s="40">
        <f t="shared" si="0"/>
        <v>5.6</v>
      </c>
      <c r="J34" s="40">
        <f t="shared" si="0"/>
        <v>0.1</v>
      </c>
      <c r="K34" s="40">
        <f t="shared" si="0"/>
        <v>37</v>
      </c>
      <c r="L34" s="40">
        <f t="shared" si="0"/>
        <v>19.29</v>
      </c>
      <c r="M34" s="40">
        <f t="shared" si="0"/>
        <v>41.6</v>
      </c>
      <c r="N34" s="40">
        <f t="shared" si="0"/>
        <v>0</v>
      </c>
      <c r="O34" s="40">
        <f t="shared" si="0"/>
        <v>0</v>
      </c>
      <c r="P34" s="40">
        <f t="shared" si="0"/>
        <v>0.76</v>
      </c>
      <c r="Q34" s="40">
        <f t="shared" si="0"/>
        <v>4.1500000000000004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20.93</v>
      </c>
      <c r="C35" s="33">
        <f t="shared" si="1"/>
        <v>30.49</v>
      </c>
      <c r="D35" s="33">
        <f t="shared" si="1"/>
        <v>32.950000000000003</v>
      </c>
      <c r="E35" s="33">
        <f t="shared" si="1"/>
        <v>10.25</v>
      </c>
      <c r="F35" s="33">
        <f t="shared" si="1"/>
        <v>10.38</v>
      </c>
      <c r="G35" s="33">
        <f t="shared" si="1"/>
        <v>131.33000000000001</v>
      </c>
      <c r="H35" s="33">
        <f t="shared" si="1"/>
        <v>68.28</v>
      </c>
      <c r="I35" s="33">
        <f t="shared" si="1"/>
        <v>7.65</v>
      </c>
      <c r="J35" s="33">
        <f t="shared" si="1"/>
        <v>0.7</v>
      </c>
      <c r="K35" s="33">
        <f t="shared" si="1"/>
        <v>320.02</v>
      </c>
      <c r="L35" s="33">
        <f t="shared" si="1"/>
        <v>30.22</v>
      </c>
      <c r="M35" s="33">
        <f t="shared" si="1"/>
        <v>89.94</v>
      </c>
      <c r="N35" s="33">
        <f t="shared" si="1"/>
        <v>541.1</v>
      </c>
      <c r="O35" s="33">
        <f t="shared" si="1"/>
        <v>0</v>
      </c>
      <c r="P35" s="33">
        <f t="shared" si="1"/>
        <v>1.08</v>
      </c>
      <c r="Q35" s="33">
        <f t="shared" si="1"/>
        <v>4.8499999999999996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8.7287499999999998</v>
      </c>
      <c r="C36" s="40">
        <f t="shared" si="2"/>
        <v>24.322916666666671</v>
      </c>
      <c r="D36" s="40">
        <f t="shared" si="2"/>
        <v>20.94125</v>
      </c>
      <c r="E36" s="40">
        <f t="shared" si="2"/>
        <v>6.6533333333333351</v>
      </c>
      <c r="F36" s="40">
        <f t="shared" si="2"/>
        <v>4.2975000000000003</v>
      </c>
      <c r="G36" s="40">
        <f t="shared" si="2"/>
        <v>95.297083333333333</v>
      </c>
      <c r="H36" s="40">
        <f t="shared" si="2"/>
        <v>48.426666666666669</v>
      </c>
      <c r="I36" s="40">
        <f t="shared" si="2"/>
        <v>6.689166666666666</v>
      </c>
      <c r="J36" s="40">
        <f t="shared" si="2"/>
        <v>0.33166666666666667</v>
      </c>
      <c r="K36" s="40">
        <f t="shared" si="2"/>
        <v>140.37416666666667</v>
      </c>
      <c r="L36" s="40">
        <f t="shared" si="2"/>
        <v>24.201666666666672</v>
      </c>
      <c r="M36" s="40">
        <f t="shared" si="2"/>
        <v>71.544583333333364</v>
      </c>
      <c r="N36" s="40">
        <f t="shared" si="2"/>
        <v>124.45416666666665</v>
      </c>
      <c r="O36" s="40">
        <f t="shared" si="2"/>
        <v>0</v>
      </c>
      <c r="P36" s="40">
        <f t="shared" si="2"/>
        <v>0.90125000000000011</v>
      </c>
      <c r="Q36" s="40">
        <f t="shared" si="2"/>
        <v>4.3804166666666662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4.0061890299233589</v>
      </c>
      <c r="C37" s="40">
        <f t="shared" ref="C37:Q37" si="3">STDEV(C9:C32)</f>
        <v>3.6626391995113212</v>
      </c>
      <c r="D37" s="40">
        <f t="shared" si="3"/>
        <v>4.4606982417944145</v>
      </c>
      <c r="E37" s="40">
        <f t="shared" si="3"/>
        <v>1.2881016253003605</v>
      </c>
      <c r="F37" s="40">
        <f t="shared" si="3"/>
        <v>2.1151302765920859</v>
      </c>
      <c r="G37" s="40">
        <f t="shared" si="3"/>
        <v>17.554831734031094</v>
      </c>
      <c r="H37" s="40">
        <f t="shared" si="3"/>
        <v>8.5962194251773631</v>
      </c>
      <c r="I37" s="40">
        <f t="shared" si="3"/>
        <v>0.59702826869687009</v>
      </c>
      <c r="J37" s="40">
        <f t="shared" si="3"/>
        <v>0.18632992400500287</v>
      </c>
      <c r="K37" s="40">
        <f t="shared" si="3"/>
        <v>83.969517446183559</v>
      </c>
      <c r="L37" s="40">
        <f t="shared" si="3"/>
        <v>3.7710149327718199</v>
      </c>
      <c r="M37" s="40">
        <f t="shared" si="3"/>
        <v>16.503637538214065</v>
      </c>
      <c r="N37" s="40">
        <f t="shared" si="3"/>
        <v>183.74425274458699</v>
      </c>
      <c r="O37" s="40">
        <f t="shared" si="3"/>
        <v>0</v>
      </c>
      <c r="P37" s="40">
        <f t="shared" si="3"/>
        <v>0.10139515896170455</v>
      </c>
      <c r="Q37" s="40">
        <f t="shared" si="3"/>
        <v>0.17728579645077489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15/11/2023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396</v>
      </c>
      <c r="B9" s="51">
        <v>20.59</v>
      </c>
      <c r="C9" s="51">
        <v>28.13</v>
      </c>
      <c r="D9" s="51">
        <v>32.56</v>
      </c>
      <c r="E9" s="51">
        <v>5.17</v>
      </c>
      <c r="F9" s="51">
        <v>2.75</v>
      </c>
      <c r="G9" s="51">
        <v>118.8</v>
      </c>
      <c r="H9" s="51">
        <v>60.86</v>
      </c>
      <c r="I9" s="51">
        <v>7.6</v>
      </c>
      <c r="J9" s="51">
        <v>0.11</v>
      </c>
      <c r="K9" s="51">
        <v>194.31</v>
      </c>
      <c r="L9" s="51">
        <v>20.43</v>
      </c>
      <c r="M9" s="51">
        <v>86.01</v>
      </c>
      <c r="N9" s="51">
        <v>0</v>
      </c>
      <c r="O9" s="51">
        <v>0</v>
      </c>
      <c r="P9" s="51">
        <v>1.06</v>
      </c>
      <c r="Q9" s="51">
        <v>4.8899999999999997</v>
      </c>
    </row>
    <row r="10" spans="1:21" customFormat="1">
      <c r="A10" s="50" t="s">
        <v>397</v>
      </c>
      <c r="B10" s="51">
        <v>17.63</v>
      </c>
      <c r="C10" s="51">
        <v>26</v>
      </c>
      <c r="D10" s="51">
        <v>29.07</v>
      </c>
      <c r="E10" s="51">
        <v>5.57</v>
      </c>
      <c r="F10" s="51">
        <v>3.26</v>
      </c>
      <c r="G10" s="51">
        <v>98.8</v>
      </c>
      <c r="H10" s="51">
        <v>57.46</v>
      </c>
      <c r="I10" s="51">
        <v>7.41</v>
      </c>
      <c r="J10" s="51">
        <v>0.15</v>
      </c>
      <c r="K10" s="51">
        <v>159.69999999999999</v>
      </c>
      <c r="L10" s="51">
        <v>20.49</v>
      </c>
      <c r="M10" s="51">
        <v>85.02</v>
      </c>
      <c r="N10" s="51">
        <v>0</v>
      </c>
      <c r="O10" s="51">
        <v>0</v>
      </c>
      <c r="P10" s="51">
        <v>1</v>
      </c>
      <c r="Q10" s="51">
        <v>4.8099999999999996</v>
      </c>
    </row>
    <row r="11" spans="1:21" customFormat="1">
      <c r="A11" s="50" t="s">
        <v>398</v>
      </c>
      <c r="B11" s="51">
        <v>11.05</v>
      </c>
      <c r="C11" s="51">
        <v>25.08</v>
      </c>
      <c r="D11" s="51">
        <v>23.32</v>
      </c>
      <c r="E11" s="51">
        <v>6.8</v>
      </c>
      <c r="F11" s="51">
        <v>3.57</v>
      </c>
      <c r="G11" s="51">
        <v>89.93</v>
      </c>
      <c r="H11" s="51">
        <v>50.22</v>
      </c>
      <c r="I11" s="51">
        <v>7.01</v>
      </c>
      <c r="J11" s="51">
        <v>0.14000000000000001</v>
      </c>
      <c r="K11" s="51">
        <v>177.32</v>
      </c>
      <c r="L11" s="51">
        <v>20.420000000000002</v>
      </c>
      <c r="M11" s="51">
        <v>88.38</v>
      </c>
      <c r="N11" s="51">
        <v>0</v>
      </c>
      <c r="O11" s="51">
        <v>0</v>
      </c>
      <c r="P11" s="51">
        <v>0.95</v>
      </c>
      <c r="Q11" s="51">
        <v>4.51</v>
      </c>
    </row>
    <row r="12" spans="1:21" customFormat="1">
      <c r="A12" s="50" t="s">
        <v>399</v>
      </c>
      <c r="B12" s="51">
        <v>7</v>
      </c>
      <c r="C12" s="51">
        <v>23.39</v>
      </c>
      <c r="D12" s="51">
        <v>19.190000000000001</v>
      </c>
      <c r="E12" s="51">
        <v>6.77</v>
      </c>
      <c r="F12" s="51">
        <v>3.56</v>
      </c>
      <c r="G12" s="51">
        <v>81.97</v>
      </c>
      <c r="H12" s="51">
        <v>49.29</v>
      </c>
      <c r="I12" s="51">
        <v>6.47</v>
      </c>
      <c r="J12" s="51">
        <v>0.12</v>
      </c>
      <c r="K12" s="51">
        <v>226.44</v>
      </c>
      <c r="L12" s="51">
        <v>19.7</v>
      </c>
      <c r="M12" s="51">
        <v>91.18</v>
      </c>
      <c r="N12" s="51">
        <v>0</v>
      </c>
      <c r="O12" s="51">
        <v>0</v>
      </c>
      <c r="P12" s="51">
        <v>0.9</v>
      </c>
      <c r="Q12" s="51">
        <v>4.33</v>
      </c>
    </row>
    <row r="13" spans="1:21" customFormat="1">
      <c r="A13" s="50" t="s">
        <v>400</v>
      </c>
      <c r="B13" s="51">
        <v>5.65</v>
      </c>
      <c r="C13" s="51">
        <v>21.9</v>
      </c>
      <c r="D13" s="51">
        <v>17.32</v>
      </c>
      <c r="E13" s="51">
        <v>7.38</v>
      </c>
      <c r="F13" s="51">
        <v>3.51</v>
      </c>
      <c r="G13" s="51">
        <v>76.45</v>
      </c>
      <c r="H13" s="51">
        <v>46.42</v>
      </c>
      <c r="I13" s="51">
        <v>6.14</v>
      </c>
      <c r="J13" s="51">
        <v>0.16</v>
      </c>
      <c r="K13" s="51">
        <v>336.87</v>
      </c>
      <c r="L13" s="51">
        <v>19.23</v>
      </c>
      <c r="M13" s="51">
        <v>96.02</v>
      </c>
      <c r="N13" s="51">
        <v>0</v>
      </c>
      <c r="O13" s="51">
        <v>0</v>
      </c>
      <c r="P13" s="51">
        <v>0.85</v>
      </c>
      <c r="Q13" s="51">
        <v>4.3</v>
      </c>
    </row>
    <row r="14" spans="1:21" customFormat="1">
      <c r="A14" s="50" t="s">
        <v>401</v>
      </c>
      <c r="B14" s="51">
        <v>6.94</v>
      </c>
      <c r="C14" s="51">
        <v>22.72</v>
      </c>
      <c r="D14" s="51">
        <v>18.78</v>
      </c>
      <c r="E14" s="51">
        <v>7.45</v>
      </c>
      <c r="F14" s="51">
        <v>3.11</v>
      </c>
      <c r="G14" s="51">
        <v>67.53</v>
      </c>
      <c r="H14" s="51">
        <v>44.26</v>
      </c>
      <c r="I14" s="51">
        <v>5.92</v>
      </c>
      <c r="J14" s="51">
        <v>0.63</v>
      </c>
      <c r="K14" s="51">
        <v>38.29</v>
      </c>
      <c r="L14" s="51">
        <v>18.8</v>
      </c>
      <c r="M14" s="51">
        <v>99.28</v>
      </c>
      <c r="N14" s="51">
        <v>0</v>
      </c>
      <c r="O14" s="51">
        <v>0</v>
      </c>
      <c r="P14" s="51">
        <v>0.83</v>
      </c>
      <c r="Q14" s="51">
        <v>4.33</v>
      </c>
    </row>
    <row r="15" spans="1:21" customFormat="1">
      <c r="A15" s="50" t="s">
        <v>402</v>
      </c>
      <c r="B15" s="51">
        <v>8.11</v>
      </c>
      <c r="C15" s="51">
        <v>24.4</v>
      </c>
      <c r="D15" s="51">
        <v>20.37</v>
      </c>
      <c r="E15" s="51">
        <v>7.31</v>
      </c>
      <c r="F15" s="51">
        <v>3.08</v>
      </c>
      <c r="G15" s="51">
        <v>69.849999999999994</v>
      </c>
      <c r="H15" s="51">
        <v>41.9</v>
      </c>
      <c r="I15" s="51">
        <v>5.96</v>
      </c>
      <c r="J15" s="51">
        <v>0.43</v>
      </c>
      <c r="K15" s="51">
        <v>43.04</v>
      </c>
      <c r="L15" s="51">
        <v>18.989999999999998</v>
      </c>
      <c r="M15" s="51">
        <v>97.98</v>
      </c>
      <c r="N15" s="51">
        <v>23.3</v>
      </c>
      <c r="O15" s="51">
        <v>0</v>
      </c>
      <c r="P15" s="51">
        <v>0.85</v>
      </c>
      <c r="Q15" s="51">
        <v>4.3899999999999997</v>
      </c>
    </row>
    <row r="16" spans="1:21" customFormat="1">
      <c r="A16" s="50" t="s">
        <v>403</v>
      </c>
      <c r="B16" s="51">
        <v>9.19</v>
      </c>
      <c r="C16" s="51">
        <v>22.5</v>
      </c>
      <c r="D16" s="51">
        <v>20.48</v>
      </c>
      <c r="E16" s="51">
        <v>6.19</v>
      </c>
      <c r="F16" s="51">
        <v>3.25</v>
      </c>
      <c r="G16" s="51">
        <v>74.45</v>
      </c>
      <c r="H16" s="51">
        <v>41.9</v>
      </c>
      <c r="I16" s="51">
        <v>6.23</v>
      </c>
      <c r="J16" s="51">
        <v>0.48</v>
      </c>
      <c r="K16" s="51">
        <v>39.07</v>
      </c>
      <c r="L16" s="51">
        <v>20.89</v>
      </c>
      <c r="M16" s="51">
        <v>93.21</v>
      </c>
      <c r="N16" s="51">
        <v>133.6</v>
      </c>
      <c r="O16" s="51">
        <v>0</v>
      </c>
      <c r="P16" s="51">
        <v>0.85</v>
      </c>
      <c r="Q16" s="51">
        <v>4.41</v>
      </c>
    </row>
    <row r="17" spans="1:17" customFormat="1">
      <c r="A17" s="50" t="s">
        <v>404</v>
      </c>
      <c r="B17" s="51">
        <v>9.6300000000000008</v>
      </c>
      <c r="C17" s="51">
        <v>22.71</v>
      </c>
      <c r="D17" s="51">
        <v>20.88</v>
      </c>
      <c r="E17" s="51">
        <v>5.71</v>
      </c>
      <c r="F17" s="51">
        <v>2.8</v>
      </c>
      <c r="G17" s="51">
        <v>88.24</v>
      </c>
      <c r="H17" s="51">
        <v>44.52</v>
      </c>
      <c r="I17" s="51">
        <v>6.42</v>
      </c>
      <c r="J17" s="51">
        <v>0.73</v>
      </c>
      <c r="K17" s="51">
        <v>47.86</v>
      </c>
      <c r="L17" s="51">
        <v>23.27</v>
      </c>
      <c r="M17" s="51">
        <v>83.02</v>
      </c>
      <c r="N17" s="51">
        <v>250</v>
      </c>
      <c r="O17" s="51">
        <v>0</v>
      </c>
      <c r="P17" s="51">
        <v>0.87</v>
      </c>
      <c r="Q17" s="51">
        <v>4.42</v>
      </c>
    </row>
    <row r="18" spans="1:17" customFormat="1">
      <c r="A18" s="50" t="s">
        <v>405</v>
      </c>
      <c r="B18" s="51">
        <v>9.82</v>
      </c>
      <c r="C18" s="51">
        <v>22.97</v>
      </c>
      <c r="D18" s="51">
        <v>21.22</v>
      </c>
      <c r="E18" s="51">
        <v>6.23</v>
      </c>
      <c r="F18" s="51">
        <v>3.36</v>
      </c>
      <c r="G18" s="51">
        <v>94.21</v>
      </c>
      <c r="H18" s="51">
        <v>47.36</v>
      </c>
      <c r="I18" s="51">
        <v>6.61</v>
      </c>
      <c r="J18" s="51">
        <v>0.84</v>
      </c>
      <c r="K18" s="51">
        <v>54.12</v>
      </c>
      <c r="L18" s="51">
        <v>25.12</v>
      </c>
      <c r="M18" s="51">
        <v>74.69</v>
      </c>
      <c r="N18" s="51">
        <v>378.8</v>
      </c>
      <c r="O18" s="51">
        <v>0</v>
      </c>
      <c r="P18" s="51">
        <v>0.89</v>
      </c>
      <c r="Q18" s="51">
        <v>4.41</v>
      </c>
    </row>
    <row r="19" spans="1:17" customFormat="1">
      <c r="A19" s="50" t="s">
        <v>406</v>
      </c>
      <c r="B19" s="51">
        <v>9.61</v>
      </c>
      <c r="C19" s="51">
        <v>23.28</v>
      </c>
      <c r="D19" s="51">
        <v>21.22</v>
      </c>
      <c r="E19" s="51">
        <v>6.06</v>
      </c>
      <c r="F19" s="51">
        <v>4.8499999999999996</v>
      </c>
      <c r="G19" s="51">
        <v>94.21</v>
      </c>
      <c r="H19" s="51">
        <v>47.36</v>
      </c>
      <c r="I19" s="51">
        <v>6.67</v>
      </c>
      <c r="J19" s="51">
        <v>0.7</v>
      </c>
      <c r="K19" s="51">
        <v>64.91</v>
      </c>
      <c r="L19" s="51">
        <v>27.09</v>
      </c>
      <c r="M19" s="51">
        <v>65.39</v>
      </c>
      <c r="N19" s="51">
        <v>435.9</v>
      </c>
      <c r="O19" s="51">
        <v>0</v>
      </c>
      <c r="P19" s="51">
        <v>0.91</v>
      </c>
      <c r="Q19" s="51">
        <v>4.41</v>
      </c>
    </row>
    <row r="20" spans="1:17" customFormat="1">
      <c r="A20" s="50" t="s">
        <v>407</v>
      </c>
      <c r="B20" s="51">
        <v>7.83</v>
      </c>
      <c r="C20" s="51">
        <v>22.33</v>
      </c>
      <c r="D20" s="51">
        <v>18.559999999999999</v>
      </c>
      <c r="E20" s="51">
        <v>6.38</v>
      </c>
      <c r="F20" s="51">
        <v>5.45</v>
      </c>
      <c r="G20" s="51">
        <v>92.3</v>
      </c>
      <c r="H20" s="51">
        <v>44.41</v>
      </c>
      <c r="I20" s="51">
        <v>6.69</v>
      </c>
      <c r="J20" s="51">
        <v>0.63</v>
      </c>
      <c r="K20" s="51">
        <v>50.57</v>
      </c>
      <c r="L20" s="51">
        <v>28.7</v>
      </c>
      <c r="M20" s="51">
        <v>54.12</v>
      </c>
      <c r="N20" s="51">
        <v>474.8</v>
      </c>
      <c r="O20" s="51">
        <v>0</v>
      </c>
      <c r="P20" s="51">
        <v>0.91</v>
      </c>
      <c r="Q20" s="51">
        <v>4.3600000000000003</v>
      </c>
    </row>
    <row r="21" spans="1:17" customFormat="1">
      <c r="A21" s="50" t="s">
        <v>408</v>
      </c>
      <c r="B21" s="51">
        <v>5.0599999999999996</v>
      </c>
      <c r="C21" s="51">
        <v>22.58</v>
      </c>
      <c r="D21" s="51">
        <v>17.149999999999999</v>
      </c>
      <c r="E21" s="51">
        <v>7.07</v>
      </c>
      <c r="F21" s="51">
        <v>6.23</v>
      </c>
      <c r="G21" s="51">
        <v>86.76</v>
      </c>
      <c r="H21" s="51">
        <v>44.07</v>
      </c>
      <c r="I21" s="51">
        <v>6.54</v>
      </c>
      <c r="J21" s="51">
        <v>0.88</v>
      </c>
      <c r="K21" s="51">
        <v>42.26</v>
      </c>
      <c r="L21" s="51">
        <v>28.53</v>
      </c>
      <c r="M21" s="51">
        <v>46.76</v>
      </c>
      <c r="N21" s="51">
        <v>344.1</v>
      </c>
      <c r="O21" s="51">
        <v>0</v>
      </c>
      <c r="P21" s="51">
        <v>0.91</v>
      </c>
      <c r="Q21" s="51">
        <v>4.2300000000000004</v>
      </c>
    </row>
    <row r="22" spans="1:17" customFormat="1">
      <c r="A22" s="50" t="s">
        <v>409</v>
      </c>
      <c r="B22" s="51">
        <v>4.67</v>
      </c>
      <c r="C22" s="51">
        <v>22.57</v>
      </c>
      <c r="D22" s="51">
        <v>16.88</v>
      </c>
      <c r="E22" s="51">
        <v>7.55</v>
      </c>
      <c r="F22" s="51">
        <v>7.85</v>
      </c>
      <c r="G22" s="51">
        <v>82.6</v>
      </c>
      <c r="H22" s="51">
        <v>40.85</v>
      </c>
      <c r="I22" s="51">
        <v>6.16</v>
      </c>
      <c r="J22" s="51">
        <v>0.53</v>
      </c>
      <c r="K22" s="51">
        <v>116.41</v>
      </c>
      <c r="L22" s="51">
        <v>29.21</v>
      </c>
      <c r="M22" s="51">
        <v>42.2</v>
      </c>
      <c r="N22" s="51">
        <v>420.2</v>
      </c>
      <c r="O22" s="51">
        <v>0</v>
      </c>
      <c r="P22" s="51">
        <v>0.88</v>
      </c>
      <c r="Q22" s="51">
        <v>4.2</v>
      </c>
    </row>
    <row r="23" spans="1:17" customFormat="1">
      <c r="A23" s="50" t="s">
        <v>410</v>
      </c>
      <c r="B23" s="51">
        <v>4.71</v>
      </c>
      <c r="C23" s="51">
        <v>22.33</v>
      </c>
      <c r="D23" s="51">
        <v>16.7</v>
      </c>
      <c r="E23" s="51">
        <v>7.75</v>
      </c>
      <c r="F23" s="51">
        <v>8.3699999999999992</v>
      </c>
      <c r="G23" s="51">
        <v>79.23</v>
      </c>
      <c r="H23" s="51">
        <v>38.92</v>
      </c>
      <c r="I23" s="51">
        <v>5.65</v>
      </c>
      <c r="J23" s="51">
        <v>0.77</v>
      </c>
      <c r="K23" s="51">
        <v>50.59</v>
      </c>
      <c r="L23" s="51">
        <v>28.86</v>
      </c>
      <c r="M23" s="51">
        <v>41.13</v>
      </c>
      <c r="N23" s="51">
        <v>228.7</v>
      </c>
      <c r="O23" s="51">
        <v>0</v>
      </c>
      <c r="P23" s="51">
        <v>0.83</v>
      </c>
      <c r="Q23" s="51">
        <v>4.21</v>
      </c>
    </row>
    <row r="24" spans="1:17" customFormat="1">
      <c r="A24" s="50" t="s">
        <v>411</v>
      </c>
      <c r="B24" s="51">
        <v>4.5</v>
      </c>
      <c r="C24" s="51">
        <v>22.27</v>
      </c>
      <c r="D24" s="51">
        <v>16.54</v>
      </c>
      <c r="E24" s="51">
        <v>7.51</v>
      </c>
      <c r="F24" s="51">
        <v>7.73</v>
      </c>
      <c r="G24" s="51">
        <v>70.98</v>
      </c>
      <c r="H24" s="51">
        <v>38.92</v>
      </c>
      <c r="I24" s="51">
        <v>5.24</v>
      </c>
      <c r="J24" s="51">
        <v>0.7</v>
      </c>
      <c r="K24" s="51">
        <v>144.47</v>
      </c>
      <c r="L24" s="51">
        <v>28.17</v>
      </c>
      <c r="M24" s="51">
        <v>43.17</v>
      </c>
      <c r="N24" s="51">
        <v>94.7</v>
      </c>
      <c r="O24" s="51">
        <v>0</v>
      </c>
      <c r="P24" s="51">
        <v>0.81</v>
      </c>
      <c r="Q24" s="51">
        <v>4.1900000000000004</v>
      </c>
    </row>
    <row r="25" spans="1:17" customFormat="1">
      <c r="A25" s="50" t="s">
        <v>412</v>
      </c>
      <c r="B25" s="51">
        <v>4.66</v>
      </c>
      <c r="C25" s="51">
        <v>21.58</v>
      </c>
      <c r="D25" s="51">
        <v>16.170000000000002</v>
      </c>
      <c r="E25" s="51">
        <v>7.51</v>
      </c>
      <c r="F25" s="51">
        <v>7.73</v>
      </c>
      <c r="G25" s="51">
        <v>70.98</v>
      </c>
      <c r="H25" s="51">
        <v>38.380000000000003</v>
      </c>
      <c r="I25" s="51">
        <v>5.04</v>
      </c>
      <c r="J25" s="51">
        <v>0.31</v>
      </c>
      <c r="K25" s="51">
        <v>125.22</v>
      </c>
      <c r="L25" s="51">
        <v>27.44</v>
      </c>
      <c r="M25" s="51">
        <v>52.56</v>
      </c>
      <c r="N25" s="51">
        <v>40.5</v>
      </c>
      <c r="O25" s="51">
        <v>0</v>
      </c>
      <c r="P25" s="51">
        <v>0.77</v>
      </c>
      <c r="Q25" s="51">
        <v>4.1500000000000004</v>
      </c>
    </row>
    <row r="26" spans="1:17" customFormat="1">
      <c r="A26" s="50" t="s">
        <v>413</v>
      </c>
      <c r="B26" s="51">
        <v>5.21</v>
      </c>
      <c r="C26" s="51">
        <v>19.55</v>
      </c>
      <c r="D26" s="51">
        <v>15.75</v>
      </c>
      <c r="E26" s="51">
        <v>5.19</v>
      </c>
      <c r="F26" s="51">
        <v>4.03</v>
      </c>
      <c r="G26" s="51">
        <v>66.63</v>
      </c>
      <c r="H26" s="51">
        <v>38.380000000000003</v>
      </c>
      <c r="I26" s="51">
        <v>4.8899999999999997</v>
      </c>
      <c r="J26" s="51">
        <v>0.13</v>
      </c>
      <c r="K26" s="51">
        <v>148.38999999999999</v>
      </c>
      <c r="L26" s="51">
        <v>25.29</v>
      </c>
      <c r="M26" s="51">
        <v>61.06</v>
      </c>
      <c r="N26" s="51">
        <v>0</v>
      </c>
      <c r="O26" s="51">
        <v>0</v>
      </c>
      <c r="P26" s="51">
        <v>0.74</v>
      </c>
      <c r="Q26" s="51">
        <v>4.17</v>
      </c>
    </row>
    <row r="27" spans="1:17" customFormat="1">
      <c r="A27" s="50" t="s">
        <v>414</v>
      </c>
      <c r="B27" s="51">
        <v>5.87</v>
      </c>
      <c r="C27" s="51">
        <v>20.2</v>
      </c>
      <c r="D27" s="51">
        <v>16.61</v>
      </c>
      <c r="E27" s="51">
        <v>6.37</v>
      </c>
      <c r="F27" s="51">
        <v>3.47</v>
      </c>
      <c r="G27" s="51">
        <v>68.37</v>
      </c>
      <c r="H27" s="51">
        <v>37.19</v>
      </c>
      <c r="I27" s="51">
        <v>4.97</v>
      </c>
      <c r="J27" s="51">
        <v>0.12</v>
      </c>
      <c r="K27" s="51">
        <v>127.47</v>
      </c>
      <c r="L27" s="51">
        <v>23.74</v>
      </c>
      <c r="M27" s="51">
        <v>64.33</v>
      </c>
      <c r="N27" s="51">
        <v>0</v>
      </c>
      <c r="O27" s="51">
        <v>0</v>
      </c>
      <c r="P27" s="51">
        <v>0.74</v>
      </c>
      <c r="Q27" s="51">
        <v>4.18</v>
      </c>
    </row>
    <row r="28" spans="1:17" customFormat="1">
      <c r="A28" s="50" t="s">
        <v>415</v>
      </c>
      <c r="B28" s="51">
        <v>6.87</v>
      </c>
      <c r="C28" s="51">
        <v>21.69</v>
      </c>
      <c r="D28" s="51">
        <v>18.190000000000001</v>
      </c>
      <c r="E28" s="51">
        <v>6.55</v>
      </c>
      <c r="F28" s="51">
        <v>2.98</v>
      </c>
      <c r="G28" s="51">
        <v>87.72</v>
      </c>
      <c r="H28" s="51">
        <v>39.020000000000003</v>
      </c>
      <c r="I28" s="51">
        <v>5.27</v>
      </c>
      <c r="J28" s="51">
        <v>0.14000000000000001</v>
      </c>
      <c r="K28" s="51">
        <v>181.24</v>
      </c>
      <c r="L28" s="51">
        <v>22.87</v>
      </c>
      <c r="M28" s="51">
        <v>79.430000000000007</v>
      </c>
      <c r="N28" s="51">
        <v>0</v>
      </c>
      <c r="O28" s="51">
        <v>0</v>
      </c>
      <c r="P28" s="51">
        <v>0.8</v>
      </c>
      <c r="Q28" s="51">
        <v>4.26</v>
      </c>
    </row>
    <row r="29" spans="1:17" customFormat="1">
      <c r="A29" s="50" t="s">
        <v>416</v>
      </c>
      <c r="B29" s="51">
        <v>7.62</v>
      </c>
      <c r="C29" s="51">
        <v>22.4</v>
      </c>
      <c r="D29" s="51">
        <v>19.16</v>
      </c>
      <c r="E29" s="51">
        <v>6.65</v>
      </c>
      <c r="F29" s="51">
        <v>2.89</v>
      </c>
      <c r="G29" s="51">
        <v>87.72</v>
      </c>
      <c r="H29" s="51">
        <v>42.08</v>
      </c>
      <c r="I29" s="51">
        <v>5.6</v>
      </c>
      <c r="J29" s="51">
        <v>0.12</v>
      </c>
      <c r="K29" s="51">
        <v>196.27</v>
      </c>
      <c r="L29" s="51">
        <v>21.18</v>
      </c>
      <c r="M29" s="51">
        <v>85.88</v>
      </c>
      <c r="N29" s="51">
        <v>0</v>
      </c>
      <c r="O29" s="51">
        <v>0</v>
      </c>
      <c r="P29" s="51">
        <v>0.83</v>
      </c>
      <c r="Q29" s="51">
        <v>4.29</v>
      </c>
    </row>
    <row r="30" spans="1:17" customFormat="1">
      <c r="A30" s="50" t="s">
        <v>417</v>
      </c>
      <c r="B30" s="51">
        <v>7.76</v>
      </c>
      <c r="C30" s="51">
        <v>22.22</v>
      </c>
      <c r="D30" s="51">
        <v>19.010000000000002</v>
      </c>
      <c r="E30" s="51">
        <v>7.41</v>
      </c>
      <c r="F30" s="51">
        <v>3.36</v>
      </c>
      <c r="G30" s="51">
        <v>83.82</v>
      </c>
      <c r="H30" s="51">
        <v>42.08</v>
      </c>
      <c r="I30" s="51">
        <v>5.84</v>
      </c>
      <c r="J30" s="51">
        <v>0.2</v>
      </c>
      <c r="K30" s="51">
        <v>202.6</v>
      </c>
      <c r="L30" s="51">
        <v>20.61</v>
      </c>
      <c r="M30" s="51">
        <v>86.96</v>
      </c>
      <c r="N30" s="51">
        <v>0</v>
      </c>
      <c r="O30" s="51">
        <v>0</v>
      </c>
      <c r="P30" s="51">
        <v>0.86</v>
      </c>
      <c r="Q30" s="51">
        <v>4.32</v>
      </c>
    </row>
    <row r="31" spans="1:17" customFormat="1">
      <c r="A31" s="50" t="s">
        <v>418</v>
      </c>
      <c r="B31" s="51">
        <v>6.58</v>
      </c>
      <c r="C31" s="51">
        <v>22.39</v>
      </c>
      <c r="D31" s="51">
        <v>18.32</v>
      </c>
      <c r="E31" s="51">
        <v>8.0299999999999994</v>
      </c>
      <c r="F31" s="51">
        <v>4.33</v>
      </c>
      <c r="G31" s="51">
        <v>80.209999999999994</v>
      </c>
      <c r="H31" s="51">
        <v>37.15</v>
      </c>
      <c r="I31" s="51">
        <v>5.86</v>
      </c>
      <c r="J31" s="51">
        <v>0.27</v>
      </c>
      <c r="K31" s="51">
        <v>179.52</v>
      </c>
      <c r="L31" s="51">
        <v>21.11</v>
      </c>
      <c r="M31" s="51">
        <v>75.86</v>
      </c>
      <c r="N31" s="51">
        <v>0</v>
      </c>
      <c r="O31" s="51">
        <v>0</v>
      </c>
      <c r="P31" s="51">
        <v>0.85</v>
      </c>
      <c r="Q31" s="51">
        <v>4.28</v>
      </c>
    </row>
    <row r="32" spans="1:17" customFormat="1">
      <c r="A32" s="50" t="s">
        <v>419</v>
      </c>
      <c r="B32" s="51">
        <v>5.09</v>
      </c>
      <c r="C32" s="51">
        <v>22.05</v>
      </c>
      <c r="D32" s="51">
        <v>16.899999999999999</v>
      </c>
      <c r="E32" s="51">
        <v>7.9</v>
      </c>
      <c r="F32" s="51">
        <v>4.55</v>
      </c>
      <c r="G32" s="51">
        <v>74.14</v>
      </c>
      <c r="H32" s="51">
        <v>37.81</v>
      </c>
      <c r="I32" s="51">
        <v>5.71</v>
      </c>
      <c r="J32" s="51">
        <v>0.16</v>
      </c>
      <c r="K32" s="51">
        <v>239.54</v>
      </c>
      <c r="L32" s="51">
        <v>20.86</v>
      </c>
      <c r="M32" s="51">
        <v>82.05</v>
      </c>
      <c r="N32" s="51">
        <v>0</v>
      </c>
      <c r="O32" s="51">
        <v>0</v>
      </c>
      <c r="P32" s="51">
        <v>0.81</v>
      </c>
      <c r="Q32" s="51">
        <v>4.2300000000000004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4.5</v>
      </c>
      <c r="C34" s="40">
        <f t="shared" si="0"/>
        <v>19.55</v>
      </c>
      <c r="D34" s="40">
        <f t="shared" si="0"/>
        <v>15.75</v>
      </c>
      <c r="E34" s="40">
        <f t="shared" si="0"/>
        <v>5.17</v>
      </c>
      <c r="F34" s="40">
        <f t="shared" si="0"/>
        <v>2.75</v>
      </c>
      <c r="G34" s="40">
        <f t="shared" si="0"/>
        <v>66.63</v>
      </c>
      <c r="H34" s="40">
        <f t="shared" si="0"/>
        <v>37.15</v>
      </c>
      <c r="I34" s="40">
        <f t="shared" si="0"/>
        <v>4.8899999999999997</v>
      </c>
      <c r="J34" s="40">
        <f t="shared" si="0"/>
        <v>0.11</v>
      </c>
      <c r="K34" s="40">
        <f t="shared" si="0"/>
        <v>38.29</v>
      </c>
      <c r="L34" s="40">
        <f t="shared" si="0"/>
        <v>18.8</v>
      </c>
      <c r="M34" s="40">
        <f t="shared" si="0"/>
        <v>41.13</v>
      </c>
      <c r="N34" s="40">
        <f t="shared" si="0"/>
        <v>0</v>
      </c>
      <c r="O34" s="40">
        <f t="shared" si="0"/>
        <v>0</v>
      </c>
      <c r="P34" s="40">
        <f t="shared" si="0"/>
        <v>0.74</v>
      </c>
      <c r="Q34" s="40">
        <f t="shared" si="0"/>
        <v>4.1500000000000004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20.59</v>
      </c>
      <c r="C35" s="33">
        <f t="shared" si="1"/>
        <v>28.13</v>
      </c>
      <c r="D35" s="33">
        <f t="shared" si="1"/>
        <v>32.56</v>
      </c>
      <c r="E35" s="33">
        <f t="shared" si="1"/>
        <v>8.0299999999999994</v>
      </c>
      <c r="F35" s="33">
        <f t="shared" si="1"/>
        <v>8.3699999999999992</v>
      </c>
      <c r="G35" s="33">
        <f t="shared" si="1"/>
        <v>118.8</v>
      </c>
      <c r="H35" s="33">
        <f t="shared" si="1"/>
        <v>60.86</v>
      </c>
      <c r="I35" s="33">
        <f t="shared" si="1"/>
        <v>7.6</v>
      </c>
      <c r="J35" s="33">
        <f t="shared" si="1"/>
        <v>0.88</v>
      </c>
      <c r="K35" s="33">
        <f t="shared" si="1"/>
        <v>336.87</v>
      </c>
      <c r="L35" s="33">
        <f t="shared" si="1"/>
        <v>29.21</v>
      </c>
      <c r="M35" s="33">
        <f t="shared" si="1"/>
        <v>99.28</v>
      </c>
      <c r="N35" s="33">
        <f t="shared" si="1"/>
        <v>474.8</v>
      </c>
      <c r="O35" s="33">
        <f t="shared" si="1"/>
        <v>0</v>
      </c>
      <c r="P35" s="33">
        <f t="shared" si="1"/>
        <v>1.06</v>
      </c>
      <c r="Q35" s="33">
        <f t="shared" si="1"/>
        <v>4.8899999999999997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7.9854166666666666</v>
      </c>
      <c r="C36" s="40">
        <f t="shared" si="2"/>
        <v>22.801666666666662</v>
      </c>
      <c r="D36" s="40">
        <f t="shared" si="2"/>
        <v>19.597916666666666</v>
      </c>
      <c r="E36" s="40">
        <f t="shared" si="2"/>
        <v>6.7712500000000011</v>
      </c>
      <c r="F36" s="40">
        <f t="shared" si="2"/>
        <v>4.4195833333333336</v>
      </c>
      <c r="G36" s="40">
        <f t="shared" si="2"/>
        <v>82.745833333333337</v>
      </c>
      <c r="H36" s="40">
        <f t="shared" si="2"/>
        <v>43.783749999999998</v>
      </c>
      <c r="I36" s="40">
        <f t="shared" si="2"/>
        <v>6.0791666666666684</v>
      </c>
      <c r="J36" s="40">
        <f t="shared" si="2"/>
        <v>0.39374999999999988</v>
      </c>
      <c r="K36" s="40">
        <f t="shared" si="2"/>
        <v>132.76999999999995</v>
      </c>
      <c r="L36" s="40">
        <f t="shared" si="2"/>
        <v>23.375</v>
      </c>
      <c r="M36" s="40">
        <f t="shared" si="2"/>
        <v>73.987083333333331</v>
      </c>
      <c r="N36" s="40">
        <f t="shared" si="2"/>
        <v>117.69166666666665</v>
      </c>
      <c r="O36" s="40">
        <f t="shared" si="2"/>
        <v>0</v>
      </c>
      <c r="P36" s="40">
        <f t="shared" si="2"/>
        <v>0.86249999999999993</v>
      </c>
      <c r="Q36" s="40">
        <f t="shared" si="2"/>
        <v>4.3450000000000006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3.9367476967080584</v>
      </c>
      <c r="C37" s="40">
        <f t="shared" ref="C37:Q37" si="3">STDEV(C9:C32)</f>
        <v>1.744844995399627</v>
      </c>
      <c r="D37" s="40">
        <f t="shared" si="3"/>
        <v>3.9837495765178357</v>
      </c>
      <c r="E37" s="40">
        <f t="shared" si="3"/>
        <v>0.8413772999490553</v>
      </c>
      <c r="F37" s="40">
        <f t="shared" si="3"/>
        <v>1.8114670469867351</v>
      </c>
      <c r="G37" s="40">
        <f t="shared" si="3"/>
        <v>12.164341300512746</v>
      </c>
      <c r="H37" s="40">
        <f t="shared" si="3"/>
        <v>6.1050227450347876</v>
      </c>
      <c r="I37" s="40">
        <f t="shared" si="3"/>
        <v>0.72970462557099258</v>
      </c>
      <c r="J37" s="40">
        <f t="shared" si="3"/>
        <v>0.2757568636064876</v>
      </c>
      <c r="K37" s="40">
        <f t="shared" si="3"/>
        <v>80.207720977146849</v>
      </c>
      <c r="L37" s="40">
        <f t="shared" si="3"/>
        <v>3.6484588765550159</v>
      </c>
      <c r="M37" s="40">
        <f t="shared" si="3"/>
        <v>18.994818625126381</v>
      </c>
      <c r="N37" s="40">
        <f t="shared" si="3"/>
        <v>170.07391466440515</v>
      </c>
      <c r="O37" s="40">
        <f t="shared" si="3"/>
        <v>0</v>
      </c>
      <c r="P37" s="40">
        <f t="shared" si="3"/>
        <v>7.4205941400473444E-2</v>
      </c>
      <c r="Q37" s="40">
        <f t="shared" si="3"/>
        <v>0.18228024291326123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3" activePane="bottomRight" state="frozen"/>
      <selection activeCell="G19" sqref="G19"/>
      <selection pane="topRight" activeCell="G19" sqref="G19"/>
      <selection pane="bottomLeft" activeCell="G19" sqref="G19"/>
      <selection pane="bottomRight" activeCell="H39" sqref="G38:H39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16/11/2023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52" t="s">
        <v>420</v>
      </c>
      <c r="B9" s="53">
        <v>4.29</v>
      </c>
      <c r="C9" s="53">
        <v>21</v>
      </c>
      <c r="D9" s="53">
        <v>15.77</v>
      </c>
      <c r="E9" s="53">
        <v>8.08</v>
      </c>
      <c r="F9" s="53">
        <v>4.03</v>
      </c>
      <c r="G9" s="53">
        <v>69.55</v>
      </c>
      <c r="H9" s="53">
        <v>37.81</v>
      </c>
      <c r="I9" s="53">
        <v>5.4</v>
      </c>
      <c r="J9" s="53">
        <v>0.11</v>
      </c>
      <c r="K9" s="53">
        <v>224.33</v>
      </c>
      <c r="L9" s="53">
        <v>19.34</v>
      </c>
      <c r="M9" s="53">
        <v>93.06</v>
      </c>
      <c r="N9" s="53">
        <v>0</v>
      </c>
      <c r="O9" s="53">
        <v>0</v>
      </c>
      <c r="P9" s="53">
        <v>0.76</v>
      </c>
      <c r="Q9" s="54">
        <v>4.2</v>
      </c>
    </row>
    <row r="10" spans="1:21">
      <c r="A10" s="52" t="s">
        <v>421</v>
      </c>
      <c r="B10" s="53">
        <v>6.95</v>
      </c>
      <c r="C10" s="53">
        <v>23.96</v>
      </c>
      <c r="D10" s="53">
        <v>19.440000000000001</v>
      </c>
      <c r="E10" s="53">
        <v>7.84</v>
      </c>
      <c r="F10" s="53">
        <v>2.93</v>
      </c>
      <c r="G10" s="53">
        <v>65.099999999999994</v>
      </c>
      <c r="H10" s="53">
        <v>35.32</v>
      </c>
      <c r="I10" s="53">
        <v>5.0999999999999996</v>
      </c>
      <c r="J10" s="53">
        <v>0.13</v>
      </c>
      <c r="K10" s="53">
        <v>193.75</v>
      </c>
      <c r="L10" s="53">
        <v>18.68</v>
      </c>
      <c r="M10" s="53">
        <v>93.71</v>
      </c>
      <c r="N10" s="53">
        <v>0</v>
      </c>
      <c r="O10" s="53">
        <v>0</v>
      </c>
      <c r="P10" s="53">
        <v>0.74</v>
      </c>
      <c r="Q10" s="54">
        <v>4.3899999999999997</v>
      </c>
    </row>
    <row r="11" spans="1:21">
      <c r="A11" s="52" t="s">
        <v>422</v>
      </c>
      <c r="B11" s="53">
        <v>8.32</v>
      </c>
      <c r="C11" s="53">
        <v>25.24</v>
      </c>
      <c r="D11" s="53">
        <v>21.2</v>
      </c>
      <c r="E11" s="53">
        <v>5.21</v>
      </c>
      <c r="F11" s="53">
        <v>2.99</v>
      </c>
      <c r="G11" s="53">
        <v>63.17</v>
      </c>
      <c r="H11" s="53">
        <v>33.93</v>
      </c>
      <c r="I11" s="53">
        <v>5.14</v>
      </c>
      <c r="J11" s="53">
        <v>0.46</v>
      </c>
      <c r="K11" s="53">
        <v>355.91</v>
      </c>
      <c r="L11" s="53">
        <v>18.3</v>
      </c>
      <c r="M11" s="53">
        <v>94.38</v>
      </c>
      <c r="N11" s="53">
        <v>0</v>
      </c>
      <c r="O11" s="53">
        <v>0</v>
      </c>
      <c r="P11" s="53">
        <v>0.75</v>
      </c>
      <c r="Q11" s="54">
        <v>4.45</v>
      </c>
    </row>
    <row r="12" spans="1:21">
      <c r="A12" s="52" t="s">
        <v>423</v>
      </c>
      <c r="B12" s="53">
        <v>8.1199999999999992</v>
      </c>
      <c r="C12" s="53">
        <v>22.68</v>
      </c>
      <c r="D12" s="53">
        <v>19.64</v>
      </c>
      <c r="E12" s="53">
        <v>4.8</v>
      </c>
      <c r="F12" s="53">
        <v>3.05</v>
      </c>
      <c r="G12" s="53">
        <v>63.59</v>
      </c>
      <c r="H12" s="53">
        <v>34.83</v>
      </c>
      <c r="I12" s="53">
        <v>5.21</v>
      </c>
      <c r="J12" s="53">
        <v>0.37</v>
      </c>
      <c r="K12" s="53">
        <v>44.86</v>
      </c>
      <c r="L12" s="53">
        <v>18.260000000000002</v>
      </c>
      <c r="M12" s="53">
        <v>85.61</v>
      </c>
      <c r="N12" s="53">
        <v>0</v>
      </c>
      <c r="O12" s="53">
        <v>0</v>
      </c>
      <c r="P12" s="53">
        <v>0.7</v>
      </c>
      <c r="Q12" s="54">
        <v>4.41</v>
      </c>
    </row>
    <row r="13" spans="1:21">
      <c r="A13" s="52" t="s">
        <v>424</v>
      </c>
      <c r="B13" s="53">
        <v>8.06</v>
      </c>
      <c r="C13" s="53">
        <v>22.62</v>
      </c>
      <c r="D13" s="53">
        <v>19.489999999999998</v>
      </c>
      <c r="E13" s="53">
        <v>4.24</v>
      </c>
      <c r="F13" s="53">
        <v>2.84</v>
      </c>
      <c r="G13" s="53">
        <v>63.59</v>
      </c>
      <c r="H13" s="53">
        <v>34.83</v>
      </c>
      <c r="I13" s="53">
        <v>5.4</v>
      </c>
      <c r="J13" s="53">
        <v>0.5</v>
      </c>
      <c r="K13" s="53">
        <v>40.5</v>
      </c>
      <c r="L13" s="53">
        <v>17.940000000000001</v>
      </c>
      <c r="M13" s="53">
        <v>87.54</v>
      </c>
      <c r="N13" s="53">
        <v>0</v>
      </c>
      <c r="O13" s="53">
        <v>0</v>
      </c>
      <c r="P13" s="53">
        <v>0.71</v>
      </c>
      <c r="Q13" s="54">
        <v>4.4000000000000004</v>
      </c>
    </row>
    <row r="14" spans="1:21">
      <c r="A14" s="52" t="s">
        <v>425</v>
      </c>
      <c r="B14" s="53">
        <v>8.67</v>
      </c>
      <c r="C14" s="53">
        <v>22.64</v>
      </c>
      <c r="D14" s="53">
        <v>20.13</v>
      </c>
      <c r="E14" s="53">
        <v>4.93</v>
      </c>
      <c r="F14" s="53">
        <v>2.71</v>
      </c>
      <c r="G14" s="53">
        <v>63.59</v>
      </c>
      <c r="H14" s="53">
        <v>33.15</v>
      </c>
      <c r="I14" s="53">
        <v>5.51</v>
      </c>
      <c r="J14" s="53">
        <v>0.4</v>
      </c>
      <c r="K14" s="53">
        <v>46.63</v>
      </c>
      <c r="L14" s="53">
        <v>17.39</v>
      </c>
      <c r="M14" s="53">
        <v>89.89</v>
      </c>
      <c r="N14" s="53">
        <v>0</v>
      </c>
      <c r="O14" s="53">
        <v>0</v>
      </c>
      <c r="P14" s="53">
        <v>0.71</v>
      </c>
      <c r="Q14" s="54">
        <v>4.43</v>
      </c>
    </row>
    <row r="15" spans="1:21">
      <c r="A15" s="52" t="s">
        <v>426</v>
      </c>
      <c r="B15" s="53">
        <v>10.08</v>
      </c>
      <c r="C15" s="53">
        <v>23.13</v>
      </c>
      <c r="D15" s="53">
        <v>21.52</v>
      </c>
      <c r="E15" s="53">
        <v>4.4800000000000004</v>
      </c>
      <c r="F15" s="53">
        <v>2.61</v>
      </c>
      <c r="G15" s="53">
        <v>67.52</v>
      </c>
      <c r="H15" s="53">
        <v>33.29</v>
      </c>
      <c r="I15" s="53">
        <v>5.62</v>
      </c>
      <c r="J15" s="53">
        <v>0.44</v>
      </c>
      <c r="K15" s="53">
        <v>44.01</v>
      </c>
      <c r="L15" s="53">
        <v>17.62</v>
      </c>
      <c r="M15" s="53">
        <v>89.7</v>
      </c>
      <c r="N15" s="53">
        <v>23.7</v>
      </c>
      <c r="O15" s="53">
        <v>0</v>
      </c>
      <c r="P15" s="53">
        <v>0.73</v>
      </c>
      <c r="Q15" s="54">
        <v>4.4800000000000004</v>
      </c>
    </row>
    <row r="16" spans="1:21">
      <c r="A16" s="52" t="s">
        <v>427</v>
      </c>
      <c r="B16" s="53">
        <v>10.36</v>
      </c>
      <c r="C16" s="53">
        <v>24.43</v>
      </c>
      <c r="D16" s="53">
        <v>22.01</v>
      </c>
      <c r="E16" s="53">
        <v>5.63</v>
      </c>
      <c r="F16" s="53">
        <v>2.95</v>
      </c>
      <c r="G16" s="53">
        <v>68.150000000000006</v>
      </c>
      <c r="H16" s="53">
        <v>33.29</v>
      </c>
      <c r="I16" s="53">
        <v>5.88</v>
      </c>
      <c r="J16" s="53">
        <v>0.68</v>
      </c>
      <c r="K16" s="53">
        <v>48.78</v>
      </c>
      <c r="L16" s="53">
        <v>19.78</v>
      </c>
      <c r="M16" s="53">
        <v>84.58</v>
      </c>
      <c r="N16" s="53">
        <v>176.8</v>
      </c>
      <c r="O16" s="53">
        <v>0</v>
      </c>
      <c r="P16" s="53">
        <v>0.81</v>
      </c>
      <c r="Q16" s="54">
        <v>4.5</v>
      </c>
    </row>
    <row r="17" spans="1:17">
      <c r="A17" s="52" t="s">
        <v>428</v>
      </c>
      <c r="B17" s="53">
        <v>9.15</v>
      </c>
      <c r="C17" s="53">
        <v>25.51</v>
      </c>
      <c r="D17" s="53">
        <v>21.46</v>
      </c>
      <c r="E17" s="53">
        <v>5.55</v>
      </c>
      <c r="F17" s="53">
        <v>3.33</v>
      </c>
      <c r="G17" s="53">
        <v>70.3</v>
      </c>
      <c r="H17" s="53">
        <v>33.119999999999997</v>
      </c>
      <c r="I17" s="53">
        <v>6.16</v>
      </c>
      <c r="J17" s="53">
        <v>0.75</v>
      </c>
      <c r="K17" s="53">
        <v>39.94</v>
      </c>
      <c r="L17" s="53">
        <v>23.37</v>
      </c>
      <c r="M17" s="53">
        <v>74.8</v>
      </c>
      <c r="N17" s="53">
        <v>327.5</v>
      </c>
      <c r="O17" s="53">
        <v>0</v>
      </c>
      <c r="P17" s="53">
        <v>0.84</v>
      </c>
      <c r="Q17" s="54">
        <v>4.4800000000000004</v>
      </c>
    </row>
    <row r="18" spans="1:17">
      <c r="A18" s="52" t="s">
        <v>429</v>
      </c>
      <c r="B18" s="53">
        <v>6.74</v>
      </c>
      <c r="C18" s="53">
        <v>26.01</v>
      </c>
      <c r="D18" s="53">
        <v>20.100000000000001</v>
      </c>
      <c r="E18" s="53">
        <v>5.85</v>
      </c>
      <c r="F18" s="53">
        <v>4.5999999999999996</v>
      </c>
      <c r="G18" s="53">
        <v>70.3</v>
      </c>
      <c r="H18" s="53">
        <v>32.69</v>
      </c>
      <c r="I18" s="53">
        <v>6.18</v>
      </c>
      <c r="J18" s="53">
        <v>0.78</v>
      </c>
      <c r="K18" s="53">
        <v>66.72</v>
      </c>
      <c r="L18" s="53">
        <v>26.11</v>
      </c>
      <c r="M18" s="53">
        <v>61.2</v>
      </c>
      <c r="N18" s="53">
        <v>458.8</v>
      </c>
      <c r="O18" s="53">
        <v>0</v>
      </c>
      <c r="P18" s="53">
        <v>0.85</v>
      </c>
      <c r="Q18" s="54">
        <v>4.41</v>
      </c>
    </row>
    <row r="19" spans="1:17">
      <c r="A19" s="52" t="s">
        <v>430</v>
      </c>
      <c r="B19" s="53">
        <v>4</v>
      </c>
      <c r="C19" s="53">
        <v>25.42</v>
      </c>
      <c r="D19" s="53">
        <v>17.84</v>
      </c>
      <c r="E19" s="53">
        <v>6.56</v>
      </c>
      <c r="F19" s="53">
        <v>6.42</v>
      </c>
      <c r="G19" s="53">
        <v>64.06</v>
      </c>
      <c r="H19" s="53">
        <v>29.73</v>
      </c>
      <c r="I19" s="53">
        <v>6.07</v>
      </c>
      <c r="J19" s="53">
        <v>0.89</v>
      </c>
      <c r="K19" s="53">
        <v>67.33</v>
      </c>
      <c r="L19" s="53">
        <v>27.8</v>
      </c>
      <c r="M19" s="53">
        <v>47.71</v>
      </c>
      <c r="N19" s="53">
        <v>538</v>
      </c>
      <c r="O19" s="53">
        <v>0</v>
      </c>
      <c r="P19" s="53">
        <v>0.82</v>
      </c>
      <c r="Q19" s="54">
        <v>4.28</v>
      </c>
    </row>
    <row r="20" spans="1:17">
      <c r="A20" s="52" t="s">
        <v>431</v>
      </c>
      <c r="B20" s="53">
        <v>3.04</v>
      </c>
      <c r="C20" s="53">
        <v>23.39</v>
      </c>
      <c r="D20" s="53">
        <v>16.010000000000002</v>
      </c>
      <c r="E20" s="53">
        <v>6.79</v>
      </c>
      <c r="F20" s="53">
        <v>8.19</v>
      </c>
      <c r="G20" s="53">
        <v>62.91</v>
      </c>
      <c r="H20" s="53">
        <v>28.25</v>
      </c>
      <c r="I20" s="53">
        <v>5.73</v>
      </c>
      <c r="J20" s="53">
        <v>1</v>
      </c>
      <c r="K20" s="53">
        <v>51.77</v>
      </c>
      <c r="L20" s="53">
        <v>28.8</v>
      </c>
      <c r="M20" s="53">
        <v>39.06</v>
      </c>
      <c r="N20" s="53">
        <v>579.5</v>
      </c>
      <c r="O20" s="53">
        <v>0</v>
      </c>
      <c r="P20" s="53">
        <v>0.78</v>
      </c>
      <c r="Q20" s="54">
        <v>4.21</v>
      </c>
    </row>
    <row r="21" spans="1:17">
      <c r="A21" s="52" t="s">
        <v>432</v>
      </c>
      <c r="B21" s="53">
        <v>2.99</v>
      </c>
      <c r="C21" s="53">
        <v>21.51</v>
      </c>
      <c r="D21" s="53">
        <v>14.98</v>
      </c>
      <c r="E21" s="53">
        <v>9.06</v>
      </c>
      <c r="F21" s="53">
        <v>25.37</v>
      </c>
      <c r="G21" s="53">
        <v>58.69</v>
      </c>
      <c r="H21" s="53">
        <v>26.46</v>
      </c>
      <c r="I21" s="53">
        <v>5.41</v>
      </c>
      <c r="J21" s="53">
        <v>1.22</v>
      </c>
      <c r="K21" s="53">
        <v>48.13</v>
      </c>
      <c r="L21" s="53">
        <v>29.32</v>
      </c>
      <c r="M21" s="53">
        <v>38.119999999999997</v>
      </c>
      <c r="N21" s="53">
        <v>572.6</v>
      </c>
      <c r="O21" s="53">
        <v>0</v>
      </c>
      <c r="P21" s="53">
        <v>0.73</v>
      </c>
      <c r="Q21" s="54">
        <v>4.17</v>
      </c>
    </row>
    <row r="22" spans="1:17">
      <c r="A22" s="52" t="s">
        <v>433</v>
      </c>
      <c r="B22" s="53">
        <v>1.83</v>
      </c>
      <c r="C22" s="53">
        <v>18.04</v>
      </c>
      <c r="D22" s="53">
        <v>11.88</v>
      </c>
      <c r="E22" s="53">
        <v>10.48</v>
      </c>
      <c r="F22" s="53">
        <v>21.05</v>
      </c>
      <c r="G22" s="11" t="s">
        <v>12</v>
      </c>
      <c r="H22" s="11" t="s">
        <v>12</v>
      </c>
      <c r="I22" s="53">
        <v>5</v>
      </c>
      <c r="J22" s="53">
        <v>0.6</v>
      </c>
      <c r="K22" s="53">
        <v>63.56</v>
      </c>
      <c r="L22" s="53">
        <v>29.83</v>
      </c>
      <c r="M22" s="53">
        <v>36.619999999999997</v>
      </c>
      <c r="N22" s="53">
        <v>526.9</v>
      </c>
      <c r="O22" s="53">
        <v>0</v>
      </c>
      <c r="P22" s="53">
        <v>0.68</v>
      </c>
      <c r="Q22" s="54">
        <v>4.13</v>
      </c>
    </row>
    <row r="23" spans="1:17">
      <c r="A23" s="52" t="s">
        <v>434</v>
      </c>
      <c r="B23" s="53">
        <v>4.6100000000000003</v>
      </c>
      <c r="C23" s="53">
        <v>18.36</v>
      </c>
      <c r="D23" s="53">
        <v>14.64</v>
      </c>
      <c r="E23" s="53">
        <v>9.93</v>
      </c>
      <c r="F23" s="53">
        <v>24.31</v>
      </c>
      <c r="G23" s="53">
        <v>24.81</v>
      </c>
      <c r="H23" s="53">
        <v>3.17</v>
      </c>
      <c r="I23" s="53">
        <v>12.87</v>
      </c>
      <c r="J23" s="53">
        <v>0.81</v>
      </c>
      <c r="K23" s="53">
        <v>42.15</v>
      </c>
      <c r="L23" s="53">
        <v>29.07</v>
      </c>
      <c r="M23" s="53">
        <v>38.090000000000003</v>
      </c>
      <c r="N23" s="53">
        <v>208.9</v>
      </c>
      <c r="O23" s="53">
        <v>0</v>
      </c>
      <c r="P23" s="53">
        <v>0.59</v>
      </c>
      <c r="Q23" s="54">
        <v>4.07</v>
      </c>
    </row>
    <row r="24" spans="1:17">
      <c r="A24" s="52" t="s">
        <v>435</v>
      </c>
      <c r="B24" s="53">
        <v>4.26</v>
      </c>
      <c r="C24" s="53">
        <v>20.18</v>
      </c>
      <c r="D24" s="53">
        <v>15.19</v>
      </c>
      <c r="E24" s="53">
        <v>8.24</v>
      </c>
      <c r="F24" s="53">
        <v>17.75</v>
      </c>
      <c r="G24" s="53">
        <v>35.380000000000003</v>
      </c>
      <c r="H24" s="53">
        <v>6.77</v>
      </c>
      <c r="I24" s="53">
        <v>135.33000000000001</v>
      </c>
      <c r="J24" s="53">
        <v>0.61</v>
      </c>
      <c r="K24" s="53">
        <v>54.35</v>
      </c>
      <c r="L24" s="53">
        <v>28.39</v>
      </c>
      <c r="M24" s="53">
        <v>39.18</v>
      </c>
      <c r="N24" s="53">
        <v>63.6</v>
      </c>
      <c r="O24" s="53">
        <v>0</v>
      </c>
      <c r="P24" s="53">
        <v>0.6</v>
      </c>
      <c r="Q24" s="54">
        <v>4.09</v>
      </c>
    </row>
    <row r="25" spans="1:17">
      <c r="A25" s="52" t="s">
        <v>436</v>
      </c>
      <c r="B25" s="53">
        <v>5.39</v>
      </c>
      <c r="C25" s="53">
        <v>22.74</v>
      </c>
      <c r="D25" s="53">
        <v>17.239999999999998</v>
      </c>
      <c r="E25" s="53">
        <v>5.45</v>
      </c>
      <c r="F25" s="53">
        <v>5.81</v>
      </c>
      <c r="G25" s="53">
        <v>41.09</v>
      </c>
      <c r="H25" s="53">
        <v>14.03</v>
      </c>
      <c r="I25" s="53">
        <v>90.83</v>
      </c>
      <c r="J25" s="53">
        <v>0.41</v>
      </c>
      <c r="K25" s="53">
        <v>67.34</v>
      </c>
      <c r="L25" s="53">
        <v>27.86</v>
      </c>
      <c r="M25" s="53">
        <v>45.12</v>
      </c>
      <c r="N25" s="53">
        <v>35.4</v>
      </c>
      <c r="O25" s="53">
        <v>0</v>
      </c>
      <c r="P25" s="53">
        <v>0.59</v>
      </c>
      <c r="Q25" s="54">
        <v>4.1399999999999997</v>
      </c>
    </row>
    <row r="26" spans="1:17">
      <c r="A26" s="52" t="s">
        <v>437</v>
      </c>
      <c r="B26" s="53">
        <v>6.3</v>
      </c>
      <c r="C26" s="53">
        <v>26.39</v>
      </c>
      <c r="D26" s="53">
        <v>20.190000000000001</v>
      </c>
      <c r="E26" s="53">
        <v>6.53</v>
      </c>
      <c r="F26" s="53">
        <v>3.7</v>
      </c>
      <c r="G26" s="53">
        <v>54.99</v>
      </c>
      <c r="H26" s="53">
        <v>18.53</v>
      </c>
      <c r="I26" s="53">
        <v>77.83</v>
      </c>
      <c r="J26" s="53">
        <v>0.19</v>
      </c>
      <c r="K26" s="53">
        <v>133.38</v>
      </c>
      <c r="L26" s="53">
        <v>26.08</v>
      </c>
      <c r="M26" s="53">
        <v>56</v>
      </c>
      <c r="N26" s="53">
        <v>0</v>
      </c>
      <c r="O26" s="53">
        <v>0</v>
      </c>
      <c r="P26" s="53">
        <v>0.74</v>
      </c>
      <c r="Q26" s="54">
        <v>4.1900000000000004</v>
      </c>
    </row>
    <row r="27" spans="1:17">
      <c r="A27" s="52" t="s">
        <v>438</v>
      </c>
      <c r="B27" s="53">
        <v>7.74</v>
      </c>
      <c r="C27" s="53">
        <v>30.14</v>
      </c>
      <c r="D27" s="53">
        <v>23.3</v>
      </c>
      <c r="E27" s="53">
        <v>4.54</v>
      </c>
      <c r="F27" s="53">
        <v>3.48</v>
      </c>
      <c r="G27" s="53">
        <v>70.33</v>
      </c>
      <c r="H27" s="53">
        <v>22.11</v>
      </c>
      <c r="I27" s="53">
        <v>61.42</v>
      </c>
      <c r="J27" s="53">
        <v>0.32</v>
      </c>
      <c r="K27" s="53">
        <v>47.73</v>
      </c>
      <c r="L27" s="53">
        <v>24.25</v>
      </c>
      <c r="M27" s="53">
        <v>54.57</v>
      </c>
      <c r="N27" s="53">
        <v>0</v>
      </c>
      <c r="O27" s="53">
        <v>0</v>
      </c>
      <c r="P27" s="53">
        <v>0.84</v>
      </c>
      <c r="Q27" s="54">
        <v>4.3099999999999996</v>
      </c>
    </row>
    <row r="28" spans="1:17">
      <c r="A28" s="52" t="s">
        <v>439</v>
      </c>
      <c r="B28" s="53">
        <v>8.44</v>
      </c>
      <c r="C28" s="53">
        <v>31.54</v>
      </c>
      <c r="D28" s="53">
        <v>24.57</v>
      </c>
      <c r="E28" s="53">
        <v>4.8</v>
      </c>
      <c r="F28" s="53">
        <v>3.33</v>
      </c>
      <c r="G28" s="53">
        <v>70.33</v>
      </c>
      <c r="H28" s="53">
        <v>25.32</v>
      </c>
      <c r="I28" s="53">
        <v>47.11</v>
      </c>
      <c r="J28" s="53">
        <v>0.31</v>
      </c>
      <c r="K28" s="53">
        <v>42.29</v>
      </c>
      <c r="L28" s="53">
        <v>23.45</v>
      </c>
      <c r="M28" s="53">
        <v>55.74</v>
      </c>
      <c r="N28" s="53">
        <v>0</v>
      </c>
      <c r="O28" s="53">
        <v>0</v>
      </c>
      <c r="P28" s="53">
        <v>0.89</v>
      </c>
      <c r="Q28" s="54">
        <v>4.33</v>
      </c>
    </row>
    <row r="29" spans="1:17">
      <c r="A29" s="52" t="s">
        <v>440</v>
      </c>
      <c r="B29" s="53">
        <v>8.83</v>
      </c>
      <c r="C29" s="53">
        <v>31.04</v>
      </c>
      <c r="D29" s="53">
        <v>24.59</v>
      </c>
      <c r="E29" s="53">
        <v>4.7</v>
      </c>
      <c r="F29" s="53">
        <v>3.43</v>
      </c>
      <c r="G29" s="53">
        <v>76.17</v>
      </c>
      <c r="H29" s="53">
        <v>25.32</v>
      </c>
      <c r="I29" s="53">
        <v>36.82</v>
      </c>
      <c r="J29" s="53">
        <v>0.2</v>
      </c>
      <c r="K29" s="53">
        <v>213.06</v>
      </c>
      <c r="L29" s="53">
        <v>22.67</v>
      </c>
      <c r="M29" s="53">
        <v>64.64</v>
      </c>
      <c r="N29" s="53">
        <v>0</v>
      </c>
      <c r="O29" s="53">
        <v>0</v>
      </c>
      <c r="P29" s="53">
        <v>0.91</v>
      </c>
      <c r="Q29" s="54">
        <v>4.33</v>
      </c>
    </row>
    <row r="30" spans="1:17">
      <c r="A30" s="52" t="s">
        <v>441</v>
      </c>
      <c r="B30" s="53">
        <v>9.48</v>
      </c>
      <c r="C30" s="53">
        <v>31.04</v>
      </c>
      <c r="D30" s="53">
        <v>25.03</v>
      </c>
      <c r="E30" s="53">
        <v>4.51</v>
      </c>
      <c r="F30" s="53">
        <v>3.1</v>
      </c>
      <c r="G30" s="53">
        <v>82.84</v>
      </c>
      <c r="H30" s="53">
        <v>26.61</v>
      </c>
      <c r="I30" s="53">
        <v>29.76</v>
      </c>
      <c r="J30" s="53">
        <v>0.16</v>
      </c>
      <c r="K30" s="53">
        <v>157.72999999999999</v>
      </c>
      <c r="L30" s="53">
        <v>21.41</v>
      </c>
      <c r="M30" s="53">
        <v>67.040000000000006</v>
      </c>
      <c r="N30" s="53">
        <v>0</v>
      </c>
      <c r="O30" s="53">
        <v>0</v>
      </c>
      <c r="P30" s="53">
        <v>0.92</v>
      </c>
      <c r="Q30" s="54">
        <v>4.3600000000000003</v>
      </c>
    </row>
    <row r="31" spans="1:17">
      <c r="A31" s="52" t="s">
        <v>442</v>
      </c>
      <c r="B31" s="53">
        <v>10.220000000000001</v>
      </c>
      <c r="C31" s="53">
        <v>28.83</v>
      </c>
      <c r="D31" s="53">
        <v>23.96</v>
      </c>
      <c r="E31" s="53">
        <v>3.86</v>
      </c>
      <c r="F31" s="53">
        <v>3.09</v>
      </c>
      <c r="G31" s="53">
        <v>82.84</v>
      </c>
      <c r="H31" s="53">
        <v>30.52</v>
      </c>
      <c r="I31" s="53">
        <v>24.23</v>
      </c>
      <c r="J31" s="53">
        <v>0.13</v>
      </c>
      <c r="K31" s="53">
        <v>198.76</v>
      </c>
      <c r="L31" s="53">
        <v>20.77</v>
      </c>
      <c r="M31" s="53">
        <v>70.69</v>
      </c>
      <c r="N31" s="53">
        <v>0</v>
      </c>
      <c r="O31" s="53">
        <v>0</v>
      </c>
      <c r="P31" s="53">
        <v>0.89</v>
      </c>
      <c r="Q31" s="54">
        <v>4.3499999999999996</v>
      </c>
    </row>
    <row r="32" spans="1:17">
      <c r="A32" s="52" t="s">
        <v>443</v>
      </c>
      <c r="B32" s="53">
        <v>11.28</v>
      </c>
      <c r="C32" s="53">
        <v>25.2</v>
      </c>
      <c r="D32" s="53">
        <v>23.57</v>
      </c>
      <c r="E32" s="53">
        <v>3.31</v>
      </c>
      <c r="F32" s="53">
        <v>2.76</v>
      </c>
      <c r="G32" s="53">
        <v>78.14</v>
      </c>
      <c r="H32" s="53">
        <v>30.52</v>
      </c>
      <c r="I32" s="53">
        <v>20.77</v>
      </c>
      <c r="J32" s="53">
        <v>0.1</v>
      </c>
      <c r="K32" s="53">
        <v>281.92</v>
      </c>
      <c r="L32" s="53">
        <v>20.22</v>
      </c>
      <c r="M32" s="53">
        <v>71.52</v>
      </c>
      <c r="N32" s="53">
        <v>0</v>
      </c>
      <c r="O32" s="53">
        <v>0</v>
      </c>
      <c r="P32" s="53">
        <v>0.81</v>
      </c>
      <c r="Q32" s="54">
        <v>4.3600000000000003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1.83</v>
      </c>
      <c r="C34" s="40">
        <f t="shared" si="0"/>
        <v>18.04</v>
      </c>
      <c r="D34" s="40">
        <f t="shared" si="0"/>
        <v>11.88</v>
      </c>
      <c r="E34" s="40">
        <f t="shared" si="0"/>
        <v>3.31</v>
      </c>
      <c r="F34" s="40">
        <f t="shared" si="0"/>
        <v>2.61</v>
      </c>
      <c r="G34" s="40">
        <f t="shared" si="0"/>
        <v>24.81</v>
      </c>
      <c r="H34" s="40">
        <f t="shared" si="0"/>
        <v>3.17</v>
      </c>
      <c r="I34" s="40">
        <f t="shared" si="0"/>
        <v>5</v>
      </c>
      <c r="J34" s="40">
        <f t="shared" si="0"/>
        <v>0.1</v>
      </c>
      <c r="K34" s="40">
        <f t="shared" si="0"/>
        <v>39.94</v>
      </c>
      <c r="L34" s="40">
        <f t="shared" si="0"/>
        <v>17.39</v>
      </c>
      <c r="M34" s="40">
        <f t="shared" si="0"/>
        <v>36.619999999999997</v>
      </c>
      <c r="N34" s="40">
        <f t="shared" si="0"/>
        <v>0</v>
      </c>
      <c r="O34" s="40">
        <f t="shared" si="0"/>
        <v>0</v>
      </c>
      <c r="P34" s="40">
        <f t="shared" si="0"/>
        <v>0.59</v>
      </c>
      <c r="Q34" s="40">
        <f t="shared" si="0"/>
        <v>4.07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11.28</v>
      </c>
      <c r="C35" s="33">
        <f t="shared" si="1"/>
        <v>31.54</v>
      </c>
      <c r="D35" s="33">
        <f t="shared" si="1"/>
        <v>25.03</v>
      </c>
      <c r="E35" s="33">
        <f t="shared" si="1"/>
        <v>10.48</v>
      </c>
      <c r="F35" s="33">
        <f t="shared" si="1"/>
        <v>25.37</v>
      </c>
      <c r="G35" s="33">
        <f t="shared" si="1"/>
        <v>82.84</v>
      </c>
      <c r="H35" s="33">
        <f t="shared" si="1"/>
        <v>37.81</v>
      </c>
      <c r="I35" s="33">
        <f t="shared" si="1"/>
        <v>135.33000000000001</v>
      </c>
      <c r="J35" s="33">
        <f t="shared" si="1"/>
        <v>1.22</v>
      </c>
      <c r="K35" s="33">
        <f t="shared" si="1"/>
        <v>355.91</v>
      </c>
      <c r="L35" s="33">
        <f t="shared" si="1"/>
        <v>29.83</v>
      </c>
      <c r="M35" s="33">
        <f t="shared" si="1"/>
        <v>94.38</v>
      </c>
      <c r="N35" s="33">
        <f t="shared" si="1"/>
        <v>579.5</v>
      </c>
      <c r="O35" s="33">
        <f t="shared" si="1"/>
        <v>0</v>
      </c>
      <c r="P35" s="33">
        <f t="shared" si="1"/>
        <v>0.92</v>
      </c>
      <c r="Q35" s="33">
        <f t="shared" si="1"/>
        <v>4.5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7.0479166666666666</v>
      </c>
      <c r="C36" s="40">
        <f t="shared" si="2"/>
        <v>24.626666666666669</v>
      </c>
      <c r="D36" s="40">
        <f t="shared" si="2"/>
        <v>19.739583333333329</v>
      </c>
      <c r="E36" s="40">
        <f t="shared" si="2"/>
        <v>6.0570833333333338</v>
      </c>
      <c r="F36" s="40">
        <f t="shared" si="2"/>
        <v>6.826249999999999</v>
      </c>
      <c r="G36" s="40">
        <f t="shared" si="2"/>
        <v>63.801739130434768</v>
      </c>
      <c r="H36" s="40">
        <f t="shared" si="2"/>
        <v>27.373913043478261</v>
      </c>
      <c r="I36" s="40">
        <f t="shared" si="2"/>
        <v>25.615833333333338</v>
      </c>
      <c r="J36" s="40">
        <f t="shared" si="2"/>
        <v>0.48208333333333336</v>
      </c>
      <c r="K36" s="40">
        <f t="shared" si="2"/>
        <v>107.28875000000001</v>
      </c>
      <c r="L36" s="40">
        <f t="shared" si="2"/>
        <v>23.196250000000003</v>
      </c>
      <c r="M36" s="40">
        <f t="shared" si="2"/>
        <v>65.773750000000007</v>
      </c>
      <c r="N36" s="40">
        <f t="shared" si="2"/>
        <v>146.32083333333335</v>
      </c>
      <c r="O36" s="40">
        <f t="shared" si="2"/>
        <v>0</v>
      </c>
      <c r="P36" s="40">
        <f t="shared" si="2"/>
        <v>0.76624999999999999</v>
      </c>
      <c r="Q36" s="40">
        <f t="shared" si="2"/>
        <v>4.3112500000000002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2.6724569043853816</v>
      </c>
      <c r="C37" s="40">
        <f t="shared" ref="C37:Q37" si="3">STDEV(C9:C32)</f>
        <v>3.7885854497615266</v>
      </c>
      <c r="D37" s="40">
        <f t="shared" si="3"/>
        <v>3.6399229317769257</v>
      </c>
      <c r="E37" s="40">
        <f t="shared" si="3"/>
        <v>1.9485523704996244</v>
      </c>
      <c r="F37" s="40">
        <f t="shared" si="3"/>
        <v>7.2175919219760516</v>
      </c>
      <c r="G37" s="40">
        <f t="shared" si="3"/>
        <v>13.931273730245831</v>
      </c>
      <c r="H37" s="40">
        <f t="shared" si="3"/>
        <v>9.0983693539658859</v>
      </c>
      <c r="I37" s="40">
        <f t="shared" si="3"/>
        <v>34.087778240335908</v>
      </c>
      <c r="J37" s="40">
        <f t="shared" si="3"/>
        <v>0.30931873481919081</v>
      </c>
      <c r="K37" s="40">
        <f t="shared" si="3"/>
        <v>90.509113224196568</v>
      </c>
      <c r="L37" s="40">
        <f t="shared" si="3"/>
        <v>4.3801248865459472</v>
      </c>
      <c r="M37" s="40">
        <f t="shared" si="3"/>
        <v>20.596809970921726</v>
      </c>
      <c r="N37" s="40">
        <f t="shared" si="3"/>
        <v>220.22070940637997</v>
      </c>
      <c r="O37" s="40">
        <f t="shared" si="3"/>
        <v>0</v>
      </c>
      <c r="P37" s="40">
        <f t="shared" si="3"/>
        <v>9.5998754520905907E-2</v>
      </c>
      <c r="Q37" s="40">
        <f t="shared" si="3"/>
        <v>0.13089366743240083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v>24</v>
      </c>
      <c r="H38" s="45"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17/11/2023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52" t="s">
        <v>444</v>
      </c>
      <c r="B9" s="53">
        <v>10.46</v>
      </c>
      <c r="C9" s="53">
        <v>24.93</v>
      </c>
      <c r="D9" s="53">
        <v>22.58</v>
      </c>
      <c r="E9" s="53">
        <v>3.02</v>
      </c>
      <c r="F9" s="53">
        <v>2.66</v>
      </c>
      <c r="G9" s="53">
        <v>75.37</v>
      </c>
      <c r="H9" s="53">
        <v>30.64</v>
      </c>
      <c r="I9" s="53">
        <v>18.559999999999999</v>
      </c>
      <c r="J9" s="53">
        <v>0.14000000000000001</v>
      </c>
      <c r="K9" s="53">
        <v>144.28</v>
      </c>
      <c r="L9" s="53">
        <v>19.559999999999999</v>
      </c>
      <c r="M9" s="53">
        <v>72.7</v>
      </c>
      <c r="N9" s="53">
        <v>0</v>
      </c>
      <c r="O9" s="53">
        <v>0</v>
      </c>
      <c r="P9" s="53">
        <v>0.8</v>
      </c>
      <c r="Q9" s="54">
        <v>4.43</v>
      </c>
    </row>
    <row r="10" spans="1:21">
      <c r="A10" s="52" t="s">
        <v>445</v>
      </c>
      <c r="B10" s="53">
        <v>10.65</v>
      </c>
      <c r="C10" s="53">
        <v>24.39</v>
      </c>
      <c r="D10" s="53">
        <v>22.6</v>
      </c>
      <c r="E10" s="53">
        <v>3.21</v>
      </c>
      <c r="F10" s="53">
        <v>2.64</v>
      </c>
      <c r="G10" s="53">
        <v>72.739999999999995</v>
      </c>
      <c r="H10" s="53">
        <v>30.64</v>
      </c>
      <c r="I10" s="53">
        <v>15.48</v>
      </c>
      <c r="J10" s="53">
        <v>0.27</v>
      </c>
      <c r="K10" s="53">
        <v>73.03</v>
      </c>
      <c r="L10" s="53">
        <v>19.3</v>
      </c>
      <c r="M10" s="53">
        <v>72.27</v>
      </c>
      <c r="N10" s="53">
        <v>0</v>
      </c>
      <c r="O10" s="53">
        <v>0</v>
      </c>
      <c r="P10" s="53">
        <v>0.76</v>
      </c>
      <c r="Q10" s="54">
        <v>4.45</v>
      </c>
    </row>
    <row r="11" spans="1:21">
      <c r="A11" s="52" t="s">
        <v>446</v>
      </c>
      <c r="B11" s="53">
        <v>10.55</v>
      </c>
      <c r="C11" s="53">
        <v>23.83</v>
      </c>
      <c r="D11" s="53">
        <v>22.22</v>
      </c>
      <c r="E11" s="53">
        <v>5.47</v>
      </c>
      <c r="F11" s="53">
        <v>2.7</v>
      </c>
      <c r="G11" s="53">
        <v>69.540000000000006</v>
      </c>
      <c r="H11" s="53">
        <v>25.68</v>
      </c>
      <c r="I11" s="53">
        <v>13.7</v>
      </c>
      <c r="J11" s="53">
        <v>0.36</v>
      </c>
      <c r="K11" s="53">
        <v>38.54</v>
      </c>
      <c r="L11" s="53">
        <v>19.02</v>
      </c>
      <c r="M11" s="53">
        <v>74.709999999999994</v>
      </c>
      <c r="N11" s="53">
        <v>0</v>
      </c>
      <c r="O11" s="53">
        <v>0</v>
      </c>
      <c r="P11" s="53">
        <v>0.72</v>
      </c>
      <c r="Q11" s="54">
        <v>4.4400000000000004</v>
      </c>
    </row>
    <row r="12" spans="1:21">
      <c r="A12" s="52" t="s">
        <v>447</v>
      </c>
      <c r="B12" s="53">
        <v>10.01</v>
      </c>
      <c r="C12" s="53">
        <v>23.58</v>
      </c>
      <c r="D12" s="53">
        <v>21.37</v>
      </c>
      <c r="E12" s="53">
        <v>6.11</v>
      </c>
      <c r="F12" s="53">
        <v>3.13</v>
      </c>
      <c r="G12" s="53">
        <v>65.430000000000007</v>
      </c>
      <c r="H12" s="53">
        <v>23.5</v>
      </c>
      <c r="I12" s="53">
        <v>12.28</v>
      </c>
      <c r="J12" s="53">
        <v>0.32</v>
      </c>
      <c r="K12" s="53">
        <v>40.06</v>
      </c>
      <c r="L12" s="53">
        <v>18.559999999999999</v>
      </c>
      <c r="M12" s="53">
        <v>79.19</v>
      </c>
      <c r="N12" s="53">
        <v>0</v>
      </c>
      <c r="O12" s="53">
        <v>0</v>
      </c>
      <c r="P12" s="53">
        <v>0.7</v>
      </c>
      <c r="Q12" s="54">
        <v>4.41</v>
      </c>
    </row>
    <row r="13" spans="1:21">
      <c r="A13" s="52" t="s">
        <v>448</v>
      </c>
      <c r="B13" s="53">
        <v>8.81</v>
      </c>
      <c r="C13" s="53">
        <v>24.58</v>
      </c>
      <c r="D13" s="53">
        <v>21.16</v>
      </c>
      <c r="E13" s="53">
        <v>6.39</v>
      </c>
      <c r="F13" s="53">
        <v>3.12</v>
      </c>
      <c r="G13" s="53">
        <v>61.59</v>
      </c>
      <c r="H13" s="53">
        <v>24.72</v>
      </c>
      <c r="I13" s="53">
        <v>10.49</v>
      </c>
      <c r="J13" s="53">
        <v>0.22</v>
      </c>
      <c r="K13" s="53">
        <v>58.34</v>
      </c>
      <c r="L13" s="53">
        <v>18.02</v>
      </c>
      <c r="M13" s="53">
        <v>80.11</v>
      </c>
      <c r="N13" s="53">
        <v>0</v>
      </c>
      <c r="O13" s="53">
        <v>0</v>
      </c>
      <c r="P13" s="53">
        <v>0.69</v>
      </c>
      <c r="Q13" s="54">
        <v>4.38</v>
      </c>
    </row>
    <row r="14" spans="1:21">
      <c r="A14" s="52" t="s">
        <v>449</v>
      </c>
      <c r="B14" s="53">
        <v>9.1</v>
      </c>
      <c r="C14" s="53">
        <v>24.71</v>
      </c>
      <c r="D14" s="53">
        <v>21.48</v>
      </c>
      <c r="E14" s="53">
        <v>6.74</v>
      </c>
      <c r="F14" s="53">
        <v>2.91</v>
      </c>
      <c r="G14" s="53">
        <v>61.59</v>
      </c>
      <c r="H14" s="53">
        <v>27.79</v>
      </c>
      <c r="I14" s="53">
        <v>9.14</v>
      </c>
      <c r="J14" s="53">
        <v>0.25</v>
      </c>
      <c r="K14" s="53">
        <v>53.98</v>
      </c>
      <c r="L14" s="53">
        <v>17.89</v>
      </c>
      <c r="M14" s="53">
        <v>81.95</v>
      </c>
      <c r="N14" s="53">
        <v>0</v>
      </c>
      <c r="O14" s="53">
        <v>0</v>
      </c>
      <c r="P14" s="53">
        <v>0.69</v>
      </c>
      <c r="Q14" s="54">
        <v>4.3899999999999997</v>
      </c>
    </row>
    <row r="15" spans="1:21">
      <c r="A15" s="52" t="s">
        <v>450</v>
      </c>
      <c r="B15" s="53">
        <v>11.79</v>
      </c>
      <c r="C15" s="53">
        <v>25.92</v>
      </c>
      <c r="D15" s="53">
        <v>24.35</v>
      </c>
      <c r="E15" s="53">
        <v>7.68</v>
      </c>
      <c r="F15" s="53">
        <v>2.78</v>
      </c>
      <c r="G15" s="53">
        <v>63.68</v>
      </c>
      <c r="H15" s="53">
        <v>27.79</v>
      </c>
      <c r="I15" s="53">
        <v>8.5500000000000007</v>
      </c>
      <c r="J15" s="53">
        <v>0.36</v>
      </c>
      <c r="K15" s="53">
        <v>55.71</v>
      </c>
      <c r="L15" s="53">
        <v>17.97</v>
      </c>
      <c r="M15" s="53">
        <v>83.25</v>
      </c>
      <c r="N15" s="53">
        <v>20.6</v>
      </c>
      <c r="O15" s="53">
        <v>0</v>
      </c>
      <c r="P15" s="53">
        <v>0.73</v>
      </c>
      <c r="Q15" s="54">
        <v>4.47</v>
      </c>
    </row>
    <row r="16" spans="1:21">
      <c r="A16" s="52" t="s">
        <v>451</v>
      </c>
      <c r="B16" s="53">
        <v>12.23</v>
      </c>
      <c r="C16" s="53">
        <v>26.08</v>
      </c>
      <c r="D16" s="53">
        <v>24.79</v>
      </c>
      <c r="E16" s="53">
        <v>7.63</v>
      </c>
      <c r="F16" s="53">
        <v>2.87</v>
      </c>
      <c r="G16" s="53">
        <v>69.260000000000005</v>
      </c>
      <c r="H16" s="53">
        <v>30.13</v>
      </c>
      <c r="I16" s="53">
        <v>8.7200000000000006</v>
      </c>
      <c r="J16" s="53">
        <v>0.5</v>
      </c>
      <c r="K16" s="53">
        <v>41.82</v>
      </c>
      <c r="L16" s="53">
        <v>20.149999999999999</v>
      </c>
      <c r="M16" s="53">
        <v>80.680000000000007</v>
      </c>
      <c r="N16" s="53">
        <v>175.4</v>
      </c>
      <c r="O16" s="53">
        <v>0</v>
      </c>
      <c r="P16" s="53">
        <v>0.78</v>
      </c>
      <c r="Q16" s="54">
        <v>4.5199999999999996</v>
      </c>
    </row>
    <row r="17" spans="1:17">
      <c r="A17" s="52" t="s">
        <v>452</v>
      </c>
      <c r="B17" s="53">
        <v>11.23</v>
      </c>
      <c r="C17" s="53">
        <v>25.73</v>
      </c>
      <c r="D17" s="53">
        <v>23.8</v>
      </c>
      <c r="E17" s="53">
        <v>6.77</v>
      </c>
      <c r="F17" s="53">
        <v>3.2</v>
      </c>
      <c r="G17" s="53">
        <v>70.349999999999994</v>
      </c>
      <c r="H17" s="53">
        <v>31.9</v>
      </c>
      <c r="I17" s="53">
        <v>8.35</v>
      </c>
      <c r="J17" s="53">
        <v>0.63</v>
      </c>
      <c r="K17" s="53">
        <v>41.26</v>
      </c>
      <c r="L17" s="53">
        <v>23.47</v>
      </c>
      <c r="M17" s="53">
        <v>71.62</v>
      </c>
      <c r="N17" s="53">
        <v>330.4</v>
      </c>
      <c r="O17" s="53">
        <v>0</v>
      </c>
      <c r="P17" s="53">
        <v>0.78</v>
      </c>
      <c r="Q17" s="54">
        <v>4.45</v>
      </c>
    </row>
    <row r="18" spans="1:17">
      <c r="A18" s="52" t="s">
        <v>453</v>
      </c>
      <c r="B18" s="53">
        <v>10.69</v>
      </c>
      <c r="C18" s="53">
        <v>23.12</v>
      </c>
      <c r="D18" s="53">
        <v>21.69</v>
      </c>
      <c r="E18" s="53">
        <v>5.3</v>
      </c>
      <c r="F18" s="53">
        <v>3.11</v>
      </c>
      <c r="G18" s="53">
        <v>70.349999999999994</v>
      </c>
      <c r="H18" s="53">
        <v>34.71</v>
      </c>
      <c r="I18" s="53">
        <v>8.6999999999999993</v>
      </c>
      <c r="J18" s="53">
        <v>0.52</v>
      </c>
      <c r="K18" s="53">
        <v>64.260000000000005</v>
      </c>
      <c r="L18" s="53">
        <v>26.46</v>
      </c>
      <c r="M18" s="53">
        <v>62.76</v>
      </c>
      <c r="N18" s="53">
        <v>463.4</v>
      </c>
      <c r="O18" s="53">
        <v>0</v>
      </c>
      <c r="P18" s="53">
        <v>0.75</v>
      </c>
      <c r="Q18" s="54">
        <v>4.43</v>
      </c>
    </row>
    <row r="19" spans="1:17">
      <c r="A19" s="52" t="s">
        <v>454</v>
      </c>
      <c r="B19" s="53">
        <v>9.66</v>
      </c>
      <c r="C19" s="53">
        <v>21.65</v>
      </c>
      <c r="D19" s="53">
        <v>20.41</v>
      </c>
      <c r="E19" s="53">
        <v>4.6100000000000003</v>
      </c>
      <c r="F19" s="53">
        <v>5.65</v>
      </c>
      <c r="G19" s="53">
        <v>67.27</v>
      </c>
      <c r="H19" s="53">
        <v>34.71</v>
      </c>
      <c r="I19" s="53">
        <v>8.57</v>
      </c>
      <c r="J19" s="53">
        <v>0.64</v>
      </c>
      <c r="K19" s="53">
        <v>61.55</v>
      </c>
      <c r="L19" s="53">
        <v>28.45</v>
      </c>
      <c r="M19" s="53">
        <v>54.14</v>
      </c>
      <c r="N19" s="53">
        <v>552.6</v>
      </c>
      <c r="O19" s="53">
        <v>0</v>
      </c>
      <c r="P19" s="53">
        <v>0.74</v>
      </c>
      <c r="Q19" s="54">
        <v>4.37</v>
      </c>
    </row>
    <row r="20" spans="1:17">
      <c r="A20" s="52" t="s">
        <v>455</v>
      </c>
      <c r="B20" s="53">
        <v>7.44</v>
      </c>
      <c r="C20" s="53">
        <v>20.62</v>
      </c>
      <c r="D20" s="53">
        <v>18.09</v>
      </c>
      <c r="E20" s="53">
        <v>5.2</v>
      </c>
      <c r="F20" s="53">
        <v>6.21</v>
      </c>
      <c r="G20" s="53">
        <v>66.69</v>
      </c>
      <c r="H20" s="53">
        <v>31.71</v>
      </c>
      <c r="I20" s="53">
        <v>8.39</v>
      </c>
      <c r="J20" s="53">
        <v>0.85</v>
      </c>
      <c r="K20" s="53">
        <v>89.8</v>
      </c>
      <c r="L20" s="53">
        <v>29.71</v>
      </c>
      <c r="M20" s="53">
        <v>46.87</v>
      </c>
      <c r="N20" s="53">
        <v>603.6</v>
      </c>
      <c r="O20" s="53">
        <v>0</v>
      </c>
      <c r="P20" s="53">
        <v>0.73</v>
      </c>
      <c r="Q20" s="54">
        <v>4.29</v>
      </c>
    </row>
    <row r="21" spans="1:17">
      <c r="A21" s="52" t="s">
        <v>456</v>
      </c>
      <c r="B21" s="53">
        <v>5.51</v>
      </c>
      <c r="C21" s="53">
        <v>19.57</v>
      </c>
      <c r="D21" s="53">
        <v>15.99</v>
      </c>
      <c r="E21" s="53">
        <v>4.91</v>
      </c>
      <c r="F21" s="53">
        <v>6.9</v>
      </c>
      <c r="G21" s="53">
        <v>60.26</v>
      </c>
      <c r="H21" s="53">
        <v>27.45</v>
      </c>
      <c r="I21" s="53">
        <v>7.98</v>
      </c>
      <c r="J21" s="53">
        <v>0.55000000000000004</v>
      </c>
      <c r="K21" s="53">
        <v>109.32</v>
      </c>
      <c r="L21" s="53">
        <v>30.67</v>
      </c>
      <c r="M21" s="53">
        <v>42.77</v>
      </c>
      <c r="N21" s="53">
        <v>604</v>
      </c>
      <c r="O21" s="53">
        <v>0</v>
      </c>
      <c r="P21" s="53">
        <v>0.7</v>
      </c>
      <c r="Q21" s="54">
        <v>4.1900000000000004</v>
      </c>
    </row>
    <row r="22" spans="1:17">
      <c r="A22" s="52" t="s">
        <v>457</v>
      </c>
      <c r="B22" s="53">
        <v>5.15</v>
      </c>
      <c r="C22" s="53">
        <v>19.96</v>
      </c>
      <c r="D22" s="53">
        <v>15.68</v>
      </c>
      <c r="E22" s="53">
        <v>4.74</v>
      </c>
      <c r="F22" s="53">
        <v>6.33</v>
      </c>
      <c r="G22" s="53">
        <v>54.91</v>
      </c>
      <c r="H22" s="53">
        <v>24.58</v>
      </c>
      <c r="I22" s="53">
        <v>7.5</v>
      </c>
      <c r="J22" s="53">
        <v>0.41</v>
      </c>
      <c r="K22" s="53">
        <v>118.71</v>
      </c>
      <c r="L22" s="53">
        <v>31.09</v>
      </c>
      <c r="M22" s="53">
        <v>38.01</v>
      </c>
      <c r="N22" s="53">
        <v>546.1</v>
      </c>
      <c r="O22" s="53">
        <v>0</v>
      </c>
      <c r="P22" s="53">
        <v>0.68</v>
      </c>
      <c r="Q22" s="54">
        <v>4.1500000000000004</v>
      </c>
    </row>
    <row r="23" spans="1:17">
      <c r="A23" s="52" t="s">
        <v>458</v>
      </c>
      <c r="B23" s="53">
        <v>5.1100000000000003</v>
      </c>
      <c r="C23" s="53">
        <v>20.23</v>
      </c>
      <c r="D23" s="53">
        <v>16.02</v>
      </c>
      <c r="E23" s="53">
        <v>4.5999999999999996</v>
      </c>
      <c r="F23" s="53">
        <v>7.06</v>
      </c>
      <c r="G23" s="53">
        <v>49.7</v>
      </c>
      <c r="H23" s="53">
        <v>22.72</v>
      </c>
      <c r="I23" s="53">
        <v>6.64</v>
      </c>
      <c r="J23" s="53">
        <v>0.42</v>
      </c>
      <c r="K23" s="53">
        <v>125.44</v>
      </c>
      <c r="L23" s="53">
        <v>30.03</v>
      </c>
      <c r="M23" s="53">
        <v>40.619999999999997</v>
      </c>
      <c r="N23" s="53">
        <v>148.80000000000001</v>
      </c>
      <c r="O23" s="53">
        <v>0</v>
      </c>
      <c r="P23" s="53">
        <v>0.6</v>
      </c>
      <c r="Q23" s="54">
        <v>4.16</v>
      </c>
    </row>
    <row r="24" spans="1:17">
      <c r="A24" s="52" t="s">
        <v>459</v>
      </c>
      <c r="B24" s="53">
        <v>5.2</v>
      </c>
      <c r="C24" s="53">
        <v>20.88</v>
      </c>
      <c r="D24" s="53">
        <v>16.36</v>
      </c>
      <c r="E24" s="53">
        <v>4.95</v>
      </c>
      <c r="F24" s="53">
        <v>6.14</v>
      </c>
      <c r="G24" s="53">
        <v>42.86</v>
      </c>
      <c r="H24" s="53">
        <v>18.829999999999998</v>
      </c>
      <c r="I24" s="53">
        <v>5.78</v>
      </c>
      <c r="J24" s="53">
        <v>0.42</v>
      </c>
      <c r="K24" s="53">
        <v>114.68</v>
      </c>
      <c r="L24" s="53">
        <v>29.31</v>
      </c>
      <c r="M24" s="53">
        <v>40.4</v>
      </c>
      <c r="N24" s="53">
        <v>63.1</v>
      </c>
      <c r="O24" s="53">
        <v>0</v>
      </c>
      <c r="P24" s="53">
        <v>0.6</v>
      </c>
      <c r="Q24" s="54">
        <v>4.17</v>
      </c>
    </row>
    <row r="25" spans="1:17">
      <c r="A25" s="52" t="s">
        <v>460</v>
      </c>
      <c r="B25" s="53">
        <v>5.3</v>
      </c>
      <c r="C25" s="53">
        <v>21.67</v>
      </c>
      <c r="D25" s="53">
        <v>16.93</v>
      </c>
      <c r="E25" s="53">
        <v>5.31</v>
      </c>
      <c r="F25" s="53">
        <v>5.59</v>
      </c>
      <c r="G25" s="53">
        <v>39.96</v>
      </c>
      <c r="H25" s="53">
        <v>18.829999999999998</v>
      </c>
      <c r="I25" s="53">
        <v>5.19</v>
      </c>
      <c r="J25" s="53">
        <v>0.3</v>
      </c>
      <c r="K25" s="53">
        <v>167.15</v>
      </c>
      <c r="L25" s="53">
        <v>28.66</v>
      </c>
      <c r="M25" s="53">
        <v>50.82</v>
      </c>
      <c r="N25" s="53">
        <v>32.4</v>
      </c>
      <c r="O25" s="53">
        <v>0</v>
      </c>
      <c r="P25" s="53">
        <v>0.56999999999999995</v>
      </c>
      <c r="Q25" s="54">
        <v>4.1900000000000004</v>
      </c>
    </row>
    <row r="26" spans="1:17">
      <c r="A26" s="52" t="s">
        <v>461</v>
      </c>
      <c r="B26" s="53">
        <v>6.34</v>
      </c>
      <c r="C26" s="53">
        <v>26</v>
      </c>
      <c r="D26" s="53">
        <v>20.02</v>
      </c>
      <c r="E26" s="53">
        <v>5.12</v>
      </c>
      <c r="F26" s="53">
        <v>4.5199999999999996</v>
      </c>
      <c r="G26" s="53">
        <v>42.86</v>
      </c>
      <c r="H26" s="53">
        <v>18.170000000000002</v>
      </c>
      <c r="I26" s="53">
        <v>4.78</v>
      </c>
      <c r="J26" s="53">
        <v>0.26</v>
      </c>
      <c r="K26" s="53">
        <v>178.11</v>
      </c>
      <c r="L26" s="53">
        <v>26.11</v>
      </c>
      <c r="M26" s="53">
        <v>65.83</v>
      </c>
      <c r="N26" s="53">
        <v>0</v>
      </c>
      <c r="O26" s="53">
        <v>0</v>
      </c>
      <c r="P26" s="53">
        <v>0.63</v>
      </c>
      <c r="Q26" s="54">
        <v>4.25</v>
      </c>
    </row>
    <row r="27" spans="1:17">
      <c r="A27" s="52" t="s">
        <v>462</v>
      </c>
      <c r="B27" s="53">
        <v>10.07</v>
      </c>
      <c r="C27" s="53">
        <v>26.94</v>
      </c>
      <c r="D27" s="53">
        <v>21.95</v>
      </c>
      <c r="E27" s="53">
        <v>5.74</v>
      </c>
      <c r="F27" s="53">
        <v>2.95</v>
      </c>
      <c r="G27" s="53">
        <v>59.71</v>
      </c>
      <c r="H27" s="53">
        <v>24.93</v>
      </c>
      <c r="I27" s="53">
        <v>5.95</v>
      </c>
      <c r="J27" s="53">
        <v>0.19</v>
      </c>
      <c r="K27" s="53">
        <v>176.51</v>
      </c>
      <c r="L27" s="53">
        <v>24.04</v>
      </c>
      <c r="M27" s="53">
        <v>74.959999999999994</v>
      </c>
      <c r="N27" s="53">
        <v>0</v>
      </c>
      <c r="O27" s="53">
        <v>0</v>
      </c>
      <c r="P27" s="53">
        <v>0.71</v>
      </c>
      <c r="Q27" s="54">
        <v>4.41</v>
      </c>
    </row>
    <row r="28" spans="1:17">
      <c r="A28" s="52" t="s">
        <v>463</v>
      </c>
      <c r="B28" s="53">
        <v>12.65</v>
      </c>
      <c r="C28" s="53">
        <v>26.68</v>
      </c>
      <c r="D28" s="53">
        <v>25.13</v>
      </c>
      <c r="E28" s="53">
        <v>5</v>
      </c>
      <c r="F28" s="53">
        <v>2.62</v>
      </c>
      <c r="G28" s="53">
        <v>66.400000000000006</v>
      </c>
      <c r="H28" s="53">
        <v>27</v>
      </c>
      <c r="I28" s="53">
        <v>7.01</v>
      </c>
      <c r="J28" s="53">
        <v>0.18</v>
      </c>
      <c r="K28" s="53">
        <v>213.49</v>
      </c>
      <c r="L28" s="53">
        <v>23.01</v>
      </c>
      <c r="M28" s="53">
        <v>77.39</v>
      </c>
      <c r="N28" s="53">
        <v>0</v>
      </c>
      <c r="O28" s="53">
        <v>0</v>
      </c>
      <c r="P28" s="53">
        <v>0.83</v>
      </c>
      <c r="Q28" s="54">
        <v>4.5199999999999996</v>
      </c>
    </row>
    <row r="29" spans="1:17">
      <c r="A29" s="52" t="s">
        <v>464</v>
      </c>
      <c r="B29" s="53">
        <v>13.44</v>
      </c>
      <c r="C29" s="53">
        <v>26.27</v>
      </c>
      <c r="D29" s="53">
        <v>25.73</v>
      </c>
      <c r="E29" s="53">
        <v>5.48</v>
      </c>
      <c r="F29" s="53">
        <v>2.63</v>
      </c>
      <c r="G29" s="53">
        <v>76.39</v>
      </c>
      <c r="H29" s="53">
        <v>33.49</v>
      </c>
      <c r="I29" s="53">
        <v>7.57</v>
      </c>
      <c r="J29" s="53">
        <v>0.17</v>
      </c>
      <c r="K29" s="53">
        <v>196.23</v>
      </c>
      <c r="L29" s="53">
        <v>21.94</v>
      </c>
      <c r="M29" s="53">
        <v>85.44</v>
      </c>
      <c r="N29" s="53">
        <v>0</v>
      </c>
      <c r="O29" s="53">
        <v>0</v>
      </c>
      <c r="P29" s="53">
        <v>0.87</v>
      </c>
      <c r="Q29" s="54">
        <v>4.58</v>
      </c>
    </row>
    <row r="30" spans="1:17">
      <c r="A30" s="52" t="s">
        <v>465</v>
      </c>
      <c r="B30" s="53">
        <v>13.53</v>
      </c>
      <c r="C30" s="53">
        <v>24.26</v>
      </c>
      <c r="D30" s="53">
        <v>24.87</v>
      </c>
      <c r="E30" s="53">
        <v>5.0599999999999996</v>
      </c>
      <c r="F30" s="53">
        <v>2.65</v>
      </c>
      <c r="G30" s="53">
        <v>76.39</v>
      </c>
      <c r="H30" s="53">
        <v>33.49</v>
      </c>
      <c r="I30" s="53">
        <v>7.55</v>
      </c>
      <c r="J30" s="53">
        <v>0.16</v>
      </c>
      <c r="K30" s="53">
        <v>214.46</v>
      </c>
      <c r="L30" s="53">
        <v>21.16</v>
      </c>
      <c r="M30" s="53">
        <v>85.54</v>
      </c>
      <c r="N30" s="53">
        <v>0</v>
      </c>
      <c r="O30" s="53">
        <v>0</v>
      </c>
      <c r="P30" s="53">
        <v>0.86</v>
      </c>
      <c r="Q30" s="54">
        <v>4.57</v>
      </c>
    </row>
    <row r="31" spans="1:17">
      <c r="A31" s="52" t="s">
        <v>466</v>
      </c>
      <c r="B31" s="53">
        <v>13.67</v>
      </c>
      <c r="C31" s="53">
        <v>23.75</v>
      </c>
      <c r="D31" s="53">
        <v>24.71</v>
      </c>
      <c r="E31" s="53">
        <v>5.0599999999999996</v>
      </c>
      <c r="F31" s="53">
        <v>2.7</v>
      </c>
      <c r="G31" s="53">
        <v>71.180000000000007</v>
      </c>
      <c r="H31" s="53">
        <v>26.43</v>
      </c>
      <c r="I31" s="53">
        <v>7.51</v>
      </c>
      <c r="J31" s="53">
        <v>0.14000000000000001</v>
      </c>
      <c r="K31" s="53">
        <v>209.77</v>
      </c>
      <c r="L31" s="53">
        <v>20.49</v>
      </c>
      <c r="M31" s="53">
        <v>89.35</v>
      </c>
      <c r="N31" s="53">
        <v>0</v>
      </c>
      <c r="O31" s="53">
        <v>0</v>
      </c>
      <c r="P31" s="53">
        <v>0.84</v>
      </c>
      <c r="Q31" s="54">
        <v>4.57</v>
      </c>
    </row>
    <row r="32" spans="1:17">
      <c r="A32" s="52" t="s">
        <v>467</v>
      </c>
      <c r="B32" s="53">
        <v>12.69</v>
      </c>
      <c r="C32" s="53">
        <v>24.04</v>
      </c>
      <c r="D32" s="53">
        <v>24.03</v>
      </c>
      <c r="E32" s="53">
        <v>5.46</v>
      </c>
      <c r="F32" s="53">
        <v>2.84</v>
      </c>
      <c r="G32" s="53">
        <v>62.4</v>
      </c>
      <c r="H32" s="53">
        <v>26.43</v>
      </c>
      <c r="I32" s="53">
        <v>7.4</v>
      </c>
      <c r="J32" s="53">
        <v>0.14000000000000001</v>
      </c>
      <c r="K32" s="53">
        <v>202.04</v>
      </c>
      <c r="L32" s="53">
        <v>19.940000000000001</v>
      </c>
      <c r="M32" s="53">
        <v>90.63</v>
      </c>
      <c r="N32" s="53">
        <v>0</v>
      </c>
      <c r="O32" s="53">
        <v>0</v>
      </c>
      <c r="P32" s="53">
        <v>0.86</v>
      </c>
      <c r="Q32" s="54">
        <v>4.57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5.1100000000000003</v>
      </c>
      <c r="C34" s="40">
        <f t="shared" si="0"/>
        <v>19.57</v>
      </c>
      <c r="D34" s="40">
        <f t="shared" si="0"/>
        <v>15.68</v>
      </c>
      <c r="E34" s="40">
        <f t="shared" si="0"/>
        <v>3.02</v>
      </c>
      <c r="F34" s="40">
        <f t="shared" si="0"/>
        <v>2.62</v>
      </c>
      <c r="G34" s="40">
        <f t="shared" si="0"/>
        <v>39.96</v>
      </c>
      <c r="H34" s="40">
        <f t="shared" si="0"/>
        <v>18.170000000000002</v>
      </c>
      <c r="I34" s="40">
        <f t="shared" si="0"/>
        <v>4.78</v>
      </c>
      <c r="J34" s="40">
        <f t="shared" si="0"/>
        <v>0.14000000000000001</v>
      </c>
      <c r="K34" s="40">
        <f t="shared" si="0"/>
        <v>38.54</v>
      </c>
      <c r="L34" s="40">
        <f t="shared" si="0"/>
        <v>17.89</v>
      </c>
      <c r="M34" s="40">
        <f t="shared" si="0"/>
        <v>38.01</v>
      </c>
      <c r="N34" s="40">
        <f t="shared" si="0"/>
        <v>0</v>
      </c>
      <c r="O34" s="40">
        <f t="shared" si="0"/>
        <v>0</v>
      </c>
      <c r="P34" s="40">
        <f t="shared" si="0"/>
        <v>0.56999999999999995</v>
      </c>
      <c r="Q34" s="40">
        <f t="shared" si="0"/>
        <v>4.1500000000000004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13.67</v>
      </c>
      <c r="C35" s="33">
        <f t="shared" si="1"/>
        <v>26.94</v>
      </c>
      <c r="D35" s="33">
        <f t="shared" si="1"/>
        <v>25.73</v>
      </c>
      <c r="E35" s="33">
        <f t="shared" si="1"/>
        <v>7.68</v>
      </c>
      <c r="F35" s="33">
        <f t="shared" si="1"/>
        <v>7.06</v>
      </c>
      <c r="G35" s="33">
        <f t="shared" si="1"/>
        <v>76.39</v>
      </c>
      <c r="H35" s="33">
        <f t="shared" si="1"/>
        <v>34.71</v>
      </c>
      <c r="I35" s="33">
        <f t="shared" si="1"/>
        <v>18.559999999999999</v>
      </c>
      <c r="J35" s="33">
        <f t="shared" si="1"/>
        <v>0.85</v>
      </c>
      <c r="K35" s="33">
        <f t="shared" si="1"/>
        <v>214.46</v>
      </c>
      <c r="L35" s="33">
        <f t="shared" si="1"/>
        <v>31.09</v>
      </c>
      <c r="M35" s="33">
        <f t="shared" si="1"/>
        <v>90.63</v>
      </c>
      <c r="N35" s="33">
        <f t="shared" si="1"/>
        <v>604</v>
      </c>
      <c r="O35" s="33">
        <f t="shared" si="1"/>
        <v>0</v>
      </c>
      <c r="P35" s="33">
        <f t="shared" si="1"/>
        <v>0.87</v>
      </c>
      <c r="Q35" s="33">
        <f t="shared" si="1"/>
        <v>4.58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9.6366666666666667</v>
      </c>
      <c r="C36" s="40">
        <f t="shared" si="2"/>
        <v>23.724583333333332</v>
      </c>
      <c r="D36" s="40">
        <f t="shared" si="2"/>
        <v>21.331666666666663</v>
      </c>
      <c r="E36" s="40">
        <f t="shared" si="2"/>
        <v>5.3983333333333334</v>
      </c>
      <c r="F36" s="40">
        <f t="shared" si="2"/>
        <v>3.9129166666666673</v>
      </c>
      <c r="G36" s="40">
        <f t="shared" si="2"/>
        <v>63.203333333333354</v>
      </c>
      <c r="H36" s="40">
        <f t="shared" si="2"/>
        <v>27.344583333333329</v>
      </c>
      <c r="I36" s="40">
        <f t="shared" si="2"/>
        <v>8.8245833333333312</v>
      </c>
      <c r="J36" s="40">
        <f t="shared" si="2"/>
        <v>0.35000000000000003</v>
      </c>
      <c r="K36" s="40">
        <f t="shared" si="2"/>
        <v>116.18916666666667</v>
      </c>
      <c r="L36" s="40">
        <f t="shared" si="2"/>
        <v>23.542083333333338</v>
      </c>
      <c r="M36" s="40">
        <f t="shared" si="2"/>
        <v>68.417083333333338</v>
      </c>
      <c r="N36" s="40">
        <f t="shared" si="2"/>
        <v>147.51666666666668</v>
      </c>
      <c r="O36" s="40">
        <f t="shared" si="2"/>
        <v>0</v>
      </c>
      <c r="P36" s="40">
        <f t="shared" si="2"/>
        <v>0.73416666666666652</v>
      </c>
      <c r="Q36" s="40">
        <f t="shared" si="2"/>
        <v>4.3899999999999979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2.911573109337029</v>
      </c>
      <c r="C37" s="40">
        <f t="shared" ref="C37:Q37" si="3">STDEV(C9:C32)</f>
        <v>2.2784681718525275</v>
      </c>
      <c r="D37" s="40">
        <f t="shared" si="3"/>
        <v>3.2472632847645571</v>
      </c>
      <c r="E37" s="40">
        <f t="shared" si="3"/>
        <v>1.1148977986565698</v>
      </c>
      <c r="F37" s="40">
        <f t="shared" si="3"/>
        <v>1.6151335364544028</v>
      </c>
      <c r="G37" s="40">
        <f t="shared" si="3"/>
        <v>10.465795495915128</v>
      </c>
      <c r="H37" s="40">
        <f t="shared" si="3"/>
        <v>4.8632901541228923</v>
      </c>
      <c r="I37" s="40">
        <f t="shared" si="3"/>
        <v>3.249260757620807</v>
      </c>
      <c r="J37" s="40">
        <f t="shared" si="3"/>
        <v>0.1885413113536567</v>
      </c>
      <c r="K37" s="40">
        <f t="shared" si="3"/>
        <v>64.182071918855186</v>
      </c>
      <c r="L37" s="40">
        <f t="shared" si="3"/>
        <v>4.6707060998326888</v>
      </c>
      <c r="M37" s="40">
        <f t="shared" si="3"/>
        <v>17.046895797786156</v>
      </c>
      <c r="N37" s="40">
        <f t="shared" si="3"/>
        <v>227.7239913401398</v>
      </c>
      <c r="O37" s="40">
        <f t="shared" si="3"/>
        <v>0</v>
      </c>
      <c r="P37" s="40">
        <f t="shared" si="3"/>
        <v>8.4386103670887433E-2</v>
      </c>
      <c r="Q37" s="40">
        <f t="shared" si="3"/>
        <v>0.14083601318099168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15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18/11/2023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52" t="s">
        <v>468</v>
      </c>
      <c r="B9" s="53">
        <v>9.7799999999999994</v>
      </c>
      <c r="C9" s="53">
        <v>24.14</v>
      </c>
      <c r="D9" s="53">
        <v>21.8</v>
      </c>
      <c r="E9" s="53">
        <v>5.83</v>
      </c>
      <c r="F9" s="53">
        <v>2.73</v>
      </c>
      <c r="G9" s="53">
        <v>57.36</v>
      </c>
      <c r="H9" s="53">
        <v>26.41</v>
      </c>
      <c r="I9" s="53">
        <v>7.27</v>
      </c>
      <c r="J9" s="53">
        <v>0.13</v>
      </c>
      <c r="K9" s="53">
        <v>255.54</v>
      </c>
      <c r="L9" s="53">
        <v>19.670000000000002</v>
      </c>
      <c r="M9" s="53">
        <v>93.04</v>
      </c>
      <c r="N9" s="53">
        <v>0</v>
      </c>
      <c r="O9" s="53">
        <v>0</v>
      </c>
      <c r="P9" s="53">
        <v>0.84</v>
      </c>
      <c r="Q9" s="54">
        <v>4.49</v>
      </c>
    </row>
    <row r="10" spans="1:21">
      <c r="A10" s="52" t="s">
        <v>469</v>
      </c>
      <c r="B10" s="53">
        <v>15.98</v>
      </c>
      <c r="C10" s="53">
        <v>25.8</v>
      </c>
      <c r="D10" s="53">
        <v>27.64</v>
      </c>
      <c r="E10" s="53">
        <v>6.21</v>
      </c>
      <c r="F10" s="53">
        <v>2.65</v>
      </c>
      <c r="G10" s="53">
        <v>57.36</v>
      </c>
      <c r="H10" s="53">
        <v>26.41</v>
      </c>
      <c r="I10" s="53">
        <v>7.29</v>
      </c>
      <c r="J10" s="53">
        <v>0.15</v>
      </c>
      <c r="K10" s="53">
        <v>209.83</v>
      </c>
      <c r="L10" s="53">
        <v>19.25</v>
      </c>
      <c r="M10" s="53">
        <v>95.09</v>
      </c>
      <c r="N10" s="53">
        <v>0</v>
      </c>
      <c r="O10" s="53">
        <v>0</v>
      </c>
      <c r="P10" s="53">
        <v>0.87</v>
      </c>
      <c r="Q10" s="54">
        <v>4.74</v>
      </c>
    </row>
    <row r="11" spans="1:21">
      <c r="A11" s="52" t="s">
        <v>470</v>
      </c>
      <c r="B11" s="53">
        <v>15.19</v>
      </c>
      <c r="C11" s="53">
        <v>26.39</v>
      </c>
      <c r="D11" s="53">
        <v>26.9</v>
      </c>
      <c r="E11" s="53">
        <v>4.25</v>
      </c>
      <c r="F11" s="53">
        <v>2.76</v>
      </c>
      <c r="G11" s="53">
        <v>55.87</v>
      </c>
      <c r="H11" s="53">
        <v>21.92</v>
      </c>
      <c r="I11" s="53">
        <v>7.28</v>
      </c>
      <c r="J11" s="53">
        <v>0.35</v>
      </c>
      <c r="K11" s="53">
        <v>231.13</v>
      </c>
      <c r="L11" s="53">
        <v>19.170000000000002</v>
      </c>
      <c r="M11" s="53">
        <v>89.15</v>
      </c>
      <c r="N11" s="53">
        <v>0</v>
      </c>
      <c r="O11" s="53">
        <v>0</v>
      </c>
      <c r="P11" s="53">
        <v>0.83</v>
      </c>
      <c r="Q11" s="54">
        <v>4.74</v>
      </c>
    </row>
    <row r="12" spans="1:21">
      <c r="A12" s="52" t="s">
        <v>471</v>
      </c>
      <c r="B12" s="53">
        <v>14.21</v>
      </c>
      <c r="C12" s="53">
        <v>26.92</v>
      </c>
      <c r="D12" s="53">
        <v>26.81</v>
      </c>
      <c r="E12" s="53">
        <v>4.45</v>
      </c>
      <c r="F12" s="53">
        <v>2.64</v>
      </c>
      <c r="G12" s="53">
        <v>54.9</v>
      </c>
      <c r="H12" s="53">
        <v>20.71</v>
      </c>
      <c r="I12" s="53">
        <v>7.19</v>
      </c>
      <c r="J12" s="53">
        <v>0.11</v>
      </c>
      <c r="K12" s="53">
        <v>280.04000000000002</v>
      </c>
      <c r="L12" s="53">
        <v>18.7</v>
      </c>
      <c r="M12" s="53">
        <v>93.1</v>
      </c>
      <c r="N12" s="53">
        <v>0</v>
      </c>
      <c r="O12" s="53">
        <v>0</v>
      </c>
      <c r="P12" s="53">
        <v>0.8</v>
      </c>
      <c r="Q12" s="54">
        <v>4.66</v>
      </c>
    </row>
    <row r="13" spans="1:21">
      <c r="A13" s="52" t="s">
        <v>472</v>
      </c>
      <c r="B13" s="53">
        <v>17.649999999999999</v>
      </c>
      <c r="C13" s="53">
        <v>25.5</v>
      </c>
      <c r="D13" s="53">
        <v>28.14</v>
      </c>
      <c r="E13" s="53">
        <v>4</v>
      </c>
      <c r="F13" s="53">
        <v>2.99</v>
      </c>
      <c r="G13" s="53">
        <v>57</v>
      </c>
      <c r="H13" s="53">
        <v>24.36</v>
      </c>
      <c r="I13" s="53">
        <v>6.98</v>
      </c>
      <c r="J13" s="53">
        <v>0.12</v>
      </c>
      <c r="K13" s="53">
        <v>198.18</v>
      </c>
      <c r="L13" s="53">
        <v>18.32</v>
      </c>
      <c r="M13" s="53">
        <v>93.28</v>
      </c>
      <c r="N13" s="53">
        <v>0</v>
      </c>
      <c r="O13" s="53">
        <v>0</v>
      </c>
      <c r="P13" s="53">
        <v>0.76</v>
      </c>
      <c r="Q13" s="54">
        <v>4.75</v>
      </c>
    </row>
    <row r="14" spans="1:21">
      <c r="A14" s="52" t="s">
        <v>473</v>
      </c>
      <c r="B14" s="53">
        <v>20.13</v>
      </c>
      <c r="C14" s="53">
        <v>25.22</v>
      </c>
      <c r="D14" s="53">
        <v>30.52</v>
      </c>
      <c r="E14" s="53">
        <v>3.17</v>
      </c>
      <c r="F14" s="53">
        <v>2.69</v>
      </c>
      <c r="G14" s="53">
        <v>57</v>
      </c>
      <c r="H14" s="53">
        <v>26.2</v>
      </c>
      <c r="I14" s="53">
        <v>6.97</v>
      </c>
      <c r="J14" s="53">
        <v>0.2</v>
      </c>
      <c r="K14" s="53">
        <v>122.2</v>
      </c>
      <c r="L14" s="53">
        <v>18.22</v>
      </c>
      <c r="M14" s="53">
        <v>91.86</v>
      </c>
      <c r="N14" s="53">
        <v>0</v>
      </c>
      <c r="O14" s="53">
        <v>0</v>
      </c>
      <c r="P14" s="53">
        <v>0.73</v>
      </c>
      <c r="Q14" s="54">
        <v>4.82</v>
      </c>
    </row>
    <row r="15" spans="1:21">
      <c r="A15" s="52" t="s">
        <v>474</v>
      </c>
      <c r="B15" s="53">
        <v>21.63</v>
      </c>
      <c r="C15" s="53">
        <v>25.6</v>
      </c>
      <c r="D15" s="53">
        <v>31.81</v>
      </c>
      <c r="E15" s="53">
        <v>3.57</v>
      </c>
      <c r="F15" s="53">
        <v>2.75</v>
      </c>
      <c r="G15" s="53">
        <v>66.63</v>
      </c>
      <c r="H15" s="53">
        <v>29.2</v>
      </c>
      <c r="I15" s="53">
        <v>7.23</v>
      </c>
      <c r="J15" s="53">
        <v>0.12</v>
      </c>
      <c r="K15" s="53">
        <v>197.45</v>
      </c>
      <c r="L15" s="53">
        <v>18.489999999999998</v>
      </c>
      <c r="M15" s="53">
        <v>93.51</v>
      </c>
      <c r="N15" s="53">
        <v>20.399999999999999</v>
      </c>
      <c r="O15" s="53">
        <v>0</v>
      </c>
      <c r="P15" s="53">
        <v>0.78</v>
      </c>
      <c r="Q15" s="54">
        <v>4.88</v>
      </c>
    </row>
    <row r="16" spans="1:21">
      <c r="A16" s="52" t="s">
        <v>475</v>
      </c>
      <c r="B16" s="53">
        <v>23.62</v>
      </c>
      <c r="C16" s="53">
        <v>26.03</v>
      </c>
      <c r="D16" s="53">
        <v>33.89</v>
      </c>
      <c r="E16" s="53">
        <v>4.1399999999999997</v>
      </c>
      <c r="F16" s="53">
        <v>2.62</v>
      </c>
      <c r="G16" s="53">
        <v>88.68</v>
      </c>
      <c r="H16" s="53">
        <v>33.130000000000003</v>
      </c>
      <c r="I16" s="53">
        <v>8.01</v>
      </c>
      <c r="J16" s="53">
        <v>0.28000000000000003</v>
      </c>
      <c r="K16" s="53">
        <v>56.64</v>
      </c>
      <c r="L16" s="53">
        <v>20.87</v>
      </c>
      <c r="M16" s="53">
        <v>88.07</v>
      </c>
      <c r="N16" s="53">
        <v>186.9</v>
      </c>
      <c r="O16" s="53">
        <v>0</v>
      </c>
      <c r="P16" s="53">
        <v>0.87</v>
      </c>
      <c r="Q16" s="54">
        <v>5</v>
      </c>
    </row>
    <row r="17" spans="1:17">
      <c r="A17" s="52" t="s">
        <v>476</v>
      </c>
      <c r="B17" s="53">
        <v>23.12</v>
      </c>
      <c r="C17" s="53">
        <v>26.72</v>
      </c>
      <c r="D17" s="53">
        <v>33.11</v>
      </c>
      <c r="E17" s="53">
        <v>4</v>
      </c>
      <c r="F17" s="53">
        <v>2.82</v>
      </c>
      <c r="G17" s="53">
        <v>94.55</v>
      </c>
      <c r="H17" s="53">
        <v>35.22</v>
      </c>
      <c r="I17" s="53">
        <v>8.25</v>
      </c>
      <c r="J17" s="53">
        <v>0.56000000000000005</v>
      </c>
      <c r="K17" s="53">
        <v>87.87</v>
      </c>
      <c r="L17" s="53">
        <v>24.83</v>
      </c>
      <c r="M17" s="53">
        <v>78.59</v>
      </c>
      <c r="N17" s="53">
        <v>347.7</v>
      </c>
      <c r="O17" s="53">
        <v>0</v>
      </c>
      <c r="P17" s="53">
        <v>0.88</v>
      </c>
      <c r="Q17" s="54">
        <v>4.97</v>
      </c>
    </row>
    <row r="18" spans="1:17">
      <c r="A18" s="52" t="s">
        <v>477</v>
      </c>
      <c r="B18" s="53">
        <v>17.850000000000001</v>
      </c>
      <c r="C18" s="53">
        <v>28.62</v>
      </c>
      <c r="D18" s="53">
        <v>29.94</v>
      </c>
      <c r="E18" s="53">
        <v>4.72</v>
      </c>
      <c r="F18" s="53">
        <v>3.22</v>
      </c>
      <c r="G18" s="53">
        <v>94.55</v>
      </c>
      <c r="H18" s="53">
        <v>35.22</v>
      </c>
      <c r="I18" s="53">
        <v>8.15</v>
      </c>
      <c r="J18" s="53">
        <v>0.37</v>
      </c>
      <c r="K18" s="53">
        <v>132.36000000000001</v>
      </c>
      <c r="L18" s="53">
        <v>27.25</v>
      </c>
      <c r="M18" s="53">
        <v>65.36</v>
      </c>
      <c r="N18" s="53">
        <v>468.7</v>
      </c>
      <c r="O18" s="53">
        <v>0</v>
      </c>
      <c r="P18" s="53">
        <v>0.87</v>
      </c>
      <c r="Q18" s="54">
        <v>4.8099999999999996</v>
      </c>
    </row>
    <row r="19" spans="1:17">
      <c r="A19" s="52" t="s">
        <v>478</v>
      </c>
      <c r="B19" s="53">
        <v>10.33</v>
      </c>
      <c r="C19" s="53">
        <v>28.73</v>
      </c>
      <c r="D19" s="53">
        <v>24.65</v>
      </c>
      <c r="E19" s="53">
        <v>6.32</v>
      </c>
      <c r="F19" s="53">
        <v>4.53</v>
      </c>
      <c r="G19" s="53">
        <v>84.3</v>
      </c>
      <c r="H19" s="53">
        <v>34.15</v>
      </c>
      <c r="I19" s="53">
        <v>7.6</v>
      </c>
      <c r="J19" s="53">
        <v>0.27</v>
      </c>
      <c r="K19" s="53">
        <v>151.55000000000001</v>
      </c>
      <c r="L19" s="53">
        <v>29.29</v>
      </c>
      <c r="M19" s="53">
        <v>58.58</v>
      </c>
      <c r="N19" s="53">
        <v>545.79999999999995</v>
      </c>
      <c r="O19" s="53">
        <v>0</v>
      </c>
      <c r="P19" s="53">
        <v>0.82</v>
      </c>
      <c r="Q19" s="54">
        <v>4.57</v>
      </c>
    </row>
    <row r="20" spans="1:17">
      <c r="A20" s="52" t="s">
        <v>479</v>
      </c>
      <c r="B20" s="53">
        <v>5.15</v>
      </c>
      <c r="C20" s="53">
        <v>26.39</v>
      </c>
      <c r="D20" s="53">
        <v>19.27</v>
      </c>
      <c r="E20" s="53">
        <v>6.62</v>
      </c>
      <c r="F20" s="53">
        <v>4.84</v>
      </c>
      <c r="G20" s="53">
        <v>74.58</v>
      </c>
      <c r="H20" s="53">
        <v>32.130000000000003</v>
      </c>
      <c r="I20" s="53">
        <v>7.15</v>
      </c>
      <c r="J20" s="53">
        <v>0.52</v>
      </c>
      <c r="K20" s="53">
        <v>134.05000000000001</v>
      </c>
      <c r="L20" s="53">
        <v>30.17</v>
      </c>
      <c r="M20" s="53">
        <v>52.5</v>
      </c>
      <c r="N20" s="53">
        <v>586</v>
      </c>
      <c r="O20" s="53">
        <v>0</v>
      </c>
      <c r="P20" s="53">
        <v>0.76</v>
      </c>
      <c r="Q20" s="54">
        <v>4.33</v>
      </c>
    </row>
    <row r="21" spans="1:17">
      <c r="A21" s="52" t="s">
        <v>480</v>
      </c>
      <c r="B21" s="53">
        <v>4.6399999999999997</v>
      </c>
      <c r="C21" s="53">
        <v>25.35</v>
      </c>
      <c r="D21" s="53">
        <v>18.32</v>
      </c>
      <c r="E21" s="53">
        <v>6.04</v>
      </c>
      <c r="F21" s="53">
        <v>21.25</v>
      </c>
      <c r="G21" s="53">
        <v>61.22</v>
      </c>
      <c r="H21" s="53">
        <v>25.64</v>
      </c>
      <c r="I21" s="53">
        <v>11.15</v>
      </c>
      <c r="J21" s="53">
        <v>0.41</v>
      </c>
      <c r="K21" s="53">
        <v>294.18</v>
      </c>
      <c r="L21" s="53">
        <v>30.23</v>
      </c>
      <c r="M21" s="53">
        <v>47.5</v>
      </c>
      <c r="N21" s="53">
        <v>598.4</v>
      </c>
      <c r="O21" s="53">
        <v>0</v>
      </c>
      <c r="P21" s="53">
        <v>0.7</v>
      </c>
      <c r="Q21" s="54">
        <v>4.28</v>
      </c>
    </row>
    <row r="22" spans="1:17">
      <c r="A22" s="52" t="s">
        <v>481</v>
      </c>
      <c r="B22" s="53">
        <v>3</v>
      </c>
      <c r="C22" s="53">
        <v>21.46</v>
      </c>
      <c r="D22" s="53">
        <v>14.34</v>
      </c>
      <c r="E22" s="53">
        <v>13.84</v>
      </c>
      <c r="F22" s="53">
        <v>18.350000000000001</v>
      </c>
      <c r="G22" s="53">
        <v>51.98</v>
      </c>
      <c r="H22" s="53">
        <v>23.97</v>
      </c>
      <c r="I22" s="53">
        <v>38.909999999999997</v>
      </c>
      <c r="J22" s="53">
        <v>0.34</v>
      </c>
      <c r="K22" s="53">
        <v>340.03</v>
      </c>
      <c r="L22" s="53">
        <v>30.6</v>
      </c>
      <c r="M22" s="53">
        <v>44.53</v>
      </c>
      <c r="N22" s="53">
        <v>510.3</v>
      </c>
      <c r="O22" s="53">
        <v>0</v>
      </c>
      <c r="P22" s="53">
        <v>0.56999999999999995</v>
      </c>
      <c r="Q22" s="54">
        <v>4.22</v>
      </c>
    </row>
    <row r="23" spans="1:17">
      <c r="A23" s="52" t="s">
        <v>482</v>
      </c>
      <c r="B23" s="53">
        <v>2.9</v>
      </c>
      <c r="C23" s="53">
        <v>20.88</v>
      </c>
      <c r="D23" s="53">
        <v>13.99</v>
      </c>
      <c r="E23" s="53">
        <v>9.86</v>
      </c>
      <c r="F23" s="53">
        <v>9.49</v>
      </c>
      <c r="G23" s="53">
        <v>46.62</v>
      </c>
      <c r="H23" s="53">
        <v>21.97</v>
      </c>
      <c r="I23" s="53">
        <v>31.11</v>
      </c>
      <c r="J23" s="53">
        <v>0.42</v>
      </c>
      <c r="K23" s="53">
        <v>347.9</v>
      </c>
      <c r="L23" s="53">
        <v>30.14</v>
      </c>
      <c r="M23" s="53">
        <v>44.13</v>
      </c>
      <c r="N23" s="53">
        <v>158.80000000000001</v>
      </c>
      <c r="O23" s="53">
        <v>0</v>
      </c>
      <c r="P23" s="53">
        <v>0.47</v>
      </c>
      <c r="Q23" s="54">
        <v>4.2</v>
      </c>
    </row>
    <row r="24" spans="1:17">
      <c r="A24" s="52" t="s">
        <v>483</v>
      </c>
      <c r="B24" s="53">
        <v>3.58</v>
      </c>
      <c r="C24" s="53">
        <v>18.399999999999999</v>
      </c>
      <c r="D24" s="53">
        <v>13.8</v>
      </c>
      <c r="E24" s="53">
        <v>10.58</v>
      </c>
      <c r="F24" s="53">
        <v>9.3699999999999992</v>
      </c>
      <c r="G24" s="53">
        <v>40.5</v>
      </c>
      <c r="H24" s="53">
        <v>21.19</v>
      </c>
      <c r="I24" s="53">
        <v>24.15</v>
      </c>
      <c r="J24" s="53">
        <v>0.47</v>
      </c>
      <c r="K24" s="53">
        <v>156.47999999999999</v>
      </c>
      <c r="L24" s="53">
        <v>29.31</v>
      </c>
      <c r="M24" s="53">
        <v>49.52</v>
      </c>
      <c r="N24" s="53">
        <v>81.2</v>
      </c>
      <c r="O24" s="53">
        <v>0</v>
      </c>
      <c r="P24" s="53">
        <v>0.46</v>
      </c>
      <c r="Q24" s="54">
        <v>4.13</v>
      </c>
    </row>
    <row r="25" spans="1:17">
      <c r="A25" s="52" t="s">
        <v>484</v>
      </c>
      <c r="B25" s="53">
        <v>4.05</v>
      </c>
      <c r="C25" s="53">
        <v>18.16</v>
      </c>
      <c r="D25" s="53">
        <v>13.84</v>
      </c>
      <c r="E25" s="53">
        <v>7.9</v>
      </c>
      <c r="F25" s="53">
        <v>5.5</v>
      </c>
      <c r="G25" s="53">
        <v>43.26</v>
      </c>
      <c r="H25" s="53">
        <v>18.29</v>
      </c>
      <c r="I25" s="53">
        <v>20.41</v>
      </c>
      <c r="J25" s="53">
        <v>0.22</v>
      </c>
      <c r="K25" s="53">
        <v>179.73</v>
      </c>
      <c r="L25" s="53">
        <v>28.37</v>
      </c>
      <c r="M25" s="53">
        <v>56.54</v>
      </c>
      <c r="N25" s="53">
        <v>40.799999999999997</v>
      </c>
      <c r="O25" s="53">
        <v>0</v>
      </c>
      <c r="P25" s="53">
        <v>0.45</v>
      </c>
      <c r="Q25" s="54">
        <v>4.18</v>
      </c>
    </row>
    <row r="26" spans="1:17">
      <c r="A26" s="52" t="s">
        <v>485</v>
      </c>
      <c r="B26" s="53">
        <v>6.21</v>
      </c>
      <c r="C26" s="53">
        <v>20.29</v>
      </c>
      <c r="D26" s="53">
        <v>16.93</v>
      </c>
      <c r="E26" s="53">
        <v>7.12</v>
      </c>
      <c r="F26" s="53">
        <v>3.41</v>
      </c>
      <c r="G26" s="53">
        <v>47.04</v>
      </c>
      <c r="H26" s="53">
        <v>19.07</v>
      </c>
      <c r="I26" s="53">
        <v>18.829999999999998</v>
      </c>
      <c r="J26" s="53">
        <v>0.21</v>
      </c>
      <c r="K26" s="53">
        <v>176.62</v>
      </c>
      <c r="L26" s="53">
        <v>25.94</v>
      </c>
      <c r="M26" s="53">
        <v>65.3</v>
      </c>
      <c r="N26" s="53">
        <v>0</v>
      </c>
      <c r="O26" s="53">
        <v>0</v>
      </c>
      <c r="P26" s="53">
        <v>0.53</v>
      </c>
      <c r="Q26" s="54">
        <v>4.25</v>
      </c>
    </row>
    <row r="27" spans="1:17">
      <c r="A27" s="52" t="s">
        <v>486</v>
      </c>
      <c r="B27" s="53">
        <v>10.039999999999999</v>
      </c>
      <c r="C27" s="53">
        <v>25.13</v>
      </c>
      <c r="D27" s="53">
        <v>22.54</v>
      </c>
      <c r="E27" s="53">
        <v>8.69</v>
      </c>
      <c r="F27" s="53">
        <v>2.7</v>
      </c>
      <c r="G27" s="53">
        <v>68.59</v>
      </c>
      <c r="H27" s="53">
        <v>25.65</v>
      </c>
      <c r="I27" s="53">
        <v>17.39</v>
      </c>
      <c r="J27" s="53">
        <v>0.2</v>
      </c>
      <c r="K27" s="53">
        <v>158.46</v>
      </c>
      <c r="L27" s="53">
        <v>25.3</v>
      </c>
      <c r="M27" s="53">
        <v>66.09</v>
      </c>
      <c r="N27" s="53">
        <v>0</v>
      </c>
      <c r="O27" s="53">
        <v>0</v>
      </c>
      <c r="P27" s="53">
        <v>0.73</v>
      </c>
      <c r="Q27" s="54">
        <v>4.42</v>
      </c>
    </row>
    <row r="28" spans="1:17">
      <c r="A28" s="52" t="s">
        <v>487</v>
      </c>
      <c r="B28" s="53">
        <v>11.42</v>
      </c>
      <c r="C28" s="53">
        <v>30.64</v>
      </c>
      <c r="D28" s="53">
        <v>26.52</v>
      </c>
      <c r="E28" s="53">
        <v>9.7100000000000009</v>
      </c>
      <c r="F28" s="53">
        <v>2.68</v>
      </c>
      <c r="G28" s="53">
        <v>95.65</v>
      </c>
      <c r="H28" s="53">
        <v>30.63</v>
      </c>
      <c r="I28" s="53">
        <v>15.33</v>
      </c>
      <c r="J28" s="53">
        <v>0.16</v>
      </c>
      <c r="K28" s="53">
        <v>163.75</v>
      </c>
      <c r="L28" s="53">
        <v>24.79</v>
      </c>
      <c r="M28" s="53">
        <v>69.069999999999993</v>
      </c>
      <c r="N28" s="53">
        <v>0</v>
      </c>
      <c r="O28" s="53">
        <v>0</v>
      </c>
      <c r="P28" s="53">
        <v>0.92</v>
      </c>
      <c r="Q28" s="54">
        <v>4.54</v>
      </c>
    </row>
    <row r="29" spans="1:17">
      <c r="A29" s="52" t="s">
        <v>488</v>
      </c>
      <c r="B29" s="53">
        <v>13.35</v>
      </c>
      <c r="C29" s="53">
        <v>33.159999999999997</v>
      </c>
      <c r="D29" s="53">
        <v>29.38</v>
      </c>
      <c r="E29" s="53">
        <v>9.56</v>
      </c>
      <c r="F29" s="53">
        <v>2.76</v>
      </c>
      <c r="G29" s="53">
        <v>116.04</v>
      </c>
      <c r="H29" s="53">
        <v>35.4</v>
      </c>
      <c r="I29" s="53">
        <v>14.62</v>
      </c>
      <c r="J29" s="53">
        <v>0.33</v>
      </c>
      <c r="K29" s="53">
        <v>199.71</v>
      </c>
      <c r="L29" s="53">
        <v>23.54</v>
      </c>
      <c r="M29" s="53">
        <v>80.95</v>
      </c>
      <c r="N29" s="53">
        <v>0</v>
      </c>
      <c r="O29" s="53">
        <v>0</v>
      </c>
      <c r="P29" s="53">
        <v>1.01</v>
      </c>
      <c r="Q29" s="54">
        <v>4.6500000000000004</v>
      </c>
    </row>
    <row r="30" spans="1:17">
      <c r="A30" s="52" t="s">
        <v>489</v>
      </c>
      <c r="B30" s="53">
        <v>12.36</v>
      </c>
      <c r="C30" s="53">
        <v>31.73</v>
      </c>
      <c r="D30" s="53">
        <v>27.84</v>
      </c>
      <c r="E30" s="53">
        <v>9.68</v>
      </c>
      <c r="F30" s="53">
        <v>2.65</v>
      </c>
      <c r="G30" s="53">
        <v>116.04</v>
      </c>
      <c r="H30" s="53">
        <v>35.4</v>
      </c>
      <c r="I30" s="53">
        <v>13.57</v>
      </c>
      <c r="J30" s="53">
        <v>0.16</v>
      </c>
      <c r="K30" s="53">
        <v>239.54</v>
      </c>
      <c r="L30" s="53">
        <v>22</v>
      </c>
      <c r="M30" s="53">
        <v>86.72</v>
      </c>
      <c r="N30" s="53">
        <v>0</v>
      </c>
      <c r="O30" s="53">
        <v>0</v>
      </c>
      <c r="P30" s="53">
        <v>0.98</v>
      </c>
      <c r="Q30" s="54">
        <v>4.63</v>
      </c>
    </row>
    <row r="31" spans="1:17">
      <c r="A31" s="52" t="s">
        <v>490</v>
      </c>
      <c r="B31" s="53">
        <v>11.63</v>
      </c>
      <c r="C31" s="53">
        <v>29.41</v>
      </c>
      <c r="D31" s="53">
        <v>25.9</v>
      </c>
      <c r="E31" s="53">
        <v>9.57</v>
      </c>
      <c r="F31" s="53">
        <v>2.64</v>
      </c>
      <c r="G31" s="53">
        <v>100.49</v>
      </c>
      <c r="H31" s="53">
        <v>34.39</v>
      </c>
      <c r="I31" s="53">
        <v>11.95</v>
      </c>
      <c r="J31" s="53">
        <v>0.18</v>
      </c>
      <c r="K31" s="53">
        <v>196.64</v>
      </c>
      <c r="L31" s="53">
        <v>21.57</v>
      </c>
      <c r="M31" s="53">
        <v>90.38</v>
      </c>
      <c r="N31" s="53">
        <v>0</v>
      </c>
      <c r="O31" s="53">
        <v>0</v>
      </c>
      <c r="P31" s="53">
        <v>0.92</v>
      </c>
      <c r="Q31" s="54">
        <v>4.57</v>
      </c>
    </row>
    <row r="32" spans="1:17">
      <c r="A32" s="52" t="s">
        <v>491</v>
      </c>
      <c r="B32" s="53">
        <v>11.42</v>
      </c>
      <c r="C32" s="53">
        <v>28.47</v>
      </c>
      <c r="D32" s="53">
        <v>25.32</v>
      </c>
      <c r="E32" s="53">
        <v>9.73</v>
      </c>
      <c r="F32" s="53">
        <v>2.83</v>
      </c>
      <c r="G32" s="53">
        <v>87.02</v>
      </c>
      <c r="H32" s="53">
        <v>33.94</v>
      </c>
      <c r="I32" s="53">
        <v>10.69</v>
      </c>
      <c r="J32" s="53">
        <v>0.1</v>
      </c>
      <c r="K32" s="53">
        <v>207.83</v>
      </c>
      <c r="L32" s="53">
        <v>20.99</v>
      </c>
      <c r="M32" s="53">
        <v>93.56</v>
      </c>
      <c r="N32" s="53">
        <v>0</v>
      </c>
      <c r="O32" s="53">
        <v>0</v>
      </c>
      <c r="P32" s="53">
        <v>0.88</v>
      </c>
      <c r="Q32" s="54">
        <v>4.5599999999999996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2.9</v>
      </c>
      <c r="C34" s="40">
        <f t="shared" si="0"/>
        <v>18.16</v>
      </c>
      <c r="D34" s="40">
        <f t="shared" si="0"/>
        <v>13.8</v>
      </c>
      <c r="E34" s="40">
        <f t="shared" si="0"/>
        <v>3.17</v>
      </c>
      <c r="F34" s="40">
        <f t="shared" si="0"/>
        <v>2.62</v>
      </c>
      <c r="G34" s="40">
        <f t="shared" si="0"/>
        <v>40.5</v>
      </c>
      <c r="H34" s="40">
        <f t="shared" si="0"/>
        <v>18.29</v>
      </c>
      <c r="I34" s="40">
        <f t="shared" si="0"/>
        <v>6.97</v>
      </c>
      <c r="J34" s="40">
        <f t="shared" si="0"/>
        <v>0.1</v>
      </c>
      <c r="K34" s="40">
        <f t="shared" si="0"/>
        <v>56.64</v>
      </c>
      <c r="L34" s="40">
        <f t="shared" si="0"/>
        <v>18.22</v>
      </c>
      <c r="M34" s="40">
        <f t="shared" si="0"/>
        <v>44.13</v>
      </c>
      <c r="N34" s="40">
        <f t="shared" si="0"/>
        <v>0</v>
      </c>
      <c r="O34" s="40">
        <f t="shared" si="0"/>
        <v>0</v>
      </c>
      <c r="P34" s="40">
        <f t="shared" si="0"/>
        <v>0.45</v>
      </c>
      <c r="Q34" s="40">
        <f t="shared" si="0"/>
        <v>4.13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23.62</v>
      </c>
      <c r="C35" s="33">
        <f t="shared" si="1"/>
        <v>33.159999999999997</v>
      </c>
      <c r="D35" s="33">
        <f t="shared" si="1"/>
        <v>33.89</v>
      </c>
      <c r="E35" s="33">
        <f t="shared" si="1"/>
        <v>13.84</v>
      </c>
      <c r="F35" s="33">
        <f t="shared" si="1"/>
        <v>21.25</v>
      </c>
      <c r="G35" s="33">
        <f t="shared" si="1"/>
        <v>116.04</v>
      </c>
      <c r="H35" s="33">
        <f t="shared" si="1"/>
        <v>35.4</v>
      </c>
      <c r="I35" s="33">
        <f t="shared" si="1"/>
        <v>38.909999999999997</v>
      </c>
      <c r="J35" s="33">
        <f t="shared" si="1"/>
        <v>0.56000000000000005</v>
      </c>
      <c r="K35" s="33">
        <f t="shared" si="1"/>
        <v>347.9</v>
      </c>
      <c r="L35" s="33">
        <f t="shared" si="1"/>
        <v>30.6</v>
      </c>
      <c r="M35" s="33">
        <f t="shared" si="1"/>
        <v>95.09</v>
      </c>
      <c r="N35" s="33">
        <f t="shared" si="1"/>
        <v>598.4</v>
      </c>
      <c r="O35" s="33">
        <f t="shared" si="1"/>
        <v>0</v>
      </c>
      <c r="P35" s="33">
        <f t="shared" si="1"/>
        <v>1.01</v>
      </c>
      <c r="Q35" s="33">
        <f t="shared" si="1"/>
        <v>5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12.051666666666668</v>
      </c>
      <c r="C36" s="40">
        <f t="shared" si="2"/>
        <v>25.797499999999999</v>
      </c>
      <c r="D36" s="40">
        <f t="shared" si="2"/>
        <v>24.3</v>
      </c>
      <c r="E36" s="40">
        <f t="shared" si="2"/>
        <v>7.0650000000000004</v>
      </c>
      <c r="F36" s="40">
        <f t="shared" si="2"/>
        <v>5.0362500000000008</v>
      </c>
      <c r="G36" s="40">
        <f t="shared" si="2"/>
        <v>71.551249999999996</v>
      </c>
      <c r="H36" s="40">
        <f t="shared" si="2"/>
        <v>27.941666666666663</v>
      </c>
      <c r="I36" s="40">
        <f t="shared" si="2"/>
        <v>13.228333333333332</v>
      </c>
      <c r="J36" s="40">
        <f t="shared" si="2"/>
        <v>0.26583333333333331</v>
      </c>
      <c r="K36" s="40">
        <f t="shared" si="2"/>
        <v>196.57125000000005</v>
      </c>
      <c r="L36" s="40">
        <f t="shared" si="2"/>
        <v>24.042083333333338</v>
      </c>
      <c r="M36" s="40">
        <f t="shared" si="2"/>
        <v>74.43416666666667</v>
      </c>
      <c r="N36" s="40">
        <f t="shared" si="2"/>
        <v>147.70833333333334</v>
      </c>
      <c r="O36" s="40">
        <f t="shared" si="2"/>
        <v>0</v>
      </c>
      <c r="P36" s="40">
        <f t="shared" si="2"/>
        <v>0.76791666666666669</v>
      </c>
      <c r="Q36" s="40">
        <f t="shared" si="2"/>
        <v>4.5579166666666673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6.465089976620364</v>
      </c>
      <c r="C37" s="40">
        <f t="shared" ref="C37:Q37" si="3">STDEV(C9:C32)</f>
        <v>3.8601264340635777</v>
      </c>
      <c r="D37" s="40">
        <f t="shared" si="3"/>
        <v>6.3667546848760548</v>
      </c>
      <c r="E37" s="40">
        <f t="shared" si="3"/>
        <v>2.8122155894844085</v>
      </c>
      <c r="F37" s="40">
        <f t="shared" si="3"/>
        <v>4.9577017926875531</v>
      </c>
      <c r="G37" s="40">
        <f t="shared" si="3"/>
        <v>22.839792185245848</v>
      </c>
      <c r="H37" s="40">
        <f t="shared" si="3"/>
        <v>5.8052425082601475</v>
      </c>
      <c r="I37" s="40">
        <f t="shared" si="3"/>
        <v>8.3950118039467814</v>
      </c>
      <c r="J37" s="40">
        <f t="shared" si="3"/>
        <v>0.13752206674050421</v>
      </c>
      <c r="K37" s="40">
        <f t="shared" si="3"/>
        <v>71.813285213476803</v>
      </c>
      <c r="L37" s="40">
        <f t="shared" si="3"/>
        <v>4.5129754757728744</v>
      </c>
      <c r="M37" s="40">
        <f t="shared" si="3"/>
        <v>18.477715112997572</v>
      </c>
      <c r="N37" s="40">
        <f t="shared" si="3"/>
        <v>223.17418799763962</v>
      </c>
      <c r="O37" s="40">
        <f t="shared" si="3"/>
        <v>0</v>
      </c>
      <c r="P37" s="40">
        <f t="shared" si="3"/>
        <v>0.16248021061218396</v>
      </c>
      <c r="Q37" s="40">
        <f t="shared" si="3"/>
        <v>0.2591789572555066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19/11/2023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52" t="s">
        <v>492</v>
      </c>
      <c r="B9" s="53">
        <v>11.07</v>
      </c>
      <c r="C9" s="53">
        <v>22.53</v>
      </c>
      <c r="D9" s="53">
        <v>21.97</v>
      </c>
      <c r="E9" s="53">
        <v>8.6</v>
      </c>
      <c r="F9" s="53">
        <v>2.94</v>
      </c>
      <c r="G9" s="53">
        <v>81.33</v>
      </c>
      <c r="H9" s="53">
        <v>33.94</v>
      </c>
      <c r="I9" s="53">
        <v>9.75</v>
      </c>
      <c r="J9" s="53">
        <v>0.11</v>
      </c>
      <c r="K9" s="53">
        <v>226.42</v>
      </c>
      <c r="L9" s="53">
        <v>20.56</v>
      </c>
      <c r="M9" s="53">
        <v>91.49</v>
      </c>
      <c r="N9" s="53">
        <v>0</v>
      </c>
      <c r="O9" s="53">
        <v>0</v>
      </c>
      <c r="P9" s="53">
        <v>0.8</v>
      </c>
      <c r="Q9" s="54">
        <v>4.53</v>
      </c>
    </row>
    <row r="10" spans="1:21">
      <c r="A10" s="52" t="s">
        <v>493</v>
      </c>
      <c r="B10" s="53">
        <v>11.15</v>
      </c>
      <c r="C10" s="53">
        <v>22.42</v>
      </c>
      <c r="D10" s="53">
        <v>21.9</v>
      </c>
      <c r="E10" s="53">
        <v>8.49</v>
      </c>
      <c r="F10" s="53">
        <v>2.71</v>
      </c>
      <c r="G10" s="53">
        <v>75.17</v>
      </c>
      <c r="H10" s="53">
        <v>29.49</v>
      </c>
      <c r="I10" s="53">
        <v>9.43</v>
      </c>
      <c r="J10" s="53">
        <v>0.14000000000000001</v>
      </c>
      <c r="K10" s="53">
        <v>234.85</v>
      </c>
      <c r="L10" s="53">
        <v>20.3</v>
      </c>
      <c r="M10" s="53">
        <v>92.56</v>
      </c>
      <c r="N10" s="53">
        <v>0</v>
      </c>
      <c r="O10" s="53">
        <v>0</v>
      </c>
      <c r="P10" s="53">
        <v>0.76</v>
      </c>
      <c r="Q10" s="54">
        <v>4.5</v>
      </c>
    </row>
    <row r="11" spans="1:21">
      <c r="A11" s="52" t="s">
        <v>494</v>
      </c>
      <c r="B11" s="53">
        <v>11.03</v>
      </c>
      <c r="C11" s="53">
        <v>21.66</v>
      </c>
      <c r="D11" s="53">
        <v>21.5</v>
      </c>
      <c r="E11" s="53">
        <v>6.35</v>
      </c>
      <c r="F11" s="53">
        <v>2.69</v>
      </c>
      <c r="G11" s="53">
        <v>65.239999999999995</v>
      </c>
      <c r="H11" s="53">
        <v>27.66</v>
      </c>
      <c r="I11" s="53">
        <v>8.9499999999999993</v>
      </c>
      <c r="J11" s="53">
        <v>0.14000000000000001</v>
      </c>
      <c r="K11" s="53">
        <v>263.52</v>
      </c>
      <c r="L11" s="53">
        <v>20.05</v>
      </c>
      <c r="M11" s="53">
        <v>94.8</v>
      </c>
      <c r="N11" s="53">
        <v>0</v>
      </c>
      <c r="O11" s="53">
        <v>0</v>
      </c>
      <c r="P11" s="53">
        <v>0.73</v>
      </c>
      <c r="Q11" s="54">
        <v>4.4800000000000004</v>
      </c>
    </row>
    <row r="12" spans="1:21">
      <c r="A12" s="52" t="s">
        <v>495</v>
      </c>
      <c r="B12" s="53">
        <v>11.27</v>
      </c>
      <c r="C12" s="53">
        <v>21.28</v>
      </c>
      <c r="D12" s="53">
        <v>21.27</v>
      </c>
      <c r="E12" s="53">
        <v>6.24</v>
      </c>
      <c r="F12" s="53">
        <v>2.71</v>
      </c>
      <c r="G12" s="53">
        <v>63.58</v>
      </c>
      <c r="H12" s="53">
        <v>26.64</v>
      </c>
      <c r="I12" s="53">
        <v>8.48</v>
      </c>
      <c r="J12" s="53">
        <v>0.22</v>
      </c>
      <c r="K12" s="53">
        <v>283.47000000000003</v>
      </c>
      <c r="L12" s="53">
        <v>19.59</v>
      </c>
      <c r="M12" s="53">
        <v>95.95</v>
      </c>
      <c r="N12" s="53">
        <v>0</v>
      </c>
      <c r="O12" s="53">
        <v>0</v>
      </c>
      <c r="P12" s="53">
        <v>0.68</v>
      </c>
      <c r="Q12" s="54">
        <v>4.4800000000000004</v>
      </c>
    </row>
    <row r="13" spans="1:21">
      <c r="A13" s="52" t="s">
        <v>496</v>
      </c>
      <c r="B13" s="53">
        <v>15.21</v>
      </c>
      <c r="C13" s="53">
        <v>22.69</v>
      </c>
      <c r="D13" s="53">
        <v>25.4</v>
      </c>
      <c r="E13" s="53">
        <v>6.61</v>
      </c>
      <c r="F13" s="53">
        <v>2.76</v>
      </c>
      <c r="G13" s="53">
        <v>58.89</v>
      </c>
      <c r="H13" s="53">
        <v>26.64</v>
      </c>
      <c r="I13" s="53">
        <v>8.02</v>
      </c>
      <c r="J13" s="53">
        <v>0.33</v>
      </c>
      <c r="K13" s="53">
        <v>95.6</v>
      </c>
      <c r="L13" s="53">
        <v>19.579999999999998</v>
      </c>
      <c r="M13" s="53">
        <v>94.85</v>
      </c>
      <c r="N13" s="53">
        <v>0</v>
      </c>
      <c r="O13" s="53">
        <v>0</v>
      </c>
      <c r="P13" s="53">
        <v>0.68</v>
      </c>
      <c r="Q13" s="54">
        <v>4.63</v>
      </c>
    </row>
    <row r="14" spans="1:21">
      <c r="A14" s="52" t="s">
        <v>497</v>
      </c>
      <c r="B14" s="53">
        <v>15.2</v>
      </c>
      <c r="C14" s="53">
        <v>25.08</v>
      </c>
      <c r="D14" s="53">
        <v>25.87</v>
      </c>
      <c r="E14" s="53">
        <v>7.28</v>
      </c>
      <c r="F14" s="53">
        <v>2.82</v>
      </c>
      <c r="G14" s="53">
        <v>67.2</v>
      </c>
      <c r="H14" s="53">
        <v>28.34</v>
      </c>
      <c r="I14" s="53">
        <v>7.71</v>
      </c>
      <c r="J14" s="53">
        <v>0.25</v>
      </c>
      <c r="K14" s="53">
        <v>72.319999999999993</v>
      </c>
      <c r="L14" s="53">
        <v>19.5</v>
      </c>
      <c r="M14" s="53">
        <v>92.23</v>
      </c>
      <c r="N14" s="53">
        <v>0</v>
      </c>
      <c r="O14" s="53">
        <v>0</v>
      </c>
      <c r="P14" s="53">
        <v>0.68</v>
      </c>
      <c r="Q14" s="54">
        <v>4.6399999999999997</v>
      </c>
    </row>
    <row r="15" spans="1:21">
      <c r="A15" s="52" t="s">
        <v>498</v>
      </c>
      <c r="B15" s="53">
        <v>14.23</v>
      </c>
      <c r="C15" s="53">
        <v>26.04</v>
      </c>
      <c r="D15" s="53">
        <v>26.16</v>
      </c>
      <c r="E15" s="53">
        <v>7.58</v>
      </c>
      <c r="F15" s="53">
        <v>2.78</v>
      </c>
      <c r="G15" s="53">
        <v>70.239999999999995</v>
      </c>
      <c r="H15" s="53">
        <v>29.07</v>
      </c>
      <c r="I15" s="53">
        <v>7.42</v>
      </c>
      <c r="J15" s="53">
        <v>0.13</v>
      </c>
      <c r="K15" s="53">
        <v>162.53</v>
      </c>
      <c r="L15" s="53">
        <v>19.97</v>
      </c>
      <c r="M15" s="53">
        <v>92.29</v>
      </c>
      <c r="N15" s="53">
        <v>21</v>
      </c>
      <c r="O15" s="53">
        <v>0</v>
      </c>
      <c r="P15" s="53">
        <v>0.69</v>
      </c>
      <c r="Q15" s="54">
        <v>4.6399999999999997</v>
      </c>
    </row>
    <row r="16" spans="1:21">
      <c r="A16" s="52" t="s">
        <v>499</v>
      </c>
      <c r="B16" s="53">
        <v>13.22</v>
      </c>
      <c r="C16" s="53">
        <v>27.08</v>
      </c>
      <c r="D16" s="53">
        <v>25.84</v>
      </c>
      <c r="E16" s="53">
        <v>7.92</v>
      </c>
      <c r="F16" s="53">
        <v>2.93</v>
      </c>
      <c r="G16" s="53">
        <v>70.239999999999995</v>
      </c>
      <c r="H16" s="53">
        <v>29.15</v>
      </c>
      <c r="I16" s="53">
        <v>7.24</v>
      </c>
      <c r="J16" s="53">
        <v>0.38</v>
      </c>
      <c r="K16" s="53">
        <v>72.510000000000005</v>
      </c>
      <c r="L16" s="53">
        <v>22.32</v>
      </c>
      <c r="M16" s="53">
        <v>87.98</v>
      </c>
      <c r="N16" s="53">
        <v>168.5</v>
      </c>
      <c r="O16" s="53">
        <v>0</v>
      </c>
      <c r="P16" s="53">
        <v>0.7</v>
      </c>
      <c r="Q16" s="54">
        <v>4.62</v>
      </c>
    </row>
    <row r="17" spans="1:17">
      <c r="A17" s="52" t="s">
        <v>500</v>
      </c>
      <c r="B17" s="53">
        <v>10.31</v>
      </c>
      <c r="C17" s="53">
        <v>27.11</v>
      </c>
      <c r="D17" s="53">
        <v>23.78</v>
      </c>
      <c r="E17" s="53">
        <v>8.25</v>
      </c>
      <c r="F17" s="53">
        <v>3.27</v>
      </c>
      <c r="G17" s="53">
        <v>63.69</v>
      </c>
      <c r="H17" s="53">
        <v>29.15</v>
      </c>
      <c r="I17" s="53">
        <v>7.02</v>
      </c>
      <c r="J17" s="53">
        <v>0.65</v>
      </c>
      <c r="K17" s="53">
        <v>52.33</v>
      </c>
      <c r="L17" s="53">
        <v>25.04</v>
      </c>
      <c r="M17" s="53">
        <v>77.930000000000007</v>
      </c>
      <c r="N17" s="53">
        <v>303.60000000000002</v>
      </c>
      <c r="O17" s="53">
        <v>0</v>
      </c>
      <c r="P17" s="53">
        <v>0.7</v>
      </c>
      <c r="Q17" s="54">
        <v>4.53</v>
      </c>
    </row>
    <row r="18" spans="1:17">
      <c r="A18" s="52" t="s">
        <v>501</v>
      </c>
      <c r="B18" s="53">
        <v>7.47</v>
      </c>
      <c r="C18" s="53">
        <v>26.72</v>
      </c>
      <c r="D18" s="53">
        <v>21.31</v>
      </c>
      <c r="E18" s="53">
        <v>7.94</v>
      </c>
      <c r="F18" s="53">
        <v>3.87</v>
      </c>
      <c r="G18" s="53">
        <v>65.84</v>
      </c>
      <c r="H18" s="53">
        <v>29.9</v>
      </c>
      <c r="I18" s="53">
        <v>6.97</v>
      </c>
      <c r="J18" s="53">
        <v>0.44</v>
      </c>
      <c r="K18" s="53">
        <v>88.19</v>
      </c>
      <c r="L18" s="53">
        <v>27.38</v>
      </c>
      <c r="M18" s="53">
        <v>67.819999999999993</v>
      </c>
      <c r="N18" s="53">
        <v>423.6</v>
      </c>
      <c r="O18" s="53">
        <v>0</v>
      </c>
      <c r="P18" s="53">
        <v>0.7</v>
      </c>
      <c r="Q18" s="54">
        <v>4.42</v>
      </c>
    </row>
    <row r="19" spans="1:17">
      <c r="A19" s="52" t="s">
        <v>502</v>
      </c>
      <c r="B19" s="53">
        <v>5.75</v>
      </c>
      <c r="C19" s="53">
        <v>21.03</v>
      </c>
      <c r="D19" s="53">
        <v>16.899999999999999</v>
      </c>
      <c r="E19" s="53">
        <v>6.27</v>
      </c>
      <c r="F19" s="53">
        <v>5.03</v>
      </c>
      <c r="G19" s="53">
        <v>65.84</v>
      </c>
      <c r="H19" s="53">
        <v>29.9</v>
      </c>
      <c r="I19" s="53">
        <v>6.7</v>
      </c>
      <c r="J19" s="53">
        <v>0.49</v>
      </c>
      <c r="K19" s="53">
        <v>154.91</v>
      </c>
      <c r="L19" s="53">
        <v>28.94</v>
      </c>
      <c r="M19" s="53">
        <v>61.83</v>
      </c>
      <c r="N19" s="53">
        <v>495.3</v>
      </c>
      <c r="O19" s="53">
        <v>0</v>
      </c>
      <c r="P19" s="53">
        <v>0.64</v>
      </c>
      <c r="Q19" s="54">
        <v>4.2699999999999996</v>
      </c>
    </row>
    <row r="20" spans="1:17">
      <c r="A20" s="52" t="s">
        <v>503</v>
      </c>
      <c r="B20" s="53">
        <v>5.31</v>
      </c>
      <c r="C20" s="53">
        <v>18.68</v>
      </c>
      <c r="D20" s="53">
        <v>15.36</v>
      </c>
      <c r="E20" s="53">
        <v>7.65</v>
      </c>
      <c r="F20" s="53">
        <v>6.61</v>
      </c>
      <c r="G20" s="53">
        <v>61.11</v>
      </c>
      <c r="H20" s="53">
        <v>28.06</v>
      </c>
      <c r="I20" s="53">
        <v>6.43</v>
      </c>
      <c r="J20" s="53">
        <v>0.68</v>
      </c>
      <c r="K20" s="53">
        <v>107.54</v>
      </c>
      <c r="L20" s="53">
        <v>29.44</v>
      </c>
      <c r="M20" s="53">
        <v>56.26</v>
      </c>
      <c r="N20" s="53">
        <v>530.1</v>
      </c>
      <c r="O20" s="53">
        <v>0</v>
      </c>
      <c r="P20" s="53">
        <v>0.61</v>
      </c>
      <c r="Q20" s="54">
        <v>4.21</v>
      </c>
    </row>
    <row r="21" spans="1:17">
      <c r="A21" s="52" t="s">
        <v>504</v>
      </c>
      <c r="B21" s="53">
        <v>5.17</v>
      </c>
      <c r="C21" s="53">
        <v>17.899999999999999</v>
      </c>
      <c r="D21" s="53">
        <v>14.85</v>
      </c>
      <c r="E21" s="53">
        <v>6.96</v>
      </c>
      <c r="F21" s="53">
        <v>5.31</v>
      </c>
      <c r="G21" s="53">
        <v>57.36</v>
      </c>
      <c r="H21" s="53">
        <v>25.53</v>
      </c>
      <c r="I21" s="53">
        <v>6.12</v>
      </c>
      <c r="J21" s="53">
        <v>0.33</v>
      </c>
      <c r="K21" s="53">
        <v>90.69</v>
      </c>
      <c r="L21" s="53">
        <v>30.75</v>
      </c>
      <c r="M21" s="53">
        <v>48.28</v>
      </c>
      <c r="N21" s="53">
        <v>525.4</v>
      </c>
      <c r="O21" s="53">
        <v>0</v>
      </c>
      <c r="P21" s="53">
        <v>0.59</v>
      </c>
      <c r="Q21" s="54">
        <v>4.1900000000000004</v>
      </c>
    </row>
    <row r="22" spans="1:17">
      <c r="A22" s="52" t="s">
        <v>505</v>
      </c>
      <c r="B22" s="53">
        <v>4.92</v>
      </c>
      <c r="C22" s="53">
        <v>17.079999999999998</v>
      </c>
      <c r="D22" s="53">
        <v>14.11</v>
      </c>
      <c r="E22" s="53">
        <v>6.75</v>
      </c>
      <c r="F22" s="53">
        <v>6.98</v>
      </c>
      <c r="G22" s="53">
        <v>51.15</v>
      </c>
      <c r="H22" s="53">
        <v>24.43</v>
      </c>
      <c r="I22" s="53">
        <v>5.8</v>
      </c>
      <c r="J22" s="53">
        <v>0.79</v>
      </c>
      <c r="K22" s="53">
        <v>70.42</v>
      </c>
      <c r="L22" s="53">
        <v>30.89</v>
      </c>
      <c r="M22" s="53">
        <v>46.19</v>
      </c>
      <c r="N22" s="53">
        <v>515.70000000000005</v>
      </c>
      <c r="O22" s="53">
        <v>0</v>
      </c>
      <c r="P22" s="53">
        <v>0.56000000000000005</v>
      </c>
      <c r="Q22" s="54">
        <v>4.17</v>
      </c>
    </row>
    <row r="23" spans="1:17">
      <c r="A23" s="52" t="s">
        <v>506</v>
      </c>
      <c r="B23" s="53">
        <v>4.93</v>
      </c>
      <c r="C23" s="53">
        <v>18.14</v>
      </c>
      <c r="D23" s="53">
        <v>14.18</v>
      </c>
      <c r="E23" s="53">
        <v>6.21</v>
      </c>
      <c r="F23" s="53">
        <v>6.18</v>
      </c>
      <c r="G23" s="53">
        <v>51.15</v>
      </c>
      <c r="H23" s="53">
        <v>24.43</v>
      </c>
      <c r="I23" s="53">
        <v>5.43</v>
      </c>
      <c r="J23" s="53">
        <v>0.82</v>
      </c>
      <c r="K23" s="53">
        <v>115.29</v>
      </c>
      <c r="L23" s="53">
        <v>30.06</v>
      </c>
      <c r="M23" s="53">
        <v>47.77</v>
      </c>
      <c r="N23" s="53">
        <v>150</v>
      </c>
      <c r="O23" s="53">
        <v>0</v>
      </c>
      <c r="P23" s="53">
        <v>0.52</v>
      </c>
      <c r="Q23" s="54">
        <v>4.16</v>
      </c>
    </row>
    <row r="24" spans="1:17">
      <c r="A24" s="52" t="s">
        <v>507</v>
      </c>
      <c r="B24" s="53">
        <v>4.1399999999999997</v>
      </c>
      <c r="C24" s="53">
        <v>20.260000000000002</v>
      </c>
      <c r="D24" s="53">
        <v>15.15</v>
      </c>
      <c r="E24" s="53">
        <v>7.03</v>
      </c>
      <c r="F24" s="53">
        <v>5.82</v>
      </c>
      <c r="G24" s="53">
        <v>45.88</v>
      </c>
      <c r="H24" s="53">
        <v>21.97</v>
      </c>
      <c r="I24" s="53">
        <v>5.0199999999999996</v>
      </c>
      <c r="J24" s="53">
        <v>0.54</v>
      </c>
      <c r="K24" s="53">
        <v>138.28</v>
      </c>
      <c r="L24" s="53">
        <v>29.59</v>
      </c>
      <c r="M24" s="53">
        <v>47.4</v>
      </c>
      <c r="N24" s="53">
        <v>83.2</v>
      </c>
      <c r="O24" s="53">
        <v>0</v>
      </c>
      <c r="P24" s="53">
        <v>0.51</v>
      </c>
      <c r="Q24" s="54">
        <v>4.16</v>
      </c>
    </row>
    <row r="25" spans="1:17">
      <c r="A25" s="52" t="s">
        <v>508</v>
      </c>
      <c r="B25" s="53">
        <v>4.28</v>
      </c>
      <c r="C25" s="53">
        <v>22.72</v>
      </c>
      <c r="D25" s="53">
        <v>16.649999999999999</v>
      </c>
      <c r="E25" s="53">
        <v>7.47</v>
      </c>
      <c r="F25" s="53">
        <v>5.38</v>
      </c>
      <c r="G25" s="53">
        <v>49.58</v>
      </c>
      <c r="H25" s="53">
        <v>21.97</v>
      </c>
      <c r="I25" s="53">
        <v>4.5599999999999996</v>
      </c>
      <c r="J25" s="53">
        <v>0.5</v>
      </c>
      <c r="K25" s="53">
        <v>99.39</v>
      </c>
      <c r="L25" s="53">
        <v>28.52</v>
      </c>
      <c r="M25" s="53">
        <v>52.81</v>
      </c>
      <c r="N25" s="53">
        <v>40.9</v>
      </c>
      <c r="O25" s="53">
        <v>0</v>
      </c>
      <c r="P25" s="53">
        <v>0.55000000000000004</v>
      </c>
      <c r="Q25" s="54">
        <v>4.21</v>
      </c>
    </row>
    <row r="26" spans="1:17">
      <c r="A26" s="52" t="s">
        <v>509</v>
      </c>
      <c r="B26" s="53">
        <v>4.79</v>
      </c>
      <c r="C26" s="53">
        <v>24.79</v>
      </c>
      <c r="D26" s="53">
        <v>18.14</v>
      </c>
      <c r="E26" s="53">
        <v>7.53</v>
      </c>
      <c r="F26" s="53">
        <v>4.42</v>
      </c>
      <c r="G26" s="53">
        <v>61.25</v>
      </c>
      <c r="H26" s="53">
        <v>24.6</v>
      </c>
      <c r="I26" s="53">
        <v>4.6100000000000003</v>
      </c>
      <c r="J26" s="53">
        <v>0.23</v>
      </c>
      <c r="K26" s="53">
        <v>168.59</v>
      </c>
      <c r="L26" s="53">
        <v>26.68</v>
      </c>
      <c r="M26" s="53">
        <v>64.239999999999995</v>
      </c>
      <c r="N26" s="53">
        <v>0</v>
      </c>
      <c r="O26" s="53">
        <v>0</v>
      </c>
      <c r="P26" s="53">
        <v>0.65</v>
      </c>
      <c r="Q26" s="54">
        <v>4.24</v>
      </c>
    </row>
    <row r="27" spans="1:17">
      <c r="A27" s="52" t="s">
        <v>510</v>
      </c>
      <c r="B27" s="53">
        <v>7.02</v>
      </c>
      <c r="C27" s="53">
        <v>29.16</v>
      </c>
      <c r="D27" s="53">
        <v>22.22</v>
      </c>
      <c r="E27" s="53">
        <v>8.24</v>
      </c>
      <c r="F27" s="53">
        <v>2.92</v>
      </c>
      <c r="G27" s="53">
        <v>90.06</v>
      </c>
      <c r="H27" s="53">
        <v>28.88</v>
      </c>
      <c r="I27" s="53">
        <v>6.09</v>
      </c>
      <c r="J27" s="53">
        <v>0.15</v>
      </c>
      <c r="K27" s="53">
        <v>162.44999999999999</v>
      </c>
      <c r="L27" s="53">
        <v>25.1</v>
      </c>
      <c r="M27" s="53">
        <v>66.73</v>
      </c>
      <c r="N27" s="53">
        <v>0</v>
      </c>
      <c r="O27" s="53">
        <v>0</v>
      </c>
      <c r="P27" s="53">
        <v>0.83</v>
      </c>
      <c r="Q27" s="54">
        <v>4.3600000000000003</v>
      </c>
    </row>
    <row r="28" spans="1:17">
      <c r="A28" s="52" t="s">
        <v>511</v>
      </c>
      <c r="B28" s="53">
        <v>9.43</v>
      </c>
      <c r="C28" s="53">
        <v>30.52</v>
      </c>
      <c r="D28" s="53">
        <v>23.59</v>
      </c>
      <c r="E28" s="53">
        <v>8.68</v>
      </c>
      <c r="F28" s="53">
        <v>2.95</v>
      </c>
      <c r="G28" s="53">
        <v>124.27</v>
      </c>
      <c r="H28" s="53">
        <v>37.22</v>
      </c>
      <c r="I28" s="53">
        <v>7.5</v>
      </c>
      <c r="J28" s="53">
        <v>0.17</v>
      </c>
      <c r="K28" s="53">
        <v>149.63999999999999</v>
      </c>
      <c r="L28" s="53">
        <v>24.3</v>
      </c>
      <c r="M28" s="53">
        <v>69.59</v>
      </c>
      <c r="N28" s="53">
        <v>0</v>
      </c>
      <c r="O28" s="53">
        <v>0</v>
      </c>
      <c r="P28" s="53">
        <v>0.91</v>
      </c>
      <c r="Q28" s="54">
        <v>4.45</v>
      </c>
    </row>
    <row r="29" spans="1:17">
      <c r="A29" s="52" t="s">
        <v>512</v>
      </c>
      <c r="B29" s="53">
        <v>11.29</v>
      </c>
      <c r="C29" s="53">
        <v>25.49</v>
      </c>
      <c r="D29" s="53">
        <v>23.72</v>
      </c>
      <c r="E29" s="53">
        <v>6.8</v>
      </c>
      <c r="F29" s="53">
        <v>2.93</v>
      </c>
      <c r="G29" s="53">
        <v>135.85</v>
      </c>
      <c r="H29" s="53">
        <v>41.23</v>
      </c>
      <c r="I29" s="53">
        <v>7.93</v>
      </c>
      <c r="J29" s="53">
        <v>0.32</v>
      </c>
      <c r="K29" s="53">
        <v>107.31</v>
      </c>
      <c r="L29" s="53">
        <v>24.09</v>
      </c>
      <c r="M29" s="53">
        <v>68.61</v>
      </c>
      <c r="N29" s="53">
        <v>0</v>
      </c>
      <c r="O29" s="53">
        <v>0</v>
      </c>
      <c r="P29" s="53">
        <v>0.89</v>
      </c>
      <c r="Q29" s="54">
        <v>4.49</v>
      </c>
    </row>
    <row r="30" spans="1:17">
      <c r="A30" s="52" t="s">
        <v>513</v>
      </c>
      <c r="B30" s="53">
        <v>12.1</v>
      </c>
      <c r="C30" s="53">
        <v>25.08</v>
      </c>
      <c r="D30" s="53">
        <v>24.16</v>
      </c>
      <c r="E30" s="53">
        <v>6.73</v>
      </c>
      <c r="F30" s="53">
        <v>2.73</v>
      </c>
      <c r="G30" s="53">
        <v>135.85</v>
      </c>
      <c r="H30" s="53">
        <v>41.23</v>
      </c>
      <c r="I30" s="53">
        <v>7.98</v>
      </c>
      <c r="J30" s="53">
        <v>0.35</v>
      </c>
      <c r="K30" s="53">
        <v>125.41</v>
      </c>
      <c r="L30" s="53">
        <v>24.17</v>
      </c>
      <c r="M30" s="53">
        <v>67.180000000000007</v>
      </c>
      <c r="N30" s="53">
        <v>0</v>
      </c>
      <c r="O30" s="53">
        <v>0</v>
      </c>
      <c r="P30" s="53">
        <v>0.89</v>
      </c>
      <c r="Q30" s="54">
        <v>4.5199999999999996</v>
      </c>
    </row>
    <row r="31" spans="1:17">
      <c r="A31" s="52" t="s">
        <v>514</v>
      </c>
      <c r="B31" s="53">
        <v>12.02</v>
      </c>
      <c r="C31" s="53">
        <v>23.66</v>
      </c>
      <c r="D31" s="53">
        <v>23.21</v>
      </c>
      <c r="E31" s="53">
        <v>6.13</v>
      </c>
      <c r="F31" s="53">
        <v>2.81</v>
      </c>
      <c r="G31" s="53">
        <v>118.2</v>
      </c>
      <c r="H31" s="53">
        <v>34.72</v>
      </c>
      <c r="I31" s="53">
        <v>7.94</v>
      </c>
      <c r="J31" s="53">
        <v>0.24</v>
      </c>
      <c r="K31" s="53">
        <v>143.83000000000001</v>
      </c>
      <c r="L31" s="53">
        <v>23.89</v>
      </c>
      <c r="M31" s="53">
        <v>71.16</v>
      </c>
      <c r="N31" s="53">
        <v>0</v>
      </c>
      <c r="O31" s="53">
        <v>0</v>
      </c>
      <c r="P31" s="53">
        <v>0.86</v>
      </c>
      <c r="Q31" s="54">
        <v>4.51</v>
      </c>
    </row>
    <row r="32" spans="1:17">
      <c r="A32" s="52" t="s">
        <v>515</v>
      </c>
      <c r="B32" s="53">
        <v>12.04</v>
      </c>
      <c r="C32" s="53">
        <v>23.31</v>
      </c>
      <c r="D32" s="53">
        <v>23.1</v>
      </c>
      <c r="E32" s="53">
        <v>6.21</v>
      </c>
      <c r="F32" s="53">
        <v>2.89</v>
      </c>
      <c r="G32" s="53">
        <v>90.07</v>
      </c>
      <c r="H32" s="53">
        <v>32.520000000000003</v>
      </c>
      <c r="I32" s="53">
        <v>7.68</v>
      </c>
      <c r="J32" s="53">
        <v>0.18</v>
      </c>
      <c r="K32" s="53">
        <v>208.95</v>
      </c>
      <c r="L32" s="53">
        <v>23.38</v>
      </c>
      <c r="M32" s="53">
        <v>76.05</v>
      </c>
      <c r="N32" s="53">
        <v>0</v>
      </c>
      <c r="O32" s="53">
        <v>0</v>
      </c>
      <c r="P32" s="53">
        <v>0.82</v>
      </c>
      <c r="Q32" s="54">
        <v>4.5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4.1399999999999997</v>
      </c>
      <c r="C34" s="40">
        <f t="shared" si="0"/>
        <v>17.079999999999998</v>
      </c>
      <c r="D34" s="40">
        <f t="shared" si="0"/>
        <v>14.11</v>
      </c>
      <c r="E34" s="40">
        <f t="shared" si="0"/>
        <v>6.13</v>
      </c>
      <c r="F34" s="40">
        <f t="shared" si="0"/>
        <v>2.69</v>
      </c>
      <c r="G34" s="40">
        <f t="shared" si="0"/>
        <v>45.88</v>
      </c>
      <c r="H34" s="40">
        <f t="shared" si="0"/>
        <v>21.97</v>
      </c>
      <c r="I34" s="40">
        <f t="shared" si="0"/>
        <v>4.5599999999999996</v>
      </c>
      <c r="J34" s="40">
        <f t="shared" si="0"/>
        <v>0.11</v>
      </c>
      <c r="K34" s="40">
        <f t="shared" si="0"/>
        <v>52.33</v>
      </c>
      <c r="L34" s="40">
        <f t="shared" si="0"/>
        <v>19.5</v>
      </c>
      <c r="M34" s="40">
        <f t="shared" si="0"/>
        <v>46.19</v>
      </c>
      <c r="N34" s="40">
        <f t="shared" si="0"/>
        <v>0</v>
      </c>
      <c r="O34" s="40">
        <f t="shared" si="0"/>
        <v>0</v>
      </c>
      <c r="P34" s="40">
        <f t="shared" si="0"/>
        <v>0.51</v>
      </c>
      <c r="Q34" s="40">
        <f t="shared" si="0"/>
        <v>4.16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15.21</v>
      </c>
      <c r="C35" s="33">
        <f t="shared" si="1"/>
        <v>30.52</v>
      </c>
      <c r="D35" s="33">
        <f t="shared" si="1"/>
        <v>26.16</v>
      </c>
      <c r="E35" s="33">
        <f t="shared" si="1"/>
        <v>8.68</v>
      </c>
      <c r="F35" s="33">
        <f t="shared" si="1"/>
        <v>6.98</v>
      </c>
      <c r="G35" s="33">
        <f t="shared" si="1"/>
        <v>135.85</v>
      </c>
      <c r="H35" s="33">
        <f t="shared" si="1"/>
        <v>41.23</v>
      </c>
      <c r="I35" s="33">
        <f t="shared" si="1"/>
        <v>9.75</v>
      </c>
      <c r="J35" s="33">
        <f t="shared" si="1"/>
        <v>0.82</v>
      </c>
      <c r="K35" s="33">
        <f t="shared" si="1"/>
        <v>283.47000000000003</v>
      </c>
      <c r="L35" s="33">
        <f t="shared" si="1"/>
        <v>30.89</v>
      </c>
      <c r="M35" s="33">
        <f t="shared" si="1"/>
        <v>95.95</v>
      </c>
      <c r="N35" s="33">
        <f t="shared" si="1"/>
        <v>530.1</v>
      </c>
      <c r="O35" s="33">
        <f t="shared" si="1"/>
        <v>0</v>
      </c>
      <c r="P35" s="33">
        <f t="shared" si="1"/>
        <v>0.91</v>
      </c>
      <c r="Q35" s="33">
        <f t="shared" si="1"/>
        <v>4.6399999999999997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9.3062499999999986</v>
      </c>
      <c r="C36" s="40">
        <f t="shared" si="2"/>
        <v>23.351249999999997</v>
      </c>
      <c r="D36" s="40">
        <f t="shared" si="2"/>
        <v>20.847499999999997</v>
      </c>
      <c r="E36" s="40">
        <f t="shared" si="2"/>
        <v>7.2466666666666661</v>
      </c>
      <c r="F36" s="40">
        <f t="shared" si="2"/>
        <v>3.851666666666667</v>
      </c>
      <c r="G36" s="40">
        <f t="shared" si="2"/>
        <v>75.793333333333322</v>
      </c>
      <c r="H36" s="40">
        <f t="shared" si="2"/>
        <v>29.444583333333338</v>
      </c>
      <c r="I36" s="40">
        <f t="shared" si="2"/>
        <v>7.1158333333333337</v>
      </c>
      <c r="J36" s="40">
        <f t="shared" si="2"/>
        <v>0.35749999999999998</v>
      </c>
      <c r="K36" s="40">
        <f t="shared" si="2"/>
        <v>141.43499999999997</v>
      </c>
      <c r="L36" s="40">
        <f t="shared" si="2"/>
        <v>24.753749999999997</v>
      </c>
      <c r="M36" s="40">
        <f t="shared" si="2"/>
        <v>72.166666666666671</v>
      </c>
      <c r="N36" s="40">
        <f t="shared" si="2"/>
        <v>135.72083333333333</v>
      </c>
      <c r="O36" s="40">
        <f t="shared" si="2"/>
        <v>0</v>
      </c>
      <c r="P36" s="40">
        <f t="shared" si="2"/>
        <v>0.70625000000000016</v>
      </c>
      <c r="Q36" s="40">
        <f t="shared" si="2"/>
        <v>4.4129166666666668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3.7016739016170876</v>
      </c>
      <c r="C37" s="40">
        <f t="shared" ref="C37:Q37" si="3">STDEV(C9:C32)</f>
        <v>3.532180398785584</v>
      </c>
      <c r="D37" s="40">
        <f t="shared" si="3"/>
        <v>4.0598460561947602</v>
      </c>
      <c r="E37" s="40">
        <f t="shared" si="3"/>
        <v>0.83872401361502547</v>
      </c>
      <c r="F37" s="40">
        <f t="shared" si="3"/>
        <v>1.4452761633701003</v>
      </c>
      <c r="G37" s="40">
        <f t="shared" si="3"/>
        <v>26.694868203566738</v>
      </c>
      <c r="H37" s="40">
        <f t="shared" si="3"/>
        <v>5.1906010200433599</v>
      </c>
      <c r="I37" s="40">
        <f t="shared" si="3"/>
        <v>1.4118717661522782</v>
      </c>
      <c r="J37" s="40">
        <f t="shared" si="3"/>
        <v>0.21364843124608482</v>
      </c>
      <c r="K37" s="40">
        <f t="shared" si="3"/>
        <v>63.423085839395341</v>
      </c>
      <c r="L37" s="40">
        <f t="shared" si="3"/>
        <v>3.9707865965891918</v>
      </c>
      <c r="M37" s="40">
        <f t="shared" si="3"/>
        <v>17.235602603374488</v>
      </c>
      <c r="N37" s="40">
        <f t="shared" si="3"/>
        <v>204.06462100790878</v>
      </c>
      <c r="O37" s="40">
        <f t="shared" si="3"/>
        <v>0</v>
      </c>
      <c r="P37" s="40">
        <f t="shared" si="3"/>
        <v>0.1188646471741108</v>
      </c>
      <c r="Q37" s="40">
        <f t="shared" si="3"/>
        <v>0.16747431124665724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20/11/2023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52" t="s">
        <v>516</v>
      </c>
      <c r="B9" s="53">
        <v>11.48</v>
      </c>
      <c r="C9" s="53">
        <v>22.39</v>
      </c>
      <c r="D9" s="53">
        <v>21.42</v>
      </c>
      <c r="E9" s="53">
        <v>6.29</v>
      </c>
      <c r="F9" s="53">
        <v>3.13</v>
      </c>
      <c r="G9" s="53">
        <v>68.8</v>
      </c>
      <c r="H9" s="53">
        <v>32.28</v>
      </c>
      <c r="I9" s="53">
        <v>7.39</v>
      </c>
      <c r="J9" s="53">
        <v>0.12</v>
      </c>
      <c r="K9" s="53">
        <v>220.64</v>
      </c>
      <c r="L9" s="53">
        <v>22.5</v>
      </c>
      <c r="M9" s="53">
        <v>84.46</v>
      </c>
      <c r="N9" s="53">
        <v>0</v>
      </c>
      <c r="O9" s="53">
        <v>0</v>
      </c>
      <c r="P9" s="53">
        <v>0.76</v>
      </c>
      <c r="Q9" s="54">
        <v>4.47</v>
      </c>
    </row>
    <row r="10" spans="1:21">
      <c r="A10" s="52" t="s">
        <v>517</v>
      </c>
      <c r="B10" s="53">
        <v>10.98</v>
      </c>
      <c r="C10" s="53">
        <v>25.81</v>
      </c>
      <c r="D10" s="53">
        <v>23.64</v>
      </c>
      <c r="E10" s="53">
        <v>7.08</v>
      </c>
      <c r="F10" s="53">
        <v>3.12</v>
      </c>
      <c r="G10" s="53">
        <v>48.01</v>
      </c>
      <c r="H10" s="53">
        <v>28</v>
      </c>
      <c r="I10" s="53">
        <v>6.7</v>
      </c>
      <c r="J10" s="53">
        <v>0.13</v>
      </c>
      <c r="K10" s="53">
        <v>193.44</v>
      </c>
      <c r="L10" s="53">
        <v>21.56</v>
      </c>
      <c r="M10" s="53">
        <v>89.74</v>
      </c>
      <c r="N10" s="53">
        <v>0</v>
      </c>
      <c r="O10" s="53">
        <v>0</v>
      </c>
      <c r="P10" s="53">
        <v>0.7</v>
      </c>
      <c r="Q10" s="54">
        <v>4.46</v>
      </c>
    </row>
    <row r="11" spans="1:21">
      <c r="A11" s="52" t="s">
        <v>518</v>
      </c>
      <c r="B11" s="53">
        <v>11.01</v>
      </c>
      <c r="C11" s="53">
        <v>25.71</v>
      </c>
      <c r="D11" s="53">
        <v>23.61</v>
      </c>
      <c r="E11" s="53">
        <v>8.77</v>
      </c>
      <c r="F11" s="53">
        <v>2.86</v>
      </c>
      <c r="G11" s="53">
        <v>50.88</v>
      </c>
      <c r="H11" s="53">
        <v>23.02</v>
      </c>
      <c r="I11" s="53">
        <v>6.08</v>
      </c>
      <c r="J11" s="53">
        <v>0.13</v>
      </c>
      <c r="K11" s="53">
        <v>212.19</v>
      </c>
      <c r="L11" s="53">
        <v>20.8</v>
      </c>
      <c r="M11" s="53">
        <v>95.06</v>
      </c>
      <c r="N11" s="53">
        <v>0</v>
      </c>
      <c r="O11" s="53">
        <v>0</v>
      </c>
      <c r="P11" s="53">
        <v>0.65</v>
      </c>
      <c r="Q11" s="54">
        <v>4.5</v>
      </c>
    </row>
    <row r="12" spans="1:21">
      <c r="A12" s="52" t="s">
        <v>519</v>
      </c>
      <c r="B12" s="53">
        <v>10.92</v>
      </c>
      <c r="C12" s="53">
        <v>25.26</v>
      </c>
      <c r="D12" s="53">
        <v>23.31</v>
      </c>
      <c r="E12" s="53">
        <v>8.9</v>
      </c>
      <c r="F12" s="53">
        <v>2.64</v>
      </c>
      <c r="G12" s="53">
        <v>50.88</v>
      </c>
      <c r="H12" s="53">
        <v>20.32</v>
      </c>
      <c r="I12" s="53">
        <v>5.65</v>
      </c>
      <c r="J12" s="53">
        <v>0.33</v>
      </c>
      <c r="K12" s="53">
        <v>144.66</v>
      </c>
      <c r="L12" s="53">
        <v>20</v>
      </c>
      <c r="M12" s="53">
        <v>93.3</v>
      </c>
      <c r="N12" s="53">
        <v>0</v>
      </c>
      <c r="O12" s="53">
        <v>0</v>
      </c>
      <c r="P12" s="53">
        <v>0.59</v>
      </c>
      <c r="Q12" s="54">
        <v>4.5199999999999996</v>
      </c>
    </row>
    <row r="13" spans="1:21">
      <c r="A13" s="52" t="s">
        <v>520</v>
      </c>
      <c r="B13" s="53">
        <v>11.31</v>
      </c>
      <c r="C13" s="53">
        <v>25.84</v>
      </c>
      <c r="D13" s="53">
        <v>23.92</v>
      </c>
      <c r="E13" s="53">
        <v>8.84</v>
      </c>
      <c r="F13" s="53">
        <v>2.69</v>
      </c>
      <c r="G13" s="53">
        <v>50.91</v>
      </c>
      <c r="H13" s="53">
        <v>20.37</v>
      </c>
      <c r="I13" s="53">
        <v>5.41</v>
      </c>
      <c r="J13" s="53">
        <v>0.26</v>
      </c>
      <c r="K13" s="53">
        <v>58.6</v>
      </c>
      <c r="L13" s="53">
        <v>19.82</v>
      </c>
      <c r="M13" s="53">
        <v>92.15</v>
      </c>
      <c r="N13" s="53">
        <v>0</v>
      </c>
      <c r="O13" s="53">
        <v>0</v>
      </c>
      <c r="P13" s="53">
        <v>0.56000000000000005</v>
      </c>
      <c r="Q13" s="54">
        <v>4.51</v>
      </c>
    </row>
    <row r="14" spans="1:21">
      <c r="A14" s="52" t="s">
        <v>521</v>
      </c>
      <c r="B14" s="53">
        <v>13.15</v>
      </c>
      <c r="C14" s="53">
        <v>26.58</v>
      </c>
      <c r="D14" s="53">
        <v>25.12</v>
      </c>
      <c r="E14" s="53">
        <v>8.59</v>
      </c>
      <c r="F14" s="53">
        <v>3.12</v>
      </c>
      <c r="G14" s="53">
        <v>50.91</v>
      </c>
      <c r="H14" s="53">
        <v>22.92</v>
      </c>
      <c r="I14" s="53">
        <v>5.42</v>
      </c>
      <c r="J14" s="53">
        <v>0.22</v>
      </c>
      <c r="K14" s="53">
        <v>65.38</v>
      </c>
      <c r="L14" s="53">
        <v>19.32</v>
      </c>
      <c r="M14" s="53">
        <v>92.44</v>
      </c>
      <c r="N14" s="53">
        <v>0</v>
      </c>
      <c r="O14" s="53">
        <v>0</v>
      </c>
      <c r="P14" s="53">
        <v>0.56000000000000005</v>
      </c>
      <c r="Q14" s="54">
        <v>4.58</v>
      </c>
    </row>
    <row r="15" spans="1:21">
      <c r="A15" s="52" t="s">
        <v>522</v>
      </c>
      <c r="B15" s="53">
        <v>15.35</v>
      </c>
      <c r="C15" s="53">
        <v>24.37</v>
      </c>
      <c r="D15" s="53">
        <v>26.39</v>
      </c>
      <c r="E15" s="53">
        <v>8.1999999999999993</v>
      </c>
      <c r="F15" s="53">
        <v>2.8</v>
      </c>
      <c r="G15" s="53">
        <v>49.81</v>
      </c>
      <c r="H15" s="53">
        <v>22.92</v>
      </c>
      <c r="I15" s="53">
        <v>5.54</v>
      </c>
      <c r="J15" s="53">
        <v>0.41</v>
      </c>
      <c r="K15" s="53">
        <v>40.78</v>
      </c>
      <c r="L15" s="53">
        <v>19.73</v>
      </c>
      <c r="M15" s="53">
        <v>88.45</v>
      </c>
      <c r="N15" s="53">
        <v>24.2</v>
      </c>
      <c r="O15" s="53">
        <v>0</v>
      </c>
      <c r="P15" s="53">
        <v>0.55000000000000004</v>
      </c>
      <c r="Q15" s="54">
        <v>4.5999999999999996</v>
      </c>
    </row>
    <row r="16" spans="1:21">
      <c r="A16" s="52" t="s">
        <v>523</v>
      </c>
      <c r="B16" s="53">
        <v>16.75</v>
      </c>
      <c r="C16" s="53">
        <v>24.18</v>
      </c>
      <c r="D16" s="53">
        <v>27.27</v>
      </c>
      <c r="E16" s="53">
        <v>8.61</v>
      </c>
      <c r="F16" s="53">
        <v>2.81</v>
      </c>
      <c r="G16" s="53">
        <v>65.31</v>
      </c>
      <c r="H16" s="53">
        <v>22.44</v>
      </c>
      <c r="I16" s="53">
        <v>5.82</v>
      </c>
      <c r="J16" s="53">
        <v>0.66</v>
      </c>
      <c r="K16" s="53">
        <v>44.29</v>
      </c>
      <c r="L16" s="53">
        <v>21.7</v>
      </c>
      <c r="M16" s="53">
        <v>86.17</v>
      </c>
      <c r="N16" s="53">
        <v>193.5</v>
      </c>
      <c r="O16" s="53">
        <v>0</v>
      </c>
      <c r="P16" s="53">
        <v>0.57999999999999996</v>
      </c>
      <c r="Q16" s="54">
        <v>4.6900000000000004</v>
      </c>
    </row>
    <row r="17" spans="1:17">
      <c r="A17" s="52" t="s">
        <v>524</v>
      </c>
      <c r="B17" s="53">
        <v>16.940000000000001</v>
      </c>
      <c r="C17" s="53">
        <v>23.36</v>
      </c>
      <c r="D17" s="53">
        <v>26.98</v>
      </c>
      <c r="E17" s="53">
        <v>8.06</v>
      </c>
      <c r="F17" s="53">
        <v>3</v>
      </c>
      <c r="G17" s="53">
        <v>65.31</v>
      </c>
      <c r="H17" s="53">
        <v>23.77</v>
      </c>
      <c r="I17" s="53">
        <v>6.14</v>
      </c>
      <c r="J17" s="53">
        <v>0.64</v>
      </c>
      <c r="K17" s="53">
        <v>60.45</v>
      </c>
      <c r="L17" s="53">
        <v>25.34</v>
      </c>
      <c r="M17" s="53">
        <v>75.540000000000006</v>
      </c>
      <c r="N17" s="53">
        <v>298.3</v>
      </c>
      <c r="O17" s="53">
        <v>0</v>
      </c>
      <c r="P17" s="53">
        <v>0.61</v>
      </c>
      <c r="Q17" s="54">
        <v>4.6900000000000004</v>
      </c>
    </row>
    <row r="18" spans="1:17">
      <c r="A18" s="52" t="s">
        <v>525</v>
      </c>
      <c r="B18" s="53">
        <v>16.010000000000002</v>
      </c>
      <c r="C18" s="53">
        <v>24.18</v>
      </c>
      <c r="D18" s="53">
        <v>25.34</v>
      </c>
      <c r="E18" s="53">
        <v>8.73</v>
      </c>
      <c r="F18" s="53">
        <v>3.32</v>
      </c>
      <c r="G18" s="53">
        <v>70.89</v>
      </c>
      <c r="H18" s="53">
        <v>24.42</v>
      </c>
      <c r="I18" s="53">
        <v>6.36</v>
      </c>
      <c r="J18" s="53">
        <v>0.47</v>
      </c>
      <c r="K18" s="53">
        <v>86.92</v>
      </c>
      <c r="L18" s="53">
        <v>27.47</v>
      </c>
      <c r="M18" s="53">
        <v>62.71</v>
      </c>
      <c r="N18" s="53">
        <v>452.4</v>
      </c>
      <c r="O18" s="53">
        <v>0</v>
      </c>
      <c r="P18" s="53">
        <v>0.62</v>
      </c>
      <c r="Q18" s="54">
        <v>4.66</v>
      </c>
    </row>
    <row r="19" spans="1:17">
      <c r="A19" s="52" t="s">
        <v>526</v>
      </c>
      <c r="B19" s="53">
        <v>13.36</v>
      </c>
      <c r="C19" s="53">
        <v>25.39</v>
      </c>
      <c r="D19" s="53">
        <v>24.5</v>
      </c>
      <c r="E19" s="53">
        <v>8.3699999999999992</v>
      </c>
      <c r="F19" s="53">
        <v>4.45</v>
      </c>
      <c r="G19" s="53">
        <v>70.89</v>
      </c>
      <c r="H19" s="53">
        <v>24.42</v>
      </c>
      <c r="I19" s="53">
        <v>6.27</v>
      </c>
      <c r="J19" s="53">
        <v>0.33</v>
      </c>
      <c r="K19" s="53">
        <v>136.93</v>
      </c>
      <c r="L19" s="53">
        <v>29.63</v>
      </c>
      <c r="M19" s="53">
        <v>55.98</v>
      </c>
      <c r="N19" s="53">
        <v>512.79999999999995</v>
      </c>
      <c r="O19" s="53">
        <v>0</v>
      </c>
      <c r="P19" s="53">
        <v>0.63</v>
      </c>
      <c r="Q19" s="54">
        <v>4.57</v>
      </c>
    </row>
    <row r="20" spans="1:17">
      <c r="A20" s="52" t="s">
        <v>527</v>
      </c>
      <c r="B20" s="53">
        <v>6.52</v>
      </c>
      <c r="C20" s="53">
        <v>25.12</v>
      </c>
      <c r="D20" s="53">
        <v>19.71</v>
      </c>
      <c r="E20" s="53">
        <v>7.91</v>
      </c>
      <c r="F20" s="53">
        <v>4.9800000000000004</v>
      </c>
      <c r="G20" s="53">
        <v>55.21</v>
      </c>
      <c r="H20" s="53">
        <v>23.83</v>
      </c>
      <c r="I20" s="53">
        <v>5.86</v>
      </c>
      <c r="J20" s="53">
        <v>0.38</v>
      </c>
      <c r="K20" s="53">
        <v>106.18</v>
      </c>
      <c r="L20" s="53">
        <v>30.29</v>
      </c>
      <c r="M20" s="53">
        <v>45.89</v>
      </c>
      <c r="N20" s="53">
        <v>536.79999999999995</v>
      </c>
      <c r="O20" s="53">
        <v>0</v>
      </c>
      <c r="P20" s="53">
        <v>0.6</v>
      </c>
      <c r="Q20" s="54">
        <v>4.32</v>
      </c>
    </row>
    <row r="21" spans="1:17">
      <c r="A21" s="52" t="s">
        <v>528</v>
      </c>
      <c r="B21" s="53">
        <v>4.7</v>
      </c>
      <c r="C21" s="53">
        <v>22.41</v>
      </c>
      <c r="D21" s="53">
        <v>16.829999999999998</v>
      </c>
      <c r="E21" s="53">
        <v>14.5</v>
      </c>
      <c r="F21" s="53">
        <v>21.16</v>
      </c>
      <c r="G21" s="53">
        <v>50.17</v>
      </c>
      <c r="H21" s="53">
        <v>23.83</v>
      </c>
      <c r="I21" s="53">
        <v>5.17</v>
      </c>
      <c r="J21" s="53">
        <v>0.38</v>
      </c>
      <c r="K21" s="53">
        <v>151.13999999999999</v>
      </c>
      <c r="L21" s="53">
        <v>30.93</v>
      </c>
      <c r="M21" s="53">
        <v>42.74</v>
      </c>
      <c r="N21" s="53">
        <v>566.5</v>
      </c>
      <c r="O21" s="53">
        <v>0</v>
      </c>
      <c r="P21" s="53">
        <v>0.53</v>
      </c>
      <c r="Q21" s="54">
        <v>4.22</v>
      </c>
    </row>
    <row r="22" spans="1:17">
      <c r="A22" s="52" t="s">
        <v>529</v>
      </c>
      <c r="B22" s="53">
        <v>2.87</v>
      </c>
      <c r="C22" s="53">
        <v>17.05</v>
      </c>
      <c r="D22" s="53">
        <v>12.56</v>
      </c>
      <c r="E22" s="53">
        <v>13.44</v>
      </c>
      <c r="F22" s="53">
        <v>23.08</v>
      </c>
      <c r="G22" s="53">
        <v>44.99</v>
      </c>
      <c r="H22" s="53">
        <v>19.88</v>
      </c>
      <c r="I22" s="53">
        <v>3.2</v>
      </c>
      <c r="J22" s="53">
        <v>0.37</v>
      </c>
      <c r="K22" s="53">
        <v>148.94999999999999</v>
      </c>
      <c r="L22" s="53">
        <v>30.99</v>
      </c>
      <c r="M22" s="53">
        <v>42.08</v>
      </c>
      <c r="N22" s="53">
        <v>484</v>
      </c>
      <c r="O22" s="53">
        <v>0</v>
      </c>
      <c r="P22" s="53">
        <v>0.41</v>
      </c>
      <c r="Q22" s="54">
        <v>4.18</v>
      </c>
    </row>
    <row r="23" spans="1:17">
      <c r="A23" s="52" t="s">
        <v>530</v>
      </c>
      <c r="B23" s="53">
        <v>3.37</v>
      </c>
      <c r="C23" s="53">
        <v>17.940000000000001</v>
      </c>
      <c r="D23" s="53">
        <v>12.44</v>
      </c>
      <c r="E23" s="53">
        <v>13.83</v>
      </c>
      <c r="F23" s="53">
        <v>23.57</v>
      </c>
      <c r="G23" s="53">
        <v>44.05</v>
      </c>
      <c r="H23" s="53">
        <v>18.32</v>
      </c>
      <c r="I23" s="53">
        <v>2.71</v>
      </c>
      <c r="J23" s="53">
        <v>0.32</v>
      </c>
      <c r="K23" s="53">
        <v>169.08</v>
      </c>
      <c r="L23" s="53">
        <v>30.08</v>
      </c>
      <c r="M23" s="53">
        <v>43.35</v>
      </c>
      <c r="N23" s="53">
        <v>155.5</v>
      </c>
      <c r="O23" s="53">
        <v>0</v>
      </c>
      <c r="P23" s="53">
        <v>0.37</v>
      </c>
      <c r="Q23" s="54">
        <v>4.1500000000000004</v>
      </c>
    </row>
    <row r="24" spans="1:17">
      <c r="A24" s="52" t="s">
        <v>531</v>
      </c>
      <c r="B24" s="53">
        <v>2.2799999999999998</v>
      </c>
      <c r="C24" s="53">
        <v>16.420000000000002</v>
      </c>
      <c r="D24" s="53">
        <v>11.59</v>
      </c>
      <c r="E24" s="53">
        <v>12.92</v>
      </c>
      <c r="F24" s="53">
        <v>23.72</v>
      </c>
      <c r="G24" s="53">
        <v>37.35</v>
      </c>
      <c r="H24" s="53">
        <v>17.34</v>
      </c>
      <c r="I24" s="53">
        <v>2.64</v>
      </c>
      <c r="J24" s="53">
        <v>0.27</v>
      </c>
      <c r="K24" s="53">
        <v>153.85</v>
      </c>
      <c r="L24" s="53">
        <v>29.01</v>
      </c>
      <c r="M24" s="53">
        <v>49.12</v>
      </c>
      <c r="N24" s="53">
        <v>87.5</v>
      </c>
      <c r="O24" s="53">
        <v>0</v>
      </c>
      <c r="P24" s="53">
        <v>0.37</v>
      </c>
      <c r="Q24" s="54">
        <v>4.13</v>
      </c>
    </row>
    <row r="25" spans="1:17">
      <c r="A25" s="52" t="s">
        <v>532</v>
      </c>
      <c r="B25" s="53">
        <v>3.09</v>
      </c>
      <c r="C25" s="53">
        <v>15.27</v>
      </c>
      <c r="D25" s="53">
        <v>11.63</v>
      </c>
      <c r="E25" s="53">
        <v>8.5500000000000007</v>
      </c>
      <c r="F25" s="53">
        <v>7.44</v>
      </c>
      <c r="G25" s="53">
        <v>37.1</v>
      </c>
      <c r="H25" s="53">
        <v>14.9</v>
      </c>
      <c r="I25" s="53">
        <v>2.5499999999999998</v>
      </c>
      <c r="J25" s="53">
        <v>0.22</v>
      </c>
      <c r="K25" s="53">
        <v>166.78</v>
      </c>
      <c r="L25" s="53">
        <v>27.56</v>
      </c>
      <c r="M25" s="53">
        <v>51.42</v>
      </c>
      <c r="N25" s="53">
        <v>34</v>
      </c>
      <c r="O25" s="53">
        <v>0</v>
      </c>
      <c r="P25" s="53">
        <v>0.35</v>
      </c>
      <c r="Q25" s="54">
        <v>4.09</v>
      </c>
    </row>
    <row r="26" spans="1:17">
      <c r="A26" s="52" t="s">
        <v>533</v>
      </c>
      <c r="B26" s="53">
        <v>3.97</v>
      </c>
      <c r="C26" s="53">
        <v>16.46</v>
      </c>
      <c r="D26" s="53">
        <v>13.03</v>
      </c>
      <c r="E26" s="53">
        <v>7.39</v>
      </c>
      <c r="F26" s="53">
        <v>3.9</v>
      </c>
      <c r="G26" s="53">
        <v>37.5</v>
      </c>
      <c r="H26" s="53">
        <v>14.9</v>
      </c>
      <c r="I26" s="53">
        <v>2.37</v>
      </c>
      <c r="J26" s="53">
        <v>0.2</v>
      </c>
      <c r="K26" s="53">
        <v>199.15</v>
      </c>
      <c r="L26" s="53">
        <v>25.63</v>
      </c>
      <c r="M26" s="53">
        <v>65.680000000000007</v>
      </c>
      <c r="N26" s="53">
        <v>0</v>
      </c>
      <c r="O26" s="53">
        <v>0</v>
      </c>
      <c r="P26" s="53">
        <v>0.37</v>
      </c>
      <c r="Q26" s="54">
        <v>4.1399999999999997</v>
      </c>
    </row>
    <row r="27" spans="1:17">
      <c r="A27" s="52" t="s">
        <v>534</v>
      </c>
      <c r="B27" s="53">
        <v>5.17</v>
      </c>
      <c r="C27" s="53">
        <v>18.88</v>
      </c>
      <c r="D27" s="53">
        <v>15.36</v>
      </c>
      <c r="E27" s="53">
        <v>7.18</v>
      </c>
      <c r="F27" s="53">
        <v>3.19</v>
      </c>
      <c r="G27" s="53">
        <v>52.14</v>
      </c>
      <c r="H27" s="53">
        <v>18.149999999999999</v>
      </c>
      <c r="I27" s="53">
        <v>3.18</v>
      </c>
      <c r="J27" s="53">
        <v>0.17</v>
      </c>
      <c r="K27" s="53">
        <v>225.35</v>
      </c>
      <c r="L27" s="53">
        <v>23.53</v>
      </c>
      <c r="M27" s="53">
        <v>73.069999999999993</v>
      </c>
      <c r="N27" s="53">
        <v>0</v>
      </c>
      <c r="O27" s="53">
        <v>0</v>
      </c>
      <c r="P27" s="53">
        <v>0.42</v>
      </c>
      <c r="Q27" s="54">
        <v>4.2</v>
      </c>
    </row>
    <row r="28" spans="1:17">
      <c r="A28" s="52" t="s">
        <v>535</v>
      </c>
      <c r="B28" s="53">
        <v>6.35</v>
      </c>
      <c r="C28" s="53">
        <v>20.32</v>
      </c>
      <c r="D28" s="53">
        <v>17.059999999999999</v>
      </c>
      <c r="E28" s="53">
        <v>7.5</v>
      </c>
      <c r="F28" s="53">
        <v>3.01</v>
      </c>
      <c r="G28" s="53">
        <v>72.680000000000007</v>
      </c>
      <c r="H28" s="53">
        <v>21.11</v>
      </c>
      <c r="I28" s="53">
        <v>3.57</v>
      </c>
      <c r="J28" s="53">
        <v>0.2</v>
      </c>
      <c r="K28" s="53">
        <v>226.7</v>
      </c>
      <c r="L28" s="53">
        <v>22.49</v>
      </c>
      <c r="M28" s="53">
        <v>79.150000000000006</v>
      </c>
      <c r="N28" s="53">
        <v>0</v>
      </c>
      <c r="O28" s="53">
        <v>0</v>
      </c>
      <c r="P28" s="53">
        <v>0.45</v>
      </c>
      <c r="Q28" s="54">
        <v>4.25</v>
      </c>
    </row>
    <row r="29" spans="1:17">
      <c r="A29" s="52" t="s">
        <v>536</v>
      </c>
      <c r="B29" s="53">
        <v>6.43</v>
      </c>
      <c r="C29" s="53">
        <v>21.98</v>
      </c>
      <c r="D29" s="53">
        <v>17.63</v>
      </c>
      <c r="E29" s="53">
        <v>8.36</v>
      </c>
      <c r="F29" s="53">
        <v>3.36</v>
      </c>
      <c r="G29" s="53">
        <v>72.930000000000007</v>
      </c>
      <c r="H29" s="53">
        <v>21.27</v>
      </c>
      <c r="I29" s="53">
        <v>3.98</v>
      </c>
      <c r="J29" s="53">
        <v>0.28000000000000003</v>
      </c>
      <c r="K29" s="53">
        <v>229.65</v>
      </c>
      <c r="L29" s="53">
        <v>22.12</v>
      </c>
      <c r="M29" s="53">
        <v>80.95</v>
      </c>
      <c r="N29" s="53">
        <v>0</v>
      </c>
      <c r="O29" s="53">
        <v>0</v>
      </c>
      <c r="P29" s="53">
        <v>0.51</v>
      </c>
      <c r="Q29" s="54">
        <v>4.28</v>
      </c>
    </row>
    <row r="30" spans="1:17">
      <c r="A30" s="52" t="s">
        <v>537</v>
      </c>
      <c r="B30" s="53">
        <v>5.52</v>
      </c>
      <c r="C30" s="53">
        <v>22.07</v>
      </c>
      <c r="D30" s="53">
        <v>17.309999999999999</v>
      </c>
      <c r="E30" s="53">
        <v>8.32</v>
      </c>
      <c r="F30" s="53">
        <v>3.53</v>
      </c>
      <c r="G30" s="53">
        <v>77.86</v>
      </c>
      <c r="H30" s="53">
        <v>21.27</v>
      </c>
      <c r="I30" s="53">
        <v>4.28</v>
      </c>
      <c r="J30" s="53">
        <v>0.18</v>
      </c>
      <c r="K30" s="53">
        <v>164.58</v>
      </c>
      <c r="L30" s="53">
        <v>21.88</v>
      </c>
      <c r="M30" s="53">
        <v>78.05</v>
      </c>
      <c r="N30" s="53">
        <v>0</v>
      </c>
      <c r="O30" s="53">
        <v>0</v>
      </c>
      <c r="P30" s="53">
        <v>0.52</v>
      </c>
      <c r="Q30" s="54">
        <v>4.25</v>
      </c>
    </row>
    <row r="31" spans="1:17">
      <c r="A31" s="52" t="s">
        <v>538</v>
      </c>
      <c r="B31" s="53">
        <v>4.84</v>
      </c>
      <c r="C31" s="53">
        <v>21.25</v>
      </c>
      <c r="D31" s="53">
        <v>16.32</v>
      </c>
      <c r="E31" s="53">
        <v>8.56</v>
      </c>
      <c r="F31" s="53">
        <v>3.74</v>
      </c>
      <c r="G31" s="53">
        <v>77.86</v>
      </c>
      <c r="H31" s="53">
        <v>20.6</v>
      </c>
      <c r="I31" s="53">
        <v>4.38</v>
      </c>
      <c r="J31" s="53">
        <v>0.18</v>
      </c>
      <c r="K31" s="53">
        <v>186.68</v>
      </c>
      <c r="L31" s="53">
        <v>21.16</v>
      </c>
      <c r="M31" s="53">
        <v>77.790000000000006</v>
      </c>
      <c r="N31" s="53">
        <v>0</v>
      </c>
      <c r="O31" s="53">
        <v>0</v>
      </c>
      <c r="P31" s="53">
        <v>0.51</v>
      </c>
      <c r="Q31" s="54">
        <v>4.22</v>
      </c>
    </row>
    <row r="32" spans="1:17">
      <c r="A32" s="52" t="s">
        <v>539</v>
      </c>
      <c r="B32" s="53">
        <v>4.7300000000000004</v>
      </c>
      <c r="C32" s="53">
        <v>20.56</v>
      </c>
      <c r="D32" s="53">
        <v>15.89</v>
      </c>
      <c r="E32" s="53">
        <v>8.35</v>
      </c>
      <c r="F32" s="53">
        <v>4</v>
      </c>
      <c r="G32" s="53">
        <v>62.18</v>
      </c>
      <c r="H32" s="53">
        <v>20.6</v>
      </c>
      <c r="I32" s="53">
        <v>4.41</v>
      </c>
      <c r="J32" s="53">
        <v>0.12</v>
      </c>
      <c r="K32" s="53">
        <v>240.65</v>
      </c>
      <c r="L32" s="53">
        <v>20.84</v>
      </c>
      <c r="M32" s="53">
        <v>83.21</v>
      </c>
      <c r="N32" s="53">
        <v>0</v>
      </c>
      <c r="O32" s="53">
        <v>0</v>
      </c>
      <c r="P32" s="53">
        <v>0.5</v>
      </c>
      <c r="Q32" s="54">
        <v>4.1900000000000004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2.2799999999999998</v>
      </c>
      <c r="C34" s="40">
        <f t="shared" si="0"/>
        <v>15.27</v>
      </c>
      <c r="D34" s="40">
        <f t="shared" si="0"/>
        <v>11.59</v>
      </c>
      <c r="E34" s="40">
        <f t="shared" si="0"/>
        <v>6.29</v>
      </c>
      <c r="F34" s="40">
        <f t="shared" si="0"/>
        <v>2.64</v>
      </c>
      <c r="G34" s="40">
        <f t="shared" si="0"/>
        <v>37.1</v>
      </c>
      <c r="H34" s="40">
        <f t="shared" si="0"/>
        <v>14.9</v>
      </c>
      <c r="I34" s="40">
        <f t="shared" si="0"/>
        <v>2.37</v>
      </c>
      <c r="J34" s="40">
        <f t="shared" si="0"/>
        <v>0.12</v>
      </c>
      <c r="K34" s="40">
        <f t="shared" si="0"/>
        <v>40.78</v>
      </c>
      <c r="L34" s="40">
        <f t="shared" si="0"/>
        <v>19.32</v>
      </c>
      <c r="M34" s="40">
        <f t="shared" si="0"/>
        <v>42.08</v>
      </c>
      <c r="N34" s="40">
        <f t="shared" si="0"/>
        <v>0</v>
      </c>
      <c r="O34" s="40">
        <f t="shared" si="0"/>
        <v>0</v>
      </c>
      <c r="P34" s="40">
        <f t="shared" si="0"/>
        <v>0.35</v>
      </c>
      <c r="Q34" s="40">
        <f t="shared" si="0"/>
        <v>4.09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16.940000000000001</v>
      </c>
      <c r="C35" s="33">
        <f t="shared" si="1"/>
        <v>26.58</v>
      </c>
      <c r="D35" s="33">
        <f t="shared" si="1"/>
        <v>27.27</v>
      </c>
      <c r="E35" s="33">
        <f t="shared" si="1"/>
        <v>14.5</v>
      </c>
      <c r="F35" s="33">
        <f t="shared" si="1"/>
        <v>23.72</v>
      </c>
      <c r="G35" s="33">
        <f t="shared" si="1"/>
        <v>77.86</v>
      </c>
      <c r="H35" s="33">
        <f t="shared" si="1"/>
        <v>32.28</v>
      </c>
      <c r="I35" s="33">
        <f t="shared" si="1"/>
        <v>7.39</v>
      </c>
      <c r="J35" s="33">
        <f t="shared" si="1"/>
        <v>0.66</v>
      </c>
      <c r="K35" s="33">
        <f t="shared" si="1"/>
        <v>240.65</v>
      </c>
      <c r="L35" s="33">
        <f t="shared" si="1"/>
        <v>30.99</v>
      </c>
      <c r="M35" s="33">
        <f t="shared" si="1"/>
        <v>95.06</v>
      </c>
      <c r="N35" s="33">
        <f t="shared" si="1"/>
        <v>566.5</v>
      </c>
      <c r="O35" s="33">
        <f t="shared" si="1"/>
        <v>0</v>
      </c>
      <c r="P35" s="33">
        <f t="shared" si="1"/>
        <v>0.76</v>
      </c>
      <c r="Q35" s="33">
        <f t="shared" si="1"/>
        <v>4.6900000000000004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8.6291666666666664</v>
      </c>
      <c r="C36" s="40">
        <f t="shared" si="2"/>
        <v>22.033333333333331</v>
      </c>
      <c r="D36" s="40">
        <f t="shared" si="2"/>
        <v>19.535833333333329</v>
      </c>
      <c r="E36" s="40">
        <f t="shared" si="2"/>
        <v>9.0520833333333321</v>
      </c>
      <c r="F36" s="40">
        <f t="shared" si="2"/>
        <v>6.7758333333333338</v>
      </c>
      <c r="G36" s="40">
        <f t="shared" si="2"/>
        <v>56.85916666666666</v>
      </c>
      <c r="H36" s="40">
        <f t="shared" si="2"/>
        <v>21.70333333333333</v>
      </c>
      <c r="I36" s="40">
        <f t="shared" si="2"/>
        <v>4.7949999999999999</v>
      </c>
      <c r="J36" s="40">
        <f t="shared" si="2"/>
        <v>0.29041666666666666</v>
      </c>
      <c r="K36" s="40">
        <f t="shared" si="2"/>
        <v>151.3758333333333</v>
      </c>
      <c r="L36" s="40">
        <f t="shared" si="2"/>
        <v>24.349166666666665</v>
      </c>
      <c r="M36" s="40">
        <f t="shared" si="2"/>
        <v>72.020833333333329</v>
      </c>
      <c r="N36" s="40">
        <f t="shared" si="2"/>
        <v>139.39583333333334</v>
      </c>
      <c r="O36" s="40">
        <f t="shared" si="2"/>
        <v>0</v>
      </c>
      <c r="P36" s="40">
        <f t="shared" si="2"/>
        <v>0.5299999999999998</v>
      </c>
      <c r="Q36" s="40">
        <f t="shared" si="2"/>
        <v>4.3695833333333329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4.8628162502872785</v>
      </c>
      <c r="C37" s="40">
        <f t="shared" ref="C37:Q37" si="3">STDEV(C9:C32)</f>
        <v>3.4667760573599495</v>
      </c>
      <c r="D37" s="40">
        <f t="shared" si="3"/>
        <v>5.325500520805674</v>
      </c>
      <c r="E37" s="40">
        <f t="shared" si="3"/>
        <v>2.2171230460778029</v>
      </c>
      <c r="F37" s="40">
        <f t="shared" si="3"/>
        <v>7.437506546093819</v>
      </c>
      <c r="G37" s="40">
        <f t="shared" si="3"/>
        <v>13.00314039549399</v>
      </c>
      <c r="H37" s="40">
        <f t="shared" si="3"/>
        <v>3.7918019883481313</v>
      </c>
      <c r="I37" s="40">
        <f t="shared" si="3"/>
        <v>1.4838727239455443</v>
      </c>
      <c r="J37" s="40">
        <f t="shared" si="3"/>
        <v>0.14860157312838881</v>
      </c>
      <c r="K37" s="40">
        <f t="shared" si="3"/>
        <v>63.995164961157869</v>
      </c>
      <c r="L37" s="40">
        <f t="shared" si="3"/>
        <v>4.0773807840292422</v>
      </c>
      <c r="M37" s="40">
        <f t="shared" si="3"/>
        <v>18.267491181275282</v>
      </c>
      <c r="N37" s="40">
        <f t="shared" si="3"/>
        <v>208.99517464612026</v>
      </c>
      <c r="O37" s="40">
        <f t="shared" si="3"/>
        <v>0</v>
      </c>
      <c r="P37" s="40">
        <f t="shared" si="3"/>
        <v>0.10990114134787415</v>
      </c>
      <c r="Q37" s="40">
        <f t="shared" si="3"/>
        <v>0.20022767837741917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21/11/2023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52" t="s">
        <v>540</v>
      </c>
      <c r="B9" s="53">
        <v>4.5</v>
      </c>
      <c r="C9" s="53">
        <v>19.93</v>
      </c>
      <c r="D9" s="53">
        <v>15.33</v>
      </c>
      <c r="E9" s="53">
        <v>8.44</v>
      </c>
      <c r="F9" s="53">
        <v>3.76</v>
      </c>
      <c r="G9" s="53">
        <v>59.55</v>
      </c>
      <c r="H9" s="53">
        <v>19.149999999999999</v>
      </c>
      <c r="I9" s="53">
        <v>4.2699999999999996</v>
      </c>
      <c r="J9" s="53">
        <v>0.1</v>
      </c>
      <c r="K9" s="53">
        <v>222.47</v>
      </c>
      <c r="L9" s="53">
        <v>20.14</v>
      </c>
      <c r="M9" s="53">
        <v>85.13</v>
      </c>
      <c r="N9" s="53">
        <v>0</v>
      </c>
      <c r="O9" s="53">
        <v>0</v>
      </c>
      <c r="P9" s="53">
        <v>0.48</v>
      </c>
      <c r="Q9" s="54">
        <v>4.2</v>
      </c>
    </row>
    <row r="10" spans="1:21">
      <c r="A10" s="52" t="s">
        <v>541</v>
      </c>
      <c r="B10" s="53">
        <v>5.49</v>
      </c>
      <c r="C10" s="53">
        <v>18.920000000000002</v>
      </c>
      <c r="D10" s="53">
        <v>14.93</v>
      </c>
      <c r="E10" s="53">
        <v>8.1300000000000008</v>
      </c>
      <c r="F10" s="53">
        <v>3.49</v>
      </c>
      <c r="G10" s="53">
        <v>50</v>
      </c>
      <c r="H10" s="53">
        <v>19.149999999999999</v>
      </c>
      <c r="I10" s="53">
        <v>4.07</v>
      </c>
      <c r="J10" s="53">
        <v>0.11</v>
      </c>
      <c r="K10" s="53">
        <v>248.35</v>
      </c>
      <c r="L10" s="53">
        <v>19.53</v>
      </c>
      <c r="M10" s="53">
        <v>88.75</v>
      </c>
      <c r="N10" s="53">
        <v>0</v>
      </c>
      <c r="O10" s="53">
        <v>0</v>
      </c>
      <c r="P10" s="53">
        <v>0.46</v>
      </c>
      <c r="Q10" s="54">
        <v>4.22</v>
      </c>
    </row>
    <row r="11" spans="1:21">
      <c r="A11" s="52" t="s">
        <v>542</v>
      </c>
      <c r="B11" s="53">
        <v>7.94</v>
      </c>
      <c r="C11" s="53">
        <v>19.89</v>
      </c>
      <c r="D11" s="53">
        <v>18.11</v>
      </c>
      <c r="E11" s="53">
        <v>7.46</v>
      </c>
      <c r="F11" s="53">
        <v>2.72</v>
      </c>
      <c r="G11" s="53">
        <v>50.16</v>
      </c>
      <c r="H11" s="53">
        <v>17.649999999999999</v>
      </c>
      <c r="I11" s="53">
        <v>4.09</v>
      </c>
      <c r="J11" s="53">
        <v>0.11</v>
      </c>
      <c r="K11" s="53">
        <v>252.42</v>
      </c>
      <c r="L11" s="53">
        <v>19.399999999999999</v>
      </c>
      <c r="M11" s="53">
        <v>91.64</v>
      </c>
      <c r="N11" s="53">
        <v>0</v>
      </c>
      <c r="O11" s="53">
        <v>0</v>
      </c>
      <c r="P11" s="53">
        <v>0.45</v>
      </c>
      <c r="Q11" s="54">
        <v>4.2699999999999996</v>
      </c>
    </row>
    <row r="12" spans="1:21">
      <c r="A12" s="52" t="s">
        <v>543</v>
      </c>
      <c r="B12" s="53">
        <v>8.9499999999999993</v>
      </c>
      <c r="C12" s="53">
        <v>20.74</v>
      </c>
      <c r="D12" s="53">
        <v>19.36</v>
      </c>
      <c r="E12" s="53">
        <v>7.44</v>
      </c>
      <c r="F12" s="53">
        <v>2.81</v>
      </c>
      <c r="G12" s="53">
        <v>50.9</v>
      </c>
      <c r="H12" s="53">
        <v>16.53</v>
      </c>
      <c r="I12" s="53">
        <v>4.3</v>
      </c>
      <c r="J12" s="53">
        <v>0.45</v>
      </c>
      <c r="K12" s="53">
        <v>56.27</v>
      </c>
      <c r="L12" s="53">
        <v>19.2</v>
      </c>
      <c r="M12" s="53">
        <v>89.42</v>
      </c>
      <c r="N12" s="53">
        <v>0</v>
      </c>
      <c r="O12" s="53">
        <v>0</v>
      </c>
      <c r="P12" s="53">
        <v>0.47</v>
      </c>
      <c r="Q12" s="54">
        <v>4.34</v>
      </c>
    </row>
    <row r="13" spans="1:21">
      <c r="A13" s="52" t="s">
        <v>544</v>
      </c>
      <c r="B13" s="53">
        <v>10.29</v>
      </c>
      <c r="C13" s="53">
        <v>21.02</v>
      </c>
      <c r="D13" s="53">
        <v>20.350000000000001</v>
      </c>
      <c r="E13" s="53">
        <v>7.72</v>
      </c>
      <c r="F13" s="53">
        <v>2.88</v>
      </c>
      <c r="G13" s="53">
        <v>51.34</v>
      </c>
      <c r="H13" s="53">
        <v>19.440000000000001</v>
      </c>
      <c r="I13" s="53">
        <v>4.3600000000000003</v>
      </c>
      <c r="J13" s="53">
        <v>0.14000000000000001</v>
      </c>
      <c r="K13" s="53">
        <v>321.61</v>
      </c>
      <c r="L13" s="53">
        <v>18.93</v>
      </c>
      <c r="M13" s="53">
        <v>91.78</v>
      </c>
      <c r="N13" s="53">
        <v>0</v>
      </c>
      <c r="O13" s="53">
        <v>0</v>
      </c>
      <c r="P13" s="53">
        <v>0.47</v>
      </c>
      <c r="Q13" s="54">
        <v>4.41</v>
      </c>
    </row>
    <row r="14" spans="1:21">
      <c r="A14" s="52" t="s">
        <v>545</v>
      </c>
      <c r="B14" s="53">
        <v>12.13</v>
      </c>
      <c r="C14" s="53">
        <v>22.01</v>
      </c>
      <c r="D14" s="53">
        <v>22.58</v>
      </c>
      <c r="E14" s="53">
        <v>7.77</v>
      </c>
      <c r="F14" s="53">
        <v>2.61</v>
      </c>
      <c r="G14" s="53">
        <v>51.34</v>
      </c>
      <c r="H14" s="53">
        <v>19.440000000000001</v>
      </c>
      <c r="I14" s="53">
        <v>4.54</v>
      </c>
      <c r="J14" s="53">
        <v>0.22</v>
      </c>
      <c r="K14" s="53">
        <v>169.63</v>
      </c>
      <c r="L14" s="53">
        <v>18.670000000000002</v>
      </c>
      <c r="M14" s="53">
        <v>90.07</v>
      </c>
      <c r="N14" s="53">
        <v>0</v>
      </c>
      <c r="O14" s="53">
        <v>0</v>
      </c>
      <c r="P14" s="53">
        <v>0.5</v>
      </c>
      <c r="Q14" s="54">
        <v>4.47</v>
      </c>
    </row>
    <row r="15" spans="1:21">
      <c r="A15" s="52" t="s">
        <v>546</v>
      </c>
      <c r="B15" s="53">
        <v>14.65</v>
      </c>
      <c r="C15" s="53">
        <v>25.72</v>
      </c>
      <c r="D15" s="53">
        <v>26.54</v>
      </c>
      <c r="E15" s="53">
        <v>8.41</v>
      </c>
      <c r="F15" s="53">
        <v>2.76</v>
      </c>
      <c r="G15" s="53">
        <v>52.67</v>
      </c>
      <c r="H15" s="53">
        <v>21.31</v>
      </c>
      <c r="I15" s="53">
        <v>4.82</v>
      </c>
      <c r="J15" s="53">
        <v>0.33</v>
      </c>
      <c r="K15" s="53">
        <v>56.39</v>
      </c>
      <c r="L15" s="53">
        <v>19.18</v>
      </c>
      <c r="M15" s="53">
        <v>88.89</v>
      </c>
      <c r="N15" s="53">
        <v>18.8</v>
      </c>
      <c r="O15" s="53">
        <v>0</v>
      </c>
      <c r="P15" s="53">
        <v>0.6</v>
      </c>
      <c r="Q15" s="54">
        <v>4.59</v>
      </c>
    </row>
    <row r="16" spans="1:21">
      <c r="A16" s="52" t="s">
        <v>547</v>
      </c>
      <c r="B16" s="53">
        <v>15.13</v>
      </c>
      <c r="C16" s="53">
        <v>27.4</v>
      </c>
      <c r="D16" s="53">
        <v>27.58</v>
      </c>
      <c r="E16" s="53">
        <v>8.9600000000000009</v>
      </c>
      <c r="F16" s="53">
        <v>2.72</v>
      </c>
      <c r="G16" s="53">
        <v>57.94</v>
      </c>
      <c r="H16" s="53">
        <v>23</v>
      </c>
      <c r="I16" s="53">
        <v>5.44</v>
      </c>
      <c r="J16" s="53">
        <v>0.53</v>
      </c>
      <c r="K16" s="53">
        <v>56.67</v>
      </c>
      <c r="L16" s="53">
        <v>21.36</v>
      </c>
      <c r="M16" s="53">
        <v>85.41</v>
      </c>
      <c r="N16" s="53">
        <v>169.5</v>
      </c>
      <c r="O16" s="53">
        <v>0</v>
      </c>
      <c r="P16" s="53">
        <v>0.68</v>
      </c>
      <c r="Q16" s="54">
        <v>4.66</v>
      </c>
    </row>
    <row r="17" spans="1:17">
      <c r="A17" s="52" t="s">
        <v>548</v>
      </c>
      <c r="B17" s="53">
        <v>14.89</v>
      </c>
      <c r="C17" s="53">
        <v>28.29</v>
      </c>
      <c r="D17" s="53">
        <v>27.77</v>
      </c>
      <c r="E17" s="53">
        <v>9.08</v>
      </c>
      <c r="F17" s="53">
        <v>3.17</v>
      </c>
      <c r="G17" s="53">
        <v>69.84</v>
      </c>
      <c r="H17" s="53">
        <v>24.96</v>
      </c>
      <c r="I17" s="53">
        <v>6.1</v>
      </c>
      <c r="J17" s="53">
        <v>0.56999999999999995</v>
      </c>
      <c r="K17" s="53">
        <v>63.42</v>
      </c>
      <c r="L17" s="53">
        <v>24.93</v>
      </c>
      <c r="M17" s="53">
        <v>75.22</v>
      </c>
      <c r="N17" s="53">
        <v>321.89999999999998</v>
      </c>
      <c r="O17" s="53">
        <v>0</v>
      </c>
      <c r="P17" s="53">
        <v>0.71</v>
      </c>
      <c r="Q17" s="54">
        <v>4.62</v>
      </c>
    </row>
    <row r="18" spans="1:17">
      <c r="A18" s="52" t="s">
        <v>549</v>
      </c>
      <c r="B18" s="53">
        <v>10.16</v>
      </c>
      <c r="C18" s="53">
        <v>27.99</v>
      </c>
      <c r="D18" s="53">
        <v>24.13</v>
      </c>
      <c r="E18" s="53">
        <v>9.09</v>
      </c>
      <c r="F18" s="53">
        <v>3.57</v>
      </c>
      <c r="G18" s="53">
        <v>69.84</v>
      </c>
      <c r="H18" s="53">
        <v>24.99</v>
      </c>
      <c r="I18" s="53">
        <v>6.24</v>
      </c>
      <c r="J18" s="53">
        <v>0.68</v>
      </c>
      <c r="K18" s="53">
        <v>64.3</v>
      </c>
      <c r="L18" s="53">
        <v>26.81</v>
      </c>
      <c r="M18" s="53">
        <v>62.86</v>
      </c>
      <c r="N18" s="53">
        <v>442.7</v>
      </c>
      <c r="O18" s="53">
        <v>0</v>
      </c>
      <c r="P18" s="53">
        <v>0.73</v>
      </c>
      <c r="Q18" s="54">
        <v>4.4800000000000004</v>
      </c>
    </row>
    <row r="19" spans="1:17">
      <c r="A19" s="52" t="s">
        <v>550</v>
      </c>
      <c r="B19" s="53">
        <v>7.12</v>
      </c>
      <c r="C19" s="53">
        <v>27.66</v>
      </c>
      <c r="D19" s="53">
        <v>21.52</v>
      </c>
      <c r="E19" s="53">
        <v>10.220000000000001</v>
      </c>
      <c r="F19" s="53">
        <v>4.24</v>
      </c>
      <c r="G19" s="53">
        <v>66.23</v>
      </c>
      <c r="H19" s="53">
        <v>24.99</v>
      </c>
      <c r="I19" s="53">
        <v>6.1</v>
      </c>
      <c r="J19" s="53">
        <v>0.55000000000000004</v>
      </c>
      <c r="K19" s="53">
        <v>107.68</v>
      </c>
      <c r="L19" s="53">
        <v>28.69</v>
      </c>
      <c r="M19" s="53">
        <v>55.82</v>
      </c>
      <c r="N19" s="53">
        <v>520.79999999999995</v>
      </c>
      <c r="O19" s="53">
        <v>0</v>
      </c>
      <c r="P19" s="53">
        <v>0.73</v>
      </c>
      <c r="Q19" s="54">
        <v>4.33</v>
      </c>
    </row>
    <row r="20" spans="1:17">
      <c r="A20" s="52" t="s">
        <v>551</v>
      </c>
      <c r="B20" s="53">
        <v>5.38</v>
      </c>
      <c r="C20" s="53">
        <v>25.25</v>
      </c>
      <c r="D20" s="53">
        <v>18.86</v>
      </c>
      <c r="E20" s="53">
        <v>10.29</v>
      </c>
      <c r="F20" s="53">
        <v>5.23</v>
      </c>
      <c r="G20" s="53">
        <v>65.650000000000006</v>
      </c>
      <c r="H20" s="53">
        <v>24.48</v>
      </c>
      <c r="I20" s="53">
        <v>5.83</v>
      </c>
      <c r="J20" s="53">
        <v>0.33</v>
      </c>
      <c r="K20" s="53">
        <v>138.88</v>
      </c>
      <c r="L20" s="53">
        <v>29.92</v>
      </c>
      <c r="M20" s="53">
        <v>45.28</v>
      </c>
      <c r="N20" s="53">
        <v>597.4</v>
      </c>
      <c r="O20" s="53">
        <v>0</v>
      </c>
      <c r="P20" s="53">
        <v>0.69</v>
      </c>
      <c r="Q20" s="54">
        <v>4.26</v>
      </c>
    </row>
    <row r="21" spans="1:17">
      <c r="A21" s="52" t="s">
        <v>552</v>
      </c>
      <c r="B21" s="53">
        <v>5.78</v>
      </c>
      <c r="C21" s="53">
        <v>20.79</v>
      </c>
      <c r="D21" s="53">
        <v>16.66</v>
      </c>
      <c r="E21" s="53">
        <v>10.45</v>
      </c>
      <c r="F21" s="53">
        <v>4.4800000000000004</v>
      </c>
      <c r="G21" s="53">
        <v>59.56</v>
      </c>
      <c r="H21" s="53">
        <v>22.06</v>
      </c>
      <c r="I21" s="53">
        <v>5.45</v>
      </c>
      <c r="J21" s="53">
        <v>0.55000000000000004</v>
      </c>
      <c r="K21" s="53">
        <v>353.63</v>
      </c>
      <c r="L21" s="53">
        <v>29.8</v>
      </c>
      <c r="M21" s="53">
        <v>45.64</v>
      </c>
      <c r="N21" s="53">
        <v>543.9</v>
      </c>
      <c r="O21" s="53">
        <v>0</v>
      </c>
      <c r="P21" s="53">
        <v>0.64</v>
      </c>
      <c r="Q21" s="54">
        <v>4.1900000000000004</v>
      </c>
    </row>
    <row r="22" spans="1:17">
      <c r="A22" s="52" t="s">
        <v>553</v>
      </c>
      <c r="B22" s="53">
        <v>5.84</v>
      </c>
      <c r="C22" s="53">
        <v>19.96</v>
      </c>
      <c r="D22" s="53">
        <v>16.46</v>
      </c>
      <c r="E22" s="53">
        <v>9.76</v>
      </c>
      <c r="F22" s="53">
        <v>5.5</v>
      </c>
      <c r="G22" s="53">
        <v>59.56</v>
      </c>
      <c r="H22" s="53">
        <v>22.06</v>
      </c>
      <c r="I22" s="53">
        <v>5.31</v>
      </c>
      <c r="J22" s="53">
        <v>0.43</v>
      </c>
      <c r="K22" s="53">
        <v>79.31</v>
      </c>
      <c r="L22" s="53">
        <v>30.08</v>
      </c>
      <c r="M22" s="53">
        <v>45.51</v>
      </c>
      <c r="N22" s="53">
        <v>504.1</v>
      </c>
      <c r="O22" s="53">
        <v>0</v>
      </c>
      <c r="P22" s="53">
        <v>0.61</v>
      </c>
      <c r="Q22" s="54">
        <v>4.2</v>
      </c>
    </row>
    <row r="23" spans="1:17">
      <c r="A23" s="52" t="s">
        <v>554</v>
      </c>
      <c r="B23" s="53">
        <v>5.62</v>
      </c>
      <c r="C23" s="53">
        <v>19.87</v>
      </c>
      <c r="D23" s="53">
        <v>16.239999999999998</v>
      </c>
      <c r="E23" s="53">
        <v>9.23</v>
      </c>
      <c r="F23" s="53">
        <v>5.37</v>
      </c>
      <c r="G23" s="53">
        <v>55.95</v>
      </c>
      <c r="H23" s="53">
        <v>21.99</v>
      </c>
      <c r="I23" s="53">
        <v>5.12</v>
      </c>
      <c r="J23" s="53">
        <v>0.57999999999999996</v>
      </c>
      <c r="K23" s="53">
        <v>173.39</v>
      </c>
      <c r="L23" s="53">
        <v>29.53</v>
      </c>
      <c r="M23" s="53">
        <v>45.76</v>
      </c>
      <c r="N23" s="53">
        <v>166.8</v>
      </c>
      <c r="O23" s="53">
        <v>0</v>
      </c>
      <c r="P23" s="53">
        <v>0.62</v>
      </c>
      <c r="Q23" s="54">
        <v>4.18</v>
      </c>
    </row>
    <row r="24" spans="1:17">
      <c r="A24" s="52" t="s">
        <v>555</v>
      </c>
      <c r="B24" s="53">
        <v>5.32</v>
      </c>
      <c r="C24" s="53">
        <v>19.559999999999999</v>
      </c>
      <c r="D24" s="53">
        <v>15.73</v>
      </c>
      <c r="E24" s="53">
        <v>10.73</v>
      </c>
      <c r="F24" s="53">
        <v>7.49</v>
      </c>
      <c r="G24" s="53">
        <v>55.37</v>
      </c>
      <c r="H24" s="53">
        <v>21.99</v>
      </c>
      <c r="I24" s="53">
        <v>4.99</v>
      </c>
      <c r="J24" s="53">
        <v>0.35</v>
      </c>
      <c r="K24" s="53">
        <v>95.16</v>
      </c>
      <c r="L24" s="53">
        <v>28.7</v>
      </c>
      <c r="M24" s="53">
        <v>45.45</v>
      </c>
      <c r="N24" s="53">
        <v>67.8</v>
      </c>
      <c r="O24" s="53">
        <v>0</v>
      </c>
      <c r="P24" s="53">
        <v>0.61</v>
      </c>
      <c r="Q24" s="54">
        <v>4.1900000000000004</v>
      </c>
    </row>
    <row r="25" spans="1:17">
      <c r="A25" s="52" t="s">
        <v>556</v>
      </c>
      <c r="B25" s="53">
        <v>4.7699999999999996</v>
      </c>
      <c r="C25" s="53">
        <v>22.82</v>
      </c>
      <c r="D25" s="53">
        <v>16.71</v>
      </c>
      <c r="E25" s="53">
        <v>9.5399999999999991</v>
      </c>
      <c r="F25" s="53">
        <v>4.87</v>
      </c>
      <c r="G25" s="53">
        <v>54.21</v>
      </c>
      <c r="H25" s="53">
        <v>23.16</v>
      </c>
      <c r="I25" s="53">
        <v>4.84</v>
      </c>
      <c r="J25" s="53">
        <v>0.21</v>
      </c>
      <c r="K25" s="53">
        <v>165.41</v>
      </c>
      <c r="L25" s="53">
        <v>28.31</v>
      </c>
      <c r="M25" s="53">
        <v>52.86</v>
      </c>
      <c r="N25" s="53">
        <v>33.700000000000003</v>
      </c>
      <c r="O25" s="53">
        <v>0</v>
      </c>
      <c r="P25" s="53">
        <v>0.6</v>
      </c>
      <c r="Q25" s="54">
        <v>4.16</v>
      </c>
    </row>
    <row r="26" spans="1:17">
      <c r="A26" s="52" t="s">
        <v>557</v>
      </c>
      <c r="B26" s="53">
        <v>4.99</v>
      </c>
      <c r="C26" s="53">
        <v>26.62</v>
      </c>
      <c r="D26" s="53">
        <v>19.260000000000002</v>
      </c>
      <c r="E26" s="53">
        <v>9.36</v>
      </c>
      <c r="F26" s="53">
        <v>4.4800000000000004</v>
      </c>
      <c r="G26" s="53">
        <v>66.91</v>
      </c>
      <c r="H26" s="53">
        <v>24.41</v>
      </c>
      <c r="I26" s="53">
        <v>4.4400000000000004</v>
      </c>
      <c r="J26" s="53">
        <v>0.24</v>
      </c>
      <c r="K26" s="53">
        <v>162.79</v>
      </c>
      <c r="L26" s="53">
        <v>26.41</v>
      </c>
      <c r="M26" s="53">
        <v>61.1</v>
      </c>
      <c r="N26" s="53">
        <v>0</v>
      </c>
      <c r="O26" s="53">
        <v>0</v>
      </c>
      <c r="P26" s="53">
        <v>0.73</v>
      </c>
      <c r="Q26" s="54">
        <v>4.2300000000000004</v>
      </c>
    </row>
    <row r="27" spans="1:17">
      <c r="A27" s="52" t="s">
        <v>558</v>
      </c>
      <c r="B27" s="53">
        <v>7.63</v>
      </c>
      <c r="C27" s="53">
        <v>32.04</v>
      </c>
      <c r="D27" s="53">
        <v>24.21</v>
      </c>
      <c r="E27" s="53">
        <v>8.76</v>
      </c>
      <c r="F27" s="53">
        <v>2.69</v>
      </c>
      <c r="G27" s="53">
        <v>92.89</v>
      </c>
      <c r="H27" s="53">
        <v>29.44</v>
      </c>
      <c r="I27" s="53">
        <v>5.84</v>
      </c>
      <c r="J27" s="53">
        <v>0.28000000000000003</v>
      </c>
      <c r="K27" s="53">
        <v>170.3</v>
      </c>
      <c r="L27" s="53">
        <v>25.01</v>
      </c>
      <c r="M27" s="53">
        <v>69.760000000000005</v>
      </c>
      <c r="N27" s="53">
        <v>0</v>
      </c>
      <c r="O27" s="53">
        <v>0</v>
      </c>
      <c r="P27" s="53">
        <v>0.89</v>
      </c>
      <c r="Q27" s="54">
        <v>4.37</v>
      </c>
    </row>
    <row r="28" spans="1:17">
      <c r="A28" s="52" t="s">
        <v>559</v>
      </c>
      <c r="B28" s="53">
        <v>14.11</v>
      </c>
      <c r="C28" s="53">
        <v>35.619999999999997</v>
      </c>
      <c r="D28" s="53">
        <v>31.28</v>
      </c>
      <c r="E28" s="53">
        <v>8.91</v>
      </c>
      <c r="F28" s="53">
        <v>2.61</v>
      </c>
      <c r="G28" s="53">
        <v>112.42</v>
      </c>
      <c r="H28" s="53">
        <v>30.65</v>
      </c>
      <c r="I28" s="53">
        <v>7.12</v>
      </c>
      <c r="J28" s="53">
        <v>0.13</v>
      </c>
      <c r="K28" s="53">
        <v>168.67</v>
      </c>
      <c r="L28" s="53">
        <v>23.59</v>
      </c>
      <c r="M28" s="53">
        <v>71.260000000000005</v>
      </c>
      <c r="N28" s="53">
        <v>0</v>
      </c>
      <c r="O28" s="53">
        <v>0</v>
      </c>
      <c r="P28" s="53">
        <v>1.04</v>
      </c>
      <c r="Q28" s="54">
        <v>4.62</v>
      </c>
    </row>
    <row r="29" spans="1:17">
      <c r="A29" s="52" t="s">
        <v>560</v>
      </c>
      <c r="B29" s="53">
        <v>23.05</v>
      </c>
      <c r="C29" s="53">
        <v>37.4</v>
      </c>
      <c r="D29" s="53">
        <v>39.119999999999997</v>
      </c>
      <c r="E29" s="53">
        <v>9.1300000000000008</v>
      </c>
      <c r="F29" s="53">
        <v>2.84</v>
      </c>
      <c r="G29" s="53">
        <v>146.04</v>
      </c>
      <c r="H29" s="53">
        <v>35.25</v>
      </c>
      <c r="I29" s="53">
        <v>8.7100000000000009</v>
      </c>
      <c r="J29" s="53">
        <v>0.18</v>
      </c>
      <c r="K29" s="53">
        <v>190.3</v>
      </c>
      <c r="L29" s="53">
        <v>22.86</v>
      </c>
      <c r="M29" s="53">
        <v>74.92</v>
      </c>
      <c r="N29" s="53">
        <v>0</v>
      </c>
      <c r="O29" s="53">
        <v>0</v>
      </c>
      <c r="P29" s="53">
        <v>1.1399999999999999</v>
      </c>
      <c r="Q29" s="54">
        <v>4.97</v>
      </c>
    </row>
    <row r="30" spans="1:17">
      <c r="A30" s="52" t="s">
        <v>561</v>
      </c>
      <c r="B30" s="53">
        <v>22.94</v>
      </c>
      <c r="C30" s="53">
        <v>34.67</v>
      </c>
      <c r="D30" s="53">
        <v>37.86</v>
      </c>
      <c r="E30" s="53">
        <v>7.76</v>
      </c>
      <c r="F30" s="53">
        <v>2.9</v>
      </c>
      <c r="G30" s="53">
        <v>146.04</v>
      </c>
      <c r="H30" s="53">
        <v>39.82</v>
      </c>
      <c r="I30" s="53">
        <v>9.07</v>
      </c>
      <c r="J30" s="53">
        <v>0.19</v>
      </c>
      <c r="K30" s="53">
        <v>218.03</v>
      </c>
      <c r="L30" s="53">
        <v>21.57</v>
      </c>
      <c r="M30" s="53">
        <v>84.79</v>
      </c>
      <c r="N30" s="53">
        <v>0</v>
      </c>
      <c r="O30" s="53">
        <v>0</v>
      </c>
      <c r="P30" s="53">
        <v>1.1200000000000001</v>
      </c>
      <c r="Q30" s="54">
        <v>4.97</v>
      </c>
    </row>
    <row r="31" spans="1:17">
      <c r="A31" s="52" t="s">
        <v>562</v>
      </c>
      <c r="B31" s="53">
        <v>21.26</v>
      </c>
      <c r="C31" s="53">
        <v>28.85</v>
      </c>
      <c r="D31" s="53">
        <v>33.07</v>
      </c>
      <c r="E31" s="53">
        <v>6.96</v>
      </c>
      <c r="F31" s="53">
        <v>2.87</v>
      </c>
      <c r="G31" s="53">
        <v>143.9</v>
      </c>
      <c r="H31" s="53">
        <v>39.82</v>
      </c>
      <c r="I31" s="53">
        <v>9.1199999999999992</v>
      </c>
      <c r="J31" s="53">
        <v>0.16</v>
      </c>
      <c r="K31" s="53">
        <v>239.59</v>
      </c>
      <c r="L31" s="53">
        <v>20.7</v>
      </c>
      <c r="M31" s="53">
        <v>86.36</v>
      </c>
      <c r="N31" s="53">
        <v>0</v>
      </c>
      <c r="O31" s="53">
        <v>0</v>
      </c>
      <c r="P31" s="53">
        <v>1.05</v>
      </c>
      <c r="Q31" s="54">
        <v>4.8600000000000003</v>
      </c>
    </row>
    <row r="32" spans="1:17">
      <c r="A32" s="52" t="s">
        <v>563</v>
      </c>
      <c r="B32" s="53">
        <v>19.489999999999998</v>
      </c>
      <c r="C32" s="53">
        <v>27.08</v>
      </c>
      <c r="D32" s="53">
        <v>31.01</v>
      </c>
      <c r="E32" s="53">
        <v>6.91</v>
      </c>
      <c r="F32" s="53">
        <v>2.75</v>
      </c>
      <c r="G32" s="53">
        <v>123.45</v>
      </c>
      <c r="H32" s="53">
        <v>38.43</v>
      </c>
      <c r="I32" s="53">
        <v>8.92</v>
      </c>
      <c r="J32" s="53">
        <v>0.14000000000000001</v>
      </c>
      <c r="K32" s="53">
        <v>203.69</v>
      </c>
      <c r="L32" s="53">
        <v>20.260000000000002</v>
      </c>
      <c r="M32" s="53">
        <v>89.7</v>
      </c>
      <c r="N32" s="53">
        <v>0</v>
      </c>
      <c r="O32" s="53">
        <v>0</v>
      </c>
      <c r="P32" s="53">
        <v>1.01</v>
      </c>
      <c r="Q32" s="54">
        <v>4.79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4.5</v>
      </c>
      <c r="C34" s="40">
        <f t="shared" si="0"/>
        <v>18.920000000000002</v>
      </c>
      <c r="D34" s="40">
        <f t="shared" si="0"/>
        <v>14.93</v>
      </c>
      <c r="E34" s="40">
        <f t="shared" si="0"/>
        <v>6.91</v>
      </c>
      <c r="F34" s="40">
        <f t="shared" si="0"/>
        <v>2.61</v>
      </c>
      <c r="G34" s="40">
        <f t="shared" si="0"/>
        <v>50</v>
      </c>
      <c r="H34" s="40">
        <f t="shared" si="0"/>
        <v>16.53</v>
      </c>
      <c r="I34" s="40">
        <f t="shared" si="0"/>
        <v>4.07</v>
      </c>
      <c r="J34" s="40">
        <f t="shared" si="0"/>
        <v>0.1</v>
      </c>
      <c r="K34" s="40">
        <f t="shared" si="0"/>
        <v>56.27</v>
      </c>
      <c r="L34" s="40">
        <f t="shared" si="0"/>
        <v>18.670000000000002</v>
      </c>
      <c r="M34" s="40">
        <f t="shared" si="0"/>
        <v>45.28</v>
      </c>
      <c r="N34" s="40">
        <f t="shared" si="0"/>
        <v>0</v>
      </c>
      <c r="O34" s="40">
        <f t="shared" si="0"/>
        <v>0</v>
      </c>
      <c r="P34" s="40">
        <f t="shared" si="0"/>
        <v>0.45</v>
      </c>
      <c r="Q34" s="40">
        <f t="shared" si="0"/>
        <v>4.16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23.05</v>
      </c>
      <c r="C35" s="33">
        <f t="shared" si="1"/>
        <v>37.4</v>
      </c>
      <c r="D35" s="33">
        <f t="shared" si="1"/>
        <v>39.119999999999997</v>
      </c>
      <c r="E35" s="33">
        <f t="shared" si="1"/>
        <v>10.73</v>
      </c>
      <c r="F35" s="33">
        <f t="shared" si="1"/>
        <v>7.49</v>
      </c>
      <c r="G35" s="33">
        <f t="shared" si="1"/>
        <v>146.04</v>
      </c>
      <c r="H35" s="33">
        <f t="shared" si="1"/>
        <v>39.82</v>
      </c>
      <c r="I35" s="33">
        <f t="shared" si="1"/>
        <v>9.1199999999999992</v>
      </c>
      <c r="J35" s="33">
        <f t="shared" si="1"/>
        <v>0.68</v>
      </c>
      <c r="K35" s="33">
        <f t="shared" si="1"/>
        <v>353.63</v>
      </c>
      <c r="L35" s="33">
        <f t="shared" si="1"/>
        <v>30.08</v>
      </c>
      <c r="M35" s="33">
        <f t="shared" si="1"/>
        <v>91.78</v>
      </c>
      <c r="N35" s="33">
        <f t="shared" si="1"/>
        <v>597.4</v>
      </c>
      <c r="O35" s="33">
        <f t="shared" si="1"/>
        <v>0</v>
      </c>
      <c r="P35" s="33">
        <f t="shared" si="1"/>
        <v>1.1399999999999999</v>
      </c>
      <c r="Q35" s="33">
        <f t="shared" si="1"/>
        <v>4.97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10.72625</v>
      </c>
      <c r="C36" s="40">
        <f t="shared" si="2"/>
        <v>25.420833333333338</v>
      </c>
      <c r="D36" s="40">
        <f t="shared" si="2"/>
        <v>23.111250000000002</v>
      </c>
      <c r="E36" s="40">
        <f t="shared" si="2"/>
        <v>8.7712499999999984</v>
      </c>
      <c r="F36" s="40">
        <f t="shared" si="2"/>
        <v>3.7004166666666678</v>
      </c>
      <c r="G36" s="40">
        <f t="shared" si="2"/>
        <v>75.490000000000009</v>
      </c>
      <c r="H36" s="40">
        <f t="shared" si="2"/>
        <v>25.173750000000002</v>
      </c>
      <c r="I36" s="40">
        <f t="shared" si="2"/>
        <v>5.7954166666666671</v>
      </c>
      <c r="J36" s="40">
        <f t="shared" si="2"/>
        <v>0.315</v>
      </c>
      <c r="K36" s="40">
        <f t="shared" si="2"/>
        <v>165.76500000000001</v>
      </c>
      <c r="L36" s="40">
        <f t="shared" si="2"/>
        <v>23.89916666666667</v>
      </c>
      <c r="M36" s="40">
        <f t="shared" si="2"/>
        <v>71.80749999999999</v>
      </c>
      <c r="N36" s="40">
        <f t="shared" si="2"/>
        <v>141.14166666666668</v>
      </c>
      <c r="O36" s="40">
        <f t="shared" si="2"/>
        <v>0</v>
      </c>
      <c r="P36" s="40">
        <f t="shared" si="2"/>
        <v>0.70958333333333357</v>
      </c>
      <c r="Q36" s="40">
        <f t="shared" si="2"/>
        <v>4.440833333333333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6.0976515882185627</v>
      </c>
      <c r="C37" s="40">
        <f t="shared" ref="C37:Q37" si="3">STDEV(C9:C32)</f>
        <v>5.5002710736887934</v>
      </c>
      <c r="D37" s="40">
        <f t="shared" si="3"/>
        <v>7.2117538797257303</v>
      </c>
      <c r="E37" s="40">
        <f t="shared" si="3"/>
        <v>1.0951446698158744</v>
      </c>
      <c r="F37" s="40">
        <f t="shared" si="3"/>
        <v>1.2613466894611034</v>
      </c>
      <c r="G37" s="40">
        <f t="shared" si="3"/>
        <v>32.845891146647091</v>
      </c>
      <c r="H37" s="40">
        <f t="shared" si="3"/>
        <v>6.8799291025795872</v>
      </c>
      <c r="I37" s="40">
        <f t="shared" si="3"/>
        <v>1.6358377169609111</v>
      </c>
      <c r="J37" s="40">
        <f t="shared" si="3"/>
        <v>0.1828280256320724</v>
      </c>
      <c r="K37" s="40">
        <f t="shared" si="3"/>
        <v>83.572009408184755</v>
      </c>
      <c r="L37" s="40">
        <f t="shared" si="3"/>
        <v>4.2215162294325381</v>
      </c>
      <c r="M37" s="40">
        <f t="shared" si="3"/>
        <v>17.895983336078999</v>
      </c>
      <c r="N37" s="40">
        <f t="shared" si="3"/>
        <v>214.901544528139</v>
      </c>
      <c r="O37" s="40">
        <f t="shared" si="3"/>
        <v>0</v>
      </c>
      <c r="P37" s="40">
        <f t="shared" si="3"/>
        <v>0.21888013727324215</v>
      </c>
      <c r="Q37" s="40">
        <f t="shared" si="3"/>
        <v>0.26100002776389319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22/11/2023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52" t="s">
        <v>564</v>
      </c>
      <c r="B9" s="53">
        <v>24.06</v>
      </c>
      <c r="C9" s="53">
        <v>26.2</v>
      </c>
      <c r="D9" s="53">
        <v>34.24</v>
      </c>
      <c r="E9" s="53">
        <v>6.91</v>
      </c>
      <c r="F9" s="53">
        <v>2.75</v>
      </c>
      <c r="G9" s="53">
        <v>99.13</v>
      </c>
      <c r="H9" s="53">
        <v>37.33</v>
      </c>
      <c r="I9" s="53">
        <v>8.7899999999999991</v>
      </c>
      <c r="J9" s="53">
        <v>0.1</v>
      </c>
      <c r="K9" s="53">
        <v>211.56</v>
      </c>
      <c r="L9" s="53">
        <v>19.72</v>
      </c>
      <c r="M9" s="53">
        <v>89.33</v>
      </c>
      <c r="N9" s="53">
        <v>0</v>
      </c>
      <c r="O9" s="53">
        <v>0</v>
      </c>
      <c r="P9" s="53">
        <v>0.97</v>
      </c>
      <c r="Q9" s="54">
        <v>4.9000000000000004</v>
      </c>
    </row>
    <row r="10" spans="1:21">
      <c r="A10" s="52" t="s">
        <v>565</v>
      </c>
      <c r="B10" s="53">
        <v>28.63</v>
      </c>
      <c r="C10" s="53">
        <v>28.1</v>
      </c>
      <c r="D10" s="53">
        <v>38.840000000000003</v>
      </c>
      <c r="E10" s="53">
        <v>7.37</v>
      </c>
      <c r="F10" s="53">
        <v>2.72</v>
      </c>
      <c r="G10" s="53">
        <v>89.9</v>
      </c>
      <c r="H10" s="53">
        <v>35.99</v>
      </c>
      <c r="I10" s="53">
        <v>8.5399999999999991</v>
      </c>
      <c r="J10" s="53">
        <v>0.21</v>
      </c>
      <c r="K10" s="53">
        <v>260.64</v>
      </c>
      <c r="L10" s="53">
        <v>19.79</v>
      </c>
      <c r="M10" s="53">
        <v>87.26</v>
      </c>
      <c r="N10" s="53">
        <v>0</v>
      </c>
      <c r="O10" s="53">
        <v>0</v>
      </c>
      <c r="P10" s="53">
        <v>0.96</v>
      </c>
      <c r="Q10" s="54">
        <v>5.0999999999999996</v>
      </c>
    </row>
    <row r="11" spans="1:21">
      <c r="A11" s="52" t="s">
        <v>566</v>
      </c>
      <c r="B11" s="53">
        <v>27.23</v>
      </c>
      <c r="C11" s="53">
        <v>30.14</v>
      </c>
      <c r="D11" s="53">
        <v>38.79</v>
      </c>
      <c r="E11" s="53">
        <v>9.1199999999999992</v>
      </c>
      <c r="F11" s="53">
        <v>2.66</v>
      </c>
      <c r="G11" s="53">
        <v>87.33</v>
      </c>
      <c r="H11" s="53">
        <v>35.82</v>
      </c>
      <c r="I11" s="53">
        <v>8.2899999999999991</v>
      </c>
      <c r="J11" s="53">
        <v>0.3</v>
      </c>
      <c r="K11" s="53">
        <v>271.51</v>
      </c>
      <c r="L11" s="53">
        <v>19.41</v>
      </c>
      <c r="M11" s="53">
        <v>88.11</v>
      </c>
      <c r="N11" s="53">
        <v>0</v>
      </c>
      <c r="O11" s="53">
        <v>0</v>
      </c>
      <c r="P11" s="53">
        <v>0.91</v>
      </c>
      <c r="Q11" s="54">
        <v>5.0599999999999996</v>
      </c>
    </row>
    <row r="12" spans="1:21">
      <c r="A12" s="52" t="s">
        <v>567</v>
      </c>
      <c r="B12" s="53">
        <v>25.34</v>
      </c>
      <c r="C12" s="53">
        <v>30.56</v>
      </c>
      <c r="D12" s="53">
        <v>37.51</v>
      </c>
      <c r="E12" s="53">
        <v>9.92</v>
      </c>
      <c r="F12" s="53">
        <v>2.67</v>
      </c>
      <c r="G12" s="53">
        <v>86.18</v>
      </c>
      <c r="H12" s="53">
        <v>35.32</v>
      </c>
      <c r="I12" s="53">
        <v>8.31</v>
      </c>
      <c r="J12" s="53">
        <v>0.19</v>
      </c>
      <c r="K12" s="53">
        <v>188.11</v>
      </c>
      <c r="L12" s="53">
        <v>19.260000000000002</v>
      </c>
      <c r="M12" s="53">
        <v>87</v>
      </c>
      <c r="N12" s="53">
        <v>0</v>
      </c>
      <c r="O12" s="53">
        <v>0</v>
      </c>
      <c r="P12" s="53">
        <v>0.97</v>
      </c>
      <c r="Q12" s="54">
        <v>5.01</v>
      </c>
    </row>
    <row r="13" spans="1:21">
      <c r="A13" s="52" t="s">
        <v>568</v>
      </c>
      <c r="B13" s="53">
        <v>22.79</v>
      </c>
      <c r="C13" s="53">
        <v>29.61</v>
      </c>
      <c r="D13" s="53">
        <v>35.1</v>
      </c>
      <c r="E13" s="53">
        <v>10.26</v>
      </c>
      <c r="F13" s="53">
        <v>2.66</v>
      </c>
      <c r="G13" s="53">
        <v>118.58</v>
      </c>
      <c r="H13" s="53">
        <v>42.88</v>
      </c>
      <c r="I13" s="53">
        <v>9.1300000000000008</v>
      </c>
      <c r="J13" s="53">
        <v>0.13</v>
      </c>
      <c r="K13" s="53">
        <v>225.63</v>
      </c>
      <c r="L13" s="53">
        <v>18.57</v>
      </c>
      <c r="M13" s="53">
        <v>93.5</v>
      </c>
      <c r="N13" s="53">
        <v>0</v>
      </c>
      <c r="O13" s="53">
        <v>0</v>
      </c>
      <c r="P13" s="53">
        <v>1.01</v>
      </c>
      <c r="Q13" s="54">
        <v>4.95</v>
      </c>
    </row>
    <row r="14" spans="1:21">
      <c r="A14" s="52" t="s">
        <v>569</v>
      </c>
      <c r="B14" s="53">
        <v>25.61</v>
      </c>
      <c r="C14" s="53">
        <v>29.2</v>
      </c>
      <c r="D14" s="53">
        <v>36.909999999999997</v>
      </c>
      <c r="E14" s="53">
        <v>10.19</v>
      </c>
      <c r="F14" s="53">
        <v>2.63</v>
      </c>
      <c r="G14" s="53">
        <v>118.58</v>
      </c>
      <c r="H14" s="53">
        <v>42.88</v>
      </c>
      <c r="I14" s="53">
        <v>9.44</v>
      </c>
      <c r="J14" s="53">
        <v>0.23</v>
      </c>
      <c r="K14" s="53">
        <v>346.4</v>
      </c>
      <c r="L14" s="53">
        <v>18.3</v>
      </c>
      <c r="M14" s="53">
        <v>94.64</v>
      </c>
      <c r="N14" s="53">
        <v>0</v>
      </c>
      <c r="O14" s="53">
        <v>0</v>
      </c>
      <c r="P14" s="53">
        <v>1.01</v>
      </c>
      <c r="Q14" s="54">
        <v>4.9800000000000004</v>
      </c>
    </row>
    <row r="15" spans="1:21">
      <c r="A15" s="52" t="s">
        <v>570</v>
      </c>
      <c r="B15" s="53">
        <v>35.799999999999997</v>
      </c>
      <c r="C15" s="53">
        <v>29.31</v>
      </c>
      <c r="D15" s="53">
        <v>45.25</v>
      </c>
      <c r="E15" s="53">
        <v>10.54</v>
      </c>
      <c r="F15" s="53">
        <v>2.62</v>
      </c>
      <c r="G15" s="53">
        <v>111.58</v>
      </c>
      <c r="H15" s="53">
        <v>43.46</v>
      </c>
      <c r="I15" s="53">
        <v>9.67</v>
      </c>
      <c r="J15" s="53">
        <v>0.17</v>
      </c>
      <c r="K15" s="53">
        <v>162.37</v>
      </c>
      <c r="L15" s="53">
        <v>18.77</v>
      </c>
      <c r="M15" s="53">
        <v>92.44</v>
      </c>
      <c r="N15" s="53">
        <v>20</v>
      </c>
      <c r="O15" s="53">
        <v>0</v>
      </c>
      <c r="P15" s="53">
        <v>1.04</v>
      </c>
      <c r="Q15" s="54">
        <v>5.27</v>
      </c>
    </row>
    <row r="16" spans="1:21">
      <c r="A16" s="52" t="s">
        <v>571</v>
      </c>
      <c r="B16" s="53">
        <v>38.96</v>
      </c>
      <c r="C16" s="53">
        <v>29.23</v>
      </c>
      <c r="D16" s="53">
        <v>47.49</v>
      </c>
      <c r="E16" s="53">
        <v>9.4</v>
      </c>
      <c r="F16" s="53">
        <v>2.82</v>
      </c>
      <c r="G16" s="53">
        <v>107.26</v>
      </c>
      <c r="H16" s="53">
        <v>46.09</v>
      </c>
      <c r="I16" s="53">
        <v>10.210000000000001</v>
      </c>
      <c r="J16" s="53">
        <v>0.56000000000000005</v>
      </c>
      <c r="K16" s="53">
        <v>51.29</v>
      </c>
      <c r="L16" s="53">
        <v>20.97</v>
      </c>
      <c r="M16" s="53">
        <v>84.96</v>
      </c>
      <c r="N16" s="53">
        <v>158.19999999999999</v>
      </c>
      <c r="O16" s="53">
        <v>0</v>
      </c>
      <c r="P16" s="53">
        <v>1.04</v>
      </c>
      <c r="Q16" s="54">
        <v>5.4</v>
      </c>
    </row>
    <row r="17" spans="1:17">
      <c r="A17" s="52" t="s">
        <v>572</v>
      </c>
      <c r="B17" s="53">
        <v>37.25</v>
      </c>
      <c r="C17" s="53">
        <v>28.39</v>
      </c>
      <c r="D17" s="53">
        <v>46.06</v>
      </c>
      <c r="E17" s="53">
        <v>8.9600000000000009</v>
      </c>
      <c r="F17" s="53">
        <v>2.96</v>
      </c>
      <c r="G17" s="53">
        <v>107.26</v>
      </c>
      <c r="H17" s="53">
        <v>46.09</v>
      </c>
      <c r="I17" s="53">
        <v>10.28</v>
      </c>
      <c r="J17" s="53">
        <v>0.61</v>
      </c>
      <c r="K17" s="53">
        <v>48.62</v>
      </c>
      <c r="L17" s="53">
        <v>23.84</v>
      </c>
      <c r="M17" s="53">
        <v>75.209999999999994</v>
      </c>
      <c r="N17" s="53">
        <v>277.8</v>
      </c>
      <c r="O17" s="53">
        <v>0</v>
      </c>
      <c r="P17" s="53">
        <v>1.03</v>
      </c>
      <c r="Q17" s="54">
        <v>5.34</v>
      </c>
    </row>
    <row r="18" spans="1:17">
      <c r="A18" s="52" t="s">
        <v>573</v>
      </c>
      <c r="B18" s="53">
        <v>33.22</v>
      </c>
      <c r="C18" s="53">
        <v>29.05</v>
      </c>
      <c r="D18" s="53">
        <v>42.51</v>
      </c>
      <c r="E18" s="53">
        <v>8.98</v>
      </c>
      <c r="F18" s="53">
        <v>3.11</v>
      </c>
      <c r="G18" s="53">
        <v>103.6</v>
      </c>
      <c r="H18" s="53">
        <v>42.59</v>
      </c>
      <c r="I18" s="53">
        <v>10.01</v>
      </c>
      <c r="J18" s="53">
        <v>0.79</v>
      </c>
      <c r="K18" s="53">
        <v>46.55</v>
      </c>
      <c r="L18" s="53">
        <v>25.87</v>
      </c>
      <c r="M18" s="53">
        <v>63.22</v>
      </c>
      <c r="N18" s="53">
        <v>411.4</v>
      </c>
      <c r="O18" s="53">
        <v>0</v>
      </c>
      <c r="P18" s="53">
        <v>1</v>
      </c>
      <c r="Q18" s="54">
        <v>5.2</v>
      </c>
    </row>
    <row r="19" spans="1:17">
      <c r="A19" s="52" t="s">
        <v>574</v>
      </c>
      <c r="B19" s="53">
        <v>28.86</v>
      </c>
      <c r="C19" s="53">
        <v>28.12</v>
      </c>
      <c r="D19" s="53">
        <v>39.19</v>
      </c>
      <c r="E19" s="53">
        <v>8.2100000000000009</v>
      </c>
      <c r="F19" s="53">
        <v>3.54</v>
      </c>
      <c r="G19" s="53">
        <v>102.37</v>
      </c>
      <c r="H19" s="53">
        <v>42.04</v>
      </c>
      <c r="I19" s="53">
        <v>9.56</v>
      </c>
      <c r="J19" s="53">
        <v>0.71</v>
      </c>
      <c r="K19" s="53">
        <v>70.48</v>
      </c>
      <c r="L19" s="53">
        <v>28.28</v>
      </c>
      <c r="M19" s="53">
        <v>55.1</v>
      </c>
      <c r="N19" s="53">
        <v>476.8</v>
      </c>
      <c r="O19" s="53">
        <v>0</v>
      </c>
      <c r="P19" s="53">
        <v>0.99</v>
      </c>
      <c r="Q19" s="54">
        <v>5.08</v>
      </c>
    </row>
    <row r="20" spans="1:17">
      <c r="A20" s="52" t="s">
        <v>575</v>
      </c>
      <c r="B20" s="53">
        <v>22.8</v>
      </c>
      <c r="C20" s="53">
        <v>30.65</v>
      </c>
      <c r="D20" s="53">
        <v>34.25</v>
      </c>
      <c r="E20" s="53">
        <v>10.53</v>
      </c>
      <c r="F20" s="53">
        <v>6.15</v>
      </c>
      <c r="G20" s="53">
        <v>102.37</v>
      </c>
      <c r="H20" s="53">
        <v>41.62</v>
      </c>
      <c r="I20" s="53">
        <v>8.98</v>
      </c>
      <c r="J20" s="53">
        <v>0.49</v>
      </c>
      <c r="K20" s="53">
        <v>98.78</v>
      </c>
      <c r="L20" s="53">
        <v>29.06</v>
      </c>
      <c r="M20" s="53">
        <v>48.19</v>
      </c>
      <c r="N20" s="53">
        <v>524.70000000000005</v>
      </c>
      <c r="O20" s="53">
        <v>0</v>
      </c>
      <c r="P20" s="53">
        <v>0.93</v>
      </c>
      <c r="Q20" s="54">
        <v>4.88</v>
      </c>
    </row>
    <row r="21" spans="1:17">
      <c r="A21" s="52" t="s">
        <v>576</v>
      </c>
      <c r="B21" s="53">
        <v>6.73</v>
      </c>
      <c r="C21" s="53">
        <v>31.2</v>
      </c>
      <c r="D21" s="53">
        <v>23.05</v>
      </c>
      <c r="E21" s="53">
        <v>8.4</v>
      </c>
      <c r="F21" s="53">
        <v>6.06</v>
      </c>
      <c r="G21" s="53">
        <v>98.41</v>
      </c>
      <c r="H21" s="53">
        <v>38.85</v>
      </c>
      <c r="I21" s="53">
        <v>7.63</v>
      </c>
      <c r="J21" s="53">
        <v>0.47</v>
      </c>
      <c r="K21" s="53">
        <v>193.45</v>
      </c>
      <c r="L21" s="53">
        <v>30.36</v>
      </c>
      <c r="M21" s="53">
        <v>42.42</v>
      </c>
      <c r="N21" s="53">
        <v>527.79999999999995</v>
      </c>
      <c r="O21" s="53">
        <v>0</v>
      </c>
      <c r="P21" s="53">
        <v>0.82</v>
      </c>
      <c r="Q21" s="54">
        <v>4.3899999999999997</v>
      </c>
    </row>
    <row r="22" spans="1:17">
      <c r="A22" s="52" t="s">
        <v>577</v>
      </c>
      <c r="B22" s="53">
        <v>4.26</v>
      </c>
      <c r="C22" s="53">
        <v>28.02</v>
      </c>
      <c r="D22" s="53">
        <v>19.239999999999998</v>
      </c>
      <c r="E22" s="53">
        <v>8.61</v>
      </c>
      <c r="F22" s="53">
        <v>6.17</v>
      </c>
      <c r="G22" s="53">
        <v>92.16</v>
      </c>
      <c r="H22" s="53">
        <v>37.58</v>
      </c>
      <c r="I22" s="53">
        <v>6.5</v>
      </c>
      <c r="J22" s="53">
        <v>0.41</v>
      </c>
      <c r="K22" s="53">
        <v>330.4</v>
      </c>
      <c r="L22" s="53">
        <v>30.01</v>
      </c>
      <c r="M22" s="53">
        <v>42.17</v>
      </c>
      <c r="N22" s="53">
        <v>455.8</v>
      </c>
      <c r="O22" s="53">
        <v>0</v>
      </c>
      <c r="P22" s="53">
        <v>0.73</v>
      </c>
      <c r="Q22" s="54">
        <v>4.24</v>
      </c>
    </row>
    <row r="23" spans="1:17">
      <c r="A23" s="52" t="s">
        <v>578</v>
      </c>
      <c r="B23" s="53">
        <v>4.41</v>
      </c>
      <c r="C23" s="53">
        <v>27.16</v>
      </c>
      <c r="D23" s="53">
        <v>18.91</v>
      </c>
      <c r="E23" s="53">
        <v>8.9600000000000009</v>
      </c>
      <c r="F23" s="53">
        <v>5.86</v>
      </c>
      <c r="G23" s="53">
        <v>81.03</v>
      </c>
      <c r="H23" s="53">
        <v>33.75</v>
      </c>
      <c r="I23" s="53">
        <v>5.71</v>
      </c>
      <c r="J23" s="53">
        <v>0.44</v>
      </c>
      <c r="K23" s="53">
        <v>148.72999999999999</v>
      </c>
      <c r="L23" s="53">
        <v>29.69</v>
      </c>
      <c r="M23" s="53">
        <v>43.03</v>
      </c>
      <c r="N23" s="53">
        <v>146.80000000000001</v>
      </c>
      <c r="O23" s="53">
        <v>0</v>
      </c>
      <c r="P23" s="53">
        <v>0.69</v>
      </c>
      <c r="Q23" s="54">
        <v>4.2300000000000004</v>
      </c>
    </row>
    <row r="24" spans="1:17">
      <c r="A24" s="52" t="s">
        <v>579</v>
      </c>
      <c r="B24" s="53">
        <v>4.58</v>
      </c>
      <c r="C24" s="53">
        <v>27.15</v>
      </c>
      <c r="D24" s="53">
        <v>19.12</v>
      </c>
      <c r="E24" s="53">
        <v>8.5</v>
      </c>
      <c r="F24" s="53">
        <v>5.49</v>
      </c>
      <c r="G24" s="53">
        <v>77.22</v>
      </c>
      <c r="H24" s="53">
        <v>33.479999999999997</v>
      </c>
      <c r="I24" s="53">
        <v>5.25</v>
      </c>
      <c r="J24" s="53">
        <v>0.34</v>
      </c>
      <c r="K24" s="53">
        <v>299.13</v>
      </c>
      <c r="L24" s="53">
        <v>28.69</v>
      </c>
      <c r="M24" s="53">
        <v>46.22</v>
      </c>
      <c r="N24" s="53">
        <v>77.5</v>
      </c>
      <c r="O24" s="53">
        <v>0</v>
      </c>
      <c r="P24" s="53">
        <v>0.69</v>
      </c>
      <c r="Q24" s="54">
        <v>4.2300000000000004</v>
      </c>
    </row>
    <row r="25" spans="1:17">
      <c r="A25" s="52" t="s">
        <v>580</v>
      </c>
      <c r="B25" s="53">
        <v>5.47</v>
      </c>
      <c r="C25" s="53">
        <v>28.25</v>
      </c>
      <c r="D25" s="53">
        <v>20.5</v>
      </c>
      <c r="E25" s="53">
        <v>8.48</v>
      </c>
      <c r="F25" s="53">
        <v>5.36</v>
      </c>
      <c r="G25" s="53">
        <v>75.95</v>
      </c>
      <c r="H25" s="53">
        <v>34.07</v>
      </c>
      <c r="I25" s="53">
        <v>4.91</v>
      </c>
      <c r="J25" s="53">
        <v>0.25</v>
      </c>
      <c r="K25" s="53">
        <v>59.33</v>
      </c>
      <c r="L25" s="53">
        <v>28.24</v>
      </c>
      <c r="M25" s="53">
        <v>49.82</v>
      </c>
      <c r="N25" s="53">
        <v>30.6</v>
      </c>
      <c r="O25" s="53">
        <v>0</v>
      </c>
      <c r="P25" s="53">
        <v>0.71</v>
      </c>
      <c r="Q25" s="54">
        <v>4.26</v>
      </c>
    </row>
    <row r="26" spans="1:17">
      <c r="A26" s="52" t="s">
        <v>581</v>
      </c>
      <c r="B26" s="53">
        <v>7.23</v>
      </c>
      <c r="C26" s="53">
        <v>26.48</v>
      </c>
      <c r="D26" s="53">
        <v>20.16</v>
      </c>
      <c r="E26" s="53">
        <v>6.38</v>
      </c>
      <c r="F26" s="53">
        <v>3.33</v>
      </c>
      <c r="G26" s="53">
        <v>90.95</v>
      </c>
      <c r="H26" s="53">
        <v>36.159999999999997</v>
      </c>
      <c r="I26" s="53">
        <v>5.23</v>
      </c>
      <c r="J26" s="53">
        <v>0.31</v>
      </c>
      <c r="K26" s="53">
        <v>98.83</v>
      </c>
      <c r="L26" s="53">
        <v>26.62</v>
      </c>
      <c r="M26" s="53">
        <v>59.44</v>
      </c>
      <c r="N26" s="53">
        <v>0</v>
      </c>
      <c r="O26" s="53">
        <v>0</v>
      </c>
      <c r="P26" s="53">
        <v>0.74</v>
      </c>
      <c r="Q26" s="54">
        <v>4.29</v>
      </c>
    </row>
    <row r="27" spans="1:17">
      <c r="A27" s="52" t="s">
        <v>582</v>
      </c>
      <c r="B27" s="53">
        <v>9.68</v>
      </c>
      <c r="C27" s="53">
        <v>26.5</v>
      </c>
      <c r="D27" s="53">
        <v>22.87</v>
      </c>
      <c r="E27" s="53">
        <v>7.31</v>
      </c>
      <c r="F27" s="53">
        <v>2.79</v>
      </c>
      <c r="G27" s="53">
        <v>111.24</v>
      </c>
      <c r="H27" s="53">
        <v>37.299999999999997</v>
      </c>
      <c r="I27" s="53">
        <v>5.74</v>
      </c>
      <c r="J27" s="53">
        <v>0.2</v>
      </c>
      <c r="K27" s="53">
        <v>139.66</v>
      </c>
      <c r="L27" s="53">
        <v>25.45</v>
      </c>
      <c r="M27" s="53">
        <v>64.22</v>
      </c>
      <c r="N27" s="53">
        <v>0</v>
      </c>
      <c r="O27" s="53">
        <v>0</v>
      </c>
      <c r="P27" s="53">
        <v>0.81</v>
      </c>
      <c r="Q27" s="54">
        <v>4.37</v>
      </c>
    </row>
    <row r="28" spans="1:17">
      <c r="A28" s="52" t="s">
        <v>583</v>
      </c>
      <c r="B28" s="53">
        <v>10.35</v>
      </c>
      <c r="C28" s="53">
        <v>27.25</v>
      </c>
      <c r="D28" s="53">
        <v>23.83</v>
      </c>
      <c r="E28" s="53">
        <v>7.27</v>
      </c>
      <c r="F28" s="53">
        <v>2.74</v>
      </c>
      <c r="G28" s="53">
        <v>116.1</v>
      </c>
      <c r="H28" s="53">
        <v>40.33</v>
      </c>
      <c r="I28" s="53">
        <v>6.31</v>
      </c>
      <c r="J28" s="53">
        <v>0.15</v>
      </c>
      <c r="K28" s="53">
        <v>208.81</v>
      </c>
      <c r="L28" s="53">
        <v>23.78</v>
      </c>
      <c r="M28" s="53">
        <v>76.61</v>
      </c>
      <c r="N28" s="53">
        <v>0</v>
      </c>
      <c r="O28" s="53">
        <v>0</v>
      </c>
      <c r="P28" s="53">
        <v>0.86</v>
      </c>
      <c r="Q28" s="54">
        <v>4.4000000000000004</v>
      </c>
    </row>
    <row r="29" spans="1:17">
      <c r="A29" s="52" t="s">
        <v>584</v>
      </c>
      <c r="B29" s="53">
        <v>12.09</v>
      </c>
      <c r="C29" s="53">
        <v>27.58</v>
      </c>
      <c r="D29" s="53">
        <v>25.45</v>
      </c>
      <c r="E29" s="53">
        <v>7.68</v>
      </c>
      <c r="F29" s="53">
        <v>2.85</v>
      </c>
      <c r="G29" s="53">
        <v>118.08</v>
      </c>
      <c r="H29" s="53">
        <v>41.76</v>
      </c>
      <c r="I29" s="53">
        <v>6.75</v>
      </c>
      <c r="J29" s="53">
        <v>0.18</v>
      </c>
      <c r="K29" s="53">
        <v>183.17</v>
      </c>
      <c r="L29" s="53">
        <v>22.76</v>
      </c>
      <c r="M29" s="53">
        <v>73.319999999999993</v>
      </c>
      <c r="N29" s="53">
        <v>0</v>
      </c>
      <c r="O29" s="53">
        <v>0</v>
      </c>
      <c r="P29" s="53">
        <v>0.91</v>
      </c>
      <c r="Q29" s="54">
        <v>4.47</v>
      </c>
    </row>
    <row r="30" spans="1:17">
      <c r="A30" s="52" t="s">
        <v>585</v>
      </c>
      <c r="B30" s="53">
        <v>12.24</v>
      </c>
      <c r="C30" s="53">
        <v>27.83</v>
      </c>
      <c r="D30" s="53">
        <v>25.71</v>
      </c>
      <c r="E30" s="53">
        <v>8.18</v>
      </c>
      <c r="F30" s="53">
        <v>3.26</v>
      </c>
      <c r="G30" s="53">
        <v>118.08</v>
      </c>
      <c r="H30" s="53">
        <v>41.76</v>
      </c>
      <c r="I30" s="53">
        <v>6.89</v>
      </c>
      <c r="J30" s="53">
        <v>0.16</v>
      </c>
      <c r="K30" s="53">
        <v>215.15</v>
      </c>
      <c r="L30" s="53">
        <v>22.87</v>
      </c>
      <c r="M30" s="53">
        <v>74.62</v>
      </c>
      <c r="N30" s="53">
        <v>0</v>
      </c>
      <c r="O30" s="53">
        <v>0</v>
      </c>
      <c r="P30" s="53">
        <v>0.91</v>
      </c>
      <c r="Q30" s="54">
        <v>4.49</v>
      </c>
    </row>
    <row r="31" spans="1:17">
      <c r="A31" s="52" t="s">
        <v>586</v>
      </c>
      <c r="B31" s="53">
        <v>9.19</v>
      </c>
      <c r="C31" s="53">
        <v>27.12</v>
      </c>
      <c r="D31" s="53">
        <v>22.89</v>
      </c>
      <c r="E31" s="53">
        <v>8.34</v>
      </c>
      <c r="F31" s="53">
        <v>3.4</v>
      </c>
      <c r="G31" s="53">
        <v>113.9</v>
      </c>
      <c r="H31" s="53">
        <v>40.409999999999997</v>
      </c>
      <c r="I31" s="53">
        <v>6.77</v>
      </c>
      <c r="J31" s="53">
        <v>0.15</v>
      </c>
      <c r="K31" s="53">
        <v>221.65</v>
      </c>
      <c r="L31" s="53">
        <v>21.06</v>
      </c>
      <c r="M31" s="53">
        <v>78.209999999999994</v>
      </c>
      <c r="N31" s="53">
        <v>0</v>
      </c>
      <c r="O31" s="53">
        <v>0</v>
      </c>
      <c r="P31" s="53">
        <v>0.88</v>
      </c>
      <c r="Q31" s="54">
        <v>4.3899999999999997</v>
      </c>
    </row>
    <row r="32" spans="1:17">
      <c r="A32" s="52" t="s">
        <v>587</v>
      </c>
      <c r="B32" s="53">
        <v>6.72</v>
      </c>
      <c r="C32" s="53">
        <v>26.39</v>
      </c>
      <c r="D32" s="53">
        <v>20.53</v>
      </c>
      <c r="E32" s="53">
        <v>8.49</v>
      </c>
      <c r="F32" s="53">
        <v>3.32</v>
      </c>
      <c r="G32" s="53">
        <v>100.87</v>
      </c>
      <c r="H32" s="53">
        <v>40.409999999999997</v>
      </c>
      <c r="I32" s="53">
        <v>6.43</v>
      </c>
      <c r="J32" s="53">
        <v>0.13</v>
      </c>
      <c r="K32" s="53">
        <v>213.58</v>
      </c>
      <c r="L32" s="53">
        <v>20.3</v>
      </c>
      <c r="M32" s="53">
        <v>82.12</v>
      </c>
      <c r="N32" s="53">
        <v>0</v>
      </c>
      <c r="O32" s="53">
        <v>0</v>
      </c>
      <c r="P32" s="53">
        <v>0.84</v>
      </c>
      <c r="Q32" s="54">
        <v>4.3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4.26</v>
      </c>
      <c r="C34" s="40">
        <f t="shared" si="0"/>
        <v>26.2</v>
      </c>
      <c r="D34" s="40">
        <f t="shared" si="0"/>
        <v>18.91</v>
      </c>
      <c r="E34" s="40">
        <f t="shared" si="0"/>
        <v>6.38</v>
      </c>
      <c r="F34" s="40">
        <f t="shared" si="0"/>
        <v>2.62</v>
      </c>
      <c r="G34" s="40">
        <f t="shared" si="0"/>
        <v>75.95</v>
      </c>
      <c r="H34" s="40">
        <f t="shared" si="0"/>
        <v>33.479999999999997</v>
      </c>
      <c r="I34" s="40">
        <f t="shared" si="0"/>
        <v>4.91</v>
      </c>
      <c r="J34" s="40">
        <f t="shared" si="0"/>
        <v>0.1</v>
      </c>
      <c r="K34" s="40">
        <f t="shared" si="0"/>
        <v>46.55</v>
      </c>
      <c r="L34" s="40">
        <f t="shared" si="0"/>
        <v>18.3</v>
      </c>
      <c r="M34" s="40">
        <f t="shared" si="0"/>
        <v>42.17</v>
      </c>
      <c r="N34" s="40">
        <f t="shared" si="0"/>
        <v>0</v>
      </c>
      <c r="O34" s="40">
        <f t="shared" si="0"/>
        <v>0</v>
      </c>
      <c r="P34" s="40">
        <f t="shared" si="0"/>
        <v>0.69</v>
      </c>
      <c r="Q34" s="40">
        <f t="shared" si="0"/>
        <v>4.2300000000000004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38.96</v>
      </c>
      <c r="C35" s="33">
        <f t="shared" si="1"/>
        <v>31.2</v>
      </c>
      <c r="D35" s="33">
        <f t="shared" si="1"/>
        <v>47.49</v>
      </c>
      <c r="E35" s="33">
        <f t="shared" si="1"/>
        <v>10.54</v>
      </c>
      <c r="F35" s="33">
        <f t="shared" si="1"/>
        <v>6.17</v>
      </c>
      <c r="G35" s="33">
        <f t="shared" si="1"/>
        <v>118.58</v>
      </c>
      <c r="H35" s="33">
        <f t="shared" si="1"/>
        <v>46.09</v>
      </c>
      <c r="I35" s="33">
        <f t="shared" si="1"/>
        <v>10.28</v>
      </c>
      <c r="J35" s="33">
        <f t="shared" si="1"/>
        <v>0.79</v>
      </c>
      <c r="K35" s="33">
        <f t="shared" si="1"/>
        <v>346.4</v>
      </c>
      <c r="L35" s="33">
        <f t="shared" si="1"/>
        <v>30.36</v>
      </c>
      <c r="M35" s="33">
        <f t="shared" si="1"/>
        <v>94.64</v>
      </c>
      <c r="N35" s="33">
        <f t="shared" si="1"/>
        <v>527.79999999999995</v>
      </c>
      <c r="O35" s="33">
        <f t="shared" si="1"/>
        <v>0</v>
      </c>
      <c r="P35" s="33">
        <f t="shared" si="1"/>
        <v>1.04</v>
      </c>
      <c r="Q35" s="33">
        <f t="shared" si="1"/>
        <v>5.4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18.479166666666675</v>
      </c>
      <c r="C36" s="40">
        <f t="shared" si="2"/>
        <v>28.312083333333334</v>
      </c>
      <c r="D36" s="40">
        <f t="shared" si="2"/>
        <v>30.766666666666666</v>
      </c>
      <c r="E36" s="40">
        <f t="shared" si="2"/>
        <v>8.6245833333333355</v>
      </c>
      <c r="F36" s="40">
        <f t="shared" si="2"/>
        <v>3.6633333333333336</v>
      </c>
      <c r="G36" s="40">
        <f t="shared" si="2"/>
        <v>101.17208333333333</v>
      </c>
      <c r="H36" s="40">
        <f t="shared" si="2"/>
        <v>39.498750000000001</v>
      </c>
      <c r="I36" s="40">
        <f t="shared" si="2"/>
        <v>7.7220833333333339</v>
      </c>
      <c r="J36" s="40">
        <f t="shared" si="2"/>
        <v>0.32</v>
      </c>
      <c r="K36" s="40">
        <f t="shared" si="2"/>
        <v>178.90958333333333</v>
      </c>
      <c r="L36" s="40">
        <f t="shared" si="2"/>
        <v>23.819583333333327</v>
      </c>
      <c r="M36" s="40">
        <f t="shared" si="2"/>
        <v>70.464999999999989</v>
      </c>
      <c r="N36" s="40">
        <f t="shared" si="2"/>
        <v>129.47499999999999</v>
      </c>
      <c r="O36" s="40">
        <f t="shared" si="2"/>
        <v>0</v>
      </c>
      <c r="P36" s="40">
        <f t="shared" si="2"/>
        <v>0.89374999999999982</v>
      </c>
      <c r="Q36" s="40">
        <f t="shared" si="2"/>
        <v>4.7179166666666665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11.8280631354517</v>
      </c>
      <c r="C37" s="40">
        <f t="shared" ref="C37:Q37" si="3">STDEV(C9:C32)</f>
        <v>1.4449912867697758</v>
      </c>
      <c r="D37" s="40">
        <f t="shared" si="3"/>
        <v>9.7926488252409474</v>
      </c>
      <c r="E37" s="40">
        <f t="shared" si="3"/>
        <v>1.1394811144309904</v>
      </c>
      <c r="F37" s="40">
        <f t="shared" si="3"/>
        <v>1.3252913270105107</v>
      </c>
      <c r="G37" s="40">
        <f t="shared" si="3"/>
        <v>13.532297911861024</v>
      </c>
      <c r="H37" s="40">
        <f t="shared" si="3"/>
        <v>3.7612270344061045</v>
      </c>
      <c r="I37" s="40">
        <f t="shared" si="3"/>
        <v>1.7451646967666314</v>
      </c>
      <c r="J37" s="40">
        <f t="shared" si="3"/>
        <v>0.19693300560254534</v>
      </c>
      <c r="K37" s="40">
        <f t="shared" si="3"/>
        <v>88.932097911548638</v>
      </c>
      <c r="L37" s="40">
        <f t="shared" si="3"/>
        <v>4.2109231448560429</v>
      </c>
      <c r="M37" s="40">
        <f t="shared" si="3"/>
        <v>18.191516178415849</v>
      </c>
      <c r="N37" s="40">
        <f t="shared" si="3"/>
        <v>196.37885800046101</v>
      </c>
      <c r="O37" s="40">
        <f t="shared" si="3"/>
        <v>0</v>
      </c>
      <c r="P37" s="40">
        <f t="shared" si="3"/>
        <v>0.11627600223456507</v>
      </c>
      <c r="Q37" s="40">
        <f t="shared" si="3"/>
        <v>0.41037606471717408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23/11/2023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43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52" t="s">
        <v>588</v>
      </c>
      <c r="B9" s="53">
        <v>6.33</v>
      </c>
      <c r="C9" s="53">
        <v>25.66</v>
      </c>
      <c r="D9" s="53">
        <v>19.829999999999998</v>
      </c>
      <c r="E9" s="53">
        <v>8.61</v>
      </c>
      <c r="F9" s="53">
        <v>3.39</v>
      </c>
      <c r="G9" s="53">
        <v>95.36</v>
      </c>
      <c r="H9" s="53">
        <v>39.33</v>
      </c>
      <c r="I9" s="53">
        <v>6.28</v>
      </c>
      <c r="J9" s="53">
        <v>0.09</v>
      </c>
      <c r="K9" s="53">
        <v>231.77</v>
      </c>
      <c r="L9" s="53">
        <v>19.649999999999999</v>
      </c>
      <c r="M9" s="53">
        <v>84.97</v>
      </c>
      <c r="N9" s="53">
        <v>0</v>
      </c>
      <c r="O9" s="53">
        <v>0</v>
      </c>
      <c r="P9" s="53">
        <v>0.78</v>
      </c>
      <c r="Q9" s="54">
        <v>4.29</v>
      </c>
    </row>
    <row r="10" spans="1:21">
      <c r="A10" s="52" t="s">
        <v>589</v>
      </c>
      <c r="B10" s="53">
        <v>9.81</v>
      </c>
      <c r="C10" s="53">
        <v>28.91</v>
      </c>
      <c r="D10" s="53">
        <v>24.33</v>
      </c>
      <c r="E10" s="53">
        <v>8.6</v>
      </c>
      <c r="F10" s="53">
        <v>2.66</v>
      </c>
      <c r="G10" s="53">
        <v>84.25</v>
      </c>
      <c r="H10" s="53">
        <v>38.31</v>
      </c>
      <c r="I10" s="53">
        <v>6.06</v>
      </c>
      <c r="J10" s="53">
        <v>0.28999999999999998</v>
      </c>
      <c r="K10" s="53">
        <v>64.14</v>
      </c>
      <c r="L10" s="53">
        <v>19.559999999999999</v>
      </c>
      <c r="M10" s="53">
        <v>81.84</v>
      </c>
      <c r="N10" s="53">
        <v>0</v>
      </c>
      <c r="O10" s="53">
        <v>0</v>
      </c>
      <c r="P10" s="53">
        <v>0.77</v>
      </c>
      <c r="Q10" s="54">
        <v>4.45</v>
      </c>
    </row>
    <row r="11" spans="1:21">
      <c r="A11" s="52" t="s">
        <v>590</v>
      </c>
      <c r="B11" s="53">
        <v>9.74</v>
      </c>
      <c r="C11" s="53">
        <v>28.68</v>
      </c>
      <c r="D11" s="53">
        <v>24.08</v>
      </c>
      <c r="E11" s="53">
        <v>7.19</v>
      </c>
      <c r="F11" s="53">
        <v>3.04</v>
      </c>
      <c r="G11" s="53">
        <v>81.900000000000006</v>
      </c>
      <c r="H11" s="53">
        <v>37.08</v>
      </c>
      <c r="I11" s="53">
        <v>6.38</v>
      </c>
      <c r="J11" s="53">
        <v>0.28999999999999998</v>
      </c>
      <c r="K11" s="53">
        <v>57.89</v>
      </c>
      <c r="L11" s="53">
        <v>19.3</v>
      </c>
      <c r="M11" s="53">
        <v>84.71</v>
      </c>
      <c r="N11" s="53">
        <v>0</v>
      </c>
      <c r="O11" s="53">
        <v>0</v>
      </c>
      <c r="P11" s="53">
        <v>0.76</v>
      </c>
      <c r="Q11" s="54">
        <v>4.4400000000000004</v>
      </c>
    </row>
    <row r="12" spans="1:21">
      <c r="A12" s="52" t="s">
        <v>591</v>
      </c>
      <c r="B12" s="53">
        <v>10.89</v>
      </c>
      <c r="C12" s="53">
        <v>25.99</v>
      </c>
      <c r="D12" s="53">
        <v>23.66</v>
      </c>
      <c r="E12" s="53">
        <v>6.12</v>
      </c>
      <c r="F12" s="53">
        <v>3.06</v>
      </c>
      <c r="G12" s="53">
        <v>87.87</v>
      </c>
      <c r="H12" s="53">
        <v>37.21</v>
      </c>
      <c r="I12" s="53">
        <v>6.53</v>
      </c>
      <c r="J12" s="53">
        <v>0.28000000000000003</v>
      </c>
      <c r="K12" s="53">
        <v>52.26</v>
      </c>
      <c r="L12" s="53">
        <v>18.850000000000001</v>
      </c>
      <c r="M12" s="53">
        <v>85.53</v>
      </c>
      <c r="N12" s="53">
        <v>0</v>
      </c>
      <c r="O12" s="53">
        <v>0</v>
      </c>
      <c r="P12" s="53">
        <v>0.72</v>
      </c>
      <c r="Q12" s="54">
        <v>4.43</v>
      </c>
    </row>
    <row r="13" spans="1:21">
      <c r="A13" s="52" t="s">
        <v>592</v>
      </c>
      <c r="B13" s="53">
        <v>12.31</v>
      </c>
      <c r="C13" s="53">
        <v>26.49</v>
      </c>
      <c r="D13" s="53">
        <v>24.89</v>
      </c>
      <c r="E13" s="53">
        <v>5.74</v>
      </c>
      <c r="F13" s="53">
        <v>2.71</v>
      </c>
      <c r="G13" s="53">
        <v>87.87</v>
      </c>
      <c r="H13" s="53">
        <v>37.21</v>
      </c>
      <c r="I13" s="53">
        <v>6.43</v>
      </c>
      <c r="J13" s="53">
        <v>0.12</v>
      </c>
      <c r="K13" s="53">
        <v>93.15</v>
      </c>
      <c r="L13" s="53">
        <v>18.52</v>
      </c>
      <c r="M13" s="53">
        <v>83.1</v>
      </c>
      <c r="N13" s="53">
        <v>0</v>
      </c>
      <c r="O13" s="53">
        <v>0</v>
      </c>
      <c r="P13" s="53">
        <v>0.7</v>
      </c>
      <c r="Q13" s="54">
        <v>4.49</v>
      </c>
    </row>
    <row r="14" spans="1:21">
      <c r="A14" s="52" t="s">
        <v>593</v>
      </c>
      <c r="B14" s="53">
        <v>13.95</v>
      </c>
      <c r="C14" s="53">
        <v>27.06</v>
      </c>
      <c r="D14" s="53">
        <v>26.67</v>
      </c>
      <c r="E14" s="53">
        <v>5.85</v>
      </c>
      <c r="F14" s="53">
        <v>2.62</v>
      </c>
      <c r="G14" s="53">
        <v>87.1</v>
      </c>
      <c r="H14" s="53">
        <v>37.79</v>
      </c>
      <c r="I14" s="53">
        <v>6.36</v>
      </c>
      <c r="J14" s="53">
        <v>0.2</v>
      </c>
      <c r="K14" s="53">
        <v>56.87</v>
      </c>
      <c r="L14" s="53">
        <v>18.440000000000001</v>
      </c>
      <c r="M14" s="53">
        <v>83.87</v>
      </c>
      <c r="N14" s="53">
        <v>0</v>
      </c>
      <c r="O14" s="53">
        <v>0</v>
      </c>
      <c r="P14" s="53">
        <v>0.7</v>
      </c>
      <c r="Q14" s="54">
        <v>4.54</v>
      </c>
    </row>
    <row r="15" spans="1:21">
      <c r="A15" s="52" t="s">
        <v>594</v>
      </c>
      <c r="B15" s="53">
        <v>14.89</v>
      </c>
      <c r="C15" s="53">
        <v>27.49</v>
      </c>
      <c r="D15" s="53">
        <v>27.65</v>
      </c>
      <c r="E15" s="53">
        <v>6.18</v>
      </c>
      <c r="F15" s="53">
        <v>2.68</v>
      </c>
      <c r="G15" s="53">
        <v>87.1</v>
      </c>
      <c r="H15" s="53">
        <v>39.18</v>
      </c>
      <c r="I15" s="53">
        <v>6.19</v>
      </c>
      <c r="J15" s="53">
        <v>0.35</v>
      </c>
      <c r="K15" s="53">
        <v>163.93</v>
      </c>
      <c r="L15" s="53">
        <v>18.68</v>
      </c>
      <c r="M15" s="53">
        <v>85.06</v>
      </c>
      <c r="N15" s="53">
        <v>19.100000000000001</v>
      </c>
      <c r="O15" s="53">
        <v>0</v>
      </c>
      <c r="P15" s="53">
        <v>0.7</v>
      </c>
      <c r="Q15" s="54">
        <v>4.5999999999999996</v>
      </c>
    </row>
    <row r="16" spans="1:21">
      <c r="A16" s="52" t="s">
        <v>595</v>
      </c>
      <c r="B16" s="53">
        <v>14.9</v>
      </c>
      <c r="C16" s="53">
        <v>28.05</v>
      </c>
      <c r="D16" s="53">
        <v>27.92</v>
      </c>
      <c r="E16" s="53">
        <v>6.47</v>
      </c>
      <c r="F16" s="53">
        <v>2.84</v>
      </c>
      <c r="G16" s="53">
        <v>86.01</v>
      </c>
      <c r="H16" s="53">
        <v>40.56</v>
      </c>
      <c r="I16" s="53">
        <v>6.33</v>
      </c>
      <c r="J16" s="53">
        <v>0.41</v>
      </c>
      <c r="K16" s="53">
        <v>56.54</v>
      </c>
      <c r="L16" s="53">
        <v>20.43</v>
      </c>
      <c r="M16" s="53">
        <v>84.47</v>
      </c>
      <c r="N16" s="53">
        <v>130.5</v>
      </c>
      <c r="O16" s="53">
        <v>0</v>
      </c>
      <c r="P16" s="53">
        <v>0.78</v>
      </c>
      <c r="Q16" s="54">
        <v>4.5999999999999996</v>
      </c>
    </row>
    <row r="17" spans="1:17">
      <c r="A17" s="52" t="s">
        <v>596</v>
      </c>
      <c r="B17" s="53">
        <v>13.7</v>
      </c>
      <c r="C17" s="53">
        <v>31.17</v>
      </c>
      <c r="D17" s="53">
        <v>27.47</v>
      </c>
      <c r="E17" s="53">
        <v>7.31</v>
      </c>
      <c r="F17" s="53">
        <v>3.21</v>
      </c>
      <c r="G17" s="53">
        <v>91.72</v>
      </c>
      <c r="H17" s="53">
        <v>42.71</v>
      </c>
      <c r="I17" s="53">
        <v>7.07</v>
      </c>
      <c r="J17" s="53">
        <v>0.42</v>
      </c>
      <c r="K17" s="53">
        <v>92.8</v>
      </c>
      <c r="L17" s="53">
        <v>23.45</v>
      </c>
      <c r="M17" s="53">
        <v>74.67</v>
      </c>
      <c r="N17" s="53">
        <v>246.5</v>
      </c>
      <c r="O17" s="53">
        <v>0</v>
      </c>
      <c r="P17" s="53">
        <v>0.84</v>
      </c>
      <c r="Q17" s="54">
        <v>4.57</v>
      </c>
    </row>
    <row r="18" spans="1:17">
      <c r="A18" s="52" t="s">
        <v>597</v>
      </c>
      <c r="B18" s="53">
        <v>10.41</v>
      </c>
      <c r="C18" s="53">
        <v>31.58</v>
      </c>
      <c r="D18" s="53">
        <v>25.94</v>
      </c>
      <c r="E18" s="53">
        <v>7.63</v>
      </c>
      <c r="F18" s="53">
        <v>3.69</v>
      </c>
      <c r="G18" s="53">
        <v>107.51</v>
      </c>
      <c r="H18" s="53">
        <v>44.2</v>
      </c>
      <c r="I18" s="53">
        <v>8.1300000000000008</v>
      </c>
      <c r="J18" s="53">
        <v>0.44</v>
      </c>
      <c r="K18" s="53">
        <v>65.099999999999994</v>
      </c>
      <c r="L18" s="53">
        <v>26.16</v>
      </c>
      <c r="M18" s="53">
        <v>63.46</v>
      </c>
      <c r="N18" s="53">
        <v>376</v>
      </c>
      <c r="O18" s="53">
        <v>0</v>
      </c>
      <c r="P18" s="53">
        <v>0.87</v>
      </c>
      <c r="Q18" s="54">
        <v>4.5</v>
      </c>
    </row>
    <row r="19" spans="1:17">
      <c r="A19" s="52" t="s">
        <v>598</v>
      </c>
      <c r="B19" s="53">
        <v>6.42</v>
      </c>
      <c r="C19" s="53">
        <v>31.18</v>
      </c>
      <c r="D19" s="53">
        <v>22.79</v>
      </c>
      <c r="E19" s="53">
        <v>11.56</v>
      </c>
      <c r="F19" s="53">
        <v>5.75</v>
      </c>
      <c r="G19" s="53">
        <v>107.51</v>
      </c>
      <c r="H19" s="53">
        <v>44.2</v>
      </c>
      <c r="I19" s="53">
        <v>8</v>
      </c>
      <c r="J19" s="53">
        <v>0.49</v>
      </c>
      <c r="K19" s="53">
        <v>99.03</v>
      </c>
      <c r="L19" s="53">
        <v>28.33</v>
      </c>
      <c r="M19" s="53">
        <v>51.23</v>
      </c>
      <c r="N19" s="53">
        <v>427.6</v>
      </c>
      <c r="O19" s="53">
        <v>0</v>
      </c>
      <c r="P19" s="53">
        <v>0.87</v>
      </c>
      <c r="Q19" s="54">
        <v>4.37</v>
      </c>
    </row>
    <row r="20" spans="1:17">
      <c r="A20" s="52" t="s">
        <v>599</v>
      </c>
      <c r="B20" s="53">
        <v>3.96</v>
      </c>
      <c r="C20" s="53">
        <v>27.78</v>
      </c>
      <c r="D20" s="53">
        <v>19.04</v>
      </c>
      <c r="E20" s="53">
        <v>11.69</v>
      </c>
      <c r="F20" s="53">
        <v>6.8</v>
      </c>
      <c r="G20" s="53">
        <v>96.48</v>
      </c>
      <c r="H20" s="53">
        <v>42.85</v>
      </c>
      <c r="I20" s="53">
        <v>7.21</v>
      </c>
      <c r="J20" s="53">
        <v>0.51</v>
      </c>
      <c r="K20" s="53">
        <v>269.66000000000003</v>
      </c>
      <c r="L20" s="53">
        <v>29.2</v>
      </c>
      <c r="M20" s="53">
        <v>45.55</v>
      </c>
      <c r="N20" s="53">
        <v>476.9</v>
      </c>
      <c r="O20" s="53">
        <v>0</v>
      </c>
      <c r="P20" s="53">
        <v>0.81</v>
      </c>
      <c r="Q20" s="54">
        <v>4.25</v>
      </c>
    </row>
    <row r="21" spans="1:17">
      <c r="A21" s="52" t="s">
        <v>600</v>
      </c>
      <c r="B21" s="53">
        <v>4.04</v>
      </c>
      <c r="C21" s="53">
        <v>24.85</v>
      </c>
      <c r="D21" s="53">
        <v>17.36</v>
      </c>
      <c r="E21" s="53">
        <v>12.09</v>
      </c>
      <c r="F21" s="53">
        <v>6.6</v>
      </c>
      <c r="G21" s="53">
        <v>85.82</v>
      </c>
      <c r="H21" s="53">
        <v>39.93</v>
      </c>
      <c r="I21" s="53">
        <v>6.37</v>
      </c>
      <c r="J21" s="53">
        <v>0.46</v>
      </c>
      <c r="K21" s="53">
        <v>152.13</v>
      </c>
      <c r="L21" s="53">
        <v>29.31</v>
      </c>
      <c r="M21" s="53">
        <v>41.34</v>
      </c>
      <c r="N21" s="53">
        <v>485.5</v>
      </c>
      <c r="O21" s="53">
        <v>0</v>
      </c>
      <c r="P21" s="53">
        <v>0.74</v>
      </c>
      <c r="Q21" s="54">
        <v>4.21</v>
      </c>
    </row>
    <row r="22" spans="1:17">
      <c r="A22" s="52" t="s">
        <v>601</v>
      </c>
      <c r="B22" s="53">
        <v>4.37</v>
      </c>
      <c r="C22" s="53">
        <v>21.46</v>
      </c>
      <c r="D22" s="53">
        <v>15.96</v>
      </c>
      <c r="E22" s="53">
        <v>10.62</v>
      </c>
      <c r="F22" s="53">
        <v>6.01</v>
      </c>
      <c r="G22" s="53">
        <v>84.75</v>
      </c>
      <c r="H22" s="53">
        <v>39.549999999999997</v>
      </c>
      <c r="I22" s="53">
        <v>5.72</v>
      </c>
      <c r="J22" s="53">
        <v>0.28000000000000003</v>
      </c>
      <c r="K22" s="53">
        <v>94.73</v>
      </c>
      <c r="L22" s="53">
        <v>30.02</v>
      </c>
      <c r="M22" s="53">
        <v>40.42</v>
      </c>
      <c r="N22" s="53">
        <v>411.6</v>
      </c>
      <c r="O22" s="53">
        <v>0</v>
      </c>
      <c r="P22" s="53">
        <v>0.71</v>
      </c>
      <c r="Q22" s="54">
        <v>4.18</v>
      </c>
    </row>
    <row r="23" spans="1:17">
      <c r="A23" s="52" t="s">
        <v>602</v>
      </c>
      <c r="B23" s="53">
        <v>4.41</v>
      </c>
      <c r="C23" s="53">
        <v>19.73</v>
      </c>
      <c r="D23" s="53">
        <v>15.17</v>
      </c>
      <c r="E23" s="53">
        <v>9.99</v>
      </c>
      <c r="F23" s="53">
        <v>8</v>
      </c>
      <c r="G23" s="53">
        <v>75.430000000000007</v>
      </c>
      <c r="H23" s="53">
        <v>39.520000000000003</v>
      </c>
      <c r="I23" s="53">
        <v>5.55</v>
      </c>
      <c r="J23" s="53">
        <v>0.39</v>
      </c>
      <c r="K23" s="53">
        <v>342.75</v>
      </c>
      <c r="L23" s="53">
        <v>29.29</v>
      </c>
      <c r="M23" s="53">
        <v>42.42</v>
      </c>
      <c r="N23" s="53">
        <v>161.5</v>
      </c>
      <c r="O23" s="53">
        <v>0</v>
      </c>
      <c r="P23" s="53">
        <v>0.68</v>
      </c>
      <c r="Q23" s="54">
        <v>4.1500000000000004</v>
      </c>
    </row>
    <row r="24" spans="1:17">
      <c r="A24" s="52" t="s">
        <v>603</v>
      </c>
      <c r="B24" s="53">
        <v>4.4000000000000004</v>
      </c>
      <c r="C24" s="53">
        <v>19.04</v>
      </c>
      <c r="D24" s="53">
        <v>14.82</v>
      </c>
      <c r="E24" s="53">
        <v>8.6199999999999992</v>
      </c>
      <c r="F24" s="53">
        <v>4.29</v>
      </c>
      <c r="G24" s="53">
        <v>64.2</v>
      </c>
      <c r="H24" s="53">
        <v>35.24</v>
      </c>
      <c r="I24" s="53">
        <v>5.36</v>
      </c>
      <c r="J24" s="53">
        <v>0.37</v>
      </c>
      <c r="K24" s="53">
        <v>191.81</v>
      </c>
      <c r="L24" s="53">
        <v>28.38</v>
      </c>
      <c r="M24" s="53">
        <v>47.8</v>
      </c>
      <c r="N24" s="53">
        <v>84.7</v>
      </c>
      <c r="O24" s="53">
        <v>0</v>
      </c>
      <c r="P24" s="53">
        <v>0.66</v>
      </c>
      <c r="Q24" s="54">
        <v>4.1500000000000004</v>
      </c>
    </row>
    <row r="25" spans="1:17">
      <c r="A25" s="52" t="s">
        <v>604</v>
      </c>
      <c r="B25" s="53">
        <v>4.84</v>
      </c>
      <c r="C25" s="53">
        <v>20.84</v>
      </c>
      <c r="D25" s="53">
        <v>16.12</v>
      </c>
      <c r="E25" s="53">
        <v>9.35</v>
      </c>
      <c r="F25" s="53">
        <v>4.8899999999999997</v>
      </c>
      <c r="G25" s="53">
        <v>64.3</v>
      </c>
      <c r="H25" s="53">
        <v>34.76</v>
      </c>
      <c r="I25" s="53">
        <v>5.21</v>
      </c>
      <c r="J25" s="53">
        <v>0.21</v>
      </c>
      <c r="K25" s="53">
        <v>157.13</v>
      </c>
      <c r="L25" s="53">
        <v>27.3</v>
      </c>
      <c r="M25" s="53">
        <v>55.64</v>
      </c>
      <c r="N25" s="53">
        <v>37.4</v>
      </c>
      <c r="O25" s="53">
        <v>0</v>
      </c>
      <c r="P25" s="53">
        <v>0.66</v>
      </c>
      <c r="Q25" s="54">
        <v>4.1500000000000004</v>
      </c>
    </row>
    <row r="26" spans="1:17">
      <c r="A26" s="52" t="s">
        <v>605</v>
      </c>
      <c r="B26" s="53">
        <v>5.18</v>
      </c>
      <c r="C26" s="53">
        <v>25.24</v>
      </c>
      <c r="D26" s="53">
        <v>18.62</v>
      </c>
      <c r="E26" s="53">
        <v>9.91</v>
      </c>
      <c r="F26" s="53">
        <v>3.38</v>
      </c>
      <c r="G26" s="53">
        <v>91.05</v>
      </c>
      <c r="H26" s="53">
        <v>39.17</v>
      </c>
      <c r="I26" s="53">
        <v>5.28</v>
      </c>
      <c r="J26" s="53">
        <v>0.28999999999999998</v>
      </c>
      <c r="K26" s="53">
        <v>170.58</v>
      </c>
      <c r="L26" s="53">
        <v>25.15</v>
      </c>
      <c r="M26" s="53">
        <v>64.36</v>
      </c>
      <c r="N26" s="53">
        <v>0</v>
      </c>
      <c r="O26" s="53">
        <v>0</v>
      </c>
      <c r="P26" s="53">
        <v>0.79</v>
      </c>
      <c r="Q26" s="54">
        <v>4.22</v>
      </c>
    </row>
    <row r="27" spans="1:17">
      <c r="A27" s="52" t="s">
        <v>606</v>
      </c>
      <c r="B27" s="53">
        <v>8.93</v>
      </c>
      <c r="C27" s="53">
        <v>33.08</v>
      </c>
      <c r="D27" s="53">
        <v>25.8</v>
      </c>
      <c r="E27" s="53">
        <v>10.31</v>
      </c>
      <c r="F27" s="53">
        <v>2.67</v>
      </c>
      <c r="G27" s="53">
        <v>123.12</v>
      </c>
      <c r="H27" s="53">
        <v>39.42</v>
      </c>
      <c r="I27" s="53">
        <v>6.62</v>
      </c>
      <c r="J27" s="53">
        <v>0.18</v>
      </c>
      <c r="K27" s="53">
        <v>155.13</v>
      </c>
      <c r="L27" s="53">
        <v>24.12</v>
      </c>
      <c r="M27" s="53">
        <v>63.44</v>
      </c>
      <c r="N27" s="53">
        <v>0</v>
      </c>
      <c r="O27" s="53">
        <v>0</v>
      </c>
      <c r="P27" s="53">
        <v>0.97</v>
      </c>
      <c r="Q27" s="54">
        <v>4.43</v>
      </c>
    </row>
    <row r="28" spans="1:17">
      <c r="A28" s="52" t="s">
        <v>607</v>
      </c>
      <c r="B28" s="53">
        <v>12.49</v>
      </c>
      <c r="C28" s="53">
        <v>37.36</v>
      </c>
      <c r="D28" s="53">
        <v>30.89</v>
      </c>
      <c r="E28" s="53">
        <v>11.44</v>
      </c>
      <c r="F28" s="53">
        <v>2.62</v>
      </c>
      <c r="G28" s="53">
        <v>156.02000000000001</v>
      </c>
      <c r="H28" s="53">
        <v>49.28</v>
      </c>
      <c r="I28" s="53">
        <v>7.97</v>
      </c>
      <c r="J28" s="53">
        <v>0.36</v>
      </c>
      <c r="K28" s="53">
        <v>143.1</v>
      </c>
      <c r="L28" s="53">
        <v>23.52</v>
      </c>
      <c r="M28" s="53">
        <v>65.05</v>
      </c>
      <c r="N28" s="53">
        <v>0</v>
      </c>
      <c r="O28" s="53">
        <v>0</v>
      </c>
      <c r="P28" s="53">
        <v>1.1399999999999999</v>
      </c>
      <c r="Q28" s="54">
        <v>4.59</v>
      </c>
    </row>
    <row r="29" spans="1:17">
      <c r="A29" s="52" t="s">
        <v>608</v>
      </c>
      <c r="B29" s="53">
        <v>12.48</v>
      </c>
      <c r="C29" s="53">
        <v>37.85</v>
      </c>
      <c r="D29" s="53">
        <v>31.14</v>
      </c>
      <c r="E29" s="53">
        <v>11.39</v>
      </c>
      <c r="F29" s="53">
        <v>2.8</v>
      </c>
      <c r="G29" s="53">
        <v>178.04</v>
      </c>
      <c r="H29" s="53">
        <v>62.11</v>
      </c>
      <c r="I29" s="53">
        <v>8.42</v>
      </c>
      <c r="J29" s="53">
        <v>0.16</v>
      </c>
      <c r="K29" s="53">
        <v>137.38999999999999</v>
      </c>
      <c r="L29" s="53">
        <v>23.18</v>
      </c>
      <c r="M29" s="53">
        <v>66.290000000000006</v>
      </c>
      <c r="N29" s="53">
        <v>0</v>
      </c>
      <c r="O29" s="53">
        <v>0</v>
      </c>
      <c r="P29" s="53">
        <v>1.1599999999999999</v>
      </c>
      <c r="Q29" s="54">
        <v>4.6100000000000003</v>
      </c>
    </row>
    <row r="30" spans="1:17">
      <c r="A30" s="52" t="s">
        <v>609</v>
      </c>
      <c r="B30" s="53">
        <v>11.05</v>
      </c>
      <c r="C30" s="53">
        <v>36.869999999999997</v>
      </c>
      <c r="D30" s="53">
        <v>29.47</v>
      </c>
      <c r="E30" s="53">
        <v>11.59</v>
      </c>
      <c r="F30" s="53">
        <v>2.93</v>
      </c>
      <c r="G30" s="53">
        <v>178.04</v>
      </c>
      <c r="H30" s="53">
        <v>65.2</v>
      </c>
      <c r="I30" s="53">
        <v>8.82</v>
      </c>
      <c r="J30" s="53">
        <v>0.2</v>
      </c>
      <c r="K30" s="53">
        <v>239.65</v>
      </c>
      <c r="L30" s="53">
        <v>22.49</v>
      </c>
      <c r="M30" s="53">
        <v>68.900000000000006</v>
      </c>
      <c r="N30" s="53">
        <v>0</v>
      </c>
      <c r="O30" s="53">
        <v>0</v>
      </c>
      <c r="P30" s="53">
        <v>1.17</v>
      </c>
      <c r="Q30" s="54">
        <v>4.55</v>
      </c>
    </row>
    <row r="31" spans="1:17">
      <c r="A31" s="52" t="s">
        <v>610</v>
      </c>
      <c r="B31" s="53">
        <v>10.09</v>
      </c>
      <c r="C31" s="53">
        <v>35.880000000000003</v>
      </c>
      <c r="D31" s="53">
        <v>28.19</v>
      </c>
      <c r="E31" s="53">
        <v>10.93</v>
      </c>
      <c r="F31" s="53">
        <v>3.12</v>
      </c>
      <c r="G31" s="53">
        <v>175.3</v>
      </c>
      <c r="H31" s="53">
        <v>67.59</v>
      </c>
      <c r="I31" s="53">
        <v>9.67</v>
      </c>
      <c r="J31" s="53">
        <v>0.16</v>
      </c>
      <c r="K31" s="53">
        <v>215.54</v>
      </c>
      <c r="L31" s="53">
        <v>21.34</v>
      </c>
      <c r="M31" s="53">
        <v>82.6</v>
      </c>
      <c r="N31" s="53">
        <v>0</v>
      </c>
      <c r="O31" s="53">
        <v>0</v>
      </c>
      <c r="P31" s="53">
        <v>1.1100000000000001</v>
      </c>
      <c r="Q31" s="54">
        <v>4.5199999999999996</v>
      </c>
    </row>
    <row r="32" spans="1:17">
      <c r="A32" s="52" t="s">
        <v>611</v>
      </c>
      <c r="B32" s="53">
        <v>9.52</v>
      </c>
      <c r="C32" s="53">
        <v>26.9</v>
      </c>
      <c r="D32" s="53">
        <v>23.04</v>
      </c>
      <c r="E32" s="53">
        <v>8.7100000000000009</v>
      </c>
      <c r="F32" s="53">
        <v>2.89</v>
      </c>
      <c r="G32" s="53">
        <v>161.72</v>
      </c>
      <c r="H32" s="53">
        <v>67.59</v>
      </c>
      <c r="I32" s="53">
        <v>9.64</v>
      </c>
      <c r="J32" s="53">
        <v>0.16</v>
      </c>
      <c r="K32" s="53">
        <v>231.76</v>
      </c>
      <c r="L32" s="53">
        <v>20</v>
      </c>
      <c r="M32" s="53">
        <v>83.99</v>
      </c>
      <c r="N32" s="53">
        <v>0</v>
      </c>
      <c r="O32" s="53">
        <v>0</v>
      </c>
      <c r="P32" s="53">
        <v>1.02</v>
      </c>
      <c r="Q32" s="54">
        <v>4.41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3.96</v>
      </c>
      <c r="C34" s="40">
        <f t="shared" si="0"/>
        <v>19.04</v>
      </c>
      <c r="D34" s="40">
        <f t="shared" si="0"/>
        <v>14.82</v>
      </c>
      <c r="E34" s="40">
        <f t="shared" si="0"/>
        <v>5.74</v>
      </c>
      <c r="F34" s="40">
        <f t="shared" si="0"/>
        <v>2.62</v>
      </c>
      <c r="G34" s="40">
        <f t="shared" si="0"/>
        <v>64.2</v>
      </c>
      <c r="H34" s="40">
        <f t="shared" si="0"/>
        <v>34.76</v>
      </c>
      <c r="I34" s="40">
        <f t="shared" si="0"/>
        <v>5.21</v>
      </c>
      <c r="J34" s="40">
        <f t="shared" si="0"/>
        <v>0.09</v>
      </c>
      <c r="K34" s="40">
        <f t="shared" si="0"/>
        <v>52.26</v>
      </c>
      <c r="L34" s="40">
        <f t="shared" si="0"/>
        <v>18.440000000000001</v>
      </c>
      <c r="M34" s="40">
        <f t="shared" si="0"/>
        <v>40.42</v>
      </c>
      <c r="N34" s="40">
        <f t="shared" si="0"/>
        <v>0</v>
      </c>
      <c r="O34" s="40">
        <f t="shared" si="0"/>
        <v>0</v>
      </c>
      <c r="P34" s="40">
        <f t="shared" si="0"/>
        <v>0.66</v>
      </c>
      <c r="Q34" s="40">
        <f t="shared" si="0"/>
        <v>4.1500000000000004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14.9</v>
      </c>
      <c r="C35" s="33">
        <f t="shared" si="1"/>
        <v>37.85</v>
      </c>
      <c r="D35" s="33">
        <f t="shared" si="1"/>
        <v>31.14</v>
      </c>
      <c r="E35" s="33">
        <f t="shared" si="1"/>
        <v>12.09</v>
      </c>
      <c r="F35" s="33">
        <f t="shared" si="1"/>
        <v>8</v>
      </c>
      <c r="G35" s="33">
        <f t="shared" si="1"/>
        <v>178.04</v>
      </c>
      <c r="H35" s="33">
        <f t="shared" si="1"/>
        <v>67.59</v>
      </c>
      <c r="I35" s="33">
        <f t="shared" si="1"/>
        <v>9.67</v>
      </c>
      <c r="J35" s="33">
        <f t="shared" si="1"/>
        <v>0.51</v>
      </c>
      <c r="K35" s="33">
        <f t="shared" si="1"/>
        <v>342.75</v>
      </c>
      <c r="L35" s="33">
        <f t="shared" si="1"/>
        <v>30.02</v>
      </c>
      <c r="M35" s="33">
        <f t="shared" si="1"/>
        <v>85.53</v>
      </c>
      <c r="N35" s="33">
        <f t="shared" si="1"/>
        <v>485.5</v>
      </c>
      <c r="O35" s="33">
        <f t="shared" si="1"/>
        <v>0</v>
      </c>
      <c r="P35" s="33">
        <f t="shared" si="1"/>
        <v>1.17</v>
      </c>
      <c r="Q35" s="33">
        <f t="shared" si="1"/>
        <v>4.6100000000000003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9.1295833333333345</v>
      </c>
      <c r="C36" s="40">
        <f t="shared" si="2"/>
        <v>28.297499999999999</v>
      </c>
      <c r="D36" s="40">
        <f t="shared" si="2"/>
        <v>23.368750000000002</v>
      </c>
      <c r="E36" s="40">
        <f t="shared" si="2"/>
        <v>9.0791666666666675</v>
      </c>
      <c r="F36" s="40">
        <f t="shared" si="2"/>
        <v>3.8604166666666675</v>
      </c>
      <c r="G36" s="40">
        <f t="shared" si="2"/>
        <v>105.76958333333333</v>
      </c>
      <c r="H36" s="40">
        <f t="shared" si="2"/>
        <v>44.166249999999991</v>
      </c>
      <c r="I36" s="40">
        <f t="shared" si="2"/>
        <v>6.8999999999999986</v>
      </c>
      <c r="J36" s="40">
        <f t="shared" si="2"/>
        <v>0.29625000000000001</v>
      </c>
      <c r="K36" s="40">
        <f t="shared" si="2"/>
        <v>147.285</v>
      </c>
      <c r="L36" s="40">
        <f t="shared" si="2"/>
        <v>23.527916666666666</v>
      </c>
      <c r="M36" s="40">
        <f t="shared" si="2"/>
        <v>67.946249999999992</v>
      </c>
      <c r="N36" s="40">
        <f t="shared" si="2"/>
        <v>119.05416666666666</v>
      </c>
      <c r="O36" s="40">
        <f t="shared" si="2"/>
        <v>0</v>
      </c>
      <c r="P36" s="40">
        <f t="shared" si="2"/>
        <v>0.83791666666666653</v>
      </c>
      <c r="Q36" s="40">
        <f t="shared" si="2"/>
        <v>4.4041666666666668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3.745835344424016</v>
      </c>
      <c r="C37" s="40">
        <f t="shared" ref="C37:Q37" si="3">STDEV(C9:C32)</f>
        <v>5.3479213759626631</v>
      </c>
      <c r="D37" s="40">
        <f t="shared" si="3"/>
        <v>5.1017391003290253</v>
      </c>
      <c r="E37" s="40">
        <f t="shared" si="3"/>
        <v>2.1193188336917448</v>
      </c>
      <c r="F37" s="40">
        <f t="shared" si="3"/>
        <v>1.5895021894118029</v>
      </c>
      <c r="G37" s="40">
        <f t="shared" si="3"/>
        <v>36.007915492009751</v>
      </c>
      <c r="H37" s="40">
        <f t="shared" si="3"/>
        <v>10.32396528661015</v>
      </c>
      <c r="I37" s="40">
        <f t="shared" si="3"/>
        <v>1.3094173945092846</v>
      </c>
      <c r="J37" s="40">
        <f t="shared" si="3"/>
        <v>0.12328166759586497</v>
      </c>
      <c r="K37" s="40">
        <f t="shared" si="3"/>
        <v>78.528183143544609</v>
      </c>
      <c r="L37" s="40">
        <f t="shared" si="3"/>
        <v>4.0899590506791146</v>
      </c>
      <c r="M37" s="40">
        <f t="shared" si="3"/>
        <v>16.365880949069972</v>
      </c>
      <c r="N37" s="40">
        <f t="shared" si="3"/>
        <v>178.08340981531458</v>
      </c>
      <c r="O37" s="40">
        <f t="shared" si="3"/>
        <v>0</v>
      </c>
      <c r="P37" s="40">
        <f t="shared" si="3"/>
        <v>0.16649792182191017</v>
      </c>
      <c r="Q37" s="40">
        <f t="shared" si="3"/>
        <v>0.16274591203487021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24/11/2023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52" t="s">
        <v>612</v>
      </c>
      <c r="B9" s="53">
        <v>9.2899999999999991</v>
      </c>
      <c r="C9" s="53">
        <v>25.61</v>
      </c>
      <c r="D9" s="53">
        <v>22.03</v>
      </c>
      <c r="E9" s="53">
        <v>7.82</v>
      </c>
      <c r="F9" s="53">
        <v>2.84</v>
      </c>
      <c r="G9" s="53">
        <v>133.91999999999999</v>
      </c>
      <c r="H9" s="53">
        <v>62.51</v>
      </c>
      <c r="I9" s="53">
        <v>9.1999999999999993</v>
      </c>
      <c r="J9" s="53">
        <v>0.12</v>
      </c>
      <c r="K9" s="53">
        <v>232.8</v>
      </c>
      <c r="L9" s="53">
        <v>19.64</v>
      </c>
      <c r="M9" s="53">
        <v>88.53</v>
      </c>
      <c r="N9" s="53">
        <v>0</v>
      </c>
      <c r="O9" s="53">
        <v>0</v>
      </c>
      <c r="P9" s="53">
        <v>0.98</v>
      </c>
      <c r="Q9" s="54">
        <v>4.37</v>
      </c>
    </row>
    <row r="10" spans="1:21">
      <c r="A10" s="52" t="s">
        <v>613</v>
      </c>
      <c r="B10" s="53">
        <v>10.38</v>
      </c>
      <c r="C10" s="53">
        <v>25.59</v>
      </c>
      <c r="D10" s="53">
        <v>23.05</v>
      </c>
      <c r="E10" s="53">
        <v>7.85</v>
      </c>
      <c r="F10" s="53">
        <v>2.58</v>
      </c>
      <c r="G10" s="53">
        <v>105.92</v>
      </c>
      <c r="H10" s="53">
        <v>54.6</v>
      </c>
      <c r="I10" s="53">
        <v>8.64</v>
      </c>
      <c r="J10" s="53">
        <v>0.14000000000000001</v>
      </c>
      <c r="K10" s="53">
        <v>287.05</v>
      </c>
      <c r="L10" s="53">
        <v>19.670000000000002</v>
      </c>
      <c r="M10" s="53">
        <v>86.51</v>
      </c>
      <c r="N10" s="53">
        <v>0</v>
      </c>
      <c r="O10" s="53">
        <v>0</v>
      </c>
      <c r="P10" s="53">
        <v>0.92</v>
      </c>
      <c r="Q10" s="54">
        <v>4.41</v>
      </c>
    </row>
    <row r="11" spans="1:21">
      <c r="A11" s="52" t="s">
        <v>614</v>
      </c>
      <c r="B11" s="53">
        <v>14.78</v>
      </c>
      <c r="C11" s="53">
        <v>27.88</v>
      </c>
      <c r="D11" s="53">
        <v>27.7</v>
      </c>
      <c r="E11" s="53">
        <v>8.35</v>
      </c>
      <c r="F11" s="53">
        <v>2.57</v>
      </c>
      <c r="G11" s="53">
        <v>107.28</v>
      </c>
      <c r="H11" s="53">
        <v>53.32</v>
      </c>
      <c r="I11" s="53">
        <v>8.27</v>
      </c>
      <c r="J11" s="53">
        <v>0.13</v>
      </c>
      <c r="K11" s="53">
        <v>253.39</v>
      </c>
      <c r="L11" s="53">
        <v>19.489999999999998</v>
      </c>
      <c r="M11" s="53">
        <v>85.81</v>
      </c>
      <c r="N11" s="53">
        <v>0</v>
      </c>
      <c r="O11" s="53">
        <v>0</v>
      </c>
      <c r="P11" s="53">
        <v>0.89</v>
      </c>
      <c r="Q11" s="54">
        <v>4.59</v>
      </c>
    </row>
    <row r="12" spans="1:21">
      <c r="A12" s="52" t="s">
        <v>615</v>
      </c>
      <c r="B12" s="53">
        <v>14.64</v>
      </c>
      <c r="C12" s="53">
        <v>28.51</v>
      </c>
      <c r="D12" s="53">
        <v>27.98</v>
      </c>
      <c r="E12" s="53">
        <v>8.98</v>
      </c>
      <c r="F12" s="53">
        <v>2.73</v>
      </c>
      <c r="G12" s="53">
        <v>107.28</v>
      </c>
      <c r="H12" s="53">
        <v>48.96</v>
      </c>
      <c r="I12" s="53">
        <v>8.01</v>
      </c>
      <c r="J12" s="53">
        <v>0.26</v>
      </c>
      <c r="K12" s="53">
        <v>235.07</v>
      </c>
      <c r="L12" s="53">
        <v>19.149999999999999</v>
      </c>
      <c r="M12" s="53">
        <v>90.31</v>
      </c>
      <c r="N12" s="53">
        <v>0</v>
      </c>
      <c r="O12" s="53">
        <v>0</v>
      </c>
      <c r="P12" s="53">
        <v>0.86</v>
      </c>
      <c r="Q12" s="54">
        <v>4.5999999999999996</v>
      </c>
    </row>
    <row r="13" spans="1:21">
      <c r="A13" s="52" t="s">
        <v>616</v>
      </c>
      <c r="B13" s="53">
        <v>14.85</v>
      </c>
      <c r="C13" s="53">
        <v>29.73</v>
      </c>
      <c r="D13" s="53">
        <v>28.49</v>
      </c>
      <c r="E13" s="53">
        <v>9.14</v>
      </c>
      <c r="F13" s="53">
        <v>2.85</v>
      </c>
      <c r="G13" s="53">
        <v>96.11</v>
      </c>
      <c r="H13" s="53">
        <v>46.98</v>
      </c>
      <c r="I13" s="53">
        <v>7.42</v>
      </c>
      <c r="J13" s="53">
        <v>0.39</v>
      </c>
      <c r="K13" s="53">
        <v>52.81</v>
      </c>
      <c r="L13" s="53">
        <v>18.73</v>
      </c>
      <c r="M13" s="53">
        <v>85.36</v>
      </c>
      <c r="N13" s="53">
        <v>0</v>
      </c>
      <c r="O13" s="53">
        <v>0</v>
      </c>
      <c r="P13" s="53">
        <v>0.83</v>
      </c>
      <c r="Q13" s="54">
        <v>4.5999999999999996</v>
      </c>
    </row>
    <row r="14" spans="1:21">
      <c r="A14" s="52" t="s">
        <v>617</v>
      </c>
      <c r="B14" s="53">
        <v>13.63</v>
      </c>
      <c r="C14" s="53">
        <v>30.95</v>
      </c>
      <c r="D14" s="53">
        <v>28.45</v>
      </c>
      <c r="E14" s="53">
        <v>9.3699999999999992</v>
      </c>
      <c r="F14" s="53">
        <v>2.76</v>
      </c>
      <c r="G14" s="53">
        <v>91.33</v>
      </c>
      <c r="H14" s="53">
        <v>45.26</v>
      </c>
      <c r="I14" s="53">
        <v>7.24</v>
      </c>
      <c r="J14" s="53">
        <v>0.41</v>
      </c>
      <c r="K14" s="53">
        <v>48.1</v>
      </c>
      <c r="L14" s="53">
        <v>18.89</v>
      </c>
      <c r="M14" s="53">
        <v>83.33</v>
      </c>
      <c r="N14" s="53">
        <v>0</v>
      </c>
      <c r="O14" s="53">
        <v>0</v>
      </c>
      <c r="P14" s="53">
        <v>0.8</v>
      </c>
      <c r="Q14" s="54">
        <v>4.59</v>
      </c>
    </row>
    <row r="15" spans="1:21">
      <c r="A15" s="52" t="s">
        <v>618</v>
      </c>
      <c r="B15" s="53">
        <v>14.4</v>
      </c>
      <c r="C15" s="53">
        <v>31.47</v>
      </c>
      <c r="D15" s="53">
        <v>29.33</v>
      </c>
      <c r="E15" s="53">
        <v>10.17</v>
      </c>
      <c r="F15" s="53">
        <v>2.76</v>
      </c>
      <c r="G15" s="53">
        <v>98.28</v>
      </c>
      <c r="H15" s="53">
        <v>45.26</v>
      </c>
      <c r="I15" s="53">
        <v>6.82</v>
      </c>
      <c r="J15" s="53">
        <v>0.38</v>
      </c>
      <c r="K15" s="53">
        <v>46.38</v>
      </c>
      <c r="L15" s="53">
        <v>19.079999999999998</v>
      </c>
      <c r="M15" s="53">
        <v>83.61</v>
      </c>
      <c r="N15" s="53">
        <v>21.7</v>
      </c>
      <c r="O15" s="53">
        <v>0</v>
      </c>
      <c r="P15" s="53">
        <v>0.83</v>
      </c>
      <c r="Q15" s="54">
        <v>4.6100000000000003</v>
      </c>
    </row>
    <row r="16" spans="1:21">
      <c r="A16" s="52" t="s">
        <v>619</v>
      </c>
      <c r="B16" s="53">
        <v>14.57</v>
      </c>
      <c r="C16" s="53">
        <v>31.72</v>
      </c>
      <c r="D16" s="53">
        <v>29.61</v>
      </c>
      <c r="E16" s="53">
        <v>10.54</v>
      </c>
      <c r="F16" s="53">
        <v>2.85</v>
      </c>
      <c r="G16" s="53">
        <v>101.89</v>
      </c>
      <c r="H16" s="53">
        <v>47.54</v>
      </c>
      <c r="I16" s="53">
        <v>7.14</v>
      </c>
      <c r="J16" s="53">
        <v>0.59</v>
      </c>
      <c r="K16" s="53">
        <v>56.33</v>
      </c>
      <c r="L16" s="53">
        <v>20.36</v>
      </c>
      <c r="M16" s="53">
        <v>81.650000000000006</v>
      </c>
      <c r="N16" s="53">
        <v>94.3</v>
      </c>
      <c r="O16" s="53">
        <v>0</v>
      </c>
      <c r="P16" s="53">
        <v>0.88</v>
      </c>
      <c r="Q16" s="54">
        <v>4.6399999999999997</v>
      </c>
    </row>
    <row r="17" spans="1:17">
      <c r="A17" s="52" t="s">
        <v>620</v>
      </c>
      <c r="B17" s="53">
        <v>13.7</v>
      </c>
      <c r="C17" s="53">
        <v>31.89</v>
      </c>
      <c r="D17" s="53">
        <v>28.99</v>
      </c>
      <c r="E17" s="53">
        <v>10.24</v>
      </c>
      <c r="F17" s="53">
        <v>3.09</v>
      </c>
      <c r="G17" s="53">
        <v>105.25</v>
      </c>
      <c r="H17" s="53">
        <v>47.57</v>
      </c>
      <c r="I17" s="53">
        <v>7.35</v>
      </c>
      <c r="J17" s="53">
        <v>0.62</v>
      </c>
      <c r="K17" s="53">
        <v>51.98</v>
      </c>
      <c r="L17" s="53">
        <v>22.71</v>
      </c>
      <c r="M17" s="53">
        <v>74.930000000000007</v>
      </c>
      <c r="N17" s="53">
        <v>215</v>
      </c>
      <c r="O17" s="53">
        <v>0</v>
      </c>
      <c r="P17" s="53">
        <v>0.9</v>
      </c>
      <c r="Q17" s="54">
        <v>4.62</v>
      </c>
    </row>
    <row r="18" spans="1:17">
      <c r="A18" s="52" t="s">
        <v>621</v>
      </c>
      <c r="B18" s="53">
        <v>13.1</v>
      </c>
      <c r="C18" s="53">
        <v>27.15</v>
      </c>
      <c r="D18" s="53">
        <v>25.85</v>
      </c>
      <c r="E18" s="53">
        <v>8.34</v>
      </c>
      <c r="F18" s="53">
        <v>3.1</v>
      </c>
      <c r="G18" s="53">
        <v>107.75</v>
      </c>
      <c r="H18" s="53">
        <v>47.57</v>
      </c>
      <c r="I18" s="53">
        <v>7.38</v>
      </c>
      <c r="J18" s="53">
        <v>0.77</v>
      </c>
      <c r="K18" s="53">
        <v>48.14</v>
      </c>
      <c r="L18" s="53">
        <v>24.79</v>
      </c>
      <c r="M18" s="53">
        <v>68.8</v>
      </c>
      <c r="N18" s="53">
        <v>329.8</v>
      </c>
      <c r="O18" s="53">
        <v>0</v>
      </c>
      <c r="P18" s="53">
        <v>0.88</v>
      </c>
      <c r="Q18" s="54">
        <v>4.51</v>
      </c>
    </row>
    <row r="19" spans="1:17">
      <c r="A19" s="52" t="s">
        <v>622</v>
      </c>
      <c r="B19" s="53">
        <v>11.72</v>
      </c>
      <c r="C19" s="53">
        <v>27.5</v>
      </c>
      <c r="D19" s="53">
        <v>24.12</v>
      </c>
      <c r="E19" s="53">
        <v>6.11</v>
      </c>
      <c r="F19" s="53">
        <v>3.6</v>
      </c>
      <c r="G19" s="53">
        <v>107.75</v>
      </c>
      <c r="H19" s="53">
        <v>47.27</v>
      </c>
      <c r="I19" s="53">
        <v>7.35</v>
      </c>
      <c r="J19" s="53">
        <v>0.68</v>
      </c>
      <c r="K19" s="53">
        <v>60.98</v>
      </c>
      <c r="L19" s="53">
        <v>26.93</v>
      </c>
      <c r="M19" s="53">
        <v>60.26</v>
      </c>
      <c r="N19" s="53">
        <v>378.2</v>
      </c>
      <c r="O19" s="53">
        <v>0</v>
      </c>
      <c r="P19" s="53">
        <v>0.89</v>
      </c>
      <c r="Q19" s="54">
        <v>4.46</v>
      </c>
    </row>
    <row r="20" spans="1:17">
      <c r="A20" s="52" t="s">
        <v>623</v>
      </c>
      <c r="B20" s="53">
        <v>9.3800000000000008</v>
      </c>
      <c r="C20" s="53">
        <v>25.79</v>
      </c>
      <c r="D20" s="53">
        <v>22.35</v>
      </c>
      <c r="E20" s="53">
        <v>6.91</v>
      </c>
      <c r="F20" s="53">
        <v>4.8099999999999996</v>
      </c>
      <c r="G20" s="53">
        <v>100.46</v>
      </c>
      <c r="H20" s="53">
        <v>47.76</v>
      </c>
      <c r="I20" s="53">
        <v>7.23</v>
      </c>
      <c r="J20" s="53">
        <v>0.45</v>
      </c>
      <c r="K20" s="53">
        <v>68.27</v>
      </c>
      <c r="L20" s="53">
        <v>28.3</v>
      </c>
      <c r="M20" s="53">
        <v>50.88</v>
      </c>
      <c r="N20" s="53">
        <v>433.5</v>
      </c>
      <c r="O20" s="53">
        <v>0</v>
      </c>
      <c r="P20" s="53">
        <v>0.88</v>
      </c>
      <c r="Q20" s="54">
        <v>4.3899999999999997</v>
      </c>
    </row>
    <row r="21" spans="1:17">
      <c r="A21" s="52" t="s">
        <v>624</v>
      </c>
      <c r="B21" s="53">
        <v>6.38</v>
      </c>
      <c r="C21" s="53">
        <v>23.85</v>
      </c>
      <c r="D21" s="53">
        <v>18.93</v>
      </c>
      <c r="E21" s="53">
        <v>7.36</v>
      </c>
      <c r="F21" s="53">
        <v>5.68</v>
      </c>
      <c r="G21" s="53">
        <v>100.39</v>
      </c>
      <c r="H21" s="53">
        <v>47.76</v>
      </c>
      <c r="I21" s="53">
        <v>6.89</v>
      </c>
      <c r="J21" s="53">
        <v>0.47</v>
      </c>
      <c r="K21" s="53">
        <v>77.489999999999995</v>
      </c>
      <c r="L21" s="53">
        <v>28.84</v>
      </c>
      <c r="M21" s="53">
        <v>43.57</v>
      </c>
      <c r="N21" s="53">
        <v>416.7</v>
      </c>
      <c r="O21" s="53">
        <v>0</v>
      </c>
      <c r="P21" s="53">
        <v>0.84</v>
      </c>
      <c r="Q21" s="54">
        <v>4.2699999999999996</v>
      </c>
    </row>
    <row r="22" spans="1:17">
      <c r="A22" s="52" t="s">
        <v>625</v>
      </c>
      <c r="B22" s="53">
        <v>4.6500000000000004</v>
      </c>
      <c r="C22" s="53">
        <v>23.81</v>
      </c>
      <c r="D22" s="53">
        <v>16.88</v>
      </c>
      <c r="E22" s="53">
        <v>7.93</v>
      </c>
      <c r="F22" s="53">
        <v>6.67</v>
      </c>
      <c r="G22" s="53">
        <v>94.85</v>
      </c>
      <c r="H22" s="53">
        <v>45.2</v>
      </c>
      <c r="I22" s="53">
        <v>6.41</v>
      </c>
      <c r="J22" s="53">
        <v>0.45</v>
      </c>
      <c r="K22" s="53">
        <v>70.260000000000005</v>
      </c>
      <c r="L22" s="53">
        <v>29.05</v>
      </c>
      <c r="M22" s="53">
        <v>42.72</v>
      </c>
      <c r="N22" s="53">
        <v>348.9</v>
      </c>
      <c r="O22" s="53">
        <v>0</v>
      </c>
      <c r="P22" s="53">
        <v>0.79</v>
      </c>
      <c r="Q22" s="54">
        <v>4.1900000000000004</v>
      </c>
    </row>
    <row r="23" spans="1:17">
      <c r="A23" s="52" t="s">
        <v>626</v>
      </c>
      <c r="B23" s="53">
        <v>3.93</v>
      </c>
      <c r="C23" s="53">
        <v>25.04</v>
      </c>
      <c r="D23" s="53">
        <v>17.579999999999998</v>
      </c>
      <c r="E23" s="53">
        <v>8.73</v>
      </c>
      <c r="F23" s="53">
        <v>6.96</v>
      </c>
      <c r="G23" s="53">
        <v>91.62</v>
      </c>
      <c r="H23" s="53">
        <v>42.41</v>
      </c>
      <c r="I23" s="53">
        <v>5.82</v>
      </c>
      <c r="J23" s="53">
        <v>0.56000000000000005</v>
      </c>
      <c r="K23" s="53">
        <v>61.81</v>
      </c>
      <c r="L23" s="53">
        <v>28.79</v>
      </c>
      <c r="M23" s="53">
        <v>43.71</v>
      </c>
      <c r="N23" s="53">
        <v>168.4</v>
      </c>
      <c r="O23" s="53">
        <v>0</v>
      </c>
      <c r="P23" s="53">
        <v>0.77</v>
      </c>
      <c r="Q23" s="54">
        <v>4.17</v>
      </c>
    </row>
    <row r="24" spans="1:17">
      <c r="A24" s="52" t="s">
        <v>627</v>
      </c>
      <c r="B24" s="53">
        <v>4.01</v>
      </c>
      <c r="C24" s="53">
        <v>26.18</v>
      </c>
      <c r="D24" s="53">
        <v>18.23</v>
      </c>
      <c r="E24" s="53">
        <v>9.11</v>
      </c>
      <c r="F24" s="53">
        <v>6.57</v>
      </c>
      <c r="G24" s="53">
        <v>91.06</v>
      </c>
      <c r="H24" s="53">
        <v>40.5</v>
      </c>
      <c r="I24" s="53">
        <v>5.32</v>
      </c>
      <c r="J24" s="53">
        <v>0.37</v>
      </c>
      <c r="K24" s="53">
        <v>91.53</v>
      </c>
      <c r="L24" s="53">
        <v>28.13</v>
      </c>
      <c r="M24" s="53">
        <v>44.77</v>
      </c>
      <c r="N24" s="53">
        <v>97.4</v>
      </c>
      <c r="O24" s="53">
        <v>0</v>
      </c>
      <c r="P24" s="53">
        <v>0.76</v>
      </c>
      <c r="Q24" s="54">
        <v>4.2</v>
      </c>
    </row>
    <row r="25" spans="1:17">
      <c r="A25" s="52" t="s">
        <v>628</v>
      </c>
      <c r="B25" s="53">
        <v>4.28</v>
      </c>
      <c r="C25" s="53">
        <v>28.17</v>
      </c>
      <c r="D25" s="53">
        <v>19.5</v>
      </c>
      <c r="E25" s="53">
        <v>9.07</v>
      </c>
      <c r="F25" s="53">
        <v>6</v>
      </c>
      <c r="G25" s="53">
        <v>92.21</v>
      </c>
      <c r="H25" s="53">
        <v>42.12</v>
      </c>
      <c r="I25" s="53">
        <v>4.9800000000000004</v>
      </c>
      <c r="J25" s="53">
        <v>0.28000000000000003</v>
      </c>
      <c r="K25" s="53">
        <v>135.27000000000001</v>
      </c>
      <c r="L25" s="53">
        <v>27.44</v>
      </c>
      <c r="M25" s="53">
        <v>53</v>
      </c>
      <c r="N25" s="53">
        <v>42</v>
      </c>
      <c r="O25" s="53">
        <v>0</v>
      </c>
      <c r="P25" s="53">
        <v>0.78</v>
      </c>
      <c r="Q25" s="54">
        <v>4.21</v>
      </c>
    </row>
    <row r="26" spans="1:17">
      <c r="A26" s="52" t="s">
        <v>629</v>
      </c>
      <c r="B26" s="53">
        <v>5.1100000000000003</v>
      </c>
      <c r="C26" s="53">
        <v>30.91</v>
      </c>
      <c r="D26" s="53">
        <v>21.6</v>
      </c>
      <c r="E26" s="53">
        <v>9.15</v>
      </c>
      <c r="F26" s="53">
        <v>4.6900000000000004</v>
      </c>
      <c r="G26" s="53">
        <v>105.53</v>
      </c>
      <c r="H26" s="53">
        <v>46.62</v>
      </c>
      <c r="I26" s="53">
        <v>5.56</v>
      </c>
      <c r="J26" s="53">
        <v>0.23</v>
      </c>
      <c r="K26" s="53">
        <v>165.82</v>
      </c>
      <c r="L26" s="53">
        <v>25.88</v>
      </c>
      <c r="M26" s="53">
        <v>60.09</v>
      </c>
      <c r="N26" s="53">
        <v>0</v>
      </c>
      <c r="O26" s="53">
        <v>0</v>
      </c>
      <c r="P26" s="53">
        <v>0.91</v>
      </c>
      <c r="Q26" s="54">
        <v>4.26</v>
      </c>
    </row>
    <row r="27" spans="1:17">
      <c r="A27" s="52" t="s">
        <v>630</v>
      </c>
      <c r="B27" s="53">
        <v>7.22</v>
      </c>
      <c r="C27" s="53">
        <v>32.76</v>
      </c>
      <c r="D27" s="53">
        <v>23.43</v>
      </c>
      <c r="E27" s="53">
        <v>8.2100000000000009</v>
      </c>
      <c r="F27" s="53">
        <v>3.26</v>
      </c>
      <c r="G27" s="53">
        <v>132.26</v>
      </c>
      <c r="H27" s="53">
        <v>50.58</v>
      </c>
      <c r="I27" s="53">
        <v>6.48</v>
      </c>
      <c r="J27" s="53">
        <v>0.21</v>
      </c>
      <c r="K27" s="53">
        <v>122.23</v>
      </c>
      <c r="L27" s="53">
        <v>25.01</v>
      </c>
      <c r="M27" s="53">
        <v>62.4</v>
      </c>
      <c r="N27" s="53">
        <v>0</v>
      </c>
      <c r="O27" s="53">
        <v>0</v>
      </c>
      <c r="P27" s="53">
        <v>0.97</v>
      </c>
      <c r="Q27" s="54">
        <v>4.33</v>
      </c>
    </row>
    <row r="28" spans="1:17">
      <c r="A28" s="52" t="s">
        <v>631</v>
      </c>
      <c r="B28" s="53">
        <v>8.33</v>
      </c>
      <c r="C28" s="53">
        <v>29.25</v>
      </c>
      <c r="D28" s="53">
        <v>23</v>
      </c>
      <c r="E28" s="53">
        <v>6.64</v>
      </c>
      <c r="F28" s="53">
        <v>2.97</v>
      </c>
      <c r="G28" s="53">
        <v>143.46</v>
      </c>
      <c r="H28" s="53">
        <v>54.64</v>
      </c>
      <c r="I28" s="53">
        <v>6.82</v>
      </c>
      <c r="J28" s="53">
        <v>0.14000000000000001</v>
      </c>
      <c r="K28" s="53">
        <v>177.4</v>
      </c>
      <c r="L28" s="53">
        <v>24.42</v>
      </c>
      <c r="M28" s="53">
        <v>65.010000000000005</v>
      </c>
      <c r="N28" s="53">
        <v>0</v>
      </c>
      <c r="O28" s="53">
        <v>0</v>
      </c>
      <c r="P28" s="53">
        <v>0.98</v>
      </c>
      <c r="Q28" s="54">
        <v>4.37</v>
      </c>
    </row>
    <row r="29" spans="1:17">
      <c r="A29" s="52" t="s">
        <v>632</v>
      </c>
      <c r="B29" s="53">
        <v>10.210000000000001</v>
      </c>
      <c r="C29" s="53">
        <v>29.79</v>
      </c>
      <c r="D29" s="53">
        <v>25.1</v>
      </c>
      <c r="E29" s="53">
        <v>6.6</v>
      </c>
      <c r="F29" s="53">
        <v>2.68</v>
      </c>
      <c r="G29" s="53">
        <v>169.72</v>
      </c>
      <c r="H29" s="53">
        <v>57.11</v>
      </c>
      <c r="I29" s="53">
        <v>7.2</v>
      </c>
      <c r="J29" s="53">
        <v>0.14000000000000001</v>
      </c>
      <c r="K29" s="53">
        <v>157.96</v>
      </c>
      <c r="L29" s="53">
        <v>23.21</v>
      </c>
      <c r="M29" s="53">
        <v>71.37</v>
      </c>
      <c r="N29" s="53">
        <v>0</v>
      </c>
      <c r="O29" s="53">
        <v>0</v>
      </c>
      <c r="P29" s="53">
        <v>1.04</v>
      </c>
      <c r="Q29" s="54">
        <v>4.42</v>
      </c>
    </row>
    <row r="30" spans="1:17">
      <c r="A30" s="52" t="s">
        <v>633</v>
      </c>
      <c r="B30" s="53">
        <v>10.39</v>
      </c>
      <c r="C30" s="53">
        <v>29.08</v>
      </c>
      <c r="D30" s="53">
        <v>24.77</v>
      </c>
      <c r="E30" s="53">
        <v>6.69</v>
      </c>
      <c r="F30" s="53">
        <v>2.89</v>
      </c>
      <c r="G30" s="53">
        <v>169.72</v>
      </c>
      <c r="H30" s="53">
        <v>59.75</v>
      </c>
      <c r="I30" s="53">
        <v>7.4</v>
      </c>
      <c r="J30" s="53">
        <v>0.19</v>
      </c>
      <c r="K30" s="53">
        <v>198.12</v>
      </c>
      <c r="L30" s="53">
        <v>22.26</v>
      </c>
      <c r="M30" s="53">
        <v>82.22</v>
      </c>
      <c r="N30" s="53">
        <v>0</v>
      </c>
      <c r="O30" s="53">
        <v>0</v>
      </c>
      <c r="P30" s="53">
        <v>1.04</v>
      </c>
      <c r="Q30" s="54">
        <v>4.45</v>
      </c>
    </row>
    <row r="31" spans="1:17">
      <c r="A31" s="52" t="s">
        <v>634</v>
      </c>
      <c r="B31" s="53">
        <v>10.26</v>
      </c>
      <c r="C31" s="53">
        <v>27.9</v>
      </c>
      <c r="D31" s="53">
        <v>24.12</v>
      </c>
      <c r="E31" s="53">
        <v>7.2</v>
      </c>
      <c r="F31" s="53">
        <v>2.93</v>
      </c>
      <c r="G31" s="53">
        <v>155.83000000000001</v>
      </c>
      <c r="H31" s="53">
        <v>59.75</v>
      </c>
      <c r="I31" s="53">
        <v>7.37</v>
      </c>
      <c r="J31" s="53">
        <v>0.17</v>
      </c>
      <c r="K31" s="53">
        <v>197</v>
      </c>
      <c r="L31" s="53">
        <v>21.62</v>
      </c>
      <c r="M31" s="53">
        <v>85.29</v>
      </c>
      <c r="N31" s="53">
        <v>0</v>
      </c>
      <c r="O31" s="53">
        <v>0</v>
      </c>
      <c r="P31" s="53">
        <v>1.02</v>
      </c>
      <c r="Q31" s="54">
        <v>4.4400000000000004</v>
      </c>
    </row>
    <row r="32" spans="1:17">
      <c r="A32" s="52" t="s">
        <v>635</v>
      </c>
      <c r="B32" s="53">
        <v>9.9</v>
      </c>
      <c r="C32" s="53">
        <v>30.15</v>
      </c>
      <c r="D32" s="53">
        <v>25.04</v>
      </c>
      <c r="E32" s="53">
        <v>7.58</v>
      </c>
      <c r="F32" s="53">
        <v>2.81</v>
      </c>
      <c r="G32" s="53">
        <v>128.35</v>
      </c>
      <c r="H32" s="53">
        <v>59.07</v>
      </c>
      <c r="I32" s="53">
        <v>7.32</v>
      </c>
      <c r="J32" s="53">
        <v>0.13</v>
      </c>
      <c r="K32" s="53">
        <v>235.84</v>
      </c>
      <c r="L32" s="53">
        <v>21.1</v>
      </c>
      <c r="M32" s="53">
        <v>87.53</v>
      </c>
      <c r="N32" s="53">
        <v>0</v>
      </c>
      <c r="O32" s="53">
        <v>0</v>
      </c>
      <c r="P32" s="53">
        <v>1.01</v>
      </c>
      <c r="Q32" s="54">
        <v>4.45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3.93</v>
      </c>
      <c r="C34" s="40">
        <f t="shared" si="0"/>
        <v>23.81</v>
      </c>
      <c r="D34" s="40">
        <f t="shared" si="0"/>
        <v>16.88</v>
      </c>
      <c r="E34" s="40">
        <f t="shared" si="0"/>
        <v>6.11</v>
      </c>
      <c r="F34" s="40">
        <f t="shared" si="0"/>
        <v>2.57</v>
      </c>
      <c r="G34" s="40">
        <f t="shared" si="0"/>
        <v>91.06</v>
      </c>
      <c r="H34" s="40">
        <f t="shared" si="0"/>
        <v>40.5</v>
      </c>
      <c r="I34" s="40">
        <f t="shared" si="0"/>
        <v>4.9800000000000004</v>
      </c>
      <c r="J34" s="40">
        <f t="shared" si="0"/>
        <v>0.12</v>
      </c>
      <c r="K34" s="40">
        <f t="shared" si="0"/>
        <v>46.38</v>
      </c>
      <c r="L34" s="40">
        <f t="shared" si="0"/>
        <v>18.73</v>
      </c>
      <c r="M34" s="40">
        <f t="shared" si="0"/>
        <v>42.72</v>
      </c>
      <c r="N34" s="40">
        <f t="shared" si="0"/>
        <v>0</v>
      </c>
      <c r="O34" s="40">
        <f t="shared" si="0"/>
        <v>0</v>
      </c>
      <c r="P34" s="40">
        <f t="shared" si="0"/>
        <v>0.76</v>
      </c>
      <c r="Q34" s="40">
        <f t="shared" si="0"/>
        <v>4.17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14.85</v>
      </c>
      <c r="C35" s="33">
        <f t="shared" si="1"/>
        <v>32.76</v>
      </c>
      <c r="D35" s="33">
        <f t="shared" si="1"/>
        <v>29.61</v>
      </c>
      <c r="E35" s="33">
        <f t="shared" si="1"/>
        <v>10.54</v>
      </c>
      <c r="F35" s="33">
        <f t="shared" si="1"/>
        <v>6.96</v>
      </c>
      <c r="G35" s="33">
        <f t="shared" si="1"/>
        <v>169.72</v>
      </c>
      <c r="H35" s="33">
        <f t="shared" si="1"/>
        <v>62.51</v>
      </c>
      <c r="I35" s="33">
        <f t="shared" si="1"/>
        <v>9.1999999999999993</v>
      </c>
      <c r="J35" s="33">
        <f t="shared" si="1"/>
        <v>0.77</v>
      </c>
      <c r="K35" s="33">
        <f t="shared" si="1"/>
        <v>287.05</v>
      </c>
      <c r="L35" s="33">
        <f t="shared" si="1"/>
        <v>29.05</v>
      </c>
      <c r="M35" s="33">
        <f t="shared" si="1"/>
        <v>90.31</v>
      </c>
      <c r="N35" s="33">
        <f t="shared" si="1"/>
        <v>433.5</v>
      </c>
      <c r="O35" s="33">
        <f t="shared" si="1"/>
        <v>0</v>
      </c>
      <c r="P35" s="33">
        <f t="shared" si="1"/>
        <v>1.04</v>
      </c>
      <c r="Q35" s="33">
        <f t="shared" si="1"/>
        <v>4.6399999999999997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9.9629166666666684</v>
      </c>
      <c r="C36" s="40">
        <f t="shared" si="2"/>
        <v>28.361666666666668</v>
      </c>
      <c r="D36" s="40">
        <f t="shared" si="2"/>
        <v>24.005416666666672</v>
      </c>
      <c r="E36" s="40">
        <f t="shared" si="2"/>
        <v>8.2537499999999984</v>
      </c>
      <c r="F36" s="40">
        <f t="shared" si="2"/>
        <v>3.777083333333334</v>
      </c>
      <c r="G36" s="40">
        <f t="shared" si="2"/>
        <v>114.09249999999997</v>
      </c>
      <c r="H36" s="40">
        <f t="shared" si="2"/>
        <v>50.004583333333329</v>
      </c>
      <c r="I36" s="40">
        <f t="shared" si="2"/>
        <v>7.067499999999999</v>
      </c>
      <c r="J36" s="40">
        <f t="shared" si="2"/>
        <v>0.34500000000000003</v>
      </c>
      <c r="K36" s="40">
        <f t="shared" si="2"/>
        <v>130.50125</v>
      </c>
      <c r="L36" s="40">
        <f t="shared" si="2"/>
        <v>23.478750000000002</v>
      </c>
      <c r="M36" s="40">
        <f t="shared" si="2"/>
        <v>70.069166666666661</v>
      </c>
      <c r="N36" s="40">
        <f t="shared" si="2"/>
        <v>106.07916666666667</v>
      </c>
      <c r="O36" s="40">
        <f t="shared" si="2"/>
        <v>0</v>
      </c>
      <c r="P36" s="40">
        <f t="shared" si="2"/>
        <v>0.89374999999999993</v>
      </c>
      <c r="Q36" s="40">
        <f t="shared" si="2"/>
        <v>4.4229166666666666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3.7904576747482546</v>
      </c>
      <c r="C37" s="40">
        <f t="shared" ref="C37:Q37" si="3">STDEV(C9:C32)</f>
        <v>2.602603490264328</v>
      </c>
      <c r="D37" s="40">
        <f t="shared" si="3"/>
        <v>3.8806016780980928</v>
      </c>
      <c r="E37" s="40">
        <f t="shared" si="3"/>
        <v>1.2310469651620948</v>
      </c>
      <c r="F37" s="40">
        <f t="shared" si="3"/>
        <v>1.4882072061395839</v>
      </c>
      <c r="G37" s="40">
        <f t="shared" si="3"/>
        <v>24.325697496591051</v>
      </c>
      <c r="H37" s="40">
        <f t="shared" si="3"/>
        <v>6.1446109150297143</v>
      </c>
      <c r="I37" s="40">
        <f t="shared" si="3"/>
        <v>0.98361909382602786</v>
      </c>
      <c r="J37" s="40">
        <f t="shared" si="3"/>
        <v>0.19640242626678067</v>
      </c>
      <c r="K37" s="40">
        <f t="shared" si="3"/>
        <v>79.434546931392873</v>
      </c>
      <c r="L37" s="40">
        <f t="shared" si="3"/>
        <v>3.7243269745074183</v>
      </c>
      <c r="M37" s="40">
        <f t="shared" si="3"/>
        <v>16.72235835163751</v>
      </c>
      <c r="N37" s="40">
        <f t="shared" si="3"/>
        <v>156.06943543671912</v>
      </c>
      <c r="O37" s="40">
        <f t="shared" si="3"/>
        <v>0</v>
      </c>
      <c r="P37" s="40">
        <f t="shared" si="3"/>
        <v>8.6568017992390403E-2</v>
      </c>
      <c r="Q37" s="40">
        <f t="shared" si="3"/>
        <v>0.1516425765228526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25/11/2023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52" t="s">
        <v>636</v>
      </c>
      <c r="B9" s="53">
        <v>10.89</v>
      </c>
      <c r="C9" s="53">
        <v>31.88</v>
      </c>
      <c r="D9" s="53">
        <v>26.74</v>
      </c>
      <c r="E9" s="53">
        <v>8.1199999999999992</v>
      </c>
      <c r="F9" s="53">
        <v>2.68</v>
      </c>
      <c r="G9" s="53">
        <v>111.64</v>
      </c>
      <c r="H9" s="53">
        <v>56.09</v>
      </c>
      <c r="I9" s="53">
        <v>7.14</v>
      </c>
      <c r="J9" s="53">
        <v>0.16</v>
      </c>
      <c r="K9" s="53">
        <v>230.95</v>
      </c>
      <c r="L9" s="53">
        <v>20.94</v>
      </c>
      <c r="M9" s="53">
        <v>86.24</v>
      </c>
      <c r="N9" s="53">
        <v>0</v>
      </c>
      <c r="O9" s="53">
        <v>0</v>
      </c>
      <c r="P9" s="53">
        <v>1</v>
      </c>
      <c r="Q9" s="54">
        <v>4.49</v>
      </c>
    </row>
    <row r="10" spans="1:21">
      <c r="A10" s="52" t="s">
        <v>637</v>
      </c>
      <c r="B10" s="53">
        <v>9.89</v>
      </c>
      <c r="C10" s="53">
        <v>30.26</v>
      </c>
      <c r="D10" s="53">
        <v>25.09</v>
      </c>
      <c r="E10" s="53">
        <v>7.98</v>
      </c>
      <c r="F10" s="53">
        <v>2.98</v>
      </c>
      <c r="G10" s="53">
        <v>110.2</v>
      </c>
      <c r="H10" s="53">
        <v>53.72</v>
      </c>
      <c r="I10" s="53">
        <v>7.05</v>
      </c>
      <c r="J10" s="53">
        <v>0.11</v>
      </c>
      <c r="K10" s="53">
        <v>202.01</v>
      </c>
      <c r="L10" s="53">
        <v>20.38</v>
      </c>
      <c r="M10" s="53">
        <v>83.93</v>
      </c>
      <c r="N10" s="53">
        <v>0</v>
      </c>
      <c r="O10" s="53">
        <v>0</v>
      </c>
      <c r="P10" s="53">
        <v>0.96</v>
      </c>
      <c r="Q10" s="54">
        <v>4.47</v>
      </c>
    </row>
    <row r="11" spans="1:21">
      <c r="A11" s="52" t="s">
        <v>638</v>
      </c>
      <c r="B11" s="53">
        <v>13.43</v>
      </c>
      <c r="C11" s="53">
        <v>32.86</v>
      </c>
      <c r="D11" s="53">
        <v>29.29</v>
      </c>
      <c r="E11" s="53">
        <v>8.19</v>
      </c>
      <c r="F11" s="53">
        <v>2.57</v>
      </c>
      <c r="G11" s="53">
        <v>98.24</v>
      </c>
      <c r="H11" s="53">
        <v>50.51</v>
      </c>
      <c r="I11" s="53">
        <v>6.84</v>
      </c>
      <c r="J11" s="53">
        <v>0.25</v>
      </c>
      <c r="K11" s="53">
        <v>184.45</v>
      </c>
      <c r="L11" s="53">
        <v>20.28</v>
      </c>
      <c r="M11" s="53">
        <v>85.09</v>
      </c>
      <c r="N11" s="53">
        <v>0</v>
      </c>
      <c r="O11" s="53">
        <v>0</v>
      </c>
      <c r="P11" s="53">
        <v>0.91</v>
      </c>
      <c r="Q11" s="54">
        <v>4.58</v>
      </c>
    </row>
    <row r="12" spans="1:21">
      <c r="A12" s="52" t="s">
        <v>639</v>
      </c>
      <c r="B12" s="53">
        <v>13.18</v>
      </c>
      <c r="C12" s="53">
        <v>32.25</v>
      </c>
      <c r="D12" s="53">
        <v>28.77</v>
      </c>
      <c r="E12" s="53">
        <v>8.18</v>
      </c>
      <c r="F12" s="53">
        <v>2.85</v>
      </c>
      <c r="G12" s="53">
        <v>99.63</v>
      </c>
      <c r="H12" s="53">
        <v>51.34</v>
      </c>
      <c r="I12" s="53">
        <v>7.25</v>
      </c>
      <c r="J12" s="53">
        <v>0.44</v>
      </c>
      <c r="K12" s="53">
        <v>39.369999999999997</v>
      </c>
      <c r="L12" s="53">
        <v>20.239999999999998</v>
      </c>
      <c r="M12" s="53">
        <v>84.45</v>
      </c>
      <c r="N12" s="53">
        <v>0</v>
      </c>
      <c r="O12" s="53">
        <v>0</v>
      </c>
      <c r="P12" s="53">
        <v>0.89</v>
      </c>
      <c r="Q12" s="54">
        <v>4.58</v>
      </c>
    </row>
    <row r="13" spans="1:21">
      <c r="A13" s="52" t="s">
        <v>640</v>
      </c>
      <c r="B13" s="53">
        <v>12.09</v>
      </c>
      <c r="C13" s="53">
        <v>30.54</v>
      </c>
      <c r="D13" s="53">
        <v>26.26</v>
      </c>
      <c r="E13" s="53">
        <v>7.8</v>
      </c>
      <c r="F13" s="53">
        <v>3.02</v>
      </c>
      <c r="G13" s="53">
        <v>103.77</v>
      </c>
      <c r="H13" s="53">
        <v>53.13</v>
      </c>
      <c r="I13" s="53">
        <v>7.33</v>
      </c>
      <c r="J13" s="53">
        <v>0.45</v>
      </c>
      <c r="K13" s="53">
        <v>115.3</v>
      </c>
      <c r="L13" s="53">
        <v>19.809999999999999</v>
      </c>
      <c r="M13" s="53">
        <v>84.01</v>
      </c>
      <c r="N13" s="53">
        <v>0</v>
      </c>
      <c r="O13" s="53">
        <v>0</v>
      </c>
      <c r="P13" s="53">
        <v>0.88</v>
      </c>
      <c r="Q13" s="54">
        <v>4.5</v>
      </c>
    </row>
    <row r="14" spans="1:21">
      <c r="A14" s="52" t="s">
        <v>641</v>
      </c>
      <c r="B14" s="53">
        <v>13.24</v>
      </c>
      <c r="C14" s="53">
        <v>27.45</v>
      </c>
      <c r="D14" s="53">
        <v>25.9</v>
      </c>
      <c r="E14" s="53">
        <v>6.44</v>
      </c>
      <c r="F14" s="53">
        <v>2.78</v>
      </c>
      <c r="G14" s="53">
        <v>103.77</v>
      </c>
      <c r="H14" s="53">
        <v>53.13</v>
      </c>
      <c r="I14" s="53">
        <v>7.24</v>
      </c>
      <c r="J14" s="53">
        <v>0.14000000000000001</v>
      </c>
      <c r="K14" s="53">
        <v>92</v>
      </c>
      <c r="L14" s="53">
        <v>19.12</v>
      </c>
      <c r="M14" s="53">
        <v>83.47</v>
      </c>
      <c r="N14" s="53">
        <v>0</v>
      </c>
      <c r="O14" s="53">
        <v>0</v>
      </c>
      <c r="P14" s="53">
        <v>0.84</v>
      </c>
      <c r="Q14" s="54">
        <v>4.5</v>
      </c>
    </row>
    <row r="15" spans="1:21">
      <c r="A15" s="52" t="s">
        <v>642</v>
      </c>
      <c r="B15" s="53">
        <v>14.11</v>
      </c>
      <c r="C15" s="53">
        <v>27.53</v>
      </c>
      <c r="D15" s="53">
        <v>26.82</v>
      </c>
      <c r="E15" s="53">
        <v>7.01</v>
      </c>
      <c r="F15" s="53">
        <v>2.76</v>
      </c>
      <c r="G15" s="53">
        <v>101.88</v>
      </c>
      <c r="H15" s="53">
        <v>48.8</v>
      </c>
      <c r="I15" s="53">
        <v>7.19</v>
      </c>
      <c r="J15" s="53">
        <v>7.0000000000000007E-2</v>
      </c>
      <c r="K15" s="53">
        <v>229.81</v>
      </c>
      <c r="L15" s="53">
        <v>19.14</v>
      </c>
      <c r="M15" s="53">
        <v>84.92</v>
      </c>
      <c r="N15" s="53">
        <v>14.8</v>
      </c>
      <c r="O15" s="53">
        <v>0</v>
      </c>
      <c r="P15" s="53">
        <v>0.84</v>
      </c>
      <c r="Q15" s="54">
        <v>4.55</v>
      </c>
    </row>
    <row r="16" spans="1:21">
      <c r="A16" s="52" t="s">
        <v>643</v>
      </c>
      <c r="B16" s="53">
        <v>15.6</v>
      </c>
      <c r="C16" s="53">
        <v>27.94</v>
      </c>
      <c r="D16" s="53">
        <v>28.46</v>
      </c>
      <c r="E16" s="53">
        <v>6.64</v>
      </c>
      <c r="F16" s="53">
        <v>2.71</v>
      </c>
      <c r="G16" s="53">
        <v>101.88</v>
      </c>
      <c r="H16" s="53">
        <v>48.24</v>
      </c>
      <c r="I16" s="53">
        <v>7.24</v>
      </c>
      <c r="J16" s="53">
        <v>0.25</v>
      </c>
      <c r="K16" s="53">
        <v>72.95</v>
      </c>
      <c r="L16" s="53">
        <v>21.22</v>
      </c>
      <c r="M16" s="53">
        <v>77.900000000000006</v>
      </c>
      <c r="N16" s="53">
        <v>100.5</v>
      </c>
      <c r="O16" s="53">
        <v>0</v>
      </c>
      <c r="P16" s="53">
        <v>0.87</v>
      </c>
      <c r="Q16" s="54">
        <v>4.6100000000000003</v>
      </c>
    </row>
    <row r="17" spans="1:17">
      <c r="A17" s="52" t="s">
        <v>644</v>
      </c>
      <c r="B17" s="53">
        <v>15.86</v>
      </c>
      <c r="C17" s="53">
        <v>28.6</v>
      </c>
      <c r="D17" s="53">
        <v>28.83</v>
      </c>
      <c r="E17" s="53">
        <v>34.31</v>
      </c>
      <c r="F17" s="53">
        <v>43.04</v>
      </c>
      <c r="G17" s="53">
        <v>100.27</v>
      </c>
      <c r="H17" s="53">
        <v>49.76</v>
      </c>
      <c r="I17" s="53">
        <v>7.5</v>
      </c>
      <c r="J17" s="53">
        <v>0.47</v>
      </c>
      <c r="K17" s="53">
        <v>73.13</v>
      </c>
      <c r="L17" s="53">
        <v>23.48</v>
      </c>
      <c r="M17" s="53">
        <v>65.900000000000006</v>
      </c>
      <c r="N17" s="53">
        <v>178.4</v>
      </c>
      <c r="O17" s="53">
        <v>0</v>
      </c>
      <c r="P17" s="53">
        <v>0.88</v>
      </c>
      <c r="Q17" s="54">
        <v>4.63</v>
      </c>
    </row>
    <row r="18" spans="1:17">
      <c r="A18" s="52" t="s">
        <v>645</v>
      </c>
      <c r="B18" s="53">
        <v>3.77</v>
      </c>
      <c r="C18" s="53">
        <v>17.98</v>
      </c>
      <c r="D18" s="53">
        <v>13.77</v>
      </c>
      <c r="E18" s="53">
        <v>63.32</v>
      </c>
      <c r="F18" s="53">
        <v>71.099999999999994</v>
      </c>
      <c r="G18" s="53">
        <v>101.96</v>
      </c>
      <c r="H18" s="53">
        <v>49.76</v>
      </c>
      <c r="I18" s="53">
        <v>6.82</v>
      </c>
      <c r="J18" s="53">
        <v>0.28999999999999998</v>
      </c>
      <c r="K18" s="53">
        <v>157.19999999999999</v>
      </c>
      <c r="L18" s="53">
        <v>26.21</v>
      </c>
      <c r="M18" s="53">
        <v>59.33</v>
      </c>
      <c r="N18" s="53">
        <v>295.89999999999998</v>
      </c>
      <c r="O18" s="53">
        <v>0</v>
      </c>
      <c r="P18" s="53">
        <v>0.82</v>
      </c>
      <c r="Q18" s="54">
        <v>4.1900000000000004</v>
      </c>
    </row>
    <row r="19" spans="1:17">
      <c r="A19" s="52" t="s">
        <v>646</v>
      </c>
      <c r="B19" s="53">
        <v>2.72</v>
      </c>
      <c r="C19" s="53">
        <v>14</v>
      </c>
      <c r="D19" s="53">
        <v>10.47</v>
      </c>
      <c r="E19" s="53">
        <v>41.25</v>
      </c>
      <c r="F19" s="53">
        <v>65.64</v>
      </c>
      <c r="G19" s="53">
        <v>101.96</v>
      </c>
      <c r="H19" s="53">
        <v>47.46</v>
      </c>
      <c r="I19" s="53">
        <v>7.57</v>
      </c>
      <c r="J19" s="53">
        <v>0.32</v>
      </c>
      <c r="K19" s="53">
        <v>142.54</v>
      </c>
      <c r="L19" s="53">
        <v>28.29</v>
      </c>
      <c r="M19" s="53">
        <v>70.819999999999993</v>
      </c>
      <c r="N19" s="53">
        <v>390.2</v>
      </c>
      <c r="O19" s="53">
        <v>0</v>
      </c>
      <c r="P19" s="53">
        <v>0.85</v>
      </c>
      <c r="Q19" s="54">
        <v>4.1500000000000004</v>
      </c>
    </row>
    <row r="20" spans="1:17">
      <c r="A20" s="52" t="s">
        <v>647</v>
      </c>
      <c r="B20" s="53">
        <v>2.0499999999999998</v>
      </c>
      <c r="C20" s="53">
        <v>12.9</v>
      </c>
      <c r="D20" s="53">
        <v>9.6199999999999992</v>
      </c>
      <c r="E20" s="53">
        <v>14.71</v>
      </c>
      <c r="F20" s="53">
        <v>31.98</v>
      </c>
      <c r="G20" s="53">
        <v>96.98</v>
      </c>
      <c r="H20" s="53">
        <v>45.94</v>
      </c>
      <c r="I20" s="53">
        <v>8.19</v>
      </c>
      <c r="J20" s="53">
        <v>0.3</v>
      </c>
      <c r="K20" s="53">
        <v>168.88</v>
      </c>
      <c r="L20" s="53">
        <v>29.25</v>
      </c>
      <c r="M20" s="53">
        <v>56.76</v>
      </c>
      <c r="N20" s="53">
        <v>447.2</v>
      </c>
      <c r="O20" s="53">
        <v>0</v>
      </c>
      <c r="P20" s="53">
        <v>0.75</v>
      </c>
      <c r="Q20" s="54">
        <v>4.16</v>
      </c>
    </row>
    <row r="21" spans="1:17">
      <c r="A21" s="52" t="s">
        <v>648</v>
      </c>
      <c r="B21" s="53">
        <v>3.1</v>
      </c>
      <c r="C21" s="53">
        <v>13.84</v>
      </c>
      <c r="D21" s="53">
        <v>11</v>
      </c>
      <c r="E21" s="53">
        <v>11.58</v>
      </c>
      <c r="F21" s="53">
        <v>12</v>
      </c>
      <c r="G21" s="53">
        <v>89.76</v>
      </c>
      <c r="H21" s="53">
        <v>45.94</v>
      </c>
      <c r="I21" s="53">
        <v>6.86</v>
      </c>
      <c r="J21" s="53">
        <v>0.51</v>
      </c>
      <c r="K21" s="53">
        <v>294.89999999999998</v>
      </c>
      <c r="L21" s="53">
        <v>29.55</v>
      </c>
      <c r="M21" s="53">
        <v>51.93</v>
      </c>
      <c r="N21" s="53">
        <v>440.6</v>
      </c>
      <c r="O21" s="53">
        <v>0</v>
      </c>
      <c r="P21" s="53">
        <v>0.71</v>
      </c>
      <c r="Q21" s="54">
        <v>4.22</v>
      </c>
    </row>
    <row r="22" spans="1:17">
      <c r="A22" s="52" t="s">
        <v>649</v>
      </c>
      <c r="B22" s="53">
        <v>3.9</v>
      </c>
      <c r="C22" s="53">
        <v>15.53</v>
      </c>
      <c r="D22" s="53">
        <v>12.59</v>
      </c>
      <c r="E22" s="53">
        <v>8.85</v>
      </c>
      <c r="F22" s="53">
        <v>4.9400000000000004</v>
      </c>
      <c r="G22" s="53">
        <v>83.52</v>
      </c>
      <c r="H22" s="53">
        <v>41.21</v>
      </c>
      <c r="I22" s="53">
        <v>5.27</v>
      </c>
      <c r="J22" s="53">
        <v>0.43</v>
      </c>
      <c r="K22" s="53">
        <v>346.55</v>
      </c>
      <c r="L22" s="53">
        <v>29.65</v>
      </c>
      <c r="M22" s="53">
        <v>44.48</v>
      </c>
      <c r="N22" s="53">
        <v>372.5</v>
      </c>
      <c r="O22" s="53">
        <v>0</v>
      </c>
      <c r="P22" s="53">
        <v>0.7</v>
      </c>
      <c r="Q22" s="54">
        <v>4.2699999999999996</v>
      </c>
    </row>
    <row r="23" spans="1:17">
      <c r="A23" s="52" t="s">
        <v>650</v>
      </c>
      <c r="B23" s="53">
        <v>4.0199999999999996</v>
      </c>
      <c r="C23" s="53">
        <v>17.920000000000002</v>
      </c>
      <c r="D23" s="53">
        <v>13.89</v>
      </c>
      <c r="E23" s="53">
        <v>8.3699999999999992</v>
      </c>
      <c r="F23" s="53">
        <v>4.51</v>
      </c>
      <c r="G23" s="53">
        <v>74.069999999999993</v>
      </c>
      <c r="H23" s="53">
        <v>39.549999999999997</v>
      </c>
      <c r="I23" s="53">
        <v>5.18</v>
      </c>
      <c r="J23" s="53">
        <v>0.27</v>
      </c>
      <c r="K23" s="53">
        <v>165.14</v>
      </c>
      <c r="L23" s="53">
        <v>28.92</v>
      </c>
      <c r="M23" s="53">
        <v>46.26</v>
      </c>
      <c r="N23" s="53">
        <v>152.19999999999999</v>
      </c>
      <c r="O23" s="53">
        <v>0</v>
      </c>
      <c r="P23" s="53">
        <v>0.63</v>
      </c>
      <c r="Q23" s="54">
        <v>4.24</v>
      </c>
    </row>
    <row r="24" spans="1:17">
      <c r="A24" s="52" t="s">
        <v>651</v>
      </c>
      <c r="B24" s="53">
        <v>3.96</v>
      </c>
      <c r="C24" s="53">
        <v>16.22</v>
      </c>
      <c r="D24" s="53">
        <v>12.97</v>
      </c>
      <c r="E24" s="53">
        <v>6.87</v>
      </c>
      <c r="F24" s="53">
        <v>4.6900000000000004</v>
      </c>
      <c r="G24" s="53">
        <v>70.36</v>
      </c>
      <c r="H24" s="53">
        <v>39.549999999999997</v>
      </c>
      <c r="I24" s="53">
        <v>4.47</v>
      </c>
      <c r="J24" s="53">
        <v>0.27</v>
      </c>
      <c r="K24" s="53">
        <v>331.17</v>
      </c>
      <c r="L24" s="53">
        <v>28.48</v>
      </c>
      <c r="M24" s="53">
        <v>45.6</v>
      </c>
      <c r="N24" s="53">
        <v>85.4</v>
      </c>
      <c r="O24" s="53">
        <v>0</v>
      </c>
      <c r="P24" s="53">
        <v>0.6</v>
      </c>
      <c r="Q24" s="54">
        <v>4.21</v>
      </c>
    </row>
    <row r="25" spans="1:17">
      <c r="A25" s="52" t="s">
        <v>652</v>
      </c>
      <c r="B25" s="53">
        <v>5.23</v>
      </c>
      <c r="C25" s="53">
        <v>17.64</v>
      </c>
      <c r="D25" s="53">
        <v>14.61</v>
      </c>
      <c r="E25" s="53">
        <v>6.36</v>
      </c>
      <c r="F25" s="53">
        <v>5.01</v>
      </c>
      <c r="G25" s="53">
        <v>77.12</v>
      </c>
      <c r="H25" s="53">
        <v>38.71</v>
      </c>
      <c r="I25" s="53">
        <v>4.8499999999999996</v>
      </c>
      <c r="J25" s="53">
        <v>0.31</v>
      </c>
      <c r="K25" s="53">
        <v>55.73</v>
      </c>
      <c r="L25" s="53">
        <v>27.76</v>
      </c>
      <c r="M25" s="53">
        <v>46.24</v>
      </c>
      <c r="N25" s="53">
        <v>32.6</v>
      </c>
      <c r="O25" s="53">
        <v>0</v>
      </c>
      <c r="P25" s="53">
        <v>0.62</v>
      </c>
      <c r="Q25" s="54">
        <v>4.22</v>
      </c>
    </row>
    <row r="26" spans="1:17">
      <c r="A26" s="52" t="s">
        <v>653</v>
      </c>
      <c r="B26" s="53">
        <v>7.24</v>
      </c>
      <c r="C26" s="53">
        <v>20.53</v>
      </c>
      <c r="D26" s="53">
        <v>17.89</v>
      </c>
      <c r="E26" s="53">
        <v>5.44</v>
      </c>
      <c r="F26" s="53">
        <v>3.05</v>
      </c>
      <c r="G26" s="53">
        <v>91.21</v>
      </c>
      <c r="H26" s="53">
        <v>38.71</v>
      </c>
      <c r="I26" s="53">
        <v>5.08</v>
      </c>
      <c r="J26" s="53">
        <v>0.28999999999999998</v>
      </c>
      <c r="K26" s="53">
        <v>100.18</v>
      </c>
      <c r="L26" s="53">
        <v>26.01</v>
      </c>
      <c r="M26" s="53">
        <v>54.24</v>
      </c>
      <c r="N26" s="53">
        <v>0</v>
      </c>
      <c r="O26" s="53">
        <v>0</v>
      </c>
      <c r="P26" s="53">
        <v>0.71</v>
      </c>
      <c r="Q26" s="54">
        <v>4.28</v>
      </c>
    </row>
    <row r="27" spans="1:17">
      <c r="A27" s="52" t="s">
        <v>654</v>
      </c>
      <c r="B27" s="53">
        <v>8.23</v>
      </c>
      <c r="C27" s="53">
        <v>36.9</v>
      </c>
      <c r="D27" s="53">
        <v>27.22</v>
      </c>
      <c r="E27" s="53">
        <v>8.51</v>
      </c>
      <c r="F27" s="53">
        <v>2.88</v>
      </c>
      <c r="G27" s="53">
        <v>116.13</v>
      </c>
      <c r="H27" s="53">
        <v>41.43</v>
      </c>
      <c r="I27" s="53">
        <v>5.83</v>
      </c>
      <c r="J27" s="53">
        <v>0.18</v>
      </c>
      <c r="K27" s="53">
        <v>153.87</v>
      </c>
      <c r="L27" s="53">
        <v>24.08</v>
      </c>
      <c r="M27" s="53">
        <v>61.15</v>
      </c>
      <c r="N27" s="53">
        <v>0</v>
      </c>
      <c r="O27" s="53">
        <v>0</v>
      </c>
      <c r="P27" s="53">
        <v>0.84</v>
      </c>
      <c r="Q27" s="54">
        <v>4.37</v>
      </c>
    </row>
    <row r="28" spans="1:17">
      <c r="A28" s="52" t="s">
        <v>655</v>
      </c>
      <c r="B28" s="53">
        <v>9.3699999999999992</v>
      </c>
      <c r="C28" s="53">
        <v>39.85</v>
      </c>
      <c r="D28" s="53">
        <v>29.22</v>
      </c>
      <c r="E28" s="53">
        <v>8.85</v>
      </c>
      <c r="F28" s="53">
        <v>2.65</v>
      </c>
      <c r="G28" s="53">
        <v>150.02000000000001</v>
      </c>
      <c r="H28" s="53">
        <v>49.42</v>
      </c>
      <c r="I28" s="53">
        <v>6.76</v>
      </c>
      <c r="J28" s="53">
        <v>0.2</v>
      </c>
      <c r="K28" s="53">
        <v>124.65</v>
      </c>
      <c r="L28" s="53">
        <v>23.19</v>
      </c>
      <c r="M28" s="53">
        <v>62.82</v>
      </c>
      <c r="N28" s="53">
        <v>0</v>
      </c>
      <c r="O28" s="53">
        <v>0</v>
      </c>
      <c r="P28" s="53">
        <v>0.93</v>
      </c>
      <c r="Q28" s="54">
        <v>4.47</v>
      </c>
    </row>
    <row r="29" spans="1:17">
      <c r="A29" s="52" t="s">
        <v>656</v>
      </c>
      <c r="B29" s="53">
        <v>9.43</v>
      </c>
      <c r="C29" s="53">
        <v>36.200000000000003</v>
      </c>
      <c r="D29" s="53">
        <v>27.8</v>
      </c>
      <c r="E29" s="53">
        <v>9.0299999999999994</v>
      </c>
      <c r="F29" s="53">
        <v>3.03</v>
      </c>
      <c r="G29" s="53">
        <v>150.02000000000001</v>
      </c>
      <c r="H29" s="53">
        <v>50.73</v>
      </c>
      <c r="I29" s="53">
        <v>7.28</v>
      </c>
      <c r="J29" s="53">
        <v>0.22</v>
      </c>
      <c r="K29" s="53">
        <v>203.89</v>
      </c>
      <c r="L29" s="53">
        <v>22.55</v>
      </c>
      <c r="M29" s="53">
        <v>72.08</v>
      </c>
      <c r="N29" s="53">
        <v>0</v>
      </c>
      <c r="O29" s="53">
        <v>0</v>
      </c>
      <c r="P29" s="53">
        <v>0.95</v>
      </c>
      <c r="Q29" s="54">
        <v>4.5</v>
      </c>
    </row>
    <row r="30" spans="1:17">
      <c r="A30" s="52" t="s">
        <v>657</v>
      </c>
      <c r="B30" s="53">
        <v>7.98</v>
      </c>
      <c r="C30" s="53">
        <v>31.42</v>
      </c>
      <c r="D30" s="53">
        <v>24.17</v>
      </c>
      <c r="E30" s="53">
        <v>8.9700000000000006</v>
      </c>
      <c r="F30" s="53">
        <v>3.05</v>
      </c>
      <c r="G30" s="53">
        <v>148.08000000000001</v>
      </c>
      <c r="H30" s="53">
        <v>50.73</v>
      </c>
      <c r="I30" s="53">
        <v>7.31</v>
      </c>
      <c r="J30" s="53">
        <v>0.18</v>
      </c>
      <c r="K30" s="53">
        <v>231.76</v>
      </c>
      <c r="L30" s="53">
        <v>21.01</v>
      </c>
      <c r="M30" s="53">
        <v>77.42</v>
      </c>
      <c r="N30" s="53">
        <v>0</v>
      </c>
      <c r="O30" s="53">
        <v>0</v>
      </c>
      <c r="P30" s="53">
        <v>0.93</v>
      </c>
      <c r="Q30" s="54">
        <v>4.43</v>
      </c>
    </row>
    <row r="31" spans="1:17">
      <c r="A31" s="52" t="s">
        <v>658</v>
      </c>
      <c r="B31" s="53">
        <v>10</v>
      </c>
      <c r="C31" s="53">
        <v>31.66</v>
      </c>
      <c r="D31" s="53">
        <v>25.91</v>
      </c>
      <c r="E31" s="53">
        <v>8.9</v>
      </c>
      <c r="F31" s="53">
        <v>2.67</v>
      </c>
      <c r="G31" s="53">
        <v>128.99</v>
      </c>
      <c r="H31" s="53">
        <v>48.37</v>
      </c>
      <c r="I31" s="53">
        <v>7.09</v>
      </c>
      <c r="J31" s="53">
        <v>0.18</v>
      </c>
      <c r="K31" s="53">
        <v>126.25</v>
      </c>
      <c r="L31" s="53">
        <v>21.32</v>
      </c>
      <c r="M31" s="53">
        <v>71.22</v>
      </c>
      <c r="N31" s="53">
        <v>0</v>
      </c>
      <c r="O31" s="53">
        <v>0</v>
      </c>
      <c r="P31" s="53">
        <v>0.93</v>
      </c>
      <c r="Q31" s="54">
        <v>4.4800000000000004</v>
      </c>
    </row>
    <row r="32" spans="1:17">
      <c r="A32" s="52" t="s">
        <v>659</v>
      </c>
      <c r="B32" s="53">
        <v>11.88</v>
      </c>
      <c r="C32" s="53">
        <v>33.64</v>
      </c>
      <c r="D32" s="53">
        <v>28.44</v>
      </c>
      <c r="E32" s="53">
        <v>8.36</v>
      </c>
      <c r="F32" s="53">
        <v>2.68</v>
      </c>
      <c r="G32" s="53">
        <v>117.43</v>
      </c>
      <c r="H32" s="53">
        <v>47.8</v>
      </c>
      <c r="I32" s="53">
        <v>7.05</v>
      </c>
      <c r="J32" s="53">
        <v>0.22</v>
      </c>
      <c r="K32" s="53">
        <v>159.87</v>
      </c>
      <c r="L32" s="53">
        <v>20.87</v>
      </c>
      <c r="M32" s="53">
        <v>77.77</v>
      </c>
      <c r="N32" s="53">
        <v>0</v>
      </c>
      <c r="O32" s="53">
        <v>0</v>
      </c>
      <c r="P32" s="53">
        <v>0.92</v>
      </c>
      <c r="Q32" s="54">
        <v>4.58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2.0499999999999998</v>
      </c>
      <c r="C34" s="40">
        <f t="shared" si="0"/>
        <v>12.9</v>
      </c>
      <c r="D34" s="40">
        <f t="shared" si="0"/>
        <v>9.6199999999999992</v>
      </c>
      <c r="E34" s="40">
        <f t="shared" si="0"/>
        <v>5.44</v>
      </c>
      <c r="F34" s="40">
        <f t="shared" si="0"/>
        <v>2.57</v>
      </c>
      <c r="G34" s="40">
        <f t="shared" si="0"/>
        <v>70.36</v>
      </c>
      <c r="H34" s="40">
        <f t="shared" si="0"/>
        <v>38.71</v>
      </c>
      <c r="I34" s="40">
        <f t="shared" si="0"/>
        <v>4.47</v>
      </c>
      <c r="J34" s="40">
        <f t="shared" si="0"/>
        <v>7.0000000000000007E-2</v>
      </c>
      <c r="K34" s="40">
        <f t="shared" si="0"/>
        <v>39.369999999999997</v>
      </c>
      <c r="L34" s="40">
        <f t="shared" si="0"/>
        <v>19.12</v>
      </c>
      <c r="M34" s="40">
        <f t="shared" si="0"/>
        <v>44.48</v>
      </c>
      <c r="N34" s="40">
        <f t="shared" si="0"/>
        <v>0</v>
      </c>
      <c r="O34" s="40">
        <f t="shared" si="0"/>
        <v>0</v>
      </c>
      <c r="P34" s="40">
        <f t="shared" si="0"/>
        <v>0.6</v>
      </c>
      <c r="Q34" s="40">
        <f t="shared" si="0"/>
        <v>4.1500000000000004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15.86</v>
      </c>
      <c r="C35" s="33">
        <f t="shared" si="1"/>
        <v>39.85</v>
      </c>
      <c r="D35" s="33">
        <f t="shared" si="1"/>
        <v>29.29</v>
      </c>
      <c r="E35" s="33">
        <f t="shared" si="1"/>
        <v>63.32</v>
      </c>
      <c r="F35" s="33">
        <f t="shared" si="1"/>
        <v>71.099999999999994</v>
      </c>
      <c r="G35" s="33">
        <f t="shared" si="1"/>
        <v>150.02000000000001</v>
      </c>
      <c r="H35" s="33">
        <f t="shared" si="1"/>
        <v>56.09</v>
      </c>
      <c r="I35" s="33">
        <f t="shared" si="1"/>
        <v>8.19</v>
      </c>
      <c r="J35" s="33">
        <f t="shared" si="1"/>
        <v>0.51</v>
      </c>
      <c r="K35" s="33">
        <f t="shared" si="1"/>
        <v>346.55</v>
      </c>
      <c r="L35" s="33">
        <f t="shared" si="1"/>
        <v>29.65</v>
      </c>
      <c r="M35" s="33">
        <f t="shared" si="1"/>
        <v>86.24</v>
      </c>
      <c r="N35" s="33">
        <f t="shared" si="1"/>
        <v>447.2</v>
      </c>
      <c r="O35" s="33">
        <f t="shared" si="1"/>
        <v>0</v>
      </c>
      <c r="P35" s="33">
        <f t="shared" si="1"/>
        <v>1</v>
      </c>
      <c r="Q35" s="33">
        <f t="shared" si="1"/>
        <v>4.63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8.7987500000000001</v>
      </c>
      <c r="C36" s="40">
        <f t="shared" si="2"/>
        <v>26.064166666666662</v>
      </c>
      <c r="D36" s="40">
        <f t="shared" si="2"/>
        <v>21.905416666666671</v>
      </c>
      <c r="E36" s="40">
        <f t="shared" si="2"/>
        <v>13.085000000000001</v>
      </c>
      <c r="F36" s="40">
        <f t="shared" si="2"/>
        <v>11.886249999999999</v>
      </c>
      <c r="G36" s="40">
        <f t="shared" si="2"/>
        <v>105.37041666666666</v>
      </c>
      <c r="H36" s="40">
        <f t="shared" si="2"/>
        <v>47.501249999999999</v>
      </c>
      <c r="I36" s="40">
        <f t="shared" si="2"/>
        <v>6.6829166666666664</v>
      </c>
      <c r="J36" s="40">
        <f t="shared" si="2"/>
        <v>0.27124999999999988</v>
      </c>
      <c r="K36" s="40">
        <f t="shared" si="2"/>
        <v>166.77291666666665</v>
      </c>
      <c r="L36" s="40">
        <f t="shared" si="2"/>
        <v>23.822916666666671</v>
      </c>
      <c r="M36" s="40">
        <f t="shared" si="2"/>
        <v>68.084583333333327</v>
      </c>
      <c r="N36" s="40">
        <f t="shared" si="2"/>
        <v>104.59583333333332</v>
      </c>
      <c r="O36" s="40">
        <f t="shared" si="2"/>
        <v>0</v>
      </c>
      <c r="P36" s="40">
        <f t="shared" si="2"/>
        <v>0.83166666666666655</v>
      </c>
      <c r="Q36" s="40">
        <f t="shared" si="2"/>
        <v>4.4033333333333324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4.370964785053058</v>
      </c>
      <c r="C37" s="40">
        <f t="shared" ref="C37:Q37" si="3">STDEV(C9:C32)</f>
        <v>8.3586460920865591</v>
      </c>
      <c r="D37" s="40">
        <f t="shared" si="3"/>
        <v>7.3204282240902918</v>
      </c>
      <c r="E37" s="40">
        <f t="shared" si="3"/>
        <v>13.698680037967481</v>
      </c>
      <c r="F37" s="40">
        <f t="shared" si="3"/>
        <v>20.004397084575963</v>
      </c>
      <c r="G37" s="40">
        <f t="shared" si="3"/>
        <v>21.720689691821601</v>
      </c>
      <c r="H37" s="40">
        <f t="shared" si="3"/>
        <v>5.1064275885780539</v>
      </c>
      <c r="I37" s="40">
        <f t="shared" si="3"/>
        <v>0.99186025999750771</v>
      </c>
      <c r="J37" s="40">
        <f t="shared" si="3"/>
        <v>0.11792822061487818</v>
      </c>
      <c r="K37" s="40">
        <f t="shared" si="3"/>
        <v>81.86299548791041</v>
      </c>
      <c r="L37" s="40">
        <f t="shared" si="3"/>
        <v>3.7728716766417523</v>
      </c>
      <c r="M37" s="40">
        <f t="shared" si="3"/>
        <v>14.709335686582895</v>
      </c>
      <c r="N37" s="40">
        <f t="shared" si="3"/>
        <v>159.31715560114856</v>
      </c>
      <c r="O37" s="40">
        <f t="shared" si="3"/>
        <v>0</v>
      </c>
      <c r="P37" s="40">
        <f t="shared" si="3"/>
        <v>0.11510549666422933</v>
      </c>
      <c r="Q37" s="40">
        <f t="shared" si="3"/>
        <v>0.16077709837638332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26/11/2023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52" t="s">
        <v>660</v>
      </c>
      <c r="B9" s="53">
        <v>12.26</v>
      </c>
      <c r="C9" s="53">
        <v>30.53</v>
      </c>
      <c r="D9" s="53">
        <v>26.99</v>
      </c>
      <c r="E9" s="53">
        <v>8.0299999999999994</v>
      </c>
      <c r="F9" s="53">
        <v>2.94</v>
      </c>
      <c r="G9" s="53">
        <v>111.67</v>
      </c>
      <c r="H9" s="53">
        <v>47.8</v>
      </c>
      <c r="I9" s="53">
        <v>7.06</v>
      </c>
      <c r="J9" s="53">
        <v>0.16</v>
      </c>
      <c r="K9" s="53">
        <v>155.68</v>
      </c>
      <c r="L9" s="53">
        <v>20.12</v>
      </c>
      <c r="M9" s="53">
        <v>78.78</v>
      </c>
      <c r="N9" s="53">
        <v>0</v>
      </c>
      <c r="O9" s="53">
        <v>0</v>
      </c>
      <c r="P9" s="53">
        <v>0.86</v>
      </c>
      <c r="Q9" s="54">
        <v>4.57</v>
      </c>
    </row>
    <row r="10" spans="1:21">
      <c r="A10" s="52" t="s">
        <v>661</v>
      </c>
      <c r="B10" s="53">
        <v>12.68</v>
      </c>
      <c r="C10" s="53">
        <v>27.63</v>
      </c>
      <c r="D10" s="53">
        <v>25.69</v>
      </c>
      <c r="E10" s="53">
        <v>7.32</v>
      </c>
      <c r="F10" s="53">
        <v>2.98</v>
      </c>
      <c r="G10" s="53">
        <v>104.91</v>
      </c>
      <c r="H10" s="53">
        <v>46.88</v>
      </c>
      <c r="I10" s="53">
        <v>6.69</v>
      </c>
      <c r="J10" s="53">
        <v>0.32</v>
      </c>
      <c r="K10" s="53">
        <v>283.36</v>
      </c>
      <c r="L10" s="53">
        <v>19.43</v>
      </c>
      <c r="M10" s="53">
        <v>83.87</v>
      </c>
      <c r="N10" s="53">
        <v>0</v>
      </c>
      <c r="O10" s="53">
        <v>0</v>
      </c>
      <c r="P10" s="53">
        <v>0.8</v>
      </c>
      <c r="Q10" s="54">
        <v>4.5</v>
      </c>
    </row>
    <row r="11" spans="1:21">
      <c r="A11" s="52" t="s">
        <v>662</v>
      </c>
      <c r="B11" s="53">
        <v>17.600000000000001</v>
      </c>
      <c r="C11" s="53">
        <v>28.44</v>
      </c>
      <c r="D11" s="53">
        <v>30.33</v>
      </c>
      <c r="E11" s="53">
        <v>9.5299999999999994</v>
      </c>
      <c r="F11" s="53">
        <v>2.78</v>
      </c>
      <c r="G11" s="53">
        <v>97.46</v>
      </c>
      <c r="H11" s="53">
        <v>45.63</v>
      </c>
      <c r="I11" s="53">
        <v>6.45</v>
      </c>
      <c r="J11" s="53">
        <v>0.28000000000000003</v>
      </c>
      <c r="K11" s="53">
        <v>335.76</v>
      </c>
      <c r="L11" s="53">
        <v>18.53</v>
      </c>
      <c r="M11" s="53">
        <v>84.83</v>
      </c>
      <c r="N11" s="53">
        <v>0</v>
      </c>
      <c r="O11" s="53">
        <v>0</v>
      </c>
      <c r="P11" s="53">
        <v>0.81</v>
      </c>
      <c r="Q11" s="54">
        <v>4.63</v>
      </c>
    </row>
    <row r="12" spans="1:21">
      <c r="A12" s="52" t="s">
        <v>663</v>
      </c>
      <c r="B12" s="53">
        <v>17.68</v>
      </c>
      <c r="C12" s="53">
        <v>27.71</v>
      </c>
      <c r="D12" s="53">
        <v>29.86</v>
      </c>
      <c r="E12" s="53">
        <v>8.8699999999999992</v>
      </c>
      <c r="F12" s="53">
        <v>2.6</v>
      </c>
      <c r="G12" s="53">
        <v>112.84</v>
      </c>
      <c r="H12" s="53">
        <v>44.64</v>
      </c>
      <c r="I12" s="53">
        <v>6.52</v>
      </c>
      <c r="J12" s="53">
        <v>0.34</v>
      </c>
      <c r="K12" s="53">
        <v>43.97</v>
      </c>
      <c r="L12" s="53">
        <v>18.27</v>
      </c>
      <c r="M12" s="53">
        <v>83.62</v>
      </c>
      <c r="N12" s="53">
        <v>0</v>
      </c>
      <c r="O12" s="53">
        <v>0</v>
      </c>
      <c r="P12" s="53">
        <v>0.84</v>
      </c>
      <c r="Q12" s="54">
        <v>4.6500000000000004</v>
      </c>
    </row>
    <row r="13" spans="1:21">
      <c r="A13" s="52" t="s">
        <v>664</v>
      </c>
      <c r="B13" s="53">
        <v>18.239999999999998</v>
      </c>
      <c r="C13" s="53">
        <v>27.36</v>
      </c>
      <c r="D13" s="53">
        <v>30.27</v>
      </c>
      <c r="E13" s="53">
        <v>9.17</v>
      </c>
      <c r="F13" s="53">
        <v>2.81</v>
      </c>
      <c r="G13" s="53">
        <v>123.19</v>
      </c>
      <c r="H13" s="53">
        <v>47.42</v>
      </c>
      <c r="I13" s="53">
        <v>6.76</v>
      </c>
      <c r="J13" s="53">
        <v>0.41</v>
      </c>
      <c r="K13" s="53">
        <v>56.3</v>
      </c>
      <c r="L13" s="53">
        <v>18.010000000000002</v>
      </c>
      <c r="M13" s="53">
        <v>83.67</v>
      </c>
      <c r="N13" s="53">
        <v>0</v>
      </c>
      <c r="O13" s="53">
        <v>0</v>
      </c>
      <c r="P13" s="53">
        <v>0.85</v>
      </c>
      <c r="Q13" s="54">
        <v>4.68</v>
      </c>
    </row>
    <row r="14" spans="1:21">
      <c r="A14" s="52" t="s">
        <v>665</v>
      </c>
      <c r="B14" s="53">
        <v>18.32</v>
      </c>
      <c r="C14" s="53">
        <v>28.08</v>
      </c>
      <c r="D14" s="53">
        <v>30.67</v>
      </c>
      <c r="E14" s="53">
        <v>8.6199999999999992</v>
      </c>
      <c r="F14" s="53">
        <v>2.91</v>
      </c>
      <c r="G14" s="53">
        <v>123.19</v>
      </c>
      <c r="H14" s="53">
        <v>47.55</v>
      </c>
      <c r="I14" s="53">
        <v>6.78</v>
      </c>
      <c r="J14" s="53">
        <v>0.26</v>
      </c>
      <c r="K14" s="53">
        <v>157.49</v>
      </c>
      <c r="L14" s="53">
        <v>17.95</v>
      </c>
      <c r="M14" s="53">
        <v>84.74</v>
      </c>
      <c r="N14" s="53">
        <v>0</v>
      </c>
      <c r="O14" s="53">
        <v>0</v>
      </c>
      <c r="P14" s="53">
        <v>0.85</v>
      </c>
      <c r="Q14" s="54">
        <v>4.67</v>
      </c>
    </row>
    <row r="15" spans="1:21">
      <c r="A15" s="52" t="s">
        <v>666</v>
      </c>
      <c r="B15" s="53">
        <v>16.13</v>
      </c>
      <c r="C15" s="53">
        <v>27.66</v>
      </c>
      <c r="D15" s="53">
        <v>28.43</v>
      </c>
      <c r="E15" s="53">
        <v>8.5299999999999994</v>
      </c>
      <c r="F15" s="53">
        <v>2.8</v>
      </c>
      <c r="G15" s="53">
        <v>115.07</v>
      </c>
      <c r="H15" s="53">
        <v>47.55</v>
      </c>
      <c r="I15" s="53">
        <v>6.76</v>
      </c>
      <c r="J15" s="53">
        <v>0.14000000000000001</v>
      </c>
      <c r="K15" s="53">
        <v>199.12</v>
      </c>
      <c r="L15" s="53">
        <v>18.260000000000002</v>
      </c>
      <c r="M15" s="53">
        <v>84.03</v>
      </c>
      <c r="N15" s="53">
        <v>16.2</v>
      </c>
      <c r="O15" s="53">
        <v>0</v>
      </c>
      <c r="P15" s="53">
        <v>0.83</v>
      </c>
      <c r="Q15" s="54">
        <v>4.62</v>
      </c>
    </row>
    <row r="16" spans="1:21">
      <c r="A16" s="52" t="s">
        <v>667</v>
      </c>
      <c r="B16" s="53">
        <v>13.14</v>
      </c>
      <c r="C16" s="53">
        <v>29.08</v>
      </c>
      <c r="D16" s="53">
        <v>26.53</v>
      </c>
      <c r="E16" s="53">
        <v>8.84</v>
      </c>
      <c r="F16" s="53">
        <v>2.75</v>
      </c>
      <c r="G16" s="53">
        <v>105.26</v>
      </c>
      <c r="H16" s="53">
        <v>43.98</v>
      </c>
      <c r="I16" s="53">
        <v>6.7</v>
      </c>
      <c r="J16" s="53">
        <v>0.41</v>
      </c>
      <c r="K16" s="53">
        <v>65.2</v>
      </c>
      <c r="L16" s="53">
        <v>19.91</v>
      </c>
      <c r="M16" s="53">
        <v>80.62</v>
      </c>
      <c r="N16" s="53">
        <v>121.5</v>
      </c>
      <c r="O16" s="53">
        <v>0</v>
      </c>
      <c r="P16" s="53">
        <v>0.82</v>
      </c>
      <c r="Q16" s="54">
        <v>4.5199999999999996</v>
      </c>
    </row>
    <row r="17" spans="1:17">
      <c r="A17" s="52" t="s">
        <v>668</v>
      </c>
      <c r="B17" s="53">
        <v>12.33</v>
      </c>
      <c r="C17" s="53">
        <v>29.78</v>
      </c>
      <c r="D17" s="53">
        <v>26.79</v>
      </c>
      <c r="E17" s="53">
        <v>9.14</v>
      </c>
      <c r="F17" s="53">
        <v>3</v>
      </c>
      <c r="G17" s="53">
        <v>99.54</v>
      </c>
      <c r="H17" s="53">
        <v>44.08</v>
      </c>
      <c r="I17" s="53">
        <v>6.77</v>
      </c>
      <c r="J17" s="53">
        <v>0.56000000000000005</v>
      </c>
      <c r="K17" s="53">
        <v>67.989999999999995</v>
      </c>
      <c r="L17" s="53">
        <v>22.81</v>
      </c>
      <c r="M17" s="53">
        <v>76.47</v>
      </c>
      <c r="N17" s="53">
        <v>218.3</v>
      </c>
      <c r="O17" s="53">
        <v>0</v>
      </c>
      <c r="P17" s="53">
        <v>0.84</v>
      </c>
      <c r="Q17" s="54">
        <v>4.4800000000000004</v>
      </c>
    </row>
    <row r="18" spans="1:17">
      <c r="A18" s="52" t="s">
        <v>669</v>
      </c>
      <c r="B18" s="53">
        <v>11.12</v>
      </c>
      <c r="C18" s="53">
        <v>30.33</v>
      </c>
      <c r="D18" s="53">
        <v>25.52</v>
      </c>
      <c r="E18" s="53">
        <v>9.36</v>
      </c>
      <c r="F18" s="53">
        <v>2.92</v>
      </c>
      <c r="G18" s="53">
        <v>101.53</v>
      </c>
      <c r="H18" s="53">
        <v>44.18</v>
      </c>
      <c r="I18" s="53">
        <v>6.88</v>
      </c>
      <c r="J18" s="53">
        <v>0.63</v>
      </c>
      <c r="K18" s="53">
        <v>48.81</v>
      </c>
      <c r="L18" s="53">
        <v>24.82</v>
      </c>
      <c r="M18" s="53">
        <v>69.7</v>
      </c>
      <c r="N18" s="53">
        <v>363.3</v>
      </c>
      <c r="O18" s="53">
        <v>0</v>
      </c>
      <c r="P18" s="53">
        <v>0.87</v>
      </c>
      <c r="Q18" s="54">
        <v>4.47</v>
      </c>
    </row>
    <row r="19" spans="1:17">
      <c r="A19" s="52" t="s">
        <v>670</v>
      </c>
      <c r="B19" s="53">
        <v>10.09</v>
      </c>
      <c r="C19" s="53">
        <v>26.67</v>
      </c>
      <c r="D19" s="53">
        <v>23.37</v>
      </c>
      <c r="E19" s="53">
        <v>7.58</v>
      </c>
      <c r="F19" s="53">
        <v>3.62</v>
      </c>
      <c r="G19" s="53">
        <v>101.53</v>
      </c>
      <c r="H19" s="53">
        <v>46.02</v>
      </c>
      <c r="I19" s="53">
        <v>6.92</v>
      </c>
      <c r="J19" s="53">
        <v>0.36</v>
      </c>
      <c r="K19" s="53">
        <v>131.88999999999999</v>
      </c>
      <c r="L19" s="53">
        <v>27.57</v>
      </c>
      <c r="M19" s="53">
        <v>63.71</v>
      </c>
      <c r="N19" s="53">
        <v>432.7</v>
      </c>
      <c r="O19" s="53">
        <v>0</v>
      </c>
      <c r="P19" s="53">
        <v>0.85</v>
      </c>
      <c r="Q19" s="54">
        <v>4.43</v>
      </c>
    </row>
    <row r="20" spans="1:17">
      <c r="A20" s="52" t="s">
        <v>671</v>
      </c>
      <c r="B20" s="53">
        <v>7.09</v>
      </c>
      <c r="C20" s="53">
        <v>23.06</v>
      </c>
      <c r="D20" s="53">
        <v>19.09</v>
      </c>
      <c r="E20" s="53">
        <v>7.35</v>
      </c>
      <c r="F20" s="53">
        <v>4.8099999999999996</v>
      </c>
      <c r="G20" s="53">
        <v>97.74</v>
      </c>
      <c r="H20" s="53">
        <v>46.02</v>
      </c>
      <c r="I20" s="53">
        <v>6.85</v>
      </c>
      <c r="J20" s="53">
        <v>0.4</v>
      </c>
      <c r="K20" s="53">
        <v>163.94</v>
      </c>
      <c r="L20" s="53">
        <v>28.57</v>
      </c>
      <c r="M20" s="53">
        <v>51.39</v>
      </c>
      <c r="N20" s="53">
        <v>486.8</v>
      </c>
      <c r="O20" s="53">
        <v>0</v>
      </c>
      <c r="P20" s="53">
        <v>0.81</v>
      </c>
      <c r="Q20" s="54">
        <v>4.2300000000000004</v>
      </c>
    </row>
    <row r="21" spans="1:17">
      <c r="A21" s="52" t="s">
        <v>672</v>
      </c>
      <c r="B21" s="53">
        <v>5.31</v>
      </c>
      <c r="C21" s="53">
        <v>21.29</v>
      </c>
      <c r="D21" s="53">
        <v>16.55</v>
      </c>
      <c r="E21" s="53">
        <v>7.33</v>
      </c>
      <c r="F21" s="53">
        <v>5.23</v>
      </c>
      <c r="G21" s="53">
        <v>86.24</v>
      </c>
      <c r="H21" s="53">
        <v>43.42</v>
      </c>
      <c r="I21" s="53">
        <v>6.53</v>
      </c>
      <c r="J21" s="53">
        <v>0.55000000000000004</v>
      </c>
      <c r="K21" s="53">
        <v>81.180000000000007</v>
      </c>
      <c r="L21" s="53">
        <v>29.07</v>
      </c>
      <c r="M21" s="53">
        <v>39.51</v>
      </c>
      <c r="N21" s="53">
        <v>477.7</v>
      </c>
      <c r="O21" s="53">
        <v>0</v>
      </c>
      <c r="P21" s="53">
        <v>0.76</v>
      </c>
      <c r="Q21" s="54">
        <v>4.1900000000000004</v>
      </c>
    </row>
    <row r="22" spans="1:17">
      <c r="A22" s="52" t="s">
        <v>673</v>
      </c>
      <c r="B22" s="53">
        <v>4.96</v>
      </c>
      <c r="C22" s="53">
        <v>19.399999999999999</v>
      </c>
      <c r="D22" s="53">
        <v>15.38</v>
      </c>
      <c r="E22" s="53">
        <v>7.35</v>
      </c>
      <c r="F22" s="53">
        <v>5.3</v>
      </c>
      <c r="G22" s="53">
        <v>82.98</v>
      </c>
      <c r="H22" s="53">
        <v>42.26</v>
      </c>
      <c r="I22" s="53">
        <v>6.09</v>
      </c>
      <c r="J22" s="53">
        <v>0.54</v>
      </c>
      <c r="K22" s="53">
        <v>291.95</v>
      </c>
      <c r="L22" s="53">
        <v>28.72</v>
      </c>
      <c r="M22" s="53">
        <v>36.21</v>
      </c>
      <c r="N22" s="53">
        <v>425.8</v>
      </c>
      <c r="O22" s="53">
        <v>0</v>
      </c>
      <c r="P22" s="53">
        <v>0.73</v>
      </c>
      <c r="Q22" s="54">
        <v>4.18</v>
      </c>
    </row>
    <row r="23" spans="1:17">
      <c r="A23" s="52" t="s">
        <v>674</v>
      </c>
      <c r="B23" s="53">
        <v>4.95</v>
      </c>
      <c r="C23" s="53">
        <v>19.8</v>
      </c>
      <c r="D23" s="53">
        <v>15.67</v>
      </c>
      <c r="E23" s="53">
        <v>7.14</v>
      </c>
      <c r="F23" s="53">
        <v>5.79</v>
      </c>
      <c r="G23" s="53">
        <v>77.48</v>
      </c>
      <c r="H23" s="53">
        <v>40.130000000000003</v>
      </c>
      <c r="I23" s="53">
        <v>5.7</v>
      </c>
      <c r="J23" s="53">
        <v>0.35</v>
      </c>
      <c r="K23" s="53">
        <v>69.55</v>
      </c>
      <c r="L23" s="53">
        <v>28.49</v>
      </c>
      <c r="M23" s="53">
        <v>35.590000000000003</v>
      </c>
      <c r="N23" s="53">
        <v>165.5</v>
      </c>
      <c r="O23" s="53">
        <v>0</v>
      </c>
      <c r="P23" s="53">
        <v>0.7</v>
      </c>
      <c r="Q23" s="54">
        <v>4.16</v>
      </c>
    </row>
    <row r="24" spans="1:17">
      <c r="A24" s="52" t="s">
        <v>675</v>
      </c>
      <c r="B24" s="53">
        <v>4.9800000000000004</v>
      </c>
      <c r="C24" s="53">
        <v>22.9</v>
      </c>
      <c r="D24" s="53">
        <v>17.239999999999998</v>
      </c>
      <c r="E24" s="53">
        <v>7.54</v>
      </c>
      <c r="F24" s="53">
        <v>6.52</v>
      </c>
      <c r="G24" s="53">
        <v>66.28</v>
      </c>
      <c r="H24" s="53">
        <v>35.409999999999997</v>
      </c>
      <c r="I24" s="53">
        <v>5.46</v>
      </c>
      <c r="J24" s="53">
        <v>0.52</v>
      </c>
      <c r="K24" s="53">
        <v>68.709999999999994</v>
      </c>
      <c r="L24" s="53">
        <v>27.86</v>
      </c>
      <c r="M24" s="53">
        <v>36.840000000000003</v>
      </c>
      <c r="N24" s="53">
        <v>93.7</v>
      </c>
      <c r="O24" s="53">
        <v>0</v>
      </c>
      <c r="P24" s="53">
        <v>0.7</v>
      </c>
      <c r="Q24" s="54">
        <v>4.18</v>
      </c>
    </row>
    <row r="25" spans="1:17">
      <c r="A25" s="52" t="s">
        <v>676</v>
      </c>
      <c r="B25" s="53">
        <v>5.71</v>
      </c>
      <c r="C25" s="53">
        <v>26.42</v>
      </c>
      <c r="D25" s="53">
        <v>19.739999999999998</v>
      </c>
      <c r="E25" s="53">
        <v>7</v>
      </c>
      <c r="F25" s="53">
        <v>4.71</v>
      </c>
      <c r="G25" s="53">
        <v>68.41</v>
      </c>
      <c r="H25" s="53">
        <v>33.81</v>
      </c>
      <c r="I25" s="53">
        <v>5.24</v>
      </c>
      <c r="J25" s="53">
        <v>0.43</v>
      </c>
      <c r="K25" s="53">
        <v>76.53</v>
      </c>
      <c r="L25" s="53">
        <v>27.09</v>
      </c>
      <c r="M25" s="53">
        <v>44.14</v>
      </c>
      <c r="N25" s="53">
        <v>46.5</v>
      </c>
      <c r="O25" s="53">
        <v>0</v>
      </c>
      <c r="P25" s="53">
        <v>0.72</v>
      </c>
      <c r="Q25" s="54">
        <v>4.22</v>
      </c>
    </row>
    <row r="26" spans="1:17">
      <c r="A26" s="52" t="s">
        <v>677</v>
      </c>
      <c r="B26" s="53">
        <v>7.4</v>
      </c>
      <c r="C26" s="53">
        <v>29.15</v>
      </c>
      <c r="D26" s="53">
        <v>22.52</v>
      </c>
      <c r="E26" s="53">
        <v>6.93</v>
      </c>
      <c r="F26" s="53">
        <v>3.18</v>
      </c>
      <c r="G26" s="53">
        <v>84.21</v>
      </c>
      <c r="H26" s="53">
        <v>36.56</v>
      </c>
      <c r="I26" s="53">
        <v>5.69</v>
      </c>
      <c r="J26" s="53">
        <v>0.21</v>
      </c>
      <c r="K26" s="53">
        <v>156.63</v>
      </c>
      <c r="L26" s="53">
        <v>25.05</v>
      </c>
      <c r="M26" s="53">
        <v>56.29</v>
      </c>
      <c r="N26" s="53">
        <v>0</v>
      </c>
      <c r="O26" s="53">
        <v>0</v>
      </c>
      <c r="P26" s="53">
        <v>0.78</v>
      </c>
      <c r="Q26" s="54">
        <v>4.29</v>
      </c>
    </row>
    <row r="27" spans="1:17">
      <c r="A27" s="52" t="s">
        <v>678</v>
      </c>
      <c r="B27" s="53">
        <v>10.38</v>
      </c>
      <c r="C27" s="53">
        <v>32.049999999999997</v>
      </c>
      <c r="D27" s="53">
        <v>26.42</v>
      </c>
      <c r="E27" s="53">
        <v>9.49</v>
      </c>
      <c r="F27" s="53">
        <v>2.74</v>
      </c>
      <c r="G27" s="53">
        <v>105.59</v>
      </c>
      <c r="H27" s="53">
        <v>40.11</v>
      </c>
      <c r="I27" s="53">
        <v>6.48</v>
      </c>
      <c r="J27" s="53">
        <v>0.14000000000000001</v>
      </c>
      <c r="K27" s="53">
        <v>104.38</v>
      </c>
      <c r="L27" s="53">
        <v>23</v>
      </c>
      <c r="M27" s="53">
        <v>58.56</v>
      </c>
      <c r="N27" s="53">
        <v>0</v>
      </c>
      <c r="O27" s="53">
        <v>0</v>
      </c>
      <c r="P27" s="53">
        <v>0.9</v>
      </c>
      <c r="Q27" s="54">
        <v>4.41</v>
      </c>
    </row>
    <row r="28" spans="1:17">
      <c r="A28" s="52" t="s">
        <v>679</v>
      </c>
      <c r="B28" s="53">
        <v>11.58</v>
      </c>
      <c r="C28" s="53">
        <v>32.799999999999997</v>
      </c>
      <c r="D28" s="53">
        <v>27.48</v>
      </c>
      <c r="E28" s="53">
        <v>9.65</v>
      </c>
      <c r="F28" s="53">
        <v>2.75</v>
      </c>
      <c r="G28" s="53">
        <v>119.33</v>
      </c>
      <c r="H28" s="53">
        <v>45.38</v>
      </c>
      <c r="I28" s="53">
        <v>6.99</v>
      </c>
      <c r="J28" s="53">
        <v>0.15</v>
      </c>
      <c r="K28" s="53">
        <v>123.7</v>
      </c>
      <c r="L28" s="53">
        <v>22.25</v>
      </c>
      <c r="M28" s="53">
        <v>61.14</v>
      </c>
      <c r="N28" s="53">
        <v>0</v>
      </c>
      <c r="O28" s="53">
        <v>0</v>
      </c>
      <c r="P28" s="53">
        <v>0.93</v>
      </c>
      <c r="Q28" s="54">
        <v>4.43</v>
      </c>
    </row>
    <row r="29" spans="1:17">
      <c r="A29" s="52" t="s">
        <v>680</v>
      </c>
      <c r="B29" s="53">
        <v>15.11</v>
      </c>
      <c r="C29" s="53">
        <v>31.76</v>
      </c>
      <c r="D29" s="53">
        <v>29.86</v>
      </c>
      <c r="E29" s="53">
        <v>9.34</v>
      </c>
      <c r="F29" s="53">
        <v>2.64</v>
      </c>
      <c r="G29" s="53">
        <v>119.66</v>
      </c>
      <c r="H29" s="53">
        <v>45.67</v>
      </c>
      <c r="I29" s="53">
        <v>7.45</v>
      </c>
      <c r="J29" s="53">
        <v>0.14000000000000001</v>
      </c>
      <c r="K29" s="53">
        <v>73.14</v>
      </c>
      <c r="L29" s="53">
        <v>21.37</v>
      </c>
      <c r="M29" s="53">
        <v>63.18</v>
      </c>
      <c r="N29" s="53">
        <v>0</v>
      </c>
      <c r="O29" s="53">
        <v>0</v>
      </c>
      <c r="P29" s="53">
        <v>0.97</v>
      </c>
      <c r="Q29" s="54">
        <v>4.5199999999999996</v>
      </c>
    </row>
    <row r="30" spans="1:17">
      <c r="A30" s="52" t="s">
        <v>681</v>
      </c>
      <c r="B30" s="53">
        <v>17.11</v>
      </c>
      <c r="C30" s="53">
        <v>31.96</v>
      </c>
      <c r="D30" s="53">
        <v>31.66</v>
      </c>
      <c r="E30" s="53">
        <v>9.4600000000000009</v>
      </c>
      <c r="F30" s="53">
        <v>2.71</v>
      </c>
      <c r="G30" s="53">
        <v>125.33</v>
      </c>
      <c r="H30" s="53">
        <v>48.18</v>
      </c>
      <c r="I30" s="53">
        <v>7.73</v>
      </c>
      <c r="J30" s="53">
        <v>0.27</v>
      </c>
      <c r="K30" s="53">
        <v>195.54</v>
      </c>
      <c r="L30" s="53">
        <v>20.239999999999998</v>
      </c>
      <c r="M30" s="53">
        <v>70.900000000000006</v>
      </c>
      <c r="N30" s="53">
        <v>0</v>
      </c>
      <c r="O30" s="53">
        <v>0</v>
      </c>
      <c r="P30" s="53">
        <v>1.01</v>
      </c>
      <c r="Q30" s="54">
        <v>4.62</v>
      </c>
    </row>
    <row r="31" spans="1:17">
      <c r="A31" s="52" t="s">
        <v>682</v>
      </c>
      <c r="B31" s="53">
        <v>17.36</v>
      </c>
      <c r="C31" s="53">
        <v>31.68</v>
      </c>
      <c r="D31" s="53">
        <v>31.82</v>
      </c>
      <c r="E31" s="53">
        <v>9.34</v>
      </c>
      <c r="F31" s="53">
        <v>2.71</v>
      </c>
      <c r="G31" s="53">
        <v>125.33</v>
      </c>
      <c r="H31" s="53">
        <v>49.95</v>
      </c>
      <c r="I31" s="53">
        <v>7.97</v>
      </c>
      <c r="J31" s="53">
        <v>0.27</v>
      </c>
      <c r="K31" s="53">
        <v>183.7</v>
      </c>
      <c r="L31" s="53">
        <v>19.79</v>
      </c>
      <c r="M31" s="53">
        <v>71.81</v>
      </c>
      <c r="N31" s="53">
        <v>0</v>
      </c>
      <c r="O31" s="53">
        <v>0</v>
      </c>
      <c r="P31" s="53">
        <v>1.03</v>
      </c>
      <c r="Q31" s="54">
        <v>4.63</v>
      </c>
    </row>
    <row r="32" spans="1:17">
      <c r="A32" s="52" t="s">
        <v>683</v>
      </c>
      <c r="B32" s="53">
        <v>15.22</v>
      </c>
      <c r="C32" s="53">
        <v>30.54</v>
      </c>
      <c r="D32" s="53">
        <v>29.51</v>
      </c>
      <c r="E32" s="53">
        <v>9.17</v>
      </c>
      <c r="F32" s="53">
        <v>2.77</v>
      </c>
      <c r="G32" s="53">
        <v>126.58</v>
      </c>
      <c r="H32" s="53">
        <v>51.29</v>
      </c>
      <c r="I32" s="53">
        <v>7.89</v>
      </c>
      <c r="J32" s="53">
        <v>0.11</v>
      </c>
      <c r="K32" s="53">
        <v>179.37</v>
      </c>
      <c r="L32" s="53">
        <v>19.350000000000001</v>
      </c>
      <c r="M32" s="53">
        <v>75.19</v>
      </c>
      <c r="N32" s="53">
        <v>0</v>
      </c>
      <c r="O32" s="53">
        <v>0</v>
      </c>
      <c r="P32" s="53">
        <v>1.01</v>
      </c>
      <c r="Q32" s="54">
        <v>4.57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4.95</v>
      </c>
      <c r="C34" s="40">
        <f t="shared" si="0"/>
        <v>19.399999999999999</v>
      </c>
      <c r="D34" s="40">
        <f t="shared" si="0"/>
        <v>15.38</v>
      </c>
      <c r="E34" s="40">
        <f t="shared" si="0"/>
        <v>6.93</v>
      </c>
      <c r="F34" s="40">
        <f t="shared" si="0"/>
        <v>2.6</v>
      </c>
      <c r="G34" s="40">
        <f t="shared" si="0"/>
        <v>66.28</v>
      </c>
      <c r="H34" s="40">
        <f t="shared" si="0"/>
        <v>33.81</v>
      </c>
      <c r="I34" s="40">
        <f t="shared" si="0"/>
        <v>5.24</v>
      </c>
      <c r="J34" s="40">
        <f t="shared" si="0"/>
        <v>0.11</v>
      </c>
      <c r="K34" s="40">
        <f t="shared" si="0"/>
        <v>43.97</v>
      </c>
      <c r="L34" s="40">
        <f t="shared" si="0"/>
        <v>17.95</v>
      </c>
      <c r="M34" s="40">
        <f t="shared" si="0"/>
        <v>35.590000000000003</v>
      </c>
      <c r="N34" s="40">
        <f t="shared" si="0"/>
        <v>0</v>
      </c>
      <c r="O34" s="40">
        <f t="shared" si="0"/>
        <v>0</v>
      </c>
      <c r="P34" s="40">
        <f t="shared" si="0"/>
        <v>0.7</v>
      </c>
      <c r="Q34" s="40">
        <f t="shared" si="0"/>
        <v>4.16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18.32</v>
      </c>
      <c r="C35" s="33">
        <f t="shared" si="1"/>
        <v>32.799999999999997</v>
      </c>
      <c r="D35" s="33">
        <f t="shared" si="1"/>
        <v>31.82</v>
      </c>
      <c r="E35" s="33">
        <f t="shared" si="1"/>
        <v>9.65</v>
      </c>
      <c r="F35" s="33">
        <f t="shared" si="1"/>
        <v>6.52</v>
      </c>
      <c r="G35" s="33">
        <f t="shared" si="1"/>
        <v>126.58</v>
      </c>
      <c r="H35" s="33">
        <f t="shared" si="1"/>
        <v>51.29</v>
      </c>
      <c r="I35" s="33">
        <f t="shared" si="1"/>
        <v>7.97</v>
      </c>
      <c r="J35" s="33">
        <f t="shared" si="1"/>
        <v>0.63</v>
      </c>
      <c r="K35" s="33">
        <f t="shared" si="1"/>
        <v>335.76</v>
      </c>
      <c r="L35" s="33">
        <f t="shared" si="1"/>
        <v>29.07</v>
      </c>
      <c r="M35" s="33">
        <f t="shared" si="1"/>
        <v>84.83</v>
      </c>
      <c r="N35" s="33">
        <f t="shared" si="1"/>
        <v>486.8</v>
      </c>
      <c r="O35" s="33">
        <f t="shared" si="1"/>
        <v>0</v>
      </c>
      <c r="P35" s="33">
        <f t="shared" si="1"/>
        <v>1.03</v>
      </c>
      <c r="Q35" s="33">
        <f t="shared" si="1"/>
        <v>4.68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11.94791666666667</v>
      </c>
      <c r="C36" s="40">
        <f t="shared" si="2"/>
        <v>27.75333333333333</v>
      </c>
      <c r="D36" s="40">
        <f t="shared" si="2"/>
        <v>25.307916666666667</v>
      </c>
      <c r="E36" s="40">
        <f t="shared" si="2"/>
        <v>8.42</v>
      </c>
      <c r="F36" s="40">
        <f t="shared" si="2"/>
        <v>3.4987499999999994</v>
      </c>
      <c r="G36" s="40">
        <f t="shared" si="2"/>
        <v>103.38958333333331</v>
      </c>
      <c r="H36" s="40">
        <f t="shared" si="2"/>
        <v>44.329999999999991</v>
      </c>
      <c r="I36" s="40">
        <f t="shared" si="2"/>
        <v>6.6816666666666649</v>
      </c>
      <c r="J36" s="40">
        <f t="shared" si="2"/>
        <v>0.33124999999999999</v>
      </c>
      <c r="K36" s="40">
        <f t="shared" si="2"/>
        <v>138.07874999999999</v>
      </c>
      <c r="L36" s="40">
        <f t="shared" si="2"/>
        <v>22.772083333333331</v>
      </c>
      <c r="M36" s="40">
        <f t="shared" si="2"/>
        <v>65.616250000000022</v>
      </c>
      <c r="N36" s="40">
        <f t="shared" si="2"/>
        <v>118.66666666666667</v>
      </c>
      <c r="O36" s="40">
        <f t="shared" si="2"/>
        <v>0</v>
      </c>
      <c r="P36" s="40">
        <f t="shared" si="2"/>
        <v>0.84458333333333346</v>
      </c>
      <c r="Q36" s="40">
        <f t="shared" si="2"/>
        <v>4.4520833333333334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4.7624938472325091</v>
      </c>
      <c r="C37" s="40">
        <f t="shared" ref="C37:Q37" si="3">STDEV(C9:C32)</f>
        <v>3.8849303800674813</v>
      </c>
      <c r="D37" s="40">
        <f t="shared" si="3"/>
        <v>5.3458728324362426</v>
      </c>
      <c r="E37" s="40">
        <f t="shared" si="3"/>
        <v>0.97394759255488517</v>
      </c>
      <c r="F37" s="40">
        <f t="shared" si="3"/>
        <v>1.1782570491675628</v>
      </c>
      <c r="G37" s="40">
        <f t="shared" si="3"/>
        <v>18.115310718492783</v>
      </c>
      <c r="H37" s="40">
        <f t="shared" si="3"/>
        <v>4.4008487323717969</v>
      </c>
      <c r="I37" s="40">
        <f t="shared" si="3"/>
        <v>0.69824417472417977</v>
      </c>
      <c r="J37" s="40">
        <f t="shared" si="3"/>
        <v>0.15430947165834732</v>
      </c>
      <c r="K37" s="40">
        <f t="shared" si="3"/>
        <v>81.358848123205263</v>
      </c>
      <c r="L37" s="40">
        <f t="shared" si="3"/>
        <v>4.0568792666356295</v>
      </c>
      <c r="M37" s="40">
        <f t="shared" si="3"/>
        <v>17.262604169631789</v>
      </c>
      <c r="N37" s="40">
        <f t="shared" si="3"/>
        <v>178.00127666046001</v>
      </c>
      <c r="O37" s="40">
        <f t="shared" si="3"/>
        <v>0</v>
      </c>
      <c r="P37" s="40">
        <f t="shared" si="3"/>
        <v>9.3992560606012868E-2</v>
      </c>
      <c r="Q37" s="40">
        <f t="shared" si="3"/>
        <v>0.17851998223721097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27/11/2023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52" t="s">
        <v>684</v>
      </c>
      <c r="B9" s="53">
        <v>13.69</v>
      </c>
      <c r="C9" s="53">
        <v>30.36</v>
      </c>
      <c r="D9" s="53">
        <v>27.28</v>
      </c>
      <c r="E9" s="53">
        <v>9.24</v>
      </c>
      <c r="F9" s="53">
        <v>2.97</v>
      </c>
      <c r="G9" s="53">
        <v>126.58</v>
      </c>
      <c r="H9" s="53">
        <v>51.29</v>
      </c>
      <c r="I9" s="53">
        <v>7.85</v>
      </c>
      <c r="J9" s="53">
        <v>0.11</v>
      </c>
      <c r="K9" s="53">
        <v>232.85</v>
      </c>
      <c r="L9" s="53">
        <v>19.97</v>
      </c>
      <c r="M9" s="53">
        <v>74.41</v>
      </c>
      <c r="N9" s="53">
        <v>0</v>
      </c>
      <c r="O9" s="53">
        <v>0</v>
      </c>
      <c r="P9" s="53">
        <v>0.95</v>
      </c>
      <c r="Q9" s="54">
        <v>4.51</v>
      </c>
    </row>
    <row r="10" spans="1:21">
      <c r="A10" s="52" t="s">
        <v>685</v>
      </c>
      <c r="B10" s="53">
        <v>10.96</v>
      </c>
      <c r="C10" s="53">
        <v>29.99</v>
      </c>
      <c r="D10" s="53">
        <v>25.81</v>
      </c>
      <c r="E10" s="53">
        <v>8.86</v>
      </c>
      <c r="F10" s="53">
        <v>3.16</v>
      </c>
      <c r="G10" s="53">
        <v>113.49</v>
      </c>
      <c r="H10" s="53">
        <v>50.31</v>
      </c>
      <c r="I10" s="53">
        <v>7.56</v>
      </c>
      <c r="J10" s="53">
        <v>0.16</v>
      </c>
      <c r="K10" s="53">
        <v>109.93</v>
      </c>
      <c r="L10" s="53">
        <v>19.899999999999999</v>
      </c>
      <c r="M10" s="53">
        <v>75.77</v>
      </c>
      <c r="N10" s="53">
        <v>0</v>
      </c>
      <c r="O10" s="53">
        <v>0</v>
      </c>
      <c r="P10" s="53">
        <v>0.93</v>
      </c>
      <c r="Q10" s="54">
        <v>4.46</v>
      </c>
    </row>
    <row r="11" spans="1:21">
      <c r="A11" s="52" t="s">
        <v>686</v>
      </c>
      <c r="B11" s="53">
        <v>9.81</v>
      </c>
      <c r="C11" s="53">
        <v>29.32</v>
      </c>
      <c r="D11" s="53">
        <v>24.54</v>
      </c>
      <c r="E11" s="53">
        <v>6.79</v>
      </c>
      <c r="F11" s="53">
        <v>3.25</v>
      </c>
      <c r="G11" s="53">
        <v>97.41</v>
      </c>
      <c r="H11" s="53">
        <v>47.72</v>
      </c>
      <c r="I11" s="53">
        <v>7.06</v>
      </c>
      <c r="J11" s="53">
        <v>0.16</v>
      </c>
      <c r="K11" s="53">
        <v>164.97</v>
      </c>
      <c r="L11" s="53">
        <v>19.54</v>
      </c>
      <c r="M11" s="53">
        <v>76.959999999999994</v>
      </c>
      <c r="N11" s="53">
        <v>0</v>
      </c>
      <c r="O11" s="53">
        <v>0</v>
      </c>
      <c r="P11" s="53">
        <v>0.89</v>
      </c>
      <c r="Q11" s="54">
        <v>4.43</v>
      </c>
    </row>
    <row r="12" spans="1:21">
      <c r="A12" s="52" t="s">
        <v>687</v>
      </c>
      <c r="B12" s="53">
        <v>7.7</v>
      </c>
      <c r="C12" s="53">
        <v>27.19</v>
      </c>
      <c r="D12" s="53">
        <v>21.73</v>
      </c>
      <c r="E12" s="53">
        <v>6.99</v>
      </c>
      <c r="F12" s="53">
        <v>3.4</v>
      </c>
      <c r="G12" s="53">
        <v>94.99</v>
      </c>
      <c r="H12" s="53">
        <v>44.72</v>
      </c>
      <c r="I12" s="53">
        <v>6.68</v>
      </c>
      <c r="J12" s="53">
        <v>0.28000000000000003</v>
      </c>
      <c r="K12" s="53">
        <v>154.09</v>
      </c>
      <c r="L12" s="53">
        <v>19.579999999999998</v>
      </c>
      <c r="M12" s="53">
        <v>77.55</v>
      </c>
      <c r="N12" s="53">
        <v>0</v>
      </c>
      <c r="O12" s="53">
        <v>0</v>
      </c>
      <c r="P12" s="53">
        <v>0.84</v>
      </c>
      <c r="Q12" s="54">
        <v>4.3499999999999996</v>
      </c>
    </row>
    <row r="13" spans="1:21">
      <c r="A13" s="52" t="s">
        <v>688</v>
      </c>
      <c r="B13" s="53">
        <v>7.9</v>
      </c>
      <c r="C13" s="53">
        <v>27.24</v>
      </c>
      <c r="D13" s="53">
        <v>21.92</v>
      </c>
      <c r="E13" s="53">
        <v>7.03</v>
      </c>
      <c r="F13" s="53">
        <v>2.98</v>
      </c>
      <c r="G13" s="53">
        <v>87.12</v>
      </c>
      <c r="H13" s="53">
        <v>44.29</v>
      </c>
      <c r="I13" s="53">
        <v>6.34</v>
      </c>
      <c r="J13" s="53">
        <v>0.16</v>
      </c>
      <c r="K13" s="53">
        <v>134.47999999999999</v>
      </c>
      <c r="L13" s="53">
        <v>18.84</v>
      </c>
      <c r="M13" s="53">
        <v>80.709999999999994</v>
      </c>
      <c r="N13" s="53">
        <v>0</v>
      </c>
      <c r="O13" s="53">
        <v>0</v>
      </c>
      <c r="P13" s="53">
        <v>0.81</v>
      </c>
      <c r="Q13" s="54">
        <v>4.3099999999999996</v>
      </c>
    </row>
    <row r="14" spans="1:21">
      <c r="A14" s="52" t="s">
        <v>689</v>
      </c>
      <c r="B14" s="53">
        <v>9.0399999999999991</v>
      </c>
      <c r="C14" s="53">
        <v>28.2</v>
      </c>
      <c r="D14" s="53">
        <v>22.93</v>
      </c>
      <c r="E14" s="53">
        <v>6.88</v>
      </c>
      <c r="F14" s="53">
        <v>3.03</v>
      </c>
      <c r="G14" s="53">
        <v>86.74</v>
      </c>
      <c r="H14" s="53">
        <v>42.45</v>
      </c>
      <c r="I14" s="53">
        <v>6.12</v>
      </c>
      <c r="J14" s="53">
        <v>0.36</v>
      </c>
      <c r="K14" s="53">
        <v>115.28</v>
      </c>
      <c r="L14" s="53">
        <v>18.71</v>
      </c>
      <c r="M14" s="53">
        <v>82.35</v>
      </c>
      <c r="N14" s="53">
        <v>0</v>
      </c>
      <c r="O14" s="53">
        <v>0</v>
      </c>
      <c r="P14" s="53">
        <v>0.78</v>
      </c>
      <c r="Q14" s="54">
        <v>4.34</v>
      </c>
    </row>
    <row r="15" spans="1:21">
      <c r="A15" s="52" t="s">
        <v>690</v>
      </c>
      <c r="B15" s="53">
        <v>10.38</v>
      </c>
      <c r="C15" s="53">
        <v>27.79</v>
      </c>
      <c r="D15" s="53">
        <v>23.86</v>
      </c>
      <c r="E15" s="53">
        <v>6.81</v>
      </c>
      <c r="F15" s="53">
        <v>2.85</v>
      </c>
      <c r="G15" s="53">
        <v>82.77</v>
      </c>
      <c r="H15" s="53">
        <v>41.97</v>
      </c>
      <c r="I15" s="53">
        <v>6.12</v>
      </c>
      <c r="J15" s="53">
        <v>0.32</v>
      </c>
      <c r="K15" s="53">
        <v>75.849999999999994</v>
      </c>
      <c r="L15" s="53">
        <v>18.239999999999998</v>
      </c>
      <c r="M15" s="53">
        <v>83.11</v>
      </c>
      <c r="N15" s="53">
        <v>16.8</v>
      </c>
      <c r="O15" s="53">
        <v>0</v>
      </c>
      <c r="P15" s="53">
        <v>0.76</v>
      </c>
      <c r="Q15" s="54">
        <v>4.38</v>
      </c>
    </row>
    <row r="16" spans="1:21">
      <c r="A16" s="52" t="s">
        <v>691</v>
      </c>
      <c r="B16" s="53">
        <v>11.5</v>
      </c>
      <c r="C16" s="53">
        <v>28.13</v>
      </c>
      <c r="D16" s="53">
        <v>25.2</v>
      </c>
      <c r="E16" s="53">
        <v>7.26</v>
      </c>
      <c r="F16" s="53">
        <v>2.74</v>
      </c>
      <c r="G16" s="53">
        <v>87.04</v>
      </c>
      <c r="H16" s="53">
        <v>43.82</v>
      </c>
      <c r="I16" s="53">
        <v>6.46</v>
      </c>
      <c r="J16" s="53">
        <v>0.45</v>
      </c>
      <c r="K16" s="53">
        <v>43.17</v>
      </c>
      <c r="L16" s="53">
        <v>19.93</v>
      </c>
      <c r="M16" s="53">
        <v>81.040000000000006</v>
      </c>
      <c r="N16" s="53">
        <v>98.5</v>
      </c>
      <c r="O16" s="53">
        <v>0</v>
      </c>
      <c r="P16" s="53">
        <v>0.79</v>
      </c>
      <c r="Q16" s="54">
        <v>4.43</v>
      </c>
    </row>
    <row r="17" spans="1:17">
      <c r="A17" s="52" t="s">
        <v>692</v>
      </c>
      <c r="B17" s="53">
        <v>11.65</v>
      </c>
      <c r="C17" s="53">
        <v>28.06</v>
      </c>
      <c r="D17" s="53">
        <v>25.32</v>
      </c>
      <c r="E17" s="53">
        <v>6.95</v>
      </c>
      <c r="F17" s="53">
        <v>2.9</v>
      </c>
      <c r="G17" s="53">
        <v>87.04</v>
      </c>
      <c r="H17" s="53">
        <v>43.82</v>
      </c>
      <c r="I17" s="53">
        <v>6.82</v>
      </c>
      <c r="J17" s="53">
        <v>0.48</v>
      </c>
      <c r="K17" s="53">
        <v>50.93</v>
      </c>
      <c r="L17" s="53">
        <v>21.3</v>
      </c>
      <c r="M17" s="53">
        <v>73.069999999999993</v>
      </c>
      <c r="N17" s="53">
        <v>125.1</v>
      </c>
      <c r="O17" s="53">
        <v>0</v>
      </c>
      <c r="P17" s="53">
        <v>0.82</v>
      </c>
      <c r="Q17" s="54">
        <v>4.43</v>
      </c>
    </row>
    <row r="18" spans="1:17">
      <c r="A18" s="52" t="s">
        <v>693</v>
      </c>
      <c r="B18" s="53">
        <v>10.9</v>
      </c>
      <c r="C18" s="53">
        <v>27.36</v>
      </c>
      <c r="D18" s="53">
        <v>24.3</v>
      </c>
      <c r="E18" s="53">
        <v>7.37</v>
      </c>
      <c r="F18" s="53">
        <v>2.97</v>
      </c>
      <c r="G18" s="53">
        <v>89.77</v>
      </c>
      <c r="H18" s="53">
        <v>42.98</v>
      </c>
      <c r="I18" s="53">
        <v>6.92</v>
      </c>
      <c r="J18" s="53">
        <v>0.45</v>
      </c>
      <c r="K18" s="53">
        <v>47.45</v>
      </c>
      <c r="L18" s="53">
        <v>22.73</v>
      </c>
      <c r="M18" s="53">
        <v>69.319999999999993</v>
      </c>
      <c r="N18" s="53">
        <v>161.19999999999999</v>
      </c>
      <c r="O18" s="53">
        <v>0</v>
      </c>
      <c r="P18" s="53">
        <v>0.84</v>
      </c>
      <c r="Q18" s="54">
        <v>4.42</v>
      </c>
    </row>
    <row r="19" spans="1:17">
      <c r="A19" s="52" t="s">
        <v>694</v>
      </c>
      <c r="B19" s="53">
        <v>10.64</v>
      </c>
      <c r="C19" s="53">
        <v>26.66</v>
      </c>
      <c r="D19" s="53">
        <v>23.81</v>
      </c>
      <c r="E19" s="53">
        <v>9.17</v>
      </c>
      <c r="F19" s="53">
        <v>3.53</v>
      </c>
      <c r="G19" s="53">
        <v>92.2</v>
      </c>
      <c r="H19" s="53">
        <v>42.98</v>
      </c>
      <c r="I19" s="53">
        <v>7</v>
      </c>
      <c r="J19" s="53">
        <v>0.51</v>
      </c>
      <c r="K19" s="53">
        <v>37.65</v>
      </c>
      <c r="L19" s="53">
        <v>23.65</v>
      </c>
      <c r="M19" s="53">
        <v>64.180000000000007</v>
      </c>
      <c r="N19" s="53">
        <v>174.7</v>
      </c>
      <c r="O19" s="53">
        <v>0</v>
      </c>
      <c r="P19" s="53">
        <v>0.9</v>
      </c>
      <c r="Q19" s="54">
        <v>4.38</v>
      </c>
    </row>
    <row r="20" spans="1:17">
      <c r="A20" s="52" t="s">
        <v>695</v>
      </c>
      <c r="B20" s="53">
        <v>8.5</v>
      </c>
      <c r="C20" s="53">
        <v>28.26</v>
      </c>
      <c r="D20" s="53">
        <v>22.32</v>
      </c>
      <c r="E20" s="53">
        <v>9.27</v>
      </c>
      <c r="F20" s="53">
        <v>3.58</v>
      </c>
      <c r="G20" s="53">
        <v>96.15</v>
      </c>
      <c r="H20" s="53">
        <v>43.44</v>
      </c>
      <c r="I20" s="53">
        <v>7.21</v>
      </c>
      <c r="J20" s="53">
        <v>0.61</v>
      </c>
      <c r="K20" s="53">
        <v>46.92</v>
      </c>
      <c r="L20" s="53">
        <v>24.28</v>
      </c>
      <c r="M20" s="53">
        <v>62.71</v>
      </c>
      <c r="N20" s="53">
        <v>158.9</v>
      </c>
      <c r="O20" s="53">
        <v>0</v>
      </c>
      <c r="P20" s="53">
        <v>0.93</v>
      </c>
      <c r="Q20" s="54">
        <v>4.34</v>
      </c>
    </row>
    <row r="21" spans="1:17">
      <c r="A21" s="52" t="s">
        <v>696</v>
      </c>
      <c r="B21" s="53">
        <v>6.92</v>
      </c>
      <c r="C21" s="53">
        <v>28.61</v>
      </c>
      <c r="D21" s="53">
        <v>21.69</v>
      </c>
      <c r="E21" s="53">
        <v>9.93</v>
      </c>
      <c r="F21" s="53">
        <v>3.82</v>
      </c>
      <c r="G21" s="53">
        <v>104.59</v>
      </c>
      <c r="H21" s="53">
        <v>47.93</v>
      </c>
      <c r="I21" s="53">
        <v>7.41</v>
      </c>
      <c r="J21" s="53">
        <v>0.59</v>
      </c>
      <c r="K21" s="53">
        <v>106.01</v>
      </c>
      <c r="L21" s="53">
        <v>24.87</v>
      </c>
      <c r="M21" s="53">
        <v>59.89</v>
      </c>
      <c r="N21" s="53">
        <v>119</v>
      </c>
      <c r="O21" s="53">
        <v>0</v>
      </c>
      <c r="P21" s="53">
        <v>0.95</v>
      </c>
      <c r="Q21" s="54">
        <v>4.29</v>
      </c>
    </row>
    <row r="22" spans="1:17">
      <c r="A22" s="52" t="s">
        <v>697</v>
      </c>
      <c r="B22" s="53">
        <v>5.83</v>
      </c>
      <c r="C22" s="53">
        <v>28.08</v>
      </c>
      <c r="D22" s="53">
        <v>20.69</v>
      </c>
      <c r="E22" s="53">
        <v>10.25</v>
      </c>
      <c r="F22" s="53">
        <v>4.66</v>
      </c>
      <c r="G22" s="53">
        <v>104.59</v>
      </c>
      <c r="H22" s="53">
        <v>47.93</v>
      </c>
      <c r="I22" s="53">
        <v>7.39</v>
      </c>
      <c r="J22" s="53">
        <v>0.47</v>
      </c>
      <c r="K22" s="53">
        <v>75.2</v>
      </c>
      <c r="L22" s="53">
        <v>25.78</v>
      </c>
      <c r="M22" s="53">
        <v>53.69</v>
      </c>
      <c r="N22" s="53">
        <v>233.5</v>
      </c>
      <c r="O22" s="53">
        <v>0</v>
      </c>
      <c r="P22" s="53">
        <v>0.94</v>
      </c>
      <c r="Q22" s="54">
        <v>4.26</v>
      </c>
    </row>
    <row r="23" spans="1:17">
      <c r="A23" s="52" t="s">
        <v>698</v>
      </c>
      <c r="B23" s="53">
        <v>5.42</v>
      </c>
      <c r="C23" s="53">
        <v>27</v>
      </c>
      <c r="D23" s="53">
        <v>19.809999999999999</v>
      </c>
      <c r="E23" s="53">
        <v>9.9600000000000009</v>
      </c>
      <c r="F23" s="53">
        <v>4.4000000000000004</v>
      </c>
      <c r="G23" s="53">
        <v>100.54</v>
      </c>
      <c r="H23" s="53">
        <v>47.4</v>
      </c>
      <c r="I23" s="53">
        <v>7.37</v>
      </c>
      <c r="J23" s="53">
        <v>0.32</v>
      </c>
      <c r="K23" s="53">
        <v>80.37</v>
      </c>
      <c r="L23" s="53">
        <v>25.77</v>
      </c>
      <c r="M23" s="53">
        <v>49.69</v>
      </c>
      <c r="N23" s="53">
        <v>103.8</v>
      </c>
      <c r="O23" s="53">
        <v>0</v>
      </c>
      <c r="P23" s="53">
        <v>0.91</v>
      </c>
      <c r="Q23" s="54">
        <v>4.2300000000000004</v>
      </c>
    </row>
    <row r="24" spans="1:17">
      <c r="A24" s="52" t="s">
        <v>699</v>
      </c>
      <c r="B24" s="53">
        <v>5.63</v>
      </c>
      <c r="C24" s="53">
        <v>27.24</v>
      </c>
      <c r="D24" s="53">
        <v>19.899999999999999</v>
      </c>
      <c r="E24" s="53">
        <v>9.51</v>
      </c>
      <c r="F24" s="53">
        <v>4.0599999999999996</v>
      </c>
      <c r="G24" s="53">
        <v>91.8</v>
      </c>
      <c r="H24" s="53">
        <v>44.48</v>
      </c>
      <c r="I24" s="53">
        <v>7.05</v>
      </c>
      <c r="J24" s="53">
        <v>0.41</v>
      </c>
      <c r="K24" s="53">
        <v>180.06</v>
      </c>
      <c r="L24" s="53">
        <v>25.21</v>
      </c>
      <c r="M24" s="53">
        <v>54.06</v>
      </c>
      <c r="N24" s="53">
        <v>57.3</v>
      </c>
      <c r="O24" s="53">
        <v>0</v>
      </c>
      <c r="P24" s="53">
        <v>0.89</v>
      </c>
      <c r="Q24" s="54">
        <v>4.22</v>
      </c>
    </row>
    <row r="25" spans="1:17">
      <c r="A25" s="52" t="s">
        <v>700</v>
      </c>
      <c r="B25" s="53">
        <v>6.78</v>
      </c>
      <c r="C25" s="53">
        <v>25.4</v>
      </c>
      <c r="D25" s="53">
        <v>20.059999999999999</v>
      </c>
      <c r="E25" s="53">
        <v>9.06</v>
      </c>
      <c r="F25" s="53">
        <v>3.22</v>
      </c>
      <c r="G25" s="53">
        <v>87.34</v>
      </c>
      <c r="H25" s="53">
        <v>41.23</v>
      </c>
      <c r="I25" s="53">
        <v>6.81</v>
      </c>
      <c r="J25" s="53">
        <v>0.32</v>
      </c>
      <c r="K25" s="53">
        <v>93.15</v>
      </c>
      <c r="L25" s="53">
        <v>24.7</v>
      </c>
      <c r="M25" s="53">
        <v>56.61</v>
      </c>
      <c r="N25" s="53">
        <v>48.9</v>
      </c>
      <c r="O25" s="53">
        <v>0</v>
      </c>
      <c r="P25" s="53">
        <v>0.85</v>
      </c>
      <c r="Q25" s="54">
        <v>4.2300000000000004</v>
      </c>
    </row>
    <row r="26" spans="1:17">
      <c r="A26" s="52" t="s">
        <v>701</v>
      </c>
      <c r="B26" s="53">
        <v>8.58</v>
      </c>
      <c r="C26" s="53">
        <v>28.09</v>
      </c>
      <c r="D26" s="53">
        <v>22.91</v>
      </c>
      <c r="E26" s="53">
        <v>9.6199999999999992</v>
      </c>
      <c r="F26" s="53">
        <v>2.96</v>
      </c>
      <c r="G26" s="53">
        <v>97.17</v>
      </c>
      <c r="H26" s="53">
        <v>42.63</v>
      </c>
      <c r="I26" s="53">
        <v>7.09</v>
      </c>
      <c r="J26" s="53">
        <v>0.37</v>
      </c>
      <c r="K26" s="53">
        <v>61.05</v>
      </c>
      <c r="L26" s="53">
        <v>23.27</v>
      </c>
      <c r="M26" s="53">
        <v>58.27</v>
      </c>
      <c r="N26" s="53">
        <v>0</v>
      </c>
      <c r="O26" s="53">
        <v>0</v>
      </c>
      <c r="P26" s="53">
        <v>0.93</v>
      </c>
      <c r="Q26" s="54">
        <v>4.32</v>
      </c>
    </row>
    <row r="27" spans="1:17">
      <c r="A27" s="52" t="s">
        <v>702</v>
      </c>
      <c r="B27" s="53">
        <v>11.68</v>
      </c>
      <c r="C27" s="53">
        <v>30.27</v>
      </c>
      <c r="D27" s="53">
        <v>26.53</v>
      </c>
      <c r="E27" s="53">
        <v>9.18</v>
      </c>
      <c r="F27" s="53">
        <v>2.78</v>
      </c>
      <c r="G27" s="53">
        <v>113.61</v>
      </c>
      <c r="H27" s="53">
        <v>44.64</v>
      </c>
      <c r="I27" s="53">
        <v>7.69</v>
      </c>
      <c r="J27" s="53">
        <v>0.37</v>
      </c>
      <c r="K27" s="53">
        <v>56.9</v>
      </c>
      <c r="L27" s="53">
        <v>22.73</v>
      </c>
      <c r="M27" s="53">
        <v>59.67</v>
      </c>
      <c r="N27" s="53">
        <v>0</v>
      </c>
      <c r="O27" s="53">
        <v>0</v>
      </c>
      <c r="P27" s="53">
        <v>1.02</v>
      </c>
      <c r="Q27" s="54">
        <v>4.41</v>
      </c>
    </row>
    <row r="28" spans="1:17">
      <c r="A28" s="52" t="s">
        <v>703</v>
      </c>
      <c r="B28" s="53">
        <v>13.04</v>
      </c>
      <c r="C28" s="53">
        <v>31.46</v>
      </c>
      <c r="D28" s="53">
        <v>28.09</v>
      </c>
      <c r="E28" s="53">
        <v>9.34</v>
      </c>
      <c r="F28" s="53">
        <v>2.83</v>
      </c>
      <c r="G28" s="53">
        <v>126.91</v>
      </c>
      <c r="H28" s="53">
        <v>48.48</v>
      </c>
      <c r="I28" s="53">
        <v>8.08</v>
      </c>
      <c r="J28" s="53">
        <v>0.33</v>
      </c>
      <c r="K28" s="53">
        <v>59.06</v>
      </c>
      <c r="L28" s="53">
        <v>22.37</v>
      </c>
      <c r="M28" s="53">
        <v>63.02</v>
      </c>
      <c r="N28" s="53">
        <v>0</v>
      </c>
      <c r="O28" s="53">
        <v>0</v>
      </c>
      <c r="P28" s="53">
        <v>1.06</v>
      </c>
      <c r="Q28" s="54">
        <v>4.5</v>
      </c>
    </row>
    <row r="29" spans="1:17">
      <c r="A29" s="52" t="s">
        <v>704</v>
      </c>
      <c r="B29" s="53">
        <v>13.45</v>
      </c>
      <c r="C29" s="53">
        <v>31.88</v>
      </c>
      <c r="D29" s="53">
        <v>28.65</v>
      </c>
      <c r="E29" s="53">
        <v>9.32</v>
      </c>
      <c r="F29" s="53">
        <v>2.86</v>
      </c>
      <c r="G29" s="53">
        <v>132.87</v>
      </c>
      <c r="H29" s="53">
        <v>53.59</v>
      </c>
      <c r="I29" s="53">
        <v>8.43</v>
      </c>
      <c r="J29" s="53">
        <v>0.41</v>
      </c>
      <c r="K29" s="53">
        <v>46.4</v>
      </c>
      <c r="L29" s="53">
        <v>21.9</v>
      </c>
      <c r="M29" s="53">
        <v>67.34</v>
      </c>
      <c r="N29" s="53">
        <v>0</v>
      </c>
      <c r="O29" s="53">
        <v>0</v>
      </c>
      <c r="P29" s="53">
        <v>1.1499999999999999</v>
      </c>
      <c r="Q29" s="54">
        <v>4.51</v>
      </c>
    </row>
    <row r="30" spans="1:17">
      <c r="A30" s="52" t="s">
        <v>705</v>
      </c>
      <c r="B30" s="53">
        <v>13.06</v>
      </c>
      <c r="C30" s="53">
        <v>33.58</v>
      </c>
      <c r="D30" s="53">
        <v>28.88</v>
      </c>
      <c r="E30" s="53">
        <v>9.52</v>
      </c>
      <c r="F30" s="53">
        <v>3.09</v>
      </c>
      <c r="G30" s="53">
        <v>136.75</v>
      </c>
      <c r="H30" s="53">
        <v>55.49</v>
      </c>
      <c r="I30" s="53">
        <v>8.61</v>
      </c>
      <c r="J30" s="53">
        <v>0.45</v>
      </c>
      <c r="K30" s="53">
        <v>54.68</v>
      </c>
      <c r="L30" s="53">
        <v>21.6</v>
      </c>
      <c r="M30" s="53">
        <v>68.89</v>
      </c>
      <c r="N30" s="53">
        <v>0</v>
      </c>
      <c r="O30" s="53">
        <v>0</v>
      </c>
      <c r="P30" s="53">
        <v>1.2</v>
      </c>
      <c r="Q30" s="54">
        <v>4.5199999999999996</v>
      </c>
    </row>
    <row r="31" spans="1:17">
      <c r="A31" s="52" t="s">
        <v>706</v>
      </c>
      <c r="B31" s="53">
        <v>12.1</v>
      </c>
      <c r="C31" s="53">
        <v>33.36</v>
      </c>
      <c r="D31" s="53">
        <v>28.48</v>
      </c>
      <c r="E31" s="53">
        <v>9.7799999999999994</v>
      </c>
      <c r="F31" s="53">
        <v>3.14</v>
      </c>
      <c r="G31" s="53">
        <v>139.19</v>
      </c>
      <c r="H31" s="53">
        <v>58.77</v>
      </c>
      <c r="I31" s="53">
        <v>8.7200000000000006</v>
      </c>
      <c r="J31" s="53">
        <v>0.34</v>
      </c>
      <c r="K31" s="53">
        <v>57.72</v>
      </c>
      <c r="L31" s="53">
        <v>21.29</v>
      </c>
      <c r="M31" s="53">
        <v>69.36</v>
      </c>
      <c r="N31" s="53">
        <v>0</v>
      </c>
      <c r="O31" s="53">
        <v>0</v>
      </c>
      <c r="P31" s="53">
        <v>1.21</v>
      </c>
      <c r="Q31" s="54">
        <v>4.49</v>
      </c>
    </row>
    <row r="32" spans="1:17">
      <c r="A32" s="52" t="s">
        <v>707</v>
      </c>
      <c r="B32" s="53">
        <v>11.65</v>
      </c>
      <c r="C32" s="53">
        <v>33.020000000000003</v>
      </c>
      <c r="D32" s="53">
        <v>27.89</v>
      </c>
      <c r="E32" s="53">
        <v>9.52</v>
      </c>
      <c r="F32" s="53">
        <v>2.75</v>
      </c>
      <c r="G32" s="53">
        <v>139.19</v>
      </c>
      <c r="H32" s="53">
        <v>58.77</v>
      </c>
      <c r="I32" s="53">
        <v>8.74</v>
      </c>
      <c r="J32" s="53">
        <v>0.28999999999999998</v>
      </c>
      <c r="K32" s="53">
        <v>79.22</v>
      </c>
      <c r="L32" s="53">
        <v>20.84</v>
      </c>
      <c r="M32" s="53">
        <v>72.06</v>
      </c>
      <c r="N32" s="53">
        <v>0</v>
      </c>
      <c r="O32" s="53">
        <v>0</v>
      </c>
      <c r="P32" s="53">
        <v>1.21</v>
      </c>
      <c r="Q32" s="54">
        <v>4.45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5.42</v>
      </c>
      <c r="C34" s="40">
        <f t="shared" si="0"/>
        <v>25.4</v>
      </c>
      <c r="D34" s="40">
        <f t="shared" si="0"/>
        <v>19.809999999999999</v>
      </c>
      <c r="E34" s="40">
        <f t="shared" si="0"/>
        <v>6.79</v>
      </c>
      <c r="F34" s="40">
        <f t="shared" si="0"/>
        <v>2.74</v>
      </c>
      <c r="G34" s="40">
        <f t="shared" si="0"/>
        <v>82.77</v>
      </c>
      <c r="H34" s="40">
        <f t="shared" si="0"/>
        <v>41.23</v>
      </c>
      <c r="I34" s="40">
        <f t="shared" si="0"/>
        <v>6.12</v>
      </c>
      <c r="J34" s="40">
        <f t="shared" si="0"/>
        <v>0.11</v>
      </c>
      <c r="K34" s="40">
        <f t="shared" si="0"/>
        <v>37.65</v>
      </c>
      <c r="L34" s="40">
        <f t="shared" si="0"/>
        <v>18.239999999999998</v>
      </c>
      <c r="M34" s="40">
        <f t="shared" si="0"/>
        <v>49.69</v>
      </c>
      <c r="N34" s="40">
        <f t="shared" si="0"/>
        <v>0</v>
      </c>
      <c r="O34" s="40">
        <f t="shared" si="0"/>
        <v>0</v>
      </c>
      <c r="P34" s="40">
        <f t="shared" si="0"/>
        <v>0.76</v>
      </c>
      <c r="Q34" s="40">
        <f t="shared" si="0"/>
        <v>4.22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13.69</v>
      </c>
      <c r="C35" s="33">
        <f t="shared" si="1"/>
        <v>33.58</v>
      </c>
      <c r="D35" s="33">
        <f t="shared" si="1"/>
        <v>28.88</v>
      </c>
      <c r="E35" s="33">
        <f t="shared" si="1"/>
        <v>10.25</v>
      </c>
      <c r="F35" s="33">
        <f t="shared" si="1"/>
        <v>4.66</v>
      </c>
      <c r="G35" s="33">
        <f t="shared" si="1"/>
        <v>139.19</v>
      </c>
      <c r="H35" s="33">
        <f t="shared" si="1"/>
        <v>58.77</v>
      </c>
      <c r="I35" s="33">
        <f t="shared" si="1"/>
        <v>8.74</v>
      </c>
      <c r="J35" s="33">
        <f t="shared" si="1"/>
        <v>0.61</v>
      </c>
      <c r="K35" s="33">
        <f t="shared" si="1"/>
        <v>232.85</v>
      </c>
      <c r="L35" s="33">
        <f t="shared" si="1"/>
        <v>25.78</v>
      </c>
      <c r="M35" s="33">
        <f t="shared" si="1"/>
        <v>83.11</v>
      </c>
      <c r="N35" s="33">
        <f t="shared" si="1"/>
        <v>233.5</v>
      </c>
      <c r="O35" s="33">
        <f t="shared" si="1"/>
        <v>0</v>
      </c>
      <c r="P35" s="33">
        <f t="shared" si="1"/>
        <v>1.21</v>
      </c>
      <c r="Q35" s="33">
        <f t="shared" si="1"/>
        <v>4.5199999999999996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9.8670833333333334</v>
      </c>
      <c r="C36" s="40">
        <f t="shared" si="2"/>
        <v>29.022916666666671</v>
      </c>
      <c r="D36" s="40">
        <f t="shared" si="2"/>
        <v>24.275000000000002</v>
      </c>
      <c r="E36" s="40">
        <f t="shared" si="2"/>
        <v>8.6504166666666684</v>
      </c>
      <c r="F36" s="40">
        <f t="shared" si="2"/>
        <v>3.2470833333333338</v>
      </c>
      <c r="G36" s="40">
        <f t="shared" si="2"/>
        <v>104.82708333333333</v>
      </c>
      <c r="H36" s="40">
        <f t="shared" si="2"/>
        <v>47.130416666666662</v>
      </c>
      <c r="I36" s="40">
        <f t="shared" si="2"/>
        <v>7.3137499999999998</v>
      </c>
      <c r="J36" s="40">
        <f t="shared" si="2"/>
        <v>0.36333333333333334</v>
      </c>
      <c r="K36" s="40">
        <f t="shared" si="2"/>
        <v>90.141250000000014</v>
      </c>
      <c r="L36" s="40">
        <f t="shared" si="2"/>
        <v>21.958333333333332</v>
      </c>
      <c r="M36" s="40">
        <f t="shared" si="2"/>
        <v>68.072083333333325</v>
      </c>
      <c r="N36" s="40">
        <f t="shared" si="2"/>
        <v>54.070833333333326</v>
      </c>
      <c r="O36" s="40">
        <f t="shared" si="2"/>
        <v>0</v>
      </c>
      <c r="P36" s="40">
        <f t="shared" si="2"/>
        <v>0.94</v>
      </c>
      <c r="Q36" s="40">
        <f t="shared" si="2"/>
        <v>4.38375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2.5804776759801453</v>
      </c>
      <c r="C37" s="40">
        <f t="shared" ref="C37:Q37" si="3">STDEV(C9:C32)</f>
        <v>2.2432516755169774</v>
      </c>
      <c r="D37" s="40">
        <f t="shared" si="3"/>
        <v>2.9519647105231135</v>
      </c>
      <c r="E37" s="40">
        <f t="shared" si="3"/>
        <v>1.2269668475258455</v>
      </c>
      <c r="F37" s="40">
        <f t="shared" si="3"/>
        <v>0.52137343010858062</v>
      </c>
      <c r="G37" s="40">
        <f t="shared" si="3"/>
        <v>18.888626317619444</v>
      </c>
      <c r="H37" s="40">
        <f t="shared" si="3"/>
        <v>5.1676228486411064</v>
      </c>
      <c r="I37" s="40">
        <f t="shared" si="3"/>
        <v>0.77761515294325134</v>
      </c>
      <c r="J37" s="40">
        <f t="shared" si="3"/>
        <v>0.13080575265459918</v>
      </c>
      <c r="K37" s="40">
        <f t="shared" si="3"/>
        <v>50.802928049174113</v>
      </c>
      <c r="L37" s="40">
        <f t="shared" si="3"/>
        <v>2.3517609806578981</v>
      </c>
      <c r="M37" s="40">
        <f t="shared" si="3"/>
        <v>9.8839958383178601</v>
      </c>
      <c r="N37" s="40">
        <f t="shared" si="3"/>
        <v>72.936455244433077</v>
      </c>
      <c r="O37" s="40">
        <f t="shared" si="3"/>
        <v>0</v>
      </c>
      <c r="P37" s="40">
        <f t="shared" si="3"/>
        <v>0.13612653959683468</v>
      </c>
      <c r="Q37" s="40">
        <f t="shared" si="3"/>
        <v>9.4768023409113875E-2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66929133858267698" right="2.63779527559055" top="0.196850393700787" bottom="2.0866141732283499" header="0.31496062992126" footer="0.15748031496063"/>
  <pageSetup paperSize="9" scale="90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19" activePane="bottomRight" state="frozen"/>
      <selection activeCell="G19" sqref="G19"/>
      <selection pane="topRight" activeCell="G19" sqref="G19"/>
      <selection pane="bottomLeft" activeCell="G19" sqref="G19"/>
      <selection pane="bottomRight" activeCell="F38" sqref="E38:H38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28/11/2023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708</v>
      </c>
      <c r="B9" s="51">
        <v>11.67</v>
      </c>
      <c r="C9" s="51">
        <v>34.299999999999997</v>
      </c>
      <c r="D9" s="51">
        <v>28.23</v>
      </c>
      <c r="E9" s="51">
        <v>9.76</v>
      </c>
      <c r="F9" s="51">
        <v>2.74</v>
      </c>
      <c r="G9" s="51">
        <v>131</v>
      </c>
      <c r="H9" s="51">
        <v>56.58</v>
      </c>
      <c r="I9" s="51">
        <v>8.68</v>
      </c>
      <c r="J9" s="51">
        <v>0.18</v>
      </c>
      <c r="K9" s="51">
        <v>84.35</v>
      </c>
      <c r="L9" s="51">
        <v>20.05</v>
      </c>
      <c r="M9" s="51">
        <v>72.72</v>
      </c>
      <c r="N9" s="51">
        <v>0</v>
      </c>
      <c r="O9" s="51">
        <v>0</v>
      </c>
      <c r="P9" s="51">
        <v>1.17</v>
      </c>
      <c r="Q9" s="51">
        <v>4.5</v>
      </c>
    </row>
    <row r="10" spans="1:21" customFormat="1">
      <c r="A10" s="50" t="s">
        <v>709</v>
      </c>
      <c r="B10" s="51">
        <v>11.56</v>
      </c>
      <c r="C10" s="51">
        <v>32.83</v>
      </c>
      <c r="D10" s="51">
        <v>27.67</v>
      </c>
      <c r="E10" s="51">
        <v>9.4600000000000009</v>
      </c>
      <c r="F10" s="51">
        <v>2.83</v>
      </c>
      <c r="G10" s="51">
        <v>131</v>
      </c>
      <c r="H10" s="51">
        <v>55.09</v>
      </c>
      <c r="I10" s="51">
        <v>8.5500000000000007</v>
      </c>
      <c r="J10" s="51">
        <v>0.12</v>
      </c>
      <c r="K10" s="51">
        <v>148.24</v>
      </c>
      <c r="L10" s="51">
        <v>19.63</v>
      </c>
      <c r="M10" s="51">
        <v>77.849999999999994</v>
      </c>
      <c r="N10" s="51">
        <v>0</v>
      </c>
      <c r="O10" s="51">
        <v>0</v>
      </c>
      <c r="P10" s="51">
        <v>1.1200000000000001</v>
      </c>
      <c r="Q10" s="51">
        <v>4.49</v>
      </c>
    </row>
    <row r="11" spans="1:21" customFormat="1">
      <c r="A11" s="56">
        <v>45258.125</v>
      </c>
      <c r="B11" s="51">
        <v>10.48</v>
      </c>
      <c r="C11" s="51">
        <v>28.74</v>
      </c>
      <c r="D11" s="51">
        <v>24.77</v>
      </c>
      <c r="E11" s="51">
        <v>8.3699999999999992</v>
      </c>
      <c r="F11" s="51">
        <v>2.69</v>
      </c>
      <c r="G11" s="51">
        <v>122.34</v>
      </c>
      <c r="H11" s="51">
        <v>55.09</v>
      </c>
      <c r="I11" s="51">
        <v>8.35</v>
      </c>
      <c r="J11" s="51">
        <v>0.13</v>
      </c>
      <c r="K11" s="51">
        <v>266.11</v>
      </c>
      <c r="L11" s="51">
        <v>18.64</v>
      </c>
      <c r="M11" s="51">
        <v>85.51</v>
      </c>
      <c r="N11" s="51">
        <v>0</v>
      </c>
      <c r="O11" s="51">
        <v>0</v>
      </c>
      <c r="P11" s="51">
        <v>1.03</v>
      </c>
      <c r="Q11" s="51">
        <v>4.41</v>
      </c>
    </row>
    <row r="12" spans="1:21" customFormat="1">
      <c r="A12" s="50" t="s">
        <v>710</v>
      </c>
      <c r="B12" s="51">
        <v>12.42</v>
      </c>
      <c r="C12" s="51">
        <v>28.8</v>
      </c>
      <c r="D12" s="51">
        <v>25.64</v>
      </c>
      <c r="E12" s="51">
        <v>8.32</v>
      </c>
      <c r="F12" s="51">
        <v>2.62</v>
      </c>
      <c r="G12" s="51">
        <v>107.72</v>
      </c>
      <c r="H12" s="51">
        <v>52.36</v>
      </c>
      <c r="I12" s="51">
        <v>8</v>
      </c>
      <c r="J12" s="51">
        <v>0.21</v>
      </c>
      <c r="K12" s="51">
        <v>91.54</v>
      </c>
      <c r="L12" s="51">
        <v>18.62</v>
      </c>
      <c r="M12" s="51">
        <v>81.709999999999994</v>
      </c>
      <c r="N12" s="51">
        <v>0</v>
      </c>
      <c r="O12" s="51">
        <v>0</v>
      </c>
      <c r="P12" s="51">
        <v>0.99</v>
      </c>
      <c r="Q12" s="51">
        <v>4.4400000000000004</v>
      </c>
    </row>
    <row r="13" spans="1:21" customFormat="1">
      <c r="A13" s="50" t="s">
        <v>711</v>
      </c>
      <c r="B13" s="51">
        <v>13.42</v>
      </c>
      <c r="C13" s="51">
        <v>29.1</v>
      </c>
      <c r="D13" s="51">
        <v>27.24</v>
      </c>
      <c r="E13" s="51">
        <v>8.52</v>
      </c>
      <c r="F13" s="51">
        <v>2.7</v>
      </c>
      <c r="G13" s="51">
        <v>101.53</v>
      </c>
      <c r="H13" s="51">
        <v>48.03</v>
      </c>
      <c r="I13" s="51">
        <v>7.85</v>
      </c>
      <c r="J13" s="51">
        <v>0.35</v>
      </c>
      <c r="K13" s="51">
        <v>75.17</v>
      </c>
      <c r="L13" s="51">
        <v>18.649999999999999</v>
      </c>
      <c r="M13" s="51">
        <v>81.86</v>
      </c>
      <c r="N13" s="51">
        <v>0</v>
      </c>
      <c r="O13" s="51">
        <v>0</v>
      </c>
      <c r="P13" s="51">
        <v>0.95</v>
      </c>
      <c r="Q13" s="51">
        <v>4.51</v>
      </c>
    </row>
    <row r="14" spans="1:21" customFormat="1">
      <c r="A14" s="50" t="s">
        <v>712</v>
      </c>
      <c r="B14" s="51">
        <v>14.42</v>
      </c>
      <c r="C14" s="51">
        <v>29.01</v>
      </c>
      <c r="D14" s="51">
        <v>28.07</v>
      </c>
      <c r="E14" s="51">
        <v>8.44</v>
      </c>
      <c r="F14" s="51">
        <v>2.77</v>
      </c>
      <c r="G14" s="51">
        <v>96.26</v>
      </c>
      <c r="H14" s="51">
        <v>45.58</v>
      </c>
      <c r="I14" s="51">
        <v>7.74</v>
      </c>
      <c r="J14" s="51">
        <v>0.18</v>
      </c>
      <c r="K14" s="51">
        <v>111.96</v>
      </c>
      <c r="L14" s="51">
        <v>18.11</v>
      </c>
      <c r="M14" s="51">
        <v>83.19</v>
      </c>
      <c r="N14" s="51">
        <v>0</v>
      </c>
      <c r="O14" s="51">
        <v>0</v>
      </c>
      <c r="P14" s="51">
        <v>0.92</v>
      </c>
      <c r="Q14" s="51">
        <v>4.5</v>
      </c>
    </row>
    <row r="15" spans="1:21" customFormat="1">
      <c r="A15" s="50" t="s">
        <v>713</v>
      </c>
      <c r="B15" s="51">
        <v>14.24</v>
      </c>
      <c r="C15" s="51">
        <v>26.6</v>
      </c>
      <c r="D15" s="51">
        <v>26.67</v>
      </c>
      <c r="E15" s="51">
        <v>8.41</v>
      </c>
      <c r="F15" s="51">
        <v>2.87</v>
      </c>
      <c r="G15" s="51">
        <v>95.4</v>
      </c>
      <c r="H15" s="51">
        <v>45.24</v>
      </c>
      <c r="I15" s="51">
        <v>7.73</v>
      </c>
      <c r="J15" s="51">
        <v>0.49</v>
      </c>
      <c r="K15" s="51">
        <v>71.239999999999995</v>
      </c>
      <c r="L15" s="51">
        <v>18.18</v>
      </c>
      <c r="M15" s="51">
        <v>83.02</v>
      </c>
      <c r="N15" s="51">
        <v>20.7</v>
      </c>
      <c r="O15" s="51">
        <v>0</v>
      </c>
      <c r="P15" s="51">
        <v>0.93</v>
      </c>
      <c r="Q15" s="51">
        <v>4.5199999999999996</v>
      </c>
    </row>
    <row r="16" spans="1:21" customFormat="1">
      <c r="A16" s="50" t="s">
        <v>714</v>
      </c>
      <c r="B16" s="51">
        <v>15.23</v>
      </c>
      <c r="C16" s="51">
        <v>28.49</v>
      </c>
      <c r="D16" s="51">
        <v>28.45</v>
      </c>
      <c r="E16" s="51">
        <v>8.74</v>
      </c>
      <c r="F16" s="51">
        <v>2.92</v>
      </c>
      <c r="G16" s="51">
        <v>91.85</v>
      </c>
      <c r="H16" s="51">
        <v>44.82</v>
      </c>
      <c r="I16" s="51">
        <v>8.18</v>
      </c>
      <c r="J16" s="51">
        <v>0.56999999999999995</v>
      </c>
      <c r="K16" s="51">
        <v>47.9</v>
      </c>
      <c r="L16" s="51">
        <v>20.13</v>
      </c>
      <c r="M16" s="51">
        <v>81.16</v>
      </c>
      <c r="N16" s="51">
        <v>133.80000000000001</v>
      </c>
      <c r="O16" s="51">
        <v>0</v>
      </c>
      <c r="P16" s="51">
        <v>0.96</v>
      </c>
      <c r="Q16" s="51">
        <v>4.53</v>
      </c>
    </row>
    <row r="17" spans="1:17" customFormat="1">
      <c r="A17" s="50" t="s">
        <v>715</v>
      </c>
      <c r="B17" s="51">
        <v>15.12</v>
      </c>
      <c r="C17" s="51">
        <v>29.3</v>
      </c>
      <c r="D17" s="51">
        <v>28.47</v>
      </c>
      <c r="E17" s="51">
        <v>9.18</v>
      </c>
      <c r="F17" s="51">
        <v>3.1</v>
      </c>
      <c r="G17" s="51">
        <v>91.27</v>
      </c>
      <c r="H17" s="51">
        <v>44.82</v>
      </c>
      <c r="I17" s="51">
        <v>8.25</v>
      </c>
      <c r="J17" s="51">
        <v>0.62</v>
      </c>
      <c r="K17" s="51">
        <v>59.25</v>
      </c>
      <c r="L17" s="51">
        <v>23.21</v>
      </c>
      <c r="M17" s="51">
        <v>69.739999999999995</v>
      </c>
      <c r="N17" s="51">
        <v>200</v>
      </c>
      <c r="O17" s="51">
        <v>0</v>
      </c>
      <c r="P17" s="51">
        <v>0.97</v>
      </c>
      <c r="Q17" s="51">
        <v>4.55</v>
      </c>
    </row>
    <row r="18" spans="1:17" customFormat="1">
      <c r="A18" s="50" t="s">
        <v>716</v>
      </c>
      <c r="B18" s="51">
        <v>12.03</v>
      </c>
      <c r="C18" s="51">
        <v>30.29</v>
      </c>
      <c r="D18" s="51">
        <v>26.53</v>
      </c>
      <c r="E18" s="51">
        <v>9.2200000000000006</v>
      </c>
      <c r="F18" s="51">
        <v>3.18</v>
      </c>
      <c r="G18" s="51">
        <v>91.27</v>
      </c>
      <c r="H18" s="51">
        <v>44.44</v>
      </c>
      <c r="I18" s="51">
        <v>8.11</v>
      </c>
      <c r="J18" s="51">
        <v>0.74</v>
      </c>
      <c r="K18" s="51">
        <v>43.84</v>
      </c>
      <c r="L18" s="51">
        <v>24.39</v>
      </c>
      <c r="M18" s="51">
        <v>57.99</v>
      </c>
      <c r="N18" s="51">
        <v>224.8</v>
      </c>
      <c r="O18" s="51">
        <v>0</v>
      </c>
      <c r="P18" s="51">
        <v>0.97</v>
      </c>
      <c r="Q18" s="51">
        <v>4.4800000000000004</v>
      </c>
    </row>
    <row r="19" spans="1:17" customFormat="1">
      <c r="A19" s="50" t="s">
        <v>717</v>
      </c>
      <c r="B19" s="51">
        <v>9.82</v>
      </c>
      <c r="C19" s="51">
        <v>30.85</v>
      </c>
      <c r="D19" s="51">
        <v>25.06</v>
      </c>
      <c r="E19" s="51">
        <v>7.68</v>
      </c>
      <c r="F19" s="51">
        <v>3.46</v>
      </c>
      <c r="G19" s="51">
        <v>95.95</v>
      </c>
      <c r="H19" s="51">
        <v>46.76</v>
      </c>
      <c r="I19" s="51">
        <v>7.83</v>
      </c>
      <c r="J19" s="51">
        <v>0.82</v>
      </c>
      <c r="K19" s="51">
        <v>45.31</v>
      </c>
      <c r="L19" s="51">
        <v>24.96</v>
      </c>
      <c r="M19" s="51">
        <v>56.39</v>
      </c>
      <c r="N19" s="51">
        <v>206.2</v>
      </c>
      <c r="O19" s="51">
        <v>0</v>
      </c>
      <c r="P19" s="51">
        <v>0.97</v>
      </c>
      <c r="Q19" s="51">
        <v>4.4000000000000004</v>
      </c>
    </row>
    <row r="20" spans="1:17" customFormat="1">
      <c r="A20" s="50" t="s">
        <v>718</v>
      </c>
      <c r="B20" s="51">
        <v>8.0399999999999991</v>
      </c>
      <c r="C20" s="51">
        <v>31.51</v>
      </c>
      <c r="D20" s="51">
        <v>23.87</v>
      </c>
      <c r="E20" s="51">
        <v>8.11</v>
      </c>
      <c r="F20" s="51">
        <v>4</v>
      </c>
      <c r="G20" s="51">
        <v>96.16</v>
      </c>
      <c r="H20" s="51">
        <v>46.76</v>
      </c>
      <c r="I20" s="51">
        <v>7.71</v>
      </c>
      <c r="J20" s="51">
        <v>0.76</v>
      </c>
      <c r="K20" s="51">
        <v>41.32</v>
      </c>
      <c r="L20" s="51">
        <v>25.95</v>
      </c>
      <c r="M20" s="51">
        <v>52.5</v>
      </c>
      <c r="N20" s="51">
        <v>241.1</v>
      </c>
      <c r="O20" s="51">
        <v>0</v>
      </c>
      <c r="P20" s="51">
        <v>0.96</v>
      </c>
      <c r="Q20" s="51">
        <v>4.3499999999999996</v>
      </c>
    </row>
    <row r="21" spans="1:17" customFormat="1">
      <c r="A21" s="50" t="s">
        <v>719</v>
      </c>
      <c r="B21" s="51">
        <v>7.77</v>
      </c>
      <c r="C21" s="51">
        <v>25.82</v>
      </c>
      <c r="D21" s="51">
        <v>21.08</v>
      </c>
      <c r="E21" s="51">
        <v>10.85</v>
      </c>
      <c r="F21" s="51">
        <v>6.23</v>
      </c>
      <c r="G21" s="51">
        <v>96.16</v>
      </c>
      <c r="H21" s="51">
        <v>44.12</v>
      </c>
      <c r="I21" s="51">
        <v>7.68</v>
      </c>
      <c r="J21" s="51">
        <v>0.89</v>
      </c>
      <c r="K21" s="51">
        <v>27.91</v>
      </c>
      <c r="L21" s="51">
        <v>25.31</v>
      </c>
      <c r="M21" s="51">
        <v>57.72</v>
      </c>
      <c r="N21" s="51">
        <v>113.2</v>
      </c>
      <c r="O21" s="51">
        <v>0</v>
      </c>
      <c r="P21" s="51">
        <v>0.91</v>
      </c>
      <c r="Q21" s="51">
        <v>4.3099999999999996</v>
      </c>
    </row>
    <row r="22" spans="1:17" customFormat="1">
      <c r="A22" s="50" t="s">
        <v>720</v>
      </c>
      <c r="B22" s="51">
        <v>2.62</v>
      </c>
      <c r="C22" s="51">
        <v>26.99</v>
      </c>
      <c r="D22" s="51">
        <v>17.16</v>
      </c>
      <c r="E22" s="11" t="s">
        <v>12</v>
      </c>
      <c r="F22" s="51">
        <v>12.01</v>
      </c>
      <c r="G22" s="11" t="s">
        <v>12</v>
      </c>
      <c r="H22" s="11" t="s">
        <v>12</v>
      </c>
      <c r="I22" s="51">
        <v>16.23</v>
      </c>
      <c r="J22" s="51">
        <v>1.26</v>
      </c>
      <c r="K22" s="51">
        <v>33.79</v>
      </c>
      <c r="L22" s="51">
        <v>23.75</v>
      </c>
      <c r="M22" s="51">
        <v>57.28</v>
      </c>
      <c r="N22" s="51">
        <v>126.6</v>
      </c>
      <c r="O22" s="51">
        <v>0</v>
      </c>
      <c r="P22" s="51">
        <v>0.94</v>
      </c>
      <c r="Q22" s="51">
        <v>4.24</v>
      </c>
    </row>
    <row r="23" spans="1:17" customFormat="1">
      <c r="A23" s="50" t="s">
        <v>721</v>
      </c>
      <c r="B23" s="51">
        <v>2.79</v>
      </c>
      <c r="C23" s="51">
        <v>25.98</v>
      </c>
      <c r="D23" s="51">
        <v>16.77</v>
      </c>
      <c r="E23" s="51">
        <v>10.55</v>
      </c>
      <c r="F23" s="51">
        <v>13.47</v>
      </c>
      <c r="G23" s="51">
        <v>106.8</v>
      </c>
      <c r="H23" s="51">
        <v>26.68</v>
      </c>
      <c r="I23" s="51">
        <v>29.46</v>
      </c>
      <c r="J23" s="51">
        <v>1.1499999999999999</v>
      </c>
      <c r="K23" s="51">
        <v>39.15</v>
      </c>
      <c r="L23" s="51">
        <v>22.46</v>
      </c>
      <c r="M23" s="51">
        <v>73.849999999999994</v>
      </c>
      <c r="N23" s="51">
        <v>62.2</v>
      </c>
      <c r="O23" s="51">
        <v>0.4</v>
      </c>
      <c r="P23" s="51">
        <v>0.91</v>
      </c>
      <c r="Q23" s="51">
        <v>4.16</v>
      </c>
    </row>
    <row r="24" spans="1:17" customFormat="1">
      <c r="A24" s="50" t="s">
        <v>722</v>
      </c>
      <c r="B24" s="51">
        <v>5.56</v>
      </c>
      <c r="C24" s="51">
        <v>26.12</v>
      </c>
      <c r="D24" s="51">
        <v>19.45</v>
      </c>
      <c r="E24" s="51">
        <v>6.96</v>
      </c>
      <c r="F24" s="51">
        <v>3.27</v>
      </c>
      <c r="G24" s="51">
        <v>105.32</v>
      </c>
      <c r="H24" s="51">
        <v>29.63</v>
      </c>
      <c r="I24" s="51">
        <v>26.83</v>
      </c>
      <c r="J24" s="51">
        <v>0.79</v>
      </c>
      <c r="K24" s="51">
        <v>43.74</v>
      </c>
      <c r="L24" s="51">
        <v>19.64</v>
      </c>
      <c r="M24" s="51">
        <v>96.39</v>
      </c>
      <c r="N24" s="51">
        <v>7.5</v>
      </c>
      <c r="O24" s="51">
        <v>2.8</v>
      </c>
      <c r="P24" s="51">
        <v>0.88</v>
      </c>
      <c r="Q24" s="51">
        <v>4.2</v>
      </c>
    </row>
    <row r="25" spans="1:17" customFormat="1">
      <c r="A25" s="50" t="s">
        <v>723</v>
      </c>
      <c r="B25" s="51">
        <v>8.59</v>
      </c>
      <c r="C25" s="51">
        <v>27.2</v>
      </c>
      <c r="D25" s="51">
        <v>22.45</v>
      </c>
      <c r="E25" s="51">
        <v>6.19</v>
      </c>
      <c r="F25" s="51">
        <v>2.94</v>
      </c>
      <c r="G25" s="51">
        <v>80.87</v>
      </c>
      <c r="H25" s="51">
        <v>27.45</v>
      </c>
      <c r="I25" s="51">
        <v>23.67</v>
      </c>
      <c r="J25" s="51">
        <v>0.44</v>
      </c>
      <c r="K25" s="51">
        <v>60.12</v>
      </c>
      <c r="L25" s="51">
        <v>19.02</v>
      </c>
      <c r="M25" s="51">
        <v>98.36</v>
      </c>
      <c r="N25" s="51">
        <v>3.9</v>
      </c>
      <c r="O25" s="51">
        <v>0.2</v>
      </c>
      <c r="P25" s="51">
        <v>0.85</v>
      </c>
      <c r="Q25" s="51">
        <v>4.3499999999999996</v>
      </c>
    </row>
    <row r="26" spans="1:17" customFormat="1">
      <c r="A26" s="50" t="s">
        <v>724</v>
      </c>
      <c r="B26" s="51">
        <v>11.02</v>
      </c>
      <c r="C26" s="51">
        <v>25.21</v>
      </c>
      <c r="D26" s="51">
        <v>23.34</v>
      </c>
      <c r="E26" s="51">
        <v>6.31</v>
      </c>
      <c r="F26" s="51">
        <v>1</v>
      </c>
      <c r="G26" s="51">
        <v>56.02</v>
      </c>
      <c r="H26" s="51">
        <v>23.46</v>
      </c>
      <c r="I26" s="51">
        <v>17.57</v>
      </c>
      <c r="J26" s="51">
        <v>0.35</v>
      </c>
      <c r="K26" s="51">
        <v>160.02000000000001</v>
      </c>
      <c r="L26" s="51">
        <v>19.23</v>
      </c>
      <c r="M26" s="51">
        <v>99.94</v>
      </c>
      <c r="N26" s="51">
        <v>0</v>
      </c>
      <c r="O26" s="51">
        <v>0</v>
      </c>
      <c r="P26" s="51">
        <v>0.9</v>
      </c>
      <c r="Q26" s="51">
        <v>4.8</v>
      </c>
    </row>
    <row r="27" spans="1:17" customFormat="1">
      <c r="A27" s="50" t="s">
        <v>725</v>
      </c>
      <c r="B27" s="51">
        <v>11.6</v>
      </c>
      <c r="C27" s="51">
        <v>24.77</v>
      </c>
      <c r="D27" s="51">
        <v>23.47</v>
      </c>
      <c r="E27" s="51">
        <v>7.54</v>
      </c>
      <c r="F27" s="51">
        <v>2.73</v>
      </c>
      <c r="G27" s="51">
        <v>47.82</v>
      </c>
      <c r="H27" s="51">
        <v>20.93</v>
      </c>
      <c r="I27" s="51">
        <v>17.23</v>
      </c>
      <c r="J27" s="51">
        <v>0.19</v>
      </c>
      <c r="K27" s="51">
        <v>185.2</v>
      </c>
      <c r="L27" s="51">
        <v>19.010000000000002</v>
      </c>
      <c r="M27" s="51">
        <v>98.84</v>
      </c>
      <c r="N27" s="51">
        <v>0</v>
      </c>
      <c r="O27" s="51">
        <v>0.2</v>
      </c>
      <c r="P27" s="51">
        <v>0.88</v>
      </c>
      <c r="Q27" s="51">
        <v>4.6900000000000004</v>
      </c>
    </row>
    <row r="28" spans="1:17" customFormat="1">
      <c r="A28" s="50" t="s">
        <v>726</v>
      </c>
      <c r="B28" s="51">
        <v>13.91</v>
      </c>
      <c r="C28" s="51">
        <v>25.03</v>
      </c>
      <c r="D28" s="51">
        <v>25.08</v>
      </c>
      <c r="E28" s="51">
        <v>7.55</v>
      </c>
      <c r="F28" s="51">
        <v>2.79</v>
      </c>
      <c r="G28" s="51">
        <v>40.549999999999997</v>
      </c>
      <c r="H28" s="51">
        <v>21.61</v>
      </c>
      <c r="I28" s="51">
        <v>14.8</v>
      </c>
      <c r="J28" s="51">
        <v>0.15</v>
      </c>
      <c r="K28" s="51">
        <v>159.16</v>
      </c>
      <c r="L28" s="51">
        <v>19.100000000000001</v>
      </c>
      <c r="M28" s="51">
        <v>99.4</v>
      </c>
      <c r="N28" s="51">
        <v>0</v>
      </c>
      <c r="O28" s="51">
        <v>0</v>
      </c>
      <c r="P28" s="51">
        <v>0.87</v>
      </c>
      <c r="Q28" s="51">
        <v>4.7</v>
      </c>
    </row>
    <row r="29" spans="1:17" customFormat="1">
      <c r="A29" s="50" t="s">
        <v>727</v>
      </c>
      <c r="B29" s="51">
        <v>17.82</v>
      </c>
      <c r="C29" s="51">
        <v>24.57</v>
      </c>
      <c r="D29" s="51">
        <v>28.24</v>
      </c>
      <c r="E29" s="51">
        <v>7.63</v>
      </c>
      <c r="F29" s="51">
        <v>2.79</v>
      </c>
      <c r="G29" s="51">
        <v>36.799999999999997</v>
      </c>
      <c r="H29" s="51">
        <v>17.14</v>
      </c>
      <c r="I29" s="51">
        <v>13.16</v>
      </c>
      <c r="J29" s="51">
        <v>0.1</v>
      </c>
      <c r="K29" s="51">
        <v>337.29</v>
      </c>
      <c r="L29" s="51">
        <v>18.899999999999999</v>
      </c>
      <c r="M29" s="51">
        <v>100.12</v>
      </c>
      <c r="N29" s="51">
        <v>0</v>
      </c>
      <c r="O29" s="51">
        <v>0</v>
      </c>
      <c r="P29" s="51">
        <v>0.88</v>
      </c>
      <c r="Q29" s="51">
        <v>4.83</v>
      </c>
    </row>
    <row r="30" spans="1:17" customFormat="1">
      <c r="A30" s="50" t="s">
        <v>728</v>
      </c>
      <c r="B30" s="51">
        <v>21.38</v>
      </c>
      <c r="C30" s="51">
        <v>24.5</v>
      </c>
      <c r="D30" s="51">
        <v>30.88</v>
      </c>
      <c r="E30" s="51">
        <v>7.14</v>
      </c>
      <c r="F30" s="51">
        <v>2.73</v>
      </c>
      <c r="G30" s="51">
        <v>40.159999999999997</v>
      </c>
      <c r="H30" s="51">
        <v>18.62</v>
      </c>
      <c r="I30" s="51">
        <v>12.51</v>
      </c>
      <c r="J30" s="51">
        <v>0.14000000000000001</v>
      </c>
      <c r="K30" s="51">
        <v>305.47000000000003</v>
      </c>
      <c r="L30" s="51">
        <v>18.64</v>
      </c>
      <c r="M30" s="51">
        <v>101.34</v>
      </c>
      <c r="N30" s="51">
        <v>0</v>
      </c>
      <c r="O30" s="51">
        <v>0</v>
      </c>
      <c r="P30" s="51">
        <v>0.89</v>
      </c>
      <c r="Q30" s="51">
        <v>4.92</v>
      </c>
    </row>
    <row r="31" spans="1:17" customFormat="1">
      <c r="A31" s="50" t="s">
        <v>729</v>
      </c>
      <c r="B31" s="51">
        <v>28.86</v>
      </c>
      <c r="C31" s="51">
        <v>27.36</v>
      </c>
      <c r="D31" s="51">
        <v>38.79</v>
      </c>
      <c r="E31" s="51">
        <v>8.1199999999999992</v>
      </c>
      <c r="F31" s="51">
        <v>2.65</v>
      </c>
      <c r="G31" s="51">
        <v>57.21</v>
      </c>
      <c r="H31" s="51">
        <v>23</v>
      </c>
      <c r="I31" s="51">
        <v>11.79</v>
      </c>
      <c r="J31" s="51">
        <v>0.33</v>
      </c>
      <c r="K31" s="51">
        <v>275.70999999999998</v>
      </c>
      <c r="L31" s="51">
        <v>18.39</v>
      </c>
      <c r="M31" s="51">
        <v>102.59</v>
      </c>
      <c r="N31" s="51">
        <v>0</v>
      </c>
      <c r="O31" s="51">
        <v>0</v>
      </c>
      <c r="P31" s="51">
        <v>0.94</v>
      </c>
      <c r="Q31" s="51">
        <v>5.17</v>
      </c>
    </row>
    <row r="32" spans="1:17" customFormat="1">
      <c r="A32" s="50" t="s">
        <v>730</v>
      </c>
      <c r="B32" s="51">
        <v>32.53</v>
      </c>
      <c r="C32" s="51">
        <v>28.68</v>
      </c>
      <c r="D32" s="51">
        <v>42.43</v>
      </c>
      <c r="E32" s="51">
        <v>8.64</v>
      </c>
      <c r="F32" s="51">
        <v>2.66</v>
      </c>
      <c r="G32" s="51">
        <v>78.27</v>
      </c>
      <c r="H32" s="51">
        <v>26.49</v>
      </c>
      <c r="I32" s="51">
        <v>10.8</v>
      </c>
      <c r="J32" s="51">
        <v>0.33</v>
      </c>
      <c r="K32" s="51">
        <v>80.5</v>
      </c>
      <c r="L32" s="51">
        <v>18.3</v>
      </c>
      <c r="M32" s="51">
        <v>102.7</v>
      </c>
      <c r="N32" s="51">
        <v>0</v>
      </c>
      <c r="O32" s="51">
        <v>0</v>
      </c>
      <c r="P32" s="51">
        <v>0.99</v>
      </c>
      <c r="Q32" s="51">
        <v>5.32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2.62</v>
      </c>
      <c r="C34" s="40">
        <f t="shared" si="0"/>
        <v>24.5</v>
      </c>
      <c r="D34" s="40">
        <f t="shared" si="0"/>
        <v>16.77</v>
      </c>
      <c r="E34" s="40">
        <f t="shared" si="0"/>
        <v>6.19</v>
      </c>
      <c r="F34" s="40">
        <f t="shared" si="0"/>
        <v>1</v>
      </c>
      <c r="G34" s="40">
        <f t="shared" si="0"/>
        <v>36.799999999999997</v>
      </c>
      <c r="H34" s="40">
        <f t="shared" si="0"/>
        <v>17.14</v>
      </c>
      <c r="I34" s="40">
        <f t="shared" si="0"/>
        <v>7.68</v>
      </c>
      <c r="J34" s="40">
        <f t="shared" si="0"/>
        <v>0.1</v>
      </c>
      <c r="K34" s="40">
        <f t="shared" si="0"/>
        <v>27.91</v>
      </c>
      <c r="L34" s="40">
        <f t="shared" si="0"/>
        <v>18.11</v>
      </c>
      <c r="M34" s="40">
        <f t="shared" si="0"/>
        <v>52.5</v>
      </c>
      <c r="N34" s="40">
        <f t="shared" si="0"/>
        <v>0</v>
      </c>
      <c r="O34" s="40">
        <f t="shared" si="0"/>
        <v>0</v>
      </c>
      <c r="P34" s="40">
        <f t="shared" si="0"/>
        <v>0.85</v>
      </c>
      <c r="Q34" s="40">
        <f t="shared" si="0"/>
        <v>4.16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32.53</v>
      </c>
      <c r="C35" s="33">
        <f t="shared" si="1"/>
        <v>34.299999999999997</v>
      </c>
      <c r="D35" s="33">
        <f t="shared" si="1"/>
        <v>42.43</v>
      </c>
      <c r="E35" s="33">
        <f t="shared" si="1"/>
        <v>10.85</v>
      </c>
      <c r="F35" s="33">
        <f t="shared" si="1"/>
        <v>13.47</v>
      </c>
      <c r="G35" s="33">
        <f t="shared" si="1"/>
        <v>131</v>
      </c>
      <c r="H35" s="33">
        <f t="shared" si="1"/>
        <v>56.58</v>
      </c>
      <c r="I35" s="33">
        <f t="shared" si="1"/>
        <v>29.46</v>
      </c>
      <c r="J35" s="33">
        <f t="shared" si="1"/>
        <v>1.26</v>
      </c>
      <c r="K35" s="33">
        <f t="shared" si="1"/>
        <v>337.29</v>
      </c>
      <c r="L35" s="33">
        <f t="shared" si="1"/>
        <v>25.95</v>
      </c>
      <c r="M35" s="33">
        <f t="shared" si="1"/>
        <v>102.7</v>
      </c>
      <c r="N35" s="33">
        <f t="shared" si="1"/>
        <v>241.1</v>
      </c>
      <c r="O35" s="33">
        <f t="shared" si="1"/>
        <v>2.8</v>
      </c>
      <c r="P35" s="33">
        <f t="shared" si="1"/>
        <v>1.17</v>
      </c>
      <c r="Q35" s="33">
        <f t="shared" si="1"/>
        <v>5.32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13.0375</v>
      </c>
      <c r="C36" s="40">
        <f t="shared" si="2"/>
        <v>28.002083333333331</v>
      </c>
      <c r="D36" s="40">
        <f t="shared" si="2"/>
        <v>26.242083333333326</v>
      </c>
      <c r="E36" s="40">
        <f t="shared" si="2"/>
        <v>8.3343478260869563</v>
      </c>
      <c r="F36" s="40">
        <f t="shared" si="2"/>
        <v>3.7979166666666675</v>
      </c>
      <c r="G36" s="40">
        <f t="shared" si="2"/>
        <v>86.857826086956521</v>
      </c>
      <c r="H36" s="40">
        <f t="shared" si="2"/>
        <v>37.595652173913038</v>
      </c>
      <c r="I36" s="40">
        <f t="shared" si="2"/>
        <v>12.446250000000001</v>
      </c>
      <c r="J36" s="40">
        <f t="shared" si="2"/>
        <v>0.47041666666666654</v>
      </c>
      <c r="K36" s="40">
        <f t="shared" si="2"/>
        <v>116.42874999999999</v>
      </c>
      <c r="L36" s="40">
        <f t="shared" si="2"/>
        <v>20.511249999999997</v>
      </c>
      <c r="M36" s="40">
        <f t="shared" si="2"/>
        <v>82.173749999999998</v>
      </c>
      <c r="N36" s="40">
        <f t="shared" si="2"/>
        <v>55.833333333333336</v>
      </c>
      <c r="O36" s="40">
        <f t="shared" si="2"/>
        <v>0.15</v>
      </c>
      <c r="P36" s="40">
        <f t="shared" si="2"/>
        <v>0.94916666666666671</v>
      </c>
      <c r="Q36" s="40">
        <f t="shared" si="2"/>
        <v>4.5570833333333338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6.9364100788959062</v>
      </c>
      <c r="C37" s="40">
        <f t="shared" ref="C37:Q37" si="3">STDEV(C9:C32)</f>
        <v>2.6536717453151657</v>
      </c>
      <c r="D37" s="40">
        <f t="shared" si="3"/>
        <v>5.7172804261305048</v>
      </c>
      <c r="E37" s="40">
        <f t="shared" si="3"/>
        <v>1.1798644994888818</v>
      </c>
      <c r="F37" s="40">
        <f t="shared" si="3"/>
        <v>2.8912130433987118</v>
      </c>
      <c r="G37" s="40">
        <f t="shared" si="3"/>
        <v>28.058750694103122</v>
      </c>
      <c r="H37" s="40">
        <f t="shared" si="3"/>
        <v>13.343093489649167</v>
      </c>
      <c r="I37" s="40">
        <f t="shared" si="3"/>
        <v>6.4183275706641707</v>
      </c>
      <c r="J37" s="40">
        <f t="shared" si="3"/>
        <v>0.33925082636363013</v>
      </c>
      <c r="K37" s="40">
        <f t="shared" si="3"/>
        <v>93.596617939292628</v>
      </c>
      <c r="L37" s="40">
        <f t="shared" si="3"/>
        <v>2.6064256926496916</v>
      </c>
      <c r="M37" s="40">
        <f t="shared" si="3"/>
        <v>16.908771022756209</v>
      </c>
      <c r="N37" s="40">
        <f t="shared" si="3"/>
        <v>85.332865714298435</v>
      </c>
      <c r="O37" s="40">
        <f t="shared" si="3"/>
        <v>0.57256098972644098</v>
      </c>
      <c r="P37" s="40">
        <f t="shared" si="3"/>
        <v>7.5233934680676504E-2</v>
      </c>
      <c r="Q37" s="40">
        <f t="shared" si="3"/>
        <v>0.28551218913545823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v>24</v>
      </c>
      <c r="F38" s="45">
        <v>24</v>
      </c>
      <c r="G38" s="45">
        <v>24</v>
      </c>
      <c r="H38" s="45"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45"/>
  <sheetViews>
    <sheetView topLeftCell="A31" workbookViewId="0">
      <selection activeCell="A9" sqref="A9:XFD32"/>
    </sheetView>
  </sheetViews>
  <sheetFormatPr defaultColWidth="9" defaultRowHeight="15"/>
  <cols>
    <col min="1" max="1" width="12.85546875" customWidth="1"/>
    <col min="2" max="2" width="14.42578125" customWidth="1"/>
  </cols>
  <sheetData>
    <row r="1" spans="1:21" ht="27.75" customHeight="1">
      <c r="A1" s="3" t="s">
        <v>0</v>
      </c>
      <c r="B1" s="6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>
      <c r="A2" s="3" t="s">
        <v>2</v>
      </c>
      <c r="B2" s="7" t="str">
        <f>$A$9</f>
        <v>29/11/2023 01:00</v>
      </c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O2" s="1"/>
      <c r="P2" s="26" t="s">
        <v>7</v>
      </c>
      <c r="Q2" s="6"/>
      <c r="R2" s="30" t="s">
        <v>8</v>
      </c>
    </row>
    <row r="3" spans="1:21">
      <c r="A3" s="3" t="s">
        <v>9</v>
      </c>
      <c r="B3" s="6" t="s">
        <v>10</v>
      </c>
      <c r="D3" s="8" t="s">
        <v>11</v>
      </c>
      <c r="E3" s="8"/>
      <c r="F3" s="8"/>
      <c r="G3" s="11" t="s">
        <v>12</v>
      </c>
      <c r="H3" s="10"/>
      <c r="I3" s="10"/>
      <c r="J3" s="10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</row>
    <row r="4" spans="1:21">
      <c r="A4" s="3" t="s">
        <v>16</v>
      </c>
      <c r="B4" s="6" t="s">
        <v>17</v>
      </c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</row>
    <row r="5" spans="1:2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50" t="s">
        <v>731</v>
      </c>
      <c r="B9" s="51">
        <v>37.04</v>
      </c>
      <c r="C9" s="51">
        <v>29.87</v>
      </c>
      <c r="D9" s="51">
        <v>46.29</v>
      </c>
      <c r="E9" s="51">
        <v>9.59</v>
      </c>
      <c r="F9" s="51">
        <v>2.64</v>
      </c>
      <c r="G9" s="51">
        <v>99.19</v>
      </c>
      <c r="H9" s="51">
        <v>35.17</v>
      </c>
      <c r="I9" s="51">
        <v>10.88</v>
      </c>
      <c r="J9" s="51">
        <v>0.41</v>
      </c>
      <c r="K9" s="51">
        <v>44.31</v>
      </c>
      <c r="L9" s="51">
        <v>18.14</v>
      </c>
      <c r="M9" s="51">
        <v>103.64</v>
      </c>
      <c r="N9" s="51">
        <v>0</v>
      </c>
      <c r="O9" s="51">
        <v>0</v>
      </c>
      <c r="P9" s="51">
        <v>1.02</v>
      </c>
      <c r="Q9" s="51">
        <v>5.41</v>
      </c>
    </row>
    <row r="10" spans="1:21">
      <c r="A10" s="50" t="s">
        <v>732</v>
      </c>
      <c r="B10" s="51">
        <v>44.73</v>
      </c>
      <c r="C10" s="51">
        <v>29.89</v>
      </c>
      <c r="D10" s="51">
        <v>52.83</v>
      </c>
      <c r="E10" s="51">
        <v>9.99</v>
      </c>
      <c r="F10" s="51">
        <v>2.58</v>
      </c>
      <c r="G10" s="51">
        <v>95.88</v>
      </c>
      <c r="H10" s="51">
        <v>36.18</v>
      </c>
      <c r="I10" s="51">
        <v>10.84</v>
      </c>
      <c r="J10" s="51">
        <v>0.46</v>
      </c>
      <c r="K10" s="51">
        <v>42.18</v>
      </c>
      <c r="L10" s="51">
        <v>17.989999999999998</v>
      </c>
      <c r="M10" s="51">
        <v>101.62</v>
      </c>
      <c r="N10" s="51">
        <v>0</v>
      </c>
      <c r="O10" s="51">
        <v>0</v>
      </c>
      <c r="P10" s="51">
        <v>1.21</v>
      </c>
      <c r="Q10" s="51">
        <v>5.63</v>
      </c>
    </row>
    <row r="11" spans="1:21">
      <c r="A11" s="50" t="s">
        <v>733</v>
      </c>
      <c r="B11" s="51">
        <v>46.73</v>
      </c>
      <c r="C11" s="51">
        <v>30.11</v>
      </c>
      <c r="D11" s="51">
        <v>54.36</v>
      </c>
      <c r="E11" s="51">
        <v>9.7899999999999991</v>
      </c>
      <c r="F11" s="51">
        <v>2.56</v>
      </c>
      <c r="G11" s="51">
        <v>106.87</v>
      </c>
      <c r="H11" s="51">
        <v>36.28</v>
      </c>
      <c r="I11" s="51">
        <v>11.03</v>
      </c>
      <c r="J11" s="51">
        <v>0.57999999999999996</v>
      </c>
      <c r="K11" s="51">
        <v>36.869999999999997</v>
      </c>
      <c r="L11" s="51">
        <v>18.03</v>
      </c>
      <c r="M11" s="51">
        <v>101.98</v>
      </c>
      <c r="N11" s="51">
        <v>0</v>
      </c>
      <c r="O11" s="51">
        <v>0</v>
      </c>
      <c r="P11" s="51">
        <v>1.27</v>
      </c>
      <c r="Q11" s="51">
        <v>5.7</v>
      </c>
    </row>
    <row r="12" spans="1:21">
      <c r="A12" s="50" t="s">
        <v>734</v>
      </c>
      <c r="B12" s="51">
        <v>44.66</v>
      </c>
      <c r="C12" s="51">
        <v>30.88</v>
      </c>
      <c r="D12" s="51">
        <v>52.84</v>
      </c>
      <c r="E12" s="51">
        <v>9.2799999999999994</v>
      </c>
      <c r="F12" s="51">
        <v>2.94</v>
      </c>
      <c r="G12" s="51">
        <v>112.55</v>
      </c>
      <c r="H12" s="51">
        <v>38.53</v>
      </c>
      <c r="I12" s="51">
        <v>10.9</v>
      </c>
      <c r="J12" s="51">
        <v>0.52</v>
      </c>
      <c r="K12" s="51">
        <v>43.26</v>
      </c>
      <c r="L12" s="51">
        <v>17.78</v>
      </c>
      <c r="M12" s="51">
        <v>101.11</v>
      </c>
      <c r="N12" s="51">
        <v>0</v>
      </c>
      <c r="O12" s="51">
        <v>0</v>
      </c>
      <c r="P12" s="51">
        <v>1.22</v>
      </c>
      <c r="Q12" s="51">
        <v>5.68</v>
      </c>
    </row>
    <row r="13" spans="1:21">
      <c r="A13" s="50" t="s">
        <v>735</v>
      </c>
      <c r="B13" s="51">
        <v>41.56</v>
      </c>
      <c r="C13" s="51">
        <v>26.52</v>
      </c>
      <c r="D13" s="51">
        <v>48.54</v>
      </c>
      <c r="E13" s="51">
        <v>8.51</v>
      </c>
      <c r="F13" s="51">
        <v>2.67</v>
      </c>
      <c r="G13" s="51">
        <v>88.87</v>
      </c>
      <c r="H13" s="51">
        <v>33.24</v>
      </c>
      <c r="I13" s="51">
        <v>10.039999999999999</v>
      </c>
      <c r="J13" s="51">
        <v>0.43</v>
      </c>
      <c r="K13" s="51">
        <v>45.29</v>
      </c>
      <c r="L13" s="51">
        <v>17.649999999999999</v>
      </c>
      <c r="M13" s="51">
        <v>100.82</v>
      </c>
      <c r="N13" s="51">
        <v>0</v>
      </c>
      <c r="O13" s="51">
        <v>0</v>
      </c>
      <c r="P13" s="51">
        <v>1.1000000000000001</v>
      </c>
      <c r="Q13" s="51">
        <v>5.54</v>
      </c>
    </row>
    <row r="14" spans="1:21">
      <c r="A14" s="50" t="s">
        <v>736</v>
      </c>
      <c r="B14" s="51">
        <v>37.85</v>
      </c>
      <c r="C14" s="51">
        <v>26.12</v>
      </c>
      <c r="D14" s="51">
        <v>45.35</v>
      </c>
      <c r="E14" s="51">
        <v>8.36</v>
      </c>
      <c r="F14" s="51">
        <v>2.7</v>
      </c>
      <c r="G14" s="51">
        <v>76.819999999999993</v>
      </c>
      <c r="H14" s="51">
        <v>28.86</v>
      </c>
      <c r="I14" s="51">
        <v>9.35</v>
      </c>
      <c r="J14" s="51">
        <v>0.48</v>
      </c>
      <c r="K14" s="51">
        <v>40.58</v>
      </c>
      <c r="L14" s="51">
        <v>17.670000000000002</v>
      </c>
      <c r="M14" s="51">
        <v>100.76</v>
      </c>
      <c r="N14" s="51">
        <v>0</v>
      </c>
      <c r="O14" s="51">
        <v>0</v>
      </c>
      <c r="P14" s="51">
        <v>1.05</v>
      </c>
      <c r="Q14" s="51">
        <v>5.4</v>
      </c>
    </row>
    <row r="15" spans="1:21">
      <c r="A15" s="50" t="s">
        <v>737</v>
      </c>
      <c r="B15" s="51">
        <v>35.29</v>
      </c>
      <c r="C15" s="51">
        <v>25.46</v>
      </c>
      <c r="D15" s="51">
        <v>42.9</v>
      </c>
      <c r="E15" s="51">
        <v>8.25</v>
      </c>
      <c r="F15" s="51">
        <v>2.66</v>
      </c>
      <c r="G15" s="51">
        <v>64.099999999999994</v>
      </c>
      <c r="H15" s="51">
        <v>28.82</v>
      </c>
      <c r="I15" s="51">
        <v>9.2100000000000009</v>
      </c>
      <c r="J15" s="51">
        <v>0.53</v>
      </c>
      <c r="K15" s="51">
        <v>46.65</v>
      </c>
      <c r="L15" s="51">
        <v>17.52</v>
      </c>
      <c r="M15" s="51">
        <v>100.7</v>
      </c>
      <c r="N15" s="51">
        <v>11.4</v>
      </c>
      <c r="O15" s="51">
        <v>0</v>
      </c>
      <c r="P15" s="51">
        <v>0.99</v>
      </c>
      <c r="Q15" s="51">
        <v>5.33</v>
      </c>
    </row>
    <row r="16" spans="1:21">
      <c r="A16" s="50" t="s">
        <v>738</v>
      </c>
      <c r="B16" s="51">
        <v>33.520000000000003</v>
      </c>
      <c r="C16" s="51">
        <v>25.95</v>
      </c>
      <c r="D16" s="51">
        <v>41.79</v>
      </c>
      <c r="E16" s="51">
        <v>8.14</v>
      </c>
      <c r="F16" s="51">
        <v>2.73</v>
      </c>
      <c r="G16" s="51">
        <v>66.03</v>
      </c>
      <c r="H16" s="51">
        <v>28.55</v>
      </c>
      <c r="I16" s="51">
        <v>8.77</v>
      </c>
      <c r="J16" s="51">
        <v>0.64</v>
      </c>
      <c r="K16" s="51">
        <v>47.12</v>
      </c>
      <c r="L16" s="51">
        <v>17.940000000000001</v>
      </c>
      <c r="M16" s="51">
        <v>100.7</v>
      </c>
      <c r="N16" s="51">
        <v>81.7</v>
      </c>
      <c r="O16" s="51">
        <v>0</v>
      </c>
      <c r="P16" s="51">
        <v>0.96</v>
      </c>
      <c r="Q16" s="51">
        <v>5.27</v>
      </c>
    </row>
    <row r="17" spans="1:17">
      <c r="A17" s="50" t="s">
        <v>739</v>
      </c>
      <c r="B17" s="51">
        <v>32.69</v>
      </c>
      <c r="C17" s="51">
        <v>26.88</v>
      </c>
      <c r="D17" s="51">
        <v>41.48</v>
      </c>
      <c r="E17" s="51">
        <v>8.5500000000000007</v>
      </c>
      <c r="F17" s="51">
        <v>2.8</v>
      </c>
      <c r="G17" s="51">
        <v>64.12</v>
      </c>
      <c r="H17" s="51">
        <v>28.2</v>
      </c>
      <c r="I17" s="51">
        <v>8.4</v>
      </c>
      <c r="J17" s="51">
        <v>0.53</v>
      </c>
      <c r="K17" s="51">
        <v>50.43</v>
      </c>
      <c r="L17" s="51">
        <v>19.739999999999998</v>
      </c>
      <c r="M17" s="51">
        <v>100.71</v>
      </c>
      <c r="N17" s="51">
        <v>165.3</v>
      </c>
      <c r="O17" s="51">
        <v>0</v>
      </c>
      <c r="P17" s="51">
        <v>0.94</v>
      </c>
      <c r="Q17" s="51">
        <v>5.29</v>
      </c>
    </row>
    <row r="18" spans="1:17">
      <c r="A18" s="50" t="s">
        <v>740</v>
      </c>
      <c r="B18" s="51">
        <v>32.61</v>
      </c>
      <c r="C18" s="51">
        <v>28.45</v>
      </c>
      <c r="D18" s="51">
        <v>42.17</v>
      </c>
      <c r="E18" s="51">
        <v>8.67</v>
      </c>
      <c r="F18" s="51">
        <v>2.75</v>
      </c>
      <c r="G18" s="51">
        <v>63.09</v>
      </c>
      <c r="H18" s="51">
        <v>27.8</v>
      </c>
      <c r="I18" s="51">
        <v>7.92</v>
      </c>
      <c r="J18" s="51">
        <v>0.61</v>
      </c>
      <c r="K18" s="51">
        <v>45.9</v>
      </c>
      <c r="L18" s="51">
        <v>22.48</v>
      </c>
      <c r="M18" s="51">
        <v>92.34</v>
      </c>
      <c r="N18" s="51">
        <v>398</v>
      </c>
      <c r="O18" s="51">
        <v>0</v>
      </c>
      <c r="P18" s="51">
        <v>0.92</v>
      </c>
      <c r="Q18" s="51">
        <v>5.31</v>
      </c>
    </row>
    <row r="19" spans="1:17">
      <c r="A19" s="50" t="s">
        <v>741</v>
      </c>
      <c r="B19" s="51">
        <v>32.299999999999997</v>
      </c>
      <c r="C19" s="51">
        <v>29.38</v>
      </c>
      <c r="D19" s="51">
        <v>42.35</v>
      </c>
      <c r="E19" s="51">
        <v>8.57</v>
      </c>
      <c r="F19" s="51">
        <v>2.72</v>
      </c>
      <c r="G19" s="51">
        <v>53.93</v>
      </c>
      <c r="H19" s="51">
        <v>26.44</v>
      </c>
      <c r="I19" s="51">
        <v>7.53</v>
      </c>
      <c r="J19" s="51">
        <v>0.69</v>
      </c>
      <c r="K19" s="51">
        <v>47.21</v>
      </c>
      <c r="L19" s="51">
        <v>24.89</v>
      </c>
      <c r="M19" s="51">
        <v>76.08</v>
      </c>
      <c r="N19" s="51">
        <v>484.7</v>
      </c>
      <c r="O19" s="51">
        <v>0</v>
      </c>
      <c r="P19" s="51">
        <v>0.92</v>
      </c>
      <c r="Q19" s="51">
        <v>5.3</v>
      </c>
    </row>
    <row r="20" spans="1:17">
      <c r="A20" s="50" t="s">
        <v>742</v>
      </c>
      <c r="B20" s="51">
        <v>29.52</v>
      </c>
      <c r="C20" s="51">
        <v>30.45</v>
      </c>
      <c r="D20" s="51">
        <v>40.6</v>
      </c>
      <c r="E20" s="51">
        <v>8.8000000000000007</v>
      </c>
      <c r="F20" s="51">
        <v>2.77</v>
      </c>
      <c r="G20" s="51">
        <v>55.85</v>
      </c>
      <c r="H20" s="51">
        <v>22.9</v>
      </c>
      <c r="I20" s="51">
        <v>7.2</v>
      </c>
      <c r="J20" s="51">
        <v>0.76</v>
      </c>
      <c r="K20" s="51">
        <v>47.12</v>
      </c>
      <c r="L20" s="51">
        <v>26.56</v>
      </c>
      <c r="M20" s="51">
        <v>64.66</v>
      </c>
      <c r="N20" s="51">
        <v>531.1</v>
      </c>
      <c r="O20" s="51">
        <v>0</v>
      </c>
      <c r="P20" s="51">
        <v>0.88</v>
      </c>
      <c r="Q20" s="51">
        <v>5.24</v>
      </c>
    </row>
    <row r="21" spans="1:17">
      <c r="A21" s="50" t="s">
        <v>743</v>
      </c>
      <c r="B21" s="51">
        <v>24.22</v>
      </c>
      <c r="C21" s="51">
        <v>31.7</v>
      </c>
      <c r="D21" s="51">
        <v>36.94</v>
      </c>
      <c r="E21" s="51">
        <v>9.35</v>
      </c>
      <c r="F21" s="51">
        <v>3.14</v>
      </c>
      <c r="G21" s="51">
        <v>51.48</v>
      </c>
      <c r="H21" s="51">
        <v>20.98</v>
      </c>
      <c r="I21" s="51">
        <v>6.83</v>
      </c>
      <c r="J21" s="51">
        <v>0.73</v>
      </c>
      <c r="K21" s="51">
        <v>63.27</v>
      </c>
      <c r="L21" s="51">
        <v>27.83</v>
      </c>
      <c r="M21" s="51">
        <v>52.82</v>
      </c>
      <c r="N21" s="51">
        <v>538.6</v>
      </c>
      <c r="O21" s="51">
        <v>0</v>
      </c>
      <c r="P21" s="51">
        <v>0.86</v>
      </c>
      <c r="Q21" s="51">
        <v>5.1100000000000003</v>
      </c>
    </row>
    <row r="22" spans="1:17">
      <c r="A22" s="50" t="s">
        <v>744</v>
      </c>
      <c r="B22" s="51">
        <v>18.29</v>
      </c>
      <c r="C22" s="51">
        <v>32.94</v>
      </c>
      <c r="D22" s="51">
        <v>33.229999999999997</v>
      </c>
      <c r="E22" s="51">
        <v>9.4700000000000006</v>
      </c>
      <c r="F22" s="51">
        <v>4.9000000000000004</v>
      </c>
      <c r="G22" s="51">
        <v>58.27</v>
      </c>
      <c r="H22" s="51">
        <v>23.55</v>
      </c>
      <c r="I22" s="51">
        <v>6.52</v>
      </c>
      <c r="J22" s="51">
        <v>0.56000000000000005</v>
      </c>
      <c r="K22" s="51">
        <v>48.23</v>
      </c>
      <c r="L22" s="51">
        <v>28.06</v>
      </c>
      <c r="M22" s="51">
        <v>50.75</v>
      </c>
      <c r="N22" s="51">
        <v>376.8</v>
      </c>
      <c r="O22" s="51">
        <v>0</v>
      </c>
      <c r="P22" s="51">
        <v>0.84</v>
      </c>
      <c r="Q22" s="51">
        <v>4.95</v>
      </c>
    </row>
    <row r="23" spans="1:17">
      <c r="A23" s="50" t="s">
        <v>745</v>
      </c>
      <c r="B23" s="51">
        <v>15.87</v>
      </c>
      <c r="C23" s="51">
        <v>25.38</v>
      </c>
      <c r="D23" s="51">
        <v>27.34</v>
      </c>
      <c r="E23" s="51">
        <v>10.7</v>
      </c>
      <c r="F23" s="51">
        <v>6.22</v>
      </c>
      <c r="G23" s="51">
        <v>61.5</v>
      </c>
      <c r="H23" s="51">
        <v>24.21</v>
      </c>
      <c r="I23" s="51">
        <v>6.31</v>
      </c>
      <c r="J23" s="51">
        <v>0.49</v>
      </c>
      <c r="K23" s="51">
        <v>65.34</v>
      </c>
      <c r="L23" s="51">
        <v>28.06</v>
      </c>
      <c r="M23" s="51">
        <v>50.28</v>
      </c>
      <c r="N23" s="51">
        <v>193.6</v>
      </c>
      <c r="O23" s="51">
        <v>0</v>
      </c>
      <c r="P23" s="51">
        <v>0.66</v>
      </c>
      <c r="Q23" s="51">
        <v>4.78</v>
      </c>
    </row>
    <row r="24" spans="1:17">
      <c r="A24" s="50" t="s">
        <v>746</v>
      </c>
      <c r="B24" s="51">
        <v>13.57</v>
      </c>
      <c r="C24" s="51">
        <v>25.55</v>
      </c>
      <c r="D24" s="51">
        <v>25.17</v>
      </c>
      <c r="E24" s="51">
        <v>11.51</v>
      </c>
      <c r="F24" s="51">
        <v>5.93</v>
      </c>
      <c r="G24" s="51">
        <v>64.8</v>
      </c>
      <c r="H24" s="51">
        <v>23.32</v>
      </c>
      <c r="I24" s="51">
        <v>6.14</v>
      </c>
      <c r="J24" s="51">
        <v>0.54</v>
      </c>
      <c r="K24" s="51">
        <v>65.45</v>
      </c>
      <c r="L24" s="51">
        <v>27.79</v>
      </c>
      <c r="M24" s="51">
        <v>49.42</v>
      </c>
      <c r="N24" s="51">
        <v>92.7</v>
      </c>
      <c r="O24" s="51">
        <v>0</v>
      </c>
      <c r="P24" s="51">
        <v>0.67</v>
      </c>
      <c r="Q24" s="51">
        <v>4.68</v>
      </c>
    </row>
    <row r="25" spans="1:17">
      <c r="A25" s="50" t="s">
        <v>747</v>
      </c>
      <c r="B25" s="51">
        <v>12.55</v>
      </c>
      <c r="C25" s="51">
        <v>24.76</v>
      </c>
      <c r="D25" s="51">
        <v>24.23</v>
      </c>
      <c r="E25" s="51">
        <v>9.85</v>
      </c>
      <c r="F25" s="51">
        <v>5.37</v>
      </c>
      <c r="G25" s="51">
        <v>66.73</v>
      </c>
      <c r="H25" s="51">
        <v>27.03</v>
      </c>
      <c r="I25" s="51">
        <v>6.01</v>
      </c>
      <c r="J25" s="51">
        <v>0.34</v>
      </c>
      <c r="K25" s="51">
        <v>148.32</v>
      </c>
      <c r="L25" s="51">
        <v>27.44</v>
      </c>
      <c r="M25" s="51">
        <v>60.18</v>
      </c>
      <c r="N25" s="51">
        <v>40.9</v>
      </c>
      <c r="O25" s="51">
        <v>0</v>
      </c>
      <c r="P25" s="51">
        <v>0.68</v>
      </c>
      <c r="Q25" s="51">
        <v>4.63</v>
      </c>
    </row>
    <row r="26" spans="1:17">
      <c r="A26" s="50" t="s">
        <v>748</v>
      </c>
      <c r="B26" s="51">
        <v>14.39</v>
      </c>
      <c r="C26" s="51">
        <v>24.44</v>
      </c>
      <c r="D26" s="51">
        <v>25.04</v>
      </c>
      <c r="E26" s="51">
        <v>7.65</v>
      </c>
      <c r="F26" s="51">
        <v>2.77</v>
      </c>
      <c r="G26" s="51">
        <v>70.53</v>
      </c>
      <c r="H26" s="51">
        <v>30.12</v>
      </c>
      <c r="I26" s="51">
        <v>6.02</v>
      </c>
      <c r="J26" s="51">
        <v>0.15</v>
      </c>
      <c r="K26" s="51">
        <v>162.69999999999999</v>
      </c>
      <c r="L26" s="51">
        <v>24.93</v>
      </c>
      <c r="M26" s="51">
        <v>67.489999999999995</v>
      </c>
      <c r="N26" s="51">
        <v>0</v>
      </c>
      <c r="O26" s="51">
        <v>0</v>
      </c>
      <c r="P26" s="51">
        <v>0.72</v>
      </c>
      <c r="Q26" s="51">
        <v>4.6500000000000004</v>
      </c>
    </row>
    <row r="27" spans="1:17">
      <c r="A27" s="50" t="s">
        <v>749</v>
      </c>
      <c r="B27" s="51">
        <v>18.510000000000002</v>
      </c>
      <c r="C27" s="51">
        <v>28.64</v>
      </c>
      <c r="D27" s="51">
        <v>31.16</v>
      </c>
      <c r="E27" s="51">
        <v>8.81</v>
      </c>
      <c r="F27" s="51">
        <v>2.76</v>
      </c>
      <c r="G27" s="51">
        <v>88.46</v>
      </c>
      <c r="H27" s="51">
        <v>35.270000000000003</v>
      </c>
      <c r="I27" s="51">
        <v>6.59</v>
      </c>
      <c r="J27" s="51">
        <v>0.25</v>
      </c>
      <c r="K27" s="51">
        <v>78.209999999999994</v>
      </c>
      <c r="L27" s="51">
        <v>24.14</v>
      </c>
      <c r="M27" s="51">
        <v>64.849999999999994</v>
      </c>
      <c r="N27" s="51">
        <v>0</v>
      </c>
      <c r="O27" s="51">
        <v>0</v>
      </c>
      <c r="P27" s="51">
        <v>0.89</v>
      </c>
      <c r="Q27" s="51">
        <v>4.8099999999999996</v>
      </c>
    </row>
    <row r="28" spans="1:17">
      <c r="A28" s="50" t="s">
        <v>750</v>
      </c>
      <c r="B28" s="51">
        <v>21.22</v>
      </c>
      <c r="C28" s="51">
        <v>31.24</v>
      </c>
      <c r="D28" s="51">
        <v>34.69</v>
      </c>
      <c r="E28" s="51">
        <v>9.61</v>
      </c>
      <c r="F28" s="51">
        <v>2.94</v>
      </c>
      <c r="G28" s="51">
        <v>99.65</v>
      </c>
      <c r="H28" s="51">
        <v>35.200000000000003</v>
      </c>
      <c r="I28" s="51">
        <v>7.2</v>
      </c>
      <c r="J28" s="51">
        <v>0.37</v>
      </c>
      <c r="K28" s="51">
        <v>59.14</v>
      </c>
      <c r="L28" s="51">
        <v>23.66</v>
      </c>
      <c r="M28" s="51">
        <v>69.03</v>
      </c>
      <c r="N28" s="51">
        <v>0</v>
      </c>
      <c r="O28" s="51">
        <v>0</v>
      </c>
      <c r="P28" s="51">
        <v>0.97</v>
      </c>
      <c r="Q28" s="51">
        <v>4.93</v>
      </c>
    </row>
    <row r="29" spans="1:17">
      <c r="A29" s="50" t="s">
        <v>751</v>
      </c>
      <c r="B29" s="51">
        <v>26.59</v>
      </c>
      <c r="C29" s="51">
        <v>32.049999999999997</v>
      </c>
      <c r="D29" s="51">
        <v>39.42</v>
      </c>
      <c r="E29" s="51">
        <v>9.75</v>
      </c>
      <c r="F29" s="51">
        <v>2.84</v>
      </c>
      <c r="G29" s="51">
        <v>102.15</v>
      </c>
      <c r="H29" s="51">
        <v>41.64</v>
      </c>
      <c r="I29" s="51">
        <v>7.52</v>
      </c>
      <c r="J29" s="51">
        <v>0.47</v>
      </c>
      <c r="K29" s="51">
        <v>54.13</v>
      </c>
      <c r="L29" s="51">
        <v>23.07</v>
      </c>
      <c r="M29" s="51">
        <v>76.06</v>
      </c>
      <c r="N29" s="51">
        <v>0</v>
      </c>
      <c r="O29" s="51">
        <v>0</v>
      </c>
      <c r="P29" s="51">
        <v>1</v>
      </c>
      <c r="Q29" s="51">
        <v>5.0999999999999996</v>
      </c>
    </row>
    <row r="30" spans="1:17">
      <c r="A30" s="50" t="s">
        <v>752</v>
      </c>
      <c r="B30" s="51">
        <v>31.73</v>
      </c>
      <c r="C30" s="51">
        <v>32.590000000000003</v>
      </c>
      <c r="D30" s="51">
        <v>43.79</v>
      </c>
      <c r="E30" s="51">
        <v>9.91</v>
      </c>
      <c r="F30" s="51">
        <v>2.59</v>
      </c>
      <c r="G30" s="51">
        <v>104.83</v>
      </c>
      <c r="H30" s="51">
        <v>37.22</v>
      </c>
      <c r="I30" s="51">
        <v>7.75</v>
      </c>
      <c r="J30" s="51">
        <v>0.34</v>
      </c>
      <c r="K30" s="51">
        <v>63.52</v>
      </c>
      <c r="L30" s="51">
        <v>22.27</v>
      </c>
      <c r="M30" s="51">
        <v>79.209999999999994</v>
      </c>
      <c r="N30" s="51">
        <v>0</v>
      </c>
      <c r="O30" s="51">
        <v>0</v>
      </c>
      <c r="P30" s="51">
        <v>1.01</v>
      </c>
      <c r="Q30" s="51">
        <v>5.26</v>
      </c>
    </row>
    <row r="31" spans="1:17">
      <c r="A31" s="50" t="s">
        <v>753</v>
      </c>
      <c r="B31" s="51">
        <v>34.64</v>
      </c>
      <c r="C31" s="51">
        <v>32.619999999999997</v>
      </c>
      <c r="D31" s="51">
        <v>46.09</v>
      </c>
      <c r="E31" s="51">
        <v>9.81</v>
      </c>
      <c r="F31" s="51">
        <v>2.5099999999999998</v>
      </c>
      <c r="G31" s="51">
        <v>101.31</v>
      </c>
      <c r="H31" s="51">
        <v>37.869999999999997</v>
      </c>
      <c r="I31" s="51">
        <v>7.75</v>
      </c>
      <c r="J31" s="51">
        <v>0.3</v>
      </c>
      <c r="K31" s="51">
        <v>87.8</v>
      </c>
      <c r="L31" s="51">
        <v>22.11</v>
      </c>
      <c r="M31" s="51">
        <v>79.19</v>
      </c>
      <c r="N31" s="51">
        <v>0</v>
      </c>
      <c r="O31" s="51">
        <v>0</v>
      </c>
      <c r="P31" s="51">
        <v>0.99</v>
      </c>
      <c r="Q31" s="51">
        <v>5.37</v>
      </c>
    </row>
    <row r="32" spans="1:17">
      <c r="A32" s="50" t="s">
        <v>754</v>
      </c>
      <c r="B32" s="51">
        <v>35.56</v>
      </c>
      <c r="C32" s="51">
        <v>33.479999999999997</v>
      </c>
      <c r="D32" s="51">
        <v>46.66</v>
      </c>
      <c r="E32" s="51">
        <v>9.17</v>
      </c>
      <c r="F32" s="51">
        <v>2.98</v>
      </c>
      <c r="G32" s="51">
        <v>95.07</v>
      </c>
      <c r="H32" s="51">
        <v>36.119999999999997</v>
      </c>
      <c r="I32" s="51">
        <v>7.63</v>
      </c>
      <c r="J32" s="51">
        <v>0.28999999999999998</v>
      </c>
      <c r="K32" s="51">
        <v>100.28</v>
      </c>
      <c r="L32" s="51">
        <v>21.59</v>
      </c>
      <c r="M32" s="51">
        <v>81.27</v>
      </c>
      <c r="N32" s="51">
        <v>0</v>
      </c>
      <c r="O32" s="51">
        <v>0</v>
      </c>
      <c r="P32" s="51">
        <v>0.94</v>
      </c>
      <c r="Q32" s="51">
        <v>5.35</v>
      </c>
    </row>
    <row r="33" spans="1:2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>
      <c r="A34" s="32" t="s">
        <v>48</v>
      </c>
      <c r="B34" s="40">
        <f t="shared" ref="B34:Q34" si="0">MIN(B9:B32)</f>
        <v>12.55</v>
      </c>
      <c r="C34" s="40">
        <f t="shared" si="0"/>
        <v>24.44</v>
      </c>
      <c r="D34" s="40">
        <f t="shared" si="0"/>
        <v>24.23</v>
      </c>
      <c r="E34" s="40">
        <f t="shared" si="0"/>
        <v>7.65</v>
      </c>
      <c r="F34" s="40">
        <f t="shared" si="0"/>
        <v>2.5099999999999998</v>
      </c>
      <c r="G34" s="40">
        <f t="shared" si="0"/>
        <v>51.48</v>
      </c>
      <c r="H34" s="40">
        <f t="shared" si="0"/>
        <v>20.98</v>
      </c>
      <c r="I34" s="40">
        <f t="shared" si="0"/>
        <v>6.01</v>
      </c>
      <c r="J34" s="40">
        <f t="shared" si="0"/>
        <v>0.15</v>
      </c>
      <c r="K34" s="40">
        <f t="shared" si="0"/>
        <v>36.869999999999997</v>
      </c>
      <c r="L34" s="40">
        <f t="shared" si="0"/>
        <v>17.52</v>
      </c>
      <c r="M34" s="40">
        <f t="shared" si="0"/>
        <v>49.42</v>
      </c>
      <c r="N34" s="40">
        <f t="shared" si="0"/>
        <v>0</v>
      </c>
      <c r="O34" s="40">
        <f t="shared" si="0"/>
        <v>0</v>
      </c>
      <c r="P34" s="40">
        <f t="shared" si="0"/>
        <v>0.66</v>
      </c>
      <c r="Q34" s="40">
        <f t="shared" si="0"/>
        <v>4.63</v>
      </c>
      <c r="R34" s="40"/>
      <c r="S34" s="40"/>
      <c r="T34" s="40"/>
      <c r="U34" s="40"/>
    </row>
    <row r="35" spans="1:21">
      <c r="A35" s="32" t="s">
        <v>49</v>
      </c>
      <c r="B35" s="33">
        <f t="shared" ref="B35:Q35" si="1">MAX(B9:B32)</f>
        <v>46.73</v>
      </c>
      <c r="C35" s="33">
        <f t="shared" si="1"/>
        <v>33.479999999999997</v>
      </c>
      <c r="D35" s="33">
        <f t="shared" si="1"/>
        <v>54.36</v>
      </c>
      <c r="E35" s="33">
        <f t="shared" si="1"/>
        <v>11.51</v>
      </c>
      <c r="F35" s="33">
        <f t="shared" si="1"/>
        <v>6.22</v>
      </c>
      <c r="G35" s="33">
        <f t="shared" si="1"/>
        <v>112.55</v>
      </c>
      <c r="H35" s="33">
        <f t="shared" si="1"/>
        <v>41.64</v>
      </c>
      <c r="I35" s="33">
        <f t="shared" si="1"/>
        <v>11.03</v>
      </c>
      <c r="J35" s="33">
        <f t="shared" si="1"/>
        <v>0.76</v>
      </c>
      <c r="K35" s="33">
        <f t="shared" si="1"/>
        <v>162.69999999999999</v>
      </c>
      <c r="L35" s="33">
        <f t="shared" si="1"/>
        <v>28.06</v>
      </c>
      <c r="M35" s="33">
        <f t="shared" si="1"/>
        <v>103.64</v>
      </c>
      <c r="N35" s="33">
        <f t="shared" si="1"/>
        <v>538.6</v>
      </c>
      <c r="O35" s="33">
        <f t="shared" si="1"/>
        <v>0</v>
      </c>
      <c r="P35" s="33">
        <f t="shared" si="1"/>
        <v>1.27</v>
      </c>
      <c r="Q35" s="33">
        <f t="shared" si="1"/>
        <v>5.7</v>
      </c>
      <c r="R35" s="33"/>
      <c r="S35" s="33"/>
      <c r="T35" s="33"/>
      <c r="U35" s="33"/>
    </row>
    <row r="36" spans="1:21">
      <c r="A36" s="32" t="s">
        <v>50</v>
      </c>
      <c r="B36" s="40">
        <f t="shared" ref="B36:Q36" si="2">AVERAGE(B9:B32)</f>
        <v>29.818333333333339</v>
      </c>
      <c r="C36" s="40">
        <f t="shared" si="2"/>
        <v>28.972916666666666</v>
      </c>
      <c r="D36" s="40">
        <f t="shared" si="2"/>
        <v>40.219166666666659</v>
      </c>
      <c r="E36" s="40">
        <f t="shared" si="2"/>
        <v>9.2537499999999984</v>
      </c>
      <c r="F36" s="40">
        <f t="shared" si="2"/>
        <v>3.2279166666666672</v>
      </c>
      <c r="G36" s="40">
        <f t="shared" si="2"/>
        <v>79.67</v>
      </c>
      <c r="H36" s="40">
        <f t="shared" si="2"/>
        <v>30.979166666666668</v>
      </c>
      <c r="I36" s="40">
        <f t="shared" si="2"/>
        <v>8.0974999999999984</v>
      </c>
      <c r="J36" s="40">
        <f t="shared" si="2"/>
        <v>0.47791666666666671</v>
      </c>
      <c r="K36" s="40">
        <f t="shared" si="2"/>
        <v>63.887916666666676</v>
      </c>
      <c r="L36" s="40">
        <f t="shared" si="2"/>
        <v>22.389166666666668</v>
      </c>
      <c r="M36" s="40">
        <f t="shared" si="2"/>
        <v>80.236250000000013</v>
      </c>
      <c r="N36" s="40">
        <f t="shared" si="2"/>
        <v>121.45</v>
      </c>
      <c r="O36" s="40">
        <f t="shared" si="2"/>
        <v>0</v>
      </c>
      <c r="P36" s="40">
        <f t="shared" si="2"/>
        <v>0.94625000000000004</v>
      </c>
      <c r="Q36" s="40">
        <f t="shared" si="2"/>
        <v>5.1966666666666672</v>
      </c>
      <c r="R36" s="40"/>
      <c r="S36" s="40"/>
      <c r="T36" s="40"/>
      <c r="U36" s="40"/>
    </row>
    <row r="37" spans="1:21">
      <c r="A37" s="32" t="s">
        <v>51</v>
      </c>
      <c r="B37" s="40">
        <f>STDEV(B9:B32)</f>
        <v>10.384419209509993</v>
      </c>
      <c r="C37" s="40">
        <f t="shared" ref="C37:Q37" si="3">STDEV(C9:C32)</f>
        <v>2.9245950729253751</v>
      </c>
      <c r="D37" s="40">
        <f t="shared" si="3"/>
        <v>8.8721027930820675</v>
      </c>
      <c r="E37" s="40">
        <f t="shared" si="3"/>
        <v>0.87316920268740883</v>
      </c>
      <c r="F37" s="40">
        <f t="shared" si="3"/>
        <v>1.1156163403431196</v>
      </c>
      <c r="G37" s="40">
        <f t="shared" si="3"/>
        <v>19.899508405551281</v>
      </c>
      <c r="H37" s="40">
        <f t="shared" si="3"/>
        <v>5.8693484688911965</v>
      </c>
      <c r="I37" s="40">
        <f t="shared" si="3"/>
        <v>1.6637705997810104</v>
      </c>
      <c r="J37" s="40">
        <f t="shared" si="3"/>
        <v>0.15373549183345836</v>
      </c>
      <c r="K37" s="40">
        <f t="shared" si="3"/>
        <v>32.237803892617109</v>
      </c>
      <c r="L37" s="40">
        <f t="shared" si="3"/>
        <v>3.9424952556191615</v>
      </c>
      <c r="M37" s="40">
        <f t="shared" si="3"/>
        <v>19.601819971514086</v>
      </c>
      <c r="N37" s="40">
        <f t="shared" si="3"/>
        <v>190.57658964767717</v>
      </c>
      <c r="O37" s="40">
        <f t="shared" si="3"/>
        <v>0</v>
      </c>
      <c r="P37" s="40">
        <f t="shared" si="3"/>
        <v>0.16268968861795985</v>
      </c>
      <c r="Q37" s="40">
        <f t="shared" si="3"/>
        <v>0.31985957063612219</v>
      </c>
      <c r="R37" s="40"/>
      <c r="S37" s="40"/>
      <c r="T37" s="40"/>
      <c r="U37" s="40"/>
    </row>
    <row r="38" spans="1:2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>
      <c r="A41" s="22"/>
      <c r="B41" s="1"/>
      <c r="C41" s="1"/>
      <c r="D41" s="1"/>
      <c r="E41" s="1"/>
      <c r="F41" s="1"/>
      <c r="G41" s="1"/>
      <c r="H41" s="1"/>
      <c r="I41" s="1"/>
      <c r="J41" s="1"/>
      <c r="K41" s="1"/>
      <c r="L41" s="22"/>
      <c r="M41" s="1"/>
      <c r="N41" s="48"/>
      <c r="O41" s="48"/>
      <c r="P41" s="48"/>
      <c r="Q41" s="48"/>
      <c r="R41" s="48"/>
      <c r="S41" s="48"/>
      <c r="T41" s="48"/>
      <c r="U41" s="48"/>
    </row>
    <row r="42" spans="1:21">
      <c r="A42" s="2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3" t="s">
        <v>55</v>
      </c>
      <c r="B43" s="21" t="s">
        <v>56</v>
      </c>
      <c r="C43" s="4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22"/>
      <c r="B44" s="1"/>
      <c r="C44" s="1"/>
      <c r="D44" s="23"/>
      <c r="E44" s="23"/>
      <c r="F44" s="23"/>
      <c r="G44" s="23"/>
      <c r="H44" s="23"/>
      <c r="I44" s="2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19"/>
  <sheetViews>
    <sheetView topLeftCell="A22" zoomScale="85" zoomScaleNormal="85" workbookViewId="0">
      <selection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30/11/2023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755</v>
      </c>
      <c r="B9" s="51">
        <v>35.56</v>
      </c>
      <c r="C9" s="51">
        <v>27.05</v>
      </c>
      <c r="D9" s="51">
        <v>43.42</v>
      </c>
      <c r="E9" s="51">
        <v>8.9600000000000009</v>
      </c>
      <c r="F9" s="51">
        <v>2.52</v>
      </c>
      <c r="G9" s="51">
        <v>89.55</v>
      </c>
      <c r="H9" s="51">
        <v>33.090000000000003</v>
      </c>
      <c r="I9" s="51">
        <v>7.46</v>
      </c>
      <c r="J9" s="51">
        <v>0.15</v>
      </c>
      <c r="K9" s="51">
        <v>265.93</v>
      </c>
      <c r="L9" s="51">
        <v>20.75</v>
      </c>
      <c r="M9" s="51">
        <v>89.7</v>
      </c>
      <c r="N9" s="51">
        <v>0</v>
      </c>
      <c r="O9" s="51">
        <v>0</v>
      </c>
      <c r="P9" s="51">
        <v>0.85</v>
      </c>
      <c r="Q9" s="51">
        <v>5.31</v>
      </c>
    </row>
    <row r="10" spans="1:21" customFormat="1">
      <c r="A10" s="50" t="s">
        <v>756</v>
      </c>
      <c r="B10" s="51">
        <v>36.17</v>
      </c>
      <c r="C10" s="51">
        <v>26.92</v>
      </c>
      <c r="D10" s="51">
        <v>44.32</v>
      </c>
      <c r="E10" s="51">
        <v>8.9499999999999993</v>
      </c>
      <c r="F10" s="51">
        <v>2.72</v>
      </c>
      <c r="G10" s="51">
        <v>76.88</v>
      </c>
      <c r="H10" s="51">
        <v>30.3</v>
      </c>
      <c r="I10" s="51">
        <v>7.16</v>
      </c>
      <c r="J10" s="51">
        <v>0.13</v>
      </c>
      <c r="K10" s="51">
        <v>155.41</v>
      </c>
      <c r="L10" s="51">
        <v>19.98</v>
      </c>
      <c r="M10" s="51">
        <v>89.22</v>
      </c>
      <c r="N10" s="51">
        <v>0</v>
      </c>
      <c r="O10" s="51">
        <v>0</v>
      </c>
      <c r="P10" s="51">
        <v>0.83</v>
      </c>
      <c r="Q10" s="51">
        <v>5.31</v>
      </c>
    </row>
    <row r="11" spans="1:21" customFormat="1">
      <c r="A11" s="50" t="s">
        <v>757</v>
      </c>
      <c r="B11" s="51">
        <v>36.700000000000003</v>
      </c>
      <c r="C11" s="51">
        <v>26.91</v>
      </c>
      <c r="D11" s="51">
        <v>44.84</v>
      </c>
      <c r="E11" s="51">
        <v>7.33</v>
      </c>
      <c r="F11" s="51">
        <v>2.77</v>
      </c>
      <c r="G11" s="51">
        <v>72.75</v>
      </c>
      <c r="H11" s="51">
        <v>28.31</v>
      </c>
      <c r="I11" s="51">
        <v>6.87</v>
      </c>
      <c r="J11" s="51">
        <v>0.27</v>
      </c>
      <c r="K11" s="51">
        <v>325.7</v>
      </c>
      <c r="L11" s="51">
        <v>20.239999999999998</v>
      </c>
      <c r="M11" s="51">
        <v>88.53</v>
      </c>
      <c r="N11" s="51">
        <v>0</v>
      </c>
      <c r="O11" s="51">
        <v>0</v>
      </c>
      <c r="P11" s="51">
        <v>0.8</v>
      </c>
      <c r="Q11" s="51">
        <v>5.33</v>
      </c>
    </row>
    <row r="12" spans="1:21" customFormat="1">
      <c r="A12" s="50" t="s">
        <v>758</v>
      </c>
      <c r="B12" s="51">
        <v>36.950000000000003</v>
      </c>
      <c r="C12" s="51">
        <v>25.85</v>
      </c>
      <c r="D12" s="51">
        <v>44.06</v>
      </c>
      <c r="E12" s="51">
        <v>6.88</v>
      </c>
      <c r="F12" s="51">
        <v>2.7</v>
      </c>
      <c r="G12" s="51">
        <v>68.14</v>
      </c>
      <c r="H12" s="51">
        <v>26.07</v>
      </c>
      <c r="I12" s="51">
        <v>6.58</v>
      </c>
      <c r="J12" s="51">
        <v>0.22</v>
      </c>
      <c r="K12" s="51">
        <v>347.63</v>
      </c>
      <c r="L12" s="51">
        <v>19.47</v>
      </c>
      <c r="M12" s="51">
        <v>92.73</v>
      </c>
      <c r="N12" s="51">
        <v>0</v>
      </c>
      <c r="O12" s="51">
        <v>0</v>
      </c>
      <c r="P12" s="51">
        <v>0.75</v>
      </c>
      <c r="Q12" s="51">
        <v>5.31</v>
      </c>
    </row>
    <row r="13" spans="1:21" customFormat="1">
      <c r="A13" s="50" t="s">
        <v>759</v>
      </c>
      <c r="B13" s="51">
        <v>38.049999999999997</v>
      </c>
      <c r="C13" s="51">
        <v>26.03</v>
      </c>
      <c r="D13" s="51">
        <v>45.47</v>
      </c>
      <c r="E13" s="51">
        <v>7.12</v>
      </c>
      <c r="F13" s="51">
        <v>2.68</v>
      </c>
      <c r="G13" s="51">
        <v>65.39</v>
      </c>
      <c r="H13" s="51">
        <v>24.63</v>
      </c>
      <c r="I13" s="51">
        <v>6.46</v>
      </c>
      <c r="J13" s="51">
        <v>0.2</v>
      </c>
      <c r="K13" s="51">
        <v>323.55</v>
      </c>
      <c r="L13" s="51">
        <v>19.190000000000001</v>
      </c>
      <c r="M13" s="51">
        <v>94.36</v>
      </c>
      <c r="N13" s="51">
        <v>0</v>
      </c>
      <c r="O13" s="51">
        <v>0</v>
      </c>
      <c r="P13" s="51">
        <v>0.73</v>
      </c>
      <c r="Q13" s="51">
        <v>5.34</v>
      </c>
    </row>
    <row r="14" spans="1:21" customFormat="1">
      <c r="A14" s="50" t="s">
        <v>760</v>
      </c>
      <c r="B14" s="51">
        <v>43.29</v>
      </c>
      <c r="C14" s="51">
        <v>26.95</v>
      </c>
      <c r="D14" s="51">
        <v>50.15</v>
      </c>
      <c r="E14" s="51">
        <v>7.99</v>
      </c>
      <c r="F14" s="51">
        <v>2.59</v>
      </c>
      <c r="G14" s="51">
        <v>60.34</v>
      </c>
      <c r="H14" s="51">
        <v>26.12</v>
      </c>
      <c r="I14" s="51">
        <v>6.7</v>
      </c>
      <c r="J14" s="51">
        <v>0.22</v>
      </c>
      <c r="K14" s="51">
        <v>192.43</v>
      </c>
      <c r="L14" s="51">
        <v>18.739999999999998</v>
      </c>
      <c r="M14" s="51">
        <v>95.59</v>
      </c>
      <c r="N14" s="51">
        <v>0</v>
      </c>
      <c r="O14" s="51">
        <v>0</v>
      </c>
      <c r="P14" s="51">
        <v>0.72</v>
      </c>
      <c r="Q14" s="51">
        <v>5.53</v>
      </c>
    </row>
    <row r="15" spans="1:21" customFormat="1">
      <c r="A15" s="50" t="s">
        <v>761</v>
      </c>
      <c r="B15" s="51">
        <v>45.29</v>
      </c>
      <c r="C15" s="51">
        <v>27.63</v>
      </c>
      <c r="D15" s="51">
        <v>52.11</v>
      </c>
      <c r="E15" s="51">
        <v>8.11</v>
      </c>
      <c r="F15" s="51">
        <v>2.52</v>
      </c>
      <c r="G15" s="51">
        <v>62.66</v>
      </c>
      <c r="H15" s="51">
        <v>24.39</v>
      </c>
      <c r="I15" s="51">
        <v>7.01</v>
      </c>
      <c r="J15" s="51">
        <v>0.47</v>
      </c>
      <c r="K15" s="51">
        <v>309.08999999999997</v>
      </c>
      <c r="L15" s="51">
        <v>18.68</v>
      </c>
      <c r="M15" s="51">
        <v>97.46</v>
      </c>
      <c r="N15" s="51">
        <v>18.3</v>
      </c>
      <c r="O15" s="51">
        <v>0</v>
      </c>
      <c r="P15" s="51">
        <v>0.75</v>
      </c>
      <c r="Q15" s="51">
        <v>5.56</v>
      </c>
    </row>
    <row r="16" spans="1:21" customFormat="1">
      <c r="A16" s="50" t="s">
        <v>762</v>
      </c>
      <c r="B16" s="51">
        <v>45.98</v>
      </c>
      <c r="C16" s="51">
        <v>28.24</v>
      </c>
      <c r="D16" s="51">
        <v>52.81</v>
      </c>
      <c r="E16" s="51">
        <v>8.5500000000000007</v>
      </c>
      <c r="F16" s="51">
        <v>2.62</v>
      </c>
      <c r="G16" s="51">
        <v>63.59</v>
      </c>
      <c r="H16" s="51">
        <v>25.9</v>
      </c>
      <c r="I16" s="51">
        <v>8.19</v>
      </c>
      <c r="J16" s="51">
        <v>0.38</v>
      </c>
      <c r="K16" s="51">
        <v>46.89</v>
      </c>
      <c r="L16" s="51">
        <v>20.55</v>
      </c>
      <c r="M16" s="51">
        <v>94.35</v>
      </c>
      <c r="N16" s="51">
        <v>124.6</v>
      </c>
      <c r="O16" s="51">
        <v>0</v>
      </c>
      <c r="P16" s="51">
        <v>0.87</v>
      </c>
      <c r="Q16" s="51">
        <v>5.61</v>
      </c>
    </row>
    <row r="17" spans="1:17" customFormat="1">
      <c r="A17" s="50" t="s">
        <v>763</v>
      </c>
      <c r="B17" s="51">
        <v>44.89</v>
      </c>
      <c r="C17" s="51">
        <v>30.12</v>
      </c>
      <c r="D17" s="51">
        <v>52.47</v>
      </c>
      <c r="E17" s="51">
        <v>8.66</v>
      </c>
      <c r="F17" s="51">
        <v>2.65</v>
      </c>
      <c r="G17" s="51">
        <v>79.06</v>
      </c>
      <c r="H17" s="51">
        <v>29.06</v>
      </c>
      <c r="I17" s="51">
        <v>8.52</v>
      </c>
      <c r="J17" s="51">
        <v>0.52</v>
      </c>
      <c r="K17" s="51">
        <v>50.98</v>
      </c>
      <c r="L17" s="51">
        <v>23.16</v>
      </c>
      <c r="M17" s="51">
        <v>84.73</v>
      </c>
      <c r="N17" s="51">
        <v>228.1</v>
      </c>
      <c r="O17" s="51">
        <v>0</v>
      </c>
      <c r="P17" s="51">
        <v>0.93</v>
      </c>
      <c r="Q17" s="51">
        <v>5.61</v>
      </c>
    </row>
    <row r="18" spans="1:17" customFormat="1">
      <c r="A18" s="50" t="s">
        <v>764</v>
      </c>
      <c r="B18" s="51">
        <v>40.69</v>
      </c>
      <c r="C18" s="51">
        <v>31.08</v>
      </c>
      <c r="D18" s="51">
        <v>50.22</v>
      </c>
      <c r="E18" s="51">
        <v>8.31</v>
      </c>
      <c r="F18" s="51">
        <v>2.91</v>
      </c>
      <c r="G18" s="51">
        <v>74.88</v>
      </c>
      <c r="H18" s="51">
        <v>29.57</v>
      </c>
      <c r="I18" s="51">
        <v>8.4700000000000006</v>
      </c>
      <c r="J18" s="51">
        <v>0.46</v>
      </c>
      <c r="K18" s="51">
        <v>69.05</v>
      </c>
      <c r="L18" s="51">
        <v>25.83</v>
      </c>
      <c r="M18" s="51">
        <v>71.09</v>
      </c>
      <c r="N18" s="51">
        <v>392.1</v>
      </c>
      <c r="O18" s="51">
        <v>0</v>
      </c>
      <c r="P18" s="51">
        <v>0.93</v>
      </c>
      <c r="Q18" s="51">
        <v>5.47</v>
      </c>
    </row>
    <row r="19" spans="1:17" customFormat="1">
      <c r="A19" s="50" t="s">
        <v>765</v>
      </c>
      <c r="B19" s="51">
        <v>37.53</v>
      </c>
      <c r="C19" s="51">
        <v>26.23</v>
      </c>
      <c r="D19" s="51">
        <v>44.14</v>
      </c>
      <c r="E19" s="51">
        <v>9.4499999999999993</v>
      </c>
      <c r="F19" s="51">
        <v>3.12</v>
      </c>
      <c r="G19" s="51">
        <v>76.569999999999993</v>
      </c>
      <c r="H19" s="51">
        <v>31.07</v>
      </c>
      <c r="I19" s="51">
        <v>8.35</v>
      </c>
      <c r="J19" s="51">
        <v>0.38</v>
      </c>
      <c r="K19" s="51">
        <v>56.88</v>
      </c>
      <c r="L19" s="51">
        <v>27.35</v>
      </c>
      <c r="M19" s="51">
        <v>63.1</v>
      </c>
      <c r="N19" s="51">
        <v>473.8</v>
      </c>
      <c r="O19" s="51">
        <v>0</v>
      </c>
      <c r="P19" s="51">
        <v>0.88</v>
      </c>
      <c r="Q19" s="51">
        <v>5.36</v>
      </c>
    </row>
    <row r="20" spans="1:17" customFormat="1">
      <c r="A20" s="50" t="s">
        <v>766</v>
      </c>
      <c r="B20" s="51">
        <v>30.39</v>
      </c>
      <c r="C20" s="51">
        <v>24.93</v>
      </c>
      <c r="D20" s="51">
        <v>38.65</v>
      </c>
      <c r="E20" s="51">
        <v>10.45</v>
      </c>
      <c r="F20" s="51">
        <v>4.54</v>
      </c>
      <c r="G20" s="51">
        <v>86.49</v>
      </c>
      <c r="H20" s="51">
        <v>32.590000000000003</v>
      </c>
      <c r="I20" s="51">
        <v>8.25</v>
      </c>
      <c r="J20" s="51">
        <v>0.5</v>
      </c>
      <c r="K20" s="51">
        <v>348.36</v>
      </c>
      <c r="L20" s="51">
        <v>28.8</v>
      </c>
      <c r="M20" s="51">
        <v>57.77</v>
      </c>
      <c r="N20" s="51">
        <v>530.4</v>
      </c>
      <c r="O20" s="51">
        <v>0</v>
      </c>
      <c r="P20" s="51">
        <v>0.87</v>
      </c>
      <c r="Q20" s="51">
        <v>5.15</v>
      </c>
    </row>
    <row r="21" spans="1:17" customFormat="1">
      <c r="A21" s="50" t="s">
        <v>767</v>
      </c>
      <c r="B21" s="51">
        <v>23.01</v>
      </c>
      <c r="C21" s="51">
        <v>26.74</v>
      </c>
      <c r="D21" s="51">
        <v>33.700000000000003</v>
      </c>
      <c r="E21" s="51">
        <v>9.25</v>
      </c>
      <c r="F21" s="51">
        <v>4.21</v>
      </c>
      <c r="G21" s="51">
        <v>89.07</v>
      </c>
      <c r="H21" s="51">
        <v>33.04</v>
      </c>
      <c r="I21" s="51">
        <v>8.07</v>
      </c>
      <c r="J21" s="51">
        <v>0.55000000000000004</v>
      </c>
      <c r="K21" s="51">
        <v>323.35000000000002</v>
      </c>
      <c r="L21" s="51">
        <v>30.11</v>
      </c>
      <c r="M21" s="51">
        <v>53.11</v>
      </c>
      <c r="N21" s="51">
        <v>521.6</v>
      </c>
      <c r="O21" s="51">
        <v>0</v>
      </c>
      <c r="P21" s="51">
        <v>0.86</v>
      </c>
      <c r="Q21" s="51">
        <v>4.9400000000000004</v>
      </c>
    </row>
    <row r="22" spans="1:17" customFormat="1">
      <c r="A22" s="50" t="s">
        <v>768</v>
      </c>
      <c r="B22" s="51">
        <v>16.690000000000001</v>
      </c>
      <c r="C22" s="51">
        <v>23.82</v>
      </c>
      <c r="D22" s="51">
        <v>27.18</v>
      </c>
      <c r="E22" s="51">
        <v>9.07</v>
      </c>
      <c r="F22" s="51">
        <v>5.69</v>
      </c>
      <c r="G22" s="51">
        <v>82.49</v>
      </c>
      <c r="H22" s="51">
        <v>30.03</v>
      </c>
      <c r="I22" s="51">
        <v>7.75</v>
      </c>
      <c r="J22" s="51">
        <v>0.33</v>
      </c>
      <c r="K22" s="51">
        <v>191.49</v>
      </c>
      <c r="L22" s="51">
        <v>30.32</v>
      </c>
      <c r="M22" s="51">
        <v>46.27</v>
      </c>
      <c r="N22" s="51">
        <v>475.4</v>
      </c>
      <c r="O22" s="51">
        <v>0</v>
      </c>
      <c r="P22" s="51">
        <v>0.8</v>
      </c>
      <c r="Q22" s="51">
        <v>4.7699999999999996</v>
      </c>
    </row>
    <row r="23" spans="1:17" customFormat="1">
      <c r="A23" s="50" t="s">
        <v>769</v>
      </c>
      <c r="B23" s="51">
        <v>11.82</v>
      </c>
      <c r="C23" s="51">
        <v>25.06</v>
      </c>
      <c r="D23" s="51">
        <v>23.27</v>
      </c>
      <c r="E23" s="51">
        <v>9.36</v>
      </c>
      <c r="F23" s="51">
        <v>6.38</v>
      </c>
      <c r="G23" s="51">
        <v>69.94</v>
      </c>
      <c r="H23" s="51">
        <v>28.53</v>
      </c>
      <c r="I23" s="51">
        <v>7.26</v>
      </c>
      <c r="J23" s="51">
        <v>0.42</v>
      </c>
      <c r="K23" s="51">
        <v>102.25</v>
      </c>
      <c r="L23" s="51">
        <v>30.42</v>
      </c>
      <c r="M23" s="51">
        <v>45.93</v>
      </c>
      <c r="N23" s="51">
        <v>173.1</v>
      </c>
      <c r="O23" s="51">
        <v>0</v>
      </c>
      <c r="P23" s="51">
        <v>0.76</v>
      </c>
      <c r="Q23" s="51">
        <v>4.6100000000000003</v>
      </c>
    </row>
    <row r="24" spans="1:17" customFormat="1">
      <c r="A24" s="50" t="s">
        <v>770</v>
      </c>
      <c r="B24" s="51">
        <v>8.11</v>
      </c>
      <c r="C24" s="51">
        <v>26.36</v>
      </c>
      <c r="D24" s="51">
        <v>21.29</v>
      </c>
      <c r="E24" s="51">
        <v>9.51</v>
      </c>
      <c r="F24" s="51">
        <v>5.45</v>
      </c>
      <c r="G24" s="51">
        <v>62.21</v>
      </c>
      <c r="H24" s="51">
        <v>24</v>
      </c>
      <c r="I24" s="51">
        <v>6.63</v>
      </c>
      <c r="J24" s="51">
        <v>0.36</v>
      </c>
      <c r="K24" s="51">
        <v>134.21</v>
      </c>
      <c r="L24" s="51">
        <v>29.58</v>
      </c>
      <c r="M24" s="51">
        <v>52.43</v>
      </c>
      <c r="N24" s="51">
        <v>83.5</v>
      </c>
      <c r="O24" s="51">
        <v>0</v>
      </c>
      <c r="P24" s="51">
        <v>0.75</v>
      </c>
      <c r="Q24" s="51">
        <v>4.5199999999999996</v>
      </c>
    </row>
    <row r="25" spans="1:17" customFormat="1">
      <c r="A25" s="50" t="s">
        <v>771</v>
      </c>
      <c r="B25" s="51">
        <v>8.65</v>
      </c>
      <c r="C25" s="51">
        <v>27.04</v>
      </c>
      <c r="D25" s="51">
        <v>22.42</v>
      </c>
      <c r="E25" s="51">
        <v>11.44</v>
      </c>
      <c r="F25" s="51">
        <v>3.83</v>
      </c>
      <c r="G25" s="51">
        <v>61.3</v>
      </c>
      <c r="H25" s="51">
        <v>27.92</v>
      </c>
      <c r="I25" s="51">
        <v>6.46</v>
      </c>
      <c r="J25" s="51">
        <v>0.16</v>
      </c>
      <c r="K25" s="51">
        <v>124.86</v>
      </c>
      <c r="L25" s="51">
        <v>28.23</v>
      </c>
      <c r="M25" s="51">
        <v>58.15</v>
      </c>
      <c r="N25" s="51">
        <v>40.200000000000003</v>
      </c>
      <c r="O25" s="51">
        <v>0</v>
      </c>
      <c r="P25" s="51">
        <v>0.81</v>
      </c>
      <c r="Q25" s="51">
        <v>4.54</v>
      </c>
    </row>
    <row r="26" spans="1:17" customFormat="1">
      <c r="A26" s="50" t="s">
        <v>772</v>
      </c>
      <c r="B26" s="51">
        <v>12.04</v>
      </c>
      <c r="C26" s="51">
        <v>29.46</v>
      </c>
      <c r="D26" s="51">
        <v>26.4</v>
      </c>
      <c r="E26" s="51">
        <v>11.12</v>
      </c>
      <c r="F26" s="51">
        <v>2.67</v>
      </c>
      <c r="G26" s="51">
        <v>80.98</v>
      </c>
      <c r="H26" s="51">
        <v>35.86</v>
      </c>
      <c r="I26" s="51">
        <v>9.58</v>
      </c>
      <c r="J26" s="51">
        <v>0.2</v>
      </c>
      <c r="K26" s="51">
        <v>132.25</v>
      </c>
      <c r="L26" s="51">
        <v>26.68</v>
      </c>
      <c r="M26" s="51">
        <v>65.94</v>
      </c>
      <c r="N26" s="51">
        <v>0</v>
      </c>
      <c r="O26" s="51">
        <v>0</v>
      </c>
      <c r="P26" s="51">
        <v>0.9</v>
      </c>
      <c r="Q26" s="51">
        <v>4.66</v>
      </c>
    </row>
    <row r="27" spans="1:17" customFormat="1">
      <c r="A27" s="50" t="s">
        <v>773</v>
      </c>
      <c r="B27" s="51">
        <v>14.54</v>
      </c>
      <c r="C27" s="51">
        <v>32.26</v>
      </c>
      <c r="D27" s="51">
        <v>29.86</v>
      </c>
      <c r="E27" s="51">
        <v>8.16</v>
      </c>
      <c r="F27" s="51">
        <v>2.65</v>
      </c>
      <c r="G27" s="51">
        <v>98.2</v>
      </c>
      <c r="H27" s="51">
        <v>35.119999999999997</v>
      </c>
      <c r="I27" s="51">
        <v>11.03</v>
      </c>
      <c r="J27" s="51">
        <v>0.18</v>
      </c>
      <c r="K27" s="51">
        <v>143.08000000000001</v>
      </c>
      <c r="L27" s="51">
        <v>26.39</v>
      </c>
      <c r="M27" s="51">
        <v>64.489999999999995</v>
      </c>
      <c r="N27" s="51">
        <v>0</v>
      </c>
      <c r="O27" s="51">
        <v>0</v>
      </c>
      <c r="P27" s="51">
        <v>0.95</v>
      </c>
      <c r="Q27" s="51">
        <v>4.74</v>
      </c>
    </row>
    <row r="28" spans="1:17" customFormat="1">
      <c r="A28" s="50" t="s">
        <v>774</v>
      </c>
      <c r="B28" s="51">
        <v>17.28</v>
      </c>
      <c r="C28" s="51">
        <v>30.62</v>
      </c>
      <c r="D28" s="51">
        <v>29.71</v>
      </c>
      <c r="E28" s="51">
        <v>7.54</v>
      </c>
      <c r="F28" s="51">
        <v>2.97</v>
      </c>
      <c r="G28" s="51">
        <v>130.44999999999999</v>
      </c>
      <c r="H28" s="51">
        <v>40.14</v>
      </c>
      <c r="I28" s="51">
        <v>10.83</v>
      </c>
      <c r="J28" s="51">
        <v>0.33</v>
      </c>
      <c r="K28" s="51">
        <v>66.849999999999994</v>
      </c>
      <c r="L28" s="51">
        <v>25.54</v>
      </c>
      <c r="M28" s="51">
        <v>64.97</v>
      </c>
      <c r="N28" s="51">
        <v>0</v>
      </c>
      <c r="O28" s="51">
        <v>0</v>
      </c>
      <c r="P28" s="51">
        <v>0.95</v>
      </c>
      <c r="Q28" s="51">
        <v>4.78</v>
      </c>
    </row>
    <row r="29" spans="1:17" customFormat="1">
      <c r="A29" s="50" t="s">
        <v>775</v>
      </c>
      <c r="B29" s="51">
        <v>18.68</v>
      </c>
      <c r="C29" s="51">
        <v>25.55</v>
      </c>
      <c r="D29" s="51">
        <v>29.31</v>
      </c>
      <c r="E29" s="51">
        <v>6.55</v>
      </c>
      <c r="F29" s="51">
        <v>2.79</v>
      </c>
      <c r="G29" s="51">
        <v>113.45</v>
      </c>
      <c r="H29" s="51">
        <v>39.200000000000003</v>
      </c>
      <c r="I29" s="51">
        <v>10.59</v>
      </c>
      <c r="J29" s="51">
        <v>0.47</v>
      </c>
      <c r="K29" s="51">
        <v>78.56</v>
      </c>
      <c r="L29" s="51">
        <v>24.89</v>
      </c>
      <c r="M29" s="51">
        <v>67.83</v>
      </c>
      <c r="N29" s="51">
        <v>0</v>
      </c>
      <c r="O29" s="51">
        <v>0</v>
      </c>
      <c r="P29" s="51">
        <v>0.94</v>
      </c>
      <c r="Q29" s="51">
        <v>4.7699999999999996</v>
      </c>
    </row>
    <row r="30" spans="1:17" customFormat="1">
      <c r="A30" s="50" t="s">
        <v>776</v>
      </c>
      <c r="B30" s="51">
        <v>19.190000000000001</v>
      </c>
      <c r="C30" s="51">
        <v>24.2</v>
      </c>
      <c r="D30" s="51">
        <v>29.38</v>
      </c>
      <c r="E30" s="51">
        <v>6.34</v>
      </c>
      <c r="F30" s="51">
        <v>2.68</v>
      </c>
      <c r="G30" s="51">
        <v>98.81</v>
      </c>
      <c r="H30" s="51">
        <v>39.5</v>
      </c>
      <c r="I30" s="51">
        <v>10.19</v>
      </c>
      <c r="J30" s="51">
        <v>0.19</v>
      </c>
      <c r="K30" s="51">
        <v>186.67</v>
      </c>
      <c r="L30" s="51">
        <v>24.14</v>
      </c>
      <c r="M30" s="51">
        <v>72.58</v>
      </c>
      <c r="N30" s="51">
        <v>0</v>
      </c>
      <c r="O30" s="51">
        <v>0</v>
      </c>
      <c r="P30" s="51">
        <v>0.93</v>
      </c>
      <c r="Q30" s="51">
        <v>4.79</v>
      </c>
    </row>
    <row r="31" spans="1:17" customFormat="1">
      <c r="A31" s="50" t="s">
        <v>777</v>
      </c>
      <c r="B31" s="51">
        <v>19.38</v>
      </c>
      <c r="C31" s="51">
        <v>24.26</v>
      </c>
      <c r="D31" s="51">
        <v>29.47</v>
      </c>
      <c r="E31" s="51">
        <v>6.28</v>
      </c>
      <c r="F31" s="51">
        <v>2.61</v>
      </c>
      <c r="G31" s="51">
        <v>89.45</v>
      </c>
      <c r="H31" s="51">
        <v>40.520000000000003</v>
      </c>
      <c r="I31" s="51">
        <v>9.8699999999999992</v>
      </c>
      <c r="J31" s="51">
        <v>0.11</v>
      </c>
      <c r="K31" s="51">
        <v>133.61000000000001</v>
      </c>
      <c r="L31" s="51">
        <v>23.18</v>
      </c>
      <c r="M31" s="51">
        <v>76.03</v>
      </c>
      <c r="N31" s="51">
        <v>0</v>
      </c>
      <c r="O31" s="51">
        <v>0</v>
      </c>
      <c r="P31" s="51">
        <v>0.92</v>
      </c>
      <c r="Q31" s="51">
        <v>4.78</v>
      </c>
    </row>
    <row r="32" spans="1:17" customFormat="1">
      <c r="A32" s="50" t="s">
        <v>778</v>
      </c>
      <c r="B32" s="51">
        <v>19.440000000000001</v>
      </c>
      <c r="C32" s="51">
        <v>23.72</v>
      </c>
      <c r="D32" s="51">
        <v>29.28</v>
      </c>
      <c r="E32" s="51">
        <v>6.65</v>
      </c>
      <c r="F32" s="51">
        <v>2.65</v>
      </c>
      <c r="G32" s="51">
        <v>86.12</v>
      </c>
      <c r="H32" s="51">
        <v>37.119999999999997</v>
      </c>
      <c r="I32" s="51">
        <v>9.5</v>
      </c>
      <c r="J32" s="51">
        <v>0.17</v>
      </c>
      <c r="K32" s="51">
        <v>187.79</v>
      </c>
      <c r="L32" s="51">
        <v>22.24</v>
      </c>
      <c r="M32" s="51">
        <v>77.34</v>
      </c>
      <c r="N32" s="51">
        <v>0</v>
      </c>
      <c r="O32" s="51">
        <v>0</v>
      </c>
      <c r="P32" s="51">
        <v>0.9</v>
      </c>
      <c r="Q32" s="51">
        <v>4.8099999999999996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8.11</v>
      </c>
      <c r="C34" s="40">
        <f t="shared" si="0"/>
        <v>23.72</v>
      </c>
      <c r="D34" s="40">
        <f t="shared" si="0"/>
        <v>21.29</v>
      </c>
      <c r="E34" s="40">
        <f t="shared" si="0"/>
        <v>6.28</v>
      </c>
      <c r="F34" s="40">
        <f t="shared" si="0"/>
        <v>2.52</v>
      </c>
      <c r="G34" s="40">
        <f t="shared" si="0"/>
        <v>60.34</v>
      </c>
      <c r="H34" s="40">
        <f t="shared" si="0"/>
        <v>24</v>
      </c>
      <c r="I34" s="40">
        <f t="shared" si="0"/>
        <v>6.46</v>
      </c>
      <c r="J34" s="40">
        <f t="shared" si="0"/>
        <v>0.11</v>
      </c>
      <c r="K34" s="40">
        <f t="shared" si="0"/>
        <v>46.89</v>
      </c>
      <c r="L34" s="40">
        <f t="shared" si="0"/>
        <v>18.68</v>
      </c>
      <c r="M34" s="40">
        <f t="shared" si="0"/>
        <v>45.93</v>
      </c>
      <c r="N34" s="40">
        <f t="shared" si="0"/>
        <v>0</v>
      </c>
      <c r="O34" s="40">
        <f t="shared" si="0"/>
        <v>0</v>
      </c>
      <c r="P34" s="40">
        <f t="shared" si="0"/>
        <v>0.72</v>
      </c>
      <c r="Q34" s="40">
        <f t="shared" si="0"/>
        <v>4.5199999999999996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45.98</v>
      </c>
      <c r="C35" s="33">
        <f t="shared" si="1"/>
        <v>32.26</v>
      </c>
      <c r="D35" s="33">
        <f t="shared" si="1"/>
        <v>52.81</v>
      </c>
      <c r="E35" s="33">
        <f t="shared" si="1"/>
        <v>11.44</v>
      </c>
      <c r="F35" s="33">
        <f t="shared" si="1"/>
        <v>6.38</v>
      </c>
      <c r="G35" s="33">
        <f t="shared" si="1"/>
        <v>130.44999999999999</v>
      </c>
      <c r="H35" s="33">
        <f t="shared" si="1"/>
        <v>40.520000000000003</v>
      </c>
      <c r="I35" s="33">
        <f t="shared" si="1"/>
        <v>11.03</v>
      </c>
      <c r="J35" s="33">
        <f t="shared" si="1"/>
        <v>0.55000000000000004</v>
      </c>
      <c r="K35" s="33">
        <f t="shared" si="1"/>
        <v>348.36</v>
      </c>
      <c r="L35" s="33">
        <f t="shared" si="1"/>
        <v>30.42</v>
      </c>
      <c r="M35" s="33">
        <f t="shared" si="1"/>
        <v>97.46</v>
      </c>
      <c r="N35" s="33">
        <f t="shared" si="1"/>
        <v>530.4</v>
      </c>
      <c r="O35" s="33">
        <f t="shared" si="1"/>
        <v>0</v>
      </c>
      <c r="P35" s="33">
        <f t="shared" si="1"/>
        <v>0.95</v>
      </c>
      <c r="Q35" s="33">
        <f t="shared" si="1"/>
        <v>5.61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27.513333333333332</v>
      </c>
      <c r="C36" s="40">
        <f t="shared" si="2"/>
        <v>26.959583333333338</v>
      </c>
      <c r="D36" s="40">
        <f t="shared" si="2"/>
        <v>37.247083333333329</v>
      </c>
      <c r="E36" s="40">
        <f t="shared" si="2"/>
        <v>8.4179166666666667</v>
      </c>
      <c r="F36" s="40">
        <f t="shared" si="2"/>
        <v>3.2883333333333344</v>
      </c>
      <c r="G36" s="40">
        <f t="shared" si="2"/>
        <v>80.782083333333333</v>
      </c>
      <c r="H36" s="40">
        <f t="shared" si="2"/>
        <v>31.33666666666667</v>
      </c>
      <c r="I36" s="40">
        <f t="shared" si="2"/>
        <v>8.2408333333333346</v>
      </c>
      <c r="J36" s="40">
        <f t="shared" si="2"/>
        <v>0.30708333333333337</v>
      </c>
      <c r="K36" s="40">
        <f t="shared" si="2"/>
        <v>179.03625000000002</v>
      </c>
      <c r="L36" s="40">
        <f t="shared" si="2"/>
        <v>24.352499999999996</v>
      </c>
      <c r="M36" s="40">
        <f t="shared" si="2"/>
        <v>73.487500000000011</v>
      </c>
      <c r="N36" s="40">
        <f t="shared" si="2"/>
        <v>127.54583333333333</v>
      </c>
      <c r="O36" s="40">
        <f t="shared" si="2"/>
        <v>0</v>
      </c>
      <c r="P36" s="40">
        <f t="shared" si="2"/>
        <v>0.84916666666666674</v>
      </c>
      <c r="Q36" s="40">
        <f t="shared" si="2"/>
        <v>5.0666666666666664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12.889790927122416</v>
      </c>
      <c r="C37" s="40">
        <f t="shared" ref="C37:Q37" si="3">STDEV(C9:C32)</f>
        <v>2.329617395656399</v>
      </c>
      <c r="D37" s="40">
        <f t="shared" si="3"/>
        <v>10.633346023003654</v>
      </c>
      <c r="E37" s="40">
        <f t="shared" si="3"/>
        <v>1.434706390707247</v>
      </c>
      <c r="F37" s="40">
        <f t="shared" si="3"/>
        <v>1.1245817257856396</v>
      </c>
      <c r="G37" s="40">
        <f t="shared" si="3"/>
        <v>17.27415107815763</v>
      </c>
      <c r="H37" s="40">
        <f t="shared" si="3"/>
        <v>5.2647801611204637</v>
      </c>
      <c r="I37" s="40">
        <f t="shared" si="3"/>
        <v>1.4810892486001028</v>
      </c>
      <c r="J37" s="40">
        <f t="shared" si="3"/>
        <v>0.13985953097946902</v>
      </c>
      <c r="K37" s="40">
        <f t="shared" si="3"/>
        <v>103.36821935335149</v>
      </c>
      <c r="L37" s="40">
        <f t="shared" si="3"/>
        <v>4.0383641220931148</v>
      </c>
      <c r="M37" s="40">
        <f t="shared" si="3"/>
        <v>16.663952047041072</v>
      </c>
      <c r="N37" s="40">
        <f t="shared" si="3"/>
        <v>194.89526056469336</v>
      </c>
      <c r="O37" s="40">
        <f t="shared" si="3"/>
        <v>0</v>
      </c>
      <c r="P37" s="40">
        <f t="shared" si="3"/>
        <v>7.6721782331081304E-2</v>
      </c>
      <c r="Q37" s="40">
        <f t="shared" si="3"/>
        <v>0.37192410009554588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X54"/>
  <sheetViews>
    <sheetView tabSelected="1"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A39" sqref="A39:XFD39"/>
    </sheetView>
  </sheetViews>
  <sheetFormatPr defaultColWidth="8.85546875" defaultRowHeight="15"/>
  <cols>
    <col min="1" max="1" width="17.42578125" customWidth="1"/>
    <col min="2" max="2" width="14.42578125" customWidth="1"/>
    <col min="3" max="3" width="11.7109375" customWidth="1"/>
    <col min="4" max="4" width="14.42578125" customWidth="1"/>
    <col min="5" max="5" width="10.7109375" customWidth="1"/>
    <col min="7" max="7" width="11.28515625" customWidth="1"/>
    <col min="8" max="8" width="12.42578125" customWidth="1"/>
    <col min="9" max="9" width="13" customWidth="1"/>
    <col min="11" max="11" width="9.7109375" customWidth="1"/>
    <col min="12" max="12" width="11" customWidth="1"/>
    <col min="13" max="13" width="10" customWidth="1"/>
    <col min="17" max="17" width="9.7109375" customWidth="1"/>
    <col min="19" max="19" width="12.140625" customWidth="1"/>
    <col min="20" max="20" width="12.7109375" customWidth="1"/>
  </cols>
  <sheetData>
    <row r="1" spans="1:21" s="1" customFormat="1" ht="27.75" customHeight="1">
      <c r="A1" s="3" t="s">
        <v>0</v>
      </c>
      <c r="B1" s="4" t="s">
        <v>58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01/11/2023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59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14" t="s">
        <v>24</v>
      </c>
      <c r="D7" s="14" t="s">
        <v>25</v>
      </c>
      <c r="E7" s="14" t="s">
        <v>26</v>
      </c>
      <c r="F7" s="14" t="s">
        <v>27</v>
      </c>
      <c r="G7" s="14" t="s">
        <v>28</v>
      </c>
      <c r="H7" s="14" t="s">
        <v>29</v>
      </c>
      <c r="I7" s="14" t="s">
        <v>30</v>
      </c>
      <c r="J7" s="14" t="s">
        <v>31</v>
      </c>
      <c r="K7" s="14" t="s">
        <v>32</v>
      </c>
      <c r="L7" s="14" t="s">
        <v>33</v>
      </c>
      <c r="M7" s="14" t="s">
        <v>34</v>
      </c>
      <c r="N7" s="14" t="s">
        <v>35</v>
      </c>
      <c r="O7" s="14" t="s">
        <v>36</v>
      </c>
      <c r="P7" s="14" t="s">
        <v>37</v>
      </c>
      <c r="Q7" s="1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16" t="str">
        <f>'01'!$B$2</f>
        <v>01/11/2023 01:00</v>
      </c>
      <c r="B9" s="17">
        <f>'01'!B36</f>
        <v>16.208333333333332</v>
      </c>
      <c r="C9" s="17">
        <f>'01'!C36</f>
        <v>24.250833333333333</v>
      </c>
      <c r="D9" s="17">
        <f>'01'!D36</f>
        <v>26.94</v>
      </c>
      <c r="E9" s="17">
        <f>'01'!E36</f>
        <v>6.6754166666666643</v>
      </c>
      <c r="F9" s="17">
        <f>'01'!F36</f>
        <v>3.7654166666666655</v>
      </c>
      <c r="G9" s="17">
        <f>'01'!G36</f>
        <v>73.307916666666657</v>
      </c>
      <c r="H9" s="17">
        <f>'01'!H36</f>
        <v>29.508749999999996</v>
      </c>
      <c r="I9" s="17">
        <f>'01'!I36</f>
        <v>6.4575000000000005</v>
      </c>
      <c r="J9" s="17">
        <f>'01'!J36</f>
        <v>0.29499999999999998</v>
      </c>
      <c r="K9" s="17">
        <f>'01'!K36</f>
        <v>158.17125000000001</v>
      </c>
      <c r="L9" s="17">
        <f>'01'!L36</f>
        <v>24.927499999999998</v>
      </c>
      <c r="M9" s="17">
        <f>'01'!M36</f>
        <v>73.078749999999999</v>
      </c>
      <c r="N9" s="17">
        <f>'01'!N36</f>
        <v>155.97083333333333</v>
      </c>
      <c r="O9" s="17">
        <f>'01'!O36</f>
        <v>0</v>
      </c>
      <c r="P9" s="17">
        <f>'01'!P36</f>
        <v>0.78499999999999981</v>
      </c>
      <c r="Q9" s="17">
        <f>'01'!Q36</f>
        <v>4.9095833333333339</v>
      </c>
      <c r="R9" s="34"/>
      <c r="S9" s="34"/>
      <c r="T9" s="34"/>
      <c r="U9" s="35"/>
    </row>
    <row r="10" spans="1:21" s="2" customFormat="1">
      <c r="A10" s="16" t="str">
        <f>'02'!$B$2</f>
        <v>02/11/2023 01:00</v>
      </c>
      <c r="B10" s="17">
        <f>'02'!B36</f>
        <v>17.842500000000001</v>
      </c>
      <c r="C10" s="17">
        <f>'02'!C36</f>
        <v>25.542916666666667</v>
      </c>
      <c r="D10" s="17">
        <f>'02'!D36</f>
        <v>28.765833333333333</v>
      </c>
      <c r="E10" s="17">
        <f>'02'!E36</f>
        <v>6.9312499999999986</v>
      </c>
      <c r="F10" s="17">
        <f>'02'!F36</f>
        <v>3.8825000000000003</v>
      </c>
      <c r="G10" s="17">
        <f>'02'!G36</f>
        <v>84.34875000000001</v>
      </c>
      <c r="H10" s="17">
        <f>'02'!H36</f>
        <v>30.958749999999995</v>
      </c>
      <c r="I10" s="17">
        <f>'02'!I36</f>
        <v>8.0370833333333334</v>
      </c>
      <c r="J10" s="17">
        <f>'02'!J36</f>
        <v>0.32333333333333342</v>
      </c>
      <c r="K10" s="17">
        <f>'02'!K36</f>
        <v>158.67999999999998</v>
      </c>
      <c r="L10" s="17">
        <f>'02'!L36</f>
        <v>25.762916666666669</v>
      </c>
      <c r="M10" s="17">
        <f>'02'!M36</f>
        <v>78.730416666666684</v>
      </c>
      <c r="N10" s="17">
        <f>'02'!N36</f>
        <v>96.058333333333323</v>
      </c>
      <c r="O10" s="17">
        <f>'02'!O36</f>
        <v>0</v>
      </c>
      <c r="P10" s="17">
        <f>'02'!P36</f>
        <v>0.94833333333333358</v>
      </c>
      <c r="Q10" s="17">
        <f>'02'!Q36</f>
        <v>4.9958333333333327</v>
      </c>
      <c r="R10" s="36"/>
      <c r="S10" s="36"/>
      <c r="T10" s="36"/>
      <c r="U10" s="36"/>
    </row>
    <row r="11" spans="1:21" s="2" customFormat="1">
      <c r="A11" s="16" t="str">
        <f>'03'!$B$2</f>
        <v>03/11/2023 01:00</v>
      </c>
      <c r="B11" s="17">
        <f>'03'!B36</f>
        <v>24.399166666666673</v>
      </c>
      <c r="C11" s="17">
        <f>'03'!C36</f>
        <v>23.675000000000001</v>
      </c>
      <c r="D11" s="17">
        <f>'03'!D36</f>
        <v>33.037500000000001</v>
      </c>
      <c r="E11" s="17">
        <f>'03'!E36</f>
        <v>6.0812499999999998</v>
      </c>
      <c r="F11" s="17">
        <f>'03'!F36</f>
        <v>3.257083333333334</v>
      </c>
      <c r="G11" s="17">
        <f>'03'!G36</f>
        <v>64.882916666666674</v>
      </c>
      <c r="H11" s="17">
        <f>'03'!H36</f>
        <v>23.765416666666663</v>
      </c>
      <c r="I11" s="17">
        <f>'03'!I36</f>
        <v>8.3070833333333347</v>
      </c>
      <c r="J11" s="17">
        <f>'03'!J36</f>
        <v>0.31958333333333333</v>
      </c>
      <c r="K11" s="17">
        <f>'03'!K36</f>
        <v>183.01083333333335</v>
      </c>
      <c r="L11" s="17">
        <f>'03'!L36</f>
        <v>26.349166666666665</v>
      </c>
      <c r="M11" s="17">
        <f>'03'!M36</f>
        <v>86.591250000000002</v>
      </c>
      <c r="N11" s="17">
        <f>'03'!N36</f>
        <v>123.57499999999999</v>
      </c>
      <c r="O11" s="17">
        <f>'03'!O36</f>
        <v>9.1666666666666674E-2</v>
      </c>
      <c r="P11" s="17">
        <f>'03'!P36</f>
        <v>0.88833333333333331</v>
      </c>
      <c r="Q11" s="17">
        <f>'03'!Q36</f>
        <v>5.2562499999999988</v>
      </c>
      <c r="R11" s="36"/>
      <c r="S11" s="36"/>
      <c r="T11" s="36"/>
      <c r="U11" s="36"/>
    </row>
    <row r="12" spans="1:21" s="2" customFormat="1">
      <c r="A12" s="16" t="str">
        <f>'04'!$B$2</f>
        <v>04/11/2023 01:00</v>
      </c>
      <c r="B12" s="17">
        <f>'04'!B36</f>
        <v>21.773750000000003</v>
      </c>
      <c r="C12" s="17">
        <f>'04'!C36</f>
        <v>25.028333333333332</v>
      </c>
      <c r="D12" s="17">
        <f>'04'!D36</f>
        <v>31.642916666666668</v>
      </c>
      <c r="E12" s="17">
        <f>'04'!E36</f>
        <v>7.1512500000000001</v>
      </c>
      <c r="F12" s="17">
        <f>'04'!F36</f>
        <v>4.3825000000000003</v>
      </c>
      <c r="G12" s="17">
        <f>'04'!G36</f>
        <v>60.53125</v>
      </c>
      <c r="H12" s="17">
        <f>'04'!H36</f>
        <v>22.384166666666669</v>
      </c>
      <c r="I12" s="17">
        <f>'04'!I36</f>
        <v>6.4708333333333323</v>
      </c>
      <c r="J12" s="17">
        <f>'04'!J36</f>
        <v>0.28958333333333336</v>
      </c>
      <c r="K12" s="17">
        <f>'04'!K36</f>
        <v>126.09208333333328</v>
      </c>
      <c r="L12" s="17">
        <f>'04'!L36</f>
        <v>25.983749999999997</v>
      </c>
      <c r="M12" s="17">
        <f>'04'!M36</f>
        <v>85.533750000000012</v>
      </c>
      <c r="N12" s="17">
        <f>'04'!N36</f>
        <v>129.8041666666667</v>
      </c>
      <c r="O12" s="17">
        <f>'04'!O36</f>
        <v>0</v>
      </c>
      <c r="P12" s="17">
        <f>'04'!P36</f>
        <v>0.65874999999999984</v>
      </c>
      <c r="Q12" s="17">
        <f>'04'!Q36</f>
        <v>5.1075000000000008</v>
      </c>
      <c r="R12" s="36"/>
      <c r="S12" s="36"/>
      <c r="T12" s="36"/>
      <c r="U12" s="36"/>
    </row>
    <row r="13" spans="1:21" s="2" customFormat="1">
      <c r="A13" s="16" t="str">
        <f>'05'!$B$2</f>
        <v>05/11/2023 01:00</v>
      </c>
      <c r="B13" s="17">
        <f>'05'!B36</f>
        <v>18.564583333333335</v>
      </c>
      <c r="C13" s="17">
        <f>'05'!C36</f>
        <v>24.299583333333334</v>
      </c>
      <c r="D13" s="17">
        <f>'05'!D36</f>
        <v>28.790833333333328</v>
      </c>
      <c r="E13" s="17">
        <f>'05'!E36</f>
        <v>6.7954166666666653</v>
      </c>
      <c r="F13" s="17">
        <f>'05'!F36</f>
        <v>4.0370833333333334</v>
      </c>
      <c r="G13" s="17">
        <f>'05'!G36</f>
        <v>89.449583333333308</v>
      </c>
      <c r="H13" s="17">
        <f>'05'!H36</f>
        <v>35.416249999999998</v>
      </c>
      <c r="I13" s="17">
        <f>'05'!I36</f>
        <v>7.199583333333333</v>
      </c>
      <c r="J13" s="17">
        <f>'05'!J36</f>
        <v>0.43583333333333335</v>
      </c>
      <c r="K13" s="17">
        <f>'05'!K36</f>
        <v>111.73416666666667</v>
      </c>
      <c r="L13" s="17">
        <f>'05'!L36</f>
        <v>24.545833333333334</v>
      </c>
      <c r="M13" s="17">
        <f>'05'!M36</f>
        <v>74.966666666666654</v>
      </c>
      <c r="N13" s="17">
        <f>'05'!N36</f>
        <v>138.58750000000001</v>
      </c>
      <c r="O13" s="17">
        <f>'05'!O36</f>
        <v>0</v>
      </c>
      <c r="P13" s="17">
        <f>'05'!P36</f>
        <v>0.7679166666666668</v>
      </c>
      <c r="Q13" s="17">
        <f>'05'!Q36</f>
        <v>4.9179166666666676</v>
      </c>
      <c r="R13" s="36"/>
      <c r="S13" s="36"/>
      <c r="T13" s="36"/>
      <c r="U13" s="36"/>
    </row>
    <row r="14" spans="1:21" s="2" customFormat="1">
      <c r="A14" s="16" t="str">
        <f>'06'!$B$2</f>
        <v>06/11/2023 01:00</v>
      </c>
      <c r="B14" s="18">
        <f>'06'!B36</f>
        <v>19.966249999999999</v>
      </c>
      <c r="C14" s="18">
        <f>'06'!C36</f>
        <v>25.693749999999998</v>
      </c>
      <c r="D14" s="18">
        <f>'06'!D36</f>
        <v>30.647083333333342</v>
      </c>
      <c r="E14" s="18">
        <f>'06'!E36</f>
        <v>6.5004166666666663</v>
      </c>
      <c r="F14" s="18">
        <f>'06'!F36</f>
        <v>3.4562499999999994</v>
      </c>
      <c r="G14" s="18">
        <f>'06'!G36</f>
        <v>88.720833333333346</v>
      </c>
      <c r="H14" s="18">
        <f>'06'!H36</f>
        <v>32.300000000000004</v>
      </c>
      <c r="I14" s="18">
        <f>'06'!I36</f>
        <v>7.0416666666666679</v>
      </c>
      <c r="J14" s="18">
        <f>'06'!J36</f>
        <v>0.33750000000000008</v>
      </c>
      <c r="K14" s="18">
        <f>'06'!K36</f>
        <v>141.9654166666667</v>
      </c>
      <c r="L14" s="18">
        <f>'06'!L36</f>
        <v>24.225833333333327</v>
      </c>
      <c r="M14" s="18">
        <f>'06'!M36</f>
        <v>68.211666666666673</v>
      </c>
      <c r="N14" s="18">
        <f>'06'!N36</f>
        <v>170.98749999999998</v>
      </c>
      <c r="O14" s="18">
        <f>'06'!O36</f>
        <v>0</v>
      </c>
      <c r="P14" s="18">
        <f>'06'!P36</f>
        <v>0.7683333333333332</v>
      </c>
      <c r="Q14" s="18">
        <f>'06'!Q36</f>
        <v>4.9362500000000002</v>
      </c>
      <c r="R14" s="36"/>
      <c r="S14" s="36"/>
      <c r="T14" s="36"/>
      <c r="U14" s="36"/>
    </row>
    <row r="15" spans="1:21" s="2" customFormat="1">
      <c r="A15" s="16" t="str">
        <f>'07'!$B$2</f>
        <v>07/11/2023 01:00</v>
      </c>
      <c r="B15" s="18">
        <f>'07'!B36</f>
        <v>31.707083333333344</v>
      </c>
      <c r="C15" s="18">
        <f>'07'!C36</f>
        <v>28.360833333333328</v>
      </c>
      <c r="D15" s="18">
        <f>'07'!D36</f>
        <v>41.371666666666663</v>
      </c>
      <c r="E15" s="18">
        <f>'07'!E36</f>
        <v>6.5658333333333339</v>
      </c>
      <c r="F15" s="18">
        <f>'07'!F36</f>
        <v>3.6883333333333339</v>
      </c>
      <c r="G15" s="18">
        <f>'07'!G36</f>
        <v>107.86208333333336</v>
      </c>
      <c r="H15" s="18">
        <f>'07'!H36</f>
        <v>36.898333333333333</v>
      </c>
      <c r="I15" s="18">
        <f>'07'!I36</f>
        <v>8.6949999999999985</v>
      </c>
      <c r="J15" s="18">
        <f>'07'!J36</f>
        <v>0.28374999999999995</v>
      </c>
      <c r="K15" s="18">
        <f>'07'!K36</f>
        <v>182.9929166666667</v>
      </c>
      <c r="L15" s="18">
        <f>'07'!L36</f>
        <v>24.479583333333338</v>
      </c>
      <c r="M15" s="18">
        <f>'07'!M36</f>
        <v>66.919166666666669</v>
      </c>
      <c r="N15" s="18">
        <f>'07'!N36</f>
        <v>170.70416666666665</v>
      </c>
      <c r="O15" s="18">
        <f>'07'!O36</f>
        <v>0</v>
      </c>
      <c r="P15" s="18">
        <f>'07'!P36</f>
        <v>0.94458333333333311</v>
      </c>
      <c r="Q15" s="18">
        <f>'07'!Q36</f>
        <v>5.4175000000000013</v>
      </c>
      <c r="R15" s="36"/>
      <c r="S15" s="36"/>
      <c r="T15" s="36"/>
      <c r="U15" s="36"/>
    </row>
    <row r="16" spans="1:21" s="2" customFormat="1">
      <c r="A16" s="16" t="str">
        <f>'08'!$B$2</f>
        <v>08/11/2023 01:00</v>
      </c>
      <c r="B16" s="18">
        <f>'08'!B36</f>
        <v>21.542500000000004</v>
      </c>
      <c r="C16" s="18">
        <f>'08'!C36</f>
        <v>28.19916666666667</v>
      </c>
      <c r="D16" s="18">
        <f>'08'!D36</f>
        <v>33.133749999999999</v>
      </c>
      <c r="E16" s="18">
        <f>'08'!E36</f>
        <v>7.00875</v>
      </c>
      <c r="F16" s="18">
        <f>'08'!F36</f>
        <v>3.7875000000000001</v>
      </c>
      <c r="G16" s="18">
        <f>'08'!G36</f>
        <v>130.01666666666668</v>
      </c>
      <c r="H16" s="18">
        <f>'08'!H36</f>
        <v>45.142083333333325</v>
      </c>
      <c r="I16" s="18">
        <f>'08'!I36</f>
        <v>10.637916666666667</v>
      </c>
      <c r="J16" s="18">
        <f>'08'!J36</f>
        <v>0.23875000000000005</v>
      </c>
      <c r="K16" s="18">
        <f>'08'!K36</f>
        <v>214.24166666666665</v>
      </c>
      <c r="L16" s="18">
        <f>'08'!L36</f>
        <v>23.879166666666663</v>
      </c>
      <c r="M16" s="18">
        <f>'08'!M36</f>
        <v>69.533333333333317</v>
      </c>
      <c r="N16" s="18">
        <f>'08'!N36</f>
        <v>139.87916666666663</v>
      </c>
      <c r="O16" s="18">
        <f>'08'!O36</f>
        <v>0</v>
      </c>
      <c r="P16" s="18">
        <f>'08'!P36</f>
        <v>1.1379166666666667</v>
      </c>
      <c r="Q16" s="18">
        <f>'08'!Q36</f>
        <v>5.0566666666666666</v>
      </c>
      <c r="R16" s="36"/>
      <c r="S16" s="36"/>
      <c r="T16" s="36"/>
      <c r="U16" s="36"/>
    </row>
    <row r="17" spans="1:24" s="2" customFormat="1">
      <c r="A17" s="16" t="str">
        <f>'09'!$B$2</f>
        <v>09/11/2023 01:00</v>
      </c>
      <c r="B17" s="18">
        <f>'09'!B36</f>
        <v>10.354166666666666</v>
      </c>
      <c r="C17" s="18">
        <f>'09'!C36</f>
        <v>24.744166666666661</v>
      </c>
      <c r="D17" s="18">
        <f>'09'!D36</f>
        <v>22.43708333333333</v>
      </c>
      <c r="E17" s="18">
        <f>'09'!E36</f>
        <v>6.0591666666666661</v>
      </c>
      <c r="F17" s="18">
        <f>'09'!F36</f>
        <v>3.6749999999999994</v>
      </c>
      <c r="G17" s="18">
        <f>'09'!G36</f>
        <v>101.55041666666669</v>
      </c>
      <c r="H17" s="18">
        <f>'09'!H36</f>
        <v>36.081666666666663</v>
      </c>
      <c r="I17" s="18">
        <f>'09'!I36</f>
        <v>8.4449999999999985</v>
      </c>
      <c r="J17" s="18">
        <f>'09'!J36</f>
        <v>0.21291666666666667</v>
      </c>
      <c r="K17" s="18">
        <f>'09'!K36</f>
        <v>203.15791666666667</v>
      </c>
      <c r="L17" s="18">
        <f>'09'!L36</f>
        <v>24.509166666666658</v>
      </c>
      <c r="M17" s="18">
        <f>'09'!M36</f>
        <v>66.673333333333318</v>
      </c>
      <c r="N17" s="18">
        <f>'09'!N36</f>
        <v>157.53749999999997</v>
      </c>
      <c r="O17" s="18">
        <f>'09'!O36</f>
        <v>0</v>
      </c>
      <c r="P17" s="18">
        <f>'09'!P36</f>
        <v>0.91874999999999984</v>
      </c>
      <c r="Q17" s="18">
        <f>'09'!Q36</f>
        <v>4.5695833333333331</v>
      </c>
      <c r="R17" s="36"/>
      <c r="S17" s="36"/>
      <c r="T17" s="36"/>
      <c r="U17" s="36"/>
      <c r="V17" s="37"/>
      <c r="W17" s="37"/>
      <c r="X17" s="37"/>
    </row>
    <row r="18" spans="1:24" s="2" customFormat="1">
      <c r="A18" s="16" t="str">
        <f>'10'!$B$2</f>
        <v>10/11/2023 01:00</v>
      </c>
      <c r="B18" s="18">
        <f>'10'!B36</f>
        <v>11.3575</v>
      </c>
      <c r="C18" s="18">
        <f>'10'!C36</f>
        <v>24.602083333333336</v>
      </c>
      <c r="D18" s="18">
        <f>'10'!D36</f>
        <v>23.103749999999994</v>
      </c>
      <c r="E18" s="18">
        <f>'10'!E36</f>
        <v>6.5841666666666674</v>
      </c>
      <c r="F18" s="18">
        <f>'10'!F36</f>
        <v>5.9420833333333327</v>
      </c>
      <c r="G18" s="18">
        <f>'10'!G36</f>
        <v>83.442608695652154</v>
      </c>
      <c r="H18" s="18">
        <f>'10'!H36</f>
        <v>30.919130434782609</v>
      </c>
      <c r="I18" s="18">
        <f>'10'!I36</f>
        <v>7.180833333333335</v>
      </c>
      <c r="J18" s="18">
        <f>'10'!J36</f>
        <v>0.21958333333333338</v>
      </c>
      <c r="K18" s="18">
        <f>'10'!K36</f>
        <v>201.31666666666669</v>
      </c>
      <c r="L18" s="18">
        <f>'10'!L36</f>
        <v>24.96833333333333</v>
      </c>
      <c r="M18" s="18">
        <f>'10'!M36</f>
        <v>68.870416666666685</v>
      </c>
      <c r="N18" s="18">
        <f>'10'!N36</f>
        <v>154.89166666666668</v>
      </c>
      <c r="O18" s="18">
        <f>'10'!O36</f>
        <v>0</v>
      </c>
      <c r="P18" s="18">
        <f>'10'!P36</f>
        <v>0.85375000000000012</v>
      </c>
      <c r="Q18" s="18">
        <f>'10'!Q36</f>
        <v>4.5687500000000005</v>
      </c>
      <c r="R18" s="36"/>
      <c r="S18" s="36"/>
      <c r="T18" s="36"/>
      <c r="U18" s="36"/>
    </row>
    <row r="19" spans="1:24" s="2" customFormat="1">
      <c r="A19" s="16" t="str">
        <f>'11'!$B$2</f>
        <v>11/11/2023 01:00</v>
      </c>
      <c r="B19" s="18">
        <f>'11'!B36</f>
        <v>10.687083333333335</v>
      </c>
      <c r="C19" s="18">
        <f>'11'!C36</f>
        <v>24.71083333333333</v>
      </c>
      <c r="D19" s="18">
        <f>'11'!D36</f>
        <v>22.630416666666672</v>
      </c>
      <c r="E19" s="18">
        <f>'11'!E36</f>
        <v>8.8216666666666637</v>
      </c>
      <c r="F19" s="18">
        <f>'11'!F36</f>
        <v>5.7887500000000003</v>
      </c>
      <c r="G19" s="18">
        <f>'11'!G36</f>
        <v>108.74333333333334</v>
      </c>
      <c r="H19" s="18">
        <f>'11'!H36</f>
        <v>47.915416666666665</v>
      </c>
      <c r="I19" s="18">
        <f>'11'!I36</f>
        <v>9.7475000000000005</v>
      </c>
      <c r="J19" s="18">
        <f>'11'!J36</f>
        <v>0.2091666666666667</v>
      </c>
      <c r="K19" s="18">
        <f>'11'!K36</f>
        <v>222.11333333333326</v>
      </c>
      <c r="L19" s="18">
        <f>'11'!L36</f>
        <v>25.320416666666663</v>
      </c>
      <c r="M19" s="18">
        <f>'11'!M36</f>
        <v>72.809583333333336</v>
      </c>
      <c r="N19" s="18">
        <f>'11'!N36</f>
        <v>124.59166666666665</v>
      </c>
      <c r="O19" s="18">
        <f>'11'!O36</f>
        <v>0</v>
      </c>
      <c r="P19" s="18">
        <f>'11'!P36</f>
        <v>1.0591666666666664</v>
      </c>
      <c r="Q19" s="18">
        <f>'11'!Q36</f>
        <v>4.5195833333333333</v>
      </c>
      <c r="R19" s="36"/>
      <c r="S19" s="36"/>
      <c r="T19" s="36"/>
      <c r="U19" s="36"/>
    </row>
    <row r="20" spans="1:24" s="2" customFormat="1">
      <c r="A20" s="16" t="str">
        <f>'12'!$B$2</f>
        <v>12/11/2023 01:00</v>
      </c>
      <c r="B20" s="18">
        <f>'12'!B36</f>
        <v>9.9054166666666656</v>
      </c>
      <c r="C20" s="18">
        <f>'12'!C36</f>
        <v>24.355</v>
      </c>
      <c r="D20" s="18">
        <f>'12'!D36</f>
        <v>21.915416666666669</v>
      </c>
      <c r="E20" s="18">
        <f>'12'!E36</f>
        <v>7.3770833333333323</v>
      </c>
      <c r="F20" s="18">
        <f>'12'!F36</f>
        <v>4.0062500000000005</v>
      </c>
      <c r="G20" s="18">
        <f>'12'!G36</f>
        <v>110.00750000000001</v>
      </c>
      <c r="H20" s="18">
        <f>'12'!H36</f>
        <v>45.666086956521745</v>
      </c>
      <c r="I20" s="18">
        <f>'12'!I36</f>
        <v>9.3024999999999984</v>
      </c>
      <c r="J20" s="18">
        <f>'12'!J36</f>
        <v>0.29041666666666671</v>
      </c>
      <c r="K20" s="18">
        <f>'12'!K36</f>
        <v>196.11708333333334</v>
      </c>
      <c r="L20" s="18">
        <f>'12'!L36</f>
        <v>25.197500000000005</v>
      </c>
      <c r="M20" s="18">
        <f>'12'!M36</f>
        <v>69.55916666666667</v>
      </c>
      <c r="N20" s="18">
        <f>'12'!N36</f>
        <v>133.07916666666668</v>
      </c>
      <c r="O20" s="18">
        <f>'12'!O36</f>
        <v>0</v>
      </c>
      <c r="P20" s="18">
        <f>'12'!P36</f>
        <v>1.07</v>
      </c>
      <c r="Q20" s="18">
        <f>'12'!Q36</f>
        <v>4.4916666666666663</v>
      </c>
      <c r="R20" s="36"/>
      <c r="S20" s="36"/>
      <c r="T20" s="36"/>
      <c r="U20" s="36"/>
    </row>
    <row r="21" spans="1:24" s="2" customFormat="1">
      <c r="A21" s="16" t="str">
        <f>'13'!$B$2</f>
        <v>13/11/2023 01:00</v>
      </c>
      <c r="B21" s="18">
        <f>'13'!B36</f>
        <v>15.407916666666665</v>
      </c>
      <c r="C21" s="18">
        <f>'13'!C36</f>
        <v>25.839583333333326</v>
      </c>
      <c r="D21" s="18">
        <f>'13'!D36</f>
        <v>27.032916666666665</v>
      </c>
      <c r="E21" s="18">
        <f>'13'!E36</f>
        <v>7.1612499999999999</v>
      </c>
      <c r="F21" s="18">
        <f>'13'!F36</f>
        <v>3.6958333333333329</v>
      </c>
      <c r="G21" s="18">
        <f>'13'!G36</f>
        <v>118.0809523809524</v>
      </c>
      <c r="H21" s="18">
        <f>'13'!H36</f>
        <v>60.695238095238089</v>
      </c>
      <c r="I21" s="18">
        <f>'13'!I36</f>
        <v>8.2341666666666686</v>
      </c>
      <c r="J21" s="18">
        <f>'13'!J36</f>
        <v>0.29416666666666669</v>
      </c>
      <c r="K21" s="18">
        <f>'13'!K36</f>
        <v>190.82041666666666</v>
      </c>
      <c r="L21" s="18">
        <f>'13'!L36</f>
        <v>24.423333333333328</v>
      </c>
      <c r="M21" s="18">
        <f>'13'!M36</f>
        <v>71.13666666666667</v>
      </c>
      <c r="N21" s="18">
        <f>'13'!N36</f>
        <v>124.97916666666667</v>
      </c>
      <c r="O21" s="18">
        <f>'13'!O36</f>
        <v>0</v>
      </c>
      <c r="P21" s="18">
        <f>'13'!P36</f>
        <v>0.99375000000000002</v>
      </c>
      <c r="Q21" s="18">
        <f>'13'!Q36</f>
        <v>4.6916666666666673</v>
      </c>
      <c r="R21" s="36"/>
      <c r="S21" s="36"/>
      <c r="T21" s="36"/>
      <c r="U21" s="36"/>
    </row>
    <row r="22" spans="1:24" s="2" customFormat="1">
      <c r="A22" s="16" t="str">
        <f>'14'!$B$2</f>
        <v>14/11/2023 01:00</v>
      </c>
      <c r="B22" s="18">
        <f>'14'!B36</f>
        <v>8.7287499999999998</v>
      </c>
      <c r="C22" s="18">
        <f>'14'!C36</f>
        <v>24.322916666666671</v>
      </c>
      <c r="D22" s="18">
        <f>'14'!D36</f>
        <v>20.94125</v>
      </c>
      <c r="E22" s="18">
        <f>'14'!E36</f>
        <v>6.6533333333333351</v>
      </c>
      <c r="F22" s="18">
        <f>'14'!F36</f>
        <v>4.2975000000000003</v>
      </c>
      <c r="G22" s="18">
        <f>'14'!G36</f>
        <v>95.297083333333333</v>
      </c>
      <c r="H22" s="18">
        <f>'14'!H36</f>
        <v>48.426666666666669</v>
      </c>
      <c r="I22" s="18">
        <f>'14'!I36</f>
        <v>6.689166666666666</v>
      </c>
      <c r="J22" s="18">
        <f>'14'!J36</f>
        <v>0.33166666666666667</v>
      </c>
      <c r="K22" s="18">
        <f>'14'!K36</f>
        <v>140.37416666666667</v>
      </c>
      <c r="L22" s="18">
        <f>'14'!L36</f>
        <v>24.201666666666672</v>
      </c>
      <c r="M22" s="18">
        <f>'14'!M36</f>
        <v>71.544583333333364</v>
      </c>
      <c r="N22" s="18">
        <f>'14'!N36</f>
        <v>124.45416666666665</v>
      </c>
      <c r="O22" s="18">
        <f>'14'!O36</f>
        <v>0</v>
      </c>
      <c r="P22" s="18">
        <f>'14'!P36</f>
        <v>0.90125000000000011</v>
      </c>
      <c r="Q22" s="18">
        <f>'14'!Q36</f>
        <v>4.3804166666666662</v>
      </c>
      <c r="R22" s="38"/>
      <c r="S22" s="38"/>
      <c r="T22" s="38"/>
      <c r="U22" s="38"/>
    </row>
    <row r="23" spans="1:24" s="2" customFormat="1">
      <c r="A23" s="16" t="str">
        <f>'15'!$B$2</f>
        <v>15/11/2023 01:00</v>
      </c>
      <c r="B23" s="19">
        <f>'15'!B36</f>
        <v>7.9854166666666666</v>
      </c>
      <c r="C23" s="19">
        <f>'15'!C36</f>
        <v>22.801666666666662</v>
      </c>
      <c r="D23" s="19">
        <f>'15'!D36</f>
        <v>19.597916666666666</v>
      </c>
      <c r="E23" s="19">
        <f>'15'!E36</f>
        <v>6.7712500000000011</v>
      </c>
      <c r="F23" s="19">
        <f>'15'!F36</f>
        <v>4.4195833333333336</v>
      </c>
      <c r="G23" s="19">
        <f>'15'!G36</f>
        <v>82.745833333333337</v>
      </c>
      <c r="H23" s="19">
        <f>'15'!H36</f>
        <v>43.783749999999998</v>
      </c>
      <c r="I23" s="19">
        <f>'15'!I36</f>
        <v>6.0791666666666684</v>
      </c>
      <c r="J23" s="19">
        <f>'15'!J36</f>
        <v>0.39374999999999988</v>
      </c>
      <c r="K23" s="19">
        <f>'15'!K36</f>
        <v>132.76999999999995</v>
      </c>
      <c r="L23" s="19">
        <f>'15'!L36</f>
        <v>23.375</v>
      </c>
      <c r="M23" s="19">
        <f>'15'!M36</f>
        <v>73.987083333333331</v>
      </c>
      <c r="N23" s="19">
        <f>'15'!N36</f>
        <v>117.69166666666665</v>
      </c>
      <c r="O23" s="19">
        <f>'15'!O36</f>
        <v>0</v>
      </c>
      <c r="P23" s="19">
        <f>'15'!P36</f>
        <v>0.86249999999999993</v>
      </c>
      <c r="Q23" s="19">
        <f>'15'!Q36</f>
        <v>4.3450000000000006</v>
      </c>
      <c r="R23" s="38"/>
      <c r="S23" s="38"/>
      <c r="T23" s="38"/>
      <c r="U23" s="36"/>
    </row>
    <row r="24" spans="1:24" s="2" customFormat="1">
      <c r="A24" s="16" t="str">
        <f>'16'!$B$2</f>
        <v>16/11/2023 01:00</v>
      </c>
      <c r="B24" s="18">
        <f>'16'!B36</f>
        <v>7.0479166666666666</v>
      </c>
      <c r="C24" s="18">
        <f>'16'!C36</f>
        <v>24.626666666666669</v>
      </c>
      <c r="D24" s="18">
        <f>'16'!D36</f>
        <v>19.739583333333329</v>
      </c>
      <c r="E24" s="18">
        <f>'16'!E36</f>
        <v>6.0570833333333338</v>
      </c>
      <c r="F24" s="18">
        <f>'16'!F36</f>
        <v>6.826249999999999</v>
      </c>
      <c r="G24" s="18">
        <f>'16'!G36</f>
        <v>63.801739130434768</v>
      </c>
      <c r="H24" s="18">
        <f>'16'!H36</f>
        <v>27.373913043478261</v>
      </c>
      <c r="I24" s="18">
        <f>'16'!I36</f>
        <v>25.615833333333338</v>
      </c>
      <c r="J24" s="18">
        <f>'16'!J36</f>
        <v>0.48208333333333336</v>
      </c>
      <c r="K24" s="18">
        <f>'16'!K36</f>
        <v>107.28875000000001</v>
      </c>
      <c r="L24" s="18">
        <f>'16'!L36</f>
        <v>23.196250000000003</v>
      </c>
      <c r="M24" s="18">
        <f>'16'!M36</f>
        <v>65.773750000000007</v>
      </c>
      <c r="N24" s="18">
        <f>'16'!N36</f>
        <v>146.32083333333335</v>
      </c>
      <c r="O24" s="18">
        <f>'16'!O36</f>
        <v>0</v>
      </c>
      <c r="P24" s="18">
        <f>'16'!P36</f>
        <v>0.76624999999999999</v>
      </c>
      <c r="Q24" s="18">
        <f>'16'!Q36</f>
        <v>4.3112500000000002</v>
      </c>
      <c r="R24" s="38"/>
      <c r="S24" s="38"/>
      <c r="T24" s="38"/>
      <c r="U24" s="36"/>
    </row>
    <row r="25" spans="1:24" s="2" customFormat="1">
      <c r="A25" s="16" t="str">
        <f>'17'!$B$2</f>
        <v>17/11/2023 01:00</v>
      </c>
      <c r="B25" s="18">
        <f>'17'!B36</f>
        <v>9.6366666666666667</v>
      </c>
      <c r="C25" s="18">
        <f>'17'!C36</f>
        <v>23.724583333333332</v>
      </c>
      <c r="D25" s="18">
        <f>'17'!D36</f>
        <v>21.331666666666663</v>
      </c>
      <c r="E25" s="18">
        <f>'17'!E36</f>
        <v>5.3983333333333334</v>
      </c>
      <c r="F25" s="18">
        <f>'17'!F36</f>
        <v>3.9129166666666673</v>
      </c>
      <c r="G25" s="18">
        <f>'17'!G36</f>
        <v>63.203333333333354</v>
      </c>
      <c r="H25" s="18">
        <f>'17'!H36</f>
        <v>27.344583333333329</v>
      </c>
      <c r="I25" s="18">
        <f>'17'!I36</f>
        <v>8.8245833333333312</v>
      </c>
      <c r="J25" s="18">
        <f>'17'!J36</f>
        <v>0.35000000000000003</v>
      </c>
      <c r="K25" s="18">
        <f>'17'!K36</f>
        <v>116.18916666666667</v>
      </c>
      <c r="L25" s="18">
        <f>'17'!L36</f>
        <v>23.542083333333338</v>
      </c>
      <c r="M25" s="18">
        <f>'17'!M36</f>
        <v>68.417083333333338</v>
      </c>
      <c r="N25" s="18">
        <f>'17'!N36</f>
        <v>147.51666666666668</v>
      </c>
      <c r="O25" s="18">
        <f>'17'!O36</f>
        <v>0</v>
      </c>
      <c r="P25" s="18">
        <f>'17'!P36</f>
        <v>0.73416666666666652</v>
      </c>
      <c r="Q25" s="18">
        <f>'17'!Q36</f>
        <v>4.3899999999999979</v>
      </c>
      <c r="R25" s="38"/>
      <c r="S25" s="38"/>
      <c r="T25" s="38"/>
      <c r="U25" s="36"/>
    </row>
    <row r="26" spans="1:24" s="2" customFormat="1">
      <c r="A26" s="16" t="str">
        <f>'18'!$B$2</f>
        <v>18/11/2023 01:00</v>
      </c>
      <c r="B26" s="18">
        <f>'18'!B36</f>
        <v>12.051666666666668</v>
      </c>
      <c r="C26" s="18">
        <f>'18'!C36</f>
        <v>25.797499999999999</v>
      </c>
      <c r="D26" s="18">
        <f>'18'!D36</f>
        <v>24.3</v>
      </c>
      <c r="E26" s="18">
        <f>'18'!E36</f>
        <v>7.0650000000000004</v>
      </c>
      <c r="F26" s="18">
        <f>'18'!F36</f>
        <v>5.0362500000000008</v>
      </c>
      <c r="G26" s="18">
        <f>'18'!G36</f>
        <v>71.551249999999996</v>
      </c>
      <c r="H26" s="18">
        <f>'18'!H36</f>
        <v>27.941666666666663</v>
      </c>
      <c r="I26" s="18">
        <f>'18'!I36</f>
        <v>13.228333333333332</v>
      </c>
      <c r="J26" s="18">
        <f>'18'!J36</f>
        <v>0.26583333333333331</v>
      </c>
      <c r="K26" s="18">
        <f>'18'!K36</f>
        <v>196.57125000000005</v>
      </c>
      <c r="L26" s="18">
        <f>'18'!L36</f>
        <v>24.042083333333338</v>
      </c>
      <c r="M26" s="18">
        <f>'18'!M36</f>
        <v>74.43416666666667</v>
      </c>
      <c r="N26" s="18">
        <f>'18'!N36</f>
        <v>147.70833333333334</v>
      </c>
      <c r="O26" s="18">
        <f>'18'!O36</f>
        <v>0</v>
      </c>
      <c r="P26" s="18">
        <f>'18'!P36</f>
        <v>0.76791666666666669</v>
      </c>
      <c r="Q26" s="18">
        <f>'18'!Q36</f>
        <v>4.5579166666666673</v>
      </c>
      <c r="R26" s="38"/>
      <c r="S26" s="38"/>
      <c r="T26" s="38"/>
      <c r="U26" s="36"/>
    </row>
    <row r="27" spans="1:24" s="2" customFormat="1">
      <c r="A27" s="16" t="str">
        <f>'19'!$B$2</f>
        <v>19/11/2023 01:00</v>
      </c>
      <c r="B27" s="18">
        <f>'19'!B36</f>
        <v>9.3062499999999986</v>
      </c>
      <c r="C27" s="18">
        <f>'19'!C36</f>
        <v>23.351249999999997</v>
      </c>
      <c r="D27" s="18">
        <f>'19'!D36</f>
        <v>20.847499999999997</v>
      </c>
      <c r="E27" s="18">
        <f>'19'!E36</f>
        <v>7.2466666666666661</v>
      </c>
      <c r="F27" s="18">
        <f>'19'!F36</f>
        <v>3.851666666666667</v>
      </c>
      <c r="G27" s="18">
        <f>'19'!G36</f>
        <v>75.793333333333322</v>
      </c>
      <c r="H27" s="18">
        <f>'19'!H36</f>
        <v>29.444583333333338</v>
      </c>
      <c r="I27" s="18">
        <f>'19'!I36</f>
        <v>7.1158333333333337</v>
      </c>
      <c r="J27" s="18">
        <f>'19'!J36</f>
        <v>0.35749999999999998</v>
      </c>
      <c r="K27" s="18">
        <f>'19'!K36</f>
        <v>141.43499999999997</v>
      </c>
      <c r="L27" s="18">
        <f>'19'!L36</f>
        <v>24.753749999999997</v>
      </c>
      <c r="M27" s="18">
        <f>'19'!M36</f>
        <v>72.166666666666671</v>
      </c>
      <c r="N27" s="18">
        <f>'19'!N36</f>
        <v>135.72083333333333</v>
      </c>
      <c r="O27" s="18">
        <f>'19'!O36</f>
        <v>0</v>
      </c>
      <c r="P27" s="18">
        <f>'19'!P36</f>
        <v>0.70625000000000016</v>
      </c>
      <c r="Q27" s="18">
        <f>'19'!Q36</f>
        <v>4.4129166666666668</v>
      </c>
      <c r="R27" s="38"/>
      <c r="S27" s="38"/>
      <c r="T27" s="38"/>
      <c r="U27" s="36"/>
    </row>
    <row r="28" spans="1:24" s="2" customFormat="1">
      <c r="A28" s="16" t="str">
        <f>'20'!$B$2</f>
        <v>20/11/2023 01:00</v>
      </c>
      <c r="B28" s="18">
        <f>'20'!B36</f>
        <v>8.6291666666666664</v>
      </c>
      <c r="C28" s="18">
        <f>'20'!C36</f>
        <v>22.033333333333331</v>
      </c>
      <c r="D28" s="18">
        <f>'20'!D36</f>
        <v>19.535833333333329</v>
      </c>
      <c r="E28" s="18">
        <f>'20'!E36</f>
        <v>9.0520833333333321</v>
      </c>
      <c r="F28" s="18">
        <f>'20'!F36</f>
        <v>6.7758333333333338</v>
      </c>
      <c r="G28" s="18">
        <f>'20'!G36</f>
        <v>56.85916666666666</v>
      </c>
      <c r="H28" s="18">
        <f>'20'!H36</f>
        <v>21.70333333333333</v>
      </c>
      <c r="I28" s="18">
        <f>'20'!I36</f>
        <v>4.7949999999999999</v>
      </c>
      <c r="J28" s="18">
        <f>'20'!J36</f>
        <v>0.29041666666666666</v>
      </c>
      <c r="K28" s="18">
        <f>'20'!K36</f>
        <v>151.3758333333333</v>
      </c>
      <c r="L28" s="18">
        <f>'20'!L36</f>
        <v>24.349166666666665</v>
      </c>
      <c r="M28" s="18">
        <f>'20'!M36</f>
        <v>72.020833333333329</v>
      </c>
      <c r="N28" s="18">
        <f>'20'!N36</f>
        <v>139.39583333333334</v>
      </c>
      <c r="O28" s="18">
        <f>'20'!O36</f>
        <v>0</v>
      </c>
      <c r="P28" s="18">
        <f>'20'!P36</f>
        <v>0.5299999999999998</v>
      </c>
      <c r="Q28" s="18">
        <f>'20'!Q36</f>
        <v>4.3695833333333329</v>
      </c>
      <c r="R28" s="38"/>
      <c r="S28" s="38"/>
      <c r="T28" s="38"/>
      <c r="U28" s="36"/>
    </row>
    <row r="29" spans="1:24" s="2" customFormat="1">
      <c r="A29" s="16" t="str">
        <f>'21'!$B$2</f>
        <v>21/11/2023 01:00</v>
      </c>
      <c r="B29" s="18">
        <f>'21'!B36</f>
        <v>10.72625</v>
      </c>
      <c r="C29" s="18">
        <f>'21'!C36</f>
        <v>25.420833333333338</v>
      </c>
      <c r="D29" s="18">
        <f>'21'!D36</f>
        <v>23.111250000000002</v>
      </c>
      <c r="E29" s="18">
        <f>'21'!E36</f>
        <v>8.7712499999999984</v>
      </c>
      <c r="F29" s="18">
        <f>'21'!F36</f>
        <v>3.7004166666666678</v>
      </c>
      <c r="G29" s="18">
        <f>'21'!G36</f>
        <v>75.490000000000009</v>
      </c>
      <c r="H29" s="18">
        <f>'21'!H36</f>
        <v>25.173750000000002</v>
      </c>
      <c r="I29" s="18">
        <f>'21'!I36</f>
        <v>5.7954166666666671</v>
      </c>
      <c r="J29" s="18">
        <f>'21'!J36</f>
        <v>0.315</v>
      </c>
      <c r="K29" s="18">
        <f>'21'!K36</f>
        <v>165.76500000000001</v>
      </c>
      <c r="L29" s="18">
        <f>'21'!L36</f>
        <v>23.89916666666667</v>
      </c>
      <c r="M29" s="18">
        <f>'21'!M36</f>
        <v>71.80749999999999</v>
      </c>
      <c r="N29" s="18">
        <f>'21'!N36</f>
        <v>141.14166666666668</v>
      </c>
      <c r="O29" s="18">
        <f>'21'!O36</f>
        <v>0</v>
      </c>
      <c r="P29" s="18">
        <f>'21'!P36</f>
        <v>0.70958333333333357</v>
      </c>
      <c r="Q29" s="18">
        <f>'21'!Q36</f>
        <v>4.440833333333333</v>
      </c>
      <c r="R29" s="38"/>
      <c r="S29" s="38"/>
      <c r="T29" s="38"/>
      <c r="U29" s="36"/>
    </row>
    <row r="30" spans="1:24" s="2" customFormat="1">
      <c r="A30" s="16" t="str">
        <f>'22'!$B$2</f>
        <v>22/11/2023 01:00</v>
      </c>
      <c r="B30" s="18">
        <f>'22'!B36</f>
        <v>18.479166666666675</v>
      </c>
      <c r="C30" s="18">
        <f>'22'!C36</f>
        <v>28.312083333333334</v>
      </c>
      <c r="D30" s="18">
        <f>'22'!D36</f>
        <v>30.766666666666666</v>
      </c>
      <c r="E30" s="18">
        <f>'22'!E36</f>
        <v>8.6245833333333355</v>
      </c>
      <c r="F30" s="18">
        <f>'22'!F36</f>
        <v>3.6633333333333336</v>
      </c>
      <c r="G30" s="18">
        <f>'22'!G36</f>
        <v>101.17208333333333</v>
      </c>
      <c r="H30" s="18">
        <f>'22'!H36</f>
        <v>39.498750000000001</v>
      </c>
      <c r="I30" s="18">
        <f>'22'!I36</f>
        <v>7.7220833333333339</v>
      </c>
      <c r="J30" s="18">
        <f>'22'!J36</f>
        <v>0.32</v>
      </c>
      <c r="K30" s="18">
        <f>'22'!K36</f>
        <v>178.90958333333333</v>
      </c>
      <c r="L30" s="18">
        <f>'22'!L36</f>
        <v>23.819583333333327</v>
      </c>
      <c r="M30" s="18">
        <f>'22'!M36</f>
        <v>70.464999999999989</v>
      </c>
      <c r="N30" s="18">
        <f>'22'!N36</f>
        <v>129.47499999999999</v>
      </c>
      <c r="O30" s="18">
        <f>'22'!O36</f>
        <v>0</v>
      </c>
      <c r="P30" s="18">
        <f>'22'!P36</f>
        <v>0.89374999999999982</v>
      </c>
      <c r="Q30" s="18">
        <f>'22'!Q36</f>
        <v>4.7179166666666665</v>
      </c>
      <c r="R30" s="38"/>
      <c r="S30" s="36"/>
      <c r="T30" s="36"/>
      <c r="U30" s="36"/>
    </row>
    <row r="31" spans="1:24" s="2" customFormat="1">
      <c r="A31" s="16" t="str">
        <f>'23'!$B$2</f>
        <v>23/11/2023 01:00</v>
      </c>
      <c r="B31" s="18">
        <f>'23'!B36</f>
        <v>9.1295833333333345</v>
      </c>
      <c r="C31" s="18">
        <f>'23'!C36</f>
        <v>28.297499999999999</v>
      </c>
      <c r="D31" s="18">
        <f>'23'!D36</f>
        <v>23.368750000000002</v>
      </c>
      <c r="E31" s="18">
        <f>'23'!E36</f>
        <v>9.0791666666666675</v>
      </c>
      <c r="F31" s="18">
        <f>'23'!F36</f>
        <v>3.8604166666666675</v>
      </c>
      <c r="G31" s="18">
        <f>'23'!G36</f>
        <v>105.76958333333333</v>
      </c>
      <c r="H31" s="18">
        <f>'23'!H36</f>
        <v>44.166249999999991</v>
      </c>
      <c r="I31" s="18">
        <f>'23'!I36</f>
        <v>6.8999999999999986</v>
      </c>
      <c r="J31" s="18">
        <f>'23'!J36</f>
        <v>0.29625000000000001</v>
      </c>
      <c r="K31" s="18">
        <f>'23'!K36</f>
        <v>147.285</v>
      </c>
      <c r="L31" s="18">
        <f>'23'!L36</f>
        <v>23.527916666666666</v>
      </c>
      <c r="M31" s="18">
        <f>'23'!M36</f>
        <v>67.946249999999992</v>
      </c>
      <c r="N31" s="18">
        <f>'23'!N36</f>
        <v>119.05416666666666</v>
      </c>
      <c r="O31" s="18">
        <f>'23'!O36</f>
        <v>0</v>
      </c>
      <c r="P31" s="18">
        <f>'23'!P36</f>
        <v>0.83791666666666653</v>
      </c>
      <c r="Q31" s="18">
        <f>'23'!Q36</f>
        <v>4.4041666666666668</v>
      </c>
      <c r="R31" s="36"/>
      <c r="S31" s="36"/>
      <c r="T31" s="36"/>
      <c r="U31" s="36"/>
    </row>
    <row r="32" spans="1:24" s="2" customFormat="1">
      <c r="A32" s="16" t="str">
        <f>'24'!$B$2</f>
        <v>24/11/2023 01:00</v>
      </c>
      <c r="B32" s="18">
        <f>'24'!B36</f>
        <v>9.9629166666666684</v>
      </c>
      <c r="C32" s="18">
        <f>'24'!C36</f>
        <v>28.361666666666668</v>
      </c>
      <c r="D32" s="18">
        <f>'24'!D36</f>
        <v>24.005416666666672</v>
      </c>
      <c r="E32" s="18">
        <f>'24'!E36</f>
        <v>8.2537499999999984</v>
      </c>
      <c r="F32" s="18">
        <f>'24'!F36</f>
        <v>3.777083333333334</v>
      </c>
      <c r="G32" s="18">
        <f>'24'!G36</f>
        <v>114.09249999999997</v>
      </c>
      <c r="H32" s="18">
        <f>'24'!H36</f>
        <v>50.004583333333329</v>
      </c>
      <c r="I32" s="18">
        <f>'24'!I36</f>
        <v>7.067499999999999</v>
      </c>
      <c r="J32" s="18">
        <f>'24'!J36</f>
        <v>0.34500000000000003</v>
      </c>
      <c r="K32" s="18">
        <f>'24'!K36</f>
        <v>130.50125</v>
      </c>
      <c r="L32" s="18">
        <f>'24'!L36</f>
        <v>23.478750000000002</v>
      </c>
      <c r="M32" s="18">
        <f>'24'!M36</f>
        <v>70.069166666666661</v>
      </c>
      <c r="N32" s="18">
        <f>'24'!N36</f>
        <v>106.07916666666667</v>
      </c>
      <c r="O32" s="18">
        <f>'24'!O36</f>
        <v>0</v>
      </c>
      <c r="P32" s="18">
        <f>'24'!P36</f>
        <v>0.89374999999999993</v>
      </c>
      <c r="Q32" s="18">
        <f>'24'!Q36</f>
        <v>4.4229166666666666</v>
      </c>
      <c r="R32" s="36"/>
      <c r="S32" s="36"/>
      <c r="T32" s="36"/>
      <c r="U32" s="36"/>
    </row>
    <row r="33" spans="1:21" s="2" customFormat="1">
      <c r="A33" s="16" t="str">
        <f>'25'!$B$2</f>
        <v>25/11/2023 01:00</v>
      </c>
      <c r="B33" s="18">
        <f>'25'!B36</f>
        <v>8.7987500000000001</v>
      </c>
      <c r="C33" s="18">
        <f>'25'!C36</f>
        <v>26.064166666666662</v>
      </c>
      <c r="D33" s="18">
        <f>'25'!D36</f>
        <v>21.905416666666671</v>
      </c>
      <c r="E33" s="18">
        <f>'25'!E36</f>
        <v>13.085000000000001</v>
      </c>
      <c r="F33" s="18">
        <f>'25'!F36</f>
        <v>11.886249999999999</v>
      </c>
      <c r="G33" s="18">
        <f>'25'!G36</f>
        <v>105.37041666666666</v>
      </c>
      <c r="H33" s="18">
        <f>'25'!H36</f>
        <v>47.501249999999999</v>
      </c>
      <c r="I33" s="18">
        <f>'25'!I36</f>
        <v>6.6829166666666664</v>
      </c>
      <c r="J33" s="18">
        <f>'25'!J36</f>
        <v>0.27124999999999988</v>
      </c>
      <c r="K33" s="18">
        <f>'25'!K36</f>
        <v>166.77291666666665</v>
      </c>
      <c r="L33" s="18">
        <f>'25'!L36</f>
        <v>23.822916666666671</v>
      </c>
      <c r="M33" s="18">
        <f>'25'!M36</f>
        <v>68.084583333333327</v>
      </c>
      <c r="N33" s="18">
        <f>'25'!N36</f>
        <v>104.59583333333332</v>
      </c>
      <c r="O33" s="18">
        <f>'25'!O36</f>
        <v>0</v>
      </c>
      <c r="P33" s="18">
        <f>'25'!P36</f>
        <v>0.83166666666666655</v>
      </c>
      <c r="Q33" s="18">
        <f>'25'!Q36</f>
        <v>4.4033333333333324</v>
      </c>
      <c r="R33" s="36"/>
      <c r="S33" s="36"/>
      <c r="T33" s="36"/>
      <c r="U33" s="36"/>
    </row>
    <row r="34" spans="1:21" s="2" customFormat="1">
      <c r="A34" s="16" t="str">
        <f>'26'!$B$2</f>
        <v>26/11/2023 01:00</v>
      </c>
      <c r="B34" s="18">
        <f>'26'!B36</f>
        <v>11.94791666666667</v>
      </c>
      <c r="C34" s="18">
        <f>'26'!C36</f>
        <v>27.75333333333333</v>
      </c>
      <c r="D34" s="18">
        <f>'26'!D36</f>
        <v>25.307916666666667</v>
      </c>
      <c r="E34" s="18">
        <f>'26'!E36</f>
        <v>8.42</v>
      </c>
      <c r="F34" s="18">
        <f>'26'!F36</f>
        <v>3.4987499999999994</v>
      </c>
      <c r="G34" s="18">
        <f>'26'!G36</f>
        <v>103.38958333333331</v>
      </c>
      <c r="H34" s="18">
        <f>'26'!H36</f>
        <v>44.329999999999991</v>
      </c>
      <c r="I34" s="18">
        <f>'26'!I36</f>
        <v>6.6816666666666649</v>
      </c>
      <c r="J34" s="18">
        <f>'26'!J36</f>
        <v>0.33124999999999999</v>
      </c>
      <c r="K34" s="18">
        <f>'26'!K36</f>
        <v>138.07874999999999</v>
      </c>
      <c r="L34" s="18">
        <f>'26'!L36</f>
        <v>22.772083333333331</v>
      </c>
      <c r="M34" s="18">
        <f>'26'!M36</f>
        <v>65.616250000000022</v>
      </c>
      <c r="N34" s="18">
        <f>'26'!N36</f>
        <v>118.66666666666667</v>
      </c>
      <c r="O34" s="18">
        <f>'26'!O36</f>
        <v>0</v>
      </c>
      <c r="P34" s="18">
        <f>'26'!P36</f>
        <v>0.84458333333333346</v>
      </c>
      <c r="Q34" s="18">
        <f>'26'!Q36</f>
        <v>4.4520833333333334</v>
      </c>
      <c r="R34" s="36"/>
      <c r="S34" s="36"/>
      <c r="T34" s="36"/>
      <c r="U34" s="36"/>
    </row>
    <row r="35" spans="1:21" s="2" customFormat="1">
      <c r="A35" s="16" t="str">
        <f>'27'!$B$2</f>
        <v>27/11/2023 01:00</v>
      </c>
      <c r="B35" s="18">
        <f>'27'!B36</f>
        <v>9.8670833333333334</v>
      </c>
      <c r="C35" s="18">
        <f>'27'!C36</f>
        <v>29.022916666666671</v>
      </c>
      <c r="D35" s="18">
        <f>'27'!D36</f>
        <v>24.275000000000002</v>
      </c>
      <c r="E35" s="18">
        <f>'27'!E36</f>
        <v>8.6504166666666684</v>
      </c>
      <c r="F35" s="18">
        <f>'27'!F36</f>
        <v>3.2470833333333338</v>
      </c>
      <c r="G35" s="18">
        <f>'27'!G36</f>
        <v>104.82708333333333</v>
      </c>
      <c r="H35" s="18">
        <f>'27'!H36</f>
        <v>47.130416666666662</v>
      </c>
      <c r="I35" s="18">
        <f>'27'!I36</f>
        <v>7.3137499999999998</v>
      </c>
      <c r="J35" s="18">
        <f>'27'!J36</f>
        <v>0.36333333333333334</v>
      </c>
      <c r="K35" s="18">
        <f>'27'!K36</f>
        <v>90.141250000000014</v>
      </c>
      <c r="L35" s="18">
        <f>'27'!L36</f>
        <v>21.958333333333332</v>
      </c>
      <c r="M35" s="18">
        <f>'27'!M36</f>
        <v>68.072083333333325</v>
      </c>
      <c r="N35" s="18">
        <f>'27'!N36</f>
        <v>54.070833333333326</v>
      </c>
      <c r="O35" s="18">
        <f>'27'!O36</f>
        <v>0</v>
      </c>
      <c r="P35" s="18">
        <f>'27'!P36</f>
        <v>0.94</v>
      </c>
      <c r="Q35" s="18">
        <f>'27'!Q36</f>
        <v>4.38375</v>
      </c>
      <c r="R35" s="36"/>
      <c r="S35" s="36"/>
      <c r="T35" s="36"/>
      <c r="U35" s="36"/>
    </row>
    <row r="36" spans="1:21" s="2" customFormat="1">
      <c r="A36" s="16" t="str">
        <f>'28'!$B$2</f>
        <v>28/11/2023 01:00</v>
      </c>
      <c r="B36" s="18">
        <f>'28'!B36</f>
        <v>13.0375</v>
      </c>
      <c r="C36" s="18">
        <f>'28'!C36</f>
        <v>28.002083333333331</v>
      </c>
      <c r="D36" s="18">
        <f>'28'!D36</f>
        <v>26.242083333333326</v>
      </c>
      <c r="E36" s="18">
        <f>'28'!E36</f>
        <v>8.3343478260869563</v>
      </c>
      <c r="F36" s="18">
        <f>'28'!F36</f>
        <v>3.7979166666666675</v>
      </c>
      <c r="G36" s="18">
        <f>'28'!G36</f>
        <v>86.857826086956521</v>
      </c>
      <c r="H36" s="18">
        <f>'28'!H36</f>
        <v>37.595652173913038</v>
      </c>
      <c r="I36" s="18">
        <f>'28'!I36</f>
        <v>12.446250000000001</v>
      </c>
      <c r="J36" s="18">
        <f>'28'!J36</f>
        <v>0.47041666666666654</v>
      </c>
      <c r="K36" s="18">
        <f>'28'!K36</f>
        <v>116.42874999999999</v>
      </c>
      <c r="L36" s="18">
        <f>'28'!L36</f>
        <v>20.511249999999997</v>
      </c>
      <c r="M36" s="18">
        <f>'28'!M36</f>
        <v>82.173749999999998</v>
      </c>
      <c r="N36" s="18">
        <f>'28'!N36</f>
        <v>55.833333333333336</v>
      </c>
      <c r="O36" s="18">
        <f>'28'!O36</f>
        <v>0.15</v>
      </c>
      <c r="P36" s="18">
        <f>'28'!P36</f>
        <v>0.94916666666666671</v>
      </c>
      <c r="Q36" s="18">
        <f>'28'!Q36</f>
        <v>4.5570833333333338</v>
      </c>
      <c r="R36" s="36"/>
      <c r="S36" s="36"/>
      <c r="T36" s="36"/>
      <c r="U36" s="36"/>
    </row>
    <row r="37" spans="1:21" s="2" customFormat="1">
      <c r="A37" s="16" t="str">
        <f>'29'!$B$2</f>
        <v>29/11/2023 01:00</v>
      </c>
      <c r="B37" s="18">
        <f>'29'!B36</f>
        <v>29.818333333333339</v>
      </c>
      <c r="C37" s="18">
        <f>'29'!C36</f>
        <v>28.972916666666666</v>
      </c>
      <c r="D37" s="18">
        <f>'29'!D36</f>
        <v>40.219166666666659</v>
      </c>
      <c r="E37" s="18">
        <f>'29'!E36</f>
        <v>9.2537499999999984</v>
      </c>
      <c r="F37" s="18">
        <f>'29'!F36</f>
        <v>3.2279166666666672</v>
      </c>
      <c r="G37" s="18">
        <f>'29'!G36</f>
        <v>79.67</v>
      </c>
      <c r="H37" s="18">
        <f>'29'!H36</f>
        <v>30.979166666666668</v>
      </c>
      <c r="I37" s="18">
        <f>'29'!I36</f>
        <v>8.0974999999999984</v>
      </c>
      <c r="J37" s="18">
        <f>'29'!J36</f>
        <v>0.47791666666666671</v>
      </c>
      <c r="K37" s="18">
        <f>'29'!K36</f>
        <v>63.887916666666676</v>
      </c>
      <c r="L37" s="18">
        <f>'29'!L36</f>
        <v>22.389166666666668</v>
      </c>
      <c r="M37" s="18">
        <f>'29'!M36</f>
        <v>80.236250000000013</v>
      </c>
      <c r="N37" s="18">
        <f>'29'!N36</f>
        <v>121.45</v>
      </c>
      <c r="O37" s="18">
        <f>'29'!O36</f>
        <v>0</v>
      </c>
      <c r="P37" s="18">
        <f>'29'!P36</f>
        <v>0.94625000000000004</v>
      </c>
      <c r="Q37" s="18">
        <f>'29'!Q36</f>
        <v>5.1966666666666672</v>
      </c>
      <c r="R37" s="36"/>
      <c r="S37" s="36"/>
      <c r="T37" s="36"/>
      <c r="U37" s="36"/>
    </row>
    <row r="38" spans="1:21" s="2" customFormat="1">
      <c r="A38" s="16" t="str">
        <f>'30'!$B$2</f>
        <v>30/11/2023 01:00</v>
      </c>
      <c r="B38" s="18">
        <f>'30'!B36</f>
        <v>27.513333333333332</v>
      </c>
      <c r="C38" s="18">
        <f>'30'!C36</f>
        <v>26.959583333333338</v>
      </c>
      <c r="D38" s="18">
        <f>'30'!D36</f>
        <v>37.247083333333329</v>
      </c>
      <c r="E38" s="18">
        <f>'30'!E36</f>
        <v>8.4179166666666667</v>
      </c>
      <c r="F38" s="18">
        <f>'30'!F36</f>
        <v>3.2883333333333344</v>
      </c>
      <c r="G38" s="18">
        <f>'30'!G36</f>
        <v>80.782083333333333</v>
      </c>
      <c r="H38" s="18">
        <f>'30'!H36</f>
        <v>31.33666666666667</v>
      </c>
      <c r="I38" s="18">
        <f>'30'!I36</f>
        <v>8.2408333333333346</v>
      </c>
      <c r="J38" s="18">
        <f>'30'!J36</f>
        <v>0.30708333333333337</v>
      </c>
      <c r="K38" s="18">
        <f>'30'!K36</f>
        <v>179.03625000000002</v>
      </c>
      <c r="L38" s="18">
        <f>'30'!L36</f>
        <v>24.352499999999996</v>
      </c>
      <c r="M38" s="18">
        <f>'30'!M36</f>
        <v>73.487500000000011</v>
      </c>
      <c r="N38" s="18">
        <f>'30'!N36</f>
        <v>127.54583333333333</v>
      </c>
      <c r="O38" s="18">
        <f>'30'!O36</f>
        <v>0</v>
      </c>
      <c r="P38" s="18">
        <f>'30'!P36</f>
        <v>0.84916666666666674</v>
      </c>
      <c r="Q38" s="18">
        <f>'30'!Q36</f>
        <v>5.0666666666666664</v>
      </c>
      <c r="R38" s="36"/>
      <c r="S38" s="36"/>
      <c r="T38" s="36"/>
      <c r="U38" s="36"/>
    </row>
    <row r="39" spans="1:21" s="1" customFormat="1">
      <c r="A39"/>
      <c r="R39" s="40"/>
      <c r="S39" s="40"/>
      <c r="T39" s="40"/>
      <c r="U39" s="40"/>
    </row>
    <row r="40" spans="1:21" s="1" customFormat="1">
      <c r="A40" s="3" t="s">
        <v>48</v>
      </c>
      <c r="B40" s="20">
        <f t="shared" ref="B40:Q40" si="0">MIN(B9:B38)</f>
        <v>7.0479166666666666</v>
      </c>
      <c r="C40" s="20">
        <f t="shared" si="0"/>
        <v>22.033333333333331</v>
      </c>
      <c r="D40" s="20">
        <f t="shared" si="0"/>
        <v>19.535833333333329</v>
      </c>
      <c r="E40" s="20">
        <f t="shared" si="0"/>
        <v>5.3983333333333334</v>
      </c>
      <c r="F40" s="20">
        <f t="shared" si="0"/>
        <v>3.2279166666666672</v>
      </c>
      <c r="G40" s="20">
        <f t="shared" si="0"/>
        <v>56.85916666666666</v>
      </c>
      <c r="H40" s="20">
        <f t="shared" si="0"/>
        <v>21.70333333333333</v>
      </c>
      <c r="I40" s="20">
        <f t="shared" si="0"/>
        <v>4.7949999999999999</v>
      </c>
      <c r="J40" s="20">
        <f t="shared" si="0"/>
        <v>0.2091666666666667</v>
      </c>
      <c r="K40" s="20">
        <f t="shared" si="0"/>
        <v>63.887916666666676</v>
      </c>
      <c r="L40" s="20">
        <f t="shared" si="0"/>
        <v>20.511249999999997</v>
      </c>
      <c r="M40" s="20">
        <f t="shared" si="0"/>
        <v>65.616250000000022</v>
      </c>
      <c r="N40" s="20">
        <f t="shared" si="0"/>
        <v>54.070833333333326</v>
      </c>
      <c r="O40" s="20">
        <f t="shared" si="0"/>
        <v>0</v>
      </c>
      <c r="P40" s="20">
        <f t="shared" si="0"/>
        <v>0.5299999999999998</v>
      </c>
      <c r="Q40" s="20">
        <f t="shared" si="0"/>
        <v>4.3112500000000002</v>
      </c>
      <c r="R40" s="40"/>
      <c r="S40" s="40"/>
      <c r="T40" s="40"/>
      <c r="U40" s="40"/>
    </row>
    <row r="41" spans="1:21" s="1" customFormat="1">
      <c r="A41" s="3" t="s">
        <v>49</v>
      </c>
      <c r="B41" s="20">
        <f t="shared" ref="B41:Q41" si="1">MAX(B9:B38)</f>
        <v>31.707083333333344</v>
      </c>
      <c r="C41" s="20">
        <f t="shared" si="1"/>
        <v>29.022916666666671</v>
      </c>
      <c r="D41" s="20">
        <f t="shared" si="1"/>
        <v>41.371666666666663</v>
      </c>
      <c r="E41" s="20">
        <f t="shared" si="1"/>
        <v>13.085000000000001</v>
      </c>
      <c r="F41" s="20">
        <f t="shared" si="1"/>
        <v>11.886249999999999</v>
      </c>
      <c r="G41" s="20">
        <f t="shared" si="1"/>
        <v>130.01666666666668</v>
      </c>
      <c r="H41" s="20">
        <f t="shared" si="1"/>
        <v>60.695238095238089</v>
      </c>
      <c r="I41" s="20">
        <f t="shared" si="1"/>
        <v>25.615833333333338</v>
      </c>
      <c r="J41" s="20">
        <f t="shared" si="1"/>
        <v>0.48208333333333336</v>
      </c>
      <c r="K41" s="20">
        <f t="shared" si="1"/>
        <v>222.11333333333326</v>
      </c>
      <c r="L41" s="20">
        <f t="shared" si="1"/>
        <v>26.349166666666665</v>
      </c>
      <c r="M41" s="20">
        <f t="shared" si="1"/>
        <v>86.591250000000002</v>
      </c>
      <c r="N41" s="20">
        <f t="shared" si="1"/>
        <v>170.98749999999998</v>
      </c>
      <c r="O41" s="20">
        <f t="shared" si="1"/>
        <v>0.15</v>
      </c>
      <c r="P41" s="20">
        <f t="shared" si="1"/>
        <v>1.1379166666666667</v>
      </c>
      <c r="Q41" s="20">
        <f t="shared" si="1"/>
        <v>5.4175000000000013</v>
      </c>
      <c r="R41" s="40"/>
      <c r="S41" s="40"/>
      <c r="T41" s="40"/>
      <c r="U41" s="40"/>
    </row>
    <row r="42" spans="1:21" s="1" customFormat="1">
      <c r="A42" s="3" t="s">
        <v>50</v>
      </c>
      <c r="B42" s="20">
        <f t="shared" ref="B42:Q42" si="2">AVERAGE(B9:B38)</f>
        <v>14.746097222222225</v>
      </c>
      <c r="C42" s="20">
        <f t="shared" si="2"/>
        <v>25.770902777777781</v>
      </c>
      <c r="D42" s="20">
        <f t="shared" si="2"/>
        <v>26.473055555555554</v>
      </c>
      <c r="E42" s="20">
        <f t="shared" si="2"/>
        <v>7.6282282608695651</v>
      </c>
      <c r="F42" s="20">
        <f t="shared" si="2"/>
        <v>4.4144027777777781</v>
      </c>
      <c r="G42" s="20">
        <f t="shared" si="2"/>
        <v>89.587256987577632</v>
      </c>
      <c r="H42" s="20">
        <f t="shared" si="2"/>
        <v>36.712875690131121</v>
      </c>
      <c r="I42" s="20">
        <f t="shared" si="2"/>
        <v>8.5017499999999995</v>
      </c>
      <c r="J42" s="20">
        <f t="shared" si="2"/>
        <v>0.32394444444444448</v>
      </c>
      <c r="K42" s="20">
        <f t="shared" si="2"/>
        <v>155.10748611111109</v>
      </c>
      <c r="L42" s="20">
        <f t="shared" si="2"/>
        <v>24.085472222222219</v>
      </c>
      <c r="M42" s="20">
        <f t="shared" si="2"/>
        <v>72.297222222222217</v>
      </c>
      <c r="N42" s="20">
        <f t="shared" si="2"/>
        <v>128.57888888888888</v>
      </c>
      <c r="O42" s="20">
        <f t="shared" si="2"/>
        <v>8.0555555555555554E-3</v>
      </c>
      <c r="P42" s="20">
        <f t="shared" si="2"/>
        <v>0.85862499999999997</v>
      </c>
      <c r="Q42" s="20">
        <f t="shared" si="2"/>
        <v>4.675041666666667</v>
      </c>
      <c r="R42" s="40"/>
      <c r="S42" s="40"/>
      <c r="T42" s="40"/>
      <c r="U42" s="40"/>
    </row>
    <row r="43" spans="1:21" s="1" customFormat="1">
      <c r="A43" s="3" t="s">
        <v>51</v>
      </c>
      <c r="B43" s="20">
        <f t="shared" ref="B43:Q43" si="3">STDEV(B9:B38)</f>
        <v>6.9164487748563843</v>
      </c>
      <c r="C43" s="20">
        <f t="shared" si="3"/>
        <v>1.9894674714514102</v>
      </c>
      <c r="D43" s="20">
        <f t="shared" si="3"/>
        <v>5.9875006162396218</v>
      </c>
      <c r="E43" s="20">
        <f t="shared" si="3"/>
        <v>1.4898973431682654</v>
      </c>
      <c r="F43" s="20">
        <f t="shared" si="3"/>
        <v>1.709120209454438</v>
      </c>
      <c r="G43" s="20">
        <f t="shared" si="3"/>
        <v>19.091990926689249</v>
      </c>
      <c r="H43" s="20">
        <f t="shared" si="3"/>
        <v>9.8275525656631864</v>
      </c>
      <c r="I43" s="20">
        <f t="shared" si="3"/>
        <v>3.7024107917001987</v>
      </c>
      <c r="J43" s="20">
        <f t="shared" si="3"/>
        <v>7.1774822602653554E-2</v>
      </c>
      <c r="K43" s="20">
        <f t="shared" si="3"/>
        <v>38.364253846957126</v>
      </c>
      <c r="L43" s="20">
        <f t="shared" si="3"/>
        <v>1.1957402930150431</v>
      </c>
      <c r="M43" s="20">
        <f t="shared" si="3"/>
        <v>5.4765611406141153</v>
      </c>
      <c r="N43" s="20">
        <f t="shared" si="3"/>
        <v>26.83448835446373</v>
      </c>
      <c r="O43" s="20">
        <f t="shared" si="3"/>
        <v>3.1598787906979814E-2</v>
      </c>
      <c r="P43" s="20">
        <f t="shared" si="3"/>
        <v>0.12822184803386102</v>
      </c>
      <c r="Q43" s="20">
        <f t="shared" si="3"/>
        <v>0.32237174730835289</v>
      </c>
      <c r="R43" s="33"/>
      <c r="S43" s="33"/>
      <c r="T43" s="33"/>
      <c r="U43" s="33"/>
    </row>
    <row r="44" spans="1:21" s="1" customFormat="1">
      <c r="A44" s="3" t="s">
        <v>52</v>
      </c>
      <c r="B44" s="6">
        <f t="shared" ref="B44:Q44" si="4">COUNT(B9:B38)</f>
        <v>30</v>
      </c>
      <c r="C44" s="6">
        <f t="shared" si="4"/>
        <v>30</v>
      </c>
      <c r="D44" s="6">
        <f t="shared" si="4"/>
        <v>30</v>
      </c>
      <c r="E44" s="6">
        <f t="shared" si="4"/>
        <v>30</v>
      </c>
      <c r="F44" s="6">
        <f t="shared" si="4"/>
        <v>30</v>
      </c>
      <c r="G44" s="6">
        <f t="shared" si="4"/>
        <v>30</v>
      </c>
      <c r="H44" s="6">
        <f t="shared" si="4"/>
        <v>30</v>
      </c>
      <c r="I44" s="6">
        <f t="shared" si="4"/>
        <v>30</v>
      </c>
      <c r="J44" s="6">
        <f t="shared" si="4"/>
        <v>30</v>
      </c>
      <c r="K44" s="6">
        <f t="shared" si="4"/>
        <v>30</v>
      </c>
      <c r="L44" s="6">
        <f t="shared" si="4"/>
        <v>30</v>
      </c>
      <c r="M44" s="6">
        <f t="shared" si="4"/>
        <v>30</v>
      </c>
      <c r="N44" s="6">
        <f t="shared" si="4"/>
        <v>30</v>
      </c>
      <c r="O44" s="6">
        <f t="shared" si="4"/>
        <v>30</v>
      </c>
      <c r="P44" s="6">
        <f t="shared" si="4"/>
        <v>30</v>
      </c>
      <c r="Q44" s="6">
        <f t="shared" si="4"/>
        <v>30</v>
      </c>
      <c r="R44" s="33"/>
      <c r="S44" s="33"/>
      <c r="T44" s="33"/>
      <c r="U44" s="33"/>
    </row>
    <row r="45" spans="1:21" s="1" customFormat="1">
      <c r="A45" s="3" t="s">
        <v>53</v>
      </c>
      <c r="B45" s="6" t="str">
        <f>IF(B44&gt;=28,"&gt;90%",IF(B44&lt;=28,"&lt;90%"))</f>
        <v>&gt;90%</v>
      </c>
      <c r="C45" s="6" t="str">
        <f t="shared" ref="C45:Q45" si="5">IF(C44&gt;=28,"&gt;90%",IF(C44&lt;=28,"&lt;90%"))</f>
        <v>&gt;90%</v>
      </c>
      <c r="D45" s="6" t="str">
        <f t="shared" si="5"/>
        <v>&gt;90%</v>
      </c>
      <c r="E45" s="6" t="str">
        <f t="shared" si="5"/>
        <v>&gt;90%</v>
      </c>
      <c r="F45" s="6" t="str">
        <f t="shared" si="5"/>
        <v>&gt;90%</v>
      </c>
      <c r="G45" s="6" t="str">
        <f t="shared" si="5"/>
        <v>&gt;90%</v>
      </c>
      <c r="H45" s="6" t="str">
        <f t="shared" si="5"/>
        <v>&gt;90%</v>
      </c>
      <c r="I45" s="6" t="str">
        <f t="shared" si="5"/>
        <v>&gt;90%</v>
      </c>
      <c r="J45" s="6" t="str">
        <f t="shared" si="5"/>
        <v>&gt;90%</v>
      </c>
      <c r="K45" s="6" t="str">
        <f t="shared" si="5"/>
        <v>&gt;90%</v>
      </c>
      <c r="L45" s="6" t="str">
        <f t="shared" si="5"/>
        <v>&gt;90%</v>
      </c>
      <c r="M45" s="6" t="str">
        <f t="shared" si="5"/>
        <v>&gt;90%</v>
      </c>
      <c r="N45" s="6" t="str">
        <f t="shared" si="5"/>
        <v>&gt;90%</v>
      </c>
      <c r="O45" s="6" t="str">
        <f t="shared" si="5"/>
        <v>&gt;90%</v>
      </c>
      <c r="P45" s="6" t="str">
        <f t="shared" si="5"/>
        <v>&gt;90%</v>
      </c>
      <c r="Q45" s="6" t="str">
        <f t="shared" si="5"/>
        <v>&gt;90%</v>
      </c>
      <c r="R45" s="33"/>
      <c r="S45" s="33"/>
      <c r="T45" s="33"/>
      <c r="U45" s="33"/>
    </row>
    <row r="46" spans="1:21">
      <c r="A46" s="3" t="s">
        <v>54</v>
      </c>
      <c r="B46" s="6" t="str">
        <f>IF(B44&gt;=28,"OK",IF(B44&lt;=28,"LESS"))</f>
        <v>OK</v>
      </c>
      <c r="C46" s="6" t="str">
        <f t="shared" ref="C46:Q46" si="6">IF(C44&gt;=28,"OK",IF(C44&lt;=28,"LESS"))</f>
        <v>OK</v>
      </c>
      <c r="D46" s="6" t="str">
        <f t="shared" si="6"/>
        <v>OK</v>
      </c>
      <c r="E46" s="6" t="str">
        <f t="shared" si="6"/>
        <v>OK</v>
      </c>
      <c r="F46" s="6" t="str">
        <f t="shared" si="6"/>
        <v>OK</v>
      </c>
      <c r="G46" s="6" t="str">
        <f t="shared" si="6"/>
        <v>OK</v>
      </c>
      <c r="H46" s="6" t="str">
        <f t="shared" si="6"/>
        <v>OK</v>
      </c>
      <c r="I46" s="6" t="str">
        <f t="shared" si="6"/>
        <v>OK</v>
      </c>
      <c r="J46" s="6" t="str">
        <f t="shared" si="6"/>
        <v>OK</v>
      </c>
      <c r="K46" s="6" t="str">
        <f t="shared" si="6"/>
        <v>OK</v>
      </c>
      <c r="L46" s="6" t="str">
        <f t="shared" si="6"/>
        <v>OK</v>
      </c>
      <c r="M46" s="6" t="str">
        <f t="shared" si="6"/>
        <v>OK</v>
      </c>
      <c r="N46" s="6" t="str">
        <f t="shared" si="6"/>
        <v>OK</v>
      </c>
      <c r="O46" s="6" t="str">
        <f t="shared" si="6"/>
        <v>OK</v>
      </c>
      <c r="P46" s="6" t="str">
        <f t="shared" si="6"/>
        <v>OK</v>
      </c>
      <c r="Q46" s="6" t="str">
        <f t="shared" si="6"/>
        <v>OK</v>
      </c>
      <c r="R46" s="1"/>
      <c r="S46" s="1"/>
      <c r="T46" s="1"/>
    </row>
    <row r="47" spans="1:2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9" spans="1:16">
      <c r="A49" s="3" t="s">
        <v>55</v>
      </c>
      <c r="B49" s="21" t="s">
        <v>56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22"/>
      <c r="B50" s="1"/>
      <c r="C50" s="1"/>
      <c r="D50" s="23"/>
      <c r="E50" s="23"/>
      <c r="F50" s="23"/>
      <c r="G50" s="23"/>
      <c r="H50" s="23"/>
      <c r="I50" s="23"/>
      <c r="J50" s="1"/>
      <c r="K50" s="1"/>
      <c r="L50" s="1"/>
      <c r="M50" s="1"/>
      <c r="N50" s="1"/>
      <c r="O50" s="1"/>
      <c r="P50" s="1"/>
    </row>
    <row r="51" spans="1:16" ht="15.75">
      <c r="A51" s="24" t="s">
        <v>57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</row>
    <row r="52" spans="1:16">
      <c r="A52" s="2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2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2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</sheetData>
  <mergeCells count="1">
    <mergeCell ref="B51:P5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30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2018-07-30T12:51:00Z</cp:lastPrinted>
  <dcterms:created xsi:type="dcterms:W3CDTF">2013-08-23T16:44:00Z</dcterms:created>
  <dcterms:modified xsi:type="dcterms:W3CDTF">2023-12-05T13:02:08Z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7EA9ECEE773C45D5B6E24CE40B3C9EEF</vt:lpwstr>
  </property>
  <property fmtid="{D5CDD505-2E9C-101B-9397-08002B2CF9AE}" pid="3" name="KSOProductBuildVer">
    <vt:lpwstr>1033-11.2.0.11219</vt:lpwstr>
  </property>
</Properties>
</file>