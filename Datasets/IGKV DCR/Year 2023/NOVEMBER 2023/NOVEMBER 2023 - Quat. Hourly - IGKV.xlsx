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2" activeTab="29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24519"/>
</workbook>
</file>

<file path=xl/calcChain.xml><?xml version="1.0" encoding="utf-8"?>
<calcChain xmlns="http://schemas.openxmlformats.org/spreadsheetml/2006/main">
  <c r="D23" i="5"/>
  <c r="D22"/>
  <c r="D21"/>
  <c r="D20"/>
  <c r="D19"/>
  <c r="D18"/>
  <c r="D17"/>
  <c r="D16"/>
  <c r="D15"/>
  <c r="D14"/>
  <c r="D13"/>
  <c r="D12"/>
  <c r="D11"/>
  <c r="D10"/>
  <c r="D9"/>
  <c r="D8"/>
  <c r="D24" s="1"/>
  <c r="D44" s="1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G38" i="39"/>
  <c r="F38"/>
  <c r="E38"/>
  <c r="D38"/>
  <c r="O37"/>
  <c r="N37"/>
  <c r="J37"/>
  <c r="H37"/>
  <c r="Q34"/>
  <c r="N34"/>
  <c r="B34"/>
  <c r="P33"/>
  <c r="J33"/>
  <c r="I33"/>
  <c r="B33"/>
  <c r="F32"/>
  <c r="E32"/>
  <c r="C32"/>
  <c r="B32"/>
  <c r="M31"/>
  <c r="L31"/>
  <c r="H31"/>
  <c r="M30"/>
  <c r="J30"/>
  <c r="I30"/>
  <c r="F30"/>
  <c r="C30"/>
  <c r="P29"/>
  <c r="Q28"/>
  <c r="A28"/>
  <c r="Q27"/>
  <c r="P27"/>
  <c r="I27"/>
  <c r="H27"/>
  <c r="F23"/>
  <c r="I22"/>
  <c r="G22"/>
  <c r="D22"/>
  <c r="P20"/>
  <c r="E20"/>
  <c r="O19"/>
  <c r="N19"/>
  <c r="H19"/>
  <c r="F19"/>
  <c r="P17"/>
  <c r="O17"/>
  <c r="G17"/>
  <c r="M16"/>
  <c r="N15"/>
  <c r="P13"/>
  <c r="C10"/>
  <c r="Q110" i="40"/>
  <c r="Q112" s="1"/>
  <c r="P110"/>
  <c r="P112" s="1"/>
  <c r="O110"/>
  <c r="O112" s="1"/>
  <c r="N110"/>
  <c r="N112" s="1"/>
  <c r="M110"/>
  <c r="M111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F108"/>
  <c r="E108"/>
  <c r="D108"/>
  <c r="C108"/>
  <c r="C38" i="39" s="1"/>
  <c r="B108" i="40"/>
  <c r="B38" i="39" s="1"/>
  <c r="Q107" i="4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N108"/>
  <c r="M108"/>
  <c r="M37" i="39" s="1"/>
  <c r="L108" i="44"/>
  <c r="L37" i="39" s="1"/>
  <c r="K108" i="44"/>
  <c r="K37" i="39" s="1"/>
  <c r="J108" i="44"/>
  <c r="I108"/>
  <c r="I37" i="39" s="1"/>
  <c r="H108" i="44"/>
  <c r="G108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34" i="39" s="1"/>
  <c r="O108" i="31"/>
  <c r="O34" i="39" s="1"/>
  <c r="N108" i="31"/>
  <c r="M108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O108"/>
  <c r="O33" i="39" s="1"/>
  <c r="N108" i="30"/>
  <c r="N33" i="39" s="1"/>
  <c r="M108" i="30"/>
  <c r="M33" i="39" s="1"/>
  <c r="L108" i="30"/>
  <c r="L33" i="39" s="1"/>
  <c r="K108" i="30"/>
  <c r="K33" i="39" s="1"/>
  <c r="J108" i="30"/>
  <c r="I108"/>
  <c r="H108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J111" i="29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E108"/>
  <c r="D108"/>
  <c r="D32" i="39" s="1"/>
  <c r="C108" i="29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L108"/>
  <c r="K108"/>
  <c r="K31" i="39" s="1"/>
  <c r="J108" i="28"/>
  <c r="J31" i="39" s="1"/>
  <c r="I108" i="28"/>
  <c r="I31" i="39" s="1"/>
  <c r="H108" i="28"/>
  <c r="G10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L108"/>
  <c r="L30" i="39" s="1"/>
  <c r="K108" i="27"/>
  <c r="K30" i="39" s="1"/>
  <c r="J108" i="27"/>
  <c r="I108"/>
  <c r="H108"/>
  <c r="H30" i="39" s="1"/>
  <c r="G108" i="27"/>
  <c r="G30" i="39" s="1"/>
  <c r="F108" i="27"/>
  <c r="E108"/>
  <c r="E30" i="39" s="1"/>
  <c r="D108" i="27"/>
  <c r="D30" i="39" s="1"/>
  <c r="C108" i="27"/>
  <c r="B108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O108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1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P108"/>
  <c r="O108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H108"/>
  <c r="G108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2" i="23"/>
  <c r="P112"/>
  <c r="O112"/>
  <c r="N112"/>
  <c r="M112"/>
  <c r="L112"/>
  <c r="K112"/>
  <c r="J112"/>
  <c r="I112"/>
  <c r="H112"/>
  <c r="G112"/>
  <c r="F112"/>
  <c r="E112"/>
  <c r="D112"/>
  <c r="C112"/>
  <c r="B112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E108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H108"/>
  <c r="H22" i="39" s="1"/>
  <c r="G108" i="19"/>
  <c r="F108"/>
  <c r="F22" i="39" s="1"/>
  <c r="E108" i="19"/>
  <c r="E22" i="39" s="1"/>
  <c r="D108" i="19"/>
  <c r="C108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O108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D108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1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N108"/>
  <c r="M108"/>
  <c r="M19" i="39" s="1"/>
  <c r="L108" i="16"/>
  <c r="L19" i="39" s="1"/>
  <c r="K108" i="16"/>
  <c r="K19" i="39" s="1"/>
  <c r="J108" i="16"/>
  <c r="J19" i="39" s="1"/>
  <c r="I108" i="16"/>
  <c r="I19" i="39" s="1"/>
  <c r="H108" i="16"/>
  <c r="G108"/>
  <c r="G19" i="39" s="1"/>
  <c r="F108" i="16"/>
  <c r="E108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O108"/>
  <c r="N108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F108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L108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M108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O108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0" i="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B108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Q110" i="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L111" i="40" l="1"/>
  <c r="K111"/>
  <c r="J111"/>
  <c r="I111"/>
  <c r="H111"/>
  <c r="G111"/>
  <c r="F111"/>
  <c r="M112"/>
  <c r="E111"/>
  <c r="D111"/>
  <c r="C111"/>
  <c r="B111"/>
  <c r="Q111"/>
  <c r="P111"/>
  <c r="O111"/>
  <c r="N111"/>
  <c r="J111" i="44"/>
  <c r="K111"/>
  <c r="I111"/>
  <c r="H111"/>
  <c r="G111"/>
  <c r="F111"/>
  <c r="E111"/>
  <c r="D111"/>
  <c r="C111"/>
  <c r="B111"/>
  <c r="Q111"/>
  <c r="P111"/>
  <c r="O111"/>
  <c r="N111"/>
  <c r="M111"/>
  <c r="L111"/>
  <c r="H111" i="33"/>
  <c r="G111"/>
  <c r="F111"/>
  <c r="E111"/>
  <c r="D111"/>
  <c r="C111"/>
  <c r="B111"/>
  <c r="Q111"/>
  <c r="P111"/>
  <c r="O111"/>
  <c r="N111"/>
  <c r="M111"/>
  <c r="L111"/>
  <c r="K111"/>
  <c r="J111"/>
  <c r="I111"/>
  <c r="H111" i="32"/>
  <c r="G111"/>
  <c r="I111"/>
  <c r="F111"/>
  <c r="E111"/>
  <c r="D111"/>
  <c r="J112"/>
  <c r="C111"/>
  <c r="B111"/>
  <c r="Q111"/>
  <c r="P111"/>
  <c r="O111"/>
  <c r="N111"/>
  <c r="M111"/>
  <c r="L111"/>
  <c r="K111"/>
  <c r="I111" i="31"/>
  <c r="H111"/>
  <c r="G111"/>
  <c r="F111"/>
  <c r="E111"/>
  <c r="D111"/>
  <c r="C111"/>
  <c r="B111"/>
  <c r="Q111"/>
  <c r="P111"/>
  <c r="O111"/>
  <c r="N111"/>
  <c r="M111"/>
  <c r="L111"/>
  <c r="K111"/>
  <c r="J111"/>
  <c r="G111" i="30"/>
  <c r="F111"/>
  <c r="E111"/>
  <c r="D111"/>
  <c r="C111"/>
  <c r="B111"/>
  <c r="Q111"/>
  <c r="P111"/>
  <c r="O111"/>
  <c r="N111"/>
  <c r="M111"/>
  <c r="L111"/>
  <c r="K111"/>
  <c r="J111"/>
  <c r="I111"/>
  <c r="H111"/>
  <c r="E111" i="29"/>
  <c r="D111"/>
  <c r="C111"/>
  <c r="B111"/>
  <c r="Q111"/>
  <c r="P111"/>
  <c r="O111"/>
  <c r="N111"/>
  <c r="M111"/>
  <c r="L111"/>
  <c r="K111"/>
  <c r="I111"/>
  <c r="H111"/>
  <c r="G111"/>
  <c r="F111"/>
  <c r="D111" i="28"/>
  <c r="C111"/>
  <c r="B111"/>
  <c r="Q111"/>
  <c r="P111"/>
  <c r="O111"/>
  <c r="N111"/>
  <c r="M111"/>
  <c r="L111"/>
  <c r="K111"/>
  <c r="J111"/>
  <c r="I111"/>
  <c r="H111"/>
  <c r="G111"/>
  <c r="F111"/>
  <c r="E111"/>
  <c r="Q111" i="27"/>
  <c r="P111"/>
  <c r="O111"/>
  <c r="N111"/>
  <c r="M111"/>
  <c r="L111"/>
  <c r="K111"/>
  <c r="J111"/>
  <c r="I111"/>
  <c r="H111"/>
  <c r="G111"/>
  <c r="F111"/>
  <c r="E111"/>
  <c r="D111"/>
  <c r="C111"/>
  <c r="B111"/>
  <c r="Q111" i="26"/>
  <c r="P111"/>
  <c r="O111"/>
  <c r="N111"/>
  <c r="M111"/>
  <c r="L111"/>
  <c r="K111"/>
  <c r="J111"/>
  <c r="I111"/>
  <c r="H111"/>
  <c r="B112"/>
  <c r="G111"/>
  <c r="F111"/>
  <c r="E111"/>
  <c r="D111"/>
  <c r="C111"/>
  <c r="Q111" i="25"/>
  <c r="P111"/>
  <c r="O111"/>
  <c r="N111"/>
  <c r="M111"/>
  <c r="L111"/>
  <c r="K111"/>
  <c r="B112"/>
  <c r="J111"/>
  <c r="I111"/>
  <c r="H111"/>
  <c r="G111"/>
  <c r="F111"/>
  <c r="E111"/>
  <c r="D111"/>
  <c r="C111"/>
  <c r="P111" i="24"/>
  <c r="O111"/>
  <c r="N111"/>
  <c r="M111"/>
  <c r="L111"/>
  <c r="K111"/>
  <c r="J111"/>
  <c r="I111"/>
  <c r="H111"/>
  <c r="G111"/>
  <c r="F111"/>
  <c r="E111"/>
  <c r="D111"/>
  <c r="C111"/>
  <c r="B111"/>
  <c r="Q111"/>
  <c r="B111" i="23"/>
  <c r="Q111"/>
  <c r="P111"/>
  <c r="O111"/>
  <c r="N111"/>
  <c r="M111"/>
  <c r="L111"/>
  <c r="K111"/>
  <c r="J111"/>
  <c r="I111"/>
  <c r="H111"/>
  <c r="G111"/>
  <c r="F111"/>
  <c r="E111"/>
  <c r="D111"/>
  <c r="C111"/>
  <c r="D111" i="22"/>
  <c r="C111"/>
  <c r="B111"/>
  <c r="Q111"/>
  <c r="P111"/>
  <c r="O111"/>
  <c r="N111"/>
  <c r="M111"/>
  <c r="L111"/>
  <c r="K111"/>
  <c r="J111"/>
  <c r="I111"/>
  <c r="H111"/>
  <c r="G111"/>
  <c r="F111"/>
  <c r="E111"/>
  <c r="F111" i="21"/>
  <c r="E111"/>
  <c r="D111"/>
  <c r="C111"/>
  <c r="B111"/>
  <c r="Q111"/>
  <c r="P111"/>
  <c r="O111"/>
  <c r="N111"/>
  <c r="M111"/>
  <c r="L111"/>
  <c r="K111"/>
  <c r="J111"/>
  <c r="I111"/>
  <c r="H111"/>
  <c r="G111"/>
  <c r="G112" i="20"/>
  <c r="F111"/>
  <c r="E111"/>
  <c r="D111"/>
  <c r="C111"/>
  <c r="B111"/>
  <c r="Q111"/>
  <c r="P111"/>
  <c r="O111"/>
  <c r="N111"/>
  <c r="M111"/>
  <c r="L111"/>
  <c r="K111"/>
  <c r="J111"/>
  <c r="I111"/>
  <c r="H111"/>
  <c r="F111" i="19"/>
  <c r="E111"/>
  <c r="M111"/>
  <c r="L112"/>
  <c r="D111"/>
  <c r="C111"/>
  <c r="B111"/>
  <c r="Q111"/>
  <c r="P111"/>
  <c r="O111"/>
  <c r="N111"/>
  <c r="K111"/>
  <c r="J111"/>
  <c r="I111"/>
  <c r="H111"/>
  <c r="G111"/>
  <c r="H111" i="18"/>
  <c r="G111"/>
  <c r="F111"/>
  <c r="E111"/>
  <c r="D111"/>
  <c r="C111"/>
  <c r="B111"/>
  <c r="Q111"/>
  <c r="P111"/>
  <c r="O111"/>
  <c r="N111"/>
  <c r="M111"/>
  <c r="L111"/>
  <c r="K111"/>
  <c r="J111"/>
  <c r="I111"/>
  <c r="H111" i="17"/>
  <c r="G111"/>
  <c r="F111"/>
  <c r="E111"/>
  <c r="D111"/>
  <c r="C111"/>
  <c r="B111"/>
  <c r="Q111"/>
  <c r="P111"/>
  <c r="O111"/>
  <c r="N111"/>
  <c r="M111"/>
  <c r="L111"/>
  <c r="K111"/>
  <c r="J111"/>
  <c r="I111"/>
  <c r="F111" i="16"/>
  <c r="E111"/>
  <c r="D111"/>
  <c r="C111"/>
  <c r="B111"/>
  <c r="Q111"/>
  <c r="P112"/>
  <c r="O111"/>
  <c r="N111"/>
  <c r="M111"/>
  <c r="L111"/>
  <c r="K111"/>
  <c r="J111"/>
  <c r="I111"/>
  <c r="H111"/>
  <c r="G111"/>
  <c r="H111" i="15"/>
  <c r="G111"/>
  <c r="F111"/>
  <c r="E111"/>
  <c r="D111"/>
  <c r="C111"/>
  <c r="B111"/>
  <c r="Q111"/>
  <c r="P111"/>
  <c r="O111"/>
  <c r="N111"/>
  <c r="M111"/>
  <c r="L111"/>
  <c r="K111"/>
  <c r="J111"/>
  <c r="I111"/>
  <c r="G111" i="14"/>
  <c r="F111"/>
  <c r="E111"/>
  <c r="D111"/>
  <c r="C111"/>
  <c r="B111"/>
  <c r="Q111"/>
  <c r="P111"/>
  <c r="O111"/>
  <c r="N111"/>
  <c r="M111"/>
  <c r="L111"/>
  <c r="K111"/>
  <c r="J111"/>
  <c r="I111"/>
  <c r="H111"/>
  <c r="G111" i="13"/>
  <c r="F111"/>
  <c r="H112"/>
  <c r="E111"/>
  <c r="D111"/>
  <c r="C111"/>
  <c r="B111"/>
  <c r="Q111"/>
  <c r="P111"/>
  <c r="O111"/>
  <c r="N111"/>
  <c r="M111"/>
  <c r="L111"/>
  <c r="K111"/>
  <c r="J111"/>
  <c r="I111"/>
  <c r="I111" i="12"/>
  <c r="H111"/>
  <c r="G111"/>
  <c r="F111"/>
  <c r="E111"/>
  <c r="D111"/>
  <c r="C111"/>
  <c r="B111"/>
  <c r="Q111"/>
  <c r="P111"/>
  <c r="O111"/>
  <c r="N111"/>
  <c r="M111"/>
  <c r="L111"/>
  <c r="K111"/>
  <c r="J111"/>
  <c r="K111" i="11"/>
  <c r="J111"/>
  <c r="I111"/>
  <c r="H111"/>
  <c r="G111"/>
  <c r="F111"/>
  <c r="E111"/>
  <c r="D111"/>
  <c r="C111"/>
  <c r="B111"/>
  <c r="Q111"/>
  <c r="P111"/>
  <c r="O111"/>
  <c r="N111"/>
  <c r="M111"/>
  <c r="L111"/>
  <c r="K111" i="10"/>
  <c r="J111"/>
  <c r="L111"/>
  <c r="I111"/>
  <c r="H111"/>
  <c r="G111"/>
  <c r="F111"/>
  <c r="E111"/>
  <c r="D111"/>
  <c r="C111"/>
  <c r="B111"/>
  <c r="Q111"/>
  <c r="P111"/>
  <c r="O111"/>
  <c r="N111"/>
  <c r="M111"/>
  <c r="N111" i="9"/>
  <c r="M111"/>
  <c r="L111"/>
  <c r="K111"/>
  <c r="J111"/>
  <c r="I111"/>
  <c r="H111"/>
  <c r="G111"/>
  <c r="F111"/>
  <c r="E111"/>
  <c r="D111"/>
  <c r="C111"/>
  <c r="B111"/>
  <c r="Q111"/>
  <c r="P111"/>
  <c r="O111"/>
  <c r="P111" i="8"/>
  <c r="O111"/>
  <c r="N111"/>
  <c r="M111"/>
  <c r="L111"/>
  <c r="K111"/>
  <c r="J111"/>
  <c r="I111"/>
  <c r="H111"/>
  <c r="G111"/>
  <c r="F111"/>
  <c r="E111"/>
  <c r="D111"/>
  <c r="C111"/>
  <c r="B111"/>
  <c r="Q111"/>
  <c r="P111" i="3"/>
  <c r="O111"/>
  <c r="N111"/>
  <c r="M111"/>
  <c r="Q112"/>
  <c r="L111"/>
  <c r="K111"/>
  <c r="J111"/>
  <c r="I111"/>
  <c r="H111"/>
  <c r="G111"/>
  <c r="F111"/>
  <c r="E111"/>
  <c r="D111"/>
  <c r="C111"/>
  <c r="B111"/>
  <c r="B44" i="39"/>
  <c r="B43"/>
  <c r="B42"/>
  <c r="B41"/>
  <c r="B40"/>
  <c r="Q44"/>
  <c r="Q43"/>
  <c r="Q42"/>
  <c r="Q41"/>
  <c r="Q40"/>
  <c r="O44"/>
  <c r="O43"/>
  <c r="O42"/>
  <c r="O41"/>
  <c r="O40"/>
  <c r="P44"/>
  <c r="P43"/>
  <c r="P42"/>
  <c r="P41"/>
  <c r="P40"/>
  <c r="L44"/>
  <c r="L43"/>
  <c r="L42"/>
  <c r="L41"/>
  <c r="L40"/>
  <c r="M44"/>
  <c r="M43"/>
  <c r="M42"/>
  <c r="M41"/>
  <c r="M40"/>
  <c r="K44"/>
  <c r="K43"/>
  <c r="K42"/>
  <c r="K41"/>
  <c r="K40"/>
  <c r="N44"/>
  <c r="N43"/>
  <c r="N42"/>
  <c r="N41"/>
  <c r="N40"/>
  <c r="J44"/>
  <c r="J43"/>
  <c r="J42"/>
  <c r="J41"/>
  <c r="J40"/>
  <c r="I44"/>
  <c r="I43"/>
  <c r="I42"/>
  <c r="I41"/>
  <c r="I40"/>
  <c r="H44"/>
  <c r="H43"/>
  <c r="H42"/>
  <c r="H41"/>
  <c r="H40"/>
  <c r="G44"/>
  <c r="G43"/>
  <c r="G42"/>
  <c r="G41"/>
  <c r="G40"/>
  <c r="E44"/>
  <c r="E43"/>
  <c r="E42"/>
  <c r="E41"/>
  <c r="E40"/>
  <c r="D44"/>
  <c r="D43"/>
  <c r="D42"/>
  <c r="D41"/>
  <c r="D40"/>
  <c r="F44"/>
  <c r="F43"/>
  <c r="F42"/>
  <c r="F41"/>
  <c r="F40"/>
  <c r="C44"/>
  <c r="C43"/>
  <c r="C42"/>
  <c r="C41"/>
  <c r="C40"/>
  <c r="E111" i="2"/>
  <c r="D111"/>
  <c r="C111"/>
  <c r="B111"/>
  <c r="Q111"/>
  <c r="P111"/>
  <c r="O111"/>
  <c r="N111"/>
  <c r="M111"/>
  <c r="L111"/>
  <c r="K111"/>
  <c r="J111"/>
  <c r="I111"/>
  <c r="H111"/>
  <c r="G111"/>
  <c r="F111"/>
  <c r="B46" i="39" l="1"/>
  <c r="B45"/>
  <c r="H46"/>
  <c r="H45"/>
  <c r="N46"/>
  <c r="N45"/>
  <c r="G46"/>
  <c r="G45"/>
  <c r="D46"/>
  <c r="D45"/>
  <c r="Q46"/>
  <c r="Q45"/>
  <c r="F46"/>
  <c r="F45"/>
  <c r="J46"/>
  <c r="J45"/>
  <c r="L46"/>
  <c r="L45"/>
  <c r="M46"/>
  <c r="M45"/>
  <c r="E46"/>
  <c r="E45"/>
  <c r="I46"/>
  <c r="I45"/>
  <c r="K46"/>
  <c r="K45"/>
  <c r="O46"/>
  <c r="O45"/>
  <c r="C46"/>
  <c r="C45"/>
  <c r="P46"/>
  <c r="P45"/>
</calcChain>
</file>

<file path=xl/sharedStrings.xml><?xml version="1.0" encoding="utf-8"?>
<sst xmlns="http://schemas.openxmlformats.org/spreadsheetml/2006/main" count="5777" uniqueCount="3117">
  <si>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</si>
  <si>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</si>
  <si>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</si>
  <si>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</si>
  <si>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</si>
  <si>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</si>
  <si>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</si>
  <si>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</si>
  <si>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</si>
  <si>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</si>
  <si>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</si>
  <si>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</si>
  <si>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</si>
  <si>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</si>
  <si>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</si>
  <si>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</si>
  <si>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</si>
  <si>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</si>
  <si>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</si>
  <si>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</si>
  <si>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</si>
  <si>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</si>
  <si>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</si>
  <si>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</si>
  <si>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</si>
  <si>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</si>
  <si>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</si>
  <si>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</si>
  <si>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</si>
  <si>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</si>
  <si>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</si>
  <si>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</si>
  <si>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</si>
  <si>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</si>
  <si>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</si>
  <si>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</si>
  <si>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</si>
  <si>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</si>
  <si>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</si>
  <si>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</si>
  <si>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</si>
  <si>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</si>
  <si>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</si>
  <si>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</si>
  <si>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</si>
  <si>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</si>
  <si>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</si>
  <si>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</si>
  <si>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</si>
  <si>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</si>
  <si>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</si>
  <si>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</si>
  <si>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</si>
  <si>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</si>
  <si>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</si>
  <si>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</si>
  <si>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</si>
  <si>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</si>
  <si>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</si>
  <si>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</si>
  <si>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</si>
  <si>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</si>
  <si>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</si>
  <si>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</si>
  <si>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</si>
  <si>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</si>
  <si>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</si>
  <si>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</si>
  <si>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</si>
  <si>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</si>
  <si>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</si>
  <si>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</si>
  <si>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</si>
  <si>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</si>
  <si>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</si>
  <si>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</si>
  <si>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</si>
  <si>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</si>
  <si>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</si>
  <si>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</si>
  <si>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</si>
  <si>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</si>
  <si>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</si>
  <si>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</si>
  <si>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</si>
  <si>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</si>
  <si>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</si>
  <si>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</si>
  <si>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</si>
  <si>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</si>
  <si>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</si>
  <si>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</si>
  <si>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</si>
  <si>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</si>
  <si>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</si>
  <si>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</si>
  <si>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</si>
  <si>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</si>
  <si>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</si>
  <si>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</si>
  <si>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</si>
  <si>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</si>
  <si>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</si>
  <si>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</si>
  <si>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</si>
  <si>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</si>
  <si>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</si>
  <si>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</si>
  <si>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</si>
  <si>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</si>
  <si>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</si>
  <si>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</si>
  <si>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</si>
  <si>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</si>
  <si>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</si>
  <si>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</si>
  <si>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</si>
  <si>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</si>
  <si>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</si>
  <si>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</si>
  <si>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</si>
  <si>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</si>
  <si>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</si>
  <si>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</si>
  <si>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</si>
  <si>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</si>
  <si>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</si>
  <si>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</si>
  <si>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</si>
  <si>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</si>
  <si>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</si>
  <si>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</si>
  <si>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</si>
  <si>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</si>
  <si>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</si>
  <si>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</si>
  <si>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</si>
  <si>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</si>
  <si>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</si>
  <si>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</si>
  <si>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</si>
  <si>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</si>
  <si>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</si>
  <si>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</si>
  <si>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</si>
  <si>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</si>
  <si>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</si>
  <si>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</si>
  <si>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</si>
  <si>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</si>
  <si>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</si>
  <si>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</si>
  <si>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</si>
  <si>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</si>
  <si>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</si>
  <si>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</si>
  <si>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</si>
  <si>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</si>
  <si>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</si>
  <si>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</si>
  <si>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</si>
  <si>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</si>
  <si>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</si>
  <si>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</si>
  <si>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</si>
  <si>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</si>
  <si>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</si>
  <si>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</si>
  <si>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</si>
  <si>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</si>
  <si>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</si>
  <si>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</si>
  <si>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</si>
  <si>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</si>
  <si>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</si>
  <si>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</si>
  <si>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</si>
  <si>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</si>
  <si>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</si>
  <si>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</si>
  <si>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</si>
  <si>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</si>
  <si>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</si>
  <si>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</si>
  <si>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</si>
  <si>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</si>
  <si>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</si>
  <si>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</si>
  <si>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</si>
  <si>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</si>
  <si>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</si>
  <si>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</si>
  <si>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</si>
  <si>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</si>
  <si>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</si>
  <si>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</si>
  <si>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</si>
  <si>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</si>
  <si>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</si>
  <si>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</si>
  <si>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</si>
  <si>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</si>
  <si>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</si>
  <si>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</si>
  <si>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</si>
  <si>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</si>
  <si>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</si>
  <si>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</si>
  <si>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</si>
  <si>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</si>
  <si>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</si>
  <si>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</si>
  <si>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</si>
  <si>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</si>
  <si>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</si>
  <si>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</si>
  <si>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</si>
  <si>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</si>
  <si>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</si>
  <si>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</si>
  <si>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</si>
  <si>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</si>
  <si>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</si>
  <si>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</si>
  <si>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</si>
  <si>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</si>
  <si>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</si>
  <si>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</si>
  <si>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</si>
  <si>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</si>
  <si>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</si>
  <si>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</si>
  <si>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</si>
  <si>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</si>
  <si>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</si>
  <si>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</si>
  <si>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</si>
  <si>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</si>
  <si>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01/11/2023 00:15 - 30/11/2023 00:00</t>
  </si>
  <si>
    <t>01/11/2023 00:15</t>
  </si>
  <si>
    <t>01/11/2023 00:30</t>
  </si>
  <si>
    <t>01/11/2023 00:45</t>
  </si>
  <si>
    <t>01/11/2023 01:00</t>
  </si>
  <si>
    <t>01/11/2023 01:15</t>
  </si>
  <si>
    <t>01/11/2023 01:30</t>
  </si>
  <si>
    <t>01/11/2023 01:45</t>
  </si>
  <si>
    <t>01/11/2023 02:00</t>
  </si>
  <si>
    <t>01/11/2023 02:15</t>
  </si>
  <si>
    <t>01/11/2023 02:30</t>
  </si>
  <si>
    <t>01/11/2023 02:45</t>
  </si>
  <si>
    <t>01/11/2023 03:00</t>
  </si>
  <si>
    <t>01/11/2023 03:15</t>
  </si>
  <si>
    <t>01/11/2023 03:30</t>
  </si>
  <si>
    <t>01/11/2023 03:45</t>
  </si>
  <si>
    <t>01/11/2023 04:00</t>
  </si>
  <si>
    <t>01/11/2023 04:15</t>
  </si>
  <si>
    <t>01/11/2023 04:30</t>
  </si>
  <si>
    <t>01/11/2023 04:45</t>
  </si>
  <si>
    <t>01/11/2023 05:00</t>
  </si>
  <si>
    <t>01/11/2023 05:15</t>
  </si>
  <si>
    <t>01/11/2023 05:30</t>
  </si>
  <si>
    <t>01/11/2023 05:45</t>
  </si>
  <si>
    <t>01/11/2023 06:00</t>
  </si>
  <si>
    <t>01/11/2023 06:15</t>
  </si>
  <si>
    <t>01/11/2023 06:30</t>
  </si>
  <si>
    <t>01/11/2023 06:45</t>
  </si>
  <si>
    <t>01/11/2023 07:00</t>
  </si>
  <si>
    <t>01/11/2023 07:15</t>
  </si>
  <si>
    <t>01/11/2023 07:30</t>
  </si>
  <si>
    <t>01/11/2023 07:45</t>
  </si>
  <si>
    <t>01/11/2023 08:00</t>
  </si>
  <si>
    <t>01/11/2023 08:15</t>
  </si>
  <si>
    <t>01/11/2023 08:30</t>
  </si>
  <si>
    <t>01/11/2023 08:45</t>
  </si>
  <si>
    <t>01/11/2023 09:00</t>
  </si>
  <si>
    <t>01/11/2023 09:15</t>
  </si>
  <si>
    <t>01/11/2023 09:30</t>
  </si>
  <si>
    <t>01/11/2023 09:45</t>
  </si>
  <si>
    <t>01/11/2023 10:00</t>
  </si>
  <si>
    <t>01/11/2023 10:15</t>
  </si>
  <si>
    <t>01/11/2023 10:30</t>
  </si>
  <si>
    <t>01/11/2023 10:45</t>
  </si>
  <si>
    <t>01/11/2023 11:00</t>
  </si>
  <si>
    <t>01/11/2023 11:15</t>
  </si>
  <si>
    <t>01/11/2023 11:30</t>
  </si>
  <si>
    <t>01/11/2023 11:45</t>
  </si>
  <si>
    <t>01/11/2023 12:00</t>
  </si>
  <si>
    <t>01/11/2023 12:15</t>
  </si>
  <si>
    <t>01/11/2023 12:30</t>
  </si>
  <si>
    <t>01/11/2023 12:45</t>
  </si>
  <si>
    <t>01/11/2023 13:00</t>
  </si>
  <si>
    <t>01/11/2023 13:15</t>
  </si>
  <si>
    <t>01/11/2023 13:30</t>
  </si>
  <si>
    <t>01/11/2023 13:45</t>
  </si>
  <si>
    <t>01/11/2023 14:00</t>
  </si>
  <si>
    <t>01/11/2023 14:15</t>
  </si>
  <si>
    <t>01/11/2023 14:30</t>
  </si>
  <si>
    <t>01/11/2023 14:45</t>
  </si>
  <si>
    <t>01/11/2023 15:00</t>
  </si>
  <si>
    <t>01/11/2023 15:15</t>
  </si>
  <si>
    <t>01/11/2023 15:30</t>
  </si>
  <si>
    <t>01/11/2023 15:45</t>
  </si>
  <si>
    <t>01/11/2023 16:00</t>
  </si>
  <si>
    <t>01/11/2023 16:15</t>
  </si>
  <si>
    <t>01/11/2023 16:30</t>
  </si>
  <si>
    <t>01/11/2023 16:45</t>
  </si>
  <si>
    <t>01/11/2023 17:00</t>
  </si>
  <si>
    <t>01/11/2023 17:15</t>
  </si>
  <si>
    <t>01/11/2023 17:30</t>
  </si>
  <si>
    <t>01/11/2023 17:45</t>
  </si>
  <si>
    <t>01/11/2023 18:00</t>
  </si>
  <si>
    <t>01/11/2023 18:15</t>
  </si>
  <si>
    <t>01/11/2023 18:30</t>
  </si>
  <si>
    <t>01/11/2023 18:45</t>
  </si>
  <si>
    <t>01/11/2023 19:00</t>
  </si>
  <si>
    <t>01/11/2023 19:15</t>
  </si>
  <si>
    <t>01/11/2023 19:30</t>
  </si>
  <si>
    <t>01/11/2023 19:45</t>
  </si>
  <si>
    <t>01/11/2023 20:00</t>
  </si>
  <si>
    <t>01/11/2023 20:15</t>
  </si>
  <si>
    <t>01/11/2023 20:30</t>
  </si>
  <si>
    <t>01/11/2023 20:45</t>
  </si>
  <si>
    <t>01/11/2023 21:00</t>
  </si>
  <si>
    <t>01/11/2023 21:15</t>
  </si>
  <si>
    <t>01/11/2023 21:30</t>
  </si>
  <si>
    <t>01/11/2023 21:45</t>
  </si>
  <si>
    <t>01/11/2023 22:00</t>
  </si>
  <si>
    <t>01/11/2023 22:15</t>
  </si>
  <si>
    <t>01/11/2023 22:30</t>
  </si>
  <si>
    <t>01/11/2023 22:45</t>
  </si>
  <si>
    <t>01/11/2023 23:00</t>
  </si>
  <si>
    <t>01/11/2023 23:15</t>
  </si>
  <si>
    <t>01/11/2023 23:30</t>
  </si>
  <si>
    <t>01/11/2023 23:45</t>
  </si>
  <si>
    <t>01/11/2023 24:00</t>
  </si>
  <si>
    <t>02/11/2023 00:15</t>
  </si>
  <si>
    <t>02/11/2023 00:30</t>
  </si>
  <si>
    <t>02/11/2023 00:45</t>
  </si>
  <si>
    <t>02/11/2023 01:00</t>
  </si>
  <si>
    <t>02/11/2023 01:15</t>
  </si>
  <si>
    <t>02/11/2023 01:30</t>
  </si>
  <si>
    <t>02/11/2023 01:45</t>
  </si>
  <si>
    <t>02/11/2023 02:00</t>
  </si>
  <si>
    <t>02/11/2023 02:15</t>
  </si>
  <si>
    <t>02/11/2023 02:30</t>
  </si>
  <si>
    <t>02/11/2023 02:45</t>
  </si>
  <si>
    <t>02/11/2023 03:00</t>
  </si>
  <si>
    <t>02/11/2023 03:15</t>
  </si>
  <si>
    <t>02/11/2023 03:30</t>
  </si>
  <si>
    <t>02/11/2023 03:45</t>
  </si>
  <si>
    <t>02/11/2023 04:00</t>
  </si>
  <si>
    <t>02/11/2023 04:15</t>
  </si>
  <si>
    <t>02/11/2023 04:30</t>
  </si>
  <si>
    <t>02/11/2023 04:45</t>
  </si>
  <si>
    <t>02/11/2023 05:00</t>
  </si>
  <si>
    <t>02/11/2023 05:15</t>
  </si>
  <si>
    <t>02/11/2023 05:30</t>
  </si>
  <si>
    <t>02/11/2023 05:45</t>
  </si>
  <si>
    <t>02/11/2023 06:00</t>
  </si>
  <si>
    <t>02/11/2023 06:15</t>
  </si>
  <si>
    <t>02/11/2023 06:30</t>
  </si>
  <si>
    <t>02/11/2023 06:45</t>
  </si>
  <si>
    <t>02/11/2023 07:00</t>
  </si>
  <si>
    <t>02/11/2023 07:15</t>
  </si>
  <si>
    <t>02/11/2023 07:30</t>
  </si>
  <si>
    <t>02/11/2023 07:45</t>
  </si>
  <si>
    <t>02/11/2023 08:00</t>
  </si>
  <si>
    <t>02/11/2023 08:15</t>
  </si>
  <si>
    <t>02/11/2023 08:30</t>
  </si>
  <si>
    <t>02/11/2023 08:45</t>
  </si>
  <si>
    <t>02/11/2023 09:00</t>
  </si>
  <si>
    <t>02/11/2023 09:15</t>
  </si>
  <si>
    <t>02/11/2023 09:30</t>
  </si>
  <si>
    <t>02/11/2023 09:45</t>
  </si>
  <si>
    <t>02/11/2023 10:00</t>
  </si>
  <si>
    <t>02/11/2023 10:15</t>
  </si>
  <si>
    <t>02/11/2023 10:30</t>
  </si>
  <si>
    <t>02/11/2023 10:45</t>
  </si>
  <si>
    <t>02/11/2023 11:00</t>
  </si>
  <si>
    <t>02/11/2023 11:15</t>
  </si>
  <si>
    <t>02/11/2023 11:30</t>
  </si>
  <si>
    <t>02/11/2023 11:45</t>
  </si>
  <si>
    <t>02/11/2023 12:00</t>
  </si>
  <si>
    <t>02/11/2023 12:15</t>
  </si>
  <si>
    <t>02/11/2023 12:30</t>
  </si>
  <si>
    <t>02/11/2023 12:45</t>
  </si>
  <si>
    <t>02/11/2023 13:00</t>
  </si>
  <si>
    <t>02/11/2023 13:15</t>
  </si>
  <si>
    <t>02/11/2023 13:30</t>
  </si>
  <si>
    <t>02/11/2023 13:45</t>
  </si>
  <si>
    <t>02/11/2023 14:00</t>
  </si>
  <si>
    <t>02/11/2023 14:15</t>
  </si>
  <si>
    <t>02/11/2023 14:30</t>
  </si>
  <si>
    <t>02/11/2023 14:45</t>
  </si>
  <si>
    <t>02/11/2023 15:00</t>
  </si>
  <si>
    <t>02/11/2023 15:15</t>
  </si>
  <si>
    <t>02/11/2023 15:30</t>
  </si>
  <si>
    <t>02/11/2023 15:45</t>
  </si>
  <si>
    <t>02/11/2023 16:00</t>
  </si>
  <si>
    <t>02/11/2023 16:15</t>
  </si>
  <si>
    <t>02/11/2023 16:30</t>
  </si>
  <si>
    <t>02/11/2023 16:45</t>
  </si>
  <si>
    <t>02/11/2023 17:00</t>
  </si>
  <si>
    <t>02/11/2023 17:15</t>
  </si>
  <si>
    <t>02/11/2023 17:30</t>
  </si>
  <si>
    <t>02/11/2023 17:45</t>
  </si>
  <si>
    <t>02/11/2023 18:00</t>
  </si>
  <si>
    <t>02/11/2023 18:15</t>
  </si>
  <si>
    <t>02/11/2023 18:30</t>
  </si>
  <si>
    <t>02/11/2023 18:45</t>
  </si>
  <si>
    <t>02/11/2023 19:00</t>
  </si>
  <si>
    <t>02/11/2023 19:15</t>
  </si>
  <si>
    <t>02/11/2023 19:30</t>
  </si>
  <si>
    <t>02/11/2023 19:45</t>
  </si>
  <si>
    <t>02/11/2023 20:00</t>
  </si>
  <si>
    <t>02/11/2023 20:15</t>
  </si>
  <si>
    <t>02/11/2023 20:30</t>
  </si>
  <si>
    <t>02/11/2023 20:45</t>
  </si>
  <si>
    <t>02/11/2023 21:00</t>
  </si>
  <si>
    <t>02/11/2023 21:15</t>
  </si>
  <si>
    <t>02/11/2023 21:30</t>
  </si>
  <si>
    <t>02/11/2023 21:45</t>
  </si>
  <si>
    <t>02/11/2023 22:00</t>
  </si>
  <si>
    <t>02/11/2023 22:15</t>
  </si>
  <si>
    <t>02/11/2023 22:30</t>
  </si>
  <si>
    <t>02/11/2023 22:45</t>
  </si>
  <si>
    <t>02/11/2023 23:00</t>
  </si>
  <si>
    <t>02/11/2023 23:15</t>
  </si>
  <si>
    <t>02/11/2023 23:30</t>
  </si>
  <si>
    <t>02/11/2023 23:45</t>
  </si>
  <si>
    <t>02/11/2023 24:00</t>
  </si>
  <si>
    <t>03/11/2023 00:15</t>
  </si>
  <si>
    <t>03/11/2023 00:30</t>
  </si>
  <si>
    <t>03/11/2023 00:45</t>
  </si>
  <si>
    <t>03/11/2023 01:00</t>
  </si>
  <si>
    <t>03/11/2023 01:15</t>
  </si>
  <si>
    <t>03/11/2023 01:30</t>
  </si>
  <si>
    <t>03/11/2023 01:45</t>
  </si>
  <si>
    <t>03/11/2023 02:00</t>
  </si>
  <si>
    <t>03/11/2023 02:15</t>
  </si>
  <si>
    <t>03/11/2023 02:30</t>
  </si>
  <si>
    <t>03/11/2023 02:45</t>
  </si>
  <si>
    <t>03/11/2023 03:00</t>
  </si>
  <si>
    <t>03/11/2023 03:15</t>
  </si>
  <si>
    <t>03/11/2023 03:30</t>
  </si>
  <si>
    <t>03/11/2023 03:45</t>
  </si>
  <si>
    <t>03/11/2023 04:00</t>
  </si>
  <si>
    <t>03/11/2023 04:15</t>
  </si>
  <si>
    <t>03/11/2023 04:30</t>
  </si>
  <si>
    <t>03/11/2023 04:45</t>
  </si>
  <si>
    <t>03/11/2023 05:00</t>
  </si>
  <si>
    <t>03/11/2023 05:15</t>
  </si>
  <si>
    <t>03/11/2023 05:30</t>
  </si>
  <si>
    <t>03/11/2023 05:45</t>
  </si>
  <si>
    <t>03/11/2023 06:00</t>
  </si>
  <si>
    <t>03/11/2023 06:15</t>
  </si>
  <si>
    <t>03/11/2023 06:30</t>
  </si>
  <si>
    <t>03/11/2023 06:45</t>
  </si>
  <si>
    <t>03/11/2023 07:00</t>
  </si>
  <si>
    <t>03/11/2023 07:15</t>
  </si>
  <si>
    <t>03/11/2023 07:30</t>
  </si>
  <si>
    <t>03/11/2023 07:45</t>
  </si>
  <si>
    <t>03/11/2023 08:00</t>
  </si>
  <si>
    <t>03/11/2023 08:15</t>
  </si>
  <si>
    <t>03/11/2023 08:30</t>
  </si>
  <si>
    <t>03/11/2023 08:45</t>
  </si>
  <si>
    <t>03/11/2023 09:00</t>
  </si>
  <si>
    <t>03/11/2023 09:15</t>
  </si>
  <si>
    <t>03/11/2023 09:30</t>
  </si>
  <si>
    <t>03/11/2023 09:45</t>
  </si>
  <si>
    <t>03/11/2023 10:00</t>
  </si>
  <si>
    <t>03/11/2023 10:15</t>
  </si>
  <si>
    <t>03/11/2023 10:30</t>
  </si>
  <si>
    <t>03/11/2023 10:45</t>
  </si>
  <si>
    <t>03/11/2023 11:00</t>
  </si>
  <si>
    <t>03/11/2023 11:15</t>
  </si>
  <si>
    <t>03/11/2023 11:30</t>
  </si>
  <si>
    <t>03/11/2023 11:45</t>
  </si>
  <si>
    <t>03/11/2023 12:00</t>
  </si>
  <si>
    <t>03/11/2023 12:15</t>
  </si>
  <si>
    <t>03/11/2023 12:30</t>
  </si>
  <si>
    <t>03/11/2023 12:45</t>
  </si>
  <si>
    <t>03/11/2023 13:00</t>
  </si>
  <si>
    <t>03/11/2023 13:15</t>
  </si>
  <si>
    <t>03/11/2023 13:30</t>
  </si>
  <si>
    <t>03/11/2023 13:45</t>
  </si>
  <si>
    <t>03/11/2023 14:00</t>
  </si>
  <si>
    <t>03/11/2023 14:15</t>
  </si>
  <si>
    <t>03/11/2023 14:30</t>
  </si>
  <si>
    <t>03/11/2023 14:45</t>
  </si>
  <si>
    <t>03/11/2023 15:00</t>
  </si>
  <si>
    <t>03/11/2023 15:15</t>
  </si>
  <si>
    <t>03/11/2023 15:30</t>
  </si>
  <si>
    <t>03/11/2023 15:45</t>
  </si>
  <si>
    <t>03/11/2023 16:00</t>
  </si>
  <si>
    <t>03/11/2023 16:15</t>
  </si>
  <si>
    <t>03/11/2023 16:30</t>
  </si>
  <si>
    <t>03/11/2023 16:45</t>
  </si>
  <si>
    <t>03/11/2023 17:00</t>
  </si>
  <si>
    <t>03/11/2023 17:15</t>
  </si>
  <si>
    <t>03/11/2023 17:30</t>
  </si>
  <si>
    <t>03/11/2023 17:45</t>
  </si>
  <si>
    <t>03/11/2023 18:00</t>
  </si>
  <si>
    <t>03/11/2023 18:15</t>
  </si>
  <si>
    <t>03/11/2023 18:30</t>
  </si>
  <si>
    <t>03/11/2023 18:45</t>
  </si>
  <si>
    <t>03/11/2023 19:00</t>
  </si>
  <si>
    <t>03/11/2023 19:15</t>
  </si>
  <si>
    <t>03/11/2023 19:30</t>
  </si>
  <si>
    <t>03/11/2023 19:45</t>
  </si>
  <si>
    <t>03/11/2023 20:00</t>
  </si>
  <si>
    <t>03/11/2023 20:15</t>
  </si>
  <si>
    <t>03/11/2023 20:30</t>
  </si>
  <si>
    <t>03/11/2023 20:45</t>
  </si>
  <si>
    <t>03/11/2023 21:00</t>
  </si>
  <si>
    <t>03/11/2023 21:15</t>
  </si>
  <si>
    <t>03/11/2023 21:30</t>
  </si>
  <si>
    <t>03/11/2023 21:45</t>
  </si>
  <si>
    <t>03/11/2023 22:00</t>
  </si>
  <si>
    <t>03/11/2023 22:15</t>
  </si>
  <si>
    <t>03/11/2023 22:30</t>
  </si>
  <si>
    <t>03/11/2023 22:45</t>
  </si>
  <si>
    <t>03/11/2023 23:00</t>
  </si>
  <si>
    <t>03/11/2023 23:15</t>
  </si>
  <si>
    <t>03/11/2023 23:30</t>
  </si>
  <si>
    <t>03/11/2023 23:45</t>
  </si>
  <si>
    <t>03/11/2023 24:00</t>
  </si>
  <si>
    <t>04/11/2023 00:15</t>
  </si>
  <si>
    <t>04/11/2023 00:30</t>
  </si>
  <si>
    <t>04/11/2023 00:45</t>
  </si>
  <si>
    <t>04/11/2023 01:00</t>
  </si>
  <si>
    <t>04/11/2023 01:15</t>
  </si>
  <si>
    <t>04/11/2023 01:30</t>
  </si>
  <si>
    <t>04/11/2023 01:45</t>
  </si>
  <si>
    <t>04/11/2023 02:00</t>
  </si>
  <si>
    <t>04/11/2023 02:15</t>
  </si>
  <si>
    <t>04/11/2023 02:30</t>
  </si>
  <si>
    <t>04/11/2023 02:45</t>
  </si>
  <si>
    <t>04/11/2023 03:00</t>
  </si>
  <si>
    <t>04/11/2023 03:15</t>
  </si>
  <si>
    <t>04/11/2023 03:30</t>
  </si>
  <si>
    <t>04/11/2023 03:45</t>
  </si>
  <si>
    <t>04/11/2023 04:00</t>
  </si>
  <si>
    <t>04/11/2023 04:15</t>
  </si>
  <si>
    <t>04/11/2023 04:30</t>
  </si>
  <si>
    <t>04/11/2023 04:45</t>
  </si>
  <si>
    <t>04/11/2023 05:00</t>
  </si>
  <si>
    <t>04/11/2023 05:15</t>
  </si>
  <si>
    <t>04/11/2023 05:30</t>
  </si>
  <si>
    <t>04/11/2023 05:45</t>
  </si>
  <si>
    <t>04/11/2023 06:00</t>
  </si>
  <si>
    <t>04/11/2023 06:15</t>
  </si>
  <si>
    <t>04/11/2023 06:30</t>
  </si>
  <si>
    <t>04/11/2023 06:45</t>
  </si>
  <si>
    <t>04/11/2023 07:00</t>
  </si>
  <si>
    <t>04/11/2023 07:15</t>
  </si>
  <si>
    <t>04/11/2023 07:30</t>
  </si>
  <si>
    <t>04/11/2023 07:45</t>
  </si>
  <si>
    <t>04/11/2023 08:00</t>
  </si>
  <si>
    <t>04/11/2023 08:15</t>
  </si>
  <si>
    <t>04/11/2023 08:30</t>
  </si>
  <si>
    <t>04/11/2023 08:45</t>
  </si>
  <si>
    <t>04/11/2023 09:00</t>
  </si>
  <si>
    <t>04/11/2023 09:15</t>
  </si>
  <si>
    <t>04/11/2023 09:30</t>
  </si>
  <si>
    <t>04/11/2023 09:45</t>
  </si>
  <si>
    <t>04/11/2023 10:00</t>
  </si>
  <si>
    <t>04/11/2023 10:15</t>
  </si>
  <si>
    <t>04/11/2023 10:30</t>
  </si>
  <si>
    <t>04/11/2023 10:45</t>
  </si>
  <si>
    <t>04/11/2023 11:00</t>
  </si>
  <si>
    <t>04/11/2023 11:15</t>
  </si>
  <si>
    <t>04/11/2023 11:30</t>
  </si>
  <si>
    <t>04/11/2023 11:45</t>
  </si>
  <si>
    <t>04/11/2023 12:00</t>
  </si>
  <si>
    <t>04/11/2023 12:15</t>
  </si>
  <si>
    <t>04/11/2023 12:30</t>
  </si>
  <si>
    <t>04/11/2023 12:45</t>
  </si>
  <si>
    <t>04/11/2023 13:00</t>
  </si>
  <si>
    <t>04/11/2023 13:15</t>
  </si>
  <si>
    <t>04/11/2023 13:30</t>
  </si>
  <si>
    <t>04/11/2023 13:45</t>
  </si>
  <si>
    <t>04/11/2023 14:00</t>
  </si>
  <si>
    <t>04/11/2023 14:15</t>
  </si>
  <si>
    <t>04/11/2023 14:30</t>
  </si>
  <si>
    <t>04/11/2023 14:45</t>
  </si>
  <si>
    <t>04/11/2023 15:00</t>
  </si>
  <si>
    <t>04/11/2023 15:15</t>
  </si>
  <si>
    <t>04/11/2023 15:30</t>
  </si>
  <si>
    <t>04/11/2023 15:45</t>
  </si>
  <si>
    <t>04/11/2023 16:00</t>
  </si>
  <si>
    <t>04/11/2023 16:15</t>
  </si>
  <si>
    <t>04/11/2023 16:30</t>
  </si>
  <si>
    <t>04/11/2023 16:45</t>
  </si>
  <si>
    <t>04/11/2023 17:00</t>
  </si>
  <si>
    <t>04/11/2023 17:15</t>
  </si>
  <si>
    <t>04/11/2023 17:30</t>
  </si>
  <si>
    <t>04/11/2023 17:45</t>
  </si>
  <si>
    <t>04/11/2023 18:00</t>
  </si>
  <si>
    <t>04/11/2023 18:15</t>
  </si>
  <si>
    <t>04/11/2023 18:30</t>
  </si>
  <si>
    <t>04/11/2023 18:45</t>
  </si>
  <si>
    <t>04/11/2023 19:00</t>
  </si>
  <si>
    <t>04/11/2023 19:15</t>
  </si>
  <si>
    <t>04/11/2023 19:30</t>
  </si>
  <si>
    <t>04/11/2023 19:45</t>
  </si>
  <si>
    <t>04/11/2023 20:00</t>
  </si>
  <si>
    <t>04/11/2023 20:15</t>
  </si>
  <si>
    <t>04/11/2023 20:30</t>
  </si>
  <si>
    <t>04/11/2023 20:45</t>
  </si>
  <si>
    <t>04/11/2023 21:00</t>
  </si>
  <si>
    <t>04/11/2023 21:15</t>
  </si>
  <si>
    <t>04/11/2023 21:30</t>
  </si>
  <si>
    <t>04/11/2023 21:45</t>
  </si>
  <si>
    <t>04/11/2023 22:00</t>
  </si>
  <si>
    <t>04/11/2023 22:15</t>
  </si>
  <si>
    <t>04/11/2023 22:30</t>
  </si>
  <si>
    <t>04/11/2023 22:45</t>
  </si>
  <si>
    <t>04/11/2023 23:00</t>
  </si>
  <si>
    <t>04/11/2023 23:15</t>
  </si>
  <si>
    <t>04/11/2023 23:30</t>
  </si>
  <si>
    <t>04/11/2023 23:45</t>
  </si>
  <si>
    <t>04/11/2023 24:00</t>
  </si>
  <si>
    <t>05/11/2023 00:15</t>
  </si>
  <si>
    <t>05/11/2023 00:30</t>
  </si>
  <si>
    <t>05/11/2023 00:45</t>
  </si>
  <si>
    <t>05/11/2023 01:00</t>
  </si>
  <si>
    <t>05/11/2023 01:15</t>
  </si>
  <si>
    <t>05/11/2023 01:30</t>
  </si>
  <si>
    <t>05/11/2023 01:45</t>
  </si>
  <si>
    <t>05/11/2023 02:00</t>
  </si>
  <si>
    <t>05/11/2023 02:15</t>
  </si>
  <si>
    <t>05/11/2023 02:30</t>
  </si>
  <si>
    <t>05/11/2023 02:45</t>
  </si>
  <si>
    <t>05/11/2023 03:00</t>
  </si>
  <si>
    <t>05/11/2023 03:15</t>
  </si>
  <si>
    <t>05/11/2023 03:30</t>
  </si>
  <si>
    <t>05/11/2023 03:45</t>
  </si>
  <si>
    <t>05/11/2023 04:00</t>
  </si>
  <si>
    <t>05/11/2023 04:15</t>
  </si>
  <si>
    <t>05/11/2023 04:30</t>
  </si>
  <si>
    <t>05/11/2023 04:45</t>
  </si>
  <si>
    <t>05/11/2023 05:00</t>
  </si>
  <si>
    <t>05/11/2023 05:15</t>
  </si>
  <si>
    <t>05/11/2023 05:30</t>
  </si>
  <si>
    <t>05/11/2023 05:45</t>
  </si>
  <si>
    <t>05/11/2023 06:00</t>
  </si>
  <si>
    <t>05/11/2023 06:15</t>
  </si>
  <si>
    <t>05/11/2023 06:30</t>
  </si>
  <si>
    <t>05/11/2023 06:45</t>
  </si>
  <si>
    <t>05/11/2023 07:00</t>
  </si>
  <si>
    <t>05/11/2023 07:15</t>
  </si>
  <si>
    <t>05/11/2023 07:30</t>
  </si>
  <si>
    <t>05/11/2023 07:45</t>
  </si>
  <si>
    <t>05/11/2023 08:00</t>
  </si>
  <si>
    <t>05/11/2023 08:15</t>
  </si>
  <si>
    <t>05/11/2023 08:30</t>
  </si>
  <si>
    <t>05/11/2023 08:45</t>
  </si>
  <si>
    <t>05/11/2023 09:00</t>
  </si>
  <si>
    <t>05/11/2023 09:15</t>
  </si>
  <si>
    <t>05/11/2023 09:30</t>
  </si>
  <si>
    <t>05/11/2023 09:45</t>
  </si>
  <si>
    <t>05/11/2023 10:00</t>
  </si>
  <si>
    <t>05/11/2023 10:15</t>
  </si>
  <si>
    <t>05/11/2023 10:30</t>
  </si>
  <si>
    <t>05/11/2023 10:45</t>
  </si>
  <si>
    <t>05/11/2023 11:00</t>
  </si>
  <si>
    <t>05/11/2023 11:15</t>
  </si>
  <si>
    <t>05/11/2023 11:30</t>
  </si>
  <si>
    <t>05/11/2023 11:45</t>
  </si>
  <si>
    <t>05/11/2023 12:00</t>
  </si>
  <si>
    <t>05/11/2023 12:15</t>
  </si>
  <si>
    <t>05/11/2023 12:30</t>
  </si>
  <si>
    <t>05/11/2023 12:45</t>
  </si>
  <si>
    <t>05/11/2023 13:00</t>
  </si>
  <si>
    <t>05/11/2023 13:15</t>
  </si>
  <si>
    <t>05/11/2023 13:30</t>
  </si>
  <si>
    <t>05/11/2023 13:45</t>
  </si>
  <si>
    <t>05/11/2023 14:00</t>
  </si>
  <si>
    <t>05/11/2023 14:15</t>
  </si>
  <si>
    <t>05/11/2023 14:30</t>
  </si>
  <si>
    <t>05/11/2023 14:45</t>
  </si>
  <si>
    <t>05/11/2023 15:00</t>
  </si>
  <si>
    <t>05/11/2023 15:15</t>
  </si>
  <si>
    <t>05/11/2023 15:30</t>
  </si>
  <si>
    <t>05/11/2023 15:45</t>
  </si>
  <si>
    <t>05/11/2023 16:00</t>
  </si>
  <si>
    <t>05/11/2023 16:15</t>
  </si>
  <si>
    <t>05/11/2023 16:30</t>
  </si>
  <si>
    <t>05/11/2023 16:45</t>
  </si>
  <si>
    <t>05/11/2023 17:00</t>
  </si>
  <si>
    <t>05/11/2023 17:15</t>
  </si>
  <si>
    <t>05/11/2023 17:30</t>
  </si>
  <si>
    <t>05/11/2023 17:45</t>
  </si>
  <si>
    <t>05/11/2023 18:00</t>
  </si>
  <si>
    <t>05/11/2023 18:15</t>
  </si>
  <si>
    <t>05/11/2023 18:30</t>
  </si>
  <si>
    <t>05/11/2023 18:45</t>
  </si>
  <si>
    <t>05/11/2023 19:00</t>
  </si>
  <si>
    <t>05/11/2023 19:15</t>
  </si>
  <si>
    <t>05/11/2023 19:30</t>
  </si>
  <si>
    <t>05/11/2023 19:45</t>
  </si>
  <si>
    <t>05/11/2023 20:00</t>
  </si>
  <si>
    <t>05/11/2023 20:15</t>
  </si>
  <si>
    <t>05/11/2023 20:30</t>
  </si>
  <si>
    <t>05/11/2023 20:45</t>
  </si>
  <si>
    <t>05/11/2023 21:00</t>
  </si>
  <si>
    <t>05/11/2023 21:15</t>
  </si>
  <si>
    <t>05/11/2023 21:30</t>
  </si>
  <si>
    <t>05/11/2023 21:45</t>
  </si>
  <si>
    <t>05/11/2023 22:00</t>
  </si>
  <si>
    <t>05/11/2023 22:15</t>
  </si>
  <si>
    <t>05/11/2023 22:30</t>
  </si>
  <si>
    <t>05/11/2023 22:45</t>
  </si>
  <si>
    <t>05/11/2023 23:00</t>
  </si>
  <si>
    <t>05/11/2023 23:15</t>
  </si>
  <si>
    <t>05/11/2023 23:30</t>
  </si>
  <si>
    <t>05/11/2023 23:45</t>
  </si>
  <si>
    <t>05/11/2023 24:00</t>
  </si>
  <si>
    <t>06/11/2023 00:15</t>
  </si>
  <si>
    <t>06/11/2023 00:30</t>
  </si>
  <si>
    <t>06/11/2023 00:45</t>
  </si>
  <si>
    <t>06/11/2023 01:00</t>
  </si>
  <si>
    <t>06/11/2023 01:15</t>
  </si>
  <si>
    <t>06/11/2023 01:30</t>
  </si>
  <si>
    <t>06/11/2023 01:45</t>
  </si>
  <si>
    <t>06/11/2023 02:00</t>
  </si>
  <si>
    <t>06/11/2023 02:15</t>
  </si>
  <si>
    <t>06/11/2023 02:30</t>
  </si>
  <si>
    <t>06/11/2023 02:45</t>
  </si>
  <si>
    <t>06/11/2023 03:00</t>
  </si>
  <si>
    <t>06/11/2023 03:15</t>
  </si>
  <si>
    <t>06/11/2023 03:30</t>
  </si>
  <si>
    <t>06/11/2023 03:45</t>
  </si>
  <si>
    <t>06/11/2023 04:00</t>
  </si>
  <si>
    <t>06/11/2023 04:15</t>
  </si>
  <si>
    <t>06/11/2023 04:30</t>
  </si>
  <si>
    <t>06/11/2023 04:45</t>
  </si>
  <si>
    <t>06/11/2023 05:00</t>
  </si>
  <si>
    <t>06/11/2023 05:15</t>
  </si>
  <si>
    <t>06/11/2023 05:30</t>
  </si>
  <si>
    <t>06/11/2023 05:45</t>
  </si>
  <si>
    <t>06/11/2023 06:00</t>
  </si>
  <si>
    <t>06/11/2023 06:15</t>
  </si>
  <si>
    <t>06/11/2023 06:30</t>
  </si>
  <si>
    <t>06/11/2023 06:45</t>
  </si>
  <si>
    <t>06/11/2023 07:00</t>
  </si>
  <si>
    <t>06/11/2023 07:15</t>
  </si>
  <si>
    <t>06/11/2023 07:30</t>
  </si>
  <si>
    <t>06/11/2023 07:45</t>
  </si>
  <si>
    <t>06/11/2023 08:00</t>
  </si>
  <si>
    <t>06/11/2023 08:15</t>
  </si>
  <si>
    <t>06/11/2023 08:30</t>
  </si>
  <si>
    <t>06/11/2023 08:45</t>
  </si>
  <si>
    <t>06/11/2023 09:00</t>
  </si>
  <si>
    <t>06/11/2023 09:15</t>
  </si>
  <si>
    <t>06/11/2023 09:30</t>
  </si>
  <si>
    <t>06/11/2023 09:45</t>
  </si>
  <si>
    <t>06/11/2023 10:00</t>
  </si>
  <si>
    <t>06/11/2023 10:15</t>
  </si>
  <si>
    <t>06/11/2023 10:30</t>
  </si>
  <si>
    <t>06/11/2023 10:45</t>
  </si>
  <si>
    <t>06/11/2023 11:00</t>
  </si>
  <si>
    <t>06/11/2023 11:15</t>
  </si>
  <si>
    <t>06/11/2023 11:30</t>
  </si>
  <si>
    <t>06/11/2023 11:45</t>
  </si>
  <si>
    <t>06/11/2023 12:00</t>
  </si>
  <si>
    <t>06/11/2023 12:15</t>
  </si>
  <si>
    <t>06/11/2023 12:30</t>
  </si>
  <si>
    <t>06/11/2023 12:45</t>
  </si>
  <si>
    <t>06/11/2023 13:00</t>
  </si>
  <si>
    <t>06/11/2023 13:15</t>
  </si>
  <si>
    <t>06/11/2023 13:30</t>
  </si>
  <si>
    <t>06/11/2023 13:45</t>
  </si>
  <si>
    <t>06/11/2023 14:00</t>
  </si>
  <si>
    <t>06/11/2023 14:15</t>
  </si>
  <si>
    <t>06/11/2023 14:30</t>
  </si>
  <si>
    <t>06/11/2023 14:45</t>
  </si>
  <si>
    <t>06/11/2023 15:00</t>
  </si>
  <si>
    <t>06/11/2023 15:15</t>
  </si>
  <si>
    <t>06/11/2023 15:30</t>
  </si>
  <si>
    <t>06/11/2023 15:45</t>
  </si>
  <si>
    <t>06/11/2023 16:00</t>
  </si>
  <si>
    <t>06/11/2023 16:15</t>
  </si>
  <si>
    <t>06/11/2023 16:30</t>
  </si>
  <si>
    <t>06/11/2023 16:45</t>
  </si>
  <si>
    <t>06/11/2023 17:00</t>
  </si>
  <si>
    <t>06/11/2023 17:15</t>
  </si>
  <si>
    <t>06/11/2023 17:30</t>
  </si>
  <si>
    <t>06/11/2023 17:45</t>
  </si>
  <si>
    <t>06/11/2023 18:00</t>
  </si>
  <si>
    <t>06/11/2023 18:15</t>
  </si>
  <si>
    <t>06/11/2023 18:30</t>
  </si>
  <si>
    <t>06/11/2023 18:45</t>
  </si>
  <si>
    <t>06/11/2023 19:00</t>
  </si>
  <si>
    <t>06/11/2023 19:15</t>
  </si>
  <si>
    <t>06/11/2023 19:30</t>
  </si>
  <si>
    <t>06/11/2023 19:45</t>
  </si>
  <si>
    <t>06/11/2023 20:00</t>
  </si>
  <si>
    <t>06/11/2023 20:15</t>
  </si>
  <si>
    <t>06/11/2023 20:30</t>
  </si>
  <si>
    <t>06/11/2023 20:45</t>
  </si>
  <si>
    <t>06/11/2023 21:00</t>
  </si>
  <si>
    <t>06/11/2023 21:15</t>
  </si>
  <si>
    <t>06/11/2023 21:30</t>
  </si>
  <si>
    <t>06/11/2023 21:45</t>
  </si>
  <si>
    <t>06/11/2023 22:00</t>
  </si>
  <si>
    <t>06/11/2023 22:15</t>
  </si>
  <si>
    <t>06/11/2023 22:30</t>
  </si>
  <si>
    <t>06/11/2023 22:45</t>
  </si>
  <si>
    <t>06/11/2023 23:00</t>
  </si>
  <si>
    <t>06/11/2023 23:15</t>
  </si>
  <si>
    <t>06/11/2023 23:30</t>
  </si>
  <si>
    <t>06/11/2023 23:45</t>
  </si>
  <si>
    <t>06/11/2023 24:00</t>
  </si>
  <si>
    <t>07/11/2023 00:15</t>
  </si>
  <si>
    <t>07/11/2023 00:30</t>
  </si>
  <si>
    <t>07/11/2023 00:45</t>
  </si>
  <si>
    <t>07/11/2023 01:00</t>
  </si>
  <si>
    <t>07/11/2023 01:15</t>
  </si>
  <si>
    <t>07/11/2023 01:30</t>
  </si>
  <si>
    <t>07/11/2023 01:45</t>
  </si>
  <si>
    <t>07/11/2023 02:00</t>
  </si>
  <si>
    <t>07/11/2023 02:15</t>
  </si>
  <si>
    <t>07/11/2023 02:30</t>
  </si>
  <si>
    <t>07/11/2023 02:45</t>
  </si>
  <si>
    <t>07/11/2023 03:00</t>
  </si>
  <si>
    <t>07/11/2023 03:15</t>
  </si>
  <si>
    <t>07/11/2023 03:30</t>
  </si>
  <si>
    <t>07/11/2023 03:45</t>
  </si>
  <si>
    <t>07/11/2023 04:00</t>
  </si>
  <si>
    <t>07/11/2023 04:15</t>
  </si>
  <si>
    <t>07/11/2023 04:30</t>
  </si>
  <si>
    <t>07/11/2023 04:45</t>
  </si>
  <si>
    <t>07/11/2023 05:00</t>
  </si>
  <si>
    <t>07/11/2023 05:15</t>
  </si>
  <si>
    <t>07/11/2023 05:30</t>
  </si>
  <si>
    <t>07/11/2023 05:45</t>
  </si>
  <si>
    <t>07/11/2023 06:00</t>
  </si>
  <si>
    <t>07/11/2023 06:15</t>
  </si>
  <si>
    <t>07/11/2023 06:30</t>
  </si>
  <si>
    <t>07/11/2023 06:45</t>
  </si>
  <si>
    <t>07/11/2023 07:00</t>
  </si>
  <si>
    <t>07/11/2023 07:15</t>
  </si>
  <si>
    <t>07/11/2023 07:30</t>
  </si>
  <si>
    <t>07/11/2023 07:45</t>
  </si>
  <si>
    <t>07/11/2023 08:00</t>
  </si>
  <si>
    <t>07/11/2023 08:15</t>
  </si>
  <si>
    <t>07/11/2023 08:30</t>
  </si>
  <si>
    <t>07/11/2023 08:45</t>
  </si>
  <si>
    <t>07/11/2023 09:00</t>
  </si>
  <si>
    <t>07/11/2023 09:15</t>
  </si>
  <si>
    <t>07/11/2023 09:30</t>
  </si>
  <si>
    <t>07/11/2023 09:45</t>
  </si>
  <si>
    <t>07/11/2023 10:00</t>
  </si>
  <si>
    <t>07/11/2023 10:15</t>
  </si>
  <si>
    <t>07/11/2023 10:30</t>
  </si>
  <si>
    <t>07/11/2023 10:45</t>
  </si>
  <si>
    <t>07/11/2023 11:00</t>
  </si>
  <si>
    <t>07/11/2023 11:15</t>
  </si>
  <si>
    <t>07/11/2023 11:30</t>
  </si>
  <si>
    <t>07/11/2023 11:45</t>
  </si>
  <si>
    <t>07/11/2023 12:00</t>
  </si>
  <si>
    <t>07/11/2023 12:15</t>
  </si>
  <si>
    <t>07/11/2023 12:30</t>
  </si>
  <si>
    <t>07/11/2023 12:45</t>
  </si>
  <si>
    <t>07/11/2023 13:00</t>
  </si>
  <si>
    <t>07/11/2023 13:15</t>
  </si>
  <si>
    <t>07/11/2023 13:30</t>
  </si>
  <si>
    <t>07/11/2023 13:45</t>
  </si>
  <si>
    <t>07/11/2023 14:00</t>
  </si>
  <si>
    <t>07/11/2023 14:15</t>
  </si>
  <si>
    <t>07/11/2023 14:30</t>
  </si>
  <si>
    <t>07/11/2023 14:45</t>
  </si>
  <si>
    <t>07/11/2023 15:00</t>
  </si>
  <si>
    <t>07/11/2023 15:15</t>
  </si>
  <si>
    <t>07/11/2023 15:30</t>
  </si>
  <si>
    <t>07/11/2023 15:45</t>
  </si>
  <si>
    <t>07/11/2023 16:00</t>
  </si>
  <si>
    <t>07/11/2023 16:15</t>
  </si>
  <si>
    <t>07/11/2023 16:30</t>
  </si>
  <si>
    <t>07/11/2023 16:45</t>
  </si>
  <si>
    <t>07/11/2023 17:00</t>
  </si>
  <si>
    <t>07/11/2023 17:15</t>
  </si>
  <si>
    <t>07/11/2023 17:30</t>
  </si>
  <si>
    <t>07/11/2023 17:45</t>
  </si>
  <si>
    <t>07/11/2023 18:00</t>
  </si>
  <si>
    <t>07/11/2023 18:15</t>
  </si>
  <si>
    <t>07/11/2023 18:30</t>
  </si>
  <si>
    <t>07/11/2023 18:45</t>
  </si>
  <si>
    <t>07/11/2023 19:00</t>
  </si>
  <si>
    <t>07/11/2023 19:15</t>
  </si>
  <si>
    <t>07/11/2023 19:30</t>
  </si>
  <si>
    <t>07/11/2023 19:45</t>
  </si>
  <si>
    <t>07/11/2023 20:00</t>
  </si>
  <si>
    <t>07/11/2023 20:15</t>
  </si>
  <si>
    <t>07/11/2023 20:30</t>
  </si>
  <si>
    <t>07/11/2023 20:45</t>
  </si>
  <si>
    <t>07/11/2023 21:00</t>
  </si>
  <si>
    <t>07/11/2023 21:15</t>
  </si>
  <si>
    <t>07/11/2023 21:30</t>
  </si>
  <si>
    <t>07/11/2023 21:45</t>
  </si>
  <si>
    <t>07/11/2023 22:00</t>
  </si>
  <si>
    <t>07/11/2023 22:15</t>
  </si>
  <si>
    <t>07/11/2023 22:30</t>
  </si>
  <si>
    <t>07/11/2023 22:45</t>
  </si>
  <si>
    <t>07/11/2023 23:00</t>
  </si>
  <si>
    <t>07/11/2023 23:15</t>
  </si>
  <si>
    <t>07/11/2023 23:30</t>
  </si>
  <si>
    <t>07/11/2023 23:45</t>
  </si>
  <si>
    <t>07/11/2023 24:00</t>
  </si>
  <si>
    <t>08/11/2023 00:15</t>
  </si>
  <si>
    <t>08/11/2023 00:30</t>
  </si>
  <si>
    <t>08/11/2023 00:45</t>
  </si>
  <si>
    <t>08/11/2023 01:00</t>
  </si>
  <si>
    <t>08/11/2023 01:15</t>
  </si>
  <si>
    <t>08/11/2023 01:30</t>
  </si>
  <si>
    <t>08/11/2023 01:45</t>
  </si>
  <si>
    <t>08/11/2023 02:00</t>
  </si>
  <si>
    <t>08/11/2023 02:15</t>
  </si>
  <si>
    <t>08/11/2023 02:30</t>
  </si>
  <si>
    <t>08/11/2023 02:45</t>
  </si>
  <si>
    <t>08/11/2023 03:00</t>
  </si>
  <si>
    <t>08/11/2023 03:15</t>
  </si>
  <si>
    <t>08/11/2023 03:30</t>
  </si>
  <si>
    <t>08/11/2023 03:45</t>
  </si>
  <si>
    <t>08/11/2023 04:00</t>
  </si>
  <si>
    <t>08/11/2023 04:15</t>
  </si>
  <si>
    <t>08/11/2023 04:30</t>
  </si>
  <si>
    <t>08/11/2023 04:45</t>
  </si>
  <si>
    <t>08/11/2023 05:00</t>
  </si>
  <si>
    <t>08/11/2023 05:15</t>
  </si>
  <si>
    <t>08/11/2023 05:30</t>
  </si>
  <si>
    <t>08/11/2023 05:45</t>
  </si>
  <si>
    <t>08/11/2023 06:00</t>
  </si>
  <si>
    <t>08/11/2023 06:15</t>
  </si>
  <si>
    <t>08/11/2023 06:30</t>
  </si>
  <si>
    <t>08/11/2023 06:45</t>
  </si>
  <si>
    <t>08/11/2023 07:00</t>
  </si>
  <si>
    <t>08/11/2023 07:15</t>
  </si>
  <si>
    <t>08/11/2023 07:30</t>
  </si>
  <si>
    <t>08/11/2023 07:45</t>
  </si>
  <si>
    <t>08/11/2023 08:00</t>
  </si>
  <si>
    <t>08/11/2023 08:15</t>
  </si>
  <si>
    <t>08/11/2023 08:30</t>
  </si>
  <si>
    <t>08/11/2023 08:45</t>
  </si>
  <si>
    <t>08/11/2023 09:00</t>
  </si>
  <si>
    <t>08/11/2023 09:15</t>
  </si>
  <si>
    <t>08/11/2023 09:30</t>
  </si>
  <si>
    <t>08/11/2023 09:45</t>
  </si>
  <si>
    <t>08/11/2023 10:00</t>
  </si>
  <si>
    <t>08/11/2023 10:15</t>
  </si>
  <si>
    <t>08/11/2023 10:30</t>
  </si>
  <si>
    <t>08/11/2023 10:45</t>
  </si>
  <si>
    <t>08/11/2023 11:00</t>
  </si>
  <si>
    <t>08/11/2023 11:15</t>
  </si>
  <si>
    <t>08/11/2023 11:30</t>
  </si>
  <si>
    <t>08/11/2023 11:45</t>
  </si>
  <si>
    <t>08/11/2023 12:00</t>
  </si>
  <si>
    <t>08/11/2023 12:15</t>
  </si>
  <si>
    <t>08/11/2023 12:30</t>
  </si>
  <si>
    <t>08/11/2023 12:45</t>
  </si>
  <si>
    <t>08/11/2023 13:00</t>
  </si>
  <si>
    <t>08/11/2023 13:15</t>
  </si>
  <si>
    <t>08/11/2023 13:30</t>
  </si>
  <si>
    <t>08/11/2023 13:45</t>
  </si>
  <si>
    <t>08/11/2023 14:00</t>
  </si>
  <si>
    <t>08/11/2023 14:15</t>
  </si>
  <si>
    <t>08/11/2023 14:30</t>
  </si>
  <si>
    <t>08/11/2023 14:45</t>
  </si>
  <si>
    <t>08/11/2023 15:00</t>
  </si>
  <si>
    <t>08/11/2023 15:15</t>
  </si>
  <si>
    <t>08/11/2023 15:30</t>
  </si>
  <si>
    <t>08/11/2023 15:45</t>
  </si>
  <si>
    <t>08/11/2023 16:00</t>
  </si>
  <si>
    <t>08/11/2023 16:15</t>
  </si>
  <si>
    <t>08/11/2023 16:30</t>
  </si>
  <si>
    <t>08/11/2023 16:45</t>
  </si>
  <si>
    <t>08/11/2023 17:00</t>
  </si>
  <si>
    <t>08/11/2023 17:15</t>
  </si>
  <si>
    <t>08/11/2023 17:30</t>
  </si>
  <si>
    <t>08/11/2023 17:45</t>
  </si>
  <si>
    <t>08/11/2023 18:00</t>
  </si>
  <si>
    <t>08/11/2023 18:15</t>
  </si>
  <si>
    <t>08/11/2023 18:30</t>
  </si>
  <si>
    <t>08/11/2023 18:45</t>
  </si>
  <si>
    <t>08/11/2023 19:00</t>
  </si>
  <si>
    <t>08/11/2023 19:15</t>
  </si>
  <si>
    <t>08/11/2023 19:30</t>
  </si>
  <si>
    <t>08/11/2023 19:45</t>
  </si>
  <si>
    <t>08/11/2023 20:00</t>
  </si>
  <si>
    <t>08/11/2023 20:15</t>
  </si>
  <si>
    <t>08/11/2023 20:30</t>
  </si>
  <si>
    <t>08/11/2023 20:45</t>
  </si>
  <si>
    <t>08/11/2023 21:00</t>
  </si>
  <si>
    <t>08/11/2023 21:15</t>
  </si>
  <si>
    <t>08/11/2023 21:30</t>
  </si>
  <si>
    <t>08/11/2023 21:45</t>
  </si>
  <si>
    <t>08/11/2023 22:00</t>
  </si>
  <si>
    <t>08/11/2023 22:15</t>
  </si>
  <si>
    <t>08/11/2023 22:30</t>
  </si>
  <si>
    <t>08/11/2023 22:45</t>
  </si>
  <si>
    <t>08/11/2023 23:00</t>
  </si>
  <si>
    <t>08/11/2023 23:15</t>
  </si>
  <si>
    <t>08/11/2023 23:30</t>
  </si>
  <si>
    <t>08/11/2023 23:45</t>
  </si>
  <si>
    <t>08/11/2023 24:00</t>
  </si>
  <si>
    <t>09/11/2023 00:15</t>
  </si>
  <si>
    <t>09/11/2023 00:30</t>
  </si>
  <si>
    <t>09/11/2023 00:45</t>
  </si>
  <si>
    <t>09/11/2023 01:00</t>
  </si>
  <si>
    <t>09/11/2023 01:15</t>
  </si>
  <si>
    <t>09/11/2023 01:30</t>
  </si>
  <si>
    <t>09/11/2023 01:45</t>
  </si>
  <si>
    <t>09/11/2023 02:00</t>
  </si>
  <si>
    <t>09/11/2023 02:15</t>
  </si>
  <si>
    <t>09/11/2023 02:30</t>
  </si>
  <si>
    <t>09/11/2023 02:45</t>
  </si>
  <si>
    <t>09/11/2023 03:00</t>
  </si>
  <si>
    <t>09/11/2023 03:15</t>
  </si>
  <si>
    <t>09/11/2023 03:30</t>
  </si>
  <si>
    <t>09/11/2023 03:45</t>
  </si>
  <si>
    <t>09/11/2023 04:00</t>
  </si>
  <si>
    <t>09/11/2023 04:15</t>
  </si>
  <si>
    <t>09/11/2023 04:30</t>
  </si>
  <si>
    <t>09/11/2023 04:45</t>
  </si>
  <si>
    <t>09/11/2023 05:00</t>
  </si>
  <si>
    <t>09/11/2023 05:15</t>
  </si>
  <si>
    <t>09/11/2023 05:30</t>
  </si>
  <si>
    <t>09/11/2023 05:45</t>
  </si>
  <si>
    <t>09/11/2023 06:00</t>
  </si>
  <si>
    <t>09/11/2023 06:15</t>
  </si>
  <si>
    <t>09/11/2023 06:30</t>
  </si>
  <si>
    <t>09/11/2023 06:45</t>
  </si>
  <si>
    <t>09/11/2023 07:00</t>
  </si>
  <si>
    <t>09/11/2023 07:15</t>
  </si>
  <si>
    <t>09/11/2023 07:30</t>
  </si>
  <si>
    <t>09/11/2023 07:45</t>
  </si>
  <si>
    <t>09/11/2023 08:00</t>
  </si>
  <si>
    <t>09/11/2023 08:15</t>
  </si>
  <si>
    <t>09/11/2023 08:30</t>
  </si>
  <si>
    <t>09/11/2023 08:45</t>
  </si>
  <si>
    <t>09/11/2023 09:00</t>
  </si>
  <si>
    <t>09/11/2023 09:15</t>
  </si>
  <si>
    <t>09/11/2023 09:30</t>
  </si>
  <si>
    <t>09/11/2023 09:45</t>
  </si>
  <si>
    <t>09/11/2023 10:00</t>
  </si>
  <si>
    <t>09/11/2023 10:15</t>
  </si>
  <si>
    <t>09/11/2023 10:30</t>
  </si>
  <si>
    <t>09/11/2023 10:45</t>
  </si>
  <si>
    <t>09/11/2023 11:00</t>
  </si>
  <si>
    <t>09/11/2023 11:15</t>
  </si>
  <si>
    <t>09/11/2023 11:30</t>
  </si>
  <si>
    <t>09/11/2023 11:45</t>
  </si>
  <si>
    <t>09/11/2023 12:00</t>
  </si>
  <si>
    <t>09/11/2023 12:15</t>
  </si>
  <si>
    <t>09/11/2023 12:30</t>
  </si>
  <si>
    <t>09/11/2023 12:45</t>
  </si>
  <si>
    <t>09/11/2023 13:00</t>
  </si>
  <si>
    <t>09/11/2023 13:15</t>
  </si>
  <si>
    <t>09/11/2023 13:30</t>
  </si>
  <si>
    <t>09/11/2023 13:45</t>
  </si>
  <si>
    <t>09/11/2023 14:00</t>
  </si>
  <si>
    <t>09/11/2023 14:15</t>
  </si>
  <si>
    <t>09/11/2023 14:30</t>
  </si>
  <si>
    <t>09/11/2023 14:45</t>
  </si>
  <si>
    <t>09/11/2023 15:00</t>
  </si>
  <si>
    <t>09/11/2023 15:15</t>
  </si>
  <si>
    <t>09/11/2023 15:30</t>
  </si>
  <si>
    <t>09/11/2023 15:45</t>
  </si>
  <si>
    <t>09/11/2023 16:00</t>
  </si>
  <si>
    <t>09/11/2023 16:15</t>
  </si>
  <si>
    <t>09/11/2023 16:30</t>
  </si>
  <si>
    <t>09/11/2023 16:45</t>
  </si>
  <si>
    <t>09/11/2023 17:00</t>
  </si>
  <si>
    <t>09/11/2023 17:15</t>
  </si>
  <si>
    <t>09/11/2023 17:30</t>
  </si>
  <si>
    <t>09/11/2023 17:45</t>
  </si>
  <si>
    <t>09/11/2023 18:00</t>
  </si>
  <si>
    <t>09/11/2023 18:15</t>
  </si>
  <si>
    <t>09/11/2023 18:30</t>
  </si>
  <si>
    <t>09/11/2023 18:45</t>
  </si>
  <si>
    <t>09/11/2023 19:00</t>
  </si>
  <si>
    <t>09/11/2023 19:15</t>
  </si>
  <si>
    <t>09/11/2023 19:30</t>
  </si>
  <si>
    <t>09/11/2023 19:45</t>
  </si>
  <si>
    <t>09/11/2023 20:00</t>
  </si>
  <si>
    <t>09/11/2023 20:15</t>
  </si>
  <si>
    <t>09/11/2023 20:30</t>
  </si>
  <si>
    <t>09/11/2023 20:45</t>
  </si>
  <si>
    <t>09/11/2023 21:00</t>
  </si>
  <si>
    <t>09/11/2023 21:15</t>
  </si>
  <si>
    <t>09/11/2023 21:30</t>
  </si>
  <si>
    <t>09/11/2023 21:45</t>
  </si>
  <si>
    <t>09/11/2023 22:00</t>
  </si>
  <si>
    <t>09/11/2023 22:15</t>
  </si>
  <si>
    <t>09/11/2023 22:30</t>
  </si>
  <si>
    <t>09/11/2023 22:45</t>
  </si>
  <si>
    <t>09/11/2023 23:00</t>
  </si>
  <si>
    <t>09/11/2023 23:15</t>
  </si>
  <si>
    <t>09/11/2023 23:30</t>
  </si>
  <si>
    <t>09/11/2023 23:45</t>
  </si>
  <si>
    <t>09/11/2023 24:00</t>
  </si>
  <si>
    <t>10/11/2023 00:15</t>
  </si>
  <si>
    <t>10/11/2023 00:30</t>
  </si>
  <si>
    <t>10/11/2023 00:45</t>
  </si>
  <si>
    <t>10/11/2023 01:00</t>
  </si>
  <si>
    <t>10/11/2023 01:15</t>
  </si>
  <si>
    <t>10/11/2023 01:30</t>
  </si>
  <si>
    <t>10/11/2023 01:45</t>
  </si>
  <si>
    <t>10/11/2023 02:00</t>
  </si>
  <si>
    <t>10/11/2023 02:15</t>
  </si>
  <si>
    <t>10/11/2023 02:30</t>
  </si>
  <si>
    <t>10/11/2023 02:45</t>
  </si>
  <si>
    <t>10/11/2023 03:00</t>
  </si>
  <si>
    <t>10/11/2023 03:15</t>
  </si>
  <si>
    <t>10/11/2023 03:30</t>
  </si>
  <si>
    <t>10/11/2023 03:45</t>
  </si>
  <si>
    <t>10/11/2023 04:00</t>
  </si>
  <si>
    <t>10/11/2023 04:15</t>
  </si>
  <si>
    <t>10/11/2023 04:30</t>
  </si>
  <si>
    <t>10/11/2023 04:45</t>
  </si>
  <si>
    <t>10/11/2023 05:00</t>
  </si>
  <si>
    <t>10/11/2023 05:15</t>
  </si>
  <si>
    <t>10/11/2023 05:30</t>
  </si>
  <si>
    <t>10/11/2023 05:45</t>
  </si>
  <si>
    <t>10/11/2023 06:00</t>
  </si>
  <si>
    <t>10/11/2023 06:15</t>
  </si>
  <si>
    <t>10/11/2023 06:30</t>
  </si>
  <si>
    <t>10/11/2023 06:45</t>
  </si>
  <si>
    <t>10/11/2023 07:00</t>
  </si>
  <si>
    <t>10/11/2023 07:15</t>
  </si>
  <si>
    <t>10/11/2023 07:30</t>
  </si>
  <si>
    <t>10/11/2023 07:45</t>
  </si>
  <si>
    <t>10/11/2023 08:00</t>
  </si>
  <si>
    <t>10/11/2023 08:15</t>
  </si>
  <si>
    <t>10/11/2023 08:30</t>
  </si>
  <si>
    <t>10/11/2023 08:45</t>
  </si>
  <si>
    <t>10/11/2023 09:00</t>
  </si>
  <si>
    <t>10/11/2023 09:15</t>
  </si>
  <si>
    <t>10/11/2023 09:30</t>
  </si>
  <si>
    <t>10/11/2023 09:45</t>
  </si>
  <si>
    <t>10/11/2023 10:00</t>
  </si>
  <si>
    <t>10/11/2023 10:15</t>
  </si>
  <si>
    <t>10/11/2023 10:30</t>
  </si>
  <si>
    <t>10/11/2023 10:45</t>
  </si>
  <si>
    <t>10/11/2023 11:00</t>
  </si>
  <si>
    <t>10/11/2023 11:15</t>
  </si>
  <si>
    <t>10/11/2023 11:30</t>
  </si>
  <si>
    <t>10/11/2023 11:45</t>
  </si>
  <si>
    <t>10/11/2023 12:00</t>
  </si>
  <si>
    <t>10/11/2023 12:15</t>
  </si>
  <si>
    <t>10/11/2023 12:30</t>
  </si>
  <si>
    <t>10/11/2023 12:45</t>
  </si>
  <si>
    <t>10/11/2023 13:00</t>
  </si>
  <si>
    <t>10/11/2023 13:15</t>
  </si>
  <si>
    <t>10/11/2023 13:30</t>
  </si>
  <si>
    <t>10/11/2023 13:45</t>
  </si>
  <si>
    <t>10/11/2023 14:00</t>
  </si>
  <si>
    <t>10/11/2023 14:15</t>
  </si>
  <si>
    <t>10/11/2023 14:30</t>
  </si>
  <si>
    <t>10/11/2023 14:45</t>
  </si>
  <si>
    <t>10/11/2023 15:00</t>
  </si>
  <si>
    <t>10/11/2023 15:15</t>
  </si>
  <si>
    <t>10/11/2023 15:30</t>
  </si>
  <si>
    <t>10/11/2023 15:45</t>
  </si>
  <si>
    <t>10/11/2023 16:00</t>
  </si>
  <si>
    <t>10/11/2023 16:15</t>
  </si>
  <si>
    <t>10/11/2023 16:30</t>
  </si>
  <si>
    <t>10/11/2023 16:45</t>
  </si>
  <si>
    <t>10/11/2023 17:00</t>
  </si>
  <si>
    <t>10/11/2023 17:15</t>
  </si>
  <si>
    <t>10/11/2023 17:30</t>
  </si>
  <si>
    <t>10/11/2023 17:45</t>
  </si>
  <si>
    <t>10/11/2023 18:00</t>
  </si>
  <si>
    <t>10/11/2023 18:15</t>
  </si>
  <si>
    <t>10/11/2023 18:30</t>
  </si>
  <si>
    <t>10/11/2023 18:45</t>
  </si>
  <si>
    <t>10/11/2023 19:00</t>
  </si>
  <si>
    <t>10/11/2023 19:15</t>
  </si>
  <si>
    <t>10/11/2023 19:30</t>
  </si>
  <si>
    <t>10/11/2023 19:45</t>
  </si>
  <si>
    <t>10/11/2023 20:00</t>
  </si>
  <si>
    <t>10/11/2023 20:15</t>
  </si>
  <si>
    <t>10/11/2023 20:30</t>
  </si>
  <si>
    <t>10/11/2023 20:45</t>
  </si>
  <si>
    <t>10/11/2023 21:00</t>
  </si>
  <si>
    <t>10/11/2023 21:15</t>
  </si>
  <si>
    <t>10/11/2023 21:30</t>
  </si>
  <si>
    <t>10/11/2023 21:45</t>
  </si>
  <si>
    <t>10/11/2023 22:00</t>
  </si>
  <si>
    <t>10/11/2023 22:15</t>
  </si>
  <si>
    <t>10/11/2023 22:30</t>
  </si>
  <si>
    <t>10/11/2023 22:45</t>
  </si>
  <si>
    <t>10/11/2023 23:00</t>
  </si>
  <si>
    <t>10/11/2023 23:15</t>
  </si>
  <si>
    <t>10/11/2023 23:30</t>
  </si>
  <si>
    <t>10/11/2023 23:45</t>
  </si>
  <si>
    <t>10/11/2023 24:00</t>
  </si>
  <si>
    <t>11/11/2023 00:15</t>
  </si>
  <si>
    <t>11/11/2023 00:30</t>
  </si>
  <si>
    <t>11/11/2023 00:45</t>
  </si>
  <si>
    <t>11/11/2023 01:00</t>
  </si>
  <si>
    <t>11/11/2023 01:15</t>
  </si>
  <si>
    <t>11/11/2023 01:30</t>
  </si>
  <si>
    <t>11/11/2023 01:45</t>
  </si>
  <si>
    <t>11/11/2023 02:00</t>
  </si>
  <si>
    <t>11/11/2023 02:15</t>
  </si>
  <si>
    <t>11/11/2023 02:30</t>
  </si>
  <si>
    <t>11/11/2023 02:45</t>
  </si>
  <si>
    <t>11/11/2023 03:00</t>
  </si>
  <si>
    <t>11/11/2023 03:15</t>
  </si>
  <si>
    <t>11/11/2023 03:30</t>
  </si>
  <si>
    <t>11/11/2023 03:45</t>
  </si>
  <si>
    <t>11/11/2023 04:00</t>
  </si>
  <si>
    <t>11/11/2023 04:15</t>
  </si>
  <si>
    <t>11/11/2023 04:30</t>
  </si>
  <si>
    <t>11/11/2023 04:45</t>
  </si>
  <si>
    <t>11/11/2023 05:00</t>
  </si>
  <si>
    <t>11/11/2023 05:15</t>
  </si>
  <si>
    <t>11/11/2023 05:30</t>
  </si>
  <si>
    <t>11/11/2023 05:45</t>
  </si>
  <si>
    <t>11/11/2023 06:00</t>
  </si>
  <si>
    <t>11/11/2023 06:15</t>
  </si>
  <si>
    <t>11/11/2023 06:30</t>
  </si>
  <si>
    <t>11/11/2023 06:45</t>
  </si>
  <si>
    <t>11/11/2023 07:00</t>
  </si>
  <si>
    <t>11/11/2023 07:15</t>
  </si>
  <si>
    <t>11/11/2023 07:30</t>
  </si>
  <si>
    <t>11/11/2023 07:45</t>
  </si>
  <si>
    <t>11/11/2023 08:00</t>
  </si>
  <si>
    <t>11/11/2023 08:15</t>
  </si>
  <si>
    <t>11/11/2023 08:30</t>
  </si>
  <si>
    <t>11/11/2023 08:45</t>
  </si>
  <si>
    <t>11/11/2023 09:00</t>
  </si>
  <si>
    <t>11/11/2023 09:15</t>
  </si>
  <si>
    <t>11/11/2023 09:30</t>
  </si>
  <si>
    <t>11/11/2023 09:45</t>
  </si>
  <si>
    <t>11/11/2023 10:00</t>
  </si>
  <si>
    <t>11/11/2023 10:15</t>
  </si>
  <si>
    <t>11/11/2023 10:30</t>
  </si>
  <si>
    <t>11/11/2023 10:45</t>
  </si>
  <si>
    <t>11/11/2023 11:00</t>
  </si>
  <si>
    <t>11/11/2023 11:15</t>
  </si>
  <si>
    <t>11/11/2023 11:30</t>
  </si>
  <si>
    <t>11/11/2023 11:45</t>
  </si>
  <si>
    <t>11/11/2023 12:00</t>
  </si>
  <si>
    <t>11/11/2023 12:15</t>
  </si>
  <si>
    <t>11/11/2023 12:30</t>
  </si>
  <si>
    <t>11/11/2023 12:45</t>
  </si>
  <si>
    <t>11/11/2023 13:00</t>
  </si>
  <si>
    <t>11/11/2023 13:15</t>
  </si>
  <si>
    <t>11/11/2023 13:30</t>
  </si>
  <si>
    <t>11/11/2023 13:45</t>
  </si>
  <si>
    <t>11/11/2023 14:00</t>
  </si>
  <si>
    <t>11/11/2023 14:15</t>
  </si>
  <si>
    <t>11/11/2023 14:30</t>
  </si>
  <si>
    <t>11/11/2023 14:45</t>
  </si>
  <si>
    <t>11/11/2023 15:00</t>
  </si>
  <si>
    <t>11/11/2023 15:15</t>
  </si>
  <si>
    <t>11/11/2023 15:30</t>
  </si>
  <si>
    <t>11/11/2023 15:45</t>
  </si>
  <si>
    <t>11/11/2023 16:00</t>
  </si>
  <si>
    <t>11/11/2023 16:15</t>
  </si>
  <si>
    <t>11/11/2023 16:30</t>
  </si>
  <si>
    <t>11/11/2023 16:45</t>
  </si>
  <si>
    <t>11/11/2023 17:00</t>
  </si>
  <si>
    <t>11/11/2023 17:15</t>
  </si>
  <si>
    <t>11/11/2023 17:30</t>
  </si>
  <si>
    <t>11/11/2023 17:45</t>
  </si>
  <si>
    <t>11/11/2023 18:00</t>
  </si>
  <si>
    <t>11/11/2023 18:15</t>
  </si>
  <si>
    <t>11/11/2023 18:30</t>
  </si>
  <si>
    <t>11/11/2023 18:45</t>
  </si>
  <si>
    <t>11/11/2023 19:00</t>
  </si>
  <si>
    <t>11/11/2023 19:15</t>
  </si>
  <si>
    <t>11/11/2023 19:30</t>
  </si>
  <si>
    <t>11/11/2023 19:45</t>
  </si>
  <si>
    <t>11/11/2023 20:00</t>
  </si>
  <si>
    <t>11/11/2023 20:15</t>
  </si>
  <si>
    <t>11/11/2023 20:30</t>
  </si>
  <si>
    <t>11/11/2023 20:45</t>
  </si>
  <si>
    <t>11/11/2023 21:00</t>
  </si>
  <si>
    <t>11/11/2023 21:15</t>
  </si>
  <si>
    <t>11/11/2023 21:30</t>
  </si>
  <si>
    <t>11/11/2023 21:45</t>
  </si>
  <si>
    <t>11/11/2023 22:00</t>
  </si>
  <si>
    <t>11/11/2023 22:15</t>
  </si>
  <si>
    <t>11/11/2023 22:30</t>
  </si>
  <si>
    <t>11/11/2023 22:45</t>
  </si>
  <si>
    <t>11/11/2023 23:00</t>
  </si>
  <si>
    <t>11/11/2023 23:15</t>
  </si>
  <si>
    <t>11/11/2023 23:30</t>
  </si>
  <si>
    <t>11/11/2023 23:45</t>
  </si>
  <si>
    <t>11/11/2023 24:00</t>
  </si>
  <si>
    <t>12/11/2023 00:15</t>
  </si>
  <si>
    <t>12/11/2023 00:30</t>
  </si>
  <si>
    <t>12/11/2023 00:45</t>
  </si>
  <si>
    <t>12/11/2023 01:00</t>
  </si>
  <si>
    <t>12/11/2023 01:15</t>
  </si>
  <si>
    <t>12/11/2023 01:30</t>
  </si>
  <si>
    <t>12/11/2023 01:45</t>
  </si>
  <si>
    <t>12/11/2023 02:00</t>
  </si>
  <si>
    <t>12/11/2023 02:15</t>
  </si>
  <si>
    <t>12/11/2023 02:30</t>
  </si>
  <si>
    <t>12/11/2023 02:45</t>
  </si>
  <si>
    <t>12/11/2023 03:00</t>
  </si>
  <si>
    <t>12/11/2023 03:15</t>
  </si>
  <si>
    <t>12/11/2023 03:30</t>
  </si>
  <si>
    <t>12/11/2023 03:45</t>
  </si>
  <si>
    <t>12/11/2023 04:00</t>
  </si>
  <si>
    <t>12/11/2023 04:15</t>
  </si>
  <si>
    <t>12/11/2023 04:30</t>
  </si>
  <si>
    <t>12/11/2023 04:45</t>
  </si>
  <si>
    <t>12/11/2023 05:00</t>
  </si>
  <si>
    <t>12/11/2023 05:15</t>
  </si>
  <si>
    <t>12/11/2023 05:30</t>
  </si>
  <si>
    <t>12/11/2023 05:45</t>
  </si>
  <si>
    <t>12/11/2023 06:00</t>
  </si>
  <si>
    <t>12/11/2023 06:15</t>
  </si>
  <si>
    <t>12/11/2023 06:30</t>
  </si>
  <si>
    <t>12/11/2023 06:45</t>
  </si>
  <si>
    <t>12/11/2023 07:00</t>
  </si>
  <si>
    <t>12/11/2023 07:15</t>
  </si>
  <si>
    <t>12/11/2023 07:30</t>
  </si>
  <si>
    <t>12/11/2023 07:45</t>
  </si>
  <si>
    <t>12/11/2023 08:00</t>
  </si>
  <si>
    <t>12/11/2023 08:15</t>
  </si>
  <si>
    <t>12/11/2023 08:30</t>
  </si>
  <si>
    <t>12/11/2023 08:45</t>
  </si>
  <si>
    <t>12/11/2023 09:00</t>
  </si>
  <si>
    <t>12/11/2023 09:15</t>
  </si>
  <si>
    <t>12/11/2023 09:30</t>
  </si>
  <si>
    <t>12/11/2023 09:45</t>
  </si>
  <si>
    <t>12/11/2023 10:00</t>
  </si>
  <si>
    <t>12/11/2023 10:15</t>
  </si>
  <si>
    <t>12/11/2023 10:30</t>
  </si>
  <si>
    <t>12/11/2023 10:45</t>
  </si>
  <si>
    <t>12/11/2023 11:00</t>
  </si>
  <si>
    <t>12/11/2023 11:15</t>
  </si>
  <si>
    <t>12/11/2023 11:30</t>
  </si>
  <si>
    <t>12/11/2023 11:45</t>
  </si>
  <si>
    <t>12/11/2023 12:00</t>
  </si>
  <si>
    <t>12/11/2023 12:15</t>
  </si>
  <si>
    <t>12/11/2023 12:30</t>
  </si>
  <si>
    <t>12/11/2023 12:45</t>
  </si>
  <si>
    <t>12/11/2023 13:00</t>
  </si>
  <si>
    <t>12/11/2023 13:15</t>
  </si>
  <si>
    <t>12/11/2023 13:30</t>
  </si>
  <si>
    <t>12/11/2023 13:45</t>
  </si>
  <si>
    <t>12/11/2023 14:00</t>
  </si>
  <si>
    <t>12/11/2023 14:15</t>
  </si>
  <si>
    <t>12/11/2023 14:30</t>
  </si>
  <si>
    <t>12/11/2023 14:45</t>
  </si>
  <si>
    <t>12/11/2023 15:00</t>
  </si>
  <si>
    <t>12/11/2023 15:15</t>
  </si>
  <si>
    <t>12/11/2023 15:30</t>
  </si>
  <si>
    <t>12/11/2023 15:45</t>
  </si>
  <si>
    <t>12/11/2023 16:00</t>
  </si>
  <si>
    <t>12/11/2023 16:15</t>
  </si>
  <si>
    <t>12/11/2023 16:30</t>
  </si>
  <si>
    <t>12/11/2023 16:45</t>
  </si>
  <si>
    <t>12/11/2023 17:00</t>
  </si>
  <si>
    <t>12/11/2023 17:15</t>
  </si>
  <si>
    <t>12/11/2023 17:30</t>
  </si>
  <si>
    <t>12/11/2023 17:45</t>
  </si>
  <si>
    <t>12/11/2023 18:00</t>
  </si>
  <si>
    <t>12/11/2023 18:15</t>
  </si>
  <si>
    <t>12/11/2023 18:30</t>
  </si>
  <si>
    <t>12/11/2023 18:45</t>
  </si>
  <si>
    <t>12/11/2023 19:00</t>
  </si>
  <si>
    <t>12/11/2023 19:15</t>
  </si>
  <si>
    <t>12/11/2023 19:30</t>
  </si>
  <si>
    <t>12/11/2023 19:45</t>
  </si>
  <si>
    <t>12/11/2023 20:00</t>
  </si>
  <si>
    <t>12/11/2023 20:15</t>
  </si>
  <si>
    <t>12/11/2023 20:30</t>
  </si>
  <si>
    <t>12/11/2023 20:45</t>
  </si>
  <si>
    <t>12/11/2023 21:00</t>
  </si>
  <si>
    <t>12/11/2023 21:15</t>
  </si>
  <si>
    <t>12/11/2023 21:30</t>
  </si>
  <si>
    <t>12/11/2023 21:45</t>
  </si>
  <si>
    <t>12/11/2023 22:00</t>
  </si>
  <si>
    <t>12/11/2023 22:15</t>
  </si>
  <si>
    <t>12/11/2023 22:30</t>
  </si>
  <si>
    <t>12/11/2023 22:45</t>
  </si>
  <si>
    <t>12/11/2023 23:00</t>
  </si>
  <si>
    <t>12/11/2023 23:15</t>
  </si>
  <si>
    <t>12/11/2023 23:30</t>
  </si>
  <si>
    <t>12/11/2023 23:45</t>
  </si>
  <si>
    <t>12/11/2023 24:00</t>
  </si>
  <si>
    <t>13/11/2023 00:15</t>
  </si>
  <si>
    <t>13/11/2023 00:30</t>
  </si>
  <si>
    <t>13/11/2023 00:45</t>
  </si>
  <si>
    <t>13/11/2023 01:00</t>
  </si>
  <si>
    <t>13/11/2023 01:15</t>
  </si>
  <si>
    <t>13/11/2023 01:30</t>
  </si>
  <si>
    <t>13/11/2023 01:45</t>
  </si>
  <si>
    <t>13/11/2023 02:00</t>
  </si>
  <si>
    <t>13/11/2023 02:15</t>
  </si>
  <si>
    <t>13/11/2023 02:30</t>
  </si>
  <si>
    <t>13/11/2023 02:45</t>
  </si>
  <si>
    <t>13/11/2023 03:00</t>
  </si>
  <si>
    <t>13/11/2023 03:15</t>
  </si>
  <si>
    <t>13/11/2023 03:30</t>
  </si>
  <si>
    <t>13/11/2023 03:45</t>
  </si>
  <si>
    <t>13/11/2023 04:00</t>
  </si>
  <si>
    <t>13/11/2023 04:15</t>
  </si>
  <si>
    <t>13/11/2023 04:30</t>
  </si>
  <si>
    <t>13/11/2023 04:45</t>
  </si>
  <si>
    <t>13/11/2023 05:00</t>
  </si>
  <si>
    <t>13/11/2023 05:15</t>
  </si>
  <si>
    <t>13/11/2023 05:30</t>
  </si>
  <si>
    <t>13/11/2023 05:45</t>
  </si>
  <si>
    <t>13/11/2023 06:00</t>
  </si>
  <si>
    <t>13/11/2023 06:15</t>
  </si>
  <si>
    <t>13/11/2023 06:30</t>
  </si>
  <si>
    <t>13/11/2023 06:45</t>
  </si>
  <si>
    <t>13/11/2023 07:00</t>
  </si>
  <si>
    <t>13/11/2023 07:15</t>
  </si>
  <si>
    <t>13/11/2023 07:30</t>
  </si>
  <si>
    <t>13/11/2023 07:45</t>
  </si>
  <si>
    <t>13/11/2023 08:00</t>
  </si>
  <si>
    <t>13/11/2023 08:15</t>
  </si>
  <si>
    <t>13/11/2023 08:30</t>
  </si>
  <si>
    <t>13/11/2023 08:45</t>
  </si>
  <si>
    <t>13/11/2023 09:00</t>
  </si>
  <si>
    <t>13/11/2023 09:15</t>
  </si>
  <si>
    <t>13/11/2023 09:30</t>
  </si>
  <si>
    <t>13/11/2023 09:45</t>
  </si>
  <si>
    <t>13/11/2023 10:00</t>
  </si>
  <si>
    <t>13/11/2023 10:15</t>
  </si>
  <si>
    <t>13/11/2023 10:30</t>
  </si>
  <si>
    <t>13/11/2023 10:45</t>
  </si>
  <si>
    <t>13/11/2023 11:00</t>
  </si>
  <si>
    <t>13/11/2023 11:15</t>
  </si>
  <si>
    <t>13/11/2023 11:30</t>
  </si>
  <si>
    <t>13/11/2023 11:45</t>
  </si>
  <si>
    <t>13/11/2023 12:00</t>
  </si>
  <si>
    <t>13/11/2023 12:15</t>
  </si>
  <si>
    <t>13/11/2023 12:30</t>
  </si>
  <si>
    <t>13/11/2023 12:45</t>
  </si>
  <si>
    <t>13/11/2023 13:00</t>
  </si>
  <si>
    <t>13/11/2023 13:15</t>
  </si>
  <si>
    <t>13/11/2023 13:30</t>
  </si>
  <si>
    <t>13/11/2023 13:45</t>
  </si>
  <si>
    <t>13/11/2023 14:00</t>
  </si>
  <si>
    <t>13/11/2023 14:15</t>
  </si>
  <si>
    <t>13/11/2023 14:30</t>
  </si>
  <si>
    <t>13/11/2023 14:45</t>
  </si>
  <si>
    <t>13/11/2023 15:00</t>
  </si>
  <si>
    <t>13/11/2023 15:15</t>
  </si>
  <si>
    <t>13/11/2023 15:30</t>
  </si>
  <si>
    <t>13/11/2023 15:45</t>
  </si>
  <si>
    <t>13/11/2023 16:00</t>
  </si>
  <si>
    <t>13/11/2023 16:15</t>
  </si>
  <si>
    <t>13/11/2023 16:30</t>
  </si>
  <si>
    <t>13/11/2023 16:45</t>
  </si>
  <si>
    <t>13/11/2023 17:00</t>
  </si>
  <si>
    <t>13/11/2023 17:15</t>
  </si>
  <si>
    <t>13/11/2023 17:30</t>
  </si>
  <si>
    <t>13/11/2023 17:45</t>
  </si>
  <si>
    <t>13/11/2023 18:00</t>
  </si>
  <si>
    <t>13/11/2023 18:15</t>
  </si>
  <si>
    <t>13/11/2023 18:30</t>
  </si>
  <si>
    <t>13/11/2023 18:45</t>
  </si>
  <si>
    <t>13/11/2023 19:00</t>
  </si>
  <si>
    <t>13/11/2023 19:15</t>
  </si>
  <si>
    <t>13/11/2023 19:30</t>
  </si>
  <si>
    <t>13/11/2023 19:45</t>
  </si>
  <si>
    <t>13/11/2023 20:00</t>
  </si>
  <si>
    <t>13/11/2023 20:15</t>
  </si>
  <si>
    <t>13/11/2023 20:30</t>
  </si>
  <si>
    <t>13/11/2023 20:45</t>
  </si>
  <si>
    <t>13/11/2023 21:00</t>
  </si>
  <si>
    <t>13/11/2023 21:15</t>
  </si>
  <si>
    <t>13/11/2023 21:30</t>
  </si>
  <si>
    <t>13/11/2023 21:45</t>
  </si>
  <si>
    <t>13/11/2023 22:00</t>
  </si>
  <si>
    <t>13/11/2023 22:15</t>
  </si>
  <si>
    <t>13/11/2023 22:30</t>
  </si>
  <si>
    <t>13/11/2023 22:45</t>
  </si>
  <si>
    <t>13/11/2023 23:00</t>
  </si>
  <si>
    <t>13/11/2023 23:15</t>
  </si>
  <si>
    <t>13/11/2023 23:30</t>
  </si>
  <si>
    <t>13/11/2023 23:45</t>
  </si>
  <si>
    <t>13/11/2023 24:00</t>
  </si>
  <si>
    <t>14/11/2023 00:15</t>
  </si>
  <si>
    <t>14/11/2023 00:30</t>
  </si>
  <si>
    <t>14/11/2023 00:45</t>
  </si>
  <si>
    <t>14/11/2023 01:00</t>
  </si>
  <si>
    <t>14/11/2023 01:15</t>
  </si>
  <si>
    <t>14/11/2023 01:30</t>
  </si>
  <si>
    <t>14/11/2023 01:45</t>
  </si>
  <si>
    <t>14/11/2023 02:00</t>
  </si>
  <si>
    <t>14/11/2023 02:15</t>
  </si>
  <si>
    <t>14/11/2023 02:30</t>
  </si>
  <si>
    <t>14/11/2023 02:45</t>
  </si>
  <si>
    <t>14/11/2023 03:00</t>
  </si>
  <si>
    <t>14/11/2023 03:15</t>
  </si>
  <si>
    <t>14/11/2023 03:30</t>
  </si>
  <si>
    <t>14/11/2023 03:45</t>
  </si>
  <si>
    <t>14/11/2023 04:00</t>
  </si>
  <si>
    <t>14/11/2023 04:15</t>
  </si>
  <si>
    <t>14/11/2023 04:30</t>
  </si>
  <si>
    <t>14/11/2023 04:45</t>
  </si>
  <si>
    <t>14/11/2023 05:00</t>
  </si>
  <si>
    <t>14/11/2023 05:15</t>
  </si>
  <si>
    <t>14/11/2023 05:30</t>
  </si>
  <si>
    <t>14/11/2023 05:45</t>
  </si>
  <si>
    <t>14/11/2023 06:00</t>
  </si>
  <si>
    <t>14/11/2023 06:15</t>
  </si>
  <si>
    <t>14/11/2023 06:30</t>
  </si>
  <si>
    <t>14/11/2023 06:45</t>
  </si>
  <si>
    <t>14/11/2023 07:00</t>
  </si>
  <si>
    <t>14/11/2023 07:15</t>
  </si>
  <si>
    <t>14/11/2023 07:30</t>
  </si>
  <si>
    <t>14/11/2023 07:45</t>
  </si>
  <si>
    <t>14/11/2023 08:00</t>
  </si>
  <si>
    <t>14/11/2023 08:15</t>
  </si>
  <si>
    <t>14/11/2023 08:30</t>
  </si>
  <si>
    <t>14/11/2023 08:45</t>
  </si>
  <si>
    <t>14/11/2023 09:00</t>
  </si>
  <si>
    <t>14/11/2023 09:15</t>
  </si>
  <si>
    <t>14/11/2023 09:30</t>
  </si>
  <si>
    <t>14/11/2023 09:45</t>
  </si>
  <si>
    <t>14/11/2023 10:00</t>
  </si>
  <si>
    <t>14/11/2023 10:15</t>
  </si>
  <si>
    <t>14/11/2023 10:30</t>
  </si>
  <si>
    <t>14/11/2023 10:45</t>
  </si>
  <si>
    <t>14/11/2023 11:00</t>
  </si>
  <si>
    <t>14/11/2023 11:15</t>
  </si>
  <si>
    <t>14/11/2023 11:30</t>
  </si>
  <si>
    <t>14/11/2023 11:45</t>
  </si>
  <si>
    <t>14/11/2023 12:00</t>
  </si>
  <si>
    <t>14/11/2023 12:15</t>
  </si>
  <si>
    <t>14/11/2023 12:30</t>
  </si>
  <si>
    <t>14/11/2023 12:45</t>
  </si>
  <si>
    <t>14/11/2023 13:00</t>
  </si>
  <si>
    <t>14/11/2023 13:15</t>
  </si>
  <si>
    <t>14/11/2023 13:30</t>
  </si>
  <si>
    <t>14/11/2023 13:45</t>
  </si>
  <si>
    <t>14/11/2023 14:00</t>
  </si>
  <si>
    <t>14/11/2023 14:15</t>
  </si>
  <si>
    <t>14/11/2023 14:30</t>
  </si>
  <si>
    <t>14/11/2023 14:45</t>
  </si>
  <si>
    <t>14/11/2023 15:00</t>
  </si>
  <si>
    <t>14/11/2023 15:15</t>
  </si>
  <si>
    <t>14/11/2023 15:30</t>
  </si>
  <si>
    <t>14/11/2023 15:45</t>
  </si>
  <si>
    <t>14/11/2023 16:00</t>
  </si>
  <si>
    <t>14/11/2023 16:15</t>
  </si>
  <si>
    <t>14/11/2023 16:30</t>
  </si>
  <si>
    <t>14/11/2023 16:45</t>
  </si>
  <si>
    <t>14/11/2023 17:00</t>
  </si>
  <si>
    <t>14/11/2023 17:15</t>
  </si>
  <si>
    <t>14/11/2023 17:30</t>
  </si>
  <si>
    <t>14/11/2023 17:45</t>
  </si>
  <si>
    <t>14/11/2023 18:00</t>
  </si>
  <si>
    <t>14/11/2023 18:15</t>
  </si>
  <si>
    <t>14/11/2023 18:30</t>
  </si>
  <si>
    <t>14/11/2023 18:45</t>
  </si>
  <si>
    <t>14/11/2023 19:00</t>
  </si>
  <si>
    <t>14/11/2023 19:15</t>
  </si>
  <si>
    <t>14/11/2023 19:30</t>
  </si>
  <si>
    <t>14/11/2023 19:45</t>
  </si>
  <si>
    <t>14/11/2023 20:00</t>
  </si>
  <si>
    <t>14/11/2023 20:15</t>
  </si>
  <si>
    <t>14/11/2023 20:30</t>
  </si>
  <si>
    <t>14/11/2023 20:45</t>
  </si>
  <si>
    <t>14/11/2023 21:00</t>
  </si>
  <si>
    <t>14/11/2023 21:15</t>
  </si>
  <si>
    <t>14/11/2023 21:30</t>
  </si>
  <si>
    <t>14/11/2023 21:45</t>
  </si>
  <si>
    <t>14/11/2023 22:00</t>
  </si>
  <si>
    <t>14/11/2023 22:15</t>
  </si>
  <si>
    <t>14/11/2023 22:30</t>
  </si>
  <si>
    <t>14/11/2023 22:45</t>
  </si>
  <si>
    <t>14/11/2023 23:00</t>
  </si>
  <si>
    <t>14/11/2023 23:15</t>
  </si>
  <si>
    <t>14/11/2023 23:30</t>
  </si>
  <si>
    <t>14/11/2023 23:45</t>
  </si>
  <si>
    <t>14/11/2023 24:00</t>
  </si>
  <si>
    <t>15/11/2023 00:15</t>
  </si>
  <si>
    <t>15/11/2023 00:30</t>
  </si>
  <si>
    <t>15/11/2023 00:45</t>
  </si>
  <si>
    <t>15/11/2023 01:00</t>
  </si>
  <si>
    <t>15/11/2023 01:15</t>
  </si>
  <si>
    <t>15/11/2023 01:30</t>
  </si>
  <si>
    <t>15/11/2023 01:45</t>
  </si>
  <si>
    <t>15/11/2023 02:00</t>
  </si>
  <si>
    <t>15/11/2023 02:15</t>
  </si>
  <si>
    <t>15/11/2023 02:30</t>
  </si>
  <si>
    <t>15/11/2023 02:45</t>
  </si>
  <si>
    <t>15/11/2023 03:00</t>
  </si>
  <si>
    <t>15/11/2023 03:15</t>
  </si>
  <si>
    <t>15/11/2023 03:30</t>
  </si>
  <si>
    <t>15/11/2023 03:45</t>
  </si>
  <si>
    <t>15/11/2023 04:00</t>
  </si>
  <si>
    <t>15/11/2023 04:15</t>
  </si>
  <si>
    <t>15/11/2023 04:30</t>
  </si>
  <si>
    <t>15/11/2023 04:45</t>
  </si>
  <si>
    <t>15/11/2023 05:00</t>
  </si>
  <si>
    <t>15/11/2023 05:15</t>
  </si>
  <si>
    <t>15/11/2023 05:30</t>
  </si>
  <si>
    <t>15/11/2023 05:45</t>
  </si>
  <si>
    <t>15/11/2023 06:00</t>
  </si>
  <si>
    <t>15/11/2023 06:15</t>
  </si>
  <si>
    <t>15/11/2023 06:30</t>
  </si>
  <si>
    <t>15/11/2023 06:45</t>
  </si>
  <si>
    <t>15/11/2023 07:00</t>
  </si>
  <si>
    <t>15/11/2023 07:15</t>
  </si>
  <si>
    <t>15/11/2023 07:30</t>
  </si>
  <si>
    <t>15/11/2023 07:45</t>
  </si>
  <si>
    <t>15/11/2023 08:00</t>
  </si>
  <si>
    <t>15/11/2023 08:15</t>
  </si>
  <si>
    <t>15/11/2023 08:30</t>
  </si>
  <si>
    <t>15/11/2023 08:45</t>
  </si>
  <si>
    <t>15/11/2023 09:00</t>
  </si>
  <si>
    <t>15/11/2023 09:15</t>
  </si>
  <si>
    <t>15/11/2023 09:30</t>
  </si>
  <si>
    <t>15/11/2023 09:45</t>
  </si>
  <si>
    <t>15/11/2023 10:00</t>
  </si>
  <si>
    <t>15/11/2023 10:15</t>
  </si>
  <si>
    <t>15/11/2023 10:30</t>
  </si>
  <si>
    <t>15/11/2023 10:45</t>
  </si>
  <si>
    <t>15/11/2023 11:00</t>
  </si>
  <si>
    <t>15/11/2023 11:15</t>
  </si>
  <si>
    <t>15/11/2023 11:30</t>
  </si>
  <si>
    <t>15/11/2023 11:45</t>
  </si>
  <si>
    <t>15/11/2023 12:00</t>
  </si>
  <si>
    <t>15/11/2023 12:15</t>
  </si>
  <si>
    <t>15/11/2023 12:30</t>
  </si>
  <si>
    <t>15/11/2023 12:45</t>
  </si>
  <si>
    <t>15/11/2023 13:00</t>
  </si>
  <si>
    <t>15/11/2023 13:15</t>
  </si>
  <si>
    <t>15/11/2023 13:30</t>
  </si>
  <si>
    <t>15/11/2023 13:45</t>
  </si>
  <si>
    <t>15/11/2023 14:00</t>
  </si>
  <si>
    <t>15/11/2023 14:15</t>
  </si>
  <si>
    <t>15/11/2023 14:30</t>
  </si>
  <si>
    <t>15/11/2023 14:45</t>
  </si>
  <si>
    <t>15/11/2023 15:00</t>
  </si>
  <si>
    <t>15/11/2023 15:15</t>
  </si>
  <si>
    <t>15/11/2023 15:30</t>
  </si>
  <si>
    <t>15/11/2023 15:45</t>
  </si>
  <si>
    <t>15/11/2023 16:00</t>
  </si>
  <si>
    <t>15/11/2023 16:15</t>
  </si>
  <si>
    <t>15/11/2023 16:30</t>
  </si>
  <si>
    <t>15/11/2023 16:45</t>
  </si>
  <si>
    <t>15/11/2023 17:00</t>
  </si>
  <si>
    <t>15/11/2023 17:15</t>
  </si>
  <si>
    <t>15/11/2023 17:30</t>
  </si>
  <si>
    <t>15/11/2023 17:45</t>
  </si>
  <si>
    <t>15/11/2023 18:00</t>
  </si>
  <si>
    <t>15/11/2023 18:15</t>
  </si>
  <si>
    <t>15/11/2023 18:30</t>
  </si>
  <si>
    <t>15/11/2023 18:45</t>
  </si>
  <si>
    <t>15/11/2023 19:00</t>
  </si>
  <si>
    <t>15/11/2023 19:15</t>
  </si>
  <si>
    <t>15/11/2023 19:30</t>
  </si>
  <si>
    <t>15/11/2023 19:45</t>
  </si>
  <si>
    <t>15/11/2023 20:00</t>
  </si>
  <si>
    <t>15/11/2023 20:15</t>
  </si>
  <si>
    <t>15/11/2023 20:30</t>
  </si>
  <si>
    <t>15/11/2023 20:45</t>
  </si>
  <si>
    <t>15/11/2023 21:00</t>
  </si>
  <si>
    <t>15/11/2023 21:15</t>
  </si>
  <si>
    <t>15/11/2023 21:30</t>
  </si>
  <si>
    <t>15/11/2023 21:45</t>
  </si>
  <si>
    <t>15/11/2023 22:00</t>
  </si>
  <si>
    <t>15/11/2023 22:15</t>
  </si>
  <si>
    <t>15/11/2023 22:30</t>
  </si>
  <si>
    <t>15/11/2023 22:45</t>
  </si>
  <si>
    <t>15/11/2023 23:00</t>
  </si>
  <si>
    <t>15/11/2023 23:15</t>
  </si>
  <si>
    <t>15/11/2023 23:30</t>
  </si>
  <si>
    <t>15/11/2023 23:45</t>
  </si>
  <si>
    <t>15/11/2023 24:00</t>
  </si>
  <si>
    <t>16/11/2023 00:15</t>
  </si>
  <si>
    <t>16/11/2023 00:30</t>
  </si>
  <si>
    <t>16/11/2023 00:45</t>
  </si>
  <si>
    <t>16/11/2023 01:00</t>
  </si>
  <si>
    <t>16/11/2023 01:15</t>
  </si>
  <si>
    <t>16/11/2023 01:30</t>
  </si>
  <si>
    <t>16/11/2023 01:45</t>
  </si>
  <si>
    <t>16/11/2023 02:00</t>
  </si>
  <si>
    <t>16/11/2023 02:15</t>
  </si>
  <si>
    <t>16/11/2023 02:30</t>
  </si>
  <si>
    <t>16/11/2023 02:45</t>
  </si>
  <si>
    <t>16/11/2023 03:00</t>
  </si>
  <si>
    <t>16/11/2023 03:15</t>
  </si>
  <si>
    <t>16/11/2023 03:30</t>
  </si>
  <si>
    <t>16/11/2023 03:45</t>
  </si>
  <si>
    <t>16/11/2023 04:00</t>
  </si>
  <si>
    <t>16/11/2023 04:15</t>
  </si>
  <si>
    <t>16/11/2023 04:30</t>
  </si>
  <si>
    <t>16/11/2023 04:45</t>
  </si>
  <si>
    <t>16/11/2023 05:00</t>
  </si>
  <si>
    <t>16/11/2023 05:15</t>
  </si>
  <si>
    <t>16/11/2023 05:30</t>
  </si>
  <si>
    <t>16/11/2023 05:45</t>
  </si>
  <si>
    <t>16/11/2023 06:00</t>
  </si>
  <si>
    <t>16/11/2023 06:15</t>
  </si>
  <si>
    <t>16/11/2023 06:30</t>
  </si>
  <si>
    <t>16/11/2023 06:45</t>
  </si>
  <si>
    <t>16/11/2023 07:00</t>
  </si>
  <si>
    <t>16/11/2023 07:15</t>
  </si>
  <si>
    <t>16/11/2023 07:30</t>
  </si>
  <si>
    <t>16/11/2023 07:45</t>
  </si>
  <si>
    <t>16/11/2023 08:00</t>
  </si>
  <si>
    <t>16/11/2023 08:15</t>
  </si>
  <si>
    <t>16/11/2023 08:30</t>
  </si>
  <si>
    <t>16/11/2023 08:45</t>
  </si>
  <si>
    <t>16/11/2023 09:00</t>
  </si>
  <si>
    <t>16/11/2023 09:15</t>
  </si>
  <si>
    <t>16/11/2023 09:30</t>
  </si>
  <si>
    <t>16/11/2023 09:45</t>
  </si>
  <si>
    <t>16/11/2023 10:00</t>
  </si>
  <si>
    <t>16/11/2023 10:15</t>
  </si>
  <si>
    <t>16/11/2023 10:30</t>
  </si>
  <si>
    <t>16/11/2023 10:45</t>
  </si>
  <si>
    <t>16/11/2023 11:00</t>
  </si>
  <si>
    <t>16/11/2023 11:15</t>
  </si>
  <si>
    <t>16/11/2023 11:30</t>
  </si>
  <si>
    <t>16/11/2023 11:45</t>
  </si>
  <si>
    <t>16/11/2023 12:00</t>
  </si>
  <si>
    <t>16/11/2023 12:15</t>
  </si>
  <si>
    <t>16/11/2023 12:30</t>
  </si>
  <si>
    <t>16/11/2023 12:45</t>
  </si>
  <si>
    <t>16/11/2023 13:00</t>
  </si>
  <si>
    <t>16/11/2023 13:15</t>
  </si>
  <si>
    <t>16/11/2023 13:30</t>
  </si>
  <si>
    <t>16/11/2023 13:45</t>
  </si>
  <si>
    <t>16/11/2023 14:00</t>
  </si>
  <si>
    <t>16/11/2023 14:15</t>
  </si>
  <si>
    <t>16/11/2023 14:30</t>
  </si>
  <si>
    <t>16/11/2023 14:45</t>
  </si>
  <si>
    <t>16/11/2023 15:00</t>
  </si>
  <si>
    <t>16/11/2023 15:15</t>
  </si>
  <si>
    <t>16/11/2023 15:30</t>
  </si>
  <si>
    <t>16/11/2023 15:45</t>
  </si>
  <si>
    <t>16/11/2023 16:00</t>
  </si>
  <si>
    <t>16/11/2023 16:15</t>
  </si>
  <si>
    <t>16/11/2023 16:30</t>
  </si>
  <si>
    <t>16/11/2023 16:45</t>
  </si>
  <si>
    <t>16/11/2023 17:00</t>
  </si>
  <si>
    <t>16/11/2023 17:15</t>
  </si>
  <si>
    <t>16/11/2023 17:30</t>
  </si>
  <si>
    <t>16/11/2023 17:45</t>
  </si>
  <si>
    <t>16/11/2023 18:00</t>
  </si>
  <si>
    <t>16/11/2023 18:15</t>
  </si>
  <si>
    <t>16/11/2023 18:30</t>
  </si>
  <si>
    <t>16/11/2023 18:45</t>
  </si>
  <si>
    <t>16/11/2023 19:00</t>
  </si>
  <si>
    <t>16/11/2023 19:15</t>
  </si>
  <si>
    <t>16/11/2023 19:30</t>
  </si>
  <si>
    <t>16/11/2023 19:45</t>
  </si>
  <si>
    <t>16/11/2023 20:00</t>
  </si>
  <si>
    <t>16/11/2023 20:15</t>
  </si>
  <si>
    <t>16/11/2023 20:30</t>
  </si>
  <si>
    <t>16/11/2023 20:45</t>
  </si>
  <si>
    <t>16/11/2023 21:00</t>
  </si>
  <si>
    <t>16/11/2023 21:15</t>
  </si>
  <si>
    <t>16/11/2023 21:30</t>
  </si>
  <si>
    <t>16/11/2023 21:45</t>
  </si>
  <si>
    <t>16/11/2023 22:00</t>
  </si>
  <si>
    <t>16/11/2023 22:15</t>
  </si>
  <si>
    <t>16/11/2023 22:30</t>
  </si>
  <si>
    <t>16/11/2023 22:45</t>
  </si>
  <si>
    <t>16/11/2023 23:00</t>
  </si>
  <si>
    <t>16/11/2023 23:15</t>
  </si>
  <si>
    <t>16/11/2023 23:30</t>
  </si>
  <si>
    <t>16/11/2023 23:45</t>
  </si>
  <si>
    <t>16/11/2023 24:00</t>
  </si>
  <si>
    <t>17/11/2023 00:15</t>
  </si>
  <si>
    <t>17/11/2023 00:30</t>
  </si>
  <si>
    <t>17/11/2023 00:45</t>
  </si>
  <si>
    <t>17/11/2023 01:00</t>
  </si>
  <si>
    <t>17/11/2023 01:15</t>
  </si>
  <si>
    <t>17/11/2023 01:30</t>
  </si>
  <si>
    <t>17/11/2023 01:45</t>
  </si>
  <si>
    <t>17/11/2023 02:00</t>
  </si>
  <si>
    <t>17/11/2023 02:15</t>
  </si>
  <si>
    <t>17/11/2023 02:30</t>
  </si>
  <si>
    <t>17/11/2023 02:45</t>
  </si>
  <si>
    <t>17/11/2023 03:00</t>
  </si>
  <si>
    <t>17/11/2023 03:15</t>
  </si>
  <si>
    <t>17/11/2023 03:30</t>
  </si>
  <si>
    <t>17/11/2023 03:45</t>
  </si>
  <si>
    <t>17/11/2023 04:00</t>
  </si>
  <si>
    <t>17/11/2023 04:15</t>
  </si>
  <si>
    <t>17/11/2023 04:30</t>
  </si>
  <si>
    <t>17/11/2023 04:45</t>
  </si>
  <si>
    <t>17/11/2023 05:00</t>
  </si>
  <si>
    <t>17/11/2023 05:15</t>
  </si>
  <si>
    <t>17/11/2023 05:30</t>
  </si>
  <si>
    <t>17/11/2023 05:45</t>
  </si>
  <si>
    <t>17/11/2023 06:00</t>
  </si>
  <si>
    <t>17/11/2023 06:15</t>
  </si>
  <si>
    <t>17/11/2023 06:30</t>
  </si>
  <si>
    <t>17/11/2023 06:45</t>
  </si>
  <si>
    <t>17/11/2023 07:00</t>
  </si>
  <si>
    <t>17/11/2023 07:15</t>
  </si>
  <si>
    <t>17/11/2023 07:30</t>
  </si>
  <si>
    <t>17/11/2023 07:45</t>
  </si>
  <si>
    <t>17/11/2023 08:00</t>
  </si>
  <si>
    <t>17/11/2023 08:15</t>
  </si>
  <si>
    <t>17/11/2023 08:30</t>
  </si>
  <si>
    <t>17/11/2023 08:45</t>
  </si>
  <si>
    <t>17/11/2023 09:00</t>
  </si>
  <si>
    <t>17/11/2023 09:15</t>
  </si>
  <si>
    <t>17/11/2023 09:30</t>
  </si>
  <si>
    <t>17/11/2023 09:45</t>
  </si>
  <si>
    <t>17/11/2023 10:00</t>
  </si>
  <si>
    <t>17/11/2023 10:15</t>
  </si>
  <si>
    <t>17/11/2023 10:30</t>
  </si>
  <si>
    <t>17/11/2023 10:45</t>
  </si>
  <si>
    <t>17/11/2023 11:00</t>
  </si>
  <si>
    <t>17/11/2023 11:15</t>
  </si>
  <si>
    <t>17/11/2023 11:30</t>
  </si>
  <si>
    <t>17/11/2023 11:45</t>
  </si>
  <si>
    <t>17/11/2023 12:00</t>
  </si>
  <si>
    <t>17/11/2023 12:15</t>
  </si>
  <si>
    <t>17/11/2023 12:30</t>
  </si>
  <si>
    <t>17/11/2023 12:45</t>
  </si>
  <si>
    <t>17/11/2023 13:00</t>
  </si>
  <si>
    <t>17/11/2023 13:15</t>
  </si>
  <si>
    <t>17/11/2023 13:30</t>
  </si>
  <si>
    <t>17/11/2023 13:45</t>
  </si>
  <si>
    <t>17/11/2023 14:00</t>
  </si>
  <si>
    <t>17/11/2023 14:15</t>
  </si>
  <si>
    <t>17/11/2023 14:30</t>
  </si>
  <si>
    <t>17/11/2023 14:45</t>
  </si>
  <si>
    <t>17/11/2023 15:00</t>
  </si>
  <si>
    <t>17/11/2023 15:15</t>
  </si>
  <si>
    <t>17/11/2023 15:30</t>
  </si>
  <si>
    <t>17/11/2023 15:45</t>
  </si>
  <si>
    <t>17/11/2023 16:00</t>
  </si>
  <si>
    <t>17/11/2023 16:15</t>
  </si>
  <si>
    <t>17/11/2023 16:30</t>
  </si>
  <si>
    <t>17/11/2023 16:45</t>
  </si>
  <si>
    <t>17/11/2023 17:00</t>
  </si>
  <si>
    <t>17/11/2023 17:15</t>
  </si>
  <si>
    <t>17/11/2023 17:30</t>
  </si>
  <si>
    <t>17/11/2023 17:45</t>
  </si>
  <si>
    <t>17/11/2023 18:00</t>
  </si>
  <si>
    <t>17/11/2023 18:15</t>
  </si>
  <si>
    <t>17/11/2023 18:30</t>
  </si>
  <si>
    <t>17/11/2023 18:45</t>
  </si>
  <si>
    <t>17/11/2023 19:00</t>
  </si>
  <si>
    <t>17/11/2023 19:15</t>
  </si>
  <si>
    <t>17/11/2023 19:30</t>
  </si>
  <si>
    <t>17/11/2023 19:45</t>
  </si>
  <si>
    <t>17/11/2023 20:00</t>
  </si>
  <si>
    <t>17/11/2023 20:15</t>
  </si>
  <si>
    <t>17/11/2023 20:30</t>
  </si>
  <si>
    <t>17/11/2023 20:45</t>
  </si>
  <si>
    <t>17/11/2023 21:00</t>
  </si>
  <si>
    <t>17/11/2023 21:15</t>
  </si>
  <si>
    <t>17/11/2023 21:30</t>
  </si>
  <si>
    <t>17/11/2023 21:45</t>
  </si>
  <si>
    <t>17/11/2023 22:00</t>
  </si>
  <si>
    <t>17/11/2023 22:15</t>
  </si>
  <si>
    <t>17/11/2023 22:30</t>
  </si>
  <si>
    <t>17/11/2023 22:45</t>
  </si>
  <si>
    <t>17/11/2023 23:00</t>
  </si>
  <si>
    <t>17/11/2023 23:15</t>
  </si>
  <si>
    <t>17/11/2023 23:30</t>
  </si>
  <si>
    <t>17/11/2023 23:45</t>
  </si>
  <si>
    <t>17/11/2023 24:00</t>
  </si>
  <si>
    <t>18/11/2023 00:15</t>
  </si>
  <si>
    <t>18/11/2023 00:30</t>
  </si>
  <si>
    <t>18/11/2023 00:45</t>
  </si>
  <si>
    <t>18/11/2023 01:00</t>
  </si>
  <si>
    <t>18/11/2023 01:15</t>
  </si>
  <si>
    <t>18/11/2023 01:30</t>
  </si>
  <si>
    <t>18/11/2023 01:45</t>
  </si>
  <si>
    <t>18/11/2023 02:00</t>
  </si>
  <si>
    <t>18/11/2023 02:15</t>
  </si>
  <si>
    <t>18/11/2023 02:30</t>
  </si>
  <si>
    <t>18/11/2023 02:45</t>
  </si>
  <si>
    <t>18/11/2023 03:00</t>
  </si>
  <si>
    <t>18/11/2023 03:15</t>
  </si>
  <si>
    <t>18/11/2023 03:30</t>
  </si>
  <si>
    <t>18/11/2023 03:45</t>
  </si>
  <si>
    <t>18/11/2023 04:00</t>
  </si>
  <si>
    <t>18/11/2023 04:15</t>
  </si>
  <si>
    <t>18/11/2023 04:30</t>
  </si>
  <si>
    <t>18/11/2023 04:45</t>
  </si>
  <si>
    <t>18/11/2023 05:00</t>
  </si>
  <si>
    <t>18/11/2023 05:15</t>
  </si>
  <si>
    <t>18/11/2023 05:30</t>
  </si>
  <si>
    <t>18/11/2023 05:45</t>
  </si>
  <si>
    <t>18/11/2023 06:00</t>
  </si>
  <si>
    <t>18/11/2023 06:15</t>
  </si>
  <si>
    <t>18/11/2023 06:30</t>
  </si>
  <si>
    <t>18/11/2023 06:45</t>
  </si>
  <si>
    <t>18/11/2023 07:00</t>
  </si>
  <si>
    <t>18/11/2023 07:15</t>
  </si>
  <si>
    <t>18/11/2023 07:30</t>
  </si>
  <si>
    <t>18/11/2023 07:45</t>
  </si>
  <si>
    <t>18/11/2023 08:00</t>
  </si>
  <si>
    <t>18/11/2023 08:15</t>
  </si>
  <si>
    <t>18/11/2023 08:30</t>
  </si>
  <si>
    <t>18/11/2023 08:45</t>
  </si>
  <si>
    <t>18/11/2023 09:00</t>
  </si>
  <si>
    <t>18/11/2023 09:15</t>
  </si>
  <si>
    <t>18/11/2023 09:30</t>
  </si>
  <si>
    <t>18/11/2023 09:45</t>
  </si>
  <si>
    <t>18/11/2023 10:00</t>
  </si>
  <si>
    <t>18/11/2023 10:15</t>
  </si>
  <si>
    <t>18/11/2023 10:30</t>
  </si>
  <si>
    <t>18/11/2023 10:45</t>
  </si>
  <si>
    <t>18/11/2023 11:00</t>
  </si>
  <si>
    <t>18/11/2023 11:15</t>
  </si>
  <si>
    <t>18/11/2023 11:30</t>
  </si>
  <si>
    <t>18/11/2023 11:45</t>
  </si>
  <si>
    <t>18/11/2023 12:00</t>
  </si>
  <si>
    <t>18/11/2023 12:15</t>
  </si>
  <si>
    <t>18/11/2023 12:30</t>
  </si>
  <si>
    <t>18/11/2023 12:45</t>
  </si>
  <si>
    <t>18/11/2023 13:00</t>
  </si>
  <si>
    <t>18/11/2023 13:15</t>
  </si>
  <si>
    <t>18/11/2023 13:30</t>
  </si>
  <si>
    <t>18/11/2023 13:45</t>
  </si>
  <si>
    <t>18/11/2023 14:00</t>
  </si>
  <si>
    <t>18/11/2023 14:15</t>
  </si>
  <si>
    <t>18/11/2023 14:30</t>
  </si>
  <si>
    <t>18/11/2023 14:45</t>
  </si>
  <si>
    <t>18/11/2023 15:00</t>
  </si>
  <si>
    <t>18/11/2023 15:15</t>
  </si>
  <si>
    <t>18/11/2023 15:30</t>
  </si>
  <si>
    <t>18/11/2023 15:45</t>
  </si>
  <si>
    <t>18/11/2023 16:00</t>
  </si>
  <si>
    <t>18/11/2023 16:15</t>
  </si>
  <si>
    <t>18/11/2023 16:30</t>
  </si>
  <si>
    <t>18/11/2023 16:45</t>
  </si>
  <si>
    <t>18/11/2023 17:00</t>
  </si>
  <si>
    <t>18/11/2023 17:15</t>
  </si>
  <si>
    <t>18/11/2023 17:30</t>
  </si>
  <si>
    <t>18/11/2023 17:45</t>
  </si>
  <si>
    <t>18/11/2023 18:00</t>
  </si>
  <si>
    <t>18/11/2023 18:15</t>
  </si>
  <si>
    <t>18/11/2023 18:30</t>
  </si>
  <si>
    <t>18/11/2023 18:45</t>
  </si>
  <si>
    <t>18/11/2023 19:00</t>
  </si>
  <si>
    <t>18/11/2023 19:15</t>
  </si>
  <si>
    <t>18/11/2023 19:30</t>
  </si>
  <si>
    <t>18/11/2023 19:45</t>
  </si>
  <si>
    <t>18/11/2023 20:00</t>
  </si>
  <si>
    <t>18/11/2023 20:15</t>
  </si>
  <si>
    <t>18/11/2023 20:30</t>
  </si>
  <si>
    <t>18/11/2023 20:45</t>
  </si>
  <si>
    <t>18/11/2023 21:00</t>
  </si>
  <si>
    <t>18/11/2023 21:15</t>
  </si>
  <si>
    <t>18/11/2023 21:30</t>
  </si>
  <si>
    <t>18/11/2023 21:45</t>
  </si>
  <si>
    <t>18/11/2023 22:00</t>
  </si>
  <si>
    <t>18/11/2023 22:15</t>
  </si>
  <si>
    <t>18/11/2023 22:30</t>
  </si>
  <si>
    <t>18/11/2023 22:45</t>
  </si>
  <si>
    <t>18/11/2023 23:00</t>
  </si>
  <si>
    <t>18/11/2023 23:15</t>
  </si>
  <si>
    <t>18/11/2023 23:30</t>
  </si>
  <si>
    <t>18/11/2023 23:45</t>
  </si>
  <si>
    <t>18/11/2023 24:00</t>
  </si>
  <si>
    <t>19/11/2023 00:15</t>
  </si>
  <si>
    <t>19/11/2023 00:30</t>
  </si>
  <si>
    <t>19/11/2023 00:45</t>
  </si>
  <si>
    <t>19/11/2023 01:00</t>
  </si>
  <si>
    <t>19/11/2023 01:15</t>
  </si>
  <si>
    <t>19/11/2023 01:30</t>
  </si>
  <si>
    <t>19/11/2023 01:45</t>
  </si>
  <si>
    <t>19/11/2023 02:00</t>
  </si>
  <si>
    <t>19/11/2023 02:15</t>
  </si>
  <si>
    <t>19/11/2023 02:30</t>
  </si>
  <si>
    <t>19/11/2023 02:45</t>
  </si>
  <si>
    <t>19/11/2023 03:00</t>
  </si>
  <si>
    <t>19/11/2023 03:15</t>
  </si>
  <si>
    <t>19/11/2023 03:30</t>
  </si>
  <si>
    <t>19/11/2023 03:45</t>
  </si>
  <si>
    <t>19/11/2023 04:00</t>
  </si>
  <si>
    <t>19/11/2023 04:15</t>
  </si>
  <si>
    <t>19/11/2023 04:30</t>
  </si>
  <si>
    <t>19/11/2023 04:45</t>
  </si>
  <si>
    <t>19/11/2023 05:00</t>
  </si>
  <si>
    <t>19/11/2023 05:15</t>
  </si>
  <si>
    <t>19/11/2023 05:30</t>
  </si>
  <si>
    <t>19/11/2023 05:45</t>
  </si>
  <si>
    <t>19/11/2023 06:00</t>
  </si>
  <si>
    <t>19/11/2023 06:15</t>
  </si>
  <si>
    <t>19/11/2023 06:30</t>
  </si>
  <si>
    <t>19/11/2023 06:45</t>
  </si>
  <si>
    <t>19/11/2023 07:00</t>
  </si>
  <si>
    <t>19/11/2023 07:15</t>
  </si>
  <si>
    <t>19/11/2023 07:30</t>
  </si>
  <si>
    <t>19/11/2023 07:45</t>
  </si>
  <si>
    <t>19/11/2023 08:00</t>
  </si>
  <si>
    <t>19/11/2023 08:15</t>
  </si>
  <si>
    <t>19/11/2023 08:30</t>
  </si>
  <si>
    <t>19/11/2023 08:45</t>
  </si>
  <si>
    <t>19/11/2023 09:00</t>
  </si>
  <si>
    <t>19/11/2023 09:15</t>
  </si>
  <si>
    <t>19/11/2023 09:30</t>
  </si>
  <si>
    <t>19/11/2023 09:45</t>
  </si>
  <si>
    <t>19/11/2023 10:00</t>
  </si>
  <si>
    <t>19/11/2023 10:15</t>
  </si>
  <si>
    <t>19/11/2023 10:30</t>
  </si>
  <si>
    <t>19/11/2023 10:45</t>
  </si>
  <si>
    <t>19/11/2023 11:00</t>
  </si>
  <si>
    <t>19/11/2023 11:15</t>
  </si>
  <si>
    <t>19/11/2023 11:30</t>
  </si>
  <si>
    <t>19/11/2023 11:45</t>
  </si>
  <si>
    <t>19/11/2023 12:00</t>
  </si>
  <si>
    <t>19/11/2023 12:15</t>
  </si>
  <si>
    <t>19/11/2023 12:30</t>
  </si>
  <si>
    <t>19/11/2023 12:45</t>
  </si>
  <si>
    <t>19/11/2023 13:00</t>
  </si>
  <si>
    <t>19/11/2023 13:15</t>
  </si>
  <si>
    <t>19/11/2023 13:30</t>
  </si>
  <si>
    <t>19/11/2023 13:45</t>
  </si>
  <si>
    <t>19/11/2023 14:00</t>
  </si>
  <si>
    <t>19/11/2023 14:15</t>
  </si>
  <si>
    <t>19/11/2023 14:30</t>
  </si>
  <si>
    <t>19/11/2023 14:45</t>
  </si>
  <si>
    <t>19/11/2023 15:00</t>
  </si>
  <si>
    <t>19/11/2023 15:15</t>
  </si>
  <si>
    <t>19/11/2023 15:30</t>
  </si>
  <si>
    <t>19/11/2023 15:45</t>
  </si>
  <si>
    <t>19/11/2023 16:00</t>
  </si>
  <si>
    <t>19/11/2023 16:15</t>
  </si>
  <si>
    <t>19/11/2023 16:30</t>
  </si>
  <si>
    <t>19/11/2023 16:45</t>
  </si>
  <si>
    <t>19/11/2023 17:00</t>
  </si>
  <si>
    <t>19/11/2023 17:15</t>
  </si>
  <si>
    <t>19/11/2023 17:30</t>
  </si>
  <si>
    <t>19/11/2023 17:45</t>
  </si>
  <si>
    <t>19/11/2023 18:00</t>
  </si>
  <si>
    <t>19/11/2023 18:15</t>
  </si>
  <si>
    <t>19/11/2023 18:30</t>
  </si>
  <si>
    <t>19/11/2023 18:45</t>
  </si>
  <si>
    <t>19/11/2023 19:00</t>
  </si>
  <si>
    <t>19/11/2023 19:15</t>
  </si>
  <si>
    <t>19/11/2023 19:30</t>
  </si>
  <si>
    <t>19/11/2023 19:45</t>
  </si>
  <si>
    <t>19/11/2023 20:00</t>
  </si>
  <si>
    <t>19/11/2023 20:15</t>
  </si>
  <si>
    <t>19/11/2023 20:30</t>
  </si>
  <si>
    <t>19/11/2023 20:45</t>
  </si>
  <si>
    <t>19/11/2023 21:00</t>
  </si>
  <si>
    <t>19/11/2023 21:15</t>
  </si>
  <si>
    <t>19/11/2023 21:30</t>
  </si>
  <si>
    <t>19/11/2023 21:45</t>
  </si>
  <si>
    <t>19/11/2023 22:00</t>
  </si>
  <si>
    <t>19/11/2023 22:15</t>
  </si>
  <si>
    <t>19/11/2023 22:30</t>
  </si>
  <si>
    <t>19/11/2023 22:45</t>
  </si>
  <si>
    <t>19/11/2023 23:00</t>
  </si>
  <si>
    <t>19/11/2023 23:15</t>
  </si>
  <si>
    <t>19/11/2023 23:30</t>
  </si>
  <si>
    <t>19/11/2023 23:45</t>
  </si>
  <si>
    <t>19/11/2023 24:00</t>
  </si>
  <si>
    <t>20/11/2023 00:15</t>
  </si>
  <si>
    <t>20/11/2023 00:30</t>
  </si>
  <si>
    <t>20/11/2023 00:45</t>
  </si>
  <si>
    <t>20/11/2023 01:00</t>
  </si>
  <si>
    <t>20/11/2023 01:15</t>
  </si>
  <si>
    <t>20/11/2023 01:30</t>
  </si>
  <si>
    <t>20/11/2023 01:45</t>
  </si>
  <si>
    <t>20/11/2023 02:00</t>
  </si>
  <si>
    <t>20/11/2023 02:15</t>
  </si>
  <si>
    <t>20/11/2023 02:30</t>
  </si>
  <si>
    <t>20/11/2023 02:45</t>
  </si>
  <si>
    <t>20/11/2023 03:00</t>
  </si>
  <si>
    <t>20/11/2023 03:15</t>
  </si>
  <si>
    <t>20/11/2023 03:30</t>
  </si>
  <si>
    <t>20/11/2023 03:45</t>
  </si>
  <si>
    <t>20/11/2023 04:00</t>
  </si>
  <si>
    <t>20/11/2023 04:15</t>
  </si>
  <si>
    <t>20/11/2023 04:30</t>
  </si>
  <si>
    <t>20/11/2023 04:45</t>
  </si>
  <si>
    <t>20/11/2023 05:00</t>
  </si>
  <si>
    <t>20/11/2023 05:15</t>
  </si>
  <si>
    <t>20/11/2023 05:30</t>
  </si>
  <si>
    <t>20/11/2023 05:45</t>
  </si>
  <si>
    <t>20/11/2023 06:00</t>
  </si>
  <si>
    <t>20/11/2023 06:15</t>
  </si>
  <si>
    <t>20/11/2023 06:30</t>
  </si>
  <si>
    <t>20/11/2023 06:45</t>
  </si>
  <si>
    <t>20/11/2023 07:00</t>
  </si>
  <si>
    <t>20/11/2023 07:15</t>
  </si>
  <si>
    <t>20/11/2023 07:30</t>
  </si>
  <si>
    <t>20/11/2023 07:45</t>
  </si>
  <si>
    <t>20/11/2023 08:00</t>
  </si>
  <si>
    <t>20/11/2023 08:15</t>
  </si>
  <si>
    <t>20/11/2023 08:30</t>
  </si>
  <si>
    <t>20/11/2023 08:45</t>
  </si>
  <si>
    <t>20/11/2023 09:00</t>
  </si>
  <si>
    <t>20/11/2023 09:15</t>
  </si>
  <si>
    <t>20/11/2023 09:30</t>
  </si>
  <si>
    <t>20/11/2023 09:45</t>
  </si>
  <si>
    <t>20/11/2023 10:00</t>
  </si>
  <si>
    <t>20/11/2023 10:15</t>
  </si>
  <si>
    <t>20/11/2023 10:30</t>
  </si>
  <si>
    <t>20/11/2023 10:45</t>
  </si>
  <si>
    <t>20/11/2023 11:00</t>
  </si>
  <si>
    <t>20/11/2023 11:15</t>
  </si>
  <si>
    <t>20/11/2023 11:30</t>
  </si>
  <si>
    <t>20/11/2023 11:45</t>
  </si>
  <si>
    <t>20/11/2023 12:00</t>
  </si>
  <si>
    <t>20/11/2023 12:15</t>
  </si>
  <si>
    <t>20/11/2023 12:30</t>
  </si>
  <si>
    <t>20/11/2023 12:45</t>
  </si>
  <si>
    <t>20/11/2023 13:00</t>
  </si>
  <si>
    <t>20/11/2023 13:15</t>
  </si>
  <si>
    <t>20/11/2023 13:30</t>
  </si>
  <si>
    <t>20/11/2023 13:45</t>
  </si>
  <si>
    <t>20/11/2023 14:00</t>
  </si>
  <si>
    <t>20/11/2023 14:15</t>
  </si>
  <si>
    <t>20/11/2023 14:30</t>
  </si>
  <si>
    <t>20/11/2023 14:45</t>
  </si>
  <si>
    <t>20/11/2023 15:00</t>
  </si>
  <si>
    <t>20/11/2023 15:15</t>
  </si>
  <si>
    <t>20/11/2023 15:30</t>
  </si>
  <si>
    <t>20/11/2023 15:45</t>
  </si>
  <si>
    <t>20/11/2023 16:00</t>
  </si>
  <si>
    <t>20/11/2023 16:15</t>
  </si>
  <si>
    <t>20/11/2023 16:30</t>
  </si>
  <si>
    <t>20/11/2023 16:45</t>
  </si>
  <si>
    <t>20/11/2023 17:00</t>
  </si>
  <si>
    <t>20/11/2023 17:15</t>
  </si>
  <si>
    <t>20/11/2023 17:30</t>
  </si>
  <si>
    <t>20/11/2023 17:45</t>
  </si>
  <si>
    <t>20/11/2023 18:00</t>
  </si>
  <si>
    <t>20/11/2023 18:15</t>
  </si>
  <si>
    <t>20/11/2023 18:30</t>
  </si>
  <si>
    <t>20/11/2023 18:45</t>
  </si>
  <si>
    <t>20/11/2023 19:00</t>
  </si>
  <si>
    <t>20/11/2023 19:15</t>
  </si>
  <si>
    <t>20/11/2023 19:30</t>
  </si>
  <si>
    <t>20/11/2023 19:45</t>
  </si>
  <si>
    <t>20/11/2023 20:00</t>
  </si>
  <si>
    <t>20/11/2023 20:15</t>
  </si>
  <si>
    <t>20/11/2023 20:30</t>
  </si>
  <si>
    <t>20/11/2023 20:45</t>
  </si>
  <si>
    <t>20/11/2023 21:00</t>
  </si>
  <si>
    <t>20/11/2023 21:15</t>
  </si>
  <si>
    <t>20/11/2023 21:30</t>
  </si>
  <si>
    <t>20/11/2023 21:45</t>
  </si>
  <si>
    <t>20/11/2023 22:00</t>
  </si>
  <si>
    <t>20/11/2023 22:15</t>
  </si>
  <si>
    <t>20/11/2023 22:30</t>
  </si>
  <si>
    <t>20/11/2023 22:45</t>
  </si>
  <si>
    <t>20/11/2023 23:00</t>
  </si>
  <si>
    <t>20/11/2023 23:15</t>
  </si>
  <si>
    <t>20/11/2023 23:30</t>
  </si>
  <si>
    <t>20/11/2023 23:45</t>
  </si>
  <si>
    <t>20/11/2023 24:00</t>
  </si>
  <si>
    <t>21/11/2023 00:15</t>
  </si>
  <si>
    <t>21/11/2023 00:30</t>
  </si>
  <si>
    <t>21/11/2023 00:45</t>
  </si>
  <si>
    <t>21/11/2023 01:00</t>
  </si>
  <si>
    <t>21/11/2023 01:15</t>
  </si>
  <si>
    <t>21/11/2023 01:30</t>
  </si>
  <si>
    <t>21/11/2023 01:45</t>
  </si>
  <si>
    <t>21/11/2023 02:00</t>
  </si>
  <si>
    <t>21/11/2023 02:15</t>
  </si>
  <si>
    <t>21/11/2023 02:30</t>
  </si>
  <si>
    <t>21/11/2023 02:45</t>
  </si>
  <si>
    <t>21/11/2023 03:00</t>
  </si>
  <si>
    <t>21/11/2023 03:15</t>
  </si>
  <si>
    <t>21/11/2023 03:30</t>
  </si>
  <si>
    <t>21/11/2023 03:45</t>
  </si>
  <si>
    <t>21/11/2023 04:00</t>
  </si>
  <si>
    <t>21/11/2023 04:15</t>
  </si>
  <si>
    <t>21/11/2023 04:30</t>
  </si>
  <si>
    <t>21/11/2023 04:45</t>
  </si>
  <si>
    <t>21/11/2023 05:00</t>
  </si>
  <si>
    <t>21/11/2023 05:15</t>
  </si>
  <si>
    <t>21/11/2023 05:30</t>
  </si>
  <si>
    <t>21/11/2023 05:45</t>
  </si>
  <si>
    <t>21/11/2023 06:00</t>
  </si>
  <si>
    <t>21/11/2023 06:15</t>
  </si>
  <si>
    <t>21/11/2023 06:30</t>
  </si>
  <si>
    <t>21/11/2023 06:45</t>
  </si>
  <si>
    <t>21/11/2023 07:00</t>
  </si>
  <si>
    <t>21/11/2023 07:15</t>
  </si>
  <si>
    <t>21/11/2023 07:30</t>
  </si>
  <si>
    <t>21/11/2023 07:45</t>
  </si>
  <si>
    <t>21/11/2023 08:00</t>
  </si>
  <si>
    <t>21/11/2023 08:15</t>
  </si>
  <si>
    <t>21/11/2023 08:30</t>
  </si>
  <si>
    <t>21/11/2023 08:45</t>
  </si>
  <si>
    <t>21/11/2023 09:00</t>
  </si>
  <si>
    <t>21/11/2023 09:15</t>
  </si>
  <si>
    <t>21/11/2023 09:30</t>
  </si>
  <si>
    <t>21/11/2023 09:45</t>
  </si>
  <si>
    <t>21/11/2023 10:00</t>
  </si>
  <si>
    <t>21/11/2023 10:15</t>
  </si>
  <si>
    <t>21/11/2023 10:30</t>
  </si>
  <si>
    <t>21/11/2023 10:45</t>
  </si>
  <si>
    <t>21/11/2023 11:00</t>
  </si>
  <si>
    <t>21/11/2023 11:15</t>
  </si>
  <si>
    <t>21/11/2023 11:30</t>
  </si>
  <si>
    <t>21/11/2023 11:45</t>
  </si>
  <si>
    <t>21/11/2023 12:00</t>
  </si>
  <si>
    <t>21/11/2023 12:15</t>
  </si>
  <si>
    <t>21/11/2023 12:30</t>
  </si>
  <si>
    <t>21/11/2023 12:45</t>
  </si>
  <si>
    <t>21/11/2023 13:00</t>
  </si>
  <si>
    <t>21/11/2023 13:15</t>
  </si>
  <si>
    <t>21/11/2023 13:30</t>
  </si>
  <si>
    <t>21/11/2023 13:45</t>
  </si>
  <si>
    <t>21/11/2023 14:00</t>
  </si>
  <si>
    <t>21/11/2023 14:15</t>
  </si>
  <si>
    <t>21/11/2023 14:30</t>
  </si>
  <si>
    <t>21/11/2023 14:45</t>
  </si>
  <si>
    <t>21/11/2023 15:00</t>
  </si>
  <si>
    <t>21/11/2023 15:15</t>
  </si>
  <si>
    <t>21/11/2023 15:30</t>
  </si>
  <si>
    <t>21/11/2023 15:45</t>
  </si>
  <si>
    <t>21/11/2023 16:00</t>
  </si>
  <si>
    <t>21/11/2023 16:15</t>
  </si>
  <si>
    <t>21/11/2023 16:30</t>
  </si>
  <si>
    <t>21/11/2023 16:45</t>
  </si>
  <si>
    <t>21/11/2023 17:00</t>
  </si>
  <si>
    <t>21/11/2023 17:15</t>
  </si>
  <si>
    <t>21/11/2023 17:30</t>
  </si>
  <si>
    <t>21/11/2023 17:45</t>
  </si>
  <si>
    <t>21/11/2023 18:00</t>
  </si>
  <si>
    <t>21/11/2023 18:15</t>
  </si>
  <si>
    <t>21/11/2023 18:30</t>
  </si>
  <si>
    <t>21/11/2023 18:45</t>
  </si>
  <si>
    <t>21/11/2023 19:00</t>
  </si>
  <si>
    <t>21/11/2023 19:15</t>
  </si>
  <si>
    <t>21/11/2023 19:30</t>
  </si>
  <si>
    <t>21/11/2023 19:45</t>
  </si>
  <si>
    <t>21/11/2023 20:00</t>
  </si>
  <si>
    <t>21/11/2023 20:15</t>
  </si>
  <si>
    <t>21/11/2023 20:30</t>
  </si>
  <si>
    <t>21/11/2023 20:45</t>
  </si>
  <si>
    <t>21/11/2023 21:00</t>
  </si>
  <si>
    <t>21/11/2023 21:15</t>
  </si>
  <si>
    <t>21/11/2023 21:30</t>
  </si>
  <si>
    <t>21/11/2023 21:45</t>
  </si>
  <si>
    <t>21/11/2023 22:00</t>
  </si>
  <si>
    <t>21/11/2023 22:15</t>
  </si>
  <si>
    <t>21/11/2023 22:30</t>
  </si>
  <si>
    <t>21/11/2023 22:45</t>
  </si>
  <si>
    <t>21/11/2023 23:00</t>
  </si>
  <si>
    <t>21/11/2023 23:15</t>
  </si>
  <si>
    <t>21/11/2023 23:30</t>
  </si>
  <si>
    <t>21/11/2023 23:45</t>
  </si>
  <si>
    <t>21/11/2023 24:00</t>
  </si>
  <si>
    <t>22/11/2023 00:15</t>
  </si>
  <si>
    <t>22/11/2023 00:30</t>
  </si>
  <si>
    <t>22/11/2023 00:45</t>
  </si>
  <si>
    <t>22/11/2023 01:00</t>
  </si>
  <si>
    <t>22/11/2023 01:15</t>
  </si>
  <si>
    <t>22/11/2023 01:30</t>
  </si>
  <si>
    <t>22/11/2023 01:45</t>
  </si>
  <si>
    <t>22/11/2023 02:00</t>
  </si>
  <si>
    <t>22/11/2023 02:15</t>
  </si>
  <si>
    <t>22/11/2023 02:30</t>
  </si>
  <si>
    <t>22/11/2023 02:45</t>
  </si>
  <si>
    <t>22/11/2023 03:00</t>
  </si>
  <si>
    <t>22/11/2023 03:15</t>
  </si>
  <si>
    <t>22/11/2023 03:30</t>
  </si>
  <si>
    <t>22/11/2023 03:45</t>
  </si>
  <si>
    <t>22/11/2023 04:00</t>
  </si>
  <si>
    <t>22/11/2023 04:15</t>
  </si>
  <si>
    <t>22/11/2023 04:30</t>
  </si>
  <si>
    <t>22/11/2023 04:45</t>
  </si>
  <si>
    <t>22/11/2023 05:00</t>
  </si>
  <si>
    <t>22/11/2023 05:15</t>
  </si>
  <si>
    <t>22/11/2023 05:30</t>
  </si>
  <si>
    <t>22/11/2023 05:45</t>
  </si>
  <si>
    <t>22/11/2023 06:00</t>
  </si>
  <si>
    <t>22/11/2023 06:15</t>
  </si>
  <si>
    <t>22/11/2023 06:30</t>
  </si>
  <si>
    <t>22/11/2023 06:45</t>
  </si>
  <si>
    <t>22/11/2023 07:00</t>
  </si>
  <si>
    <t>22/11/2023 07:15</t>
  </si>
  <si>
    <t>22/11/2023 07:30</t>
  </si>
  <si>
    <t>22/11/2023 07:45</t>
  </si>
  <si>
    <t>22/11/2023 08:00</t>
  </si>
  <si>
    <t>22/11/2023 08:15</t>
  </si>
  <si>
    <t>22/11/2023 08:30</t>
  </si>
  <si>
    <t>22/11/2023 08:45</t>
  </si>
  <si>
    <t>22/11/2023 09:00</t>
  </si>
  <si>
    <t>22/11/2023 09:15</t>
  </si>
  <si>
    <t>22/11/2023 09:30</t>
  </si>
  <si>
    <t>22/11/2023 09:45</t>
  </si>
  <si>
    <t>22/11/2023 10:00</t>
  </si>
  <si>
    <t>22/11/2023 10:15</t>
  </si>
  <si>
    <t>22/11/2023 10:30</t>
  </si>
  <si>
    <t>22/11/2023 10:45</t>
  </si>
  <si>
    <t>22/11/2023 11:00</t>
  </si>
  <si>
    <t>22/11/2023 11:15</t>
  </si>
  <si>
    <t>22/11/2023 11:30</t>
  </si>
  <si>
    <t>22/11/2023 11:45</t>
  </si>
  <si>
    <t>22/11/2023 12:00</t>
  </si>
  <si>
    <t>22/11/2023 12:15</t>
  </si>
  <si>
    <t>22/11/2023 12:30</t>
  </si>
  <si>
    <t>22/11/2023 12:45</t>
  </si>
  <si>
    <t>22/11/2023 13:00</t>
  </si>
  <si>
    <t>22/11/2023 13:15</t>
  </si>
  <si>
    <t>22/11/2023 13:30</t>
  </si>
  <si>
    <t>22/11/2023 13:45</t>
  </si>
  <si>
    <t>22/11/2023 14:00</t>
  </si>
  <si>
    <t>22/11/2023 14:15</t>
  </si>
  <si>
    <t>22/11/2023 14:30</t>
  </si>
  <si>
    <t>22/11/2023 14:45</t>
  </si>
  <si>
    <t>22/11/2023 15:00</t>
  </si>
  <si>
    <t>22/11/2023 15:15</t>
  </si>
  <si>
    <t>22/11/2023 15:30</t>
  </si>
  <si>
    <t>22/11/2023 15:45</t>
  </si>
  <si>
    <t>22/11/2023 16:00</t>
  </si>
  <si>
    <t>22/11/2023 16:15</t>
  </si>
  <si>
    <t>22/11/2023 16:30</t>
  </si>
  <si>
    <t>22/11/2023 16:45</t>
  </si>
  <si>
    <t>22/11/2023 17:00</t>
  </si>
  <si>
    <t>22/11/2023 17:15</t>
  </si>
  <si>
    <t>22/11/2023 17:30</t>
  </si>
  <si>
    <t>22/11/2023 17:45</t>
  </si>
  <si>
    <t>22/11/2023 18:00</t>
  </si>
  <si>
    <t>22/11/2023 18:15</t>
  </si>
  <si>
    <t>22/11/2023 18:30</t>
  </si>
  <si>
    <t>22/11/2023 18:45</t>
  </si>
  <si>
    <t>22/11/2023 19:00</t>
  </si>
  <si>
    <t>22/11/2023 19:15</t>
  </si>
  <si>
    <t>22/11/2023 19:30</t>
  </si>
  <si>
    <t>22/11/2023 19:45</t>
  </si>
  <si>
    <t>22/11/2023 20:00</t>
  </si>
  <si>
    <t>22/11/2023 20:15</t>
  </si>
  <si>
    <t>22/11/2023 20:30</t>
  </si>
  <si>
    <t>22/11/2023 20:45</t>
  </si>
  <si>
    <t>22/11/2023 21:00</t>
  </si>
  <si>
    <t>22/11/2023 21:15</t>
  </si>
  <si>
    <t>22/11/2023 21:30</t>
  </si>
  <si>
    <t>22/11/2023 21:45</t>
  </si>
  <si>
    <t>22/11/2023 22:00</t>
  </si>
  <si>
    <t>22/11/2023 22:15</t>
  </si>
  <si>
    <t>22/11/2023 22:30</t>
  </si>
  <si>
    <t>22/11/2023 22:45</t>
  </si>
  <si>
    <t>22/11/2023 23:00</t>
  </si>
  <si>
    <t>22/11/2023 23:15</t>
  </si>
  <si>
    <t>22/11/2023 23:30</t>
  </si>
  <si>
    <t>22/11/2023 23:45</t>
  </si>
  <si>
    <t>22/11/2023 24:00</t>
  </si>
  <si>
    <t>23/11/2023 00:15</t>
  </si>
  <si>
    <t>23/11/2023 00:30</t>
  </si>
  <si>
    <t>23/11/2023 00:45</t>
  </si>
  <si>
    <t>23/11/2023 01:00</t>
  </si>
  <si>
    <t>23/11/2023 01:15</t>
  </si>
  <si>
    <t>23/11/2023 01:30</t>
  </si>
  <si>
    <t>23/11/2023 01:45</t>
  </si>
  <si>
    <t>23/11/2023 02:00</t>
  </si>
  <si>
    <t>23/11/2023 02:15</t>
  </si>
  <si>
    <t>23/11/2023 02:30</t>
  </si>
  <si>
    <t>23/11/2023 02:45</t>
  </si>
  <si>
    <t>23/11/2023 03:00</t>
  </si>
  <si>
    <t>23/11/2023 03:15</t>
  </si>
  <si>
    <t>23/11/2023 03:30</t>
  </si>
  <si>
    <t>23/11/2023 03:45</t>
  </si>
  <si>
    <t>23/11/2023 04:00</t>
  </si>
  <si>
    <t>23/11/2023 04:15</t>
  </si>
  <si>
    <t>23/11/2023 04:30</t>
  </si>
  <si>
    <t>23/11/2023 04:45</t>
  </si>
  <si>
    <t>23/11/2023 05:00</t>
  </si>
  <si>
    <t>23/11/2023 05:15</t>
  </si>
  <si>
    <t>23/11/2023 05:30</t>
  </si>
  <si>
    <t>23/11/2023 05:45</t>
  </si>
  <si>
    <t>23/11/2023 06:00</t>
  </si>
  <si>
    <t>23/11/2023 06:15</t>
  </si>
  <si>
    <t>23/11/2023 06:30</t>
  </si>
  <si>
    <t>23/11/2023 06:45</t>
  </si>
  <si>
    <t>23/11/2023 07:00</t>
  </si>
  <si>
    <t>23/11/2023 07:15</t>
  </si>
  <si>
    <t>23/11/2023 07:30</t>
  </si>
  <si>
    <t>23/11/2023 07:45</t>
  </si>
  <si>
    <t>23/11/2023 08:00</t>
  </si>
  <si>
    <t>23/11/2023 08:15</t>
  </si>
  <si>
    <t>23/11/2023 08:30</t>
  </si>
  <si>
    <t>23/11/2023 08:45</t>
  </si>
  <si>
    <t>23/11/2023 09:00</t>
  </si>
  <si>
    <t>23/11/2023 09:15</t>
  </si>
  <si>
    <t>23/11/2023 09:30</t>
  </si>
  <si>
    <t>23/11/2023 09:45</t>
  </si>
  <si>
    <t>23/11/2023 10:00</t>
  </si>
  <si>
    <t>23/11/2023 10:15</t>
  </si>
  <si>
    <t>23/11/2023 10:30</t>
  </si>
  <si>
    <t>23/11/2023 10:45</t>
  </si>
  <si>
    <t>23/11/2023 11:00</t>
  </si>
  <si>
    <t>23/11/2023 11:15</t>
  </si>
  <si>
    <t>23/11/2023 11:30</t>
  </si>
  <si>
    <t>23/11/2023 11:45</t>
  </si>
  <si>
    <t>23/11/2023 12:00</t>
  </si>
  <si>
    <t>23/11/2023 12:15</t>
  </si>
  <si>
    <t>23/11/2023 12:30</t>
  </si>
  <si>
    <t>23/11/2023 12:45</t>
  </si>
  <si>
    <t>23/11/2023 13:00</t>
  </si>
  <si>
    <t>23/11/2023 13:15</t>
  </si>
  <si>
    <t>23/11/2023 13:30</t>
  </si>
  <si>
    <t>23/11/2023 13:45</t>
  </si>
  <si>
    <t>23/11/2023 14:00</t>
  </si>
  <si>
    <t>23/11/2023 14:15</t>
  </si>
  <si>
    <t>23/11/2023 14:30</t>
  </si>
  <si>
    <t>23/11/2023 14:45</t>
  </si>
  <si>
    <t>23/11/2023 15:00</t>
  </si>
  <si>
    <t>23/11/2023 15:15</t>
  </si>
  <si>
    <t>23/11/2023 15:30</t>
  </si>
  <si>
    <t>23/11/2023 15:45</t>
  </si>
  <si>
    <t>23/11/2023 16:00</t>
  </si>
  <si>
    <t>23/11/2023 16:15</t>
  </si>
  <si>
    <t>23/11/2023 16:30</t>
  </si>
  <si>
    <t>23/11/2023 16:45</t>
  </si>
  <si>
    <t>23/11/2023 17:00</t>
  </si>
  <si>
    <t>23/11/2023 17:15</t>
  </si>
  <si>
    <t>23/11/2023 17:30</t>
  </si>
  <si>
    <t>23/11/2023 17:45</t>
  </si>
  <si>
    <t>23/11/2023 18:00</t>
  </si>
  <si>
    <t>23/11/2023 18:15</t>
  </si>
  <si>
    <t>23/11/2023 18:30</t>
  </si>
  <si>
    <t>23/11/2023 18:45</t>
  </si>
  <si>
    <t>23/11/2023 19:00</t>
  </si>
  <si>
    <t>23/11/2023 19:15</t>
  </si>
  <si>
    <t>23/11/2023 19:30</t>
  </si>
  <si>
    <t>23/11/2023 19:45</t>
  </si>
  <si>
    <t>23/11/2023 20:00</t>
  </si>
  <si>
    <t>23/11/2023 20:15</t>
  </si>
  <si>
    <t>23/11/2023 20:30</t>
  </si>
  <si>
    <t>23/11/2023 20:45</t>
  </si>
  <si>
    <t>23/11/2023 21:00</t>
  </si>
  <si>
    <t>23/11/2023 21:15</t>
  </si>
  <si>
    <t>23/11/2023 21:30</t>
  </si>
  <si>
    <t>23/11/2023 21:45</t>
  </si>
  <si>
    <t>23/11/2023 22:00</t>
  </si>
  <si>
    <t>23/11/2023 22:15</t>
  </si>
  <si>
    <t>23/11/2023 22:30</t>
  </si>
  <si>
    <t>23/11/2023 22:45</t>
  </si>
  <si>
    <t>23/11/2023 23:00</t>
  </si>
  <si>
    <t>23/11/2023 23:15</t>
  </si>
  <si>
    <t>23/11/2023 23:30</t>
  </si>
  <si>
    <t>23/11/2023 23:45</t>
  </si>
  <si>
    <t>23/11/2023 24:00</t>
  </si>
  <si>
    <t>24/11/2023 00:15</t>
  </si>
  <si>
    <t>24/11/2023 00:30</t>
  </si>
  <si>
    <t>24/11/2023 00:45</t>
  </si>
  <si>
    <t>24/11/2023 01:00</t>
  </si>
  <si>
    <t>24/11/2023 01:15</t>
  </si>
  <si>
    <t>24/11/2023 01:30</t>
  </si>
  <si>
    <t>24/11/2023 01:45</t>
  </si>
  <si>
    <t>24/11/2023 02:00</t>
  </si>
  <si>
    <t>24/11/2023 02:15</t>
  </si>
  <si>
    <t>24/11/2023 02:30</t>
  </si>
  <si>
    <t>24/11/2023 02:45</t>
  </si>
  <si>
    <t>24/11/2023 03:00</t>
  </si>
  <si>
    <t>24/11/2023 03:15</t>
  </si>
  <si>
    <t>24/11/2023 03:30</t>
  </si>
  <si>
    <t>24/11/2023 03:45</t>
  </si>
  <si>
    <t>24/11/2023 04:00</t>
  </si>
  <si>
    <t>24/11/2023 04:15</t>
  </si>
  <si>
    <t>24/11/2023 04:30</t>
  </si>
  <si>
    <t>24/11/2023 04:45</t>
  </si>
  <si>
    <t>24/11/2023 05:00</t>
  </si>
  <si>
    <t>24/11/2023 05:15</t>
  </si>
  <si>
    <t>24/11/2023 05:30</t>
  </si>
  <si>
    <t>24/11/2023 05:45</t>
  </si>
  <si>
    <t>24/11/2023 06:00</t>
  </si>
  <si>
    <t>24/11/2023 06:15</t>
  </si>
  <si>
    <t>24/11/2023 06:30</t>
  </si>
  <si>
    <t>24/11/2023 06:45</t>
  </si>
  <si>
    <t>24/11/2023 07:00</t>
  </si>
  <si>
    <t>24/11/2023 07:15</t>
  </si>
  <si>
    <t>24/11/2023 07:30</t>
  </si>
  <si>
    <t>24/11/2023 07:45</t>
  </si>
  <si>
    <t>24/11/2023 08:00</t>
  </si>
  <si>
    <t>24/11/2023 08:15</t>
  </si>
  <si>
    <t>24/11/2023 08:30</t>
  </si>
  <si>
    <t>24/11/2023 08:45</t>
  </si>
  <si>
    <t>24/11/2023 09:00</t>
  </si>
  <si>
    <t>24/11/2023 09:15</t>
  </si>
  <si>
    <t>24/11/2023 09:30</t>
  </si>
  <si>
    <t>24/11/2023 09:45</t>
  </si>
  <si>
    <t>24/11/2023 10:00</t>
  </si>
  <si>
    <t>24/11/2023 10:15</t>
  </si>
  <si>
    <t>24/11/2023 10:30</t>
  </si>
  <si>
    <t>24/11/2023 10:45</t>
  </si>
  <si>
    <t>24/11/2023 11:00</t>
  </si>
  <si>
    <t>24/11/2023 11:15</t>
  </si>
  <si>
    <t>24/11/2023 11:30</t>
  </si>
  <si>
    <t>24/11/2023 11:45</t>
  </si>
  <si>
    <t>24/11/2023 12:00</t>
  </si>
  <si>
    <t>24/11/2023 12:15</t>
  </si>
  <si>
    <t>24/11/2023 12:30</t>
  </si>
  <si>
    <t>24/11/2023 12:45</t>
  </si>
  <si>
    <t>24/11/2023 13:00</t>
  </si>
  <si>
    <t>24/11/2023 13:15</t>
  </si>
  <si>
    <t>24/11/2023 13:30</t>
  </si>
  <si>
    <t>24/11/2023 13:45</t>
  </si>
  <si>
    <t>24/11/2023 14:00</t>
  </si>
  <si>
    <t>24/11/2023 14:15</t>
  </si>
  <si>
    <t>24/11/2023 14:30</t>
  </si>
  <si>
    <t>24/11/2023 14:45</t>
  </si>
  <si>
    <t>24/11/2023 15:00</t>
  </si>
  <si>
    <t>24/11/2023 15:15</t>
  </si>
  <si>
    <t>24/11/2023 15:30</t>
  </si>
  <si>
    <t>24/11/2023 15:45</t>
  </si>
  <si>
    <t>24/11/2023 16:00</t>
  </si>
  <si>
    <t>24/11/2023 16:15</t>
  </si>
  <si>
    <t>24/11/2023 16:30</t>
  </si>
  <si>
    <t>24/11/2023 16:45</t>
  </si>
  <si>
    <t>24/11/2023 17:00</t>
  </si>
  <si>
    <t>24/11/2023 17:15</t>
  </si>
  <si>
    <t>24/11/2023 17:30</t>
  </si>
  <si>
    <t>24/11/2023 17:45</t>
  </si>
  <si>
    <t>24/11/2023 18:00</t>
  </si>
  <si>
    <t>24/11/2023 18:15</t>
  </si>
  <si>
    <t>24/11/2023 18:30</t>
  </si>
  <si>
    <t>24/11/2023 18:45</t>
  </si>
  <si>
    <t>24/11/2023 19:00</t>
  </si>
  <si>
    <t>24/11/2023 19:15</t>
  </si>
  <si>
    <t>24/11/2023 19:30</t>
  </si>
  <si>
    <t>24/11/2023 19:45</t>
  </si>
  <si>
    <t>24/11/2023 20:00</t>
  </si>
  <si>
    <t>24/11/2023 20:15</t>
  </si>
  <si>
    <t>24/11/2023 20:30</t>
  </si>
  <si>
    <t>24/11/2023 20:45</t>
  </si>
  <si>
    <t>24/11/2023 21:00</t>
  </si>
  <si>
    <t>24/11/2023 21:15</t>
  </si>
  <si>
    <t>24/11/2023 21:30</t>
  </si>
  <si>
    <t>24/11/2023 21:45</t>
  </si>
  <si>
    <t>24/11/2023 22:00</t>
  </si>
  <si>
    <t>24/11/2023 22:15</t>
  </si>
  <si>
    <t>24/11/2023 22:30</t>
  </si>
  <si>
    <t>24/11/2023 22:45</t>
  </si>
  <si>
    <t>24/11/2023 23:00</t>
  </si>
  <si>
    <t>24/11/2023 23:15</t>
  </si>
  <si>
    <t>24/11/2023 23:30</t>
  </si>
  <si>
    <t>24/11/2023 23:45</t>
  </si>
  <si>
    <t>24/11/2023 24:00</t>
  </si>
  <si>
    <t>25/11/2023 00:15</t>
  </si>
  <si>
    <t>25/11/2023 00:30</t>
  </si>
  <si>
    <t>25/11/2023 00:45</t>
  </si>
  <si>
    <t>25/11/2023 01:00</t>
  </si>
  <si>
    <t>25/11/2023 01:15</t>
  </si>
  <si>
    <t>25/11/2023 01:30</t>
  </si>
  <si>
    <t>25/11/2023 01:45</t>
  </si>
  <si>
    <t>25/11/2023 02:00</t>
  </si>
  <si>
    <t>25/11/2023 02:15</t>
  </si>
  <si>
    <t>25/11/2023 02:30</t>
  </si>
  <si>
    <t>25/11/2023 02:45</t>
  </si>
  <si>
    <t>25/11/2023 03:00</t>
  </si>
  <si>
    <t>25/11/2023 03:15</t>
  </si>
  <si>
    <t>25/11/2023 03:30</t>
  </si>
  <si>
    <t>25/11/2023 03:45</t>
  </si>
  <si>
    <t>25/11/2023 04:00</t>
  </si>
  <si>
    <t>25/11/2023 04:15</t>
  </si>
  <si>
    <t>25/11/2023 04:30</t>
  </si>
  <si>
    <t>25/11/2023 04:45</t>
  </si>
  <si>
    <t>25/11/2023 05:00</t>
  </si>
  <si>
    <t>25/11/2023 05:15</t>
  </si>
  <si>
    <t>25/11/2023 05:30</t>
  </si>
  <si>
    <t>25/11/2023 05:45</t>
  </si>
  <si>
    <t>25/11/2023 06:00</t>
  </si>
  <si>
    <t>25/11/2023 06:15</t>
  </si>
  <si>
    <t>25/11/2023 06:30</t>
  </si>
  <si>
    <t>25/11/2023 06:45</t>
  </si>
  <si>
    <t>25/11/2023 07:00</t>
  </si>
  <si>
    <t>25/11/2023 07:15</t>
  </si>
  <si>
    <t>25/11/2023 07:30</t>
  </si>
  <si>
    <t>25/11/2023 07:45</t>
  </si>
  <si>
    <t>25/11/2023 08:00</t>
  </si>
  <si>
    <t>25/11/2023 08:15</t>
  </si>
  <si>
    <t>25/11/2023 08:30</t>
  </si>
  <si>
    <t>25/11/2023 08:45</t>
  </si>
  <si>
    <t>25/11/2023 09:00</t>
  </si>
  <si>
    <t>25/11/2023 09:15</t>
  </si>
  <si>
    <t>25/11/2023 09:30</t>
  </si>
  <si>
    <t>25/11/2023 09:45</t>
  </si>
  <si>
    <t>25/11/2023 10:00</t>
  </si>
  <si>
    <t>25/11/2023 10:15</t>
  </si>
  <si>
    <t>25/11/2023 10:30</t>
  </si>
  <si>
    <t>25/11/2023 10:45</t>
  </si>
  <si>
    <t>25/11/2023 11:00</t>
  </si>
  <si>
    <t>25/11/2023 11:15</t>
  </si>
  <si>
    <t>25/11/2023 11:30</t>
  </si>
  <si>
    <t>25/11/2023 11:45</t>
  </si>
  <si>
    <t>25/11/2023 12:00</t>
  </si>
  <si>
    <t>25/11/2023 12:15</t>
  </si>
  <si>
    <t>25/11/2023 12:30</t>
  </si>
  <si>
    <t>25/11/2023 12:45</t>
  </si>
  <si>
    <t>25/11/2023 13:00</t>
  </si>
  <si>
    <t>25/11/2023 13:15</t>
  </si>
  <si>
    <t>25/11/2023 13:30</t>
  </si>
  <si>
    <t>25/11/2023 13:45</t>
  </si>
  <si>
    <t>25/11/2023 14:00</t>
  </si>
  <si>
    <t>25/11/2023 14:15</t>
  </si>
  <si>
    <t>25/11/2023 14:30</t>
  </si>
  <si>
    <t>25/11/2023 14:45</t>
  </si>
  <si>
    <t>25/11/2023 15:00</t>
  </si>
  <si>
    <t>25/11/2023 15:15</t>
  </si>
  <si>
    <t>25/11/2023 15:30</t>
  </si>
  <si>
    <t>25/11/2023 15:45</t>
  </si>
  <si>
    <t>25/11/2023 16:00</t>
  </si>
  <si>
    <t>25/11/2023 16:15</t>
  </si>
  <si>
    <t>25/11/2023 16:30</t>
  </si>
  <si>
    <t>25/11/2023 16:45</t>
  </si>
  <si>
    <t>25/11/2023 17:00</t>
  </si>
  <si>
    <t>25/11/2023 17:15</t>
  </si>
  <si>
    <t>25/11/2023 17:30</t>
  </si>
  <si>
    <t>25/11/2023 17:45</t>
  </si>
  <si>
    <t>25/11/2023 18:00</t>
  </si>
  <si>
    <t>25/11/2023 18:15</t>
  </si>
  <si>
    <t>25/11/2023 18:30</t>
  </si>
  <si>
    <t>25/11/2023 18:45</t>
  </si>
  <si>
    <t>25/11/2023 19:00</t>
  </si>
  <si>
    <t>25/11/2023 19:15</t>
  </si>
  <si>
    <t>25/11/2023 19:30</t>
  </si>
  <si>
    <t>25/11/2023 19:45</t>
  </si>
  <si>
    <t>25/11/2023 20:00</t>
  </si>
  <si>
    <t>25/11/2023 20:15</t>
  </si>
  <si>
    <t>25/11/2023 20:30</t>
  </si>
  <si>
    <t>25/11/2023 20:45</t>
  </si>
  <si>
    <t>25/11/2023 21:00</t>
  </si>
  <si>
    <t>25/11/2023 21:15</t>
  </si>
  <si>
    <t>25/11/2023 21:30</t>
  </si>
  <si>
    <t>25/11/2023 21:45</t>
  </si>
  <si>
    <t>25/11/2023 22:00</t>
  </si>
  <si>
    <t>25/11/2023 22:15</t>
  </si>
  <si>
    <t>25/11/2023 22:30</t>
  </si>
  <si>
    <t>25/11/2023 22:45</t>
  </si>
  <si>
    <t>25/11/2023 23:00</t>
  </si>
  <si>
    <t>25/11/2023 23:15</t>
  </si>
  <si>
    <t>25/11/2023 23:30</t>
  </si>
  <si>
    <t>25/11/2023 23:45</t>
  </si>
  <si>
    <t>25/11/2023 24:00</t>
  </si>
  <si>
    <t>26/11/2023 00:15</t>
  </si>
  <si>
    <t>26/11/2023 00:30</t>
  </si>
  <si>
    <t>26/11/2023 00:45</t>
  </si>
  <si>
    <t>26/11/2023 01:00</t>
  </si>
  <si>
    <t>26/11/2023 01:15</t>
  </si>
  <si>
    <t>26/11/2023 01:30</t>
  </si>
  <si>
    <t>26/11/2023 01:45</t>
  </si>
  <si>
    <t>26/11/2023 02:00</t>
  </si>
  <si>
    <t>26/11/2023 02:15</t>
  </si>
  <si>
    <t>26/11/2023 02:30</t>
  </si>
  <si>
    <t>26/11/2023 02:45</t>
  </si>
  <si>
    <t>26/11/2023 03:00</t>
  </si>
  <si>
    <t>26/11/2023 03:15</t>
  </si>
  <si>
    <t>26/11/2023 03:30</t>
  </si>
  <si>
    <t>26/11/2023 03:45</t>
  </si>
  <si>
    <t>26/11/2023 04:00</t>
  </si>
  <si>
    <t>26/11/2023 04:15</t>
  </si>
  <si>
    <t>26/11/2023 04:30</t>
  </si>
  <si>
    <t>26/11/2023 04:45</t>
  </si>
  <si>
    <t>26/11/2023 05:00</t>
  </si>
  <si>
    <t>26/11/2023 05:15</t>
  </si>
  <si>
    <t>26/11/2023 05:30</t>
  </si>
  <si>
    <t>26/11/2023 05:45</t>
  </si>
  <si>
    <t>26/11/2023 06:00</t>
  </si>
  <si>
    <t>26/11/2023 06:15</t>
  </si>
  <si>
    <t>26/11/2023 06:30</t>
  </si>
  <si>
    <t>26/11/2023 06:45</t>
  </si>
  <si>
    <t>26/11/2023 07:00</t>
  </si>
  <si>
    <t>26/11/2023 07:15</t>
  </si>
  <si>
    <t>26/11/2023 07:30</t>
  </si>
  <si>
    <t>26/11/2023 07:45</t>
  </si>
  <si>
    <t>26/11/2023 08:00</t>
  </si>
  <si>
    <t>26/11/2023 08:15</t>
  </si>
  <si>
    <t>26/11/2023 08:30</t>
  </si>
  <si>
    <t>26/11/2023 08:45</t>
  </si>
  <si>
    <t>26/11/2023 09:00</t>
  </si>
  <si>
    <t>26/11/2023 09:15</t>
  </si>
  <si>
    <t>26/11/2023 09:30</t>
  </si>
  <si>
    <t>26/11/2023 09:45</t>
  </si>
  <si>
    <t>26/11/2023 10:00</t>
  </si>
  <si>
    <t>26/11/2023 10:15</t>
  </si>
  <si>
    <t>26/11/2023 10:30</t>
  </si>
  <si>
    <t>26/11/2023 10:45</t>
  </si>
  <si>
    <t>26/11/2023 11:00</t>
  </si>
  <si>
    <t>26/11/2023 11:15</t>
  </si>
  <si>
    <t>26/11/2023 11:30</t>
  </si>
  <si>
    <t>26/11/2023 11:45</t>
  </si>
  <si>
    <t>26/11/2023 12:00</t>
  </si>
  <si>
    <t>26/11/2023 12:15</t>
  </si>
  <si>
    <t>26/11/2023 12:30</t>
  </si>
  <si>
    <t>26/11/2023 12:45</t>
  </si>
  <si>
    <t>26/11/2023 13:00</t>
  </si>
  <si>
    <t>26/11/2023 13:15</t>
  </si>
  <si>
    <t>26/11/2023 13:30</t>
  </si>
  <si>
    <t>26/11/2023 13:45</t>
  </si>
  <si>
    <t>26/11/2023 14:00</t>
  </si>
  <si>
    <t>26/11/2023 14:15</t>
  </si>
  <si>
    <t>26/11/2023 14:30</t>
  </si>
  <si>
    <t>26/11/2023 14:45</t>
  </si>
  <si>
    <t>26/11/2023 15:00</t>
  </si>
  <si>
    <t>26/11/2023 15:15</t>
  </si>
  <si>
    <t>26/11/2023 15:30</t>
  </si>
  <si>
    <t>26/11/2023 15:45</t>
  </si>
  <si>
    <t>26/11/2023 16:00</t>
  </si>
  <si>
    <t>26/11/2023 16:15</t>
  </si>
  <si>
    <t>26/11/2023 16:30</t>
  </si>
  <si>
    <t>26/11/2023 16:45</t>
  </si>
  <si>
    <t>26/11/2023 17:00</t>
  </si>
  <si>
    <t>26/11/2023 17:15</t>
  </si>
  <si>
    <t>26/11/2023 17:30</t>
  </si>
  <si>
    <t>26/11/2023 17:45</t>
  </si>
  <si>
    <t>26/11/2023 18:00</t>
  </si>
  <si>
    <t>26/11/2023 18:15</t>
  </si>
  <si>
    <t>26/11/2023 18:30</t>
  </si>
  <si>
    <t>26/11/2023 18:45</t>
  </si>
  <si>
    <t>26/11/2023 19:00</t>
  </si>
  <si>
    <t>26/11/2023 19:15</t>
  </si>
  <si>
    <t>26/11/2023 19:30</t>
  </si>
  <si>
    <t>26/11/2023 19:45</t>
  </si>
  <si>
    <t>26/11/2023 20:00</t>
  </si>
  <si>
    <t>26/11/2023 20:15</t>
  </si>
  <si>
    <t>26/11/2023 20:30</t>
  </si>
  <si>
    <t>26/11/2023 20:45</t>
  </si>
  <si>
    <t>26/11/2023 21:00</t>
  </si>
  <si>
    <t>26/11/2023 21:15</t>
  </si>
  <si>
    <t>26/11/2023 21:30</t>
  </si>
  <si>
    <t>26/11/2023 21:45</t>
  </si>
  <si>
    <t>26/11/2023 22:00</t>
  </si>
  <si>
    <t>26/11/2023 22:15</t>
  </si>
  <si>
    <t>26/11/2023 22:30</t>
  </si>
  <si>
    <t>26/11/2023 22:45</t>
  </si>
  <si>
    <t>26/11/2023 23:00</t>
  </si>
  <si>
    <t>26/11/2023 23:15</t>
  </si>
  <si>
    <t>26/11/2023 23:30</t>
  </si>
  <si>
    <t>26/11/2023 23:45</t>
  </si>
  <si>
    <t>26/11/2023 24:00</t>
  </si>
  <si>
    <t>27/11/2023 00:15</t>
  </si>
  <si>
    <t>27/11/2023 00:30</t>
  </si>
  <si>
    <t>27/11/2023 00:45</t>
  </si>
  <si>
    <t>27/11/2023 01:00</t>
  </si>
  <si>
    <t>27/11/2023 01:15</t>
  </si>
  <si>
    <t>27/11/2023 01:30</t>
  </si>
  <si>
    <t>27/11/2023 01:45</t>
  </si>
  <si>
    <t>27/11/2023 02:00</t>
  </si>
  <si>
    <t>27/11/2023 02:15</t>
  </si>
  <si>
    <t>27/11/2023 02:30</t>
  </si>
  <si>
    <t>27/11/2023 02:45</t>
  </si>
  <si>
    <t>27/11/2023 03:00</t>
  </si>
  <si>
    <t>27/11/2023 03:15</t>
  </si>
  <si>
    <t>27/11/2023 03:30</t>
  </si>
  <si>
    <t>27/11/2023 03:45</t>
  </si>
  <si>
    <t>27/11/2023 04:00</t>
  </si>
  <si>
    <t>27/11/2023 04:15</t>
  </si>
  <si>
    <t>27/11/2023 04:30</t>
  </si>
  <si>
    <t>27/11/2023 04:45</t>
  </si>
  <si>
    <t>27/11/2023 05:00</t>
  </si>
  <si>
    <t>27/11/2023 05:15</t>
  </si>
  <si>
    <t>27/11/2023 05:30</t>
  </si>
  <si>
    <t>27/11/2023 05:45</t>
  </si>
  <si>
    <t>27/11/2023 06:00</t>
  </si>
  <si>
    <t>27/11/2023 06:15</t>
  </si>
  <si>
    <t>27/11/2023 06:30</t>
  </si>
  <si>
    <t>27/11/2023 06:45</t>
  </si>
  <si>
    <t>27/11/2023 07:00</t>
  </si>
  <si>
    <t>27/11/2023 07:15</t>
  </si>
  <si>
    <t>27/11/2023 07:30</t>
  </si>
  <si>
    <t>27/11/2023 07:45</t>
  </si>
  <si>
    <t>27/11/2023 08:00</t>
  </si>
  <si>
    <t>27/11/2023 08:15</t>
  </si>
  <si>
    <t>27/11/2023 08:30</t>
  </si>
  <si>
    <t>27/11/2023 08:45</t>
  </si>
  <si>
    <t>27/11/2023 09:00</t>
  </si>
  <si>
    <t>27/11/2023 09:15</t>
  </si>
  <si>
    <t>27/11/2023 09:30</t>
  </si>
  <si>
    <t>27/11/2023 09:45</t>
  </si>
  <si>
    <t>27/11/2023 10:00</t>
  </si>
  <si>
    <t>27/11/2023 10:15</t>
  </si>
  <si>
    <t>27/11/2023 10:30</t>
  </si>
  <si>
    <t>27/11/2023 10:45</t>
  </si>
  <si>
    <t>27/11/2023 11:00</t>
  </si>
  <si>
    <t>27/11/2023 11:15</t>
  </si>
  <si>
    <t>27/11/2023 11:30</t>
  </si>
  <si>
    <t>27/11/2023 11:45</t>
  </si>
  <si>
    <t>27/11/2023 12:00</t>
  </si>
  <si>
    <t>27/11/2023 12:15</t>
  </si>
  <si>
    <t>27/11/2023 12:30</t>
  </si>
  <si>
    <t>27/11/2023 12:45</t>
  </si>
  <si>
    <t>27/11/2023 13:00</t>
  </si>
  <si>
    <t>27/11/2023 13:15</t>
  </si>
  <si>
    <t>27/11/2023 13:30</t>
  </si>
  <si>
    <t>27/11/2023 13:45</t>
  </si>
  <si>
    <t>27/11/2023 14:00</t>
  </si>
  <si>
    <t>27/11/2023 14:15</t>
  </si>
  <si>
    <t>27/11/2023 14:30</t>
  </si>
  <si>
    <t>27/11/2023 14:45</t>
  </si>
  <si>
    <t>27/11/2023 15:00</t>
  </si>
  <si>
    <t>27/11/2023 15:15</t>
  </si>
  <si>
    <t>27/11/2023 15:30</t>
  </si>
  <si>
    <t>27/11/2023 15:45</t>
  </si>
  <si>
    <t>27/11/2023 16:00</t>
  </si>
  <si>
    <t>27/11/2023 16:15</t>
  </si>
  <si>
    <t>27/11/2023 16:30</t>
  </si>
  <si>
    <t>27/11/2023 16:45</t>
  </si>
  <si>
    <t>27/11/2023 17:00</t>
  </si>
  <si>
    <t>27/11/2023 17:15</t>
  </si>
  <si>
    <t>27/11/2023 17:30</t>
  </si>
  <si>
    <t>27/11/2023 17:45</t>
  </si>
  <si>
    <t>27/11/2023 18:00</t>
  </si>
  <si>
    <t>27/11/2023 18:15</t>
  </si>
  <si>
    <t>27/11/2023 18:30</t>
  </si>
  <si>
    <t>27/11/2023 18:45</t>
  </si>
  <si>
    <t>27/11/2023 19:00</t>
  </si>
  <si>
    <t>27/11/2023 19:15</t>
  </si>
  <si>
    <t>27/11/2023 19:30</t>
  </si>
  <si>
    <t>27/11/2023 19:45</t>
  </si>
  <si>
    <t>27/11/2023 20:00</t>
  </si>
  <si>
    <t>27/11/2023 20:15</t>
  </si>
  <si>
    <t>27/11/2023 20:30</t>
  </si>
  <si>
    <t>27/11/2023 20:45</t>
  </si>
  <si>
    <t>27/11/2023 21:00</t>
  </si>
  <si>
    <t>27/11/2023 21:15</t>
  </si>
  <si>
    <t>27/11/2023 21:30</t>
  </si>
  <si>
    <t>27/11/2023 21:45</t>
  </si>
  <si>
    <t>27/11/2023 22:00</t>
  </si>
  <si>
    <t>27/11/2023 22:15</t>
  </si>
  <si>
    <t>27/11/2023 22:30</t>
  </si>
  <si>
    <t>27/11/2023 22:45</t>
  </si>
  <si>
    <t>27/11/2023 23:00</t>
  </si>
  <si>
    <t>27/11/2023 23:15</t>
  </si>
  <si>
    <t>27/11/2023 23:30</t>
  </si>
  <si>
    <t>27/11/2023 23:45</t>
  </si>
  <si>
    <t>27/11/2023 24:00</t>
  </si>
  <si>
    <t>28/11/2023 00:30</t>
  </si>
  <si>
    <t>28/11/2023 00:45</t>
  </si>
  <si>
    <t>28/11/2023 01:00</t>
  </si>
  <si>
    <t>28/11/2023 01:15</t>
  </si>
  <si>
    <t>28/11/2023 01:30</t>
  </si>
  <si>
    <t>28/11/2023 01:45</t>
  </si>
  <si>
    <t>28/11/2023 02:00</t>
  </si>
  <si>
    <t>28/11/2023 02:15</t>
  </si>
  <si>
    <t>28/11/2023 02:30</t>
  </si>
  <si>
    <t>28/11/2023 02:45</t>
  </si>
  <si>
    <t>28/11/2023 03:00</t>
  </si>
  <si>
    <t>28/11/2023 03:15</t>
  </si>
  <si>
    <t>28/11/2023 03:30</t>
  </si>
  <si>
    <t>28/11/2023 03:45</t>
  </si>
  <si>
    <t>28/11/2023 04:00</t>
  </si>
  <si>
    <t>28/11/2023 04:15</t>
  </si>
  <si>
    <t>28/11/2023 04:30</t>
  </si>
  <si>
    <t>28/11/2023 04:45</t>
  </si>
  <si>
    <t>28/11/2023 05:00</t>
  </si>
  <si>
    <t>28/11/2023 05:15</t>
  </si>
  <si>
    <t>28/11/2023 05:30</t>
  </si>
  <si>
    <t>28/11/2023 05:45</t>
  </si>
  <si>
    <t>28/11/2023 06:00</t>
  </si>
  <si>
    <t>28/11/2023 06:15</t>
  </si>
  <si>
    <t>28/11/2023 06:30</t>
  </si>
  <si>
    <t>28/11/2023 06:45</t>
  </si>
  <si>
    <t>28/11/2023 07:00</t>
  </si>
  <si>
    <t>28/11/2023 07:15</t>
  </si>
  <si>
    <t>28/11/2023 07:30</t>
  </si>
  <si>
    <t>28/11/2023 07:45</t>
  </si>
  <si>
    <t>28/11/2023 08:00</t>
  </si>
  <si>
    <t>28/11/2023 08:15</t>
  </si>
  <si>
    <t>28/11/2023 08:30</t>
  </si>
  <si>
    <t>28/11/2023 08:45</t>
  </si>
  <si>
    <t>28/11/2023 09:00</t>
  </si>
  <si>
    <t>28/11/2023 09:15</t>
  </si>
  <si>
    <t>28/11/2023 09:30</t>
  </si>
  <si>
    <t>28/11/2023 09:45</t>
  </si>
  <si>
    <t>28/11/2023 10:00</t>
  </si>
  <si>
    <t>28/11/2023 10:15</t>
  </si>
  <si>
    <t>28/11/2023 10:30</t>
  </si>
  <si>
    <t>28/11/2023 10:45</t>
  </si>
  <si>
    <t>28/11/2023 11:00</t>
  </si>
  <si>
    <t>28/11/2023 11:15</t>
  </si>
  <si>
    <t>28/11/2023 11:30</t>
  </si>
  <si>
    <t>28/11/2023 11:45</t>
  </si>
  <si>
    <t>28/11/2023 12:00</t>
  </si>
  <si>
    <t>28/11/2023 12:15</t>
  </si>
  <si>
    <t>28/11/2023 12:30</t>
  </si>
  <si>
    <t>28/11/2023 12:45</t>
  </si>
  <si>
    <t>28/11/2023 13:00</t>
  </si>
  <si>
    <t>28/11/2023 13:15</t>
  </si>
  <si>
    <t>28/11/2023 13:30</t>
  </si>
  <si>
    <t>28/11/2023 13:45</t>
  </si>
  <si>
    <t>28/11/2023 14:00</t>
  </si>
  <si>
    <t>28/11/2023 14:15</t>
  </si>
  <si>
    <t>28/11/2023 14:30</t>
  </si>
  <si>
    <t>28/11/2023 14:45</t>
  </si>
  <si>
    <t>28/11/2023 15:00</t>
  </si>
  <si>
    <t>28/11/2023 15:15</t>
  </si>
  <si>
    <t>28/11/2023 15:30</t>
  </si>
  <si>
    <t>28/11/2023 15:45</t>
  </si>
  <si>
    <t>28/11/2023 16:00</t>
  </si>
  <si>
    <t>28/11/2023 16:15</t>
  </si>
  <si>
    <t>28/11/2023 16:30</t>
  </si>
  <si>
    <t>28/11/2023 16:45</t>
  </si>
  <si>
    <t>28/11/2023 17:00</t>
  </si>
  <si>
    <t>28/11/2023 17:30</t>
  </si>
  <si>
    <t>28/11/2023 17:45</t>
  </si>
  <si>
    <t>28/11/2023 18:00</t>
  </si>
  <si>
    <t>28/11/2023 18:15</t>
  </si>
  <si>
    <t>28/11/2023 18:30</t>
  </si>
  <si>
    <t>28/11/2023 18:45</t>
  </si>
  <si>
    <t>28/11/2023 19:00</t>
  </si>
  <si>
    <t>28/11/2023 19:15</t>
  </si>
  <si>
    <t>28/11/2023 19:30</t>
  </si>
  <si>
    <t>28/11/2023 19:45</t>
  </si>
  <si>
    <t>28/11/2023 20:00</t>
  </si>
  <si>
    <t>28/11/2023 20:15</t>
  </si>
  <si>
    <t>28/11/2023 20:30</t>
  </si>
  <si>
    <t>28/11/2023 20:45</t>
  </si>
  <si>
    <t>28/11/2023 21:00</t>
  </si>
  <si>
    <t>28/11/2023 21:15</t>
  </si>
  <si>
    <t>28/11/2023 21:30</t>
  </si>
  <si>
    <t>28/11/2023 21:45</t>
  </si>
  <si>
    <t>28/11/2023 22:00</t>
  </si>
  <si>
    <t>28/11/2023 22:15</t>
  </si>
  <si>
    <t>28/11/2023 22:30</t>
  </si>
  <si>
    <t>28/11/2023 22:45</t>
  </si>
  <si>
    <t>28/11/2023 23:00</t>
  </si>
  <si>
    <t>28/11/2023 23:15</t>
  </si>
  <si>
    <t>28/11/2023 23:30</t>
  </si>
  <si>
    <t>28/11/2023 23:45</t>
  </si>
  <si>
    <t>28/11/2023 24:00</t>
  </si>
  <si>
    <t>29/11/2023 00:15</t>
  </si>
  <si>
    <t>29/11/2023 00:30</t>
  </si>
  <si>
    <t>29/11/2023 00:45</t>
  </si>
  <si>
    <t>29/11/2023 01:00</t>
  </si>
  <si>
    <t>29/11/2023 01:15</t>
  </si>
  <si>
    <t>29/11/2023 01:30</t>
  </si>
  <si>
    <t>29/11/2023 01:45</t>
  </si>
  <si>
    <t>29/11/2023 02:00</t>
  </si>
  <si>
    <t>29/11/2023 02:15</t>
  </si>
  <si>
    <t>29/11/2023 02:30</t>
  </si>
  <si>
    <t>29/11/2023 02:45</t>
  </si>
  <si>
    <t>29/11/2023 03:00</t>
  </si>
  <si>
    <t>29/11/2023 03:15</t>
  </si>
  <si>
    <t>29/11/2023 03:30</t>
  </si>
  <si>
    <t>29/11/2023 03:45</t>
  </si>
  <si>
    <t>29/11/2023 04:00</t>
  </si>
  <si>
    <t>29/11/2023 04:15</t>
  </si>
  <si>
    <t>29/11/2023 04:30</t>
  </si>
  <si>
    <t>29/11/2023 04:45</t>
  </si>
  <si>
    <t>29/11/2023 05:00</t>
  </si>
  <si>
    <t>29/11/2023 05:15</t>
  </si>
  <si>
    <t>29/11/2023 05:30</t>
  </si>
  <si>
    <t>29/11/2023 05:45</t>
  </si>
  <si>
    <t>29/11/2023 06:00</t>
  </si>
  <si>
    <t>29/11/2023 06:15</t>
  </si>
  <si>
    <t>29/11/2023 06:30</t>
  </si>
  <si>
    <t>29/11/2023 06:45</t>
  </si>
  <si>
    <t>29/11/2023 07:00</t>
  </si>
  <si>
    <t>29/11/2023 07:15</t>
  </si>
  <si>
    <t>29/11/2023 07:30</t>
  </si>
  <si>
    <t>29/11/2023 07:45</t>
  </si>
  <si>
    <t>29/11/2023 08:00</t>
  </si>
  <si>
    <t>29/11/2023 08:15</t>
  </si>
  <si>
    <t>29/11/2023 08:30</t>
  </si>
  <si>
    <t>29/11/2023 08:45</t>
  </si>
  <si>
    <t>29/11/2023 09:00</t>
  </si>
  <si>
    <t>29/11/2023 09:15</t>
  </si>
  <si>
    <t>29/11/2023 09:30</t>
  </si>
  <si>
    <t>29/11/2023 09:45</t>
  </si>
  <si>
    <t>29/11/2023 10:00</t>
  </si>
  <si>
    <t>29/11/2023 10:15</t>
  </si>
  <si>
    <t>29/11/2023 10:30</t>
  </si>
  <si>
    <t>29/11/2023 10:45</t>
  </si>
  <si>
    <t>29/11/2023 11:00</t>
  </si>
  <si>
    <t>29/11/2023 11:15</t>
  </si>
  <si>
    <t>29/11/2023 11:30</t>
  </si>
  <si>
    <t>29/11/2023 11:45</t>
  </si>
  <si>
    <t>29/11/2023 12:00</t>
  </si>
  <si>
    <t>29/11/2023 12:15</t>
  </si>
  <si>
    <t>29/11/2023 12:30</t>
  </si>
  <si>
    <t>29/11/2023 12:45</t>
  </si>
  <si>
    <t>29/11/2023 13:00</t>
  </si>
  <si>
    <t>29/11/2023 13:15</t>
  </si>
  <si>
    <t>29/11/2023 13:30</t>
  </si>
  <si>
    <t>29/11/2023 13:45</t>
  </si>
  <si>
    <t>29/11/2023 14:00</t>
  </si>
  <si>
    <t>29/11/2023 14:15</t>
  </si>
  <si>
    <t>29/11/2023 14:30</t>
  </si>
  <si>
    <t>29/11/2023 14:45</t>
  </si>
  <si>
    <t>29/11/2023 15:00</t>
  </si>
  <si>
    <t>29/11/2023 15:15</t>
  </si>
  <si>
    <t>29/11/2023 15:30</t>
  </si>
  <si>
    <t>29/11/2023 15:45</t>
  </si>
  <si>
    <t>29/11/2023 16:00</t>
  </si>
  <si>
    <t>29/11/2023 16:15</t>
  </si>
  <si>
    <t>29/11/2023 16:30</t>
  </si>
  <si>
    <t>29/11/2023 16:45</t>
  </si>
  <si>
    <t>29/11/2023 17:00</t>
  </si>
  <si>
    <t>29/11/2023 17:15</t>
  </si>
  <si>
    <t>29/11/2023 17:30</t>
  </si>
  <si>
    <t>29/11/2023 17:45</t>
  </si>
  <si>
    <t>29/11/2023 18:00</t>
  </si>
  <si>
    <t>29/11/2023 18:15</t>
  </si>
  <si>
    <t>29/11/2023 18:30</t>
  </si>
  <si>
    <t>29/11/2023 18:45</t>
  </si>
  <si>
    <t>29/11/2023 19:00</t>
  </si>
  <si>
    <t>29/11/2023 19:15</t>
  </si>
  <si>
    <t>29/11/2023 19:30</t>
  </si>
  <si>
    <t>29/11/2023 19:45</t>
  </si>
  <si>
    <t>29/11/2023 20:00</t>
  </si>
  <si>
    <t>29/11/2023 20:15</t>
  </si>
  <si>
    <t>29/11/2023 20:30</t>
  </si>
  <si>
    <t>29/11/2023 20:45</t>
  </si>
  <si>
    <t>29/11/2023 21:00</t>
  </si>
  <si>
    <t>29/11/2023 21:15</t>
  </si>
  <si>
    <t>29/11/2023 21:30</t>
  </si>
  <si>
    <t>29/11/2023 21:45</t>
  </si>
  <si>
    <t>29/11/2023 22:00</t>
  </si>
  <si>
    <t>29/11/2023 22:15</t>
  </si>
  <si>
    <t>29/11/2023 22:30</t>
  </si>
  <si>
    <t>29/11/2023 22:45</t>
  </si>
  <si>
    <t>29/11/2023 23:00</t>
  </si>
  <si>
    <t>29/11/2023 23:15</t>
  </si>
  <si>
    <t>29/11/2023 23:30</t>
  </si>
  <si>
    <t>29/11/2023 23:45</t>
  </si>
  <si>
    <t>29/11/2023 24:00</t>
  </si>
  <si>
    <t>30/11/2023 00:15</t>
  </si>
  <si>
    <t>30/11/2023 00:30</t>
  </si>
  <si>
    <t>30/11/2023 00:45</t>
  </si>
  <si>
    <t>30/11/2023 01:00</t>
  </si>
  <si>
    <t>30/11/2023 01:15</t>
  </si>
  <si>
    <t>30/11/2023 01:30</t>
  </si>
  <si>
    <t>30/11/2023 01:45</t>
  </si>
  <si>
    <t>30/11/2023 02:00</t>
  </si>
  <si>
    <t>30/11/2023 02:15</t>
  </si>
  <si>
    <t>30/11/2023 02:30</t>
  </si>
  <si>
    <t>30/11/2023 02:45</t>
  </si>
  <si>
    <t>30/11/2023 03:00</t>
  </si>
  <si>
    <t>30/11/2023 03:15</t>
  </si>
  <si>
    <t>30/11/2023 03:30</t>
  </si>
  <si>
    <t>30/11/2023 03:45</t>
  </si>
  <si>
    <t>30/11/2023 04:00</t>
  </si>
  <si>
    <t>30/11/2023 04:15</t>
  </si>
  <si>
    <t>30/11/2023 04:30</t>
  </si>
  <si>
    <t>30/11/2023 04:45</t>
  </si>
  <si>
    <t>30/11/2023 05:00</t>
  </si>
  <si>
    <t>30/11/2023 05:15</t>
  </si>
  <si>
    <t>30/11/2023 05:30</t>
  </si>
  <si>
    <t>30/11/2023 05:45</t>
  </si>
  <si>
    <t>30/11/2023 06:00</t>
  </si>
  <si>
    <t>30/11/2023 06:15</t>
  </si>
  <si>
    <t>30/11/2023 06:30</t>
  </si>
  <si>
    <t>30/11/2023 06:45</t>
  </si>
  <si>
    <t>30/11/2023 07:00</t>
  </si>
  <si>
    <t>30/11/2023 07:15</t>
  </si>
  <si>
    <t>30/11/2023 07:30</t>
  </si>
  <si>
    <t>30/11/2023 07:45</t>
  </si>
  <si>
    <t>30/11/2023 08:00</t>
  </si>
  <si>
    <t>30/11/2023 08:15</t>
  </si>
  <si>
    <t>30/11/2023 08:30</t>
  </si>
  <si>
    <t>30/11/2023 08:45</t>
  </si>
  <si>
    <t>30/11/2023 09:00</t>
  </si>
  <si>
    <t>30/11/2023 09:15</t>
  </si>
  <si>
    <t>30/11/2023 09:30</t>
  </si>
  <si>
    <t>30/11/2023 09:45</t>
  </si>
  <si>
    <t>30/11/2023 10:00</t>
  </si>
  <si>
    <t>30/11/2023 10:15</t>
  </si>
  <si>
    <t>30/11/2023 10:30</t>
  </si>
  <si>
    <t>30/11/2023 10:45</t>
  </si>
  <si>
    <t>30/11/2023 11:00</t>
  </si>
  <si>
    <t>30/11/2023 11:15</t>
  </si>
  <si>
    <t>30/11/2023 11:30</t>
  </si>
  <si>
    <t>30/11/2023 11:45</t>
  </si>
  <si>
    <t>30/11/2023 12:00</t>
  </si>
  <si>
    <t>30/11/2023 12:15</t>
  </si>
  <si>
    <t>30/11/2023 12:30</t>
  </si>
  <si>
    <t>30/11/2023 12:45</t>
  </si>
  <si>
    <t>30/11/2023 13:00</t>
  </si>
  <si>
    <t>30/11/2023 13:15</t>
  </si>
  <si>
    <t>30/11/2023 13:30</t>
  </si>
  <si>
    <t>30/11/2023 13:45</t>
  </si>
  <si>
    <t>30/11/2023 14:00</t>
  </si>
  <si>
    <t>30/11/2023 14:15</t>
  </si>
  <si>
    <t>30/11/2023 14:30</t>
  </si>
  <si>
    <t>30/11/2023 14:45</t>
  </si>
  <si>
    <t>30/11/2023 15:00</t>
  </si>
  <si>
    <t>30/11/2023 15:15</t>
  </si>
  <si>
    <t>30/11/2023 15:30</t>
  </si>
  <si>
    <t>30/11/2023 15:45</t>
  </si>
  <si>
    <t>30/11/2023 16:00</t>
  </si>
  <si>
    <t>30/11/2023 16:15</t>
  </si>
  <si>
    <t>30/11/2023 16:30</t>
  </si>
  <si>
    <t>30/11/2023 16:45</t>
  </si>
  <si>
    <t>30/11/2023 17:00</t>
  </si>
  <si>
    <t>30/11/2023 17:15</t>
  </si>
  <si>
    <t>30/11/2023 17:30</t>
  </si>
  <si>
    <t>30/11/2023 17:45</t>
  </si>
  <si>
    <t>30/11/2023 18:00</t>
  </si>
  <si>
    <t>30/11/2023 18:15</t>
  </si>
  <si>
    <t>30/11/2023 18:30</t>
  </si>
  <si>
    <t>30/11/2023 18:45</t>
  </si>
  <si>
    <t>30/11/2023 19:00</t>
  </si>
  <si>
    <t>30/11/2023 19:15</t>
  </si>
  <si>
    <t>30/11/2023 19:30</t>
  </si>
  <si>
    <t>30/11/2023 19:45</t>
  </si>
  <si>
    <t>30/11/2023 20:00</t>
  </si>
  <si>
    <t>30/11/2023 20:15</t>
  </si>
  <si>
    <t>30/11/2023 20:30</t>
  </si>
  <si>
    <t>30/11/2023 20:45</t>
  </si>
  <si>
    <t>30/11/2023 21:00</t>
  </si>
  <si>
    <t>30/11/2023 21:15</t>
  </si>
  <si>
    <t>30/11/2023 21:30</t>
  </si>
  <si>
    <t>30/11/2023 21:45</t>
  </si>
  <si>
    <t>30/11/2023 22:00</t>
  </si>
  <si>
    <t>30/11/2023 22:15</t>
  </si>
  <si>
    <t>30/11/2023 22:30</t>
  </si>
  <si>
    <t>30/11/2023 22:45</t>
  </si>
  <si>
    <t>30/11/2023 23:00</t>
  </si>
  <si>
    <t>30/11/2023 23:15</t>
  </si>
  <si>
    <t>30/11/2023 23:30</t>
  </si>
  <si>
    <t>30/11/2023 23:45</t>
  </si>
  <si>
    <t>30/11/2023 24:00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</si>
</sst>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7" xfId="0" applyNumberFormat="1" applyBorder="1" applyAlignment="1">
      <alignment horizontal="center"/>
    </xf>
    <xf numFmtId="0" fontId="0" fillId="0" borderId="19" xfId="0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01/11/2023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239</v>
      </c>
      <c r="B9" s="134">
        <v>8.64</v>
      </c>
      <c r="C9" s="134">
        <v>19.920000000000002</v>
      </c>
      <c r="D9" s="134">
        <v>18.690000000000001</v>
      </c>
      <c r="E9" s="134">
        <v>4.1500000000000004</v>
      </c>
      <c r="F9" s="134">
        <v>2.4</v>
      </c>
      <c r="G9" s="134">
        <v>54.51</v>
      </c>
      <c r="H9" s="134">
        <v>29.31</v>
      </c>
      <c r="I9" s="134">
        <v>6.81</v>
      </c>
      <c r="J9" s="134">
        <v>0.06</v>
      </c>
      <c r="K9" s="134">
        <v>237.47</v>
      </c>
      <c r="L9" s="134">
        <v>20.91</v>
      </c>
      <c r="M9" s="134">
        <v>92.16</v>
      </c>
      <c r="N9" s="134">
        <v>0</v>
      </c>
      <c r="O9" s="134">
        <v>0</v>
      </c>
      <c r="P9" s="134">
        <v>0.79</v>
      </c>
      <c r="Q9" s="134">
        <v>4.49</v>
      </c>
    </row>
    <row r="10" spans="1:21" customFormat="1">
      <c r="A10" s="112" t="s">
        <v>240</v>
      </c>
      <c r="B10" s="134">
        <v>8.58</v>
      </c>
      <c r="C10" s="134">
        <v>18.600000000000001</v>
      </c>
      <c r="D10" s="134">
        <v>17.95</v>
      </c>
      <c r="E10" s="134">
        <v>4.4000000000000004</v>
      </c>
      <c r="F10" s="134">
        <v>2.82</v>
      </c>
      <c r="G10" s="134">
        <v>54.51</v>
      </c>
      <c r="H10" s="134">
        <v>29.31</v>
      </c>
      <c r="I10" s="134">
        <v>6.8</v>
      </c>
      <c r="J10" s="134">
        <v>0.24</v>
      </c>
      <c r="K10" s="134">
        <v>263.54000000000002</v>
      </c>
      <c r="L10" s="134">
        <v>20.65</v>
      </c>
      <c r="M10" s="134">
        <v>92.47</v>
      </c>
      <c r="N10" s="134">
        <v>0</v>
      </c>
      <c r="O10" s="134">
        <v>0</v>
      </c>
      <c r="P10" s="134">
        <v>0.77</v>
      </c>
      <c r="Q10" s="134">
        <v>4.5199999999999996</v>
      </c>
    </row>
    <row r="11" spans="1:21" customFormat="1">
      <c r="A11" s="112" t="s">
        <v>241</v>
      </c>
      <c r="B11" s="134">
        <v>8.4700000000000006</v>
      </c>
      <c r="C11" s="134">
        <v>17.8</v>
      </c>
      <c r="D11" s="134">
        <v>17.440000000000001</v>
      </c>
      <c r="E11" s="134">
        <v>4.3499999999999996</v>
      </c>
      <c r="F11" s="134">
        <v>2.91</v>
      </c>
      <c r="G11" s="134">
        <v>54.25</v>
      </c>
      <c r="H11" s="134">
        <v>29.18</v>
      </c>
      <c r="I11" s="134">
        <v>6.79</v>
      </c>
      <c r="J11" s="134">
        <v>0.09</v>
      </c>
      <c r="K11" s="134">
        <v>205.14</v>
      </c>
      <c r="L11" s="134">
        <v>20.49</v>
      </c>
      <c r="M11" s="134">
        <v>92.25</v>
      </c>
      <c r="N11" s="134">
        <v>0</v>
      </c>
      <c r="O11" s="134">
        <v>0</v>
      </c>
      <c r="P11" s="134">
        <v>0.75</v>
      </c>
      <c r="Q11" s="134">
        <v>4.53</v>
      </c>
    </row>
    <row r="12" spans="1:21" customFormat="1">
      <c r="A12" s="112" t="s">
        <v>242</v>
      </c>
      <c r="B12" s="134">
        <v>8.61</v>
      </c>
      <c r="C12" s="134">
        <v>18.8</v>
      </c>
      <c r="D12" s="134">
        <v>18.079999999999998</v>
      </c>
      <c r="E12" s="134">
        <v>4.17</v>
      </c>
      <c r="F12" s="134">
        <v>2.66</v>
      </c>
      <c r="G12" s="134">
        <v>49.94</v>
      </c>
      <c r="H12" s="134">
        <v>27.13</v>
      </c>
      <c r="I12" s="134">
        <v>6.77</v>
      </c>
      <c r="J12" s="134">
        <v>0.13</v>
      </c>
      <c r="K12" s="134">
        <v>157.38</v>
      </c>
      <c r="L12" s="134">
        <v>20.47</v>
      </c>
      <c r="M12" s="134">
        <v>93.15</v>
      </c>
      <c r="N12" s="134">
        <v>0</v>
      </c>
      <c r="O12" s="134">
        <v>0</v>
      </c>
      <c r="P12" s="134">
        <v>0.76</v>
      </c>
      <c r="Q12" s="134">
        <v>4.49</v>
      </c>
    </row>
    <row r="13" spans="1:21" customFormat="1">
      <c r="A13" s="112" t="s">
        <v>243</v>
      </c>
      <c r="B13" s="134">
        <v>8.84</v>
      </c>
      <c r="C13" s="134">
        <v>20.43</v>
      </c>
      <c r="D13" s="134">
        <v>19.11</v>
      </c>
      <c r="E13" s="134">
        <v>4.07</v>
      </c>
      <c r="F13" s="134">
        <v>2.5099999999999998</v>
      </c>
      <c r="G13" s="134">
        <v>49.94</v>
      </c>
      <c r="H13" s="134">
        <v>27.13</v>
      </c>
      <c r="I13" s="134">
        <v>6.77</v>
      </c>
      <c r="J13" s="134">
        <v>0.13</v>
      </c>
      <c r="K13" s="134">
        <v>158.33000000000001</v>
      </c>
      <c r="L13" s="134">
        <v>20.52</v>
      </c>
      <c r="M13" s="134">
        <v>93.55</v>
      </c>
      <c r="N13" s="134">
        <v>0</v>
      </c>
      <c r="O13" s="134">
        <v>0</v>
      </c>
      <c r="P13" s="134">
        <v>0.79</v>
      </c>
      <c r="Q13" s="134">
        <v>4.4800000000000004</v>
      </c>
    </row>
    <row r="14" spans="1:21" customFormat="1">
      <c r="A14" s="112" t="s">
        <v>244</v>
      </c>
      <c r="B14" s="134">
        <v>8.82</v>
      </c>
      <c r="C14" s="134">
        <v>20.45</v>
      </c>
      <c r="D14" s="134">
        <v>19.11</v>
      </c>
      <c r="E14" s="134">
        <v>4.66</v>
      </c>
      <c r="F14" s="134">
        <v>2.62</v>
      </c>
      <c r="G14" s="134">
        <v>49.94</v>
      </c>
      <c r="H14" s="134">
        <v>27.13</v>
      </c>
      <c r="I14" s="134">
        <v>6.78</v>
      </c>
      <c r="J14" s="134">
        <v>7.0000000000000007E-2</v>
      </c>
      <c r="K14" s="134">
        <v>184.54</v>
      </c>
      <c r="L14" s="134">
        <v>20.54</v>
      </c>
      <c r="M14" s="134">
        <v>94.84</v>
      </c>
      <c r="N14" s="134">
        <v>0</v>
      </c>
      <c r="O14" s="134">
        <v>0</v>
      </c>
      <c r="P14" s="134">
        <v>0.8</v>
      </c>
      <c r="Q14" s="134">
        <v>4.5199999999999996</v>
      </c>
    </row>
    <row r="15" spans="1:21" customFormat="1">
      <c r="A15" s="112" t="s">
        <v>245</v>
      </c>
      <c r="B15" s="134">
        <v>9.24</v>
      </c>
      <c r="C15" s="134">
        <v>20.76</v>
      </c>
      <c r="D15" s="134">
        <v>19.61</v>
      </c>
      <c r="E15" s="134">
        <v>4.55</v>
      </c>
      <c r="F15" s="134">
        <v>2.77</v>
      </c>
      <c r="G15" s="134">
        <v>50.03</v>
      </c>
      <c r="H15" s="134">
        <v>27.1</v>
      </c>
      <c r="I15" s="134">
        <v>6.79</v>
      </c>
      <c r="J15" s="134">
        <v>0.09</v>
      </c>
      <c r="K15" s="134">
        <v>170.83</v>
      </c>
      <c r="L15" s="134">
        <v>20.420000000000002</v>
      </c>
      <c r="M15" s="134">
        <v>94.75</v>
      </c>
      <c r="N15" s="134">
        <v>0</v>
      </c>
      <c r="O15" s="134">
        <v>0</v>
      </c>
      <c r="P15" s="134">
        <v>0.8</v>
      </c>
      <c r="Q15" s="134">
        <v>4.55</v>
      </c>
    </row>
    <row r="16" spans="1:21" customFormat="1">
      <c r="A16" s="112" t="s">
        <v>246</v>
      </c>
      <c r="B16" s="134">
        <v>11.37</v>
      </c>
      <c r="C16" s="134">
        <v>22.1</v>
      </c>
      <c r="D16" s="134">
        <v>22.02</v>
      </c>
      <c r="E16" s="134">
        <v>4.91</v>
      </c>
      <c r="F16" s="134">
        <v>2.66</v>
      </c>
      <c r="G16" s="134">
        <v>51.81</v>
      </c>
      <c r="H16" s="134">
        <v>26.44</v>
      </c>
      <c r="I16" s="134">
        <v>6.73</v>
      </c>
      <c r="J16" s="134">
        <v>0.13</v>
      </c>
      <c r="K16" s="134">
        <v>152.09</v>
      </c>
      <c r="L16" s="134">
        <v>20.45</v>
      </c>
      <c r="M16" s="134">
        <v>93.7</v>
      </c>
      <c r="N16" s="134">
        <v>0</v>
      </c>
      <c r="O16" s="134">
        <v>0</v>
      </c>
      <c r="P16" s="134">
        <v>0.81</v>
      </c>
      <c r="Q16" s="134">
        <v>4.66</v>
      </c>
    </row>
    <row r="17" spans="1:17" customFormat="1">
      <c r="A17" s="112" t="s">
        <v>247</v>
      </c>
      <c r="B17" s="134">
        <v>13.52</v>
      </c>
      <c r="C17" s="134">
        <v>23.25</v>
      </c>
      <c r="D17" s="134">
        <v>24.35</v>
      </c>
      <c r="E17" s="134">
        <v>5.17</v>
      </c>
      <c r="F17" s="134">
        <v>2.62</v>
      </c>
      <c r="G17" s="134">
        <v>51.81</v>
      </c>
      <c r="H17" s="134">
        <v>26.44</v>
      </c>
      <c r="I17" s="134">
        <v>6.68</v>
      </c>
      <c r="J17" s="134">
        <v>0.1</v>
      </c>
      <c r="K17" s="134">
        <v>141.38</v>
      </c>
      <c r="L17" s="134">
        <v>20.45</v>
      </c>
      <c r="M17" s="134">
        <v>91.48</v>
      </c>
      <c r="N17" s="134">
        <v>0</v>
      </c>
      <c r="O17" s="134">
        <v>0</v>
      </c>
      <c r="P17" s="134">
        <v>0.8</v>
      </c>
      <c r="Q17" s="134">
        <v>4.76</v>
      </c>
    </row>
    <row r="18" spans="1:17" customFormat="1">
      <c r="A18" s="112" t="s">
        <v>248</v>
      </c>
      <c r="B18" s="134">
        <v>15.6</v>
      </c>
      <c r="C18" s="134">
        <v>24.38</v>
      </c>
      <c r="D18" s="134">
        <v>26.6</v>
      </c>
      <c r="E18" s="134">
        <v>5.88</v>
      </c>
      <c r="F18" s="134">
        <v>2.54</v>
      </c>
      <c r="G18" s="134">
        <v>51.81</v>
      </c>
      <c r="H18" s="134">
        <v>26.44</v>
      </c>
      <c r="I18" s="134">
        <v>6.7</v>
      </c>
      <c r="J18" s="134">
        <v>0.05</v>
      </c>
      <c r="K18" s="134">
        <v>137.88</v>
      </c>
      <c r="L18" s="134">
        <v>20.32</v>
      </c>
      <c r="M18" s="134">
        <v>91.93</v>
      </c>
      <c r="N18" s="134">
        <v>0</v>
      </c>
      <c r="O18" s="134">
        <v>0</v>
      </c>
      <c r="P18" s="134">
        <v>0.82</v>
      </c>
      <c r="Q18" s="134">
        <v>4.8899999999999997</v>
      </c>
    </row>
    <row r="19" spans="1:17" customFormat="1">
      <c r="A19" s="112" t="s">
        <v>249</v>
      </c>
      <c r="B19" s="134">
        <v>17.29</v>
      </c>
      <c r="C19" s="134">
        <v>25.31</v>
      </c>
      <c r="D19" s="134">
        <v>28.44</v>
      </c>
      <c r="E19" s="134">
        <v>6.03</v>
      </c>
      <c r="F19" s="134">
        <v>2.6</v>
      </c>
      <c r="G19" s="134">
        <v>52.29</v>
      </c>
      <c r="H19" s="134">
        <v>26.47</v>
      </c>
      <c r="I19" s="134">
        <v>6.65</v>
      </c>
      <c r="J19" s="134">
        <v>0.09</v>
      </c>
      <c r="K19" s="134">
        <v>148.77000000000001</v>
      </c>
      <c r="L19" s="134">
        <v>20.5</v>
      </c>
      <c r="M19" s="134">
        <v>91.71</v>
      </c>
      <c r="N19" s="134">
        <v>0</v>
      </c>
      <c r="O19" s="134">
        <v>0</v>
      </c>
      <c r="P19" s="134">
        <v>0.81</v>
      </c>
      <c r="Q19" s="134">
        <v>4.99</v>
      </c>
    </row>
    <row r="20" spans="1:17" customFormat="1">
      <c r="A20" s="112" t="s">
        <v>250</v>
      </c>
      <c r="B20" s="134">
        <v>18.399999999999999</v>
      </c>
      <c r="C20" s="134">
        <v>25.87</v>
      </c>
      <c r="D20" s="134">
        <v>29.62</v>
      </c>
      <c r="E20" s="134">
        <v>6.32</v>
      </c>
      <c r="F20" s="134">
        <v>2.7</v>
      </c>
      <c r="G20" s="134">
        <v>62.61</v>
      </c>
      <c r="H20" s="134">
        <v>26.98</v>
      </c>
      <c r="I20" s="134">
        <v>6.65</v>
      </c>
      <c r="J20" s="134">
        <v>0.1</v>
      </c>
      <c r="K20" s="134">
        <v>179.66</v>
      </c>
      <c r="L20" s="134">
        <v>20.399999999999999</v>
      </c>
      <c r="M20" s="134">
        <v>95.3</v>
      </c>
      <c r="N20" s="134">
        <v>0</v>
      </c>
      <c r="O20" s="134">
        <v>0</v>
      </c>
      <c r="P20" s="134">
        <v>0.81</v>
      </c>
      <c r="Q20" s="134">
        <v>5.05</v>
      </c>
    </row>
    <row r="21" spans="1:17" customFormat="1">
      <c r="A21" s="112" t="s">
        <v>251</v>
      </c>
      <c r="B21" s="134">
        <v>19.28</v>
      </c>
      <c r="C21" s="134">
        <v>26.13</v>
      </c>
      <c r="D21" s="134">
        <v>30.46</v>
      </c>
      <c r="E21" s="134">
        <v>6.29</v>
      </c>
      <c r="F21" s="134">
        <v>2.62</v>
      </c>
      <c r="G21" s="134">
        <v>62.61</v>
      </c>
      <c r="H21" s="134">
        <v>26.98</v>
      </c>
      <c r="I21" s="134">
        <v>6.67</v>
      </c>
      <c r="J21" s="134">
        <v>0.11</v>
      </c>
      <c r="K21" s="134">
        <v>144.91999999999999</v>
      </c>
      <c r="L21" s="134">
        <v>20.29</v>
      </c>
      <c r="M21" s="134">
        <v>94.33</v>
      </c>
      <c r="N21" s="134">
        <v>0</v>
      </c>
      <c r="O21" s="134">
        <v>0</v>
      </c>
      <c r="P21" s="134">
        <v>0.81</v>
      </c>
      <c r="Q21" s="134">
        <v>5.12</v>
      </c>
    </row>
    <row r="22" spans="1:17" customFormat="1">
      <c r="A22" s="112" t="s">
        <v>252</v>
      </c>
      <c r="B22" s="134">
        <v>20.170000000000002</v>
      </c>
      <c r="C22" s="134">
        <v>26.49</v>
      </c>
      <c r="D22" s="134">
        <v>31.37</v>
      </c>
      <c r="E22" s="134">
        <v>6.08</v>
      </c>
      <c r="F22" s="134">
        <v>2.4900000000000002</v>
      </c>
      <c r="G22" s="134">
        <v>62.61</v>
      </c>
      <c r="H22" s="134">
        <v>26.98</v>
      </c>
      <c r="I22" s="134">
        <v>6.66</v>
      </c>
      <c r="J22" s="134">
        <v>0.16</v>
      </c>
      <c r="K22" s="134">
        <v>151.65</v>
      </c>
      <c r="L22" s="134">
        <v>20.3</v>
      </c>
      <c r="M22" s="134">
        <v>93.22</v>
      </c>
      <c r="N22" s="134">
        <v>0</v>
      </c>
      <c r="O22" s="134">
        <v>0</v>
      </c>
      <c r="P22" s="134">
        <v>0.81</v>
      </c>
      <c r="Q22" s="134">
        <v>5.13</v>
      </c>
    </row>
    <row r="23" spans="1:17" customFormat="1">
      <c r="A23" s="112" t="s">
        <v>253</v>
      </c>
      <c r="B23" s="134">
        <v>20.57</v>
      </c>
      <c r="C23" s="134">
        <v>26.84</v>
      </c>
      <c r="D23" s="134">
        <v>31.87</v>
      </c>
      <c r="E23" s="134">
        <v>6.12</v>
      </c>
      <c r="F23" s="134">
        <v>2.5099999999999998</v>
      </c>
      <c r="G23" s="134">
        <v>62.71</v>
      </c>
      <c r="H23" s="134">
        <v>27.06</v>
      </c>
      <c r="I23" s="134">
        <v>6.68</v>
      </c>
      <c r="J23" s="134">
        <v>0.15</v>
      </c>
      <c r="K23" s="134">
        <v>180.34</v>
      </c>
      <c r="L23" s="134">
        <v>20.149999999999999</v>
      </c>
      <c r="M23" s="134">
        <v>94.5</v>
      </c>
      <c r="N23" s="134">
        <v>0</v>
      </c>
      <c r="O23" s="134">
        <v>0</v>
      </c>
      <c r="P23" s="134">
        <v>0.8</v>
      </c>
      <c r="Q23" s="134">
        <v>5.17</v>
      </c>
    </row>
    <row r="24" spans="1:17" customFormat="1">
      <c r="A24" s="112" t="s">
        <v>254</v>
      </c>
      <c r="B24" s="134">
        <v>20.66</v>
      </c>
      <c r="C24" s="134">
        <v>27.05</v>
      </c>
      <c r="D24" s="134">
        <v>32.049999999999997</v>
      </c>
      <c r="E24" s="134">
        <v>6.19</v>
      </c>
      <c r="F24" s="134">
        <v>2.46</v>
      </c>
      <c r="G24" s="134">
        <v>64.650000000000006</v>
      </c>
      <c r="H24" s="134">
        <v>28.34</v>
      </c>
      <c r="I24" s="134">
        <v>6.63</v>
      </c>
      <c r="J24" s="134">
        <v>0.06</v>
      </c>
      <c r="K24" s="134">
        <v>218.44</v>
      </c>
      <c r="L24" s="134">
        <v>19.89</v>
      </c>
      <c r="M24" s="134">
        <v>95.68</v>
      </c>
      <c r="N24" s="134">
        <v>0</v>
      </c>
      <c r="O24" s="134">
        <v>0</v>
      </c>
      <c r="P24" s="134">
        <v>0.81</v>
      </c>
      <c r="Q24" s="134">
        <v>5.19</v>
      </c>
    </row>
    <row r="25" spans="1:17" customFormat="1">
      <c r="A25" s="112" t="s">
        <v>255</v>
      </c>
      <c r="B25" s="134">
        <v>21.42</v>
      </c>
      <c r="C25" s="134">
        <v>27.03</v>
      </c>
      <c r="D25" s="134">
        <v>32.65</v>
      </c>
      <c r="E25" s="134">
        <v>6.35</v>
      </c>
      <c r="F25" s="134">
        <v>2.4</v>
      </c>
      <c r="G25" s="134">
        <v>64.650000000000006</v>
      </c>
      <c r="H25" s="134">
        <v>28.34</v>
      </c>
      <c r="I25" s="134">
        <v>6.62</v>
      </c>
      <c r="J25" s="134">
        <v>0.12</v>
      </c>
      <c r="K25" s="134">
        <v>224.01</v>
      </c>
      <c r="L25" s="134">
        <v>19.64</v>
      </c>
      <c r="M25" s="134">
        <v>96.67</v>
      </c>
      <c r="N25" s="134">
        <v>0</v>
      </c>
      <c r="O25" s="134">
        <v>0</v>
      </c>
      <c r="P25" s="134">
        <v>0.79</v>
      </c>
      <c r="Q25" s="134">
        <v>5.22</v>
      </c>
    </row>
    <row r="26" spans="1:17" customFormat="1">
      <c r="A26" s="112" t="s">
        <v>256</v>
      </c>
      <c r="B26" s="134">
        <v>23.9</v>
      </c>
      <c r="C26" s="134">
        <v>27.49</v>
      </c>
      <c r="D26" s="134">
        <v>34.880000000000003</v>
      </c>
      <c r="E26" s="134">
        <v>6.74</v>
      </c>
      <c r="F26" s="134">
        <v>2.4700000000000002</v>
      </c>
      <c r="G26" s="134">
        <v>64.650000000000006</v>
      </c>
      <c r="H26" s="134">
        <v>28.34</v>
      </c>
      <c r="I26" s="134">
        <v>6.6</v>
      </c>
      <c r="J26" s="134">
        <v>0.03</v>
      </c>
      <c r="K26" s="134">
        <v>342.17</v>
      </c>
      <c r="L26" s="134">
        <v>19.53</v>
      </c>
      <c r="M26" s="134">
        <v>96.8</v>
      </c>
      <c r="N26" s="134">
        <v>0</v>
      </c>
      <c r="O26" s="134">
        <v>0</v>
      </c>
      <c r="P26" s="134">
        <v>0.79</v>
      </c>
      <c r="Q26" s="134">
        <v>5.31</v>
      </c>
    </row>
    <row r="27" spans="1:17" customFormat="1">
      <c r="A27" s="112" t="s">
        <v>257</v>
      </c>
      <c r="B27" s="134">
        <v>27.25</v>
      </c>
      <c r="C27" s="134">
        <v>28.26</v>
      </c>
      <c r="D27" s="134">
        <v>37.97</v>
      </c>
      <c r="E27" s="134">
        <v>6.56</v>
      </c>
      <c r="F27" s="134">
        <v>2.57</v>
      </c>
      <c r="G27" s="134">
        <v>64.89</v>
      </c>
      <c r="H27" s="134">
        <v>28.38</v>
      </c>
      <c r="I27" s="134">
        <v>6.62</v>
      </c>
      <c r="J27" s="134">
        <v>0.08</v>
      </c>
      <c r="K27" s="134">
        <v>98.87</v>
      </c>
      <c r="L27" s="134">
        <v>19.559999999999999</v>
      </c>
      <c r="M27" s="134">
        <v>98.26</v>
      </c>
      <c r="N27" s="134">
        <v>0</v>
      </c>
      <c r="O27" s="134">
        <v>0</v>
      </c>
      <c r="P27" s="134">
        <v>0.79</v>
      </c>
      <c r="Q27" s="134">
        <v>5.46</v>
      </c>
    </row>
    <row r="28" spans="1:17" customFormat="1">
      <c r="A28" s="112" t="s">
        <v>258</v>
      </c>
      <c r="B28" s="134">
        <v>29.39</v>
      </c>
      <c r="C28" s="134">
        <v>28.71</v>
      </c>
      <c r="D28" s="134">
        <v>39.92</v>
      </c>
      <c r="E28" s="134">
        <v>6.55</v>
      </c>
      <c r="F28" s="134">
        <v>2.41</v>
      </c>
      <c r="G28" s="134">
        <v>70.08</v>
      </c>
      <c r="H28" s="134">
        <v>29.16</v>
      </c>
      <c r="I28" s="134">
        <v>6.62</v>
      </c>
      <c r="J28" s="134">
        <v>0.09</v>
      </c>
      <c r="K28" s="134">
        <v>57.26</v>
      </c>
      <c r="L28" s="134">
        <v>19.739999999999998</v>
      </c>
      <c r="M28" s="134">
        <v>97.46</v>
      </c>
      <c r="N28" s="134">
        <v>0</v>
      </c>
      <c r="O28" s="134">
        <v>0</v>
      </c>
      <c r="P28" s="134">
        <v>0.79</v>
      </c>
      <c r="Q28" s="134">
        <v>5.55</v>
      </c>
    </row>
    <row r="29" spans="1:17" customFormat="1">
      <c r="A29" s="112" t="s">
        <v>259</v>
      </c>
      <c r="B29" s="134">
        <v>30.5</v>
      </c>
      <c r="C29" s="134">
        <v>28.59</v>
      </c>
      <c r="D29" s="134">
        <v>40.75</v>
      </c>
      <c r="E29" s="134">
        <v>6.81</v>
      </c>
      <c r="F29" s="134">
        <v>2.4</v>
      </c>
      <c r="G29" s="134">
        <v>70.08</v>
      </c>
      <c r="H29" s="134">
        <v>29.16</v>
      </c>
      <c r="I29" s="134">
        <v>6.63</v>
      </c>
      <c r="J29" s="134">
        <v>0.15</v>
      </c>
      <c r="K29" s="134">
        <v>58.75</v>
      </c>
      <c r="L29" s="134">
        <v>19.89</v>
      </c>
      <c r="M29" s="134">
        <v>97.26</v>
      </c>
      <c r="N29" s="134">
        <v>0</v>
      </c>
      <c r="O29" s="134">
        <v>0</v>
      </c>
      <c r="P29" s="134">
        <v>0.79</v>
      </c>
      <c r="Q29" s="134">
        <v>5.63</v>
      </c>
    </row>
    <row r="30" spans="1:17" customFormat="1">
      <c r="A30" s="112" t="s">
        <v>260</v>
      </c>
      <c r="B30" s="134">
        <v>30.7</v>
      </c>
      <c r="C30" s="134">
        <v>28.5</v>
      </c>
      <c r="D30" s="134">
        <v>40.86</v>
      </c>
      <c r="E30" s="134">
        <v>6.87</v>
      </c>
      <c r="F30" s="134">
        <v>2.56</v>
      </c>
      <c r="G30" s="134">
        <v>70.08</v>
      </c>
      <c r="H30" s="134">
        <v>29.16</v>
      </c>
      <c r="I30" s="134">
        <v>6.69</v>
      </c>
      <c r="J30" s="134">
        <v>0.21</v>
      </c>
      <c r="K30" s="134">
        <v>52.17</v>
      </c>
      <c r="L30" s="134">
        <v>19.91</v>
      </c>
      <c r="M30" s="134">
        <v>95.72</v>
      </c>
      <c r="N30" s="134">
        <v>0</v>
      </c>
      <c r="O30" s="134">
        <v>0</v>
      </c>
      <c r="P30" s="134">
        <v>0.8</v>
      </c>
      <c r="Q30" s="134">
        <v>5.68</v>
      </c>
    </row>
    <row r="31" spans="1:17" customFormat="1">
      <c r="A31" s="112" t="s">
        <v>261</v>
      </c>
      <c r="B31" s="134">
        <v>30.53</v>
      </c>
      <c r="C31" s="134">
        <v>28.5</v>
      </c>
      <c r="D31" s="134">
        <v>40.72</v>
      </c>
      <c r="E31" s="134">
        <v>6.71</v>
      </c>
      <c r="F31" s="134">
        <v>2.4700000000000002</v>
      </c>
      <c r="G31" s="134">
        <v>70.150000000000006</v>
      </c>
      <c r="H31" s="134">
        <v>29.36</v>
      </c>
      <c r="I31" s="134">
        <v>6.75</v>
      </c>
      <c r="J31" s="134">
        <v>0.16</v>
      </c>
      <c r="K31" s="134">
        <v>58.37</v>
      </c>
      <c r="L31" s="134">
        <v>19.86</v>
      </c>
      <c r="M31" s="134">
        <v>95.49</v>
      </c>
      <c r="N31" s="134">
        <v>0</v>
      </c>
      <c r="O31" s="134">
        <v>0</v>
      </c>
      <c r="P31" s="134">
        <v>0.81</v>
      </c>
      <c r="Q31" s="134">
        <v>5.67</v>
      </c>
    </row>
    <row r="32" spans="1:17" customFormat="1">
      <c r="A32" s="112" t="s">
        <v>262</v>
      </c>
      <c r="B32" s="134">
        <v>30.13</v>
      </c>
      <c r="C32" s="134">
        <v>28.54</v>
      </c>
      <c r="D32" s="134">
        <v>40.42</v>
      </c>
      <c r="E32" s="134">
        <v>6.92</v>
      </c>
      <c r="F32" s="134">
        <v>2.52</v>
      </c>
      <c r="G32" s="134">
        <v>71.64</v>
      </c>
      <c r="H32" s="134">
        <v>32.54</v>
      </c>
      <c r="I32" s="134">
        <v>6.87</v>
      </c>
      <c r="J32" s="134">
        <v>0.12</v>
      </c>
      <c r="K32" s="134">
        <v>52.78</v>
      </c>
      <c r="L32" s="134">
        <v>19.73</v>
      </c>
      <c r="M32" s="134">
        <v>97.27</v>
      </c>
      <c r="N32" s="134">
        <v>0</v>
      </c>
      <c r="O32" s="134">
        <v>0</v>
      </c>
      <c r="P32" s="134">
        <v>0.81</v>
      </c>
      <c r="Q32" s="134">
        <v>5.65</v>
      </c>
    </row>
    <row r="33" spans="1:17" customFormat="1">
      <c r="A33" s="112" t="s">
        <v>263</v>
      </c>
      <c r="B33" s="134">
        <v>29.86</v>
      </c>
      <c r="C33" s="134">
        <v>28.56</v>
      </c>
      <c r="D33" s="134">
        <v>40.22</v>
      </c>
      <c r="E33" s="134">
        <v>7.14</v>
      </c>
      <c r="F33" s="134">
        <v>2.4700000000000002</v>
      </c>
      <c r="G33" s="134">
        <v>71.64</v>
      </c>
      <c r="H33" s="134">
        <v>32.54</v>
      </c>
      <c r="I33" s="134">
        <v>6.95</v>
      </c>
      <c r="J33" s="134">
        <v>0.16</v>
      </c>
      <c r="K33" s="134">
        <v>46.27</v>
      </c>
      <c r="L33" s="134">
        <v>19.7</v>
      </c>
      <c r="M33" s="134">
        <v>95.84</v>
      </c>
      <c r="N33" s="134">
        <v>0.2</v>
      </c>
      <c r="O33" s="134">
        <v>0</v>
      </c>
      <c r="P33" s="134">
        <v>0.82</v>
      </c>
      <c r="Q33" s="134">
        <v>5.61</v>
      </c>
    </row>
    <row r="34" spans="1:17" customFormat="1">
      <c r="A34" s="112" t="s">
        <v>264</v>
      </c>
      <c r="B34" s="134">
        <v>30.02</v>
      </c>
      <c r="C34" s="134">
        <v>28.42</v>
      </c>
      <c r="D34" s="134">
        <v>40.270000000000003</v>
      </c>
      <c r="E34" s="134">
        <v>7.23</v>
      </c>
      <c r="F34" s="134">
        <v>2.44</v>
      </c>
      <c r="G34" s="134">
        <v>71.64</v>
      </c>
      <c r="H34" s="134">
        <v>32.54</v>
      </c>
      <c r="I34" s="134">
        <v>7.03</v>
      </c>
      <c r="J34" s="134">
        <v>0.36</v>
      </c>
      <c r="K34" s="134">
        <v>51.59</v>
      </c>
      <c r="L34" s="134">
        <v>19.760000000000002</v>
      </c>
      <c r="M34" s="134">
        <v>94.99</v>
      </c>
      <c r="N34" s="134">
        <v>6</v>
      </c>
      <c r="O34" s="134">
        <v>0</v>
      </c>
      <c r="P34" s="134">
        <v>0.81</v>
      </c>
      <c r="Q34" s="134">
        <v>5.6</v>
      </c>
    </row>
    <row r="35" spans="1:17" customFormat="1">
      <c r="A35" s="112" t="s">
        <v>265</v>
      </c>
      <c r="B35" s="134">
        <v>30.09</v>
      </c>
      <c r="C35" s="134">
        <v>26.54</v>
      </c>
      <c r="D35" s="134">
        <v>39.35</v>
      </c>
      <c r="E35" s="134">
        <v>6.63</v>
      </c>
      <c r="F35" s="134">
        <v>2.86</v>
      </c>
      <c r="G35" s="134">
        <v>71.349999999999994</v>
      </c>
      <c r="H35" s="134">
        <v>32.64</v>
      </c>
      <c r="I35" s="134">
        <v>7.06</v>
      </c>
      <c r="J35" s="134">
        <v>0.16</v>
      </c>
      <c r="K35" s="134">
        <v>44.18</v>
      </c>
      <c r="L35" s="134">
        <v>19.96</v>
      </c>
      <c r="M35" s="134">
        <v>93</v>
      </c>
      <c r="N35" s="134">
        <v>17.7</v>
      </c>
      <c r="O35" s="134">
        <v>0</v>
      </c>
      <c r="P35" s="134">
        <v>0.79</v>
      </c>
      <c r="Q35" s="134">
        <v>5.57</v>
      </c>
    </row>
    <row r="36" spans="1:17" customFormat="1">
      <c r="A36" s="112" t="s">
        <v>266</v>
      </c>
      <c r="B36" s="134">
        <v>29.84</v>
      </c>
      <c r="C36" s="134">
        <v>25.42</v>
      </c>
      <c r="D36" s="134">
        <v>38.56</v>
      </c>
      <c r="E36" s="134">
        <v>6.52</v>
      </c>
      <c r="F36" s="134">
        <v>2.64</v>
      </c>
      <c r="G36" s="134">
        <v>65.11</v>
      </c>
      <c r="H36" s="134">
        <v>34.17</v>
      </c>
      <c r="I36" s="134">
        <v>7.1</v>
      </c>
      <c r="J36" s="134">
        <v>0.28999999999999998</v>
      </c>
      <c r="K36" s="134">
        <v>47.03</v>
      </c>
      <c r="L36" s="134">
        <v>20.309999999999999</v>
      </c>
      <c r="M36" s="134">
        <v>91.66</v>
      </c>
      <c r="N36" s="134">
        <v>29.4</v>
      </c>
      <c r="O36" s="134">
        <v>0</v>
      </c>
      <c r="P36" s="134">
        <v>0.77</v>
      </c>
      <c r="Q36" s="134">
        <v>5.55</v>
      </c>
    </row>
    <row r="37" spans="1:17" customFormat="1">
      <c r="A37" s="112" t="s">
        <v>267</v>
      </c>
      <c r="B37" s="134">
        <v>29.36</v>
      </c>
      <c r="C37" s="134">
        <v>26.13</v>
      </c>
      <c r="D37" s="134">
        <v>38.549999999999997</v>
      </c>
      <c r="E37" s="134">
        <v>6.22</v>
      </c>
      <c r="F37" s="134">
        <v>2.4700000000000002</v>
      </c>
      <c r="G37" s="134">
        <v>65.11</v>
      </c>
      <c r="H37" s="134">
        <v>34.17</v>
      </c>
      <c r="I37" s="134">
        <v>7.09</v>
      </c>
      <c r="J37" s="134">
        <v>0.46</v>
      </c>
      <c r="K37" s="134">
        <v>36.72</v>
      </c>
      <c r="L37" s="134">
        <v>20.64</v>
      </c>
      <c r="M37" s="134">
        <v>89.76</v>
      </c>
      <c r="N37" s="134">
        <v>44.2</v>
      </c>
      <c r="O37" s="134">
        <v>0</v>
      </c>
      <c r="P37" s="134">
        <v>0.79</v>
      </c>
      <c r="Q37" s="134">
        <v>5.52</v>
      </c>
    </row>
    <row r="38" spans="1:17" customFormat="1">
      <c r="A38" s="112" t="s">
        <v>268</v>
      </c>
      <c r="B38" s="134">
        <v>29.04</v>
      </c>
      <c r="C38" s="134">
        <v>24.83</v>
      </c>
      <c r="D38" s="134">
        <v>37.61</v>
      </c>
      <c r="E38" s="134">
        <v>6.13</v>
      </c>
      <c r="F38" s="134">
        <v>2.76</v>
      </c>
      <c r="G38" s="134">
        <v>65.11</v>
      </c>
      <c r="H38" s="134">
        <v>34.17</v>
      </c>
      <c r="I38" s="134">
        <v>7.09</v>
      </c>
      <c r="J38" s="134">
        <v>0.47</v>
      </c>
      <c r="K38" s="134">
        <v>38.950000000000003</v>
      </c>
      <c r="L38" s="134">
        <v>21.05</v>
      </c>
      <c r="M38" s="134">
        <v>87.56</v>
      </c>
      <c r="N38" s="134">
        <v>58.5</v>
      </c>
      <c r="O38" s="134">
        <v>0</v>
      </c>
      <c r="P38" s="134">
        <v>0.78</v>
      </c>
      <c r="Q38" s="134">
        <v>5.47</v>
      </c>
    </row>
    <row r="39" spans="1:17" customFormat="1">
      <c r="A39" s="112" t="s">
        <v>269</v>
      </c>
      <c r="B39" s="134">
        <v>28.28</v>
      </c>
      <c r="C39" s="134">
        <v>25.61</v>
      </c>
      <c r="D39" s="134">
        <v>37.409999999999997</v>
      </c>
      <c r="E39" s="134">
        <v>5.6</v>
      </c>
      <c r="F39" s="134">
        <v>2.54</v>
      </c>
      <c r="G39" s="134">
        <v>65.16</v>
      </c>
      <c r="H39" s="134">
        <v>33.92</v>
      </c>
      <c r="I39" s="134">
        <v>7.13</v>
      </c>
      <c r="J39" s="134">
        <v>0.48</v>
      </c>
      <c r="K39" s="134">
        <v>34.9</v>
      </c>
      <c r="L39" s="134">
        <v>21.68</v>
      </c>
      <c r="M39" s="134">
        <v>84.92</v>
      </c>
      <c r="N39" s="134">
        <v>149.9</v>
      </c>
      <c r="O39" s="134">
        <v>0</v>
      </c>
      <c r="P39" s="134">
        <v>0.8</v>
      </c>
      <c r="Q39" s="134">
        <v>5.43</v>
      </c>
    </row>
    <row r="40" spans="1:17" customFormat="1">
      <c r="A40" s="112" t="s">
        <v>270</v>
      </c>
      <c r="B40" s="134">
        <v>27.67</v>
      </c>
      <c r="C40" s="134">
        <v>25.44</v>
      </c>
      <c r="D40" s="134">
        <v>36.83</v>
      </c>
      <c r="E40" s="134">
        <v>6.09</v>
      </c>
      <c r="F40" s="134">
        <v>2.7</v>
      </c>
      <c r="G40" s="134">
        <v>66.34</v>
      </c>
      <c r="H40" s="134">
        <v>29.9</v>
      </c>
      <c r="I40" s="134">
        <v>7.15</v>
      </c>
      <c r="J40" s="134">
        <v>0.22</v>
      </c>
      <c r="K40" s="134">
        <v>104.37</v>
      </c>
      <c r="L40" s="134">
        <v>22.78</v>
      </c>
      <c r="M40" s="134">
        <v>78.88</v>
      </c>
      <c r="N40" s="134">
        <v>197.3</v>
      </c>
      <c r="O40" s="134">
        <v>0</v>
      </c>
      <c r="P40" s="134">
        <v>0.79</v>
      </c>
      <c r="Q40" s="134">
        <v>5.44</v>
      </c>
    </row>
    <row r="41" spans="1:17" customFormat="1">
      <c r="A41" s="112" t="s">
        <v>271</v>
      </c>
      <c r="B41" s="134">
        <v>26.77</v>
      </c>
      <c r="C41" s="134">
        <v>24.35</v>
      </c>
      <c r="D41" s="134">
        <v>35.54</v>
      </c>
      <c r="E41" s="134">
        <v>5.97</v>
      </c>
      <c r="F41" s="134">
        <v>2.89</v>
      </c>
      <c r="G41" s="134">
        <v>66.34</v>
      </c>
      <c r="H41" s="134">
        <v>29.9</v>
      </c>
      <c r="I41" s="134">
        <v>7.17</v>
      </c>
      <c r="J41" s="134">
        <v>0.41</v>
      </c>
      <c r="K41" s="134">
        <v>55.67</v>
      </c>
      <c r="L41" s="134">
        <v>23.5</v>
      </c>
      <c r="M41" s="134">
        <v>75.14</v>
      </c>
      <c r="N41" s="134">
        <v>231.7</v>
      </c>
      <c r="O41" s="134">
        <v>0</v>
      </c>
      <c r="P41" s="134">
        <v>0.78</v>
      </c>
      <c r="Q41" s="134">
        <v>5.41</v>
      </c>
    </row>
    <row r="42" spans="1:17" customFormat="1">
      <c r="A42" s="112" t="s">
        <v>272</v>
      </c>
      <c r="B42" s="134">
        <v>25.59</v>
      </c>
      <c r="C42" s="134">
        <v>25.88</v>
      </c>
      <c r="D42" s="134">
        <v>35.39</v>
      </c>
      <c r="E42" s="134">
        <v>6.03</v>
      </c>
      <c r="F42" s="134">
        <v>2.59</v>
      </c>
      <c r="G42" s="134">
        <v>66.34</v>
      </c>
      <c r="H42" s="134">
        <v>29.9</v>
      </c>
      <c r="I42" s="134">
        <v>7.16</v>
      </c>
      <c r="J42" s="134">
        <v>0.2</v>
      </c>
      <c r="K42" s="134">
        <v>93.06</v>
      </c>
      <c r="L42" s="134">
        <v>24.65</v>
      </c>
      <c r="M42" s="134">
        <v>71.34</v>
      </c>
      <c r="N42" s="134">
        <v>259.39999999999998</v>
      </c>
      <c r="O42" s="134">
        <v>0</v>
      </c>
      <c r="P42" s="134">
        <v>0.79</v>
      </c>
      <c r="Q42" s="134">
        <v>5.35</v>
      </c>
    </row>
    <row r="43" spans="1:17" customFormat="1">
      <c r="A43" s="112" t="s">
        <v>273</v>
      </c>
      <c r="B43" s="134">
        <v>24.45</v>
      </c>
      <c r="C43" s="134">
        <v>25.12</v>
      </c>
      <c r="D43" s="134">
        <v>34.08</v>
      </c>
      <c r="E43" s="134">
        <v>5.99</v>
      </c>
      <c r="F43" s="134">
        <v>2.82</v>
      </c>
      <c r="G43" s="134">
        <v>66.58</v>
      </c>
      <c r="H43" s="134">
        <v>30.29</v>
      </c>
      <c r="I43" s="134">
        <v>7.09</v>
      </c>
      <c r="J43" s="134">
        <v>0.26</v>
      </c>
      <c r="K43" s="134">
        <v>95.54</v>
      </c>
      <c r="L43" s="134">
        <v>25.55</v>
      </c>
      <c r="M43" s="134">
        <v>67.83</v>
      </c>
      <c r="N43" s="134">
        <v>291.60000000000002</v>
      </c>
      <c r="O43" s="134">
        <v>0</v>
      </c>
      <c r="P43" s="134">
        <v>0.79</v>
      </c>
      <c r="Q43" s="134">
        <v>5.32</v>
      </c>
    </row>
    <row r="44" spans="1:17" customFormat="1">
      <c r="A44" s="112" t="s">
        <v>274</v>
      </c>
      <c r="B44" s="134">
        <v>23.17</v>
      </c>
      <c r="C44" s="134">
        <v>24.59</v>
      </c>
      <c r="D44" s="134">
        <v>32.78</v>
      </c>
      <c r="E44" s="134">
        <v>5.92</v>
      </c>
      <c r="F44" s="134">
        <v>2.93</v>
      </c>
      <c r="G44" s="134">
        <v>71.760000000000005</v>
      </c>
      <c r="H44" s="134">
        <v>36.42</v>
      </c>
      <c r="I44" s="134">
        <v>7.15</v>
      </c>
      <c r="J44" s="134">
        <v>0.33</v>
      </c>
      <c r="K44" s="134">
        <v>67.59</v>
      </c>
      <c r="L44" s="134">
        <v>25.89</v>
      </c>
      <c r="M44" s="134">
        <v>66.42</v>
      </c>
      <c r="N44" s="134">
        <v>321.8</v>
      </c>
      <c r="O44" s="134">
        <v>0</v>
      </c>
      <c r="P44" s="134">
        <v>0.78</v>
      </c>
      <c r="Q44" s="134">
        <v>5.27</v>
      </c>
    </row>
    <row r="45" spans="1:17" customFormat="1">
      <c r="A45" s="112" t="s">
        <v>275</v>
      </c>
      <c r="B45" s="134">
        <v>21.77</v>
      </c>
      <c r="C45" s="134">
        <v>25.86</v>
      </c>
      <c r="D45" s="134">
        <v>32.32</v>
      </c>
      <c r="E45" s="134">
        <v>5.46</v>
      </c>
      <c r="F45" s="134">
        <v>2.7</v>
      </c>
      <c r="G45" s="134">
        <v>71.760000000000005</v>
      </c>
      <c r="H45" s="134">
        <v>36.42</v>
      </c>
      <c r="I45" s="134">
        <v>7.21</v>
      </c>
      <c r="J45" s="134">
        <v>0.39</v>
      </c>
      <c r="K45" s="134">
        <v>54.17</v>
      </c>
      <c r="L45" s="134">
        <v>26.5</v>
      </c>
      <c r="M45" s="134">
        <v>64.849999999999994</v>
      </c>
      <c r="N45" s="134">
        <v>334.2</v>
      </c>
      <c r="O45" s="134">
        <v>0</v>
      </c>
      <c r="P45" s="134">
        <v>0.8</v>
      </c>
      <c r="Q45" s="134">
        <v>5.2</v>
      </c>
    </row>
    <row r="46" spans="1:17" customFormat="1">
      <c r="A46" s="112" t="s">
        <v>276</v>
      </c>
      <c r="B46" s="134">
        <v>20.48</v>
      </c>
      <c r="C46" s="134">
        <v>25.4</v>
      </c>
      <c r="D46" s="134">
        <v>31.05</v>
      </c>
      <c r="E46" s="134">
        <v>5.9</v>
      </c>
      <c r="F46" s="134">
        <v>3</v>
      </c>
      <c r="G46" s="134">
        <v>71.760000000000005</v>
      </c>
      <c r="H46" s="134">
        <v>36.42</v>
      </c>
      <c r="I46" s="134">
        <v>7.21</v>
      </c>
      <c r="J46" s="134">
        <v>0.3</v>
      </c>
      <c r="K46" s="134">
        <v>64.53</v>
      </c>
      <c r="L46" s="134">
        <v>27.31</v>
      </c>
      <c r="M46" s="134">
        <v>60.76</v>
      </c>
      <c r="N46" s="134">
        <v>261.89999999999998</v>
      </c>
      <c r="O46" s="134">
        <v>0</v>
      </c>
      <c r="P46" s="134">
        <v>0.8</v>
      </c>
      <c r="Q46" s="134">
        <v>5.12</v>
      </c>
    </row>
    <row r="47" spans="1:17" customFormat="1">
      <c r="A47" s="112" t="s">
        <v>277</v>
      </c>
      <c r="B47" s="134">
        <v>19.02</v>
      </c>
      <c r="C47" s="134">
        <v>24.74</v>
      </c>
      <c r="D47" s="134">
        <v>29.53</v>
      </c>
      <c r="E47" s="134">
        <v>6.12</v>
      </c>
      <c r="F47" s="134">
        <v>3.2</v>
      </c>
      <c r="G47" s="134">
        <v>71.61</v>
      </c>
      <c r="H47" s="134">
        <v>36.049999999999997</v>
      </c>
      <c r="I47" s="134">
        <v>7.18</v>
      </c>
      <c r="J47" s="134">
        <v>0.26</v>
      </c>
      <c r="K47" s="134">
        <v>108.65</v>
      </c>
      <c r="L47" s="134">
        <v>27.64</v>
      </c>
      <c r="M47" s="134">
        <v>58.22</v>
      </c>
      <c r="N47" s="134">
        <v>372</v>
      </c>
      <c r="O47" s="134">
        <v>0</v>
      </c>
      <c r="P47" s="134">
        <v>0.79</v>
      </c>
      <c r="Q47" s="134">
        <v>5.09</v>
      </c>
    </row>
    <row r="48" spans="1:17" customFormat="1">
      <c r="A48" s="112" t="s">
        <v>278</v>
      </c>
      <c r="B48" s="134">
        <v>17.46</v>
      </c>
      <c r="C48" s="134">
        <v>24.53</v>
      </c>
      <c r="D48" s="134">
        <v>28.17</v>
      </c>
      <c r="E48" s="134">
        <v>6.43</v>
      </c>
      <c r="F48" s="134">
        <v>3.29</v>
      </c>
      <c r="G48" s="134">
        <v>68.989999999999995</v>
      </c>
      <c r="H48" s="134">
        <v>30.21</v>
      </c>
      <c r="I48" s="134">
        <v>7.15</v>
      </c>
      <c r="J48" s="134">
        <v>0.3</v>
      </c>
      <c r="K48" s="134">
        <v>78.12</v>
      </c>
      <c r="L48" s="134">
        <v>28.09</v>
      </c>
      <c r="M48" s="134">
        <v>56.79</v>
      </c>
      <c r="N48" s="134">
        <v>445.4</v>
      </c>
      <c r="O48" s="134">
        <v>0</v>
      </c>
      <c r="P48" s="134">
        <v>0.78</v>
      </c>
      <c r="Q48" s="134">
        <v>5.03</v>
      </c>
    </row>
    <row r="49" spans="1:17" customFormat="1">
      <c r="A49" s="112" t="s">
        <v>279</v>
      </c>
      <c r="B49" s="134">
        <v>16.079999999999998</v>
      </c>
      <c r="C49" s="134">
        <v>24.33</v>
      </c>
      <c r="D49" s="134">
        <v>26.96</v>
      </c>
      <c r="E49" s="134">
        <v>6.39</v>
      </c>
      <c r="F49" s="134">
        <v>3.34</v>
      </c>
      <c r="G49" s="134">
        <v>68.989999999999995</v>
      </c>
      <c r="H49" s="134">
        <v>30.21</v>
      </c>
      <c r="I49" s="134">
        <v>7.04</v>
      </c>
      <c r="J49" s="134">
        <v>0.28999999999999998</v>
      </c>
      <c r="K49" s="134">
        <v>67.87</v>
      </c>
      <c r="L49" s="134">
        <v>28.34</v>
      </c>
      <c r="M49" s="134">
        <v>56.03</v>
      </c>
      <c r="N49" s="134">
        <v>471.7</v>
      </c>
      <c r="O49" s="134">
        <v>0</v>
      </c>
      <c r="P49" s="134">
        <v>0.78</v>
      </c>
      <c r="Q49" s="134">
        <v>4.95</v>
      </c>
    </row>
    <row r="50" spans="1:17" customFormat="1">
      <c r="A50" s="112" t="s">
        <v>280</v>
      </c>
      <c r="B50" s="134">
        <v>14.85</v>
      </c>
      <c r="C50" s="134">
        <v>23.87</v>
      </c>
      <c r="D50" s="134">
        <v>25.73</v>
      </c>
      <c r="E50" s="134">
        <v>7.96</v>
      </c>
      <c r="F50" s="134">
        <v>4.3</v>
      </c>
      <c r="G50" s="134">
        <v>68.989999999999995</v>
      </c>
      <c r="H50" s="134">
        <v>30.21</v>
      </c>
      <c r="I50" s="134">
        <v>7</v>
      </c>
      <c r="J50" s="134">
        <v>0.56999999999999995</v>
      </c>
      <c r="K50" s="134">
        <v>42.97</v>
      </c>
      <c r="L50" s="134">
        <v>28.58</v>
      </c>
      <c r="M50" s="134">
        <v>54.14</v>
      </c>
      <c r="N50" s="134">
        <v>439.1</v>
      </c>
      <c r="O50" s="134">
        <v>0</v>
      </c>
      <c r="P50" s="134">
        <v>0.77</v>
      </c>
      <c r="Q50" s="134">
        <v>4.8600000000000003</v>
      </c>
    </row>
    <row r="51" spans="1:17" customFormat="1">
      <c r="A51" s="112" t="s">
        <v>281</v>
      </c>
      <c r="B51" s="134">
        <v>13.55</v>
      </c>
      <c r="C51" s="134">
        <v>23.45</v>
      </c>
      <c r="D51" s="134">
        <v>24.47</v>
      </c>
      <c r="E51" s="134">
        <v>7.96</v>
      </c>
      <c r="F51" s="134">
        <v>5.76</v>
      </c>
      <c r="G51" s="134">
        <v>68.790000000000006</v>
      </c>
      <c r="H51" s="134">
        <v>30.06</v>
      </c>
      <c r="I51" s="134">
        <v>6.92</v>
      </c>
      <c r="J51" s="134">
        <v>0.2</v>
      </c>
      <c r="K51" s="134">
        <v>116.45</v>
      </c>
      <c r="L51" s="134">
        <v>28.97</v>
      </c>
      <c r="M51" s="134">
        <v>51.17</v>
      </c>
      <c r="N51" s="134">
        <v>506.5</v>
      </c>
      <c r="O51" s="134">
        <v>0</v>
      </c>
      <c r="P51" s="134">
        <v>0.77</v>
      </c>
      <c r="Q51" s="134">
        <v>4.8099999999999996</v>
      </c>
    </row>
    <row r="52" spans="1:17" customFormat="1">
      <c r="A52" s="112" t="s">
        <v>282</v>
      </c>
      <c r="B52" s="134">
        <v>12.27</v>
      </c>
      <c r="C52" s="134">
        <v>23</v>
      </c>
      <c r="D52" s="134">
        <v>23.21</v>
      </c>
      <c r="E52" s="134">
        <v>8.32</v>
      </c>
      <c r="F52" s="134">
        <v>6.25</v>
      </c>
      <c r="G52" s="134">
        <v>64.48</v>
      </c>
      <c r="H52" s="134">
        <v>27.65</v>
      </c>
      <c r="I52" s="134">
        <v>6.82</v>
      </c>
      <c r="J52" s="134">
        <v>0.33</v>
      </c>
      <c r="K52" s="134">
        <v>59.03</v>
      </c>
      <c r="L52" s="134">
        <v>29.16</v>
      </c>
      <c r="M52" s="134">
        <v>47.43</v>
      </c>
      <c r="N52" s="134">
        <v>500.8</v>
      </c>
      <c r="O52" s="134">
        <v>0</v>
      </c>
      <c r="P52" s="134">
        <v>0.76</v>
      </c>
      <c r="Q52" s="134">
        <v>4.76</v>
      </c>
    </row>
    <row r="53" spans="1:17" customFormat="1">
      <c r="A53" s="112" t="s">
        <v>283</v>
      </c>
      <c r="B53" s="134">
        <v>10.76</v>
      </c>
      <c r="C53" s="134">
        <v>23.35</v>
      </c>
      <c r="D53" s="134">
        <v>22.18</v>
      </c>
      <c r="E53" s="134">
        <v>8.11</v>
      </c>
      <c r="F53" s="134">
        <v>4.71</v>
      </c>
      <c r="G53" s="134">
        <v>64.48</v>
      </c>
      <c r="H53" s="134">
        <v>27.65</v>
      </c>
      <c r="I53" s="134">
        <v>6.74</v>
      </c>
      <c r="J53" s="134">
        <v>0.32</v>
      </c>
      <c r="K53" s="134">
        <v>129.32</v>
      </c>
      <c r="L53" s="134">
        <v>29.67</v>
      </c>
      <c r="M53" s="134">
        <v>47.06</v>
      </c>
      <c r="N53" s="134">
        <v>574.6</v>
      </c>
      <c r="O53" s="134">
        <v>0</v>
      </c>
      <c r="P53" s="134">
        <v>0.77</v>
      </c>
      <c r="Q53" s="134">
        <v>4.7</v>
      </c>
    </row>
    <row r="54" spans="1:17" customFormat="1">
      <c r="A54" s="112" t="s">
        <v>284</v>
      </c>
      <c r="B54" s="134">
        <v>9.0299999999999994</v>
      </c>
      <c r="C54" s="134">
        <v>23.49</v>
      </c>
      <c r="D54" s="134">
        <v>20.87</v>
      </c>
      <c r="E54" s="134">
        <v>7.52</v>
      </c>
      <c r="F54" s="134">
        <v>5.67</v>
      </c>
      <c r="G54" s="134">
        <v>64.48</v>
      </c>
      <c r="H54" s="134">
        <v>27.65</v>
      </c>
      <c r="I54" s="134">
        <v>6.61</v>
      </c>
      <c r="J54" s="134">
        <v>0.32</v>
      </c>
      <c r="K54" s="134">
        <v>110.39</v>
      </c>
      <c r="L54" s="134">
        <v>29.95</v>
      </c>
      <c r="M54" s="134">
        <v>47.8</v>
      </c>
      <c r="N54" s="134">
        <v>570.9</v>
      </c>
      <c r="O54" s="134">
        <v>0</v>
      </c>
      <c r="P54" s="134">
        <v>0.77</v>
      </c>
      <c r="Q54" s="134">
        <v>4.5999999999999996</v>
      </c>
    </row>
    <row r="55" spans="1:17" customFormat="1">
      <c r="A55" s="112" t="s">
        <v>285</v>
      </c>
      <c r="B55" s="134">
        <v>7.61</v>
      </c>
      <c r="C55" s="134">
        <v>23.29</v>
      </c>
      <c r="D55" s="134">
        <v>19.62</v>
      </c>
      <c r="E55" s="134">
        <v>7.78</v>
      </c>
      <c r="F55" s="134">
        <v>6.42</v>
      </c>
      <c r="G55" s="134">
        <v>64.290000000000006</v>
      </c>
      <c r="H55" s="134">
        <v>27.77</v>
      </c>
      <c r="I55" s="134">
        <v>6.5</v>
      </c>
      <c r="J55" s="134">
        <v>0.22</v>
      </c>
      <c r="K55" s="134">
        <v>85.48</v>
      </c>
      <c r="L55" s="134">
        <v>29.73</v>
      </c>
      <c r="M55" s="134">
        <v>46.98</v>
      </c>
      <c r="N55" s="134">
        <v>581</v>
      </c>
      <c r="O55" s="134">
        <v>0</v>
      </c>
      <c r="P55" s="134">
        <v>0.76</v>
      </c>
      <c r="Q55" s="134">
        <v>4.51</v>
      </c>
    </row>
    <row r="56" spans="1:17" customFormat="1">
      <c r="A56" s="112" t="s">
        <v>286</v>
      </c>
      <c r="B56" s="134">
        <v>6.47</v>
      </c>
      <c r="C56" s="134">
        <v>23.33</v>
      </c>
      <c r="D56" s="134">
        <v>18.73</v>
      </c>
      <c r="E56" s="134">
        <v>8.01</v>
      </c>
      <c r="F56" s="134">
        <v>6.53</v>
      </c>
      <c r="G56" s="134">
        <v>60.1</v>
      </c>
      <c r="H56" s="134">
        <v>29.68</v>
      </c>
      <c r="I56" s="134">
        <v>6.35</v>
      </c>
      <c r="J56" s="134">
        <v>0.27</v>
      </c>
      <c r="K56" s="134">
        <v>83.94</v>
      </c>
      <c r="L56" s="134">
        <v>30.25</v>
      </c>
      <c r="M56" s="134">
        <v>44.49</v>
      </c>
      <c r="N56" s="134">
        <v>584.4</v>
      </c>
      <c r="O56" s="134">
        <v>0</v>
      </c>
      <c r="P56" s="134">
        <v>0.76</v>
      </c>
      <c r="Q56" s="134">
        <v>4.45</v>
      </c>
    </row>
    <row r="57" spans="1:17" customFormat="1">
      <c r="A57" s="112" t="s">
        <v>287</v>
      </c>
      <c r="B57" s="134">
        <v>5.79</v>
      </c>
      <c r="C57" s="134">
        <v>22.89</v>
      </c>
      <c r="D57" s="134">
        <v>17.95</v>
      </c>
      <c r="E57" s="134">
        <v>7.92</v>
      </c>
      <c r="F57" s="134">
        <v>5.98</v>
      </c>
      <c r="G57" s="134">
        <v>60.1</v>
      </c>
      <c r="H57" s="134">
        <v>29.68</v>
      </c>
      <c r="I57" s="134">
        <v>6.22</v>
      </c>
      <c r="J57" s="134">
        <v>0.35</v>
      </c>
      <c r="K57" s="134">
        <v>65.31</v>
      </c>
      <c r="L57" s="134">
        <v>30.36</v>
      </c>
      <c r="M57" s="134">
        <v>43.64</v>
      </c>
      <c r="N57" s="134">
        <v>575.4</v>
      </c>
      <c r="O57" s="134">
        <v>0</v>
      </c>
      <c r="P57" s="134">
        <v>0.74</v>
      </c>
      <c r="Q57" s="134">
        <v>4.4000000000000004</v>
      </c>
    </row>
    <row r="58" spans="1:17" customFormat="1">
      <c r="A58" s="112" t="s">
        <v>288</v>
      </c>
      <c r="B58" s="134">
        <v>5.35</v>
      </c>
      <c r="C58" s="134">
        <v>22.73</v>
      </c>
      <c r="D58" s="134">
        <v>17.52</v>
      </c>
      <c r="E58" s="134">
        <v>7.83</v>
      </c>
      <c r="F58" s="134">
        <v>6.14</v>
      </c>
      <c r="G58" s="134">
        <v>60.1</v>
      </c>
      <c r="H58" s="134">
        <v>29.68</v>
      </c>
      <c r="I58" s="134">
        <v>6.16</v>
      </c>
      <c r="J58" s="134">
        <v>0.4</v>
      </c>
      <c r="K58" s="134">
        <v>45.59</v>
      </c>
      <c r="L58" s="134">
        <v>30.31</v>
      </c>
      <c r="M58" s="134">
        <v>42.68</v>
      </c>
      <c r="N58" s="134">
        <v>564.29999999999995</v>
      </c>
      <c r="O58" s="134">
        <v>0</v>
      </c>
      <c r="P58" s="134">
        <v>0.73</v>
      </c>
      <c r="Q58" s="134">
        <v>4.3899999999999997</v>
      </c>
    </row>
    <row r="59" spans="1:17" customFormat="1">
      <c r="A59" s="112" t="s">
        <v>289</v>
      </c>
      <c r="B59" s="134">
        <v>5.09</v>
      </c>
      <c r="C59" s="134">
        <v>22.28</v>
      </c>
      <c r="D59" s="134">
        <v>17.07</v>
      </c>
      <c r="E59" s="134">
        <v>7.87</v>
      </c>
      <c r="F59" s="134">
        <v>6.27</v>
      </c>
      <c r="G59" s="134">
        <v>59.94</v>
      </c>
      <c r="H59" s="134">
        <v>29.4</v>
      </c>
      <c r="I59" s="134">
        <v>6.05</v>
      </c>
      <c r="J59" s="134">
        <v>0.25</v>
      </c>
      <c r="K59" s="134">
        <v>84.41</v>
      </c>
      <c r="L59" s="134">
        <v>30.63</v>
      </c>
      <c r="M59" s="134">
        <v>41.35</v>
      </c>
      <c r="N59" s="134">
        <v>569.6</v>
      </c>
      <c r="O59" s="134">
        <v>0</v>
      </c>
      <c r="P59" s="134">
        <v>0.73</v>
      </c>
      <c r="Q59" s="134">
        <v>4.3499999999999996</v>
      </c>
    </row>
    <row r="60" spans="1:17" customFormat="1">
      <c r="A60" s="112" t="s">
        <v>290</v>
      </c>
      <c r="B60" s="134">
        <v>4.76</v>
      </c>
      <c r="C60" s="134">
        <v>22.25</v>
      </c>
      <c r="D60" s="134">
        <v>16.79</v>
      </c>
      <c r="E60" s="134">
        <v>7.41</v>
      </c>
      <c r="F60" s="134">
        <v>5.17</v>
      </c>
      <c r="G60" s="134">
        <v>56.43</v>
      </c>
      <c r="H60" s="134">
        <v>24.97</v>
      </c>
      <c r="I60" s="134">
        <v>5.96</v>
      </c>
      <c r="J60" s="134">
        <v>0.39</v>
      </c>
      <c r="K60" s="134">
        <v>168.27</v>
      </c>
      <c r="L60" s="134">
        <v>30.59</v>
      </c>
      <c r="M60" s="134">
        <v>39.04</v>
      </c>
      <c r="N60" s="134">
        <v>522.9</v>
      </c>
      <c r="O60" s="134">
        <v>0</v>
      </c>
      <c r="P60" s="134">
        <v>0.71</v>
      </c>
      <c r="Q60" s="134">
        <v>4.34</v>
      </c>
    </row>
    <row r="61" spans="1:17" customFormat="1">
      <c r="A61" s="112" t="s">
        <v>291</v>
      </c>
      <c r="B61" s="134">
        <v>4.67</v>
      </c>
      <c r="C61" s="134">
        <v>21.62</v>
      </c>
      <c r="D61" s="134">
        <v>16.39</v>
      </c>
      <c r="E61" s="134">
        <v>7.79</v>
      </c>
      <c r="F61" s="134">
        <v>5.53</v>
      </c>
      <c r="G61" s="134">
        <v>56.43</v>
      </c>
      <c r="H61" s="134">
        <v>24.97</v>
      </c>
      <c r="I61" s="134">
        <v>5.81</v>
      </c>
      <c r="J61" s="134">
        <v>0.43</v>
      </c>
      <c r="K61" s="134">
        <v>35.619999999999997</v>
      </c>
      <c r="L61" s="134">
        <v>30.57</v>
      </c>
      <c r="M61" s="134">
        <v>41.22</v>
      </c>
      <c r="N61" s="134">
        <v>514</v>
      </c>
      <c r="O61" s="134">
        <v>0</v>
      </c>
      <c r="P61" s="134">
        <v>0.7</v>
      </c>
      <c r="Q61" s="134">
        <v>4.32</v>
      </c>
    </row>
    <row r="62" spans="1:17" customFormat="1">
      <c r="A62" s="112" t="s">
        <v>292</v>
      </c>
      <c r="B62" s="134">
        <v>4.71</v>
      </c>
      <c r="C62" s="134">
        <v>21.25</v>
      </c>
      <c r="D62" s="134">
        <v>16.23</v>
      </c>
      <c r="E62" s="134">
        <v>7.21</v>
      </c>
      <c r="F62" s="134">
        <v>5.33</v>
      </c>
      <c r="G62" s="134">
        <v>56.43</v>
      </c>
      <c r="H62" s="134">
        <v>24.97</v>
      </c>
      <c r="I62" s="134">
        <v>5.71</v>
      </c>
      <c r="J62" s="134">
        <v>0.24</v>
      </c>
      <c r="K62" s="134">
        <v>75.56</v>
      </c>
      <c r="L62" s="134">
        <v>30.95</v>
      </c>
      <c r="M62" s="134">
        <v>41.35</v>
      </c>
      <c r="N62" s="134">
        <v>488.3</v>
      </c>
      <c r="O62" s="134">
        <v>0</v>
      </c>
      <c r="P62" s="134">
        <v>0.69</v>
      </c>
      <c r="Q62" s="134">
        <v>4.34</v>
      </c>
    </row>
    <row r="63" spans="1:17" customFormat="1">
      <c r="A63" s="112" t="s">
        <v>293</v>
      </c>
      <c r="B63" s="134">
        <v>4.59</v>
      </c>
      <c r="C63" s="134">
        <v>21.31</v>
      </c>
      <c r="D63" s="134">
        <v>16.170000000000002</v>
      </c>
      <c r="E63" s="134">
        <v>7.31</v>
      </c>
      <c r="F63" s="134">
        <v>6.38</v>
      </c>
      <c r="G63" s="134">
        <v>56.08</v>
      </c>
      <c r="H63" s="134">
        <v>24.86</v>
      </c>
      <c r="I63" s="134">
        <v>5.61</v>
      </c>
      <c r="J63" s="134">
        <v>0.38</v>
      </c>
      <c r="K63" s="134">
        <v>37.39</v>
      </c>
      <c r="L63" s="134">
        <v>30.55</v>
      </c>
      <c r="M63" s="134">
        <v>42.03</v>
      </c>
      <c r="N63" s="134">
        <v>471.3</v>
      </c>
      <c r="O63" s="134">
        <v>0</v>
      </c>
      <c r="P63" s="134">
        <v>0.68</v>
      </c>
      <c r="Q63" s="134">
        <v>4.34</v>
      </c>
    </row>
    <row r="64" spans="1:17" customFormat="1">
      <c r="A64" s="112" t="s">
        <v>294</v>
      </c>
      <c r="B64" s="134">
        <v>4.72</v>
      </c>
      <c r="C64" s="134">
        <v>21.41</v>
      </c>
      <c r="D64" s="134">
        <v>16.32</v>
      </c>
      <c r="E64" s="134">
        <v>8.0399999999999991</v>
      </c>
      <c r="F64" s="134">
        <v>6.22</v>
      </c>
      <c r="G64" s="134">
        <v>50.09</v>
      </c>
      <c r="H64" s="134">
        <v>23.19</v>
      </c>
      <c r="I64" s="134">
        <v>5.55</v>
      </c>
      <c r="J64" s="134">
        <v>0.14000000000000001</v>
      </c>
      <c r="K64" s="134">
        <v>212.75</v>
      </c>
      <c r="L64" s="134">
        <v>30.54</v>
      </c>
      <c r="M64" s="134">
        <v>41.5</v>
      </c>
      <c r="N64" s="134">
        <v>469.6</v>
      </c>
      <c r="O64" s="134">
        <v>0</v>
      </c>
      <c r="P64" s="134">
        <v>0.68</v>
      </c>
      <c r="Q64" s="134">
        <v>4.33</v>
      </c>
    </row>
    <row r="65" spans="1:17" customFormat="1">
      <c r="A65" s="112" t="s">
        <v>295</v>
      </c>
      <c r="B65" s="134">
        <v>4.76</v>
      </c>
      <c r="C65" s="134">
        <v>20.69</v>
      </c>
      <c r="D65" s="134">
        <v>15.98</v>
      </c>
      <c r="E65" s="134">
        <v>7.44</v>
      </c>
      <c r="F65" s="134">
        <v>5.93</v>
      </c>
      <c r="G65" s="134">
        <v>50.09</v>
      </c>
      <c r="H65" s="134">
        <v>23.19</v>
      </c>
      <c r="I65" s="134">
        <v>5.38</v>
      </c>
      <c r="J65" s="134">
        <v>0.17</v>
      </c>
      <c r="K65" s="134">
        <v>48.71</v>
      </c>
      <c r="L65" s="134">
        <v>30.82</v>
      </c>
      <c r="M65" s="134">
        <v>39.33</v>
      </c>
      <c r="N65" s="134">
        <v>442.6</v>
      </c>
      <c r="O65" s="134">
        <v>0</v>
      </c>
      <c r="P65" s="134">
        <v>0.65</v>
      </c>
      <c r="Q65" s="134">
        <v>4.34</v>
      </c>
    </row>
    <row r="66" spans="1:17" customFormat="1">
      <c r="A66" s="112" t="s">
        <v>296</v>
      </c>
      <c r="B66" s="134">
        <v>4.59</v>
      </c>
      <c r="C66" s="134">
        <v>20.21</v>
      </c>
      <c r="D66" s="134">
        <v>15.59</v>
      </c>
      <c r="E66" s="134">
        <v>7.35</v>
      </c>
      <c r="F66" s="134">
        <v>5.26</v>
      </c>
      <c r="G66" s="134">
        <v>50.09</v>
      </c>
      <c r="H66" s="134">
        <v>23.19</v>
      </c>
      <c r="I66" s="134">
        <v>5.38</v>
      </c>
      <c r="J66" s="134">
        <v>0.36</v>
      </c>
      <c r="K66" s="134">
        <v>172.12</v>
      </c>
      <c r="L66" s="134">
        <v>30.59</v>
      </c>
      <c r="M66" s="134">
        <v>40.119999999999997</v>
      </c>
      <c r="N66" s="134">
        <v>277.3</v>
      </c>
      <c r="O66" s="134">
        <v>0</v>
      </c>
      <c r="P66" s="134">
        <v>0.65</v>
      </c>
      <c r="Q66" s="134">
        <v>4.33</v>
      </c>
    </row>
    <row r="67" spans="1:17" customFormat="1">
      <c r="A67" s="112" t="s">
        <v>297</v>
      </c>
      <c r="B67" s="134">
        <v>4.6100000000000003</v>
      </c>
      <c r="C67" s="134">
        <v>19.89</v>
      </c>
      <c r="D67" s="134">
        <v>15.44</v>
      </c>
      <c r="E67" s="134">
        <v>7.11</v>
      </c>
      <c r="F67" s="134">
        <v>5.14</v>
      </c>
      <c r="G67" s="134">
        <v>50</v>
      </c>
      <c r="H67" s="134">
        <v>23.13</v>
      </c>
      <c r="I67" s="134">
        <v>5.21</v>
      </c>
      <c r="J67" s="134">
        <v>0.36</v>
      </c>
      <c r="K67" s="134">
        <v>179.3</v>
      </c>
      <c r="L67" s="134">
        <v>29.9</v>
      </c>
      <c r="M67" s="134">
        <v>42.96</v>
      </c>
      <c r="N67" s="134">
        <v>100.2</v>
      </c>
      <c r="O67" s="134">
        <v>0</v>
      </c>
      <c r="P67" s="134">
        <v>0.64</v>
      </c>
      <c r="Q67" s="134">
        <v>4.3099999999999996</v>
      </c>
    </row>
    <row r="68" spans="1:17" customFormat="1">
      <c r="A68" s="112" t="s">
        <v>298</v>
      </c>
      <c r="B68" s="134">
        <v>4.53</v>
      </c>
      <c r="C68" s="134">
        <v>19.89</v>
      </c>
      <c r="D68" s="134">
        <v>15.38</v>
      </c>
      <c r="E68" s="134">
        <v>7.51</v>
      </c>
      <c r="F68" s="134">
        <v>5.51</v>
      </c>
      <c r="G68" s="134">
        <v>48.26</v>
      </c>
      <c r="H68" s="134">
        <v>22.27</v>
      </c>
      <c r="I68" s="134">
        <v>5.17</v>
      </c>
      <c r="J68" s="134">
        <v>0.36</v>
      </c>
      <c r="K68" s="134">
        <v>173.75</v>
      </c>
      <c r="L68" s="134">
        <v>29.66</v>
      </c>
      <c r="M68" s="134">
        <v>42.83</v>
      </c>
      <c r="N68" s="134">
        <v>91.2</v>
      </c>
      <c r="O68" s="134">
        <v>0</v>
      </c>
      <c r="P68" s="134">
        <v>0.64</v>
      </c>
      <c r="Q68" s="134">
        <v>4.3</v>
      </c>
    </row>
    <row r="69" spans="1:17" customFormat="1">
      <c r="A69" s="112" t="s">
        <v>299</v>
      </c>
      <c r="B69" s="134">
        <v>4.5599999999999996</v>
      </c>
      <c r="C69" s="134">
        <v>19.489999999999998</v>
      </c>
      <c r="D69" s="134">
        <v>15.19</v>
      </c>
      <c r="E69" s="134">
        <v>7.49</v>
      </c>
      <c r="F69" s="134">
        <v>5.48</v>
      </c>
      <c r="G69" s="134">
        <v>48.26</v>
      </c>
      <c r="H69" s="134">
        <v>22.27</v>
      </c>
      <c r="I69" s="134">
        <v>5.07</v>
      </c>
      <c r="J69" s="134">
        <v>0.13</v>
      </c>
      <c r="K69" s="134">
        <v>115.37</v>
      </c>
      <c r="L69" s="134">
        <v>29.6</v>
      </c>
      <c r="M69" s="134">
        <v>43.46</v>
      </c>
      <c r="N69" s="134">
        <v>87.4</v>
      </c>
      <c r="O69" s="134">
        <v>0</v>
      </c>
      <c r="P69" s="134">
        <v>0.63</v>
      </c>
      <c r="Q69" s="134">
        <v>4.3099999999999996</v>
      </c>
    </row>
    <row r="70" spans="1:17" customFormat="1">
      <c r="A70" s="112" t="s">
        <v>300</v>
      </c>
      <c r="B70" s="134">
        <v>4.58</v>
      </c>
      <c r="C70" s="134">
        <v>19.170000000000002</v>
      </c>
      <c r="D70" s="134">
        <v>15.04</v>
      </c>
      <c r="E70" s="134">
        <v>6.75</v>
      </c>
      <c r="F70" s="134">
        <v>5.67</v>
      </c>
      <c r="G70" s="134">
        <v>48.26</v>
      </c>
      <c r="H70" s="134">
        <v>22.27</v>
      </c>
      <c r="I70" s="134">
        <v>4.99</v>
      </c>
      <c r="J70" s="134">
        <v>0.2</v>
      </c>
      <c r="K70" s="134">
        <v>149.41</v>
      </c>
      <c r="L70" s="134">
        <v>29.49</v>
      </c>
      <c r="M70" s="134">
        <v>44.52</v>
      </c>
      <c r="N70" s="134">
        <v>80</v>
      </c>
      <c r="O70" s="134">
        <v>0</v>
      </c>
      <c r="P70" s="134">
        <v>0.62</v>
      </c>
      <c r="Q70" s="134">
        <v>4.3099999999999996</v>
      </c>
    </row>
    <row r="71" spans="1:17" customFormat="1">
      <c r="A71" s="112" t="s">
        <v>301</v>
      </c>
      <c r="B71" s="134">
        <v>4.51</v>
      </c>
      <c r="C71" s="134">
        <v>19.41</v>
      </c>
      <c r="D71" s="134">
        <v>15.11</v>
      </c>
      <c r="E71" s="134">
        <v>7.46</v>
      </c>
      <c r="F71" s="134">
        <v>6.11</v>
      </c>
      <c r="G71" s="134">
        <v>47.85</v>
      </c>
      <c r="H71" s="134">
        <v>22.1</v>
      </c>
      <c r="I71" s="134">
        <v>4.9000000000000004</v>
      </c>
      <c r="J71" s="134">
        <v>0.42</v>
      </c>
      <c r="K71" s="134">
        <v>51.85</v>
      </c>
      <c r="L71" s="134">
        <v>29.02</v>
      </c>
      <c r="M71" s="134">
        <v>47.13</v>
      </c>
      <c r="N71" s="134">
        <v>67.900000000000006</v>
      </c>
      <c r="O71" s="134">
        <v>0</v>
      </c>
      <c r="P71" s="134">
        <v>0.61</v>
      </c>
      <c r="Q71" s="134">
        <v>4.3</v>
      </c>
    </row>
    <row r="72" spans="1:17" customFormat="1">
      <c r="A72" s="112" t="s">
        <v>302</v>
      </c>
      <c r="B72" s="134">
        <v>4.83</v>
      </c>
      <c r="C72" s="134">
        <v>19.55</v>
      </c>
      <c r="D72" s="134">
        <v>15.44</v>
      </c>
      <c r="E72" s="134">
        <v>7.77</v>
      </c>
      <c r="F72" s="134">
        <v>6.37</v>
      </c>
      <c r="G72" s="134">
        <v>39.159999999999997</v>
      </c>
      <c r="H72" s="134">
        <v>19.5</v>
      </c>
      <c r="I72" s="134">
        <v>4.8</v>
      </c>
      <c r="J72" s="134">
        <v>0.56000000000000005</v>
      </c>
      <c r="K72" s="134">
        <v>36.64</v>
      </c>
      <c r="L72" s="134">
        <v>28.59</v>
      </c>
      <c r="M72" s="134">
        <v>47.39</v>
      </c>
      <c r="N72" s="134">
        <v>52.2</v>
      </c>
      <c r="O72" s="134">
        <v>0</v>
      </c>
      <c r="P72" s="134">
        <v>0.61</v>
      </c>
      <c r="Q72" s="134">
        <v>4.3099999999999996</v>
      </c>
    </row>
    <row r="73" spans="1:17" customFormat="1">
      <c r="A73" s="112" t="s">
        <v>303</v>
      </c>
      <c r="B73" s="134">
        <v>5.1100000000000003</v>
      </c>
      <c r="C73" s="134">
        <v>20.48</v>
      </c>
      <c r="D73" s="134">
        <v>16.149999999999999</v>
      </c>
      <c r="E73" s="134">
        <v>7.64</v>
      </c>
      <c r="F73" s="134">
        <v>4.83</v>
      </c>
      <c r="G73" s="134">
        <v>39.159999999999997</v>
      </c>
      <c r="H73" s="134">
        <v>19.5</v>
      </c>
      <c r="I73" s="134">
        <v>4.71</v>
      </c>
      <c r="J73" s="134">
        <v>0.43</v>
      </c>
      <c r="K73" s="134">
        <v>54.63</v>
      </c>
      <c r="L73" s="134">
        <v>28.42</v>
      </c>
      <c r="M73" s="134">
        <v>47.49</v>
      </c>
      <c r="N73" s="134">
        <v>39.1</v>
      </c>
      <c r="O73" s="134">
        <v>0</v>
      </c>
      <c r="P73" s="134">
        <v>0.62</v>
      </c>
      <c r="Q73" s="134">
        <v>4.33</v>
      </c>
    </row>
    <row r="74" spans="1:17" customFormat="1">
      <c r="A74" s="112" t="s">
        <v>304</v>
      </c>
      <c r="B74" s="134">
        <v>5.26</v>
      </c>
      <c r="C74" s="134">
        <v>20.97</v>
      </c>
      <c r="D74" s="134">
        <v>16.52</v>
      </c>
      <c r="E74" s="134">
        <v>7.38</v>
      </c>
      <c r="F74" s="134">
        <v>4.62</v>
      </c>
      <c r="G74" s="134">
        <v>39.159999999999997</v>
      </c>
      <c r="H74" s="134">
        <v>19.5</v>
      </c>
      <c r="I74" s="134">
        <v>4.6900000000000004</v>
      </c>
      <c r="J74" s="134">
        <v>0.6</v>
      </c>
      <c r="K74" s="134">
        <v>47.36</v>
      </c>
      <c r="L74" s="134">
        <v>28.09</v>
      </c>
      <c r="M74" s="134">
        <v>47.96</v>
      </c>
      <c r="N74" s="134">
        <v>28.3</v>
      </c>
      <c r="O74" s="134">
        <v>0</v>
      </c>
      <c r="P74" s="134">
        <v>0.62</v>
      </c>
      <c r="Q74" s="134">
        <v>4.3499999999999996</v>
      </c>
    </row>
    <row r="75" spans="1:17" customFormat="1">
      <c r="A75" s="112" t="s">
        <v>305</v>
      </c>
      <c r="B75" s="134">
        <v>5.49</v>
      </c>
      <c r="C75" s="134">
        <v>19.91</v>
      </c>
      <c r="D75" s="134">
        <v>16.16</v>
      </c>
      <c r="E75" s="134">
        <v>6.94</v>
      </c>
      <c r="F75" s="134">
        <v>4.2300000000000004</v>
      </c>
      <c r="G75" s="134">
        <v>39.67</v>
      </c>
      <c r="H75" s="134">
        <v>19.54</v>
      </c>
      <c r="I75" s="134">
        <v>4.68</v>
      </c>
      <c r="J75" s="134">
        <v>0.22</v>
      </c>
      <c r="K75" s="134">
        <v>66.08</v>
      </c>
      <c r="L75" s="134">
        <v>27.79</v>
      </c>
      <c r="M75" s="134">
        <v>50.12</v>
      </c>
      <c r="N75" s="134">
        <v>15.9</v>
      </c>
      <c r="O75" s="134">
        <v>0</v>
      </c>
      <c r="P75" s="134">
        <v>0.61</v>
      </c>
      <c r="Q75" s="134">
        <v>4.33</v>
      </c>
    </row>
    <row r="76" spans="1:17" customFormat="1">
      <c r="A76" s="112" t="s">
        <v>306</v>
      </c>
      <c r="B76" s="134">
        <v>5.67</v>
      </c>
      <c r="C76" s="134">
        <v>19.18</v>
      </c>
      <c r="D76" s="134">
        <v>15.91</v>
      </c>
      <c r="E76" s="134">
        <v>6.88</v>
      </c>
      <c r="F76" s="134">
        <v>3.99</v>
      </c>
      <c r="G76" s="134">
        <v>48.45</v>
      </c>
      <c r="H76" s="134">
        <v>20.22</v>
      </c>
      <c r="I76" s="134">
        <v>4.68</v>
      </c>
      <c r="J76" s="134">
        <v>0.17</v>
      </c>
      <c r="K76" s="134">
        <v>143.15</v>
      </c>
      <c r="L76" s="134">
        <v>27.43</v>
      </c>
      <c r="M76" s="134">
        <v>52.02</v>
      </c>
      <c r="N76" s="134">
        <v>5.0999999999999996</v>
      </c>
      <c r="O76" s="134">
        <v>0</v>
      </c>
      <c r="P76" s="134">
        <v>0.6</v>
      </c>
      <c r="Q76" s="134">
        <v>4.33</v>
      </c>
    </row>
    <row r="77" spans="1:17" customFormat="1">
      <c r="A77" s="112" t="s">
        <v>307</v>
      </c>
      <c r="B77" s="134">
        <v>5.97</v>
      </c>
      <c r="C77" s="134">
        <v>18.510000000000002</v>
      </c>
      <c r="D77" s="134">
        <v>15.81</v>
      </c>
      <c r="E77" s="134">
        <v>6.96</v>
      </c>
      <c r="F77" s="134">
        <v>3.57</v>
      </c>
      <c r="G77" s="134">
        <v>48.45</v>
      </c>
      <c r="H77" s="134">
        <v>20.22</v>
      </c>
      <c r="I77" s="134">
        <v>4.71</v>
      </c>
      <c r="J77" s="134">
        <v>0.13</v>
      </c>
      <c r="K77" s="134">
        <v>109.25</v>
      </c>
      <c r="L77" s="134">
        <v>26.94</v>
      </c>
      <c r="M77" s="134">
        <v>54.11</v>
      </c>
      <c r="N77" s="134">
        <v>0</v>
      </c>
      <c r="O77" s="134">
        <v>0</v>
      </c>
      <c r="P77" s="134">
        <v>0.6</v>
      </c>
      <c r="Q77" s="134">
        <v>4.3499999999999996</v>
      </c>
    </row>
    <row r="78" spans="1:17" customFormat="1">
      <c r="A78" s="112" t="s">
        <v>308</v>
      </c>
      <c r="B78" s="134">
        <v>6.5</v>
      </c>
      <c r="C78" s="134">
        <v>18.079999999999998</v>
      </c>
      <c r="D78" s="134">
        <v>16.010000000000002</v>
      </c>
      <c r="E78" s="134">
        <v>6.73</v>
      </c>
      <c r="F78" s="134">
        <v>3.23</v>
      </c>
      <c r="G78" s="134">
        <v>48.45</v>
      </c>
      <c r="H78" s="134">
        <v>20.22</v>
      </c>
      <c r="I78" s="134">
        <v>4.76</v>
      </c>
      <c r="J78" s="134">
        <v>0.2</v>
      </c>
      <c r="K78" s="134">
        <v>48.79</v>
      </c>
      <c r="L78" s="134">
        <v>26.39</v>
      </c>
      <c r="M78" s="134">
        <v>56.41</v>
      </c>
      <c r="N78" s="134">
        <v>0</v>
      </c>
      <c r="O78" s="134">
        <v>0</v>
      </c>
      <c r="P78" s="134">
        <v>0.59</v>
      </c>
      <c r="Q78" s="134">
        <v>4.3499999999999996</v>
      </c>
    </row>
    <row r="79" spans="1:17" customFormat="1">
      <c r="A79" s="112" t="s">
        <v>309</v>
      </c>
      <c r="B79" s="134">
        <v>7.24</v>
      </c>
      <c r="C79" s="134">
        <v>18.600000000000001</v>
      </c>
      <c r="D79" s="134">
        <v>16.87</v>
      </c>
      <c r="E79" s="134">
        <v>6.79</v>
      </c>
      <c r="F79" s="134">
        <v>2.95</v>
      </c>
      <c r="G79" s="134">
        <v>49.31</v>
      </c>
      <c r="H79" s="134">
        <v>20.27</v>
      </c>
      <c r="I79" s="134">
        <v>4.76</v>
      </c>
      <c r="J79" s="134">
        <v>0.14000000000000001</v>
      </c>
      <c r="K79" s="134">
        <v>41.39</v>
      </c>
      <c r="L79" s="134">
        <v>25.91</v>
      </c>
      <c r="M79" s="134">
        <v>58.69</v>
      </c>
      <c r="N79" s="134">
        <v>0</v>
      </c>
      <c r="O79" s="134">
        <v>0</v>
      </c>
      <c r="P79" s="134">
        <v>0.61</v>
      </c>
      <c r="Q79" s="134">
        <v>4.37</v>
      </c>
    </row>
    <row r="80" spans="1:17" customFormat="1">
      <c r="A80" s="112" t="s">
        <v>310</v>
      </c>
      <c r="B80" s="134">
        <v>8.2100000000000009</v>
      </c>
      <c r="C80" s="134">
        <v>19.329999999999998</v>
      </c>
      <c r="D80" s="134">
        <v>18.04</v>
      </c>
      <c r="E80" s="134">
        <v>6.87</v>
      </c>
      <c r="F80" s="134">
        <v>2.94</v>
      </c>
      <c r="G80" s="134">
        <v>67.84</v>
      </c>
      <c r="H80" s="134">
        <v>21.09</v>
      </c>
      <c r="I80" s="134">
        <v>4.82</v>
      </c>
      <c r="J80" s="134">
        <v>0.14000000000000001</v>
      </c>
      <c r="K80" s="134">
        <v>97.23</v>
      </c>
      <c r="L80" s="134">
        <v>25.53</v>
      </c>
      <c r="M80" s="134">
        <v>62.4</v>
      </c>
      <c r="N80" s="134">
        <v>0</v>
      </c>
      <c r="O80" s="134">
        <v>0</v>
      </c>
      <c r="P80" s="134">
        <v>0.62</v>
      </c>
      <c r="Q80" s="134">
        <v>4.4400000000000004</v>
      </c>
    </row>
    <row r="81" spans="1:17" customFormat="1">
      <c r="A81" s="112" t="s">
        <v>311</v>
      </c>
      <c r="B81" s="134">
        <v>8.43</v>
      </c>
      <c r="C81" s="134">
        <v>19.28</v>
      </c>
      <c r="D81" s="134">
        <v>18.190000000000001</v>
      </c>
      <c r="E81" s="134">
        <v>4.54</v>
      </c>
      <c r="F81" s="134">
        <v>2.73</v>
      </c>
      <c r="G81" s="134">
        <v>67.84</v>
      </c>
      <c r="H81" s="134">
        <v>21.09</v>
      </c>
      <c r="I81" s="134">
        <v>4.99</v>
      </c>
      <c r="J81" s="134">
        <v>0.17</v>
      </c>
      <c r="K81" s="134">
        <v>62.46</v>
      </c>
      <c r="L81" s="134">
        <v>25.34</v>
      </c>
      <c r="M81" s="134">
        <v>61.23</v>
      </c>
      <c r="N81" s="134">
        <v>0</v>
      </c>
      <c r="O81" s="134">
        <v>0</v>
      </c>
      <c r="P81" s="134">
        <v>0.62</v>
      </c>
      <c r="Q81" s="134">
        <v>4.46</v>
      </c>
    </row>
    <row r="82" spans="1:17" customFormat="1">
      <c r="A82" s="112" t="s">
        <v>312</v>
      </c>
      <c r="B82" s="134">
        <v>9.08</v>
      </c>
      <c r="C82" s="134">
        <v>21.11</v>
      </c>
      <c r="D82" s="134">
        <v>19.66</v>
      </c>
      <c r="E82" s="134">
        <v>5.79</v>
      </c>
      <c r="F82" s="134">
        <v>2.33</v>
      </c>
      <c r="G82" s="134">
        <v>67.84</v>
      </c>
      <c r="H82" s="134">
        <v>21.09</v>
      </c>
      <c r="I82" s="134">
        <v>5.07</v>
      </c>
      <c r="J82" s="134">
        <v>0.17</v>
      </c>
      <c r="K82" s="134">
        <v>66.67</v>
      </c>
      <c r="L82" s="134">
        <v>25.33</v>
      </c>
      <c r="M82" s="134">
        <v>61.4</v>
      </c>
      <c r="N82" s="134">
        <v>0</v>
      </c>
      <c r="O82" s="134">
        <v>0</v>
      </c>
      <c r="P82" s="134">
        <v>0.67</v>
      </c>
      <c r="Q82" s="134">
        <v>4.4800000000000004</v>
      </c>
    </row>
    <row r="83" spans="1:17" customFormat="1">
      <c r="A83" s="112" t="s">
        <v>313</v>
      </c>
      <c r="B83" s="134">
        <v>9.8800000000000008</v>
      </c>
      <c r="C83" s="134">
        <v>21.3</v>
      </c>
      <c r="D83" s="134">
        <v>20.41</v>
      </c>
      <c r="E83" s="134">
        <v>5.41</v>
      </c>
      <c r="F83" s="134">
        <v>2.58</v>
      </c>
      <c r="G83" s="134">
        <v>68.92</v>
      </c>
      <c r="H83" s="134">
        <v>21.35</v>
      </c>
      <c r="I83" s="134">
        <v>5.12</v>
      </c>
      <c r="J83" s="134">
        <v>0.16</v>
      </c>
      <c r="K83" s="134">
        <v>98.3</v>
      </c>
      <c r="L83" s="134">
        <v>25.09</v>
      </c>
      <c r="M83" s="134">
        <v>63.15</v>
      </c>
      <c r="N83" s="134">
        <v>0</v>
      </c>
      <c r="O83" s="134">
        <v>0</v>
      </c>
      <c r="P83" s="134">
        <v>0.69</v>
      </c>
      <c r="Q83" s="134">
        <v>4.53</v>
      </c>
    </row>
    <row r="84" spans="1:17" customFormat="1">
      <c r="A84" s="112" t="s">
        <v>314</v>
      </c>
      <c r="B84" s="134">
        <v>10.43</v>
      </c>
      <c r="C84" s="134">
        <v>20.78</v>
      </c>
      <c r="D84" s="134">
        <v>20.58</v>
      </c>
      <c r="E84" s="134">
        <v>5.41</v>
      </c>
      <c r="F84" s="134">
        <v>2.77</v>
      </c>
      <c r="G84" s="134">
        <v>87.24</v>
      </c>
      <c r="H84" s="134">
        <v>25.42</v>
      </c>
      <c r="I84" s="134">
        <v>5.28</v>
      </c>
      <c r="J84" s="134">
        <v>0.12</v>
      </c>
      <c r="K84" s="134">
        <v>83.89</v>
      </c>
      <c r="L84" s="134">
        <v>24.83</v>
      </c>
      <c r="M84" s="134">
        <v>63.86</v>
      </c>
      <c r="N84" s="134">
        <v>0</v>
      </c>
      <c r="O84" s="134">
        <v>0</v>
      </c>
      <c r="P84" s="134">
        <v>0.69</v>
      </c>
      <c r="Q84" s="134">
        <v>4.57</v>
      </c>
    </row>
    <row r="85" spans="1:17" customFormat="1">
      <c r="A85" s="112" t="s">
        <v>315</v>
      </c>
      <c r="B85" s="134">
        <v>11.04</v>
      </c>
      <c r="C85" s="134">
        <v>22.13</v>
      </c>
      <c r="D85" s="134">
        <v>21.76</v>
      </c>
      <c r="E85" s="134">
        <v>5.54</v>
      </c>
      <c r="F85" s="134">
        <v>2.5499999999999998</v>
      </c>
      <c r="G85" s="134">
        <v>87.24</v>
      </c>
      <c r="H85" s="134">
        <v>25.42</v>
      </c>
      <c r="I85" s="134">
        <v>5.42</v>
      </c>
      <c r="J85" s="134">
        <v>0.11</v>
      </c>
      <c r="K85" s="134">
        <v>105.42</v>
      </c>
      <c r="L85" s="134">
        <v>24.62</v>
      </c>
      <c r="M85" s="134">
        <v>65.150000000000006</v>
      </c>
      <c r="N85" s="134">
        <v>0</v>
      </c>
      <c r="O85" s="134">
        <v>0</v>
      </c>
      <c r="P85" s="134">
        <v>0.73</v>
      </c>
      <c r="Q85" s="134">
        <v>4.59</v>
      </c>
    </row>
    <row r="86" spans="1:17" customFormat="1">
      <c r="A86" s="112" t="s">
        <v>316</v>
      </c>
      <c r="B86" s="134">
        <v>11.75</v>
      </c>
      <c r="C86" s="134">
        <v>21.6</v>
      </c>
      <c r="D86" s="134">
        <v>22.06</v>
      </c>
      <c r="E86" s="134">
        <v>5.12</v>
      </c>
      <c r="F86" s="134">
        <v>2.71</v>
      </c>
      <c r="G86" s="134">
        <v>87.24</v>
      </c>
      <c r="H86" s="134">
        <v>25.42</v>
      </c>
      <c r="I86" s="134">
        <v>5.54</v>
      </c>
      <c r="J86" s="134">
        <v>0.1</v>
      </c>
      <c r="K86" s="134">
        <v>139.79</v>
      </c>
      <c r="L86" s="134">
        <v>24.39</v>
      </c>
      <c r="M86" s="134">
        <v>66.63</v>
      </c>
      <c r="N86" s="134">
        <v>0</v>
      </c>
      <c r="O86" s="134">
        <v>0</v>
      </c>
      <c r="P86" s="134">
        <v>0.74</v>
      </c>
      <c r="Q86" s="134">
        <v>4.63</v>
      </c>
    </row>
    <row r="87" spans="1:17" customFormat="1">
      <c r="A87" s="112" t="s">
        <v>317</v>
      </c>
      <c r="B87" s="134">
        <v>12.24</v>
      </c>
      <c r="C87" s="134">
        <v>21.28</v>
      </c>
      <c r="D87" s="134">
        <v>22.28</v>
      </c>
      <c r="E87" s="134">
        <v>5.26</v>
      </c>
      <c r="F87" s="134">
        <v>2.64</v>
      </c>
      <c r="G87" s="134">
        <v>88.16</v>
      </c>
      <c r="H87" s="134">
        <v>25.74</v>
      </c>
      <c r="I87" s="134">
        <v>5.75</v>
      </c>
      <c r="J87" s="134">
        <v>0.21</v>
      </c>
      <c r="K87" s="134">
        <v>170.72</v>
      </c>
      <c r="L87" s="134">
        <v>24</v>
      </c>
      <c r="M87" s="134">
        <v>68.58</v>
      </c>
      <c r="N87" s="134">
        <v>0</v>
      </c>
      <c r="O87" s="134">
        <v>0</v>
      </c>
      <c r="P87" s="134">
        <v>0.76</v>
      </c>
      <c r="Q87" s="134">
        <v>4.67</v>
      </c>
    </row>
    <row r="88" spans="1:17" customFormat="1">
      <c r="A88" s="112" t="s">
        <v>318</v>
      </c>
      <c r="B88" s="134">
        <v>12.61</v>
      </c>
      <c r="C88" s="134">
        <v>22.92</v>
      </c>
      <c r="D88" s="134">
        <v>23.44</v>
      </c>
      <c r="E88" s="134">
        <v>5.37</v>
      </c>
      <c r="F88" s="134">
        <v>2.39</v>
      </c>
      <c r="G88" s="134">
        <v>103.66</v>
      </c>
      <c r="H88" s="134">
        <v>30.74</v>
      </c>
      <c r="I88" s="134">
        <v>5.9</v>
      </c>
      <c r="J88" s="134">
        <v>0.18</v>
      </c>
      <c r="K88" s="134">
        <v>171.75</v>
      </c>
      <c r="L88" s="134">
        <v>23.7</v>
      </c>
      <c r="M88" s="134">
        <v>75.510000000000005</v>
      </c>
      <c r="N88" s="134">
        <v>0</v>
      </c>
      <c r="O88" s="134">
        <v>0</v>
      </c>
      <c r="P88" s="134">
        <v>0.79</v>
      </c>
      <c r="Q88" s="134">
        <v>4.6900000000000004</v>
      </c>
    </row>
    <row r="89" spans="1:17" customFormat="1">
      <c r="A89" s="112" t="s">
        <v>319</v>
      </c>
      <c r="B89" s="134">
        <v>12.96</v>
      </c>
      <c r="C89" s="134">
        <v>22.19</v>
      </c>
      <c r="D89" s="134">
        <v>23.34</v>
      </c>
      <c r="E89" s="134">
        <v>5.71</v>
      </c>
      <c r="F89" s="134">
        <v>2.65</v>
      </c>
      <c r="G89" s="134">
        <v>103.66</v>
      </c>
      <c r="H89" s="134">
        <v>30.74</v>
      </c>
      <c r="I89" s="134">
        <v>6.06</v>
      </c>
      <c r="J89" s="134">
        <v>0.16</v>
      </c>
      <c r="K89" s="134">
        <v>166.48</v>
      </c>
      <c r="L89" s="134">
        <v>23.48</v>
      </c>
      <c r="M89" s="134">
        <v>80.19</v>
      </c>
      <c r="N89" s="134">
        <v>0</v>
      </c>
      <c r="O89" s="134">
        <v>0</v>
      </c>
      <c r="P89" s="134">
        <v>0.79</v>
      </c>
      <c r="Q89" s="134">
        <v>4.72</v>
      </c>
    </row>
    <row r="90" spans="1:17" customFormat="1">
      <c r="A90" s="112" t="s">
        <v>320</v>
      </c>
      <c r="B90" s="134">
        <v>13.22</v>
      </c>
      <c r="C90" s="134">
        <v>21.84</v>
      </c>
      <c r="D90" s="134">
        <v>23.36</v>
      </c>
      <c r="E90" s="134">
        <v>5.85</v>
      </c>
      <c r="F90" s="134">
        <v>2.5499999999999998</v>
      </c>
      <c r="G90" s="134">
        <v>103.66</v>
      </c>
      <c r="H90" s="134">
        <v>30.74</v>
      </c>
      <c r="I90" s="134">
        <v>6.24</v>
      </c>
      <c r="J90" s="134">
        <v>0.18</v>
      </c>
      <c r="K90" s="134">
        <v>159.32</v>
      </c>
      <c r="L90" s="134">
        <v>23.27</v>
      </c>
      <c r="M90" s="134">
        <v>80.53</v>
      </c>
      <c r="N90" s="134">
        <v>0</v>
      </c>
      <c r="O90" s="134">
        <v>0</v>
      </c>
      <c r="P90" s="134">
        <v>0.8</v>
      </c>
      <c r="Q90" s="134">
        <v>4.75</v>
      </c>
    </row>
    <row r="91" spans="1:17" customFormat="1">
      <c r="A91" s="112" t="s">
        <v>321</v>
      </c>
      <c r="B91" s="134">
        <v>13.75</v>
      </c>
      <c r="C91" s="134">
        <v>23.27</v>
      </c>
      <c r="D91" s="134">
        <v>24.54</v>
      </c>
      <c r="E91" s="134">
        <v>6.01</v>
      </c>
      <c r="F91" s="134">
        <v>2.48</v>
      </c>
      <c r="G91" s="134">
        <v>103.99</v>
      </c>
      <c r="H91" s="134">
        <v>30.92</v>
      </c>
      <c r="I91" s="134">
        <v>6.4</v>
      </c>
      <c r="J91" s="134">
        <v>0.15</v>
      </c>
      <c r="K91" s="134">
        <v>139.35</v>
      </c>
      <c r="L91" s="134">
        <v>23.16</v>
      </c>
      <c r="M91" s="134">
        <v>77.989999999999995</v>
      </c>
      <c r="N91" s="134">
        <v>0</v>
      </c>
      <c r="O91" s="134">
        <v>0</v>
      </c>
      <c r="P91" s="134">
        <v>0.85</v>
      </c>
      <c r="Q91" s="134">
        <v>4.76</v>
      </c>
    </row>
    <row r="92" spans="1:17" customFormat="1">
      <c r="A92" s="112" t="s">
        <v>322</v>
      </c>
      <c r="B92" s="134">
        <v>14.57</v>
      </c>
      <c r="C92" s="134">
        <v>22.85</v>
      </c>
      <c r="D92" s="134">
        <v>24.97</v>
      </c>
      <c r="E92" s="134">
        <v>5.8</v>
      </c>
      <c r="F92" s="134">
        <v>2.68</v>
      </c>
      <c r="G92" s="134">
        <v>109.6</v>
      </c>
      <c r="H92" s="134">
        <v>33.630000000000003</v>
      </c>
      <c r="I92" s="134">
        <v>6.59</v>
      </c>
      <c r="J92" s="134">
        <v>0.11</v>
      </c>
      <c r="K92" s="134">
        <v>45</v>
      </c>
      <c r="L92" s="134">
        <v>23.37</v>
      </c>
      <c r="M92" s="134">
        <v>70.489999999999995</v>
      </c>
      <c r="N92" s="134">
        <v>0</v>
      </c>
      <c r="O92" s="134">
        <v>0</v>
      </c>
      <c r="P92" s="134">
        <v>0.87</v>
      </c>
      <c r="Q92" s="134">
        <v>4.79</v>
      </c>
    </row>
    <row r="93" spans="1:17" customFormat="1">
      <c r="A93" s="112" t="s">
        <v>323</v>
      </c>
      <c r="B93" s="134">
        <v>15.92</v>
      </c>
      <c r="C93" s="134">
        <v>24</v>
      </c>
      <c r="D93" s="134">
        <v>26.66</v>
      </c>
      <c r="E93" s="134">
        <v>5.92</v>
      </c>
      <c r="F93" s="134">
        <v>2.65</v>
      </c>
      <c r="G93" s="134">
        <v>109.6</v>
      </c>
      <c r="H93" s="134">
        <v>33.630000000000003</v>
      </c>
      <c r="I93" s="134">
        <v>6.82</v>
      </c>
      <c r="J93" s="134">
        <v>0.11</v>
      </c>
      <c r="K93" s="134">
        <v>64.83</v>
      </c>
      <c r="L93" s="134">
        <v>23.58</v>
      </c>
      <c r="M93" s="134">
        <v>68.680000000000007</v>
      </c>
      <c r="N93" s="134">
        <v>0</v>
      </c>
      <c r="O93" s="134">
        <v>0</v>
      </c>
      <c r="P93" s="134">
        <v>0.93</v>
      </c>
      <c r="Q93" s="134">
        <v>4.87</v>
      </c>
    </row>
    <row r="94" spans="1:17" customFormat="1">
      <c r="A94" s="112" t="s">
        <v>324</v>
      </c>
      <c r="B94" s="134">
        <v>17.100000000000001</v>
      </c>
      <c r="C94" s="134">
        <v>24.69</v>
      </c>
      <c r="D94" s="134">
        <v>27.96</v>
      </c>
      <c r="E94" s="134">
        <v>6.1</v>
      </c>
      <c r="F94" s="134">
        <v>2.76</v>
      </c>
      <c r="G94" s="134">
        <v>109.6</v>
      </c>
      <c r="H94" s="134">
        <v>33.630000000000003</v>
      </c>
      <c r="I94" s="134">
        <v>7.05</v>
      </c>
      <c r="J94" s="134">
        <v>0.09</v>
      </c>
      <c r="K94" s="134">
        <v>73.23</v>
      </c>
      <c r="L94" s="134">
        <v>23.5</v>
      </c>
      <c r="M94" s="134">
        <v>69.73</v>
      </c>
      <c r="N94" s="134">
        <v>0</v>
      </c>
      <c r="O94" s="134">
        <v>0</v>
      </c>
      <c r="P94" s="134">
        <v>0.95</v>
      </c>
      <c r="Q94" s="134">
        <v>4.93</v>
      </c>
    </row>
    <row r="95" spans="1:17" customFormat="1">
      <c r="A95" s="112" t="s">
        <v>325</v>
      </c>
      <c r="B95" s="134">
        <v>18.02</v>
      </c>
      <c r="C95" s="134">
        <v>25.52</v>
      </c>
      <c r="D95" s="134">
        <v>29.14</v>
      </c>
      <c r="E95" s="134">
        <v>6.14</v>
      </c>
      <c r="F95" s="134">
        <v>2.77</v>
      </c>
      <c r="G95" s="134">
        <v>109.8</v>
      </c>
      <c r="H95" s="134">
        <v>33.619999999999997</v>
      </c>
      <c r="I95" s="134">
        <v>7.28</v>
      </c>
      <c r="J95" s="134">
        <v>0.15</v>
      </c>
      <c r="K95" s="134">
        <v>180.52</v>
      </c>
      <c r="L95" s="134">
        <v>23.15</v>
      </c>
      <c r="M95" s="134">
        <v>72.97</v>
      </c>
      <c r="N95" s="134">
        <v>0</v>
      </c>
      <c r="O95" s="134">
        <v>0</v>
      </c>
      <c r="P95" s="134">
        <v>0.97</v>
      </c>
      <c r="Q95" s="134">
        <v>4.96</v>
      </c>
    </row>
    <row r="96" spans="1:17" customFormat="1">
      <c r="A96" s="112" t="s">
        <v>326</v>
      </c>
      <c r="B96" s="134">
        <v>18.27</v>
      </c>
      <c r="C96" s="134">
        <v>26.22</v>
      </c>
      <c r="D96" s="134">
        <v>29.7</v>
      </c>
      <c r="E96" s="134">
        <v>5.98</v>
      </c>
      <c r="F96" s="134">
        <v>2.65</v>
      </c>
      <c r="G96" s="134">
        <v>113.28</v>
      </c>
      <c r="H96" s="134">
        <v>33.39</v>
      </c>
      <c r="I96" s="134">
        <v>7.36</v>
      </c>
      <c r="J96" s="134">
        <v>0.2</v>
      </c>
      <c r="K96" s="134">
        <v>167.15</v>
      </c>
      <c r="L96" s="134">
        <v>22.82</v>
      </c>
      <c r="M96" s="134">
        <v>77.180000000000007</v>
      </c>
      <c r="N96" s="134">
        <v>0</v>
      </c>
      <c r="O96" s="134">
        <v>0</v>
      </c>
      <c r="P96" s="134">
        <v>0.97</v>
      </c>
      <c r="Q96" s="134">
        <v>5.0199999999999996</v>
      </c>
    </row>
    <row r="97" spans="1:22" customFormat="1">
      <c r="A97" s="112" t="s">
        <v>327</v>
      </c>
      <c r="B97" s="134">
        <v>18.5</v>
      </c>
      <c r="C97" s="134">
        <v>26.56</v>
      </c>
      <c r="D97" s="134">
        <v>30.07</v>
      </c>
      <c r="E97" s="134">
        <v>5.86</v>
      </c>
      <c r="F97" s="134">
        <v>2.71</v>
      </c>
      <c r="G97" s="134">
        <v>113.28</v>
      </c>
      <c r="H97" s="134">
        <v>33.39</v>
      </c>
      <c r="I97" s="134">
        <v>7.38</v>
      </c>
      <c r="J97" s="134">
        <v>0.12</v>
      </c>
      <c r="K97" s="134">
        <v>194.68</v>
      </c>
      <c r="L97" s="134">
        <v>22.56</v>
      </c>
      <c r="M97" s="134">
        <v>79.430000000000007</v>
      </c>
      <c r="N97" s="134">
        <v>0</v>
      </c>
      <c r="O97" s="134">
        <v>0</v>
      </c>
      <c r="P97" s="134">
        <v>0.97</v>
      </c>
      <c r="Q97" s="134">
        <v>5.01</v>
      </c>
    </row>
    <row r="98" spans="1:22" customFormat="1">
      <c r="A98" s="112" t="s">
        <v>328</v>
      </c>
      <c r="B98" s="134">
        <v>19.09</v>
      </c>
      <c r="C98" s="134">
        <v>26.98</v>
      </c>
      <c r="D98" s="134">
        <v>30.75</v>
      </c>
      <c r="E98" s="134">
        <v>5.93</v>
      </c>
      <c r="F98" s="134">
        <v>2.59</v>
      </c>
      <c r="G98" s="134">
        <v>113.28</v>
      </c>
      <c r="H98" s="134">
        <v>33.39</v>
      </c>
      <c r="I98" s="134">
        <v>7.42</v>
      </c>
      <c r="J98" s="134">
        <v>0.08</v>
      </c>
      <c r="K98" s="134">
        <v>173.56</v>
      </c>
      <c r="L98" s="134">
        <v>22.49</v>
      </c>
      <c r="M98" s="134">
        <v>79.06</v>
      </c>
      <c r="N98" s="134">
        <v>0</v>
      </c>
      <c r="O98" s="134">
        <v>0</v>
      </c>
      <c r="P98" s="134">
        <v>0.98</v>
      </c>
      <c r="Q98" s="134">
        <v>5.0599999999999996</v>
      </c>
    </row>
    <row r="99" spans="1:22" customFormat="1">
      <c r="A99" s="112" t="s">
        <v>329</v>
      </c>
      <c r="B99" s="134">
        <v>20.32</v>
      </c>
      <c r="C99" s="134">
        <v>27.49</v>
      </c>
      <c r="D99" s="134">
        <v>32.01</v>
      </c>
      <c r="E99" s="134">
        <v>6.46</v>
      </c>
      <c r="F99" s="134">
        <v>2.65</v>
      </c>
      <c r="G99" s="134">
        <v>113.15</v>
      </c>
      <c r="H99" s="134">
        <v>33.450000000000003</v>
      </c>
      <c r="I99" s="134">
        <v>7.46</v>
      </c>
      <c r="J99" s="134">
        <v>0.1</v>
      </c>
      <c r="K99" s="134">
        <v>96.29</v>
      </c>
      <c r="L99" s="134">
        <v>22.63</v>
      </c>
      <c r="M99" s="134">
        <v>76.63</v>
      </c>
      <c r="N99" s="134">
        <v>0</v>
      </c>
      <c r="O99" s="134">
        <v>0</v>
      </c>
      <c r="P99" s="134">
        <v>0.99</v>
      </c>
      <c r="Q99" s="134">
        <v>5.13</v>
      </c>
    </row>
    <row r="100" spans="1:22" customFormat="1">
      <c r="A100" s="112" t="s">
        <v>330</v>
      </c>
      <c r="B100" s="134">
        <v>21.58</v>
      </c>
      <c r="C100" s="134">
        <v>28.01</v>
      </c>
      <c r="D100" s="134">
        <v>33.29</v>
      </c>
      <c r="E100" s="134">
        <v>6.37</v>
      </c>
      <c r="F100" s="134">
        <v>2.56</v>
      </c>
      <c r="G100" s="134">
        <v>110.89</v>
      </c>
      <c r="H100" s="134">
        <v>34.42</v>
      </c>
      <c r="I100" s="134">
        <v>7.49</v>
      </c>
      <c r="J100" s="134">
        <v>0.08</v>
      </c>
      <c r="K100" s="134">
        <v>131.38999999999999</v>
      </c>
      <c r="L100" s="134">
        <v>22.79</v>
      </c>
      <c r="M100" s="134">
        <v>75.849999999999994</v>
      </c>
      <c r="N100" s="134">
        <v>0</v>
      </c>
      <c r="O100" s="134">
        <v>0</v>
      </c>
      <c r="P100" s="134">
        <v>0.98</v>
      </c>
      <c r="Q100" s="134">
        <v>5.22</v>
      </c>
    </row>
    <row r="101" spans="1:22" customFormat="1">
      <c r="A101" s="112" t="s">
        <v>331</v>
      </c>
      <c r="B101" s="134">
        <v>22.4</v>
      </c>
      <c r="C101" s="134">
        <v>28.38</v>
      </c>
      <c r="D101" s="134">
        <v>34.14</v>
      </c>
      <c r="E101" s="134">
        <v>6.26</v>
      </c>
      <c r="F101" s="134">
        <v>2.39</v>
      </c>
      <c r="G101" s="134">
        <v>110.89</v>
      </c>
      <c r="H101" s="134">
        <v>34.42</v>
      </c>
      <c r="I101" s="134">
        <v>7.47</v>
      </c>
      <c r="J101" s="134">
        <v>0.09</v>
      </c>
      <c r="K101" s="134">
        <v>119.45</v>
      </c>
      <c r="L101" s="134">
        <v>22.7</v>
      </c>
      <c r="M101" s="134">
        <v>77.17</v>
      </c>
      <c r="N101" s="134">
        <v>0</v>
      </c>
      <c r="O101" s="134">
        <v>0</v>
      </c>
      <c r="P101" s="134">
        <v>0.98</v>
      </c>
      <c r="Q101" s="134">
        <v>5.24</v>
      </c>
    </row>
    <row r="102" spans="1:22" customFormat="1">
      <c r="A102" s="112" t="s">
        <v>332</v>
      </c>
      <c r="B102" s="134">
        <v>23.23</v>
      </c>
      <c r="C102" s="134">
        <v>28.62</v>
      </c>
      <c r="D102" s="134">
        <v>34.93</v>
      </c>
      <c r="E102" s="134">
        <v>6.19</v>
      </c>
      <c r="F102" s="134">
        <v>2.54</v>
      </c>
      <c r="G102" s="134">
        <v>110.89</v>
      </c>
      <c r="H102" s="134">
        <v>34.42</v>
      </c>
      <c r="I102" s="134">
        <v>7.46</v>
      </c>
      <c r="J102" s="134">
        <v>0.04</v>
      </c>
      <c r="K102" s="134">
        <v>117.43</v>
      </c>
      <c r="L102" s="134">
        <v>22.71</v>
      </c>
      <c r="M102" s="134">
        <v>77.599999999999994</v>
      </c>
      <c r="N102" s="134">
        <v>0</v>
      </c>
      <c r="O102" s="134">
        <v>0</v>
      </c>
      <c r="P102" s="134">
        <v>0.98</v>
      </c>
      <c r="Q102" s="134">
        <v>5.27</v>
      </c>
    </row>
    <row r="103" spans="1:22" customFormat="1">
      <c r="A103" s="112" t="s">
        <v>333</v>
      </c>
      <c r="B103" s="134">
        <v>23.57</v>
      </c>
      <c r="C103" s="134">
        <v>28.76</v>
      </c>
      <c r="D103" s="134">
        <v>35.28</v>
      </c>
      <c r="E103" s="134">
        <v>6.28</v>
      </c>
      <c r="F103" s="134">
        <v>2.63</v>
      </c>
      <c r="G103" s="134">
        <v>110.09</v>
      </c>
      <c r="H103" s="134">
        <v>34.32</v>
      </c>
      <c r="I103" s="134">
        <v>7.45</v>
      </c>
      <c r="J103" s="134">
        <v>0.16</v>
      </c>
      <c r="K103" s="134">
        <v>169.23</v>
      </c>
      <c r="L103" s="134">
        <v>22.42</v>
      </c>
      <c r="M103" s="134">
        <v>80.42</v>
      </c>
      <c r="N103" s="134">
        <v>0</v>
      </c>
      <c r="O103" s="134">
        <v>0</v>
      </c>
      <c r="P103" s="134">
        <v>0.97</v>
      </c>
      <c r="Q103" s="134">
        <v>5.31</v>
      </c>
    </row>
    <row r="104" spans="1:22" customFormat="1">
      <c r="A104" s="112" t="s">
        <v>334</v>
      </c>
      <c r="B104" s="134">
        <v>23.46</v>
      </c>
      <c r="C104" s="134">
        <v>28.56</v>
      </c>
      <c r="D104" s="134">
        <v>35.090000000000003</v>
      </c>
      <c r="E104" s="134">
        <v>6.51</v>
      </c>
      <c r="F104" s="134">
        <v>2.52</v>
      </c>
      <c r="G104" s="134">
        <v>96.47</v>
      </c>
      <c r="H104" s="134">
        <v>32.630000000000003</v>
      </c>
      <c r="I104" s="134">
        <v>7.41</v>
      </c>
      <c r="J104" s="134">
        <v>0.14000000000000001</v>
      </c>
      <c r="K104" s="134">
        <v>162.13999999999999</v>
      </c>
      <c r="L104" s="134">
        <v>22.26</v>
      </c>
      <c r="M104" s="134">
        <v>83.02</v>
      </c>
      <c r="N104" s="134">
        <v>0</v>
      </c>
      <c r="O104" s="134">
        <v>0</v>
      </c>
      <c r="P104" s="134">
        <v>0.96</v>
      </c>
      <c r="Q104" s="134">
        <v>5.3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4.51</v>
      </c>
      <c r="C106" s="183">
        <f>MIN(C9:C104)</f>
        <v>17.8</v>
      </c>
      <c r="D106" s="183">
        <f t="shared" ref="D106:Q106" si="0">MIN(D9:D104)</f>
        <v>15.04</v>
      </c>
      <c r="E106" s="183">
        <f t="shared" si="0"/>
        <v>4.07</v>
      </c>
      <c r="F106" s="183">
        <f t="shared" si="0"/>
        <v>2.33</v>
      </c>
      <c r="G106" s="183">
        <f t="shared" si="0"/>
        <v>39.159999999999997</v>
      </c>
      <c r="H106" s="183">
        <f t="shared" si="0"/>
        <v>19.5</v>
      </c>
      <c r="I106" s="183">
        <f t="shared" si="0"/>
        <v>4.68</v>
      </c>
      <c r="J106" s="183">
        <f t="shared" si="0"/>
        <v>0.03</v>
      </c>
      <c r="K106" s="183">
        <f t="shared" si="0"/>
        <v>34.9</v>
      </c>
      <c r="L106" s="183">
        <f t="shared" si="0"/>
        <v>19.53</v>
      </c>
      <c r="M106" s="183">
        <f t="shared" si="0"/>
        <v>39.04</v>
      </c>
      <c r="N106" s="183">
        <f t="shared" si="0"/>
        <v>0</v>
      </c>
      <c r="O106" s="183">
        <f t="shared" si="0"/>
        <v>0</v>
      </c>
      <c r="P106" s="183">
        <f t="shared" si="0"/>
        <v>0.59</v>
      </c>
      <c r="Q106" s="183">
        <f t="shared" si="0"/>
        <v>4.3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30.7</v>
      </c>
      <c r="C107" s="184">
        <f t="shared" ref="C107:Q107" si="1">MAX(C9:C104)</f>
        <v>28.76</v>
      </c>
      <c r="D107" s="184">
        <f t="shared" si="1"/>
        <v>40.86</v>
      </c>
      <c r="E107" s="184">
        <f t="shared" si="1"/>
        <v>8.32</v>
      </c>
      <c r="F107" s="184">
        <f t="shared" si="1"/>
        <v>6.53</v>
      </c>
      <c r="G107" s="184">
        <f t="shared" si="1"/>
        <v>113.28</v>
      </c>
      <c r="H107" s="184">
        <f t="shared" si="1"/>
        <v>36.42</v>
      </c>
      <c r="I107" s="184">
        <f t="shared" si="1"/>
        <v>7.49</v>
      </c>
      <c r="J107" s="184">
        <f t="shared" si="1"/>
        <v>0.6</v>
      </c>
      <c r="K107" s="184">
        <f t="shared" si="1"/>
        <v>342.17</v>
      </c>
      <c r="L107" s="184">
        <f t="shared" si="1"/>
        <v>30.95</v>
      </c>
      <c r="M107" s="184">
        <f t="shared" si="1"/>
        <v>98.26</v>
      </c>
      <c r="N107" s="184">
        <f t="shared" si="1"/>
        <v>584.4</v>
      </c>
      <c r="O107" s="184">
        <f t="shared" si="1"/>
        <v>0</v>
      </c>
      <c r="P107" s="184">
        <f t="shared" si="1"/>
        <v>0.99</v>
      </c>
      <c r="Q107" s="184">
        <f t="shared" si="1"/>
        <v>5.68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15.134270833333332</v>
      </c>
      <c r="C108" s="183">
        <f t="shared" ref="C108:Q108" si="2">AVERAGE(C9:C104)</f>
        <v>23.570520833333333</v>
      </c>
      <c r="D108" s="183">
        <f t="shared" si="2"/>
        <v>25.802708333333332</v>
      </c>
      <c r="E108" s="183">
        <f t="shared" si="2"/>
        <v>6.4014583333333341</v>
      </c>
      <c r="F108" s="183">
        <f t="shared" si="2"/>
        <v>3.4822916666666637</v>
      </c>
      <c r="G108" s="183">
        <f t="shared" si="2"/>
        <v>69.497708333333335</v>
      </c>
      <c r="H108" s="183">
        <f t="shared" si="2"/>
        <v>28.235520833333329</v>
      </c>
      <c r="I108" s="183">
        <f t="shared" si="2"/>
        <v>6.3651041666666686</v>
      </c>
      <c r="J108" s="183">
        <f t="shared" si="2"/>
        <v>0.215</v>
      </c>
      <c r="K108" s="183">
        <f t="shared" si="2"/>
        <v>112.6303125</v>
      </c>
      <c r="L108" s="183">
        <f t="shared" si="2"/>
        <v>24.55343749999999</v>
      </c>
      <c r="M108" s="183">
        <f t="shared" si="2"/>
        <v>70.470937499999991</v>
      </c>
      <c r="N108" s="183">
        <f t="shared" si="2"/>
        <v>132.42499999999998</v>
      </c>
      <c r="O108" s="183">
        <f t="shared" si="2"/>
        <v>0</v>
      </c>
      <c r="P108" s="183">
        <f t="shared" si="2"/>
        <v>0.77208333333333312</v>
      </c>
      <c r="Q108" s="183">
        <f t="shared" si="2"/>
        <v>4.848541666666665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8.6119660625619812</v>
      </c>
      <c r="C109" s="183">
        <f t="shared" ref="C109:Q109" si="3">STDEV(C9:C104)</f>
        <v>3.1670296127416133</v>
      </c>
      <c r="D109" s="183">
        <f t="shared" si="3"/>
        <v>8.389694364819734</v>
      </c>
      <c r="E109" s="183">
        <f t="shared" si="3"/>
        <v>1.0011098884597622</v>
      </c>
      <c r="F109" s="183">
        <f t="shared" si="3"/>
        <v>1.3693582662705677</v>
      </c>
      <c r="G109" s="183">
        <f t="shared" si="3"/>
        <v>20.865664088422321</v>
      </c>
      <c r="H109" s="183">
        <f t="shared" si="3"/>
        <v>4.6387182598534364</v>
      </c>
      <c r="I109" s="183">
        <f t="shared" si="3"/>
        <v>0.86333014334232716</v>
      </c>
      <c r="J109" s="183">
        <f t="shared" si="3"/>
        <v>0.13062602303804868</v>
      </c>
      <c r="K109" s="183">
        <f t="shared" si="3"/>
        <v>61.500955841149384</v>
      </c>
      <c r="L109" s="183">
        <f t="shared" si="3"/>
        <v>3.864649184902663</v>
      </c>
      <c r="M109" s="183">
        <f t="shared" si="3"/>
        <v>19.899023466022555</v>
      </c>
      <c r="N109" s="183">
        <f t="shared" si="3"/>
        <v>204.59787877688268</v>
      </c>
      <c r="O109" s="183">
        <f t="shared" si="3"/>
        <v>0</v>
      </c>
      <c r="P109" s="183">
        <f t="shared" si="3"/>
        <v>0.10144136669620302</v>
      </c>
      <c r="Q109" s="183">
        <f t="shared" si="3"/>
        <v>0.44020564373021698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02/11/2023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335</v>
      </c>
      <c r="B9" s="134">
        <v>23.78</v>
      </c>
      <c r="C9" s="134">
        <v>28.65</v>
      </c>
      <c r="D9" s="134">
        <v>35.380000000000003</v>
      </c>
      <c r="E9" s="134">
        <v>6.63</v>
      </c>
      <c r="F9" s="134">
        <v>2.35</v>
      </c>
      <c r="G9" s="134">
        <v>96.47</v>
      </c>
      <c r="H9" s="134">
        <v>32.630000000000003</v>
      </c>
      <c r="I9" s="134">
        <v>7.37</v>
      </c>
      <c r="J9" s="134">
        <v>0.11</v>
      </c>
      <c r="K9" s="134">
        <v>40.33</v>
      </c>
      <c r="L9" s="134">
        <v>22.23</v>
      </c>
      <c r="M9" s="134">
        <v>81.45</v>
      </c>
      <c r="N9" s="134">
        <v>0</v>
      </c>
      <c r="O9" s="134">
        <v>0</v>
      </c>
      <c r="P9" s="134">
        <v>0.96</v>
      </c>
      <c r="Q9" s="134">
        <v>5.32</v>
      </c>
    </row>
    <row r="10" spans="1:21" customFormat="1">
      <c r="A10" s="112" t="s">
        <v>336</v>
      </c>
      <c r="B10" s="134">
        <v>23.99</v>
      </c>
      <c r="C10" s="134">
        <v>28.46</v>
      </c>
      <c r="D10" s="134">
        <v>35.46</v>
      </c>
      <c r="E10" s="134">
        <v>6.97</v>
      </c>
      <c r="F10" s="134">
        <v>2.48</v>
      </c>
      <c r="G10" s="134">
        <v>96.47</v>
      </c>
      <c r="H10" s="134">
        <v>32.630000000000003</v>
      </c>
      <c r="I10" s="134">
        <v>7.35</v>
      </c>
      <c r="J10" s="134">
        <v>0.03</v>
      </c>
      <c r="K10" s="134">
        <v>163.18</v>
      </c>
      <c r="L10" s="134">
        <v>22.37</v>
      </c>
      <c r="M10" s="134">
        <v>80.069999999999993</v>
      </c>
      <c r="N10" s="134">
        <v>0</v>
      </c>
      <c r="O10" s="134">
        <v>0</v>
      </c>
      <c r="P10" s="134">
        <v>0.97</v>
      </c>
      <c r="Q10" s="134">
        <v>5.32</v>
      </c>
    </row>
    <row r="11" spans="1:21" customFormat="1">
      <c r="A11" s="112" t="s">
        <v>337</v>
      </c>
      <c r="B11" s="134">
        <v>24.09</v>
      </c>
      <c r="C11" s="134">
        <v>28.51</v>
      </c>
      <c r="D11" s="134">
        <v>35.56</v>
      </c>
      <c r="E11" s="134">
        <v>6.64</v>
      </c>
      <c r="F11" s="134">
        <v>2.57</v>
      </c>
      <c r="G11" s="134">
        <v>96.31</v>
      </c>
      <c r="H11" s="134">
        <v>32.56</v>
      </c>
      <c r="I11" s="134">
        <v>7.35</v>
      </c>
      <c r="J11" s="134">
        <v>0.17</v>
      </c>
      <c r="K11" s="134">
        <v>174.06</v>
      </c>
      <c r="L11" s="134">
        <v>22.23</v>
      </c>
      <c r="M11" s="134">
        <v>84.62</v>
      </c>
      <c r="N11" s="134">
        <v>0</v>
      </c>
      <c r="O11" s="134">
        <v>0</v>
      </c>
      <c r="P11" s="134">
        <v>0.96</v>
      </c>
      <c r="Q11" s="134">
        <v>5.33</v>
      </c>
    </row>
    <row r="12" spans="1:21" customFormat="1">
      <c r="A12" s="112" t="s">
        <v>338</v>
      </c>
      <c r="B12" s="134">
        <v>23.92</v>
      </c>
      <c r="C12" s="134">
        <v>28.3</v>
      </c>
      <c r="D12" s="134">
        <v>35.32</v>
      </c>
      <c r="E12" s="134">
        <v>6.52</v>
      </c>
      <c r="F12" s="134">
        <v>2.4700000000000002</v>
      </c>
      <c r="G12" s="134">
        <v>93.56</v>
      </c>
      <c r="H12" s="134">
        <v>31.47</v>
      </c>
      <c r="I12" s="134">
        <v>7.37</v>
      </c>
      <c r="J12" s="134">
        <v>0.14000000000000001</v>
      </c>
      <c r="K12" s="134">
        <v>182.99</v>
      </c>
      <c r="L12" s="134">
        <v>22.01</v>
      </c>
      <c r="M12" s="134">
        <v>85.05</v>
      </c>
      <c r="N12" s="134">
        <v>0</v>
      </c>
      <c r="O12" s="134">
        <v>0</v>
      </c>
      <c r="P12" s="134">
        <v>0.96</v>
      </c>
      <c r="Q12" s="134">
        <v>5.34</v>
      </c>
    </row>
    <row r="13" spans="1:21" customFormat="1">
      <c r="A13" s="112" t="s">
        <v>339</v>
      </c>
      <c r="B13" s="134">
        <v>23.85</v>
      </c>
      <c r="C13" s="134">
        <v>27.94</v>
      </c>
      <c r="D13" s="134">
        <v>35.08</v>
      </c>
      <c r="E13" s="134">
        <v>7.14</v>
      </c>
      <c r="F13" s="134">
        <v>2.46</v>
      </c>
      <c r="G13" s="134">
        <v>93.56</v>
      </c>
      <c r="H13" s="134">
        <v>31.47</v>
      </c>
      <c r="I13" s="134">
        <v>7.38</v>
      </c>
      <c r="J13" s="134">
        <v>0.11</v>
      </c>
      <c r="K13" s="134">
        <v>172.63</v>
      </c>
      <c r="L13" s="134">
        <v>21.85</v>
      </c>
      <c r="M13" s="134">
        <v>87.42</v>
      </c>
      <c r="N13" s="134">
        <v>0</v>
      </c>
      <c r="O13" s="134">
        <v>0</v>
      </c>
      <c r="P13" s="134">
        <v>0.95</v>
      </c>
      <c r="Q13" s="134">
        <v>5.32</v>
      </c>
    </row>
    <row r="14" spans="1:21" customFormat="1">
      <c r="A14" s="112" t="s">
        <v>340</v>
      </c>
      <c r="B14" s="134">
        <v>23.91</v>
      </c>
      <c r="C14" s="134">
        <v>27.89</v>
      </c>
      <c r="D14" s="134">
        <v>35.1</v>
      </c>
      <c r="E14" s="134">
        <v>6.76</v>
      </c>
      <c r="F14" s="134">
        <v>2.34</v>
      </c>
      <c r="G14" s="134">
        <v>93.56</v>
      </c>
      <c r="H14" s="134">
        <v>31.47</v>
      </c>
      <c r="I14" s="134">
        <v>7.4</v>
      </c>
      <c r="J14" s="134">
        <v>0.04</v>
      </c>
      <c r="K14" s="134">
        <v>115</v>
      </c>
      <c r="L14" s="134">
        <v>21.74</v>
      </c>
      <c r="M14" s="134">
        <v>85.95</v>
      </c>
      <c r="N14" s="134">
        <v>0</v>
      </c>
      <c r="O14" s="134">
        <v>0</v>
      </c>
      <c r="P14" s="134">
        <v>0.95</v>
      </c>
      <c r="Q14" s="134">
        <v>5.34</v>
      </c>
    </row>
    <row r="15" spans="1:21" customFormat="1">
      <c r="A15" s="112" t="s">
        <v>341</v>
      </c>
      <c r="B15" s="134">
        <v>24.48</v>
      </c>
      <c r="C15" s="134">
        <v>27.78</v>
      </c>
      <c r="D15" s="134">
        <v>35.5</v>
      </c>
      <c r="E15" s="134">
        <v>6.68</v>
      </c>
      <c r="F15" s="134">
        <v>2.41</v>
      </c>
      <c r="G15" s="134">
        <v>93.06</v>
      </c>
      <c r="H15" s="134">
        <v>31.35</v>
      </c>
      <c r="I15" s="134">
        <v>7.44</v>
      </c>
      <c r="J15" s="134">
        <v>0.01</v>
      </c>
      <c r="K15" s="134">
        <v>53.62</v>
      </c>
      <c r="L15" s="134">
        <v>22</v>
      </c>
      <c r="M15" s="134">
        <v>82.33</v>
      </c>
      <c r="N15" s="134">
        <v>0</v>
      </c>
      <c r="O15" s="134">
        <v>0</v>
      </c>
      <c r="P15" s="134">
        <v>0.94</v>
      </c>
      <c r="Q15" s="134">
        <v>5.35</v>
      </c>
    </row>
    <row r="16" spans="1:21" customFormat="1">
      <c r="A16" s="112" t="s">
        <v>342</v>
      </c>
      <c r="B16" s="134">
        <v>24.6</v>
      </c>
      <c r="C16" s="134">
        <v>28.36</v>
      </c>
      <c r="D16" s="134">
        <v>35.89</v>
      </c>
      <c r="E16" s="134">
        <v>7.1</v>
      </c>
      <c r="F16" s="134">
        <v>2.39</v>
      </c>
      <c r="G16" s="134">
        <v>82.31</v>
      </c>
      <c r="H16" s="134">
        <v>29.56</v>
      </c>
      <c r="I16" s="134">
        <v>7.41</v>
      </c>
      <c r="J16" s="134">
        <v>0.1</v>
      </c>
      <c r="K16" s="134">
        <v>65.75</v>
      </c>
      <c r="L16" s="134">
        <v>22.09</v>
      </c>
      <c r="M16" s="134">
        <v>81.64</v>
      </c>
      <c r="N16" s="134">
        <v>0</v>
      </c>
      <c r="O16" s="134">
        <v>0</v>
      </c>
      <c r="P16" s="134">
        <v>0.94</v>
      </c>
      <c r="Q16" s="134">
        <v>5.33</v>
      </c>
    </row>
    <row r="17" spans="1:17" customFormat="1">
      <c r="A17" s="112" t="s">
        <v>343</v>
      </c>
      <c r="B17" s="134">
        <v>25.06</v>
      </c>
      <c r="C17" s="134">
        <v>28.78</v>
      </c>
      <c r="D17" s="134">
        <v>36.479999999999997</v>
      </c>
      <c r="E17" s="134">
        <v>5.67</v>
      </c>
      <c r="F17" s="134">
        <v>2.4</v>
      </c>
      <c r="G17" s="134">
        <v>82.31</v>
      </c>
      <c r="H17" s="134">
        <v>29.56</v>
      </c>
      <c r="I17" s="134">
        <v>7.4</v>
      </c>
      <c r="J17" s="134">
        <v>0.02</v>
      </c>
      <c r="K17" s="134">
        <v>52.72</v>
      </c>
      <c r="L17" s="134">
        <v>22.15</v>
      </c>
      <c r="M17" s="134">
        <v>81.38</v>
      </c>
      <c r="N17" s="134">
        <v>0</v>
      </c>
      <c r="O17" s="134">
        <v>0</v>
      </c>
      <c r="P17" s="134">
        <v>0.92</v>
      </c>
      <c r="Q17" s="134">
        <v>5.35</v>
      </c>
    </row>
    <row r="18" spans="1:17" customFormat="1">
      <c r="A18" s="112" t="s">
        <v>344</v>
      </c>
      <c r="B18" s="134">
        <v>25.7</v>
      </c>
      <c r="C18" s="134">
        <v>26.57</v>
      </c>
      <c r="D18" s="134">
        <v>35.840000000000003</v>
      </c>
      <c r="E18" s="134">
        <v>6.28</v>
      </c>
      <c r="F18" s="134">
        <v>2.8</v>
      </c>
      <c r="G18" s="134">
        <v>82.31</v>
      </c>
      <c r="H18" s="134">
        <v>29.56</v>
      </c>
      <c r="I18" s="134">
        <v>7.45</v>
      </c>
      <c r="J18" s="134">
        <v>0.05</v>
      </c>
      <c r="K18" s="134">
        <v>138.15</v>
      </c>
      <c r="L18" s="134">
        <v>22.12</v>
      </c>
      <c r="M18" s="134">
        <v>82.14</v>
      </c>
      <c r="N18" s="134">
        <v>0</v>
      </c>
      <c r="O18" s="134">
        <v>0</v>
      </c>
      <c r="P18" s="134">
        <v>0.9</v>
      </c>
      <c r="Q18" s="134">
        <v>5.38</v>
      </c>
    </row>
    <row r="19" spans="1:17" customFormat="1">
      <c r="A19" s="112" t="s">
        <v>345</v>
      </c>
      <c r="B19" s="134">
        <v>25.84</v>
      </c>
      <c r="C19" s="134">
        <v>24.77</v>
      </c>
      <c r="D19" s="134">
        <v>35.01</v>
      </c>
      <c r="E19" s="134">
        <v>6.17</v>
      </c>
      <c r="F19" s="134">
        <v>2.91</v>
      </c>
      <c r="G19" s="134">
        <v>82.67</v>
      </c>
      <c r="H19" s="134">
        <v>29.66</v>
      </c>
      <c r="I19" s="134">
        <v>7.59</v>
      </c>
      <c r="J19" s="134">
        <v>0.1</v>
      </c>
      <c r="K19" s="134">
        <v>56.18</v>
      </c>
      <c r="L19" s="134">
        <v>22.14</v>
      </c>
      <c r="M19" s="134">
        <v>81.55</v>
      </c>
      <c r="N19" s="134">
        <v>0</v>
      </c>
      <c r="O19" s="134">
        <v>0</v>
      </c>
      <c r="P19" s="134">
        <v>0.87</v>
      </c>
      <c r="Q19" s="134">
        <v>5.37</v>
      </c>
    </row>
    <row r="20" spans="1:17" customFormat="1">
      <c r="A20" s="112" t="s">
        <v>346</v>
      </c>
      <c r="B20" s="134">
        <v>25.72</v>
      </c>
      <c r="C20" s="134">
        <v>23.74</v>
      </c>
      <c r="D20" s="134">
        <v>34.380000000000003</v>
      </c>
      <c r="E20" s="134">
        <v>6.05</v>
      </c>
      <c r="F20" s="134">
        <v>2.79</v>
      </c>
      <c r="G20" s="134">
        <v>90.39</v>
      </c>
      <c r="H20" s="134">
        <v>31.73</v>
      </c>
      <c r="I20" s="134">
        <v>7.78</v>
      </c>
      <c r="J20" s="134">
        <v>0.18</v>
      </c>
      <c r="K20" s="134">
        <v>16.239999999999998</v>
      </c>
      <c r="L20" s="134">
        <v>22.23</v>
      </c>
      <c r="M20" s="134">
        <v>80.739999999999995</v>
      </c>
      <c r="N20" s="134">
        <v>0</v>
      </c>
      <c r="O20" s="134">
        <v>0</v>
      </c>
      <c r="P20" s="134">
        <v>0.85</v>
      </c>
      <c r="Q20" s="134">
        <v>5.34</v>
      </c>
    </row>
    <row r="21" spans="1:17" customFormat="1">
      <c r="A21" s="112" t="s">
        <v>347</v>
      </c>
      <c r="B21" s="134">
        <v>25.65</v>
      </c>
      <c r="C21" s="134">
        <v>25.6</v>
      </c>
      <c r="D21" s="134">
        <v>35.29</v>
      </c>
      <c r="E21" s="134">
        <v>6.07</v>
      </c>
      <c r="F21" s="134">
        <v>2.48</v>
      </c>
      <c r="G21" s="134">
        <v>90.39</v>
      </c>
      <c r="H21" s="134">
        <v>31.73</v>
      </c>
      <c r="I21" s="134">
        <v>8.0399999999999991</v>
      </c>
      <c r="J21" s="134">
        <v>0.26</v>
      </c>
      <c r="K21" s="134">
        <v>30.38</v>
      </c>
      <c r="L21" s="134">
        <v>22.28</v>
      </c>
      <c r="M21" s="134">
        <v>80.63</v>
      </c>
      <c r="N21" s="134">
        <v>0</v>
      </c>
      <c r="O21" s="134">
        <v>0</v>
      </c>
      <c r="P21" s="134">
        <v>0.87</v>
      </c>
      <c r="Q21" s="134">
        <v>5.33</v>
      </c>
    </row>
    <row r="22" spans="1:17" customFormat="1">
      <c r="A22" s="112" t="s">
        <v>348</v>
      </c>
      <c r="B22" s="134">
        <v>25.98</v>
      </c>
      <c r="C22" s="134">
        <v>24.97</v>
      </c>
      <c r="D22" s="134">
        <v>35.229999999999997</v>
      </c>
      <c r="E22" s="134">
        <v>6.2</v>
      </c>
      <c r="F22" s="134">
        <v>2.61</v>
      </c>
      <c r="G22" s="134">
        <v>90.39</v>
      </c>
      <c r="H22" s="134">
        <v>31.73</v>
      </c>
      <c r="I22" s="134">
        <v>8.2899999999999991</v>
      </c>
      <c r="J22" s="134">
        <v>0.3</v>
      </c>
      <c r="K22" s="134">
        <v>42.16</v>
      </c>
      <c r="L22" s="134">
        <v>22.36</v>
      </c>
      <c r="M22" s="134">
        <v>80.930000000000007</v>
      </c>
      <c r="N22" s="134">
        <v>0</v>
      </c>
      <c r="O22" s="134">
        <v>0</v>
      </c>
      <c r="P22" s="134">
        <v>0.87</v>
      </c>
      <c r="Q22" s="134">
        <v>5.33</v>
      </c>
    </row>
    <row r="23" spans="1:17" customFormat="1">
      <c r="A23" s="112" t="s">
        <v>349</v>
      </c>
      <c r="B23" s="134">
        <v>26.06</v>
      </c>
      <c r="C23" s="134">
        <v>23.75</v>
      </c>
      <c r="D23" s="134">
        <v>34.659999999999997</v>
      </c>
      <c r="E23" s="134">
        <v>6.04</v>
      </c>
      <c r="F23" s="134">
        <v>2.73</v>
      </c>
      <c r="G23" s="134">
        <v>90.33</v>
      </c>
      <c r="H23" s="134">
        <v>31.8</v>
      </c>
      <c r="I23" s="134">
        <v>8.75</v>
      </c>
      <c r="J23" s="134">
        <v>0.28999999999999998</v>
      </c>
      <c r="K23" s="134">
        <v>33.31</v>
      </c>
      <c r="L23" s="134">
        <v>22.38</v>
      </c>
      <c r="M23" s="134">
        <v>80.91</v>
      </c>
      <c r="N23" s="134">
        <v>0</v>
      </c>
      <c r="O23" s="134">
        <v>0</v>
      </c>
      <c r="P23" s="134">
        <v>0.86</v>
      </c>
      <c r="Q23" s="134">
        <v>5.33</v>
      </c>
    </row>
    <row r="24" spans="1:17" customFormat="1">
      <c r="A24" s="112" t="s">
        <v>350</v>
      </c>
      <c r="B24" s="134">
        <v>25.78</v>
      </c>
      <c r="C24" s="134">
        <v>25.2</v>
      </c>
      <c r="D24" s="134">
        <v>35.19</v>
      </c>
      <c r="E24" s="134">
        <v>6.53</v>
      </c>
      <c r="F24" s="134">
        <v>2.37</v>
      </c>
      <c r="G24" s="134">
        <v>88.97</v>
      </c>
      <c r="H24" s="134">
        <v>32.869999999999997</v>
      </c>
      <c r="I24" s="134">
        <v>9.02</v>
      </c>
      <c r="J24" s="134">
        <v>0.35</v>
      </c>
      <c r="K24" s="134">
        <v>31.71</v>
      </c>
      <c r="L24" s="134">
        <v>22.2</v>
      </c>
      <c r="M24" s="134">
        <v>81.05</v>
      </c>
      <c r="N24" s="134">
        <v>0</v>
      </c>
      <c r="O24" s="134">
        <v>0</v>
      </c>
      <c r="P24" s="134">
        <v>0.87</v>
      </c>
      <c r="Q24" s="134">
        <v>5.32</v>
      </c>
    </row>
    <row r="25" spans="1:17" customFormat="1">
      <c r="A25" s="112" t="s">
        <v>351</v>
      </c>
      <c r="B25" s="134">
        <v>25.69</v>
      </c>
      <c r="C25" s="134">
        <v>24.45</v>
      </c>
      <c r="D25" s="134">
        <v>34.729999999999997</v>
      </c>
      <c r="E25" s="134">
        <v>5.61</v>
      </c>
      <c r="F25" s="134">
        <v>2.5099999999999998</v>
      </c>
      <c r="G25" s="134">
        <v>88.97</v>
      </c>
      <c r="H25" s="134">
        <v>32.869999999999997</v>
      </c>
      <c r="I25" s="134">
        <v>9.02</v>
      </c>
      <c r="J25" s="134">
        <v>0.35</v>
      </c>
      <c r="K25" s="134">
        <v>24.76</v>
      </c>
      <c r="L25" s="134">
        <v>21.99</v>
      </c>
      <c r="M25" s="134">
        <v>81.73</v>
      </c>
      <c r="N25" s="134">
        <v>0</v>
      </c>
      <c r="O25" s="134">
        <v>0</v>
      </c>
      <c r="P25" s="134">
        <v>0.86</v>
      </c>
      <c r="Q25" s="134">
        <v>5.32</v>
      </c>
    </row>
    <row r="26" spans="1:17" customFormat="1">
      <c r="A26" s="112" t="s">
        <v>352</v>
      </c>
      <c r="B26" s="134">
        <v>25.61</v>
      </c>
      <c r="C26" s="134">
        <v>23.17</v>
      </c>
      <c r="D26" s="134">
        <v>33.99</v>
      </c>
      <c r="E26" s="134">
        <v>5.95</v>
      </c>
      <c r="F26" s="134">
        <v>2.76</v>
      </c>
      <c r="G26" s="134">
        <v>88.97</v>
      </c>
      <c r="H26" s="134">
        <v>32.869999999999997</v>
      </c>
      <c r="I26" s="134">
        <v>8.9700000000000006</v>
      </c>
      <c r="J26" s="134">
        <v>0.37</v>
      </c>
      <c r="K26" s="134">
        <v>40.130000000000003</v>
      </c>
      <c r="L26" s="134">
        <v>21.95</v>
      </c>
      <c r="M26" s="134">
        <v>81.849999999999994</v>
      </c>
      <c r="N26" s="134">
        <v>0</v>
      </c>
      <c r="O26" s="134">
        <v>0</v>
      </c>
      <c r="P26" s="134">
        <v>0.84</v>
      </c>
      <c r="Q26" s="134">
        <v>5.31</v>
      </c>
    </row>
    <row r="27" spans="1:17" customFormat="1">
      <c r="A27" s="112" t="s">
        <v>353</v>
      </c>
      <c r="B27" s="134">
        <v>25.34</v>
      </c>
      <c r="C27" s="134">
        <v>24.39</v>
      </c>
      <c r="D27" s="134">
        <v>34.42</v>
      </c>
      <c r="E27" s="134">
        <v>6.19</v>
      </c>
      <c r="F27" s="134">
        <v>2.52</v>
      </c>
      <c r="G27" s="134">
        <v>88.87</v>
      </c>
      <c r="H27" s="134">
        <v>32.85</v>
      </c>
      <c r="I27" s="134">
        <v>8.84</v>
      </c>
      <c r="J27" s="134">
        <v>0.44</v>
      </c>
      <c r="K27" s="134">
        <v>36.979999999999997</v>
      </c>
      <c r="L27" s="134">
        <v>21.85</v>
      </c>
      <c r="M27" s="134">
        <v>82.7</v>
      </c>
      <c r="N27" s="134">
        <v>0</v>
      </c>
      <c r="O27" s="134">
        <v>0</v>
      </c>
      <c r="P27" s="134">
        <v>0.85</v>
      </c>
      <c r="Q27" s="134">
        <v>5.28</v>
      </c>
    </row>
    <row r="28" spans="1:17" customFormat="1">
      <c r="A28" s="112" t="s">
        <v>354</v>
      </c>
      <c r="B28" s="134">
        <v>25.06</v>
      </c>
      <c r="C28" s="134">
        <v>23.7</v>
      </c>
      <c r="D28" s="134">
        <v>33.82</v>
      </c>
      <c r="E28" s="134">
        <v>5.92</v>
      </c>
      <c r="F28" s="134">
        <v>2.74</v>
      </c>
      <c r="G28" s="134">
        <v>86.78</v>
      </c>
      <c r="H28" s="134">
        <v>32.549999999999997</v>
      </c>
      <c r="I28" s="134">
        <v>8.76</v>
      </c>
      <c r="J28" s="134">
        <v>0.31</v>
      </c>
      <c r="K28" s="134">
        <v>34.96</v>
      </c>
      <c r="L28" s="134">
        <v>21.69</v>
      </c>
      <c r="M28" s="134">
        <v>84.32</v>
      </c>
      <c r="N28" s="134">
        <v>0</v>
      </c>
      <c r="O28" s="134">
        <v>0</v>
      </c>
      <c r="P28" s="134">
        <v>0.84</v>
      </c>
      <c r="Q28" s="134">
        <v>5.29</v>
      </c>
    </row>
    <row r="29" spans="1:17" customFormat="1">
      <c r="A29" s="112" t="s">
        <v>355</v>
      </c>
      <c r="B29" s="134">
        <v>24.9</v>
      </c>
      <c r="C29" s="134">
        <v>24.62</v>
      </c>
      <c r="D29" s="134">
        <v>34.18</v>
      </c>
      <c r="E29" s="134">
        <v>6.35</v>
      </c>
      <c r="F29" s="134">
        <v>2.4</v>
      </c>
      <c r="G29" s="134">
        <v>86.78</v>
      </c>
      <c r="H29" s="134">
        <v>32.549999999999997</v>
      </c>
      <c r="I29" s="134">
        <v>8.76</v>
      </c>
      <c r="J29" s="134">
        <v>0.27</v>
      </c>
      <c r="K29" s="134">
        <v>35.43</v>
      </c>
      <c r="L29" s="134">
        <v>21.5</v>
      </c>
      <c r="M29" s="134">
        <v>86.11</v>
      </c>
      <c r="N29" s="134">
        <v>0</v>
      </c>
      <c r="O29" s="134">
        <v>0</v>
      </c>
      <c r="P29" s="134">
        <v>0.86</v>
      </c>
      <c r="Q29" s="134">
        <v>5.28</v>
      </c>
    </row>
    <row r="30" spans="1:17" customFormat="1">
      <c r="A30" s="112" t="s">
        <v>356</v>
      </c>
      <c r="B30" s="134">
        <v>25.03</v>
      </c>
      <c r="C30" s="134">
        <v>23.37</v>
      </c>
      <c r="D30" s="134">
        <v>33.64</v>
      </c>
      <c r="E30" s="134">
        <v>6.15</v>
      </c>
      <c r="F30" s="134">
        <v>2.68</v>
      </c>
      <c r="G30" s="134">
        <v>86.78</v>
      </c>
      <c r="H30" s="134">
        <v>32.549999999999997</v>
      </c>
      <c r="I30" s="134">
        <v>8.74</v>
      </c>
      <c r="J30" s="134">
        <v>0.39</v>
      </c>
      <c r="K30" s="134">
        <v>28.43</v>
      </c>
      <c r="L30" s="134">
        <v>21.56</v>
      </c>
      <c r="M30" s="134">
        <v>85.18</v>
      </c>
      <c r="N30" s="134">
        <v>0</v>
      </c>
      <c r="O30" s="134">
        <v>0</v>
      </c>
      <c r="P30" s="134">
        <v>0.84</v>
      </c>
      <c r="Q30" s="134">
        <v>5.29</v>
      </c>
    </row>
    <row r="31" spans="1:17" customFormat="1">
      <c r="A31" s="112" t="s">
        <v>357</v>
      </c>
      <c r="B31" s="134">
        <v>24.99</v>
      </c>
      <c r="C31" s="134">
        <v>23.68</v>
      </c>
      <c r="D31" s="134">
        <v>33.76</v>
      </c>
      <c r="E31" s="134">
        <v>5.81</v>
      </c>
      <c r="F31" s="134">
        <v>2.54</v>
      </c>
      <c r="G31" s="134">
        <v>86.83</v>
      </c>
      <c r="H31" s="134">
        <v>32.659999999999997</v>
      </c>
      <c r="I31" s="134">
        <v>8.77</v>
      </c>
      <c r="J31" s="134">
        <v>0.3</v>
      </c>
      <c r="K31" s="134">
        <v>36.1</v>
      </c>
      <c r="L31" s="134">
        <v>21.7</v>
      </c>
      <c r="M31" s="134">
        <v>85.04</v>
      </c>
      <c r="N31" s="134">
        <v>0</v>
      </c>
      <c r="O31" s="134">
        <v>0</v>
      </c>
      <c r="P31" s="134">
        <v>0.86</v>
      </c>
      <c r="Q31" s="134">
        <v>5.27</v>
      </c>
    </row>
    <row r="32" spans="1:17" customFormat="1">
      <c r="A32" s="112" t="s">
        <v>358</v>
      </c>
      <c r="B32" s="134">
        <v>24.88</v>
      </c>
      <c r="C32" s="134">
        <v>24.35</v>
      </c>
      <c r="D32" s="134">
        <v>34.020000000000003</v>
      </c>
      <c r="E32" s="134">
        <v>5.88</v>
      </c>
      <c r="F32" s="134">
        <v>2.4700000000000002</v>
      </c>
      <c r="G32" s="134">
        <v>87.85</v>
      </c>
      <c r="H32" s="134">
        <v>34.44</v>
      </c>
      <c r="I32" s="134">
        <v>8.75</v>
      </c>
      <c r="J32" s="134">
        <v>0.39</v>
      </c>
      <c r="K32" s="134">
        <v>46.04</v>
      </c>
      <c r="L32" s="134">
        <v>21.72</v>
      </c>
      <c r="M32" s="134">
        <v>85.24</v>
      </c>
      <c r="N32" s="134">
        <v>0</v>
      </c>
      <c r="O32" s="134">
        <v>0</v>
      </c>
      <c r="P32" s="134">
        <v>0.86</v>
      </c>
      <c r="Q32" s="134">
        <v>5.3</v>
      </c>
    </row>
    <row r="33" spans="1:17" customFormat="1">
      <c r="A33" s="112" t="s">
        <v>359</v>
      </c>
      <c r="B33" s="134">
        <v>24.95</v>
      </c>
      <c r="C33" s="134">
        <v>23.04</v>
      </c>
      <c r="D33" s="134">
        <v>33.4</v>
      </c>
      <c r="E33" s="134">
        <v>6.34</v>
      </c>
      <c r="F33" s="134">
        <v>2.78</v>
      </c>
      <c r="G33" s="134">
        <v>87.85</v>
      </c>
      <c r="H33" s="134">
        <v>34.44</v>
      </c>
      <c r="I33" s="134">
        <v>8.77</v>
      </c>
      <c r="J33" s="134">
        <v>0.43</v>
      </c>
      <c r="K33" s="134">
        <v>44.25</v>
      </c>
      <c r="L33" s="134">
        <v>21.71</v>
      </c>
      <c r="M33" s="134">
        <v>85.85</v>
      </c>
      <c r="N33" s="134">
        <v>0.3</v>
      </c>
      <c r="O33" s="134">
        <v>0</v>
      </c>
      <c r="P33" s="134">
        <v>0.85</v>
      </c>
      <c r="Q33" s="134">
        <v>5.3</v>
      </c>
    </row>
    <row r="34" spans="1:17" customFormat="1">
      <c r="A34" s="112" t="s">
        <v>360</v>
      </c>
      <c r="B34" s="134">
        <v>24.91</v>
      </c>
      <c r="C34" s="134">
        <v>24.06</v>
      </c>
      <c r="D34" s="134">
        <v>33.9</v>
      </c>
      <c r="E34" s="134">
        <v>6.25</v>
      </c>
      <c r="F34" s="134">
        <v>2.5499999999999998</v>
      </c>
      <c r="G34" s="134">
        <v>87.85</v>
      </c>
      <c r="H34" s="134">
        <v>34.44</v>
      </c>
      <c r="I34" s="134">
        <v>8.77</v>
      </c>
      <c r="J34" s="134">
        <v>0.45</v>
      </c>
      <c r="K34" s="134">
        <v>40.909999999999997</v>
      </c>
      <c r="L34" s="134">
        <v>21.78</v>
      </c>
      <c r="M34" s="134">
        <v>86.35</v>
      </c>
      <c r="N34" s="134">
        <v>6.2</v>
      </c>
      <c r="O34" s="134">
        <v>0</v>
      </c>
      <c r="P34" s="134">
        <v>0.87</v>
      </c>
      <c r="Q34" s="134">
        <v>5.29</v>
      </c>
    </row>
    <row r="35" spans="1:17" customFormat="1">
      <c r="A35" s="112" t="s">
        <v>361</v>
      </c>
      <c r="B35" s="134">
        <v>25.13</v>
      </c>
      <c r="C35" s="134">
        <v>23.21</v>
      </c>
      <c r="D35" s="134">
        <v>33.630000000000003</v>
      </c>
      <c r="E35" s="134">
        <v>5.68</v>
      </c>
      <c r="F35" s="134">
        <v>2.62</v>
      </c>
      <c r="G35" s="134">
        <v>87.78</v>
      </c>
      <c r="H35" s="134">
        <v>34.44</v>
      </c>
      <c r="I35" s="134">
        <v>8.7100000000000009</v>
      </c>
      <c r="J35" s="134">
        <v>0.23</v>
      </c>
      <c r="K35" s="134">
        <v>68.010000000000005</v>
      </c>
      <c r="L35" s="134">
        <v>21.89</v>
      </c>
      <c r="M35" s="134">
        <v>85.87</v>
      </c>
      <c r="N35" s="134">
        <v>4</v>
      </c>
      <c r="O35" s="134">
        <v>0</v>
      </c>
      <c r="P35" s="134">
        <v>0.88</v>
      </c>
      <c r="Q35" s="134">
        <v>5.31</v>
      </c>
    </row>
    <row r="36" spans="1:17" customFormat="1">
      <c r="A36" s="112" t="s">
        <v>362</v>
      </c>
      <c r="B36" s="134">
        <v>24.98</v>
      </c>
      <c r="C36" s="134">
        <v>22.7</v>
      </c>
      <c r="D36" s="134">
        <v>33.24</v>
      </c>
      <c r="E36" s="134">
        <v>5.96</v>
      </c>
      <c r="F36" s="134">
        <v>2.76</v>
      </c>
      <c r="G36" s="134">
        <v>86.23</v>
      </c>
      <c r="H36" s="134">
        <v>34.4</v>
      </c>
      <c r="I36" s="134">
        <v>8.74</v>
      </c>
      <c r="J36" s="134">
        <v>0.24</v>
      </c>
      <c r="K36" s="134">
        <v>48.26</v>
      </c>
      <c r="L36" s="134">
        <v>22.04</v>
      </c>
      <c r="M36" s="134">
        <v>85.28</v>
      </c>
      <c r="N36" s="134">
        <v>8.1</v>
      </c>
      <c r="O36" s="134">
        <v>0</v>
      </c>
      <c r="P36" s="134">
        <v>0.9</v>
      </c>
      <c r="Q36" s="134">
        <v>5.32</v>
      </c>
    </row>
    <row r="37" spans="1:17" customFormat="1">
      <c r="A37" s="112" t="s">
        <v>363</v>
      </c>
      <c r="B37" s="134">
        <v>24.69</v>
      </c>
      <c r="C37" s="134">
        <v>23.1</v>
      </c>
      <c r="D37" s="134">
        <v>33.22</v>
      </c>
      <c r="E37" s="134">
        <v>6.52</v>
      </c>
      <c r="F37" s="134">
        <v>2.91</v>
      </c>
      <c r="G37" s="134">
        <v>86.23</v>
      </c>
      <c r="H37" s="134">
        <v>34.4</v>
      </c>
      <c r="I37" s="134">
        <v>8.76</v>
      </c>
      <c r="J37" s="134">
        <v>0.27</v>
      </c>
      <c r="K37" s="134">
        <v>57.5</v>
      </c>
      <c r="L37" s="134">
        <v>22.45</v>
      </c>
      <c r="M37" s="134">
        <v>83.6</v>
      </c>
      <c r="N37" s="134">
        <v>22.4</v>
      </c>
      <c r="O37" s="134">
        <v>0</v>
      </c>
      <c r="P37" s="134">
        <v>0.94</v>
      </c>
      <c r="Q37" s="134">
        <v>5.29</v>
      </c>
    </row>
    <row r="38" spans="1:17" customFormat="1">
      <c r="A38" s="112" t="s">
        <v>364</v>
      </c>
      <c r="B38" s="134">
        <v>23.92</v>
      </c>
      <c r="C38" s="134">
        <v>23.9</v>
      </c>
      <c r="D38" s="134">
        <v>33.020000000000003</v>
      </c>
      <c r="E38" s="134">
        <v>5.81</v>
      </c>
      <c r="F38" s="134">
        <v>2.89</v>
      </c>
      <c r="G38" s="134">
        <v>86.23</v>
      </c>
      <c r="H38" s="134">
        <v>34.4</v>
      </c>
      <c r="I38" s="134">
        <v>8.8000000000000007</v>
      </c>
      <c r="J38" s="134">
        <v>0.15</v>
      </c>
      <c r="K38" s="134">
        <v>108.37</v>
      </c>
      <c r="L38" s="134">
        <v>22.86</v>
      </c>
      <c r="M38" s="134">
        <v>81.8</v>
      </c>
      <c r="N38" s="134">
        <v>22.9</v>
      </c>
      <c r="O38" s="134">
        <v>0</v>
      </c>
      <c r="P38" s="134">
        <v>0.95</v>
      </c>
      <c r="Q38" s="134">
        <v>5.24</v>
      </c>
    </row>
    <row r="39" spans="1:17" customFormat="1">
      <c r="A39" s="112" t="s">
        <v>365</v>
      </c>
      <c r="B39" s="134">
        <v>23.43</v>
      </c>
      <c r="C39" s="134">
        <v>24.73</v>
      </c>
      <c r="D39" s="134">
        <v>33.06</v>
      </c>
      <c r="E39" s="134">
        <v>6.1</v>
      </c>
      <c r="F39" s="134">
        <v>2.96</v>
      </c>
      <c r="G39" s="134">
        <v>86.43</v>
      </c>
      <c r="H39" s="134">
        <v>34.4</v>
      </c>
      <c r="I39" s="134">
        <v>8.8699999999999992</v>
      </c>
      <c r="J39" s="134">
        <v>0.28999999999999998</v>
      </c>
      <c r="K39" s="134">
        <v>59</v>
      </c>
      <c r="L39" s="134">
        <v>23.23</v>
      </c>
      <c r="M39" s="134">
        <v>80.069999999999993</v>
      </c>
      <c r="N39" s="134">
        <v>45.7</v>
      </c>
      <c r="O39" s="134">
        <v>0</v>
      </c>
      <c r="P39" s="134">
        <v>0.97</v>
      </c>
      <c r="Q39" s="134">
        <v>5.22</v>
      </c>
    </row>
    <row r="40" spans="1:17" customFormat="1">
      <c r="A40" s="112" t="s">
        <v>366</v>
      </c>
      <c r="B40" s="134">
        <v>22.73</v>
      </c>
      <c r="C40" s="134">
        <v>25.39</v>
      </c>
      <c r="D40" s="134">
        <v>32.840000000000003</v>
      </c>
      <c r="E40" s="134">
        <v>6.18</v>
      </c>
      <c r="F40" s="134">
        <v>2.98</v>
      </c>
      <c r="G40" s="134">
        <v>90.86</v>
      </c>
      <c r="H40" s="134">
        <v>34.42</v>
      </c>
      <c r="I40" s="134">
        <v>8.9</v>
      </c>
      <c r="J40" s="134">
        <v>0.41</v>
      </c>
      <c r="K40" s="134">
        <v>50.46</v>
      </c>
      <c r="L40" s="134">
        <v>23.59</v>
      </c>
      <c r="M40" s="134">
        <v>78.56</v>
      </c>
      <c r="N40" s="134">
        <v>51.5</v>
      </c>
      <c r="O40" s="134">
        <v>0</v>
      </c>
      <c r="P40" s="134">
        <v>0.96</v>
      </c>
      <c r="Q40" s="134">
        <v>5.22</v>
      </c>
    </row>
    <row r="41" spans="1:17" customFormat="1">
      <c r="A41" s="112" t="s">
        <v>367</v>
      </c>
      <c r="B41" s="134">
        <v>21.89</v>
      </c>
      <c r="C41" s="134">
        <v>25.74</v>
      </c>
      <c r="D41" s="134">
        <v>32.35</v>
      </c>
      <c r="E41" s="134">
        <v>6.26</v>
      </c>
      <c r="F41" s="134">
        <v>2.81</v>
      </c>
      <c r="G41" s="134">
        <v>90.86</v>
      </c>
      <c r="H41" s="134">
        <v>34.42</v>
      </c>
      <c r="I41" s="134">
        <v>8.89</v>
      </c>
      <c r="J41" s="134">
        <v>0.3</v>
      </c>
      <c r="K41" s="134">
        <v>42.02</v>
      </c>
      <c r="L41" s="134">
        <v>24.06</v>
      </c>
      <c r="M41" s="134">
        <v>77.430000000000007</v>
      </c>
      <c r="N41" s="134">
        <v>75.8</v>
      </c>
      <c r="O41" s="134">
        <v>0</v>
      </c>
      <c r="P41" s="134">
        <v>0.97</v>
      </c>
      <c r="Q41" s="134">
        <v>5.19</v>
      </c>
    </row>
    <row r="42" spans="1:17" customFormat="1">
      <c r="A42" s="112" t="s">
        <v>368</v>
      </c>
      <c r="B42" s="134">
        <v>20.92</v>
      </c>
      <c r="C42" s="134">
        <v>26.19</v>
      </c>
      <c r="D42" s="134">
        <v>31.82</v>
      </c>
      <c r="E42" s="134">
        <v>6.3</v>
      </c>
      <c r="F42" s="134">
        <v>2.85</v>
      </c>
      <c r="G42" s="134">
        <v>90.86</v>
      </c>
      <c r="H42" s="134">
        <v>34.42</v>
      </c>
      <c r="I42" s="134">
        <v>8.86</v>
      </c>
      <c r="J42" s="134">
        <v>0.37</v>
      </c>
      <c r="K42" s="134">
        <v>46.72</v>
      </c>
      <c r="L42" s="134">
        <v>24.83</v>
      </c>
      <c r="M42" s="134">
        <v>74.58</v>
      </c>
      <c r="N42" s="134">
        <v>134.80000000000001</v>
      </c>
      <c r="O42" s="134">
        <v>0</v>
      </c>
      <c r="P42" s="134">
        <v>0.97</v>
      </c>
      <c r="Q42" s="134">
        <v>5.17</v>
      </c>
    </row>
    <row r="43" spans="1:17" customFormat="1">
      <c r="A43" s="112" t="s">
        <v>369</v>
      </c>
      <c r="B43" s="134">
        <v>19.72</v>
      </c>
      <c r="C43" s="134">
        <v>26.75</v>
      </c>
      <c r="D43" s="134">
        <v>31.14</v>
      </c>
      <c r="E43" s="134">
        <v>6.59</v>
      </c>
      <c r="F43" s="134">
        <v>3.15</v>
      </c>
      <c r="G43" s="134">
        <v>90.73</v>
      </c>
      <c r="H43" s="134">
        <v>34.58</v>
      </c>
      <c r="I43" s="134">
        <v>8.7899999999999991</v>
      </c>
      <c r="J43" s="134">
        <v>0.42</v>
      </c>
      <c r="K43" s="134">
        <v>48.76</v>
      </c>
      <c r="L43" s="134">
        <v>25.16</v>
      </c>
      <c r="M43" s="134">
        <v>73.569999999999993</v>
      </c>
      <c r="N43" s="134">
        <v>92.3</v>
      </c>
      <c r="O43" s="134">
        <v>0</v>
      </c>
      <c r="P43" s="134">
        <v>0.97</v>
      </c>
      <c r="Q43" s="134">
        <v>5.12</v>
      </c>
    </row>
    <row r="44" spans="1:17" customFormat="1">
      <c r="A44" s="112" t="s">
        <v>370</v>
      </c>
      <c r="B44" s="134">
        <v>18.649999999999999</v>
      </c>
      <c r="C44" s="134">
        <v>27.37</v>
      </c>
      <c r="D44" s="134">
        <v>30.61</v>
      </c>
      <c r="E44" s="134">
        <v>6.86</v>
      </c>
      <c r="F44" s="134">
        <v>3.04</v>
      </c>
      <c r="G44" s="134">
        <v>87.91</v>
      </c>
      <c r="H44" s="134">
        <v>37</v>
      </c>
      <c r="I44" s="134">
        <v>8.69</v>
      </c>
      <c r="J44" s="134">
        <v>0.44</v>
      </c>
      <c r="K44" s="134">
        <v>33.79</v>
      </c>
      <c r="L44" s="134">
        <v>25.56</v>
      </c>
      <c r="M44" s="134">
        <v>72.42</v>
      </c>
      <c r="N44" s="134">
        <v>105.1</v>
      </c>
      <c r="O44" s="134">
        <v>0</v>
      </c>
      <c r="P44" s="134">
        <v>0.98</v>
      </c>
      <c r="Q44" s="134">
        <v>5.0999999999999996</v>
      </c>
    </row>
    <row r="45" spans="1:17" customFormat="1">
      <c r="A45" s="112" t="s">
        <v>371</v>
      </c>
      <c r="B45" s="134">
        <v>17.920000000000002</v>
      </c>
      <c r="C45" s="134">
        <v>27.95</v>
      </c>
      <c r="D45" s="134">
        <v>30.33</v>
      </c>
      <c r="E45" s="134">
        <v>6.69</v>
      </c>
      <c r="F45" s="134">
        <v>2.86</v>
      </c>
      <c r="G45" s="134">
        <v>87.91</v>
      </c>
      <c r="H45" s="134">
        <v>37</v>
      </c>
      <c r="I45" s="134">
        <v>8.57</v>
      </c>
      <c r="J45" s="134">
        <v>0.28999999999999998</v>
      </c>
      <c r="K45" s="134">
        <v>43.51</v>
      </c>
      <c r="L45" s="134">
        <v>26.04</v>
      </c>
      <c r="M45" s="134">
        <v>71.03</v>
      </c>
      <c r="N45" s="134">
        <v>91</v>
      </c>
      <c r="O45" s="134">
        <v>0</v>
      </c>
      <c r="P45" s="134">
        <v>0.98</v>
      </c>
      <c r="Q45" s="134">
        <v>5.07</v>
      </c>
    </row>
    <row r="46" spans="1:17" customFormat="1">
      <c r="A46" s="112" t="s">
        <v>372</v>
      </c>
      <c r="B46" s="134">
        <v>17.11</v>
      </c>
      <c r="C46" s="134">
        <v>28.42</v>
      </c>
      <c r="D46" s="134">
        <v>29.92</v>
      </c>
      <c r="E46" s="134">
        <v>7.21</v>
      </c>
      <c r="F46" s="134">
        <v>3.03</v>
      </c>
      <c r="G46" s="134">
        <v>87.91</v>
      </c>
      <c r="H46" s="134">
        <v>37</v>
      </c>
      <c r="I46" s="134">
        <v>8.5</v>
      </c>
      <c r="J46" s="134">
        <v>0.47</v>
      </c>
      <c r="K46" s="134">
        <v>43.16</v>
      </c>
      <c r="L46" s="134">
        <v>26.81</v>
      </c>
      <c r="M46" s="134">
        <v>68.34</v>
      </c>
      <c r="N46" s="134">
        <v>257.60000000000002</v>
      </c>
      <c r="O46" s="134">
        <v>0</v>
      </c>
      <c r="P46" s="134">
        <v>1</v>
      </c>
      <c r="Q46" s="134">
        <v>5.03</v>
      </c>
    </row>
    <row r="47" spans="1:17" customFormat="1">
      <c r="A47" s="112" t="s">
        <v>373</v>
      </c>
      <c r="B47" s="134">
        <v>15.92</v>
      </c>
      <c r="C47" s="134">
        <v>28.56</v>
      </c>
      <c r="D47" s="134">
        <v>29.04</v>
      </c>
      <c r="E47" s="134">
        <v>7.14</v>
      </c>
      <c r="F47" s="134">
        <v>3.11</v>
      </c>
      <c r="G47" s="134">
        <v>88</v>
      </c>
      <c r="H47" s="134">
        <v>37.01</v>
      </c>
      <c r="I47" s="134">
        <v>8.4700000000000006</v>
      </c>
      <c r="J47" s="134">
        <v>0.35</v>
      </c>
      <c r="K47" s="134">
        <v>35.67</v>
      </c>
      <c r="L47" s="134">
        <v>27.75</v>
      </c>
      <c r="M47" s="134">
        <v>65.78</v>
      </c>
      <c r="N47" s="134">
        <v>237</v>
      </c>
      <c r="O47" s="134">
        <v>0</v>
      </c>
      <c r="P47" s="134">
        <v>1.01</v>
      </c>
      <c r="Q47" s="134">
        <v>4.9800000000000004</v>
      </c>
    </row>
    <row r="48" spans="1:17" customFormat="1">
      <c r="A48" s="112" t="s">
        <v>374</v>
      </c>
      <c r="B48" s="134">
        <v>14.95</v>
      </c>
      <c r="C48" s="134">
        <v>28.84</v>
      </c>
      <c r="D48" s="134">
        <v>28.41</v>
      </c>
      <c r="E48" s="134">
        <v>6.98</v>
      </c>
      <c r="F48" s="134">
        <v>3.29</v>
      </c>
      <c r="G48" s="134">
        <v>89.97</v>
      </c>
      <c r="H48" s="134">
        <v>37.15</v>
      </c>
      <c r="I48" s="134">
        <v>8.49</v>
      </c>
      <c r="J48" s="134">
        <v>0.14000000000000001</v>
      </c>
      <c r="K48" s="134">
        <v>142.66</v>
      </c>
      <c r="L48" s="134">
        <v>27.88</v>
      </c>
      <c r="M48" s="134">
        <v>65.42</v>
      </c>
      <c r="N48" s="134">
        <v>161.4</v>
      </c>
      <c r="O48" s="134">
        <v>0</v>
      </c>
      <c r="P48" s="134">
        <v>1.01</v>
      </c>
      <c r="Q48" s="134">
        <v>4.9400000000000004</v>
      </c>
    </row>
    <row r="49" spans="1:17" customFormat="1">
      <c r="A49" s="112" t="s">
        <v>375</v>
      </c>
      <c r="B49" s="134">
        <v>13.64</v>
      </c>
      <c r="C49" s="134">
        <v>28.58</v>
      </c>
      <c r="D49" s="134">
        <v>27.23</v>
      </c>
      <c r="E49" s="134">
        <v>5.53</v>
      </c>
      <c r="F49" s="134">
        <v>3.17</v>
      </c>
      <c r="G49" s="134">
        <v>89.97</v>
      </c>
      <c r="H49" s="134">
        <v>37.15</v>
      </c>
      <c r="I49" s="134">
        <v>8.52</v>
      </c>
      <c r="J49" s="134">
        <v>0.24</v>
      </c>
      <c r="K49" s="134">
        <v>147.24</v>
      </c>
      <c r="L49" s="134">
        <v>27.91</v>
      </c>
      <c r="M49" s="134">
        <v>64.95</v>
      </c>
      <c r="N49" s="134">
        <v>131.5</v>
      </c>
      <c r="O49" s="134">
        <v>0</v>
      </c>
      <c r="P49" s="134">
        <v>0.99</v>
      </c>
      <c r="Q49" s="134">
        <v>4.9000000000000004</v>
      </c>
    </row>
    <row r="50" spans="1:17" customFormat="1">
      <c r="A50" s="112" t="s">
        <v>376</v>
      </c>
      <c r="B50" s="134">
        <v>12.21</v>
      </c>
      <c r="C50" s="134">
        <v>28.14</v>
      </c>
      <c r="D50" s="134">
        <v>25.84</v>
      </c>
      <c r="E50" s="134">
        <v>5.94</v>
      </c>
      <c r="F50" s="134">
        <v>3.01</v>
      </c>
      <c r="G50" s="134">
        <v>89.97</v>
      </c>
      <c r="H50" s="134">
        <v>37.15</v>
      </c>
      <c r="I50" s="134">
        <v>8.5399999999999991</v>
      </c>
      <c r="J50" s="134">
        <v>0.28000000000000003</v>
      </c>
      <c r="K50" s="134">
        <v>175.9</v>
      </c>
      <c r="L50" s="134">
        <v>27.43</v>
      </c>
      <c r="M50" s="134">
        <v>67.38</v>
      </c>
      <c r="N50" s="134">
        <v>98.8</v>
      </c>
      <c r="O50" s="134">
        <v>0</v>
      </c>
      <c r="P50" s="134">
        <v>0.97</v>
      </c>
      <c r="Q50" s="134">
        <v>4.8600000000000003</v>
      </c>
    </row>
    <row r="51" spans="1:17" customFormat="1">
      <c r="A51" s="112" t="s">
        <v>377</v>
      </c>
      <c r="B51" s="134">
        <v>11.05</v>
      </c>
      <c r="C51" s="134">
        <v>27.76</v>
      </c>
      <c r="D51" s="134">
        <v>24.72</v>
      </c>
      <c r="E51" s="134">
        <v>6.35</v>
      </c>
      <c r="F51" s="134">
        <v>3.37</v>
      </c>
      <c r="G51" s="134">
        <v>89.44</v>
      </c>
      <c r="H51" s="134">
        <v>37.03</v>
      </c>
      <c r="I51" s="134">
        <v>8.3699999999999992</v>
      </c>
      <c r="J51" s="134">
        <v>0.24</v>
      </c>
      <c r="K51" s="134">
        <v>51.85</v>
      </c>
      <c r="L51" s="134">
        <v>27.54</v>
      </c>
      <c r="M51" s="134">
        <v>67.05</v>
      </c>
      <c r="N51" s="134">
        <v>130.1</v>
      </c>
      <c r="O51" s="134">
        <v>0</v>
      </c>
      <c r="P51" s="134">
        <v>0.97</v>
      </c>
      <c r="Q51" s="134">
        <v>4.7699999999999996</v>
      </c>
    </row>
    <row r="52" spans="1:17" customFormat="1">
      <c r="A52" s="112" t="s">
        <v>378</v>
      </c>
      <c r="B52" s="134">
        <v>10.41</v>
      </c>
      <c r="C52" s="134">
        <v>27.78</v>
      </c>
      <c r="D52" s="134">
        <v>24.22</v>
      </c>
      <c r="E52" s="134">
        <v>7.02</v>
      </c>
      <c r="F52" s="134">
        <v>4.24</v>
      </c>
      <c r="G52" s="134">
        <v>78</v>
      </c>
      <c r="H52" s="134">
        <v>35.14</v>
      </c>
      <c r="I52" s="134">
        <v>8.2799999999999994</v>
      </c>
      <c r="J52" s="134">
        <v>0.28999999999999998</v>
      </c>
      <c r="K52" s="134">
        <v>43.37</v>
      </c>
      <c r="L52" s="134">
        <v>27.38</v>
      </c>
      <c r="M52" s="134">
        <v>67.709999999999994</v>
      </c>
      <c r="N52" s="134">
        <v>92.8</v>
      </c>
      <c r="O52" s="134">
        <v>0</v>
      </c>
      <c r="P52" s="134">
        <v>0.96</v>
      </c>
      <c r="Q52" s="134">
        <v>4.72</v>
      </c>
    </row>
    <row r="53" spans="1:17" customFormat="1">
      <c r="A53" s="112" t="s">
        <v>379</v>
      </c>
      <c r="B53" s="134">
        <v>10.01</v>
      </c>
      <c r="C53" s="134">
        <v>27.79</v>
      </c>
      <c r="D53" s="134">
        <v>23.9</v>
      </c>
      <c r="E53" s="134">
        <v>6.02</v>
      </c>
      <c r="F53" s="134">
        <v>3.22</v>
      </c>
      <c r="G53" s="134">
        <v>78</v>
      </c>
      <c r="H53" s="134">
        <v>35.14</v>
      </c>
      <c r="I53" s="134">
        <v>8.09</v>
      </c>
      <c r="J53" s="134">
        <v>0.18</v>
      </c>
      <c r="K53" s="134">
        <v>29.62</v>
      </c>
      <c r="L53" s="134">
        <v>27.69</v>
      </c>
      <c r="M53" s="134">
        <v>67.02</v>
      </c>
      <c r="N53" s="134">
        <v>130.9</v>
      </c>
      <c r="O53" s="134">
        <v>0</v>
      </c>
      <c r="P53" s="134">
        <v>0.96</v>
      </c>
      <c r="Q53" s="134">
        <v>4.7</v>
      </c>
    </row>
    <row r="54" spans="1:17" customFormat="1">
      <c r="A54" s="112" t="s">
        <v>380</v>
      </c>
      <c r="B54" s="134">
        <v>9.59</v>
      </c>
      <c r="C54" s="134">
        <v>27.76</v>
      </c>
      <c r="D54" s="134">
        <v>23.55</v>
      </c>
      <c r="E54" s="134">
        <v>6.76</v>
      </c>
      <c r="F54" s="134">
        <v>3.51</v>
      </c>
      <c r="G54" s="134">
        <v>78</v>
      </c>
      <c r="H54" s="134">
        <v>35.14</v>
      </c>
      <c r="I54" s="134">
        <v>8.02</v>
      </c>
      <c r="J54" s="134">
        <v>0.22</v>
      </c>
      <c r="K54" s="134">
        <v>0.26</v>
      </c>
      <c r="L54" s="134">
        <v>28.04</v>
      </c>
      <c r="M54" s="134">
        <v>65.88</v>
      </c>
      <c r="N54" s="134">
        <v>249.4</v>
      </c>
      <c r="O54" s="134">
        <v>0</v>
      </c>
      <c r="P54" s="134">
        <v>0.96</v>
      </c>
      <c r="Q54" s="134">
        <v>4.67</v>
      </c>
    </row>
    <row r="55" spans="1:17" customFormat="1">
      <c r="A55" s="112" t="s">
        <v>381</v>
      </c>
      <c r="B55" s="134">
        <v>9.08</v>
      </c>
      <c r="C55" s="134">
        <v>27.75</v>
      </c>
      <c r="D55" s="134">
        <v>23.13</v>
      </c>
      <c r="E55" s="134">
        <v>6.68</v>
      </c>
      <c r="F55" s="134">
        <v>3.62</v>
      </c>
      <c r="G55" s="134">
        <v>78.16</v>
      </c>
      <c r="H55" s="134">
        <v>35.020000000000003</v>
      </c>
      <c r="I55" s="134">
        <v>7.97</v>
      </c>
      <c r="J55" s="134">
        <v>0.37</v>
      </c>
      <c r="K55" s="134">
        <v>336.82</v>
      </c>
      <c r="L55" s="134">
        <v>29.22</v>
      </c>
      <c r="M55" s="134">
        <v>62.62</v>
      </c>
      <c r="N55" s="134">
        <v>521.29999999999995</v>
      </c>
      <c r="O55" s="134">
        <v>0</v>
      </c>
      <c r="P55" s="134">
        <v>0.96</v>
      </c>
      <c r="Q55" s="134">
        <v>4.63</v>
      </c>
    </row>
    <row r="56" spans="1:17" customFormat="1">
      <c r="A56" s="112" t="s">
        <v>382</v>
      </c>
      <c r="B56" s="134">
        <v>8.5299999999999994</v>
      </c>
      <c r="C56" s="134">
        <v>27.53</v>
      </c>
      <c r="D56" s="134">
        <v>22.58</v>
      </c>
      <c r="E56" s="134">
        <v>7.35</v>
      </c>
      <c r="F56" s="134">
        <v>5.01</v>
      </c>
      <c r="G56" s="134">
        <v>81.72</v>
      </c>
      <c r="H56" s="134">
        <v>33.159999999999997</v>
      </c>
      <c r="I56" s="134">
        <v>7.87</v>
      </c>
      <c r="J56" s="134">
        <v>0.22</v>
      </c>
      <c r="K56" s="134">
        <v>38.43</v>
      </c>
      <c r="L56" s="134">
        <v>29.82</v>
      </c>
      <c r="M56" s="134">
        <v>60.87</v>
      </c>
      <c r="N56" s="134">
        <v>483.5</v>
      </c>
      <c r="O56" s="134">
        <v>0</v>
      </c>
      <c r="P56" s="134">
        <v>0.95</v>
      </c>
      <c r="Q56" s="134">
        <v>4.62</v>
      </c>
    </row>
    <row r="57" spans="1:17" customFormat="1">
      <c r="A57" s="112" t="s">
        <v>383</v>
      </c>
      <c r="B57" s="134">
        <v>8.1999999999999993</v>
      </c>
      <c r="C57" s="134">
        <v>26.3</v>
      </c>
      <c r="D57" s="134">
        <v>21.67</v>
      </c>
      <c r="E57" s="134">
        <v>6.65</v>
      </c>
      <c r="F57" s="134">
        <v>4.5999999999999996</v>
      </c>
      <c r="G57" s="134">
        <v>81.72</v>
      </c>
      <c r="H57" s="134">
        <v>33.159999999999997</v>
      </c>
      <c r="I57" s="134">
        <v>7.83</v>
      </c>
      <c r="J57" s="134">
        <v>0.43</v>
      </c>
      <c r="K57" s="134">
        <v>5.82</v>
      </c>
      <c r="L57" s="134">
        <v>29.93</v>
      </c>
      <c r="M57" s="134">
        <v>60.66</v>
      </c>
      <c r="N57" s="134">
        <v>430.6</v>
      </c>
      <c r="O57" s="134">
        <v>0</v>
      </c>
      <c r="P57" s="134">
        <v>0.93</v>
      </c>
      <c r="Q57" s="134">
        <v>4.6100000000000003</v>
      </c>
    </row>
    <row r="58" spans="1:17" customFormat="1">
      <c r="A58" s="112" t="s">
        <v>384</v>
      </c>
      <c r="B58" s="134">
        <v>7.92</v>
      </c>
      <c r="C58" s="134">
        <v>24.51</v>
      </c>
      <c r="D58" s="134">
        <v>20.51</v>
      </c>
      <c r="E58" s="134">
        <v>7.08</v>
      </c>
      <c r="F58" s="134">
        <v>5.92</v>
      </c>
      <c r="G58" s="134">
        <v>81.72</v>
      </c>
      <c r="H58" s="134">
        <v>33.159999999999997</v>
      </c>
      <c r="I58" s="134">
        <v>7.79</v>
      </c>
      <c r="J58" s="134">
        <v>0.44</v>
      </c>
      <c r="K58" s="134">
        <v>26.55</v>
      </c>
      <c r="L58" s="134">
        <v>30.23</v>
      </c>
      <c r="M58" s="134">
        <v>59.42</v>
      </c>
      <c r="N58" s="134">
        <v>451</v>
      </c>
      <c r="O58" s="134">
        <v>0</v>
      </c>
      <c r="P58" s="134">
        <v>0.92</v>
      </c>
      <c r="Q58" s="134">
        <v>4.5599999999999996</v>
      </c>
    </row>
    <row r="59" spans="1:17" customFormat="1">
      <c r="A59" s="112" t="s">
        <v>385</v>
      </c>
      <c r="B59" s="134">
        <v>7.78</v>
      </c>
      <c r="C59" s="134">
        <v>23.36</v>
      </c>
      <c r="D59" s="134">
        <v>19.79</v>
      </c>
      <c r="E59" s="134">
        <v>7.16</v>
      </c>
      <c r="F59" s="134">
        <v>6.1</v>
      </c>
      <c r="G59" s="134">
        <v>81.760000000000005</v>
      </c>
      <c r="H59" s="134">
        <v>32.97</v>
      </c>
      <c r="I59" s="134">
        <v>7.73</v>
      </c>
      <c r="J59" s="134">
        <v>0.2</v>
      </c>
      <c r="K59" s="134">
        <v>10.45</v>
      </c>
      <c r="L59" s="134">
        <v>30.82</v>
      </c>
      <c r="M59" s="134">
        <v>57.98</v>
      </c>
      <c r="N59" s="134">
        <v>490.9</v>
      </c>
      <c r="O59" s="134">
        <v>0</v>
      </c>
      <c r="P59" s="134">
        <v>0.9</v>
      </c>
      <c r="Q59" s="134">
        <v>4.51</v>
      </c>
    </row>
    <row r="60" spans="1:17" customFormat="1">
      <c r="A60" s="112" t="s">
        <v>386</v>
      </c>
      <c r="B60" s="134">
        <v>7.4</v>
      </c>
      <c r="C60" s="134">
        <v>23.17</v>
      </c>
      <c r="D60" s="134">
        <v>19.39</v>
      </c>
      <c r="E60" s="134">
        <v>6.93</v>
      </c>
      <c r="F60" s="134">
        <v>6.08</v>
      </c>
      <c r="G60" s="134">
        <v>82.73</v>
      </c>
      <c r="H60" s="134">
        <v>29.95</v>
      </c>
      <c r="I60" s="134">
        <v>7.66</v>
      </c>
      <c r="J60" s="134">
        <v>0.27</v>
      </c>
      <c r="K60" s="134">
        <v>47.9</v>
      </c>
      <c r="L60" s="134">
        <v>31</v>
      </c>
      <c r="M60" s="134">
        <v>57.15</v>
      </c>
      <c r="N60" s="134">
        <v>338.8</v>
      </c>
      <c r="O60" s="134">
        <v>0</v>
      </c>
      <c r="P60" s="134">
        <v>0.89</v>
      </c>
      <c r="Q60" s="134">
        <v>4.4800000000000004</v>
      </c>
    </row>
    <row r="61" spans="1:17" customFormat="1">
      <c r="A61" s="112" t="s">
        <v>387</v>
      </c>
      <c r="B61" s="134">
        <v>7.07</v>
      </c>
      <c r="C61" s="134">
        <v>22.56</v>
      </c>
      <c r="D61" s="134">
        <v>18.809999999999999</v>
      </c>
      <c r="E61" s="134">
        <v>5.32</v>
      </c>
      <c r="F61" s="134">
        <v>4.6100000000000003</v>
      </c>
      <c r="G61" s="134">
        <v>82.73</v>
      </c>
      <c r="H61" s="134">
        <v>29.95</v>
      </c>
      <c r="I61" s="134">
        <v>7.59</v>
      </c>
      <c r="J61" s="134">
        <v>0.12</v>
      </c>
      <c r="K61" s="134">
        <v>126.74</v>
      </c>
      <c r="L61" s="134">
        <v>30.46</v>
      </c>
      <c r="M61" s="134">
        <v>58.69</v>
      </c>
      <c r="N61" s="134">
        <v>132.6</v>
      </c>
      <c r="O61" s="134">
        <v>0</v>
      </c>
      <c r="P61" s="134">
        <v>0.89</v>
      </c>
      <c r="Q61" s="134">
        <v>4.46</v>
      </c>
    </row>
    <row r="62" spans="1:17" customFormat="1">
      <c r="A62" s="112" t="s">
        <v>388</v>
      </c>
      <c r="B62" s="134">
        <v>6.97</v>
      </c>
      <c r="C62" s="134">
        <v>21.8</v>
      </c>
      <c r="D62" s="134">
        <v>18.329999999999998</v>
      </c>
      <c r="E62" s="134">
        <v>6.07</v>
      </c>
      <c r="F62" s="134">
        <v>6.04</v>
      </c>
      <c r="G62" s="134">
        <v>82.73</v>
      </c>
      <c r="H62" s="134">
        <v>29.95</v>
      </c>
      <c r="I62" s="134">
        <v>7.52</v>
      </c>
      <c r="J62" s="134">
        <v>0.28000000000000003</v>
      </c>
      <c r="K62" s="134">
        <v>34.44</v>
      </c>
      <c r="L62" s="134">
        <v>29.89</v>
      </c>
      <c r="M62" s="134">
        <v>60.82</v>
      </c>
      <c r="N62" s="134">
        <v>89</v>
      </c>
      <c r="O62" s="134">
        <v>0</v>
      </c>
      <c r="P62" s="134">
        <v>0.87</v>
      </c>
      <c r="Q62" s="134">
        <v>4.43</v>
      </c>
    </row>
    <row r="63" spans="1:17" customFormat="1">
      <c r="A63" s="112" t="s">
        <v>389</v>
      </c>
      <c r="B63" s="134">
        <v>7.12</v>
      </c>
      <c r="C63" s="134">
        <v>21.41</v>
      </c>
      <c r="D63" s="134">
        <v>18.25</v>
      </c>
      <c r="E63" s="134">
        <v>6.45</v>
      </c>
      <c r="F63" s="134">
        <v>8.2899999999999991</v>
      </c>
      <c r="G63" s="134">
        <v>82.16</v>
      </c>
      <c r="H63" s="134">
        <v>29.85</v>
      </c>
      <c r="I63" s="134">
        <v>7.5</v>
      </c>
      <c r="J63" s="134">
        <v>0.33</v>
      </c>
      <c r="K63" s="134">
        <v>31.17</v>
      </c>
      <c r="L63" s="134">
        <v>29.64</v>
      </c>
      <c r="M63" s="134">
        <v>61.58</v>
      </c>
      <c r="N63" s="134">
        <v>109.3</v>
      </c>
      <c r="O63" s="134">
        <v>0</v>
      </c>
      <c r="P63" s="134">
        <v>0.85</v>
      </c>
      <c r="Q63" s="134">
        <v>4.43</v>
      </c>
    </row>
    <row r="64" spans="1:17" customFormat="1">
      <c r="A64" s="112" t="s">
        <v>390</v>
      </c>
      <c r="B64" s="134">
        <v>7.05</v>
      </c>
      <c r="C64" s="134">
        <v>20.92</v>
      </c>
      <c r="D64" s="134">
        <v>17.93</v>
      </c>
      <c r="E64" s="134">
        <v>6.65</v>
      </c>
      <c r="F64" s="134">
        <v>6.38</v>
      </c>
      <c r="G64" s="134">
        <v>72.459999999999994</v>
      </c>
      <c r="H64" s="134">
        <v>27.91</v>
      </c>
      <c r="I64" s="134">
        <v>7.32</v>
      </c>
      <c r="J64" s="134">
        <v>0.28999999999999998</v>
      </c>
      <c r="K64" s="134">
        <v>54.97</v>
      </c>
      <c r="L64" s="134">
        <v>29.78</v>
      </c>
      <c r="M64" s="134">
        <v>61.48</v>
      </c>
      <c r="N64" s="134">
        <v>201.2</v>
      </c>
      <c r="O64" s="134">
        <v>0</v>
      </c>
      <c r="P64" s="134">
        <v>0.85</v>
      </c>
      <c r="Q64" s="134">
        <v>4.43</v>
      </c>
    </row>
    <row r="65" spans="1:17" customFormat="1">
      <c r="A65" s="112" t="s">
        <v>391</v>
      </c>
      <c r="B65" s="134">
        <v>6.95</v>
      </c>
      <c r="C65" s="134">
        <v>20.59</v>
      </c>
      <c r="D65" s="134">
        <v>17.68</v>
      </c>
      <c r="E65" s="134">
        <v>6.08</v>
      </c>
      <c r="F65" s="134">
        <v>6.52</v>
      </c>
      <c r="G65" s="134">
        <v>72.459999999999994</v>
      </c>
      <c r="H65" s="134">
        <v>27.91</v>
      </c>
      <c r="I65" s="134">
        <v>7.08</v>
      </c>
      <c r="J65" s="134">
        <v>0.21</v>
      </c>
      <c r="K65" s="134">
        <v>140.4</v>
      </c>
      <c r="L65" s="134">
        <v>30.8</v>
      </c>
      <c r="M65" s="134">
        <v>57.07</v>
      </c>
      <c r="N65" s="134">
        <v>374.8</v>
      </c>
      <c r="O65" s="134">
        <v>0</v>
      </c>
      <c r="P65" s="134">
        <v>0.73</v>
      </c>
      <c r="Q65" s="134">
        <v>4.4000000000000004</v>
      </c>
    </row>
    <row r="66" spans="1:17" customFormat="1">
      <c r="A66" s="112" t="s">
        <v>392</v>
      </c>
      <c r="B66" s="134">
        <v>6.86</v>
      </c>
      <c r="C66" s="134">
        <v>20.13</v>
      </c>
      <c r="D66" s="134">
        <v>17.37</v>
      </c>
      <c r="E66" s="134">
        <v>5.71</v>
      </c>
      <c r="F66" s="134">
        <v>5.38</v>
      </c>
      <c r="G66" s="134">
        <v>72.459999999999994</v>
      </c>
      <c r="H66" s="134">
        <v>27.91</v>
      </c>
      <c r="I66" s="134">
        <v>7.2</v>
      </c>
      <c r="J66" s="134">
        <v>0.21</v>
      </c>
      <c r="K66" s="134">
        <v>187.39</v>
      </c>
      <c r="L66" s="134">
        <v>30.71</v>
      </c>
      <c r="M66" s="134">
        <v>57.58</v>
      </c>
      <c r="N66" s="134">
        <v>209.5</v>
      </c>
      <c r="O66" s="134">
        <v>0</v>
      </c>
      <c r="P66" s="134">
        <v>0.78</v>
      </c>
      <c r="Q66" s="134">
        <v>4.38</v>
      </c>
    </row>
    <row r="67" spans="1:17" customFormat="1">
      <c r="A67" s="112" t="s">
        <v>393</v>
      </c>
      <c r="B67" s="134">
        <v>6.74</v>
      </c>
      <c r="C67" s="134">
        <v>19.66</v>
      </c>
      <c r="D67" s="134">
        <v>17.02</v>
      </c>
      <c r="E67" s="134">
        <v>5.96</v>
      </c>
      <c r="F67" s="134">
        <v>6.89</v>
      </c>
      <c r="G67" s="134">
        <v>72.150000000000006</v>
      </c>
      <c r="H67" s="134">
        <v>27.85</v>
      </c>
      <c r="I67" s="134">
        <v>7.11</v>
      </c>
      <c r="J67" s="134">
        <v>0.22</v>
      </c>
      <c r="K67" s="134">
        <v>79.61</v>
      </c>
      <c r="L67" s="134">
        <v>30.21</v>
      </c>
      <c r="M67" s="134">
        <v>58.22</v>
      </c>
      <c r="N67" s="134">
        <v>120.5</v>
      </c>
      <c r="O67" s="134">
        <v>0</v>
      </c>
      <c r="P67" s="134">
        <v>0.77</v>
      </c>
      <c r="Q67" s="134">
        <v>4.38</v>
      </c>
    </row>
    <row r="68" spans="1:17" customFormat="1">
      <c r="A68" s="112" t="s">
        <v>394</v>
      </c>
      <c r="B68" s="134">
        <v>6.63</v>
      </c>
      <c r="C68" s="134">
        <v>19.09</v>
      </c>
      <c r="D68" s="134">
        <v>16.64</v>
      </c>
      <c r="E68" s="134">
        <v>5.95</v>
      </c>
      <c r="F68" s="134">
        <v>6.74</v>
      </c>
      <c r="G68" s="134">
        <v>65.42</v>
      </c>
      <c r="H68" s="134">
        <v>26.92</v>
      </c>
      <c r="I68" s="134">
        <v>7.12</v>
      </c>
      <c r="J68" s="134">
        <v>0.27</v>
      </c>
      <c r="K68" s="134">
        <v>168.59</v>
      </c>
      <c r="L68" s="134">
        <v>30.18</v>
      </c>
      <c r="M68" s="134">
        <v>58.54</v>
      </c>
      <c r="N68" s="134">
        <v>108.6</v>
      </c>
      <c r="O68" s="134">
        <v>0</v>
      </c>
      <c r="P68" s="134">
        <v>0.75</v>
      </c>
      <c r="Q68" s="134">
        <v>4.38</v>
      </c>
    </row>
    <row r="69" spans="1:17" customFormat="1">
      <c r="A69" s="112" t="s">
        <v>395</v>
      </c>
      <c r="B69" s="134">
        <v>6.62</v>
      </c>
      <c r="C69" s="134">
        <v>18.809999999999999</v>
      </c>
      <c r="D69" s="134">
        <v>16.489999999999998</v>
      </c>
      <c r="E69" s="134">
        <v>5.99</v>
      </c>
      <c r="F69" s="134">
        <v>6.65</v>
      </c>
      <c r="G69" s="134">
        <v>65.42</v>
      </c>
      <c r="H69" s="134">
        <v>26.92</v>
      </c>
      <c r="I69" s="134">
        <v>6.91</v>
      </c>
      <c r="J69" s="134">
        <v>0.12</v>
      </c>
      <c r="K69" s="134">
        <v>142.68</v>
      </c>
      <c r="L69" s="134">
        <v>29.95</v>
      </c>
      <c r="M69" s="134">
        <v>59.97</v>
      </c>
      <c r="N69" s="134">
        <v>92</v>
      </c>
      <c r="O69" s="134">
        <v>0</v>
      </c>
      <c r="P69" s="134">
        <v>0.75</v>
      </c>
      <c r="Q69" s="134">
        <v>4.41</v>
      </c>
    </row>
    <row r="70" spans="1:17" customFormat="1">
      <c r="A70" s="112" t="s">
        <v>396</v>
      </c>
      <c r="B70" s="134">
        <v>6.52</v>
      </c>
      <c r="C70" s="134">
        <v>18.649999999999999</v>
      </c>
      <c r="D70" s="134">
        <v>16.32</v>
      </c>
      <c r="E70" s="134">
        <v>5.46</v>
      </c>
      <c r="F70" s="134">
        <v>5.45</v>
      </c>
      <c r="G70" s="134">
        <v>65.42</v>
      </c>
      <c r="H70" s="134">
        <v>26.92</v>
      </c>
      <c r="I70" s="134">
        <v>6.92</v>
      </c>
      <c r="J70" s="134">
        <v>0.21</v>
      </c>
      <c r="K70" s="134">
        <v>178.7</v>
      </c>
      <c r="L70" s="134">
        <v>29.58</v>
      </c>
      <c r="M70" s="134">
        <v>60.66</v>
      </c>
      <c r="N70" s="134">
        <v>60.9</v>
      </c>
      <c r="O70" s="134">
        <v>0</v>
      </c>
      <c r="P70" s="134">
        <v>0.73</v>
      </c>
      <c r="Q70" s="134">
        <v>4.37</v>
      </c>
    </row>
    <row r="71" spans="1:17" customFormat="1">
      <c r="A71" s="112" t="s">
        <v>397</v>
      </c>
      <c r="B71" s="134">
        <v>6.78</v>
      </c>
      <c r="C71" s="134">
        <v>18.34</v>
      </c>
      <c r="D71" s="134">
        <v>16.37</v>
      </c>
      <c r="E71" s="134">
        <v>5.67</v>
      </c>
      <c r="F71" s="134">
        <v>7.6</v>
      </c>
      <c r="G71" s="134">
        <v>64.95</v>
      </c>
      <c r="H71" s="134">
        <v>26.83</v>
      </c>
      <c r="I71" s="134">
        <v>6.83</v>
      </c>
      <c r="J71" s="134">
        <v>0.45</v>
      </c>
      <c r="K71" s="134">
        <v>30.22</v>
      </c>
      <c r="L71" s="134">
        <v>29.23</v>
      </c>
      <c r="M71" s="134">
        <v>63.18</v>
      </c>
      <c r="N71" s="134">
        <v>43.1</v>
      </c>
      <c r="O71" s="134">
        <v>0</v>
      </c>
      <c r="P71" s="134">
        <v>0.73</v>
      </c>
      <c r="Q71" s="134">
        <v>4.37</v>
      </c>
    </row>
    <row r="72" spans="1:17" customFormat="1">
      <c r="A72" s="112" t="s">
        <v>398</v>
      </c>
      <c r="B72" s="134">
        <v>7.1</v>
      </c>
      <c r="C72" s="134">
        <v>18.64</v>
      </c>
      <c r="D72" s="134">
        <v>16.78</v>
      </c>
      <c r="E72" s="134">
        <v>7.05</v>
      </c>
      <c r="F72" s="134">
        <v>6.08</v>
      </c>
      <c r="G72" s="134">
        <v>56.9</v>
      </c>
      <c r="H72" s="134">
        <v>25.4</v>
      </c>
      <c r="I72" s="134">
        <v>6.76</v>
      </c>
      <c r="J72" s="134">
        <v>0.54</v>
      </c>
      <c r="K72" s="134">
        <v>313.87</v>
      </c>
      <c r="L72" s="134">
        <v>28.56</v>
      </c>
      <c r="M72" s="134">
        <v>68.400000000000006</v>
      </c>
      <c r="N72" s="134">
        <v>60.6</v>
      </c>
      <c r="O72" s="134">
        <v>0</v>
      </c>
      <c r="P72" s="134">
        <v>0.73</v>
      </c>
      <c r="Q72" s="134">
        <v>4.3600000000000003</v>
      </c>
    </row>
    <row r="73" spans="1:17" customFormat="1">
      <c r="A73" s="112" t="s">
        <v>399</v>
      </c>
      <c r="B73" s="134">
        <v>7.4</v>
      </c>
      <c r="C73" s="134">
        <v>19.149999999999999</v>
      </c>
      <c r="D73" s="134">
        <v>17.29</v>
      </c>
      <c r="E73" s="134">
        <v>9.26</v>
      </c>
      <c r="F73" s="134">
        <v>5.08</v>
      </c>
      <c r="G73" s="134">
        <v>56.9</v>
      </c>
      <c r="H73" s="134">
        <v>25.4</v>
      </c>
      <c r="I73" s="134">
        <v>6.45</v>
      </c>
      <c r="J73" s="134">
        <v>0.31</v>
      </c>
      <c r="K73" s="134">
        <v>348.8</v>
      </c>
      <c r="L73" s="134">
        <v>28.04</v>
      </c>
      <c r="M73" s="134">
        <v>70.569999999999993</v>
      </c>
      <c r="N73" s="134">
        <v>41.7</v>
      </c>
      <c r="O73" s="134">
        <v>0</v>
      </c>
      <c r="P73" s="134">
        <v>0.76</v>
      </c>
      <c r="Q73" s="134">
        <v>4.37</v>
      </c>
    </row>
    <row r="74" spans="1:17" customFormat="1">
      <c r="A74" s="112" t="s">
        <v>400</v>
      </c>
      <c r="B74" s="134">
        <v>8.1300000000000008</v>
      </c>
      <c r="C74" s="134">
        <v>19.45</v>
      </c>
      <c r="D74" s="134">
        <v>18.03</v>
      </c>
      <c r="E74" s="134">
        <v>9.9600000000000009</v>
      </c>
      <c r="F74" s="134">
        <v>4.58</v>
      </c>
      <c r="G74" s="134">
        <v>56.9</v>
      </c>
      <c r="H74" s="134">
        <v>25.4</v>
      </c>
      <c r="I74" s="134">
        <v>6.66</v>
      </c>
      <c r="J74" s="134">
        <v>0.56000000000000005</v>
      </c>
      <c r="K74" s="134">
        <v>21.99</v>
      </c>
      <c r="L74" s="134">
        <v>27.62</v>
      </c>
      <c r="M74" s="134">
        <v>72.010000000000005</v>
      </c>
      <c r="N74" s="134">
        <v>27.6</v>
      </c>
      <c r="O74" s="134">
        <v>0</v>
      </c>
      <c r="P74" s="134">
        <v>0.78</v>
      </c>
      <c r="Q74" s="134">
        <v>4.4000000000000004</v>
      </c>
    </row>
    <row r="75" spans="1:17" customFormat="1">
      <c r="A75" s="112" t="s">
        <v>401</v>
      </c>
      <c r="B75" s="134">
        <v>8.73</v>
      </c>
      <c r="C75" s="134">
        <v>20.28</v>
      </c>
      <c r="D75" s="134">
        <v>18.95</v>
      </c>
      <c r="E75" s="134">
        <v>9.24</v>
      </c>
      <c r="F75" s="134">
        <v>4.57</v>
      </c>
      <c r="G75" s="134">
        <v>57.45</v>
      </c>
      <c r="H75" s="134">
        <v>25.4</v>
      </c>
      <c r="I75" s="134">
        <v>6.72</v>
      </c>
      <c r="J75" s="134">
        <v>0.45</v>
      </c>
      <c r="K75" s="134">
        <v>39.729999999999997</v>
      </c>
      <c r="L75" s="134">
        <v>27.43</v>
      </c>
      <c r="M75" s="134">
        <v>72.45</v>
      </c>
      <c r="N75" s="134">
        <v>14.2</v>
      </c>
      <c r="O75" s="134">
        <v>0</v>
      </c>
      <c r="P75" s="134">
        <v>0.79</v>
      </c>
      <c r="Q75" s="134">
        <v>4.45</v>
      </c>
    </row>
    <row r="76" spans="1:17" customFormat="1">
      <c r="A76" s="112" t="s">
        <v>402</v>
      </c>
      <c r="B76" s="134">
        <v>9.27</v>
      </c>
      <c r="C76" s="134">
        <v>21.25</v>
      </c>
      <c r="D76" s="134">
        <v>19.89</v>
      </c>
      <c r="E76" s="134">
        <v>7.84</v>
      </c>
      <c r="F76" s="134">
        <v>4.6900000000000004</v>
      </c>
      <c r="G76" s="134">
        <v>69.33</v>
      </c>
      <c r="H76" s="134">
        <v>25.35</v>
      </c>
      <c r="I76" s="134">
        <v>6.7</v>
      </c>
      <c r="J76" s="134">
        <v>0.38</v>
      </c>
      <c r="K76" s="134">
        <v>35.53</v>
      </c>
      <c r="L76" s="134">
        <v>27.26</v>
      </c>
      <c r="M76" s="134">
        <v>72.11</v>
      </c>
      <c r="N76" s="134">
        <v>3.9</v>
      </c>
      <c r="O76" s="134">
        <v>0</v>
      </c>
      <c r="P76" s="134">
        <v>0.81</v>
      </c>
      <c r="Q76" s="134">
        <v>4.5</v>
      </c>
    </row>
    <row r="77" spans="1:17" customFormat="1">
      <c r="A77" s="112" t="s">
        <v>403</v>
      </c>
      <c r="B77" s="134">
        <v>9.61</v>
      </c>
      <c r="C77" s="134">
        <v>21.78</v>
      </c>
      <c r="D77" s="134">
        <v>20.440000000000001</v>
      </c>
      <c r="E77" s="134">
        <v>6.57</v>
      </c>
      <c r="F77" s="134">
        <v>5.51</v>
      </c>
      <c r="G77" s="134">
        <v>69.33</v>
      </c>
      <c r="H77" s="134">
        <v>25.35</v>
      </c>
      <c r="I77" s="134">
        <v>6.8</v>
      </c>
      <c r="J77" s="134">
        <v>0.32</v>
      </c>
      <c r="K77" s="134">
        <v>27.91</v>
      </c>
      <c r="L77" s="134">
        <v>27.1</v>
      </c>
      <c r="M77" s="134">
        <v>71.760000000000005</v>
      </c>
      <c r="N77" s="134">
        <v>0</v>
      </c>
      <c r="O77" s="134">
        <v>0</v>
      </c>
      <c r="P77" s="134">
        <v>0.83</v>
      </c>
      <c r="Q77" s="134">
        <v>4.5199999999999996</v>
      </c>
    </row>
    <row r="78" spans="1:17" customFormat="1">
      <c r="A78" s="112" t="s">
        <v>404</v>
      </c>
      <c r="B78" s="134">
        <v>12.33</v>
      </c>
      <c r="C78" s="134">
        <v>25.12</v>
      </c>
      <c r="D78" s="134">
        <v>24.36</v>
      </c>
      <c r="E78" s="134">
        <v>5.73</v>
      </c>
      <c r="F78" s="134">
        <v>3.88</v>
      </c>
      <c r="G78" s="134">
        <v>69.33</v>
      </c>
      <c r="H78" s="134">
        <v>25.35</v>
      </c>
      <c r="I78" s="134">
        <v>6.66</v>
      </c>
      <c r="J78" s="134">
        <v>0.23</v>
      </c>
      <c r="K78" s="134">
        <v>34.08</v>
      </c>
      <c r="L78" s="134">
        <v>26.88</v>
      </c>
      <c r="M78" s="134">
        <v>72.62</v>
      </c>
      <c r="N78" s="134">
        <v>0</v>
      </c>
      <c r="O78" s="134">
        <v>0</v>
      </c>
      <c r="P78" s="134">
        <v>0.86</v>
      </c>
      <c r="Q78" s="134">
        <v>4.55</v>
      </c>
    </row>
    <row r="79" spans="1:17" customFormat="1">
      <c r="A79" s="112" t="s">
        <v>405</v>
      </c>
      <c r="B79" s="134">
        <v>11.89</v>
      </c>
      <c r="C79" s="134">
        <v>24.47</v>
      </c>
      <c r="D79" s="134">
        <v>23.67</v>
      </c>
      <c r="E79" s="134">
        <v>5.64</v>
      </c>
      <c r="F79" s="134">
        <v>3.2</v>
      </c>
      <c r="G79" s="134">
        <v>69.38</v>
      </c>
      <c r="H79" s="134">
        <v>25.33</v>
      </c>
      <c r="I79" s="134">
        <v>6.59</v>
      </c>
      <c r="J79" s="134">
        <v>0.2</v>
      </c>
      <c r="K79" s="134">
        <v>49.6</v>
      </c>
      <c r="L79" s="134">
        <v>26.67</v>
      </c>
      <c r="M79" s="134">
        <v>74.31</v>
      </c>
      <c r="N79" s="134">
        <v>0</v>
      </c>
      <c r="O79" s="134">
        <v>0</v>
      </c>
      <c r="P79" s="134">
        <v>0.87</v>
      </c>
      <c r="Q79" s="134">
        <v>4.59</v>
      </c>
    </row>
    <row r="80" spans="1:17" customFormat="1">
      <c r="A80" s="112" t="s">
        <v>406</v>
      </c>
      <c r="B80" s="134">
        <v>12.19</v>
      </c>
      <c r="C80" s="134">
        <v>25.05</v>
      </c>
      <c r="D80" s="134">
        <v>24.21</v>
      </c>
      <c r="E80" s="134">
        <v>5.98</v>
      </c>
      <c r="F80" s="134">
        <v>2.82</v>
      </c>
      <c r="G80" s="134">
        <v>70.459999999999994</v>
      </c>
      <c r="H80" s="134">
        <v>24.83</v>
      </c>
      <c r="I80" s="134">
        <v>6.84</v>
      </c>
      <c r="J80" s="134">
        <v>0.1</v>
      </c>
      <c r="K80" s="134">
        <v>120.04</v>
      </c>
      <c r="L80" s="134">
        <v>26.4</v>
      </c>
      <c r="M80" s="134">
        <v>76.3</v>
      </c>
      <c r="N80" s="134">
        <v>0</v>
      </c>
      <c r="O80" s="134">
        <v>0</v>
      </c>
      <c r="P80" s="134">
        <v>0.89</v>
      </c>
      <c r="Q80" s="134">
        <v>4.67</v>
      </c>
    </row>
    <row r="81" spans="1:17" customFormat="1">
      <c r="A81" s="112" t="s">
        <v>407</v>
      </c>
      <c r="B81" s="134">
        <v>12.74</v>
      </c>
      <c r="C81" s="134">
        <v>25.22</v>
      </c>
      <c r="D81" s="134">
        <v>24.75</v>
      </c>
      <c r="E81" s="134">
        <v>4.6399999999999997</v>
      </c>
      <c r="F81" s="134">
        <v>2.78</v>
      </c>
      <c r="G81" s="134">
        <v>70.459999999999994</v>
      </c>
      <c r="H81" s="134">
        <v>24.83</v>
      </c>
      <c r="I81" s="134">
        <v>6.74</v>
      </c>
      <c r="J81" s="134">
        <v>0.1</v>
      </c>
      <c r="K81" s="134">
        <v>119.45</v>
      </c>
      <c r="L81" s="134">
        <v>26.2</v>
      </c>
      <c r="M81" s="134">
        <v>77.02</v>
      </c>
      <c r="N81" s="134">
        <v>0</v>
      </c>
      <c r="O81" s="134">
        <v>0</v>
      </c>
      <c r="P81" s="134">
        <v>0.9</v>
      </c>
      <c r="Q81" s="134">
        <v>4.71</v>
      </c>
    </row>
    <row r="82" spans="1:17" customFormat="1">
      <c r="A82" s="112" t="s">
        <v>408</v>
      </c>
      <c r="B82" s="134">
        <v>13.35</v>
      </c>
      <c r="C82" s="134">
        <v>25.63</v>
      </c>
      <c r="D82" s="134">
        <v>25.45</v>
      </c>
      <c r="E82" s="134">
        <v>6.24</v>
      </c>
      <c r="F82" s="134">
        <v>2.71</v>
      </c>
      <c r="G82" s="134">
        <v>70.459999999999994</v>
      </c>
      <c r="H82" s="134">
        <v>24.83</v>
      </c>
      <c r="I82" s="134">
        <v>6.79</v>
      </c>
      <c r="J82" s="134">
        <v>0.16</v>
      </c>
      <c r="K82" s="134">
        <v>66.3</v>
      </c>
      <c r="L82" s="134">
        <v>26.32</v>
      </c>
      <c r="M82" s="134">
        <v>75.56</v>
      </c>
      <c r="N82" s="134">
        <v>0</v>
      </c>
      <c r="O82" s="134">
        <v>0</v>
      </c>
      <c r="P82" s="134">
        <v>0.91</v>
      </c>
      <c r="Q82" s="134">
        <v>4.7699999999999996</v>
      </c>
    </row>
    <row r="83" spans="1:17" customFormat="1">
      <c r="A83" s="112" t="s">
        <v>409</v>
      </c>
      <c r="B83" s="134">
        <v>14.57</v>
      </c>
      <c r="C83" s="134">
        <v>26.14</v>
      </c>
      <c r="D83" s="134">
        <v>26.69</v>
      </c>
      <c r="E83" s="134">
        <v>6.33</v>
      </c>
      <c r="F83" s="134">
        <v>2.67</v>
      </c>
      <c r="G83" s="134">
        <v>70.98</v>
      </c>
      <c r="H83" s="134">
        <v>24.78</v>
      </c>
      <c r="I83" s="134">
        <v>6.89</v>
      </c>
      <c r="J83" s="134">
        <v>0.21</v>
      </c>
      <c r="K83" s="134">
        <v>35.79</v>
      </c>
      <c r="L83" s="134">
        <v>26.32</v>
      </c>
      <c r="M83" s="134">
        <v>75.91</v>
      </c>
      <c r="N83" s="134">
        <v>0</v>
      </c>
      <c r="O83" s="134">
        <v>0</v>
      </c>
      <c r="P83" s="134">
        <v>0.94</v>
      </c>
      <c r="Q83" s="134">
        <v>4.83</v>
      </c>
    </row>
    <row r="84" spans="1:17" customFormat="1">
      <c r="A84" s="112" t="s">
        <v>410</v>
      </c>
      <c r="B84" s="134">
        <v>16.420000000000002</v>
      </c>
      <c r="C84" s="134">
        <v>27.25</v>
      </c>
      <c r="D84" s="134">
        <v>28.75</v>
      </c>
      <c r="E84" s="134">
        <v>6.51</v>
      </c>
      <c r="F84" s="134">
        <v>2.4700000000000002</v>
      </c>
      <c r="G84" s="134">
        <v>82.13</v>
      </c>
      <c r="H84" s="134">
        <v>24.03</v>
      </c>
      <c r="I84" s="134">
        <v>7</v>
      </c>
      <c r="J84" s="134">
        <v>7.0000000000000007E-2</v>
      </c>
      <c r="K84" s="134">
        <v>149.06</v>
      </c>
      <c r="L84" s="134">
        <v>26.11</v>
      </c>
      <c r="M84" s="134">
        <v>77.44</v>
      </c>
      <c r="N84" s="134">
        <v>0</v>
      </c>
      <c r="O84" s="134">
        <v>0</v>
      </c>
      <c r="P84" s="134">
        <v>0.96</v>
      </c>
      <c r="Q84" s="134">
        <v>4.9000000000000004</v>
      </c>
    </row>
    <row r="85" spans="1:17" customFormat="1">
      <c r="A85" s="112" t="s">
        <v>411</v>
      </c>
      <c r="B85" s="134">
        <v>16.64</v>
      </c>
      <c r="C85" s="134">
        <v>27.14</v>
      </c>
      <c r="D85" s="134">
        <v>28.87</v>
      </c>
      <c r="E85" s="134">
        <v>6.66</v>
      </c>
      <c r="F85" s="134">
        <v>2.57</v>
      </c>
      <c r="G85" s="134">
        <v>82.13</v>
      </c>
      <c r="H85" s="134">
        <v>24.03</v>
      </c>
      <c r="I85" s="134">
        <v>7.11</v>
      </c>
      <c r="J85" s="134">
        <v>0.2</v>
      </c>
      <c r="K85" s="134">
        <v>177.72</v>
      </c>
      <c r="L85" s="134">
        <v>25.77</v>
      </c>
      <c r="M85" s="134">
        <v>79.83</v>
      </c>
      <c r="N85" s="134">
        <v>0</v>
      </c>
      <c r="O85" s="134">
        <v>0</v>
      </c>
      <c r="P85" s="134">
        <v>0.97</v>
      </c>
      <c r="Q85" s="134">
        <v>4.9800000000000004</v>
      </c>
    </row>
    <row r="86" spans="1:17" customFormat="1">
      <c r="A86" s="112" t="s">
        <v>412</v>
      </c>
      <c r="B86" s="134">
        <v>17.03</v>
      </c>
      <c r="C86" s="134">
        <v>27.51</v>
      </c>
      <c r="D86" s="134">
        <v>29.39</v>
      </c>
      <c r="E86" s="134">
        <v>6.98</v>
      </c>
      <c r="F86" s="134">
        <v>2.58</v>
      </c>
      <c r="G86" s="134">
        <v>82.13</v>
      </c>
      <c r="H86" s="134">
        <v>24.03</v>
      </c>
      <c r="I86" s="134">
        <v>7.29</v>
      </c>
      <c r="J86" s="134">
        <v>0.26</v>
      </c>
      <c r="K86" s="134">
        <v>169.95</v>
      </c>
      <c r="L86" s="134">
        <v>25.62</v>
      </c>
      <c r="M86" s="134">
        <v>81.91</v>
      </c>
      <c r="N86" s="134">
        <v>0</v>
      </c>
      <c r="O86" s="134">
        <v>0</v>
      </c>
      <c r="P86" s="134">
        <v>0.99</v>
      </c>
      <c r="Q86" s="134">
        <v>4.9800000000000004</v>
      </c>
    </row>
    <row r="87" spans="1:17" customFormat="1">
      <c r="A87" s="112" t="s">
        <v>413</v>
      </c>
      <c r="B87" s="134">
        <v>17.059999999999999</v>
      </c>
      <c r="C87" s="134">
        <v>27.39</v>
      </c>
      <c r="D87" s="134">
        <v>29.34</v>
      </c>
      <c r="E87" s="134">
        <v>6.77</v>
      </c>
      <c r="F87" s="134">
        <v>2.57</v>
      </c>
      <c r="G87" s="134">
        <v>82.32</v>
      </c>
      <c r="H87" s="134">
        <v>24.18</v>
      </c>
      <c r="I87" s="134">
        <v>7.41</v>
      </c>
      <c r="J87" s="134">
        <v>0.18</v>
      </c>
      <c r="K87" s="134">
        <v>164.73</v>
      </c>
      <c r="L87" s="134">
        <v>25.51</v>
      </c>
      <c r="M87" s="134">
        <v>82.37</v>
      </c>
      <c r="N87" s="134">
        <v>0</v>
      </c>
      <c r="O87" s="134">
        <v>0</v>
      </c>
      <c r="P87" s="134">
        <v>0.99</v>
      </c>
      <c r="Q87" s="134">
        <v>4.99</v>
      </c>
    </row>
    <row r="88" spans="1:17" customFormat="1">
      <c r="A88" s="112" t="s">
        <v>414</v>
      </c>
      <c r="B88" s="134">
        <v>17.100000000000001</v>
      </c>
      <c r="C88" s="134">
        <v>26.96</v>
      </c>
      <c r="D88" s="134">
        <v>29.15</v>
      </c>
      <c r="E88" s="134">
        <v>6.95</v>
      </c>
      <c r="F88" s="134">
        <v>2.4300000000000002</v>
      </c>
      <c r="G88" s="134">
        <v>86.27</v>
      </c>
      <c r="H88" s="134">
        <v>26.57</v>
      </c>
      <c r="I88" s="134">
        <v>7.54</v>
      </c>
      <c r="J88" s="134">
        <v>0.17</v>
      </c>
      <c r="K88" s="134">
        <v>170.73</v>
      </c>
      <c r="L88" s="134">
        <v>25.52</v>
      </c>
      <c r="M88" s="134">
        <v>82.74</v>
      </c>
      <c r="N88" s="134">
        <v>0</v>
      </c>
      <c r="O88" s="134">
        <v>0</v>
      </c>
      <c r="P88" s="134">
        <v>1.01</v>
      </c>
      <c r="Q88" s="134">
        <v>5.03</v>
      </c>
    </row>
    <row r="89" spans="1:17" customFormat="1">
      <c r="A89" s="112" t="s">
        <v>415</v>
      </c>
      <c r="B89" s="134">
        <v>17.54</v>
      </c>
      <c r="C89" s="134">
        <v>27.31</v>
      </c>
      <c r="D89" s="134">
        <v>29.69</v>
      </c>
      <c r="E89" s="134">
        <v>7.05</v>
      </c>
      <c r="F89" s="134">
        <v>2.4700000000000002</v>
      </c>
      <c r="G89" s="134">
        <v>86.27</v>
      </c>
      <c r="H89" s="134">
        <v>26.57</v>
      </c>
      <c r="I89" s="134">
        <v>7.64</v>
      </c>
      <c r="J89" s="134">
        <v>0.21</v>
      </c>
      <c r="K89" s="134">
        <v>167.91</v>
      </c>
      <c r="L89" s="134">
        <v>25.48</v>
      </c>
      <c r="M89" s="134">
        <v>83.16</v>
      </c>
      <c r="N89" s="134">
        <v>0</v>
      </c>
      <c r="O89" s="134">
        <v>0</v>
      </c>
      <c r="P89" s="134">
        <v>1.04</v>
      </c>
      <c r="Q89" s="134">
        <v>5.04</v>
      </c>
    </row>
    <row r="90" spans="1:17" customFormat="1">
      <c r="A90" s="112" t="s">
        <v>416</v>
      </c>
      <c r="B90" s="134">
        <v>18.02</v>
      </c>
      <c r="C90" s="134">
        <v>27.37</v>
      </c>
      <c r="D90" s="134">
        <v>30.1</v>
      </c>
      <c r="E90" s="134">
        <v>7.39</v>
      </c>
      <c r="F90" s="134">
        <v>2.38</v>
      </c>
      <c r="G90" s="134">
        <v>86.27</v>
      </c>
      <c r="H90" s="134">
        <v>26.57</v>
      </c>
      <c r="I90" s="134">
        <v>7.8</v>
      </c>
      <c r="J90" s="134">
        <v>0.19</v>
      </c>
      <c r="K90" s="134">
        <v>187.32</v>
      </c>
      <c r="L90" s="134">
        <v>25.21</v>
      </c>
      <c r="M90" s="134">
        <v>85.39</v>
      </c>
      <c r="N90" s="134">
        <v>0</v>
      </c>
      <c r="O90" s="134">
        <v>0</v>
      </c>
      <c r="P90" s="134">
        <v>1.07</v>
      </c>
      <c r="Q90" s="134">
        <v>5.08</v>
      </c>
    </row>
    <row r="91" spans="1:17" customFormat="1">
      <c r="A91" s="112" t="s">
        <v>417</v>
      </c>
      <c r="B91" s="134">
        <v>18.12</v>
      </c>
      <c r="C91" s="134">
        <v>27.54</v>
      </c>
      <c r="D91" s="134">
        <v>30.27</v>
      </c>
      <c r="E91" s="134">
        <v>7.35</v>
      </c>
      <c r="F91" s="134">
        <v>2.31</v>
      </c>
      <c r="G91" s="134">
        <v>86.13</v>
      </c>
      <c r="H91" s="134">
        <v>26.67</v>
      </c>
      <c r="I91" s="134">
        <v>8.02</v>
      </c>
      <c r="J91" s="134">
        <v>0.15</v>
      </c>
      <c r="K91" s="134">
        <v>217.5</v>
      </c>
      <c r="L91" s="134">
        <v>24.77</v>
      </c>
      <c r="M91" s="134">
        <v>89.42</v>
      </c>
      <c r="N91" s="134">
        <v>0</v>
      </c>
      <c r="O91" s="134">
        <v>0</v>
      </c>
      <c r="P91" s="134">
        <v>1.1000000000000001</v>
      </c>
      <c r="Q91" s="134">
        <v>5.07</v>
      </c>
    </row>
    <row r="92" spans="1:17" customFormat="1">
      <c r="A92" s="112" t="s">
        <v>418</v>
      </c>
      <c r="B92" s="134">
        <v>18.02</v>
      </c>
      <c r="C92" s="134">
        <v>27.22</v>
      </c>
      <c r="D92" s="134">
        <v>30.03</v>
      </c>
      <c r="E92" s="134">
        <v>7.65</v>
      </c>
      <c r="F92" s="134">
        <v>2.41</v>
      </c>
      <c r="G92" s="134">
        <v>83.79</v>
      </c>
      <c r="H92" s="134">
        <v>28.16</v>
      </c>
      <c r="I92" s="134">
        <v>8.16</v>
      </c>
      <c r="J92" s="134">
        <v>0.08</v>
      </c>
      <c r="K92" s="134">
        <v>202.87</v>
      </c>
      <c r="L92" s="134">
        <v>24.52</v>
      </c>
      <c r="M92" s="134">
        <v>91.66</v>
      </c>
      <c r="N92" s="134">
        <v>0</v>
      </c>
      <c r="O92" s="134">
        <v>0</v>
      </c>
      <c r="P92" s="134">
        <v>1.1200000000000001</v>
      </c>
      <c r="Q92" s="134">
        <v>5.09</v>
      </c>
    </row>
    <row r="93" spans="1:17" customFormat="1">
      <c r="A93" s="112" t="s">
        <v>419</v>
      </c>
      <c r="B93" s="134">
        <v>17.850000000000001</v>
      </c>
      <c r="C93" s="134">
        <v>26.44</v>
      </c>
      <c r="D93" s="134">
        <v>29.48</v>
      </c>
      <c r="E93" s="134">
        <v>7.03</v>
      </c>
      <c r="F93" s="134">
        <v>2.4700000000000002</v>
      </c>
      <c r="G93" s="134">
        <v>83.79</v>
      </c>
      <c r="H93" s="134">
        <v>28.16</v>
      </c>
      <c r="I93" s="134">
        <v>8.31</v>
      </c>
      <c r="J93" s="134">
        <v>0.1</v>
      </c>
      <c r="K93" s="134">
        <v>175.21</v>
      </c>
      <c r="L93" s="134">
        <v>24.42</v>
      </c>
      <c r="M93" s="134">
        <v>90.99</v>
      </c>
      <c r="N93" s="134">
        <v>0</v>
      </c>
      <c r="O93" s="134">
        <v>0</v>
      </c>
      <c r="P93" s="134">
        <v>1.1299999999999999</v>
      </c>
      <c r="Q93" s="134">
        <v>5.08</v>
      </c>
    </row>
    <row r="94" spans="1:17" customFormat="1">
      <c r="A94" s="112" t="s">
        <v>420</v>
      </c>
      <c r="B94" s="134">
        <v>17.649999999999999</v>
      </c>
      <c r="C94" s="134">
        <v>25.97</v>
      </c>
      <c r="D94" s="134">
        <v>29.08</v>
      </c>
      <c r="E94" s="134">
        <v>6.77</v>
      </c>
      <c r="F94" s="134">
        <v>2.39</v>
      </c>
      <c r="G94" s="134">
        <v>83.79</v>
      </c>
      <c r="H94" s="134">
        <v>28.16</v>
      </c>
      <c r="I94" s="134">
        <v>8.4</v>
      </c>
      <c r="J94" s="134">
        <v>0.2</v>
      </c>
      <c r="K94" s="134">
        <v>156.88</v>
      </c>
      <c r="L94" s="134">
        <v>24.68</v>
      </c>
      <c r="M94" s="134">
        <v>91.91</v>
      </c>
      <c r="N94" s="134">
        <v>0</v>
      </c>
      <c r="O94" s="134">
        <v>0</v>
      </c>
      <c r="P94" s="134">
        <v>1.1299999999999999</v>
      </c>
      <c r="Q94" s="134">
        <v>5.08</v>
      </c>
    </row>
    <row r="95" spans="1:17" customFormat="1">
      <c r="A95" s="112" t="s">
        <v>421</v>
      </c>
      <c r="B95" s="134">
        <v>17.54</v>
      </c>
      <c r="C95" s="134">
        <v>25.57</v>
      </c>
      <c r="D95" s="134">
        <v>28.78</v>
      </c>
      <c r="E95" s="134">
        <v>7.02</v>
      </c>
      <c r="F95" s="134">
        <v>2.35</v>
      </c>
      <c r="G95" s="134">
        <v>83.51</v>
      </c>
      <c r="H95" s="134">
        <v>28</v>
      </c>
      <c r="I95" s="134">
        <v>8.44</v>
      </c>
      <c r="J95" s="134">
        <v>0.11</v>
      </c>
      <c r="K95" s="134">
        <v>208.45</v>
      </c>
      <c r="L95" s="134">
        <v>24.63</v>
      </c>
      <c r="M95" s="134">
        <v>92.73</v>
      </c>
      <c r="N95" s="134">
        <v>0</v>
      </c>
      <c r="O95" s="134">
        <v>0</v>
      </c>
      <c r="P95" s="134">
        <v>1.1399999999999999</v>
      </c>
      <c r="Q95" s="134">
        <v>5.07</v>
      </c>
    </row>
    <row r="96" spans="1:17" customFormat="1">
      <c r="A96" s="112" t="s">
        <v>422</v>
      </c>
      <c r="B96" s="134">
        <v>17.86</v>
      </c>
      <c r="C96" s="134">
        <v>25.55</v>
      </c>
      <c r="D96" s="134">
        <v>29.02</v>
      </c>
      <c r="E96" s="134">
        <v>7.33</v>
      </c>
      <c r="F96" s="134">
        <v>2.5099999999999998</v>
      </c>
      <c r="G96" s="134">
        <v>78.75</v>
      </c>
      <c r="H96" s="134">
        <v>25.53</v>
      </c>
      <c r="I96" s="134">
        <v>8.48</v>
      </c>
      <c r="J96" s="134">
        <v>0.09</v>
      </c>
      <c r="K96" s="134">
        <v>158.22999999999999</v>
      </c>
      <c r="L96" s="134">
        <v>24.74</v>
      </c>
      <c r="M96" s="134">
        <v>90.74</v>
      </c>
      <c r="N96" s="134">
        <v>0</v>
      </c>
      <c r="O96" s="134">
        <v>0</v>
      </c>
      <c r="P96" s="134">
        <v>1.1299999999999999</v>
      </c>
      <c r="Q96" s="134">
        <v>5.08</v>
      </c>
    </row>
    <row r="97" spans="1:22" customFormat="1">
      <c r="A97" s="112" t="s">
        <v>423</v>
      </c>
      <c r="B97" s="134">
        <v>19.440000000000001</v>
      </c>
      <c r="C97" s="134">
        <v>24.74</v>
      </c>
      <c r="D97" s="134">
        <v>29.87</v>
      </c>
      <c r="E97" s="134">
        <v>7.27</v>
      </c>
      <c r="F97" s="134">
        <v>2.77</v>
      </c>
      <c r="G97" s="134">
        <v>78.75</v>
      </c>
      <c r="H97" s="134">
        <v>25.53</v>
      </c>
      <c r="I97" s="134">
        <v>8.4700000000000006</v>
      </c>
      <c r="J97" s="134">
        <v>0.23</v>
      </c>
      <c r="K97" s="134">
        <v>166.06</v>
      </c>
      <c r="L97" s="134">
        <v>24.6</v>
      </c>
      <c r="M97" s="134">
        <v>91.39</v>
      </c>
      <c r="N97" s="134">
        <v>0</v>
      </c>
      <c r="O97" s="134">
        <v>0</v>
      </c>
      <c r="P97" s="134">
        <v>1.1299999999999999</v>
      </c>
      <c r="Q97" s="134">
        <v>5.1100000000000003</v>
      </c>
    </row>
    <row r="98" spans="1:22" customFormat="1">
      <c r="A98" s="112" t="s">
        <v>424</v>
      </c>
      <c r="B98" s="134">
        <v>20.5</v>
      </c>
      <c r="C98" s="134">
        <v>23.46</v>
      </c>
      <c r="D98" s="134">
        <v>30.05</v>
      </c>
      <c r="E98" s="134">
        <v>6.83</v>
      </c>
      <c r="F98" s="134">
        <v>2.83</v>
      </c>
      <c r="G98" s="134">
        <v>78.75</v>
      </c>
      <c r="H98" s="134">
        <v>25.53</v>
      </c>
      <c r="I98" s="134">
        <v>8.5299999999999994</v>
      </c>
      <c r="J98" s="134">
        <v>0.12</v>
      </c>
      <c r="K98" s="134">
        <v>152.86000000000001</v>
      </c>
      <c r="L98" s="134">
        <v>24.34</v>
      </c>
      <c r="M98" s="134">
        <v>92.66</v>
      </c>
      <c r="N98" s="134">
        <v>0</v>
      </c>
      <c r="O98" s="134">
        <v>0</v>
      </c>
      <c r="P98" s="134">
        <v>1.1299999999999999</v>
      </c>
      <c r="Q98" s="134">
        <v>5.13</v>
      </c>
    </row>
    <row r="99" spans="1:22" customFormat="1">
      <c r="A99" s="112" t="s">
        <v>425</v>
      </c>
      <c r="B99" s="134">
        <v>20.89</v>
      </c>
      <c r="C99" s="134">
        <v>22.13</v>
      </c>
      <c r="D99" s="134">
        <v>29.66</v>
      </c>
      <c r="E99" s="134">
        <v>6.26</v>
      </c>
      <c r="F99" s="134">
        <v>3.01</v>
      </c>
      <c r="G99" s="134">
        <v>78.930000000000007</v>
      </c>
      <c r="H99" s="134">
        <v>25.64</v>
      </c>
      <c r="I99" s="134">
        <v>8.6199999999999992</v>
      </c>
      <c r="J99" s="134">
        <v>0.12</v>
      </c>
      <c r="K99" s="134">
        <v>214.78</v>
      </c>
      <c r="L99" s="134">
        <v>24.24</v>
      </c>
      <c r="M99" s="134">
        <v>91.16</v>
      </c>
      <c r="N99" s="134">
        <v>0</v>
      </c>
      <c r="O99" s="134">
        <v>0</v>
      </c>
      <c r="P99" s="134">
        <v>1.1100000000000001</v>
      </c>
      <c r="Q99" s="134">
        <v>5.12</v>
      </c>
    </row>
    <row r="100" spans="1:22" customFormat="1">
      <c r="A100" s="112" t="s">
        <v>426</v>
      </c>
      <c r="B100" s="134">
        <v>21.03</v>
      </c>
      <c r="C100" s="134">
        <v>21.06</v>
      </c>
      <c r="D100" s="134">
        <v>29.22</v>
      </c>
      <c r="E100" s="134">
        <v>5.89</v>
      </c>
      <c r="F100" s="134">
        <v>2.83</v>
      </c>
      <c r="G100" s="134">
        <v>81.96</v>
      </c>
      <c r="H100" s="134">
        <v>27.3</v>
      </c>
      <c r="I100" s="134">
        <v>8.65</v>
      </c>
      <c r="J100" s="134">
        <v>0.11</v>
      </c>
      <c r="K100" s="134">
        <v>179.09</v>
      </c>
      <c r="L100" s="134">
        <v>24.36</v>
      </c>
      <c r="M100" s="134">
        <v>93.4</v>
      </c>
      <c r="N100" s="134">
        <v>0</v>
      </c>
      <c r="O100" s="134">
        <v>0</v>
      </c>
      <c r="P100" s="134">
        <v>1.0900000000000001</v>
      </c>
      <c r="Q100" s="134">
        <v>5.1100000000000003</v>
      </c>
    </row>
    <row r="101" spans="1:22" customFormat="1">
      <c r="A101" s="112" t="s">
        <v>427</v>
      </c>
      <c r="B101" s="134">
        <v>20.96</v>
      </c>
      <c r="C101" s="134">
        <v>20.55</v>
      </c>
      <c r="D101" s="134">
        <v>28.89</v>
      </c>
      <c r="E101" s="134">
        <v>6.38</v>
      </c>
      <c r="F101" s="134">
        <v>2.69</v>
      </c>
      <c r="G101" s="134">
        <v>81.96</v>
      </c>
      <c r="H101" s="134">
        <v>27.3</v>
      </c>
      <c r="I101" s="134">
        <v>8.65</v>
      </c>
      <c r="J101" s="134">
        <v>0.11</v>
      </c>
      <c r="K101" s="134">
        <v>168.02</v>
      </c>
      <c r="L101" s="134">
        <v>24.29</v>
      </c>
      <c r="M101" s="134">
        <v>93.29</v>
      </c>
      <c r="N101" s="134">
        <v>0</v>
      </c>
      <c r="O101" s="134">
        <v>0</v>
      </c>
      <c r="P101" s="134">
        <v>1.08</v>
      </c>
      <c r="Q101" s="134">
        <v>5.0999999999999996</v>
      </c>
    </row>
    <row r="102" spans="1:22" customFormat="1">
      <c r="A102" s="112" t="s">
        <v>428</v>
      </c>
      <c r="B102" s="134">
        <v>20.82</v>
      </c>
      <c r="C102" s="134">
        <v>22.43</v>
      </c>
      <c r="D102" s="134">
        <v>29.77</v>
      </c>
      <c r="E102" s="134">
        <v>5.94</v>
      </c>
      <c r="F102" s="134">
        <v>2.44</v>
      </c>
      <c r="G102" s="134">
        <v>81.96</v>
      </c>
      <c r="H102" s="134">
        <v>27.3</v>
      </c>
      <c r="I102" s="134">
        <v>8.7100000000000009</v>
      </c>
      <c r="J102" s="134">
        <v>0.09</v>
      </c>
      <c r="K102" s="134">
        <v>193.45</v>
      </c>
      <c r="L102" s="134">
        <v>24.26</v>
      </c>
      <c r="M102" s="134">
        <v>94.4</v>
      </c>
      <c r="N102" s="134">
        <v>0</v>
      </c>
      <c r="O102" s="134">
        <v>0</v>
      </c>
      <c r="P102" s="134">
        <v>1.1100000000000001</v>
      </c>
      <c r="Q102" s="134">
        <v>5.08</v>
      </c>
    </row>
    <row r="103" spans="1:22" customFormat="1">
      <c r="A103" s="112" t="s">
        <v>429</v>
      </c>
      <c r="B103" s="134">
        <v>21.05</v>
      </c>
      <c r="C103" s="134">
        <v>22.26</v>
      </c>
      <c r="D103" s="134">
        <v>29.86</v>
      </c>
      <c r="E103" s="134">
        <v>6.26</v>
      </c>
      <c r="F103" s="134">
        <v>2.54</v>
      </c>
      <c r="G103" s="134">
        <v>81.64</v>
      </c>
      <c r="H103" s="134">
        <v>27.34</v>
      </c>
      <c r="I103" s="134">
        <v>8.73</v>
      </c>
      <c r="J103" s="134">
        <v>0.1</v>
      </c>
      <c r="K103" s="134">
        <v>167.97</v>
      </c>
      <c r="L103" s="134">
        <v>24.39</v>
      </c>
      <c r="M103" s="134">
        <v>93.58</v>
      </c>
      <c r="N103" s="134">
        <v>0</v>
      </c>
      <c r="O103" s="134">
        <v>0</v>
      </c>
      <c r="P103" s="134">
        <v>1.1000000000000001</v>
      </c>
      <c r="Q103" s="134">
        <v>5.12</v>
      </c>
    </row>
    <row r="104" spans="1:22" customFormat="1">
      <c r="A104" s="112" t="s">
        <v>430</v>
      </c>
      <c r="B104" s="134">
        <v>22.13</v>
      </c>
      <c r="C104" s="134">
        <v>21.23</v>
      </c>
      <c r="D104" s="134">
        <v>30.19</v>
      </c>
      <c r="E104" s="134">
        <v>6.01</v>
      </c>
      <c r="F104" s="134">
        <v>2.8</v>
      </c>
      <c r="G104" s="134">
        <v>76.2</v>
      </c>
      <c r="H104" s="134">
        <v>27.99</v>
      </c>
      <c r="I104" s="134">
        <v>8.8000000000000007</v>
      </c>
      <c r="J104" s="134">
        <v>0.12</v>
      </c>
      <c r="K104" s="134">
        <v>167.7</v>
      </c>
      <c r="L104" s="134">
        <v>24.47</v>
      </c>
      <c r="M104" s="134">
        <v>92.58</v>
      </c>
      <c r="N104" s="134">
        <v>0</v>
      </c>
      <c r="O104" s="134">
        <v>0</v>
      </c>
      <c r="P104" s="134">
        <v>1.1000000000000001</v>
      </c>
      <c r="Q104" s="134">
        <v>5.13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6.52</v>
      </c>
      <c r="C106" s="183">
        <f>MIN(C9:C104)</f>
        <v>18.34</v>
      </c>
      <c r="D106" s="183">
        <f t="shared" ref="D106:Q106" si="0">MIN(D9:D104)</f>
        <v>16.32</v>
      </c>
      <c r="E106" s="183">
        <f t="shared" si="0"/>
        <v>4.6399999999999997</v>
      </c>
      <c r="F106" s="183">
        <f t="shared" si="0"/>
        <v>2.31</v>
      </c>
      <c r="G106" s="183">
        <f t="shared" si="0"/>
        <v>56.9</v>
      </c>
      <c r="H106" s="183">
        <f t="shared" si="0"/>
        <v>24.03</v>
      </c>
      <c r="I106" s="183">
        <f t="shared" si="0"/>
        <v>6.45</v>
      </c>
      <c r="J106" s="183">
        <f t="shared" si="0"/>
        <v>0.01</v>
      </c>
      <c r="K106" s="183">
        <f t="shared" si="0"/>
        <v>0.26</v>
      </c>
      <c r="L106" s="183">
        <f t="shared" si="0"/>
        <v>21.5</v>
      </c>
      <c r="M106" s="183">
        <f t="shared" si="0"/>
        <v>57.07</v>
      </c>
      <c r="N106" s="183">
        <f t="shared" si="0"/>
        <v>0</v>
      </c>
      <c r="O106" s="183">
        <f t="shared" si="0"/>
        <v>0</v>
      </c>
      <c r="P106" s="183">
        <f t="shared" si="0"/>
        <v>0.73</v>
      </c>
      <c r="Q106" s="183">
        <f t="shared" si="0"/>
        <v>4.3600000000000003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26.06</v>
      </c>
      <c r="C107" s="184">
        <f t="shared" ref="C107:Q107" si="1">MAX(C9:C104)</f>
        <v>28.84</v>
      </c>
      <c r="D107" s="184">
        <f t="shared" si="1"/>
        <v>36.479999999999997</v>
      </c>
      <c r="E107" s="184">
        <f t="shared" si="1"/>
        <v>9.9600000000000009</v>
      </c>
      <c r="F107" s="184">
        <f t="shared" si="1"/>
        <v>8.2899999999999991</v>
      </c>
      <c r="G107" s="184">
        <f t="shared" si="1"/>
        <v>96.47</v>
      </c>
      <c r="H107" s="184">
        <f t="shared" si="1"/>
        <v>37.15</v>
      </c>
      <c r="I107" s="184">
        <f t="shared" si="1"/>
        <v>9.02</v>
      </c>
      <c r="J107" s="184">
        <f t="shared" si="1"/>
        <v>0.56000000000000005</v>
      </c>
      <c r="K107" s="184">
        <f t="shared" si="1"/>
        <v>348.8</v>
      </c>
      <c r="L107" s="184">
        <f t="shared" si="1"/>
        <v>31</v>
      </c>
      <c r="M107" s="184">
        <f t="shared" si="1"/>
        <v>94.4</v>
      </c>
      <c r="N107" s="184">
        <f t="shared" si="1"/>
        <v>521.29999999999995</v>
      </c>
      <c r="O107" s="184">
        <f t="shared" si="1"/>
        <v>0</v>
      </c>
      <c r="P107" s="184">
        <f t="shared" si="1"/>
        <v>1.1399999999999999</v>
      </c>
      <c r="Q107" s="184">
        <f t="shared" si="1"/>
        <v>5.38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17.227499999999996</v>
      </c>
      <c r="C108" s="183">
        <f t="shared" ref="C108:Q108" si="2">AVERAGE(C9:C104)</f>
        <v>24.714583333333337</v>
      </c>
      <c r="D108" s="183">
        <f t="shared" si="2"/>
        <v>28.07885416666667</v>
      </c>
      <c r="E108" s="183">
        <f t="shared" si="2"/>
        <v>6.5181249999999986</v>
      </c>
      <c r="F108" s="183">
        <f t="shared" si="2"/>
        <v>3.4641666666666668</v>
      </c>
      <c r="G108" s="183">
        <f t="shared" si="2"/>
        <v>81.909999999999982</v>
      </c>
      <c r="H108" s="183">
        <f t="shared" si="2"/>
        <v>30.301770833333364</v>
      </c>
      <c r="I108" s="183">
        <f t="shared" si="2"/>
        <v>7.9240624999999989</v>
      </c>
      <c r="J108" s="183">
        <f t="shared" si="2"/>
        <v>0.23947916666666666</v>
      </c>
      <c r="K108" s="183">
        <f t="shared" si="2"/>
        <v>99.822812500000012</v>
      </c>
      <c r="L108" s="183">
        <f t="shared" si="2"/>
        <v>25.418229166666659</v>
      </c>
      <c r="M108" s="183">
        <f t="shared" si="2"/>
        <v>76.919062499999981</v>
      </c>
      <c r="N108" s="183">
        <f t="shared" si="2"/>
        <v>68.283333333333346</v>
      </c>
      <c r="O108" s="183">
        <f t="shared" si="2"/>
        <v>0</v>
      </c>
      <c r="P108" s="183">
        <f t="shared" si="2"/>
        <v>0.93145833333333261</v>
      </c>
      <c r="Q108" s="183">
        <f t="shared" si="2"/>
        <v>4.9592708333333322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6.9182848498134222</v>
      </c>
      <c r="C109" s="183">
        <f t="shared" ref="C109:Q109" si="3">STDEV(C9:C104)</f>
        <v>2.9292923221781022</v>
      </c>
      <c r="D109" s="183">
        <f t="shared" si="3"/>
        <v>6.2510972291256568</v>
      </c>
      <c r="E109" s="183">
        <f t="shared" si="3"/>
        <v>0.78189016929625454</v>
      </c>
      <c r="F109" s="183">
        <f t="shared" si="3"/>
        <v>1.4318230313074483</v>
      </c>
      <c r="G109" s="183">
        <f t="shared" si="3"/>
        <v>9.1670066284648524</v>
      </c>
      <c r="H109" s="183">
        <f t="shared" si="3"/>
        <v>3.9981798476677688</v>
      </c>
      <c r="I109" s="183">
        <f t="shared" si="3"/>
        <v>0.76297972398389768</v>
      </c>
      <c r="J109" s="183">
        <f t="shared" si="3"/>
        <v>0.12611915662050188</v>
      </c>
      <c r="K109" s="183">
        <f t="shared" si="3"/>
        <v>76.684292479354653</v>
      </c>
      <c r="L109" s="183">
        <f t="shared" si="3"/>
        <v>2.9520914957978728</v>
      </c>
      <c r="M109" s="183">
        <f t="shared" si="3"/>
        <v>10.837744480639719</v>
      </c>
      <c r="N109" s="183">
        <f t="shared" si="3"/>
        <v>123.53075787167694</v>
      </c>
      <c r="O109" s="183">
        <f t="shared" si="3"/>
        <v>0</v>
      </c>
      <c r="P109" s="183">
        <f t="shared" si="3"/>
        <v>0.10586962356116777</v>
      </c>
      <c r="Q109" s="183">
        <f t="shared" si="3"/>
        <v>0.34394382892580722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03/11/2023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431</v>
      </c>
      <c r="B9" s="134">
        <v>23.08</v>
      </c>
      <c r="C9" s="134">
        <v>23.31</v>
      </c>
      <c r="D9" s="134">
        <v>32.04</v>
      </c>
      <c r="E9" s="134">
        <v>6.06</v>
      </c>
      <c r="F9" s="134">
        <v>2.31</v>
      </c>
      <c r="G9" s="134">
        <v>76.2</v>
      </c>
      <c r="H9" s="134">
        <v>27.99</v>
      </c>
      <c r="I9" s="134">
        <v>8.86</v>
      </c>
      <c r="J9" s="134">
        <v>0.16</v>
      </c>
      <c r="K9" s="134">
        <v>161.22999999999999</v>
      </c>
      <c r="L9" s="134">
        <v>24.46</v>
      </c>
      <c r="M9" s="134">
        <v>91.76</v>
      </c>
      <c r="N9" s="134">
        <v>0</v>
      </c>
      <c r="O9" s="134">
        <v>0</v>
      </c>
      <c r="P9" s="134">
        <v>1.1100000000000001</v>
      </c>
      <c r="Q9" s="134">
        <v>5.15</v>
      </c>
    </row>
    <row r="10" spans="1:21" customFormat="1">
      <c r="A10" s="112" t="s">
        <v>432</v>
      </c>
      <c r="B10" s="134">
        <v>24.06</v>
      </c>
      <c r="C10" s="134">
        <v>22.03</v>
      </c>
      <c r="D10" s="134">
        <v>32.159999999999997</v>
      </c>
      <c r="E10" s="134">
        <v>6.27</v>
      </c>
      <c r="F10" s="134">
        <v>2.46</v>
      </c>
      <c r="G10" s="134">
        <v>76.2</v>
      </c>
      <c r="H10" s="134">
        <v>27.99</v>
      </c>
      <c r="I10" s="134">
        <v>8.9</v>
      </c>
      <c r="J10" s="134">
        <v>0.12</v>
      </c>
      <c r="K10" s="134">
        <v>163.55000000000001</v>
      </c>
      <c r="L10" s="134">
        <v>24.36</v>
      </c>
      <c r="M10" s="134">
        <v>91.22</v>
      </c>
      <c r="N10" s="134">
        <v>0</v>
      </c>
      <c r="O10" s="134">
        <v>0</v>
      </c>
      <c r="P10" s="134">
        <v>1.1100000000000001</v>
      </c>
      <c r="Q10" s="134">
        <v>5.21</v>
      </c>
    </row>
    <row r="11" spans="1:21" customFormat="1">
      <c r="A11" s="112" t="s">
        <v>433</v>
      </c>
      <c r="B11" s="134">
        <v>24.89</v>
      </c>
      <c r="C11" s="134">
        <v>20.79</v>
      </c>
      <c r="D11" s="134">
        <v>32.17</v>
      </c>
      <c r="E11" s="134">
        <v>5.97</v>
      </c>
      <c r="F11" s="134">
        <v>2.63</v>
      </c>
      <c r="G11" s="134">
        <v>75.709999999999994</v>
      </c>
      <c r="H11" s="134">
        <v>27.96</v>
      </c>
      <c r="I11" s="134">
        <v>8.9600000000000009</v>
      </c>
      <c r="J11" s="134">
        <v>0.12</v>
      </c>
      <c r="K11" s="134">
        <v>173.71</v>
      </c>
      <c r="L11" s="134">
        <v>24.38</v>
      </c>
      <c r="M11" s="134">
        <v>92.11</v>
      </c>
      <c r="N11" s="134">
        <v>0</v>
      </c>
      <c r="O11" s="134">
        <v>0</v>
      </c>
      <c r="P11" s="134">
        <v>1.1000000000000001</v>
      </c>
      <c r="Q11" s="134">
        <v>5.26</v>
      </c>
    </row>
    <row r="12" spans="1:21" customFormat="1">
      <c r="A12" s="112" t="s">
        <v>434</v>
      </c>
      <c r="B12" s="134">
        <v>25.39</v>
      </c>
      <c r="C12" s="134">
        <v>21.53</v>
      </c>
      <c r="D12" s="134">
        <v>32.96</v>
      </c>
      <c r="E12" s="134">
        <v>6.1</v>
      </c>
      <c r="F12" s="134">
        <v>2.63</v>
      </c>
      <c r="G12" s="134">
        <v>67.290000000000006</v>
      </c>
      <c r="H12" s="134">
        <v>27.49</v>
      </c>
      <c r="I12" s="134">
        <v>8.9600000000000009</v>
      </c>
      <c r="J12" s="134">
        <v>0.16</v>
      </c>
      <c r="K12" s="134">
        <v>292.67</v>
      </c>
      <c r="L12" s="134">
        <v>24.1</v>
      </c>
      <c r="M12" s="134">
        <v>94.09</v>
      </c>
      <c r="N12" s="134">
        <v>0</v>
      </c>
      <c r="O12" s="134">
        <v>0</v>
      </c>
      <c r="P12" s="134">
        <v>1.08</v>
      </c>
      <c r="Q12" s="134">
        <v>5.29</v>
      </c>
    </row>
    <row r="13" spans="1:21" customFormat="1">
      <c r="A13" s="112" t="s">
        <v>435</v>
      </c>
      <c r="B13" s="134">
        <v>26.58</v>
      </c>
      <c r="C13" s="134">
        <v>23.06</v>
      </c>
      <c r="D13" s="134">
        <v>34.71</v>
      </c>
      <c r="E13" s="134">
        <v>6.04</v>
      </c>
      <c r="F13" s="134">
        <v>2.44</v>
      </c>
      <c r="G13" s="134">
        <v>67.290000000000006</v>
      </c>
      <c r="H13" s="134">
        <v>27.49</v>
      </c>
      <c r="I13" s="134">
        <v>8.94</v>
      </c>
      <c r="J13" s="134">
        <v>7.0000000000000007E-2</v>
      </c>
      <c r="K13" s="134">
        <v>226.2</v>
      </c>
      <c r="L13" s="134">
        <v>24.12</v>
      </c>
      <c r="M13" s="134">
        <v>93.42</v>
      </c>
      <c r="N13" s="134">
        <v>0</v>
      </c>
      <c r="O13" s="134">
        <v>0</v>
      </c>
      <c r="P13" s="134">
        <v>1.1100000000000001</v>
      </c>
      <c r="Q13" s="134">
        <v>5.32</v>
      </c>
    </row>
    <row r="14" spans="1:21" customFormat="1">
      <c r="A14" s="112" t="s">
        <v>436</v>
      </c>
      <c r="B14" s="134">
        <v>28.55</v>
      </c>
      <c r="C14" s="134">
        <v>21.97</v>
      </c>
      <c r="D14" s="134">
        <v>35.729999999999997</v>
      </c>
      <c r="E14" s="134">
        <v>6.53</v>
      </c>
      <c r="F14" s="134">
        <v>2.72</v>
      </c>
      <c r="G14" s="134">
        <v>67.290000000000006</v>
      </c>
      <c r="H14" s="134">
        <v>27.49</v>
      </c>
      <c r="I14" s="134">
        <v>8.99</v>
      </c>
      <c r="J14" s="134">
        <v>0.11</v>
      </c>
      <c r="K14" s="134">
        <v>66.849999999999994</v>
      </c>
      <c r="L14" s="134">
        <v>24.22</v>
      </c>
      <c r="M14" s="134">
        <v>93.76</v>
      </c>
      <c r="N14" s="134">
        <v>0</v>
      </c>
      <c r="O14" s="134">
        <v>0</v>
      </c>
      <c r="P14" s="134">
        <v>1.1100000000000001</v>
      </c>
      <c r="Q14" s="134">
        <v>5.41</v>
      </c>
    </row>
    <row r="15" spans="1:21" customFormat="1">
      <c r="A15" s="112" t="s">
        <v>437</v>
      </c>
      <c r="B15" s="134">
        <v>29.97</v>
      </c>
      <c r="C15" s="134">
        <v>22.39</v>
      </c>
      <c r="D15" s="134">
        <v>37.090000000000003</v>
      </c>
      <c r="E15" s="134">
        <v>6.57</v>
      </c>
      <c r="F15" s="134">
        <v>2.61</v>
      </c>
      <c r="G15" s="134">
        <v>67.849999999999994</v>
      </c>
      <c r="H15" s="134">
        <v>27.49</v>
      </c>
      <c r="I15" s="134">
        <v>9.06</v>
      </c>
      <c r="J15" s="134">
        <v>0.18</v>
      </c>
      <c r="K15" s="134">
        <v>52.85</v>
      </c>
      <c r="L15" s="134">
        <v>24.27</v>
      </c>
      <c r="M15" s="134">
        <v>93.91</v>
      </c>
      <c r="N15" s="134">
        <v>0</v>
      </c>
      <c r="O15" s="134">
        <v>0</v>
      </c>
      <c r="P15" s="134">
        <v>1.1200000000000001</v>
      </c>
      <c r="Q15" s="134">
        <v>5.46</v>
      </c>
    </row>
    <row r="16" spans="1:21" customFormat="1">
      <c r="A16" s="112" t="s">
        <v>438</v>
      </c>
      <c r="B16" s="134">
        <v>30.75</v>
      </c>
      <c r="C16" s="134">
        <v>22.74</v>
      </c>
      <c r="D16" s="134">
        <v>37.89</v>
      </c>
      <c r="E16" s="134">
        <v>6.45</v>
      </c>
      <c r="F16" s="134">
        <v>2.54</v>
      </c>
      <c r="G16" s="134">
        <v>79.86</v>
      </c>
      <c r="H16" s="134">
        <v>27.5</v>
      </c>
      <c r="I16" s="134">
        <v>9.15</v>
      </c>
      <c r="J16" s="134">
        <v>0.17</v>
      </c>
      <c r="K16" s="134">
        <v>57.33</v>
      </c>
      <c r="L16" s="134">
        <v>24.36</v>
      </c>
      <c r="M16" s="134">
        <v>92.07</v>
      </c>
      <c r="N16" s="134">
        <v>0</v>
      </c>
      <c r="O16" s="134">
        <v>0</v>
      </c>
      <c r="P16" s="134">
        <v>1.1299999999999999</v>
      </c>
      <c r="Q16" s="134">
        <v>5.5</v>
      </c>
    </row>
    <row r="17" spans="1:17" customFormat="1">
      <c r="A17" s="112" t="s">
        <v>439</v>
      </c>
      <c r="B17" s="134">
        <v>31.17</v>
      </c>
      <c r="C17" s="134">
        <v>21.74</v>
      </c>
      <c r="D17" s="134">
        <v>37.700000000000003</v>
      </c>
      <c r="E17" s="134">
        <v>3.98</v>
      </c>
      <c r="F17" s="134">
        <v>2.88</v>
      </c>
      <c r="G17" s="134">
        <v>79.86</v>
      </c>
      <c r="H17" s="134">
        <v>27.5</v>
      </c>
      <c r="I17" s="134">
        <v>9.26</v>
      </c>
      <c r="J17" s="134">
        <v>0.08</v>
      </c>
      <c r="K17" s="134">
        <v>179.97</v>
      </c>
      <c r="L17" s="134">
        <v>24.35</v>
      </c>
      <c r="M17" s="134">
        <v>91.92</v>
      </c>
      <c r="N17" s="134">
        <v>0</v>
      </c>
      <c r="O17" s="134">
        <v>0</v>
      </c>
      <c r="P17" s="134">
        <v>1.1100000000000001</v>
      </c>
      <c r="Q17" s="134">
        <v>5.53</v>
      </c>
    </row>
    <row r="18" spans="1:17" customFormat="1">
      <c r="A18" s="112" t="s">
        <v>440</v>
      </c>
      <c r="B18" s="134">
        <v>31.01</v>
      </c>
      <c r="C18" s="134">
        <v>22.51</v>
      </c>
      <c r="D18" s="134">
        <v>37.979999999999997</v>
      </c>
      <c r="E18" s="134">
        <v>5.13</v>
      </c>
      <c r="F18" s="134">
        <v>2.62</v>
      </c>
      <c r="G18" s="134">
        <v>79.86</v>
      </c>
      <c r="H18" s="134">
        <v>27.5</v>
      </c>
      <c r="I18" s="134">
        <v>9.31</v>
      </c>
      <c r="J18" s="134">
        <v>0.14000000000000001</v>
      </c>
      <c r="K18" s="134">
        <v>162.83000000000001</v>
      </c>
      <c r="L18" s="134">
        <v>24.05</v>
      </c>
      <c r="M18" s="134">
        <v>92.67</v>
      </c>
      <c r="N18" s="134">
        <v>0</v>
      </c>
      <c r="O18" s="134">
        <v>0</v>
      </c>
      <c r="P18" s="134">
        <v>1.1399999999999999</v>
      </c>
      <c r="Q18" s="134">
        <v>5.51</v>
      </c>
    </row>
    <row r="19" spans="1:17" customFormat="1">
      <c r="A19" s="112" t="s">
        <v>441</v>
      </c>
      <c r="B19" s="134">
        <v>30.47</v>
      </c>
      <c r="C19" s="134">
        <v>23.61</v>
      </c>
      <c r="D19" s="134">
        <v>38.119999999999997</v>
      </c>
      <c r="E19" s="134">
        <v>6.03</v>
      </c>
      <c r="F19" s="134">
        <v>2.4300000000000002</v>
      </c>
      <c r="G19" s="134">
        <v>79.91</v>
      </c>
      <c r="H19" s="134">
        <v>27.65</v>
      </c>
      <c r="I19" s="134">
        <v>9.35</v>
      </c>
      <c r="J19" s="134">
        <v>0.16</v>
      </c>
      <c r="K19" s="134">
        <v>154.93</v>
      </c>
      <c r="L19" s="134">
        <v>23.99</v>
      </c>
      <c r="M19" s="134">
        <v>93.14</v>
      </c>
      <c r="N19" s="134">
        <v>0</v>
      </c>
      <c r="O19" s="134">
        <v>0</v>
      </c>
      <c r="P19" s="134">
        <v>1.1499999999999999</v>
      </c>
      <c r="Q19" s="134">
        <v>5.5</v>
      </c>
    </row>
    <row r="20" spans="1:17" customFormat="1">
      <c r="A20" s="112" t="s">
        <v>442</v>
      </c>
      <c r="B20" s="134">
        <v>29.82</v>
      </c>
      <c r="C20" s="134">
        <v>23.83</v>
      </c>
      <c r="D20" s="134">
        <v>37.72</v>
      </c>
      <c r="E20" s="134">
        <v>6.42</v>
      </c>
      <c r="F20" s="134">
        <v>2.58</v>
      </c>
      <c r="G20" s="134">
        <v>81.09</v>
      </c>
      <c r="H20" s="134">
        <v>30.13</v>
      </c>
      <c r="I20" s="134">
        <v>9.39</v>
      </c>
      <c r="J20" s="134">
        <v>0.1</v>
      </c>
      <c r="K20" s="134">
        <v>25.31</v>
      </c>
      <c r="L20" s="134">
        <v>23.75</v>
      </c>
      <c r="M20" s="134">
        <v>93.51</v>
      </c>
      <c r="N20" s="134">
        <v>0</v>
      </c>
      <c r="O20" s="134">
        <v>0</v>
      </c>
      <c r="P20" s="134">
        <v>1.1599999999999999</v>
      </c>
      <c r="Q20" s="134">
        <v>5.5</v>
      </c>
    </row>
    <row r="21" spans="1:17" customFormat="1">
      <c r="A21" s="112" t="s">
        <v>443</v>
      </c>
      <c r="B21" s="134">
        <v>29.86</v>
      </c>
      <c r="C21" s="134">
        <v>24.24</v>
      </c>
      <c r="D21" s="134">
        <v>37.96</v>
      </c>
      <c r="E21" s="134">
        <v>6.05</v>
      </c>
      <c r="F21" s="134">
        <v>2.7</v>
      </c>
      <c r="G21" s="134">
        <v>81.09</v>
      </c>
      <c r="H21" s="134">
        <v>30.13</v>
      </c>
      <c r="I21" s="134">
        <v>9.3800000000000008</v>
      </c>
      <c r="J21" s="134">
        <v>0.08</v>
      </c>
      <c r="K21" s="134">
        <v>11.25</v>
      </c>
      <c r="L21" s="134">
        <v>23.54</v>
      </c>
      <c r="M21" s="134">
        <v>94.58</v>
      </c>
      <c r="N21" s="134">
        <v>0</v>
      </c>
      <c r="O21" s="134">
        <v>0</v>
      </c>
      <c r="P21" s="134">
        <v>1.17</v>
      </c>
      <c r="Q21" s="134">
        <v>5.5</v>
      </c>
    </row>
    <row r="22" spans="1:17" customFormat="1">
      <c r="A22" s="112" t="s">
        <v>444</v>
      </c>
      <c r="B22" s="134">
        <v>30.28</v>
      </c>
      <c r="C22" s="134">
        <v>24.64</v>
      </c>
      <c r="D22" s="134">
        <v>38.51</v>
      </c>
      <c r="E22" s="134">
        <v>5.86</v>
      </c>
      <c r="F22" s="134">
        <v>2.69</v>
      </c>
      <c r="G22" s="134">
        <v>81.09</v>
      </c>
      <c r="H22" s="134">
        <v>30.13</v>
      </c>
      <c r="I22" s="134">
        <v>9.44</v>
      </c>
      <c r="J22" s="134">
        <v>7.0000000000000007E-2</v>
      </c>
      <c r="K22" s="134">
        <v>80</v>
      </c>
      <c r="L22" s="134">
        <v>23.62</v>
      </c>
      <c r="M22" s="134">
        <v>94.62</v>
      </c>
      <c r="N22" s="134">
        <v>0</v>
      </c>
      <c r="O22" s="134">
        <v>0</v>
      </c>
      <c r="P22" s="134">
        <v>1.17</v>
      </c>
      <c r="Q22" s="134">
        <v>5.54</v>
      </c>
    </row>
    <row r="23" spans="1:17" customFormat="1">
      <c r="A23" s="112" t="s">
        <v>445</v>
      </c>
      <c r="B23" s="134">
        <v>31.03</v>
      </c>
      <c r="C23" s="134">
        <v>24.98</v>
      </c>
      <c r="D23" s="134">
        <v>39.28</v>
      </c>
      <c r="E23" s="134">
        <v>6.11</v>
      </c>
      <c r="F23" s="134">
        <v>2.66</v>
      </c>
      <c r="G23" s="134">
        <v>81.400000000000006</v>
      </c>
      <c r="H23" s="134">
        <v>30.21</v>
      </c>
      <c r="I23" s="134">
        <v>9.4600000000000009</v>
      </c>
      <c r="J23" s="134">
        <v>0.12</v>
      </c>
      <c r="K23" s="134">
        <v>47.56</v>
      </c>
      <c r="L23" s="134">
        <v>23.64</v>
      </c>
      <c r="M23" s="134">
        <v>96.31</v>
      </c>
      <c r="N23" s="134">
        <v>0</v>
      </c>
      <c r="O23" s="134">
        <v>0</v>
      </c>
      <c r="P23" s="134">
        <v>1.1599999999999999</v>
      </c>
      <c r="Q23" s="134">
        <v>5.58</v>
      </c>
    </row>
    <row r="24" spans="1:17" customFormat="1">
      <c r="A24" s="112" t="s">
        <v>446</v>
      </c>
      <c r="B24" s="134">
        <v>32.28</v>
      </c>
      <c r="C24" s="134">
        <v>25.35</v>
      </c>
      <c r="D24" s="134">
        <v>40.479999999999997</v>
      </c>
      <c r="E24" s="134">
        <v>6.28</v>
      </c>
      <c r="F24" s="134">
        <v>2.6</v>
      </c>
      <c r="G24" s="134">
        <v>88.04</v>
      </c>
      <c r="H24" s="134">
        <v>31.37</v>
      </c>
      <c r="I24" s="134">
        <v>9.4600000000000009</v>
      </c>
      <c r="J24" s="134">
        <v>0.14000000000000001</v>
      </c>
      <c r="K24" s="134">
        <v>221.23</v>
      </c>
      <c r="L24" s="134">
        <v>23.54</v>
      </c>
      <c r="M24" s="134">
        <v>96.71</v>
      </c>
      <c r="N24" s="134">
        <v>0</v>
      </c>
      <c r="O24" s="134">
        <v>0</v>
      </c>
      <c r="P24" s="134">
        <v>1.1599999999999999</v>
      </c>
      <c r="Q24" s="134">
        <v>5.63</v>
      </c>
    </row>
    <row r="25" spans="1:17" customFormat="1">
      <c r="A25" s="112" t="s">
        <v>447</v>
      </c>
      <c r="B25" s="134">
        <v>32.83</v>
      </c>
      <c r="C25" s="134">
        <v>25.67</v>
      </c>
      <c r="D25" s="134">
        <v>41.09</v>
      </c>
      <c r="E25" s="134">
        <v>6.16</v>
      </c>
      <c r="F25" s="134">
        <v>2.61</v>
      </c>
      <c r="G25" s="134">
        <v>88.04</v>
      </c>
      <c r="H25" s="134">
        <v>31.37</v>
      </c>
      <c r="I25" s="134">
        <v>9.5</v>
      </c>
      <c r="J25" s="134">
        <v>0.11</v>
      </c>
      <c r="K25" s="134">
        <v>353.09</v>
      </c>
      <c r="L25" s="134">
        <v>23.28</v>
      </c>
      <c r="M25" s="134">
        <v>99.4</v>
      </c>
      <c r="N25" s="134">
        <v>0</v>
      </c>
      <c r="O25" s="134">
        <v>0</v>
      </c>
      <c r="P25" s="134">
        <v>1.1599999999999999</v>
      </c>
      <c r="Q25" s="134">
        <v>5.65</v>
      </c>
    </row>
    <row r="26" spans="1:17" customFormat="1">
      <c r="A26" s="112" t="s">
        <v>448</v>
      </c>
      <c r="B26" s="134">
        <v>33.14</v>
      </c>
      <c r="C26" s="134">
        <v>25.86</v>
      </c>
      <c r="D26" s="134">
        <v>41.43</v>
      </c>
      <c r="E26" s="134">
        <v>6.01</v>
      </c>
      <c r="F26" s="134">
        <v>2.5</v>
      </c>
      <c r="G26" s="134">
        <v>88.04</v>
      </c>
      <c r="H26" s="134">
        <v>31.37</v>
      </c>
      <c r="I26" s="134">
        <v>9.5299999999999994</v>
      </c>
      <c r="J26" s="134">
        <v>7.0000000000000007E-2</v>
      </c>
      <c r="K26" s="134">
        <v>106.93</v>
      </c>
      <c r="L26" s="134">
        <v>23.27</v>
      </c>
      <c r="M26" s="134">
        <v>98.67</v>
      </c>
      <c r="N26" s="134">
        <v>0</v>
      </c>
      <c r="O26" s="134">
        <v>0</v>
      </c>
      <c r="P26" s="134">
        <v>1.1599999999999999</v>
      </c>
      <c r="Q26" s="134">
        <v>5.69</v>
      </c>
    </row>
    <row r="27" spans="1:17" customFormat="1">
      <c r="A27" s="112" t="s">
        <v>449</v>
      </c>
      <c r="B27" s="134">
        <v>33.6</v>
      </c>
      <c r="C27" s="134">
        <v>26.34</v>
      </c>
      <c r="D27" s="134">
        <v>42.05</v>
      </c>
      <c r="E27" s="134">
        <v>6.57</v>
      </c>
      <c r="F27" s="134">
        <v>2.4500000000000002</v>
      </c>
      <c r="G27" s="134">
        <v>88.04</v>
      </c>
      <c r="H27" s="134">
        <v>31.65</v>
      </c>
      <c r="I27" s="134">
        <v>9.5299999999999994</v>
      </c>
      <c r="J27" s="134">
        <v>0.09</v>
      </c>
      <c r="K27" s="134">
        <v>73.27</v>
      </c>
      <c r="L27" s="134">
        <v>23.19</v>
      </c>
      <c r="M27" s="134">
        <v>99.01</v>
      </c>
      <c r="N27" s="134">
        <v>0</v>
      </c>
      <c r="O27" s="134">
        <v>0</v>
      </c>
      <c r="P27" s="134">
        <v>1.17</v>
      </c>
      <c r="Q27" s="134">
        <v>5.72</v>
      </c>
    </row>
    <row r="28" spans="1:17" customFormat="1">
      <c r="A28" s="112" t="s">
        <v>450</v>
      </c>
      <c r="B28" s="134">
        <v>34.42</v>
      </c>
      <c r="C28" s="134">
        <v>26.74</v>
      </c>
      <c r="D28" s="134">
        <v>42.92</v>
      </c>
      <c r="E28" s="134">
        <v>6.91</v>
      </c>
      <c r="F28" s="134">
        <v>2.4</v>
      </c>
      <c r="G28" s="134">
        <v>87.99</v>
      </c>
      <c r="H28" s="134">
        <v>36.04</v>
      </c>
      <c r="I28" s="134">
        <v>9.52</v>
      </c>
      <c r="J28" s="134">
        <v>0.23</v>
      </c>
      <c r="K28" s="134">
        <v>24.33</v>
      </c>
      <c r="L28" s="134">
        <v>22.98</v>
      </c>
      <c r="M28" s="134">
        <v>99.7</v>
      </c>
      <c r="N28" s="134">
        <v>0</v>
      </c>
      <c r="O28" s="134">
        <v>0</v>
      </c>
      <c r="P28" s="134">
        <v>1.1599999999999999</v>
      </c>
      <c r="Q28" s="134">
        <v>5.77</v>
      </c>
    </row>
    <row r="29" spans="1:17" customFormat="1">
      <c r="A29" s="112" t="s">
        <v>451</v>
      </c>
      <c r="B29" s="134">
        <v>35.479999999999997</v>
      </c>
      <c r="C29" s="134">
        <v>26.67</v>
      </c>
      <c r="D29" s="134">
        <v>43.74</v>
      </c>
      <c r="E29" s="134">
        <v>6.87</v>
      </c>
      <c r="F29" s="134">
        <v>2.5499999999999998</v>
      </c>
      <c r="G29" s="134">
        <v>87.99</v>
      </c>
      <c r="H29" s="134">
        <v>36.04</v>
      </c>
      <c r="I29" s="134">
        <v>9.5500000000000007</v>
      </c>
      <c r="J29" s="134">
        <v>0.25</v>
      </c>
      <c r="K29" s="134">
        <v>48.29</v>
      </c>
      <c r="L29" s="134">
        <v>23.07</v>
      </c>
      <c r="M29" s="134">
        <v>99.16</v>
      </c>
      <c r="N29" s="134">
        <v>0</v>
      </c>
      <c r="O29" s="134">
        <v>0</v>
      </c>
      <c r="P29" s="134">
        <v>1.1599999999999999</v>
      </c>
      <c r="Q29" s="134">
        <v>5.77</v>
      </c>
    </row>
    <row r="30" spans="1:17" customFormat="1">
      <c r="A30" s="112" t="s">
        <v>452</v>
      </c>
      <c r="B30" s="134">
        <v>35.840000000000003</v>
      </c>
      <c r="C30" s="134">
        <v>26.8</v>
      </c>
      <c r="D30" s="134">
        <v>44.09</v>
      </c>
      <c r="E30" s="134">
        <v>6.76</v>
      </c>
      <c r="F30" s="134">
        <v>2.4700000000000002</v>
      </c>
      <c r="G30" s="134">
        <v>87.99</v>
      </c>
      <c r="H30" s="134">
        <v>36.04</v>
      </c>
      <c r="I30" s="134">
        <v>9.56</v>
      </c>
      <c r="J30" s="134">
        <v>0.23</v>
      </c>
      <c r="K30" s="134">
        <v>37.9</v>
      </c>
      <c r="L30" s="134">
        <v>23.18</v>
      </c>
      <c r="M30" s="134">
        <v>97.06</v>
      </c>
      <c r="N30" s="134">
        <v>0</v>
      </c>
      <c r="O30" s="134">
        <v>0</v>
      </c>
      <c r="P30" s="134">
        <v>1.1599999999999999</v>
      </c>
      <c r="Q30" s="134">
        <v>5.83</v>
      </c>
    </row>
    <row r="31" spans="1:17" customFormat="1">
      <c r="A31" s="112" t="s">
        <v>453</v>
      </c>
      <c r="B31" s="134">
        <v>35.74</v>
      </c>
      <c r="C31" s="134">
        <v>27</v>
      </c>
      <c r="D31" s="134">
        <v>44.12</v>
      </c>
      <c r="E31" s="134">
        <v>6.5</v>
      </c>
      <c r="F31" s="134">
        <v>2.37</v>
      </c>
      <c r="G31" s="134">
        <v>88.17</v>
      </c>
      <c r="H31" s="134">
        <v>36.03</v>
      </c>
      <c r="I31" s="134">
        <v>9.5399999999999991</v>
      </c>
      <c r="J31" s="134">
        <v>0.25</v>
      </c>
      <c r="K31" s="134">
        <v>32.93</v>
      </c>
      <c r="L31" s="134">
        <v>23.16</v>
      </c>
      <c r="M31" s="134">
        <v>97.3</v>
      </c>
      <c r="N31" s="134">
        <v>0</v>
      </c>
      <c r="O31" s="134">
        <v>0</v>
      </c>
      <c r="P31" s="134">
        <v>1.1599999999999999</v>
      </c>
      <c r="Q31" s="134">
        <v>5.82</v>
      </c>
    </row>
    <row r="32" spans="1:17" customFormat="1">
      <c r="A32" s="112" t="s">
        <v>454</v>
      </c>
      <c r="B32" s="134">
        <v>35.299999999999997</v>
      </c>
      <c r="C32" s="134">
        <v>27.38</v>
      </c>
      <c r="D32" s="134">
        <v>43.96</v>
      </c>
      <c r="E32" s="134">
        <v>7.12</v>
      </c>
      <c r="F32" s="134">
        <v>2.4500000000000002</v>
      </c>
      <c r="G32" s="134">
        <v>92.1</v>
      </c>
      <c r="H32" s="134">
        <v>35.85</v>
      </c>
      <c r="I32" s="134">
        <v>9.48</v>
      </c>
      <c r="J32" s="134">
        <v>0.23</v>
      </c>
      <c r="K32" s="134">
        <v>46.39</v>
      </c>
      <c r="L32" s="134">
        <v>23.17</v>
      </c>
      <c r="M32" s="134">
        <v>98.07</v>
      </c>
      <c r="N32" s="134">
        <v>0</v>
      </c>
      <c r="O32" s="134">
        <v>0</v>
      </c>
      <c r="P32" s="134">
        <v>1.1499999999999999</v>
      </c>
      <c r="Q32" s="134">
        <v>5.8</v>
      </c>
    </row>
    <row r="33" spans="1:17" customFormat="1">
      <c r="A33" s="112" t="s">
        <v>455</v>
      </c>
      <c r="B33" s="134">
        <v>35.14</v>
      </c>
      <c r="C33" s="134">
        <v>27.24</v>
      </c>
      <c r="D33" s="134">
        <v>43.76</v>
      </c>
      <c r="E33" s="134">
        <v>7.17</v>
      </c>
      <c r="F33" s="134">
        <v>2.57</v>
      </c>
      <c r="G33" s="134">
        <v>92.1</v>
      </c>
      <c r="H33" s="134">
        <v>35.85</v>
      </c>
      <c r="I33" s="134">
        <v>9.43</v>
      </c>
      <c r="J33" s="134">
        <v>0.24</v>
      </c>
      <c r="K33" s="134">
        <v>41.43</v>
      </c>
      <c r="L33" s="134">
        <v>23.23</v>
      </c>
      <c r="M33" s="134">
        <v>96.6</v>
      </c>
      <c r="N33" s="134">
        <v>0</v>
      </c>
      <c r="O33" s="134">
        <v>0</v>
      </c>
      <c r="P33" s="134">
        <v>1.1499999999999999</v>
      </c>
      <c r="Q33" s="134">
        <v>5.81</v>
      </c>
    </row>
    <row r="34" spans="1:17" customFormat="1">
      <c r="A34" s="112" t="s">
        <v>456</v>
      </c>
      <c r="B34" s="134">
        <v>35.130000000000003</v>
      </c>
      <c r="C34" s="134">
        <v>27.47</v>
      </c>
      <c r="D34" s="134">
        <v>43.88</v>
      </c>
      <c r="E34" s="134">
        <v>6.91</v>
      </c>
      <c r="F34" s="134">
        <v>2.4</v>
      </c>
      <c r="G34" s="134">
        <v>92.1</v>
      </c>
      <c r="H34" s="134">
        <v>35.85</v>
      </c>
      <c r="I34" s="134">
        <v>9.4</v>
      </c>
      <c r="J34" s="134">
        <v>0.2</v>
      </c>
      <c r="K34" s="134">
        <v>33.630000000000003</v>
      </c>
      <c r="L34" s="134">
        <v>23.3</v>
      </c>
      <c r="M34" s="134">
        <v>94.97</v>
      </c>
      <c r="N34" s="134">
        <v>6.2</v>
      </c>
      <c r="O34" s="134">
        <v>0</v>
      </c>
      <c r="P34" s="134">
        <v>1.1399999999999999</v>
      </c>
      <c r="Q34" s="134">
        <v>5.81</v>
      </c>
    </row>
    <row r="35" spans="1:17" customFormat="1">
      <c r="A35" s="112" t="s">
        <v>457</v>
      </c>
      <c r="B35" s="134">
        <v>35.520000000000003</v>
      </c>
      <c r="C35" s="134">
        <v>27.59</v>
      </c>
      <c r="D35" s="134">
        <v>44.25</v>
      </c>
      <c r="E35" s="134">
        <v>6.84</v>
      </c>
      <c r="F35" s="134">
        <v>2.41</v>
      </c>
      <c r="G35" s="134">
        <v>91.76</v>
      </c>
      <c r="H35" s="134">
        <v>35.79</v>
      </c>
      <c r="I35" s="134">
        <v>9.42</v>
      </c>
      <c r="J35" s="134">
        <v>0.26</v>
      </c>
      <c r="K35" s="134">
        <v>50.04</v>
      </c>
      <c r="L35" s="134">
        <v>23.48</v>
      </c>
      <c r="M35" s="134">
        <v>95.65</v>
      </c>
      <c r="N35" s="134">
        <v>19.899999999999999</v>
      </c>
      <c r="O35" s="134">
        <v>0</v>
      </c>
      <c r="P35" s="134">
        <v>1.1499999999999999</v>
      </c>
      <c r="Q35" s="134">
        <v>5.83</v>
      </c>
    </row>
    <row r="36" spans="1:17" customFormat="1">
      <c r="A36" s="112" t="s">
        <v>458</v>
      </c>
      <c r="B36" s="134">
        <v>35.78</v>
      </c>
      <c r="C36" s="134">
        <v>27.88</v>
      </c>
      <c r="D36" s="134">
        <v>44.61</v>
      </c>
      <c r="E36" s="134">
        <v>7.76</v>
      </c>
      <c r="F36" s="134">
        <v>2.5</v>
      </c>
      <c r="G36" s="134">
        <v>86.66</v>
      </c>
      <c r="H36" s="134">
        <v>35.03</v>
      </c>
      <c r="I36" s="134">
        <v>9.4600000000000009</v>
      </c>
      <c r="J36" s="134">
        <v>0.32</v>
      </c>
      <c r="K36" s="134">
        <v>27.33</v>
      </c>
      <c r="L36" s="134">
        <v>23.78</v>
      </c>
      <c r="M36" s="134">
        <v>95.78</v>
      </c>
      <c r="N36" s="134">
        <v>36.799999999999997</v>
      </c>
      <c r="O36" s="134">
        <v>0</v>
      </c>
      <c r="P36" s="134">
        <v>1.1499999999999999</v>
      </c>
      <c r="Q36" s="134">
        <v>5.85</v>
      </c>
    </row>
    <row r="37" spans="1:17" customFormat="1">
      <c r="A37" s="112" t="s">
        <v>459</v>
      </c>
      <c r="B37" s="134">
        <v>35.549999999999997</v>
      </c>
      <c r="C37" s="134">
        <v>27.79</v>
      </c>
      <c r="D37" s="134">
        <v>44.38</v>
      </c>
      <c r="E37" s="134">
        <v>7.02</v>
      </c>
      <c r="F37" s="134">
        <v>2.42</v>
      </c>
      <c r="G37" s="134">
        <v>86.66</v>
      </c>
      <c r="H37" s="134">
        <v>35.03</v>
      </c>
      <c r="I37" s="134">
        <v>9.5299999999999994</v>
      </c>
      <c r="J37" s="134">
        <v>0.44</v>
      </c>
      <c r="K37" s="134">
        <v>35.81</v>
      </c>
      <c r="L37" s="134">
        <v>24.05</v>
      </c>
      <c r="M37" s="134">
        <v>91.37</v>
      </c>
      <c r="N37" s="134">
        <v>51.7</v>
      </c>
      <c r="O37" s="134">
        <v>0</v>
      </c>
      <c r="P37" s="134">
        <v>1.1599999999999999</v>
      </c>
      <c r="Q37" s="134">
        <v>5.85</v>
      </c>
    </row>
    <row r="38" spans="1:17" customFormat="1">
      <c r="A38" s="112" t="s">
        <v>460</v>
      </c>
      <c r="B38" s="134">
        <v>35.04</v>
      </c>
      <c r="C38" s="134">
        <v>27.83</v>
      </c>
      <c r="D38" s="134">
        <v>43.99</v>
      </c>
      <c r="E38" s="134">
        <v>7.28</v>
      </c>
      <c r="F38" s="134">
        <v>2.44</v>
      </c>
      <c r="G38" s="134">
        <v>86.66</v>
      </c>
      <c r="H38" s="134">
        <v>35.03</v>
      </c>
      <c r="I38" s="134">
        <v>9.68</v>
      </c>
      <c r="J38" s="134">
        <v>0.47</v>
      </c>
      <c r="K38" s="134">
        <v>30.75</v>
      </c>
      <c r="L38" s="134">
        <v>24.07</v>
      </c>
      <c r="M38" s="134">
        <v>90.89</v>
      </c>
      <c r="N38" s="134">
        <v>29.4</v>
      </c>
      <c r="O38" s="134">
        <v>0</v>
      </c>
      <c r="P38" s="134">
        <v>1.1599999999999999</v>
      </c>
      <c r="Q38" s="134">
        <v>5.82</v>
      </c>
    </row>
    <row r="39" spans="1:17" customFormat="1">
      <c r="A39" s="112" t="s">
        <v>461</v>
      </c>
      <c r="B39" s="134">
        <v>34.58</v>
      </c>
      <c r="C39" s="134">
        <v>27.89</v>
      </c>
      <c r="D39" s="134">
        <v>43.65</v>
      </c>
      <c r="E39" s="134">
        <v>7.06</v>
      </c>
      <c r="F39" s="134">
        <v>2.4500000000000002</v>
      </c>
      <c r="G39" s="134">
        <v>86.7</v>
      </c>
      <c r="H39" s="134">
        <v>34.950000000000003</v>
      </c>
      <c r="I39" s="134">
        <v>9.7200000000000006</v>
      </c>
      <c r="J39" s="134">
        <v>0.51</v>
      </c>
      <c r="K39" s="134">
        <v>32.18</v>
      </c>
      <c r="L39" s="134">
        <v>24</v>
      </c>
      <c r="M39" s="134">
        <v>93.1</v>
      </c>
      <c r="N39" s="134">
        <v>40.4</v>
      </c>
      <c r="O39" s="134">
        <v>0</v>
      </c>
      <c r="P39" s="134">
        <v>1.1499999999999999</v>
      </c>
      <c r="Q39" s="134">
        <v>5.79</v>
      </c>
    </row>
    <row r="40" spans="1:17" customFormat="1">
      <c r="A40" s="112" t="s">
        <v>462</v>
      </c>
      <c r="B40" s="134">
        <v>34.6</v>
      </c>
      <c r="C40" s="134">
        <v>27.94</v>
      </c>
      <c r="D40" s="134">
        <v>43.7</v>
      </c>
      <c r="E40" s="134">
        <v>6.51</v>
      </c>
      <c r="F40" s="134">
        <v>2.4900000000000002</v>
      </c>
      <c r="G40" s="134">
        <v>87.52</v>
      </c>
      <c r="H40" s="134">
        <v>33.590000000000003</v>
      </c>
      <c r="I40" s="134">
        <v>9.74</v>
      </c>
      <c r="J40" s="134">
        <v>0.61</v>
      </c>
      <c r="K40" s="134">
        <v>31.09</v>
      </c>
      <c r="L40" s="134">
        <v>24.25</v>
      </c>
      <c r="M40" s="134">
        <v>90.63</v>
      </c>
      <c r="N40" s="134">
        <v>92.7</v>
      </c>
      <c r="O40" s="134">
        <v>0</v>
      </c>
      <c r="P40" s="134">
        <v>1.1399999999999999</v>
      </c>
      <c r="Q40" s="134">
        <v>5.77</v>
      </c>
    </row>
    <row r="41" spans="1:17" customFormat="1">
      <c r="A41" s="112" t="s">
        <v>463</v>
      </c>
      <c r="B41" s="134">
        <v>34.75</v>
      </c>
      <c r="C41" s="134">
        <v>26.04</v>
      </c>
      <c r="D41" s="134">
        <v>42.82</v>
      </c>
      <c r="E41" s="134">
        <v>6.6</v>
      </c>
      <c r="F41" s="134">
        <v>3</v>
      </c>
      <c r="G41" s="134">
        <v>87.52</v>
      </c>
      <c r="H41" s="134">
        <v>33.590000000000003</v>
      </c>
      <c r="I41" s="134">
        <v>9.7200000000000006</v>
      </c>
      <c r="J41" s="134">
        <v>0.62</v>
      </c>
      <c r="K41" s="134">
        <v>34.76</v>
      </c>
      <c r="L41" s="134">
        <v>25.24</v>
      </c>
      <c r="M41" s="134">
        <v>85.04</v>
      </c>
      <c r="N41" s="134">
        <v>214.4</v>
      </c>
      <c r="O41" s="134">
        <v>0</v>
      </c>
      <c r="P41" s="134">
        <v>1.1100000000000001</v>
      </c>
      <c r="Q41" s="134">
        <v>5.76</v>
      </c>
    </row>
    <row r="42" spans="1:17" customFormat="1">
      <c r="A42" s="112" t="s">
        <v>464</v>
      </c>
      <c r="B42" s="134">
        <v>34.57</v>
      </c>
      <c r="C42" s="134">
        <v>24.05</v>
      </c>
      <c r="D42" s="134">
        <v>41.63</v>
      </c>
      <c r="E42" s="134">
        <v>6.12</v>
      </c>
      <c r="F42" s="134">
        <v>3.01</v>
      </c>
      <c r="G42" s="134">
        <v>87.52</v>
      </c>
      <c r="H42" s="134">
        <v>33.590000000000003</v>
      </c>
      <c r="I42" s="134">
        <v>9.7100000000000009</v>
      </c>
      <c r="J42" s="134">
        <v>0.45</v>
      </c>
      <c r="K42" s="134">
        <v>42.1</v>
      </c>
      <c r="L42" s="134">
        <v>25.9</v>
      </c>
      <c r="M42" s="134">
        <v>82.91</v>
      </c>
      <c r="N42" s="134">
        <v>143.19999999999999</v>
      </c>
      <c r="O42" s="134">
        <v>0</v>
      </c>
      <c r="P42" s="134">
        <v>1.0900000000000001</v>
      </c>
      <c r="Q42" s="134">
        <v>5.77</v>
      </c>
    </row>
    <row r="43" spans="1:17" customFormat="1">
      <c r="A43" s="112" t="s">
        <v>465</v>
      </c>
      <c r="B43" s="134">
        <v>34.07</v>
      </c>
      <c r="C43" s="134">
        <v>23.4</v>
      </c>
      <c r="D43" s="134">
        <v>40.9</v>
      </c>
      <c r="E43" s="134">
        <v>5.96</v>
      </c>
      <c r="F43" s="134">
        <v>2.99</v>
      </c>
      <c r="G43" s="134">
        <v>87.49</v>
      </c>
      <c r="H43" s="134">
        <v>33.49</v>
      </c>
      <c r="I43" s="134">
        <v>9.68</v>
      </c>
      <c r="J43" s="134">
        <v>0.4</v>
      </c>
      <c r="K43" s="134">
        <v>41.61</v>
      </c>
      <c r="L43" s="134">
        <v>26.2</v>
      </c>
      <c r="M43" s="134">
        <v>80.77</v>
      </c>
      <c r="N43" s="134">
        <v>116.2</v>
      </c>
      <c r="O43" s="134">
        <v>0</v>
      </c>
      <c r="P43" s="134">
        <v>1.07</v>
      </c>
      <c r="Q43" s="134">
        <v>5.74</v>
      </c>
    </row>
    <row r="44" spans="1:17" customFormat="1">
      <c r="A44" s="112" t="s">
        <v>466</v>
      </c>
      <c r="B44" s="134">
        <v>33.4</v>
      </c>
      <c r="C44" s="134">
        <v>22.99</v>
      </c>
      <c r="D44" s="134">
        <v>40.14</v>
      </c>
      <c r="E44" s="134">
        <v>6.26</v>
      </c>
      <c r="F44" s="134">
        <v>3.04</v>
      </c>
      <c r="G44" s="134">
        <v>86.96</v>
      </c>
      <c r="H44" s="134">
        <v>32.06</v>
      </c>
      <c r="I44" s="134">
        <v>9.61</v>
      </c>
      <c r="J44" s="134">
        <v>0.32</v>
      </c>
      <c r="K44" s="134">
        <v>47.99</v>
      </c>
      <c r="L44" s="134">
        <v>26.47</v>
      </c>
      <c r="M44" s="134">
        <v>79.430000000000007</v>
      </c>
      <c r="N44" s="134">
        <v>178.9</v>
      </c>
      <c r="O44" s="134">
        <v>0</v>
      </c>
      <c r="P44" s="134">
        <v>1.05</v>
      </c>
      <c r="Q44" s="134">
        <v>5.66</v>
      </c>
    </row>
    <row r="45" spans="1:17" customFormat="1">
      <c r="A45" s="112" t="s">
        <v>467</v>
      </c>
      <c r="B45" s="134">
        <v>32.619999999999997</v>
      </c>
      <c r="C45" s="134">
        <v>22.51</v>
      </c>
      <c r="D45" s="134">
        <v>39.270000000000003</v>
      </c>
      <c r="E45" s="134">
        <v>6.15</v>
      </c>
      <c r="F45" s="134">
        <v>3.19</v>
      </c>
      <c r="G45" s="134">
        <v>86.96</v>
      </c>
      <c r="H45" s="134">
        <v>32.06</v>
      </c>
      <c r="I45" s="134">
        <v>9.51</v>
      </c>
      <c r="J45" s="134">
        <v>0.5</v>
      </c>
      <c r="K45" s="134">
        <v>46.41</v>
      </c>
      <c r="L45" s="134">
        <v>27.47</v>
      </c>
      <c r="M45" s="134">
        <v>74.92</v>
      </c>
      <c r="N45" s="134">
        <v>283.8</v>
      </c>
      <c r="O45" s="134">
        <v>0</v>
      </c>
      <c r="P45" s="134">
        <v>1.05</v>
      </c>
      <c r="Q45" s="134">
        <v>5.61</v>
      </c>
    </row>
    <row r="46" spans="1:17" customFormat="1">
      <c r="A46" s="112" t="s">
        <v>468</v>
      </c>
      <c r="B46" s="134">
        <v>31.37</v>
      </c>
      <c r="C46" s="134">
        <v>22.58</v>
      </c>
      <c r="D46" s="134">
        <v>38.31</v>
      </c>
      <c r="E46" s="134">
        <v>5.99</v>
      </c>
      <c r="F46" s="134">
        <v>3.47</v>
      </c>
      <c r="G46" s="134">
        <v>86.96</v>
      </c>
      <c r="H46" s="134">
        <v>32.06</v>
      </c>
      <c r="I46" s="134">
        <v>9.4700000000000006</v>
      </c>
      <c r="J46" s="134">
        <v>0.31</v>
      </c>
      <c r="K46" s="134">
        <v>57.93</v>
      </c>
      <c r="L46" s="134">
        <v>27.96</v>
      </c>
      <c r="M46" s="134">
        <v>70.89</v>
      </c>
      <c r="N46" s="134">
        <v>225.4</v>
      </c>
      <c r="O46" s="134">
        <v>0</v>
      </c>
      <c r="P46" s="134">
        <v>1.03</v>
      </c>
      <c r="Q46" s="134">
        <v>5.56</v>
      </c>
    </row>
    <row r="47" spans="1:17" customFormat="1">
      <c r="A47" s="112" t="s">
        <v>469</v>
      </c>
      <c r="B47" s="134">
        <v>30.14</v>
      </c>
      <c r="C47" s="134">
        <v>22.98</v>
      </c>
      <c r="D47" s="134">
        <v>37.520000000000003</v>
      </c>
      <c r="E47" s="134">
        <v>6.61</v>
      </c>
      <c r="F47" s="134">
        <v>3.43</v>
      </c>
      <c r="G47" s="134">
        <v>86.51</v>
      </c>
      <c r="H47" s="134">
        <v>32.119999999999997</v>
      </c>
      <c r="I47" s="134">
        <v>9.42</v>
      </c>
      <c r="J47" s="134">
        <v>0.39</v>
      </c>
      <c r="K47" s="134">
        <v>39.86</v>
      </c>
      <c r="L47" s="134">
        <v>29.22</v>
      </c>
      <c r="M47" s="134">
        <v>67.150000000000006</v>
      </c>
      <c r="N47" s="134">
        <v>405.2</v>
      </c>
      <c r="O47" s="134">
        <v>0</v>
      </c>
      <c r="P47" s="134">
        <v>1.02</v>
      </c>
      <c r="Q47" s="134">
        <v>5.51</v>
      </c>
    </row>
    <row r="48" spans="1:17" customFormat="1">
      <c r="A48" s="112" t="s">
        <v>470</v>
      </c>
      <c r="B48" s="134">
        <v>29.01</v>
      </c>
      <c r="C48" s="134">
        <v>24.65</v>
      </c>
      <c r="D48" s="134">
        <v>37.5</v>
      </c>
      <c r="E48" s="134">
        <v>6.15</v>
      </c>
      <c r="F48" s="134">
        <v>3.23</v>
      </c>
      <c r="G48" s="134">
        <v>76.900000000000006</v>
      </c>
      <c r="H48" s="134">
        <v>33.08</v>
      </c>
      <c r="I48" s="134">
        <v>9.24</v>
      </c>
      <c r="J48" s="134">
        <v>0.28999999999999998</v>
      </c>
      <c r="K48" s="134">
        <v>62.27</v>
      </c>
      <c r="L48" s="134">
        <v>29.83</v>
      </c>
      <c r="M48" s="134">
        <v>63.39</v>
      </c>
      <c r="N48" s="134">
        <v>387</v>
      </c>
      <c r="O48" s="134">
        <v>0</v>
      </c>
      <c r="P48" s="134">
        <v>1.03</v>
      </c>
      <c r="Q48" s="134">
        <v>5.45</v>
      </c>
    </row>
    <row r="49" spans="1:17" customFormat="1">
      <c r="A49" s="112" t="s">
        <v>471</v>
      </c>
      <c r="B49" s="134">
        <v>27.94</v>
      </c>
      <c r="C49" s="134">
        <v>24.57</v>
      </c>
      <c r="D49" s="134">
        <v>36.6</v>
      </c>
      <c r="E49" s="134">
        <v>5</v>
      </c>
      <c r="F49" s="134">
        <v>3.21</v>
      </c>
      <c r="G49" s="134">
        <v>76.900000000000006</v>
      </c>
      <c r="H49" s="134">
        <v>33.08</v>
      </c>
      <c r="I49" s="134">
        <v>9.17</v>
      </c>
      <c r="J49" s="134">
        <v>0.34</v>
      </c>
      <c r="K49" s="134">
        <v>33.53</v>
      </c>
      <c r="L49" s="134">
        <v>30.13</v>
      </c>
      <c r="M49" s="134">
        <v>62.58</v>
      </c>
      <c r="N49" s="134">
        <v>407.5</v>
      </c>
      <c r="O49" s="134">
        <v>0</v>
      </c>
      <c r="P49" s="134">
        <v>1.02</v>
      </c>
      <c r="Q49" s="134">
        <v>5.42</v>
      </c>
    </row>
    <row r="50" spans="1:17" customFormat="1">
      <c r="A50" s="112" t="s">
        <v>472</v>
      </c>
      <c r="B50" s="134">
        <v>26.8</v>
      </c>
      <c r="C50" s="134">
        <v>24.11</v>
      </c>
      <c r="D50" s="134">
        <v>35.44</v>
      </c>
      <c r="E50" s="134">
        <v>5.71</v>
      </c>
      <c r="F50" s="134">
        <v>3.16</v>
      </c>
      <c r="G50" s="134">
        <v>76.900000000000006</v>
      </c>
      <c r="H50" s="134">
        <v>33.08</v>
      </c>
      <c r="I50" s="134">
        <v>9.08</v>
      </c>
      <c r="J50" s="134">
        <v>0.33</v>
      </c>
      <c r="K50" s="134">
        <v>47.48</v>
      </c>
      <c r="L50" s="134">
        <v>30.49</v>
      </c>
      <c r="M50" s="134">
        <v>60.76</v>
      </c>
      <c r="N50" s="134">
        <v>409.2</v>
      </c>
      <c r="O50" s="134">
        <v>0</v>
      </c>
      <c r="P50" s="134">
        <v>1</v>
      </c>
      <c r="Q50" s="134">
        <v>5.38</v>
      </c>
    </row>
    <row r="51" spans="1:17" customFormat="1">
      <c r="A51" s="112" t="s">
        <v>473</v>
      </c>
      <c r="B51" s="134">
        <v>25.41</v>
      </c>
      <c r="C51" s="134">
        <v>23.95</v>
      </c>
      <c r="D51" s="134">
        <v>34.24</v>
      </c>
      <c r="E51" s="134">
        <v>6.68</v>
      </c>
      <c r="F51" s="134">
        <v>4.2300000000000004</v>
      </c>
      <c r="G51" s="134">
        <v>76.22</v>
      </c>
      <c r="H51" s="134">
        <v>32.68</v>
      </c>
      <c r="I51" s="134">
        <v>8.91</v>
      </c>
      <c r="J51" s="134">
        <v>0.42</v>
      </c>
      <c r="K51" s="134">
        <v>34.020000000000003</v>
      </c>
      <c r="L51" s="134">
        <v>30.49</v>
      </c>
      <c r="M51" s="134">
        <v>61.72</v>
      </c>
      <c r="N51" s="134">
        <v>417.3</v>
      </c>
      <c r="O51" s="134">
        <v>0</v>
      </c>
      <c r="P51" s="134">
        <v>0.99</v>
      </c>
      <c r="Q51" s="134">
        <v>5.35</v>
      </c>
    </row>
    <row r="52" spans="1:17" customFormat="1">
      <c r="A52" s="112" t="s">
        <v>474</v>
      </c>
      <c r="B52" s="134">
        <v>23.91</v>
      </c>
      <c r="C52" s="134">
        <v>23.67</v>
      </c>
      <c r="D52" s="134">
        <v>32.89</v>
      </c>
      <c r="E52" s="134">
        <v>6.57</v>
      </c>
      <c r="F52" s="134">
        <v>5.4</v>
      </c>
      <c r="G52" s="134">
        <v>64.650000000000006</v>
      </c>
      <c r="H52" s="134">
        <v>26.49</v>
      </c>
      <c r="I52" s="134">
        <v>8.7799999999999994</v>
      </c>
      <c r="J52" s="134">
        <v>0.21</v>
      </c>
      <c r="K52" s="134">
        <v>120.93</v>
      </c>
      <c r="L52" s="134">
        <v>30.85</v>
      </c>
      <c r="M52" s="134">
        <v>59.24</v>
      </c>
      <c r="N52" s="134">
        <v>289.8</v>
      </c>
      <c r="O52" s="134">
        <v>0</v>
      </c>
      <c r="P52" s="134">
        <v>0.97</v>
      </c>
      <c r="Q52" s="134">
        <v>5.3</v>
      </c>
    </row>
    <row r="53" spans="1:17" customFormat="1">
      <c r="A53" s="112" t="s">
        <v>475</v>
      </c>
      <c r="B53" s="134">
        <v>23.2</v>
      </c>
      <c r="C53" s="134">
        <v>23.6</v>
      </c>
      <c r="D53" s="134">
        <v>32.29</v>
      </c>
      <c r="E53" s="134">
        <v>5.54</v>
      </c>
      <c r="F53" s="134">
        <v>3.52</v>
      </c>
      <c r="G53" s="134">
        <v>64.650000000000006</v>
      </c>
      <c r="H53" s="134">
        <v>26.49</v>
      </c>
      <c r="I53" s="134">
        <v>8.65</v>
      </c>
      <c r="J53" s="134">
        <v>0.2</v>
      </c>
      <c r="K53" s="134">
        <v>182.52</v>
      </c>
      <c r="L53" s="134">
        <v>30.31</v>
      </c>
      <c r="M53" s="134">
        <v>63</v>
      </c>
      <c r="N53" s="134">
        <v>283.2</v>
      </c>
      <c r="O53" s="134">
        <v>0</v>
      </c>
      <c r="P53" s="134">
        <v>0.95</v>
      </c>
      <c r="Q53" s="134">
        <v>5.24</v>
      </c>
    </row>
    <row r="54" spans="1:17" customFormat="1">
      <c r="A54" s="112" t="s">
        <v>476</v>
      </c>
      <c r="B54" s="134">
        <v>21.89</v>
      </c>
      <c r="C54" s="134">
        <v>23.18</v>
      </c>
      <c r="D54" s="134">
        <v>31.02</v>
      </c>
      <c r="E54" s="134">
        <v>5.31</v>
      </c>
      <c r="F54" s="134">
        <v>3.32</v>
      </c>
      <c r="G54" s="134">
        <v>64.650000000000006</v>
      </c>
      <c r="H54" s="134">
        <v>26.49</v>
      </c>
      <c r="I54" s="134">
        <v>8.56</v>
      </c>
      <c r="J54" s="134">
        <v>0.2</v>
      </c>
      <c r="K54" s="134">
        <v>132.01</v>
      </c>
      <c r="L54" s="134">
        <v>30.73</v>
      </c>
      <c r="M54" s="134">
        <v>62</v>
      </c>
      <c r="N54" s="134">
        <v>314.39999999999998</v>
      </c>
      <c r="O54" s="134">
        <v>0</v>
      </c>
      <c r="P54" s="134">
        <v>0.93</v>
      </c>
      <c r="Q54" s="134">
        <v>5.17</v>
      </c>
    </row>
    <row r="55" spans="1:17" customFormat="1">
      <c r="A55" s="112" t="s">
        <v>477</v>
      </c>
      <c r="B55" s="134">
        <v>20.76</v>
      </c>
      <c r="C55" s="134">
        <v>22.5</v>
      </c>
      <c r="D55" s="134">
        <v>29.75</v>
      </c>
      <c r="E55" s="134">
        <v>5.08</v>
      </c>
      <c r="F55" s="134">
        <v>3.27</v>
      </c>
      <c r="G55" s="134">
        <v>63.58</v>
      </c>
      <c r="H55" s="134">
        <v>26.22</v>
      </c>
      <c r="I55" s="134">
        <v>8.4700000000000006</v>
      </c>
      <c r="J55" s="134">
        <v>0.3</v>
      </c>
      <c r="K55" s="134">
        <v>171.43</v>
      </c>
      <c r="L55" s="134">
        <v>30.57</v>
      </c>
      <c r="M55" s="134">
        <v>62.34</v>
      </c>
      <c r="N55" s="134">
        <v>237.9</v>
      </c>
      <c r="O55" s="134">
        <v>0</v>
      </c>
      <c r="P55" s="134">
        <v>0.91</v>
      </c>
      <c r="Q55" s="134">
        <v>5.1100000000000003</v>
      </c>
    </row>
    <row r="56" spans="1:17" customFormat="1">
      <c r="A56" s="112" t="s">
        <v>478</v>
      </c>
      <c r="B56" s="134">
        <v>19.690000000000001</v>
      </c>
      <c r="C56" s="134">
        <v>21.77</v>
      </c>
      <c r="D56" s="134">
        <v>28.51</v>
      </c>
      <c r="E56" s="134">
        <v>5.0199999999999996</v>
      </c>
      <c r="F56" s="134">
        <v>3.88</v>
      </c>
      <c r="G56" s="134">
        <v>47.44</v>
      </c>
      <c r="H56" s="134">
        <v>22.47</v>
      </c>
      <c r="I56" s="134">
        <v>8.33</v>
      </c>
      <c r="J56" s="134">
        <v>0.28000000000000003</v>
      </c>
      <c r="K56" s="134">
        <v>146.07</v>
      </c>
      <c r="L56" s="134">
        <v>30.58</v>
      </c>
      <c r="M56" s="134">
        <v>62.36</v>
      </c>
      <c r="N56" s="134">
        <v>428</v>
      </c>
      <c r="O56" s="134">
        <v>0</v>
      </c>
      <c r="P56" s="134">
        <v>0.88</v>
      </c>
      <c r="Q56" s="134">
        <v>5.0599999999999996</v>
      </c>
    </row>
    <row r="57" spans="1:17" customFormat="1">
      <c r="A57" s="112" t="s">
        <v>479</v>
      </c>
      <c r="B57" s="134">
        <v>18.79</v>
      </c>
      <c r="C57" s="134">
        <v>20.84</v>
      </c>
      <c r="D57" s="134">
        <v>27.31</v>
      </c>
      <c r="E57" s="134">
        <v>4.88</v>
      </c>
      <c r="F57" s="134">
        <v>4.6900000000000004</v>
      </c>
      <c r="G57" s="134">
        <v>47.44</v>
      </c>
      <c r="H57" s="134">
        <v>22.47</v>
      </c>
      <c r="I57" s="134">
        <v>8.16</v>
      </c>
      <c r="J57" s="134">
        <v>0.19</v>
      </c>
      <c r="K57" s="134">
        <v>178.54</v>
      </c>
      <c r="L57" s="134">
        <v>31.45</v>
      </c>
      <c r="M57" s="134">
        <v>58.9</v>
      </c>
      <c r="N57" s="134">
        <v>563.70000000000005</v>
      </c>
      <c r="O57" s="134">
        <v>0</v>
      </c>
      <c r="P57" s="134">
        <v>0.86</v>
      </c>
      <c r="Q57" s="134">
        <v>5</v>
      </c>
    </row>
    <row r="58" spans="1:17" customFormat="1">
      <c r="A58" s="112" t="s">
        <v>480</v>
      </c>
      <c r="B58" s="134">
        <v>18.03</v>
      </c>
      <c r="C58" s="134">
        <v>21.53</v>
      </c>
      <c r="D58" s="134">
        <v>27.06</v>
      </c>
      <c r="E58" s="134">
        <v>4.95</v>
      </c>
      <c r="F58" s="134">
        <v>3.81</v>
      </c>
      <c r="G58" s="134">
        <v>47.44</v>
      </c>
      <c r="H58" s="134">
        <v>22.47</v>
      </c>
      <c r="I58" s="134">
        <v>8</v>
      </c>
      <c r="J58" s="134">
        <v>0.28999999999999998</v>
      </c>
      <c r="K58" s="134">
        <v>59.7</v>
      </c>
      <c r="L58" s="134">
        <v>32.03</v>
      </c>
      <c r="M58" s="134">
        <v>55.76</v>
      </c>
      <c r="N58" s="134">
        <v>568.79999999999995</v>
      </c>
      <c r="O58" s="134">
        <v>0</v>
      </c>
      <c r="P58" s="134">
        <v>0.85</v>
      </c>
      <c r="Q58" s="134">
        <v>4.95</v>
      </c>
    </row>
    <row r="59" spans="1:17" customFormat="1">
      <c r="A59" s="112" t="s">
        <v>481</v>
      </c>
      <c r="B59" s="134">
        <v>16.59</v>
      </c>
      <c r="C59" s="134">
        <v>21.4</v>
      </c>
      <c r="D59" s="134">
        <v>25.84</v>
      </c>
      <c r="E59" s="134">
        <v>4.17</v>
      </c>
      <c r="F59" s="134">
        <v>4.5</v>
      </c>
      <c r="G59" s="134">
        <v>47.01</v>
      </c>
      <c r="H59" s="134">
        <v>22.16</v>
      </c>
      <c r="I59" s="134">
        <v>7.75</v>
      </c>
      <c r="J59" s="134">
        <v>0.22</v>
      </c>
      <c r="K59" s="134">
        <v>166.1</v>
      </c>
      <c r="L59" s="134">
        <v>32.299999999999997</v>
      </c>
      <c r="M59" s="134">
        <v>55.99</v>
      </c>
      <c r="N59" s="134">
        <v>382.7</v>
      </c>
      <c r="O59" s="134">
        <v>0</v>
      </c>
      <c r="P59" s="134">
        <v>0.84</v>
      </c>
      <c r="Q59" s="134">
        <v>4.92</v>
      </c>
    </row>
    <row r="60" spans="1:17" customFormat="1">
      <c r="A60" s="112" t="s">
        <v>482</v>
      </c>
      <c r="B60" s="134">
        <v>13.84</v>
      </c>
      <c r="C60" s="134">
        <v>18.72</v>
      </c>
      <c r="D60" s="134">
        <v>22.23</v>
      </c>
      <c r="E60" s="134">
        <v>5.0999999999999996</v>
      </c>
      <c r="F60" s="134">
        <v>4.84</v>
      </c>
      <c r="G60" s="134">
        <v>37.83</v>
      </c>
      <c r="H60" s="134">
        <v>17.329999999999998</v>
      </c>
      <c r="I60" s="134">
        <v>7.69</v>
      </c>
      <c r="J60" s="134">
        <v>0.28999999999999998</v>
      </c>
      <c r="K60" s="134">
        <v>39.99</v>
      </c>
      <c r="L60" s="134">
        <v>32.43</v>
      </c>
      <c r="M60" s="134">
        <v>55.21</v>
      </c>
      <c r="N60" s="134">
        <v>472.9</v>
      </c>
      <c r="O60" s="134">
        <v>0</v>
      </c>
      <c r="P60" s="134">
        <v>0.8</v>
      </c>
      <c r="Q60" s="134">
        <v>4.8600000000000003</v>
      </c>
    </row>
    <row r="61" spans="1:17" customFormat="1">
      <c r="A61" s="112" t="s">
        <v>483</v>
      </c>
      <c r="B61" s="134">
        <v>13.91</v>
      </c>
      <c r="C61" s="134">
        <v>21.14</v>
      </c>
      <c r="D61" s="134">
        <v>23.55</v>
      </c>
      <c r="E61" s="134">
        <v>4.84</v>
      </c>
      <c r="F61" s="134">
        <v>5.13</v>
      </c>
      <c r="G61" s="134">
        <v>37.83</v>
      </c>
      <c r="H61" s="134">
        <v>17.329999999999998</v>
      </c>
      <c r="I61" s="134">
        <v>7.49</v>
      </c>
      <c r="J61" s="134">
        <v>0.55000000000000004</v>
      </c>
      <c r="K61" s="134">
        <v>30.2</v>
      </c>
      <c r="L61" s="134">
        <v>31.3</v>
      </c>
      <c r="M61" s="134">
        <v>58.98</v>
      </c>
      <c r="N61" s="134">
        <v>182.8</v>
      </c>
      <c r="O61" s="134">
        <v>0</v>
      </c>
      <c r="P61" s="134">
        <v>0.79</v>
      </c>
      <c r="Q61" s="134">
        <v>4.8099999999999996</v>
      </c>
    </row>
    <row r="62" spans="1:17" customFormat="1">
      <c r="A62" s="112" t="s">
        <v>484</v>
      </c>
      <c r="B62" s="134">
        <v>13.3</v>
      </c>
      <c r="C62" s="134">
        <v>21.65</v>
      </c>
      <c r="D62" s="134">
        <v>23.33</v>
      </c>
      <c r="E62" s="134">
        <v>4.53</v>
      </c>
      <c r="F62" s="134">
        <v>4.71</v>
      </c>
      <c r="G62" s="134">
        <v>37.83</v>
      </c>
      <c r="H62" s="134">
        <v>17.329999999999998</v>
      </c>
      <c r="I62" s="134">
        <v>7.14</v>
      </c>
      <c r="J62" s="134">
        <v>0.7</v>
      </c>
      <c r="K62" s="134">
        <v>322.95999999999998</v>
      </c>
      <c r="L62" s="134">
        <v>28.2</v>
      </c>
      <c r="M62" s="134">
        <v>67.36</v>
      </c>
      <c r="N62" s="134">
        <v>32.799999999999997</v>
      </c>
      <c r="O62" s="134">
        <v>0</v>
      </c>
      <c r="P62" s="134">
        <v>0.77</v>
      </c>
      <c r="Q62" s="134">
        <v>4.79</v>
      </c>
    </row>
    <row r="63" spans="1:17" customFormat="1">
      <c r="A63" s="112" t="s">
        <v>485</v>
      </c>
      <c r="B63" s="134">
        <v>12.2</v>
      </c>
      <c r="C63" s="134">
        <v>21.02</v>
      </c>
      <c r="D63" s="134">
        <v>22.11</v>
      </c>
      <c r="E63" s="134">
        <v>4.55</v>
      </c>
      <c r="F63" s="134">
        <v>5.58</v>
      </c>
      <c r="G63" s="134">
        <v>37.83</v>
      </c>
      <c r="H63" s="134">
        <v>17.34</v>
      </c>
      <c r="I63" s="134">
        <v>6.98</v>
      </c>
      <c r="J63" s="134">
        <v>0.72</v>
      </c>
      <c r="K63" s="134">
        <v>10.9</v>
      </c>
      <c r="L63" s="134">
        <v>25.46</v>
      </c>
      <c r="M63" s="134">
        <v>84.56</v>
      </c>
      <c r="N63" s="134">
        <v>115.4</v>
      </c>
      <c r="O63" s="134">
        <v>1.4</v>
      </c>
      <c r="P63" s="134">
        <v>0.74</v>
      </c>
      <c r="Q63" s="134">
        <v>4.75</v>
      </c>
    </row>
    <row r="64" spans="1:17" customFormat="1">
      <c r="A64" s="112" t="s">
        <v>486</v>
      </c>
      <c r="B64" s="134">
        <v>11.74</v>
      </c>
      <c r="C64" s="134">
        <v>22.13</v>
      </c>
      <c r="D64" s="134">
        <v>22.33</v>
      </c>
      <c r="E64" s="134">
        <v>4.63</v>
      </c>
      <c r="F64" s="134">
        <v>4.3</v>
      </c>
      <c r="G64" s="134">
        <v>37.69</v>
      </c>
      <c r="H64" s="134">
        <v>17.420000000000002</v>
      </c>
      <c r="I64" s="134">
        <v>6.87</v>
      </c>
      <c r="J64" s="134">
        <v>0.63</v>
      </c>
      <c r="K64" s="134">
        <v>56.77</v>
      </c>
      <c r="L64" s="134">
        <v>25.08</v>
      </c>
      <c r="M64" s="134">
        <v>86.93</v>
      </c>
      <c r="N64" s="134">
        <v>252.9</v>
      </c>
      <c r="O64" s="134">
        <v>0</v>
      </c>
      <c r="P64" s="134">
        <v>0.74</v>
      </c>
      <c r="Q64" s="134">
        <v>4.71</v>
      </c>
    </row>
    <row r="65" spans="1:17" customFormat="1">
      <c r="A65" s="112" t="s">
        <v>487</v>
      </c>
      <c r="B65" s="134">
        <v>11.51</v>
      </c>
      <c r="C65" s="134">
        <v>22.44</v>
      </c>
      <c r="D65" s="134">
        <v>22.31</v>
      </c>
      <c r="E65" s="134">
        <v>4.62</v>
      </c>
      <c r="F65" s="134">
        <v>3.59</v>
      </c>
      <c r="G65" s="134">
        <v>37.69</v>
      </c>
      <c r="H65" s="134">
        <v>17.420000000000002</v>
      </c>
      <c r="I65" s="134">
        <v>6.55</v>
      </c>
      <c r="J65" s="134">
        <v>0.38</v>
      </c>
      <c r="K65" s="134">
        <v>68.88</v>
      </c>
      <c r="L65" s="134">
        <v>26.33</v>
      </c>
      <c r="M65" s="134">
        <v>73.849999999999994</v>
      </c>
      <c r="N65" s="134">
        <v>408.2</v>
      </c>
      <c r="O65" s="134">
        <v>0</v>
      </c>
      <c r="P65" s="134">
        <v>0.63</v>
      </c>
      <c r="Q65" s="134">
        <v>4.7</v>
      </c>
    </row>
    <row r="66" spans="1:17" customFormat="1">
      <c r="A66" s="112" t="s">
        <v>488</v>
      </c>
      <c r="B66" s="134">
        <v>11.24</v>
      </c>
      <c r="C66" s="134">
        <v>22.32</v>
      </c>
      <c r="D66" s="134">
        <v>22.03</v>
      </c>
      <c r="E66" s="134">
        <v>4.53</v>
      </c>
      <c r="F66" s="134">
        <v>3.2</v>
      </c>
      <c r="G66" s="134">
        <v>37.69</v>
      </c>
      <c r="H66" s="134">
        <v>17.420000000000002</v>
      </c>
      <c r="I66" s="134">
        <v>6.64</v>
      </c>
      <c r="J66" s="134">
        <v>0.56999999999999995</v>
      </c>
      <c r="K66" s="134">
        <v>50.2</v>
      </c>
      <c r="L66" s="134">
        <v>27.05</v>
      </c>
      <c r="M66" s="134">
        <v>68.290000000000006</v>
      </c>
      <c r="N66" s="134">
        <v>284.89999999999998</v>
      </c>
      <c r="O66" s="134">
        <v>0</v>
      </c>
      <c r="P66" s="134">
        <v>0.65</v>
      </c>
      <c r="Q66" s="134">
        <v>4.68</v>
      </c>
    </row>
    <row r="67" spans="1:17" customFormat="1">
      <c r="A67" s="112" t="s">
        <v>489</v>
      </c>
      <c r="B67" s="134">
        <v>11</v>
      </c>
      <c r="C67" s="134">
        <v>22.31</v>
      </c>
      <c r="D67" s="134">
        <v>21.83</v>
      </c>
      <c r="E67" s="134">
        <v>4.91</v>
      </c>
      <c r="F67" s="134">
        <v>3.13</v>
      </c>
      <c r="G67" s="134">
        <v>37.71</v>
      </c>
      <c r="H67" s="134">
        <v>17.100000000000001</v>
      </c>
      <c r="I67" s="134">
        <v>6.48</v>
      </c>
      <c r="J67" s="134">
        <v>0.61</v>
      </c>
      <c r="K67" s="134">
        <v>49.42</v>
      </c>
      <c r="L67" s="134">
        <v>27.09</v>
      </c>
      <c r="M67" s="134">
        <v>65.95</v>
      </c>
      <c r="N67" s="134">
        <v>122.1</v>
      </c>
      <c r="O67" s="134">
        <v>0</v>
      </c>
      <c r="P67" s="134">
        <v>0.64</v>
      </c>
      <c r="Q67" s="134">
        <v>4.66</v>
      </c>
    </row>
    <row r="68" spans="1:17" customFormat="1">
      <c r="A68" s="112" t="s">
        <v>490</v>
      </c>
      <c r="B68" s="134">
        <v>10.69</v>
      </c>
      <c r="C68" s="134">
        <v>22.71</v>
      </c>
      <c r="D68" s="134">
        <v>21.79</v>
      </c>
      <c r="E68" s="134">
        <v>4.76</v>
      </c>
      <c r="F68" s="134">
        <v>3.04</v>
      </c>
      <c r="G68" s="134">
        <v>37.97</v>
      </c>
      <c r="H68" s="134">
        <v>12.19</v>
      </c>
      <c r="I68" s="134">
        <v>6.32</v>
      </c>
      <c r="J68" s="134">
        <v>0.24</v>
      </c>
      <c r="K68" s="134">
        <v>86.17</v>
      </c>
      <c r="L68" s="134">
        <v>27.76</v>
      </c>
      <c r="M68" s="134">
        <v>62.43</v>
      </c>
      <c r="N68" s="134">
        <v>107.2</v>
      </c>
      <c r="O68" s="134">
        <v>0</v>
      </c>
      <c r="P68" s="134">
        <v>0.62</v>
      </c>
      <c r="Q68" s="134">
        <v>4.67</v>
      </c>
    </row>
    <row r="69" spans="1:17" customFormat="1">
      <c r="A69" s="112" t="s">
        <v>491</v>
      </c>
      <c r="B69" s="134">
        <v>10.61</v>
      </c>
      <c r="C69" s="134">
        <v>22.63</v>
      </c>
      <c r="D69" s="134">
        <v>21.68</v>
      </c>
      <c r="E69" s="134">
        <v>4.5999999999999996</v>
      </c>
      <c r="F69" s="134">
        <v>3.17</v>
      </c>
      <c r="G69" s="134">
        <v>37.97</v>
      </c>
      <c r="H69" s="134">
        <v>12.19</v>
      </c>
      <c r="I69" s="134">
        <v>6.12</v>
      </c>
      <c r="J69" s="134">
        <v>0.45</v>
      </c>
      <c r="K69" s="134">
        <v>52.08</v>
      </c>
      <c r="L69" s="134">
        <v>28.27</v>
      </c>
      <c r="M69" s="134">
        <v>58.01</v>
      </c>
      <c r="N69" s="134">
        <v>89.9</v>
      </c>
      <c r="O69" s="134">
        <v>0</v>
      </c>
      <c r="P69" s="134">
        <v>0.62</v>
      </c>
      <c r="Q69" s="134">
        <v>4.66</v>
      </c>
    </row>
    <row r="70" spans="1:17" customFormat="1">
      <c r="A70" s="112" t="s">
        <v>492</v>
      </c>
      <c r="B70" s="134">
        <v>10.73</v>
      </c>
      <c r="C70" s="134">
        <v>22.72</v>
      </c>
      <c r="D70" s="134">
        <v>21.83</v>
      </c>
      <c r="E70" s="134">
        <v>5.0999999999999996</v>
      </c>
      <c r="F70" s="134">
        <v>3.12</v>
      </c>
      <c r="G70" s="134">
        <v>37.97</v>
      </c>
      <c r="H70" s="134">
        <v>12.19</v>
      </c>
      <c r="I70" s="134">
        <v>5.99</v>
      </c>
      <c r="J70" s="134">
        <v>0.21</v>
      </c>
      <c r="K70" s="134">
        <v>78.11</v>
      </c>
      <c r="L70" s="134">
        <v>28.4</v>
      </c>
      <c r="M70" s="134">
        <v>59.11</v>
      </c>
      <c r="N70" s="134">
        <v>79.099999999999994</v>
      </c>
      <c r="O70" s="134">
        <v>0</v>
      </c>
      <c r="P70" s="134">
        <v>0.61</v>
      </c>
      <c r="Q70" s="134">
        <v>4.66</v>
      </c>
    </row>
    <row r="71" spans="1:17" customFormat="1">
      <c r="A71" s="112" t="s">
        <v>493</v>
      </c>
      <c r="B71" s="134">
        <v>10.7</v>
      </c>
      <c r="C71" s="134">
        <v>22.49</v>
      </c>
      <c r="D71" s="134">
        <v>21.68</v>
      </c>
      <c r="E71" s="134">
        <v>4.68</v>
      </c>
      <c r="F71" s="134">
        <v>3.52</v>
      </c>
      <c r="G71" s="134">
        <v>37.97</v>
      </c>
      <c r="H71" s="134">
        <v>12.23</v>
      </c>
      <c r="I71" s="134">
        <v>5.85</v>
      </c>
      <c r="J71" s="134">
        <v>0.15</v>
      </c>
      <c r="K71" s="134">
        <v>154.82</v>
      </c>
      <c r="L71" s="134">
        <v>28.69</v>
      </c>
      <c r="M71" s="134">
        <v>63.42</v>
      </c>
      <c r="N71" s="134">
        <v>70.7</v>
      </c>
      <c r="O71" s="134">
        <v>0</v>
      </c>
      <c r="P71" s="134">
        <v>0.59</v>
      </c>
      <c r="Q71" s="134">
        <v>4.66</v>
      </c>
    </row>
    <row r="72" spans="1:17" customFormat="1">
      <c r="A72" s="112" t="s">
        <v>494</v>
      </c>
      <c r="B72" s="134">
        <v>10.64</v>
      </c>
      <c r="C72" s="134">
        <v>22.38</v>
      </c>
      <c r="D72" s="134">
        <v>21.58</v>
      </c>
      <c r="E72" s="134">
        <v>4.91</v>
      </c>
      <c r="F72" s="134">
        <v>4.24</v>
      </c>
      <c r="G72" s="134">
        <v>37.869999999999997</v>
      </c>
      <c r="H72" s="134">
        <v>12.73</v>
      </c>
      <c r="I72" s="134">
        <v>5.74</v>
      </c>
      <c r="J72" s="134">
        <v>0.44</v>
      </c>
      <c r="K72" s="134">
        <v>47.92</v>
      </c>
      <c r="L72" s="134">
        <v>28.68</v>
      </c>
      <c r="M72" s="134">
        <v>63.65</v>
      </c>
      <c r="N72" s="134">
        <v>58.6</v>
      </c>
      <c r="O72" s="134">
        <v>0</v>
      </c>
      <c r="P72" s="134">
        <v>0.59</v>
      </c>
      <c r="Q72" s="134">
        <v>4.67</v>
      </c>
    </row>
    <row r="73" spans="1:17" customFormat="1">
      <c r="A73" s="112" t="s">
        <v>495</v>
      </c>
      <c r="B73" s="134">
        <v>11.28</v>
      </c>
      <c r="C73" s="134">
        <v>22.95</v>
      </c>
      <c r="D73" s="134">
        <v>22.39</v>
      </c>
      <c r="E73" s="134">
        <v>5.0199999999999996</v>
      </c>
      <c r="F73" s="134">
        <v>3.13</v>
      </c>
      <c r="G73" s="134">
        <v>37.869999999999997</v>
      </c>
      <c r="H73" s="134">
        <v>12.73</v>
      </c>
      <c r="I73" s="134">
        <v>5.59</v>
      </c>
      <c r="J73" s="134">
        <v>0.36</v>
      </c>
      <c r="K73" s="134">
        <v>61.12</v>
      </c>
      <c r="L73" s="134">
        <v>28.57</v>
      </c>
      <c r="M73" s="134">
        <v>64.099999999999994</v>
      </c>
      <c r="N73" s="134">
        <v>51.6</v>
      </c>
      <c r="O73" s="134">
        <v>0</v>
      </c>
      <c r="P73" s="134">
        <v>0.6</v>
      </c>
      <c r="Q73" s="134">
        <v>4.7</v>
      </c>
    </row>
    <row r="74" spans="1:17" customFormat="1">
      <c r="A74" s="112" t="s">
        <v>496</v>
      </c>
      <c r="B74" s="134">
        <v>11.93</v>
      </c>
      <c r="C74" s="134">
        <v>23.31</v>
      </c>
      <c r="D74" s="134">
        <v>23.1</v>
      </c>
      <c r="E74" s="134">
        <v>4.99</v>
      </c>
      <c r="F74" s="134">
        <v>2.88</v>
      </c>
      <c r="G74" s="134">
        <v>37.869999999999997</v>
      </c>
      <c r="H74" s="134">
        <v>12.73</v>
      </c>
      <c r="I74" s="134">
        <v>5.45</v>
      </c>
      <c r="J74" s="134">
        <v>0.13</v>
      </c>
      <c r="K74" s="134">
        <v>114.99</v>
      </c>
      <c r="L74" s="134">
        <v>28.39</v>
      </c>
      <c r="M74" s="134">
        <v>65.92</v>
      </c>
      <c r="N74" s="134">
        <v>44.7</v>
      </c>
      <c r="O74" s="134">
        <v>0</v>
      </c>
      <c r="P74" s="134">
        <v>0.6</v>
      </c>
      <c r="Q74" s="134">
        <v>4.7300000000000004</v>
      </c>
    </row>
    <row r="75" spans="1:17" customFormat="1">
      <c r="A75" s="112" t="s">
        <v>497</v>
      </c>
      <c r="B75" s="134">
        <v>11.88</v>
      </c>
      <c r="C75" s="134">
        <v>23.47</v>
      </c>
      <c r="D75" s="134">
        <v>23.14</v>
      </c>
      <c r="E75" s="134">
        <v>5.23</v>
      </c>
      <c r="F75" s="134">
        <v>2.93</v>
      </c>
      <c r="G75" s="134">
        <v>38.119999999999997</v>
      </c>
      <c r="H75" s="134">
        <v>12.81</v>
      </c>
      <c r="I75" s="134">
        <v>5.52</v>
      </c>
      <c r="J75" s="134">
        <v>0.2</v>
      </c>
      <c r="K75" s="134">
        <v>171.11</v>
      </c>
      <c r="L75" s="134">
        <v>27.61</v>
      </c>
      <c r="M75" s="134">
        <v>71.12</v>
      </c>
      <c r="N75" s="134">
        <v>18.3</v>
      </c>
      <c r="O75" s="134">
        <v>0</v>
      </c>
      <c r="P75" s="134">
        <v>0.59</v>
      </c>
      <c r="Q75" s="134">
        <v>4.7300000000000004</v>
      </c>
    </row>
    <row r="76" spans="1:17" customFormat="1">
      <c r="A76" s="112" t="s">
        <v>498</v>
      </c>
      <c r="B76" s="134">
        <v>11.81</v>
      </c>
      <c r="C76" s="134">
        <v>23.22</v>
      </c>
      <c r="D76" s="134">
        <v>22.96</v>
      </c>
      <c r="E76" s="134">
        <v>4.8</v>
      </c>
      <c r="F76" s="134">
        <v>3.05</v>
      </c>
      <c r="G76" s="134">
        <v>43.41</v>
      </c>
      <c r="H76" s="134">
        <v>14</v>
      </c>
      <c r="I76" s="134">
        <v>5.51</v>
      </c>
      <c r="J76" s="134">
        <v>0.18</v>
      </c>
      <c r="K76" s="134">
        <v>171.99</v>
      </c>
      <c r="L76" s="134">
        <v>27.11</v>
      </c>
      <c r="M76" s="134">
        <v>75.3</v>
      </c>
      <c r="N76" s="134">
        <v>5</v>
      </c>
      <c r="O76" s="134">
        <v>0</v>
      </c>
      <c r="P76" s="134">
        <v>0.57999999999999996</v>
      </c>
      <c r="Q76" s="134">
        <v>4.7300000000000004</v>
      </c>
    </row>
    <row r="77" spans="1:17" customFormat="1">
      <c r="A77" s="112" t="s">
        <v>499</v>
      </c>
      <c r="B77" s="134">
        <v>11.9</v>
      </c>
      <c r="C77" s="134">
        <v>22.45</v>
      </c>
      <c r="D77" s="134">
        <v>22.63</v>
      </c>
      <c r="E77" s="134">
        <v>4.8499999999999996</v>
      </c>
      <c r="F77" s="134">
        <v>2.77</v>
      </c>
      <c r="G77" s="134">
        <v>43.41</v>
      </c>
      <c r="H77" s="134">
        <v>14</v>
      </c>
      <c r="I77" s="134">
        <v>5.48</v>
      </c>
      <c r="J77" s="134">
        <v>0.25</v>
      </c>
      <c r="K77" s="134">
        <v>166.79</v>
      </c>
      <c r="L77" s="134">
        <v>26.81</v>
      </c>
      <c r="M77" s="134">
        <v>77.59</v>
      </c>
      <c r="N77" s="134">
        <v>0</v>
      </c>
      <c r="O77" s="134">
        <v>0</v>
      </c>
      <c r="P77" s="134">
        <v>0.57999999999999996</v>
      </c>
      <c r="Q77" s="134">
        <v>4.72</v>
      </c>
    </row>
    <row r="78" spans="1:17" customFormat="1">
      <c r="A78" s="112" t="s">
        <v>500</v>
      </c>
      <c r="B78" s="134">
        <v>11.79</v>
      </c>
      <c r="C78" s="134">
        <v>22.64</v>
      </c>
      <c r="D78" s="134">
        <v>22.64</v>
      </c>
      <c r="E78" s="134">
        <v>4.82</v>
      </c>
      <c r="F78" s="134">
        <v>2.74</v>
      </c>
      <c r="G78" s="134">
        <v>43.41</v>
      </c>
      <c r="H78" s="134">
        <v>14</v>
      </c>
      <c r="I78" s="134">
        <v>5.71</v>
      </c>
      <c r="J78" s="134">
        <v>0.26</v>
      </c>
      <c r="K78" s="134">
        <v>169.02</v>
      </c>
      <c r="L78" s="134">
        <v>26.46</v>
      </c>
      <c r="M78" s="134">
        <v>81.209999999999994</v>
      </c>
      <c r="N78" s="134">
        <v>0</v>
      </c>
      <c r="O78" s="134">
        <v>0</v>
      </c>
      <c r="P78" s="134">
        <v>0.57999999999999996</v>
      </c>
      <c r="Q78" s="134">
        <v>4.72</v>
      </c>
    </row>
    <row r="79" spans="1:17" customFormat="1">
      <c r="A79" s="112" t="s">
        <v>501</v>
      </c>
      <c r="B79" s="134">
        <v>12.02</v>
      </c>
      <c r="C79" s="134">
        <v>23.82</v>
      </c>
      <c r="D79" s="134">
        <v>23.44</v>
      </c>
      <c r="E79" s="134">
        <v>4.87</v>
      </c>
      <c r="F79" s="134">
        <v>2.4700000000000002</v>
      </c>
      <c r="G79" s="134">
        <v>43.55</v>
      </c>
      <c r="H79" s="134">
        <v>14.04</v>
      </c>
      <c r="I79" s="134">
        <v>6.03</v>
      </c>
      <c r="J79" s="134">
        <v>0.15</v>
      </c>
      <c r="K79" s="134">
        <v>160.55000000000001</v>
      </c>
      <c r="L79" s="134">
        <v>26.14</v>
      </c>
      <c r="M79" s="134">
        <v>86</v>
      </c>
      <c r="N79" s="134">
        <v>0</v>
      </c>
      <c r="O79" s="134">
        <v>0</v>
      </c>
      <c r="P79" s="134">
        <v>0.59</v>
      </c>
      <c r="Q79" s="134">
        <v>4.72</v>
      </c>
    </row>
    <row r="80" spans="1:17" customFormat="1">
      <c r="A80" s="112" t="s">
        <v>502</v>
      </c>
      <c r="B80" s="134">
        <v>12.7</v>
      </c>
      <c r="C80" s="134">
        <v>22.47</v>
      </c>
      <c r="D80" s="134">
        <v>23.28</v>
      </c>
      <c r="E80" s="134">
        <v>5.15</v>
      </c>
      <c r="F80" s="134">
        <v>2.84</v>
      </c>
      <c r="G80" s="134">
        <v>46.01</v>
      </c>
      <c r="H80" s="134">
        <v>14.71</v>
      </c>
      <c r="I80" s="134">
        <v>6.55</v>
      </c>
      <c r="J80" s="134">
        <v>0.09</v>
      </c>
      <c r="K80" s="134">
        <v>158.97999999999999</v>
      </c>
      <c r="L80" s="134">
        <v>25.93</v>
      </c>
      <c r="M80" s="134">
        <v>84.11</v>
      </c>
      <c r="N80" s="134">
        <v>0</v>
      </c>
      <c r="O80" s="134">
        <v>0</v>
      </c>
      <c r="P80" s="134">
        <v>0.57999999999999996</v>
      </c>
      <c r="Q80" s="134">
        <v>4.74</v>
      </c>
    </row>
    <row r="81" spans="1:17" customFormat="1">
      <c r="A81" s="112" t="s">
        <v>503</v>
      </c>
      <c r="B81" s="134">
        <v>13.88</v>
      </c>
      <c r="C81" s="134">
        <v>21.35</v>
      </c>
      <c r="D81" s="134">
        <v>23.64</v>
      </c>
      <c r="E81" s="134">
        <v>4.4800000000000004</v>
      </c>
      <c r="F81" s="134">
        <v>2.94</v>
      </c>
      <c r="G81" s="134">
        <v>46.01</v>
      </c>
      <c r="H81" s="134">
        <v>14.71</v>
      </c>
      <c r="I81" s="134">
        <v>6.85</v>
      </c>
      <c r="J81" s="134">
        <v>0.13</v>
      </c>
      <c r="K81" s="134">
        <v>184.2</v>
      </c>
      <c r="L81" s="134">
        <v>25.89</v>
      </c>
      <c r="M81" s="134">
        <v>84.42</v>
      </c>
      <c r="N81" s="134">
        <v>0</v>
      </c>
      <c r="O81" s="134">
        <v>0</v>
      </c>
      <c r="P81" s="134">
        <v>0.56999999999999995</v>
      </c>
      <c r="Q81" s="134">
        <v>4.79</v>
      </c>
    </row>
    <row r="82" spans="1:17" customFormat="1">
      <c r="A82" s="112" t="s">
        <v>504</v>
      </c>
      <c r="B82" s="134">
        <v>15.11</v>
      </c>
      <c r="C82" s="134">
        <v>20.72</v>
      </c>
      <c r="D82" s="134">
        <v>24.29</v>
      </c>
      <c r="E82" s="134">
        <v>5.66</v>
      </c>
      <c r="F82" s="134">
        <v>2.71</v>
      </c>
      <c r="G82" s="134">
        <v>46.01</v>
      </c>
      <c r="H82" s="134">
        <v>14.71</v>
      </c>
      <c r="I82" s="134">
        <v>7.01</v>
      </c>
      <c r="J82" s="134">
        <v>0.2</v>
      </c>
      <c r="K82" s="134">
        <v>174.09</v>
      </c>
      <c r="L82" s="134">
        <v>25.62</v>
      </c>
      <c r="M82" s="134">
        <v>86.48</v>
      </c>
      <c r="N82" s="134">
        <v>0</v>
      </c>
      <c r="O82" s="134">
        <v>0</v>
      </c>
      <c r="P82" s="134">
        <v>0.59</v>
      </c>
      <c r="Q82" s="134">
        <v>4.84</v>
      </c>
    </row>
    <row r="83" spans="1:17" customFormat="1">
      <c r="A83" s="112" t="s">
        <v>505</v>
      </c>
      <c r="B83" s="134">
        <v>15.93</v>
      </c>
      <c r="C83" s="134">
        <v>20.28</v>
      </c>
      <c r="D83" s="134">
        <v>24.72</v>
      </c>
      <c r="E83" s="134">
        <v>5.72</v>
      </c>
      <c r="F83" s="134">
        <v>2.75</v>
      </c>
      <c r="G83" s="134">
        <v>46.76</v>
      </c>
      <c r="H83" s="134">
        <v>14.71</v>
      </c>
      <c r="I83" s="134">
        <v>7.16</v>
      </c>
      <c r="J83" s="134">
        <v>0.14000000000000001</v>
      </c>
      <c r="K83" s="134">
        <v>182.37</v>
      </c>
      <c r="L83" s="134">
        <v>25.3</v>
      </c>
      <c r="M83" s="134">
        <v>90.16</v>
      </c>
      <c r="N83" s="134">
        <v>0</v>
      </c>
      <c r="O83" s="134">
        <v>0</v>
      </c>
      <c r="P83" s="134">
        <v>0.6</v>
      </c>
      <c r="Q83" s="134">
        <v>4.8600000000000003</v>
      </c>
    </row>
    <row r="84" spans="1:17" customFormat="1">
      <c r="A84" s="112" t="s">
        <v>506</v>
      </c>
      <c r="B84" s="134">
        <v>22.04</v>
      </c>
      <c r="C84" s="134">
        <v>21.37</v>
      </c>
      <c r="D84" s="134">
        <v>30.19</v>
      </c>
      <c r="E84" s="134">
        <v>6.22</v>
      </c>
      <c r="F84" s="134">
        <v>2.59</v>
      </c>
      <c r="G84" s="134">
        <v>59.5</v>
      </c>
      <c r="H84" s="134">
        <v>14.65</v>
      </c>
      <c r="I84" s="134">
        <v>7.34</v>
      </c>
      <c r="J84" s="134">
        <v>0.25</v>
      </c>
      <c r="K84" s="134">
        <v>52.33</v>
      </c>
      <c r="L84" s="134">
        <v>25.56</v>
      </c>
      <c r="M84" s="134">
        <v>85.56</v>
      </c>
      <c r="N84" s="134">
        <v>0</v>
      </c>
      <c r="O84" s="134">
        <v>0</v>
      </c>
      <c r="P84" s="134">
        <v>0.68</v>
      </c>
      <c r="Q84" s="134">
        <v>4.8899999999999997</v>
      </c>
    </row>
    <row r="85" spans="1:17" customFormat="1">
      <c r="A85" s="112" t="s">
        <v>507</v>
      </c>
      <c r="B85" s="134">
        <v>21.23</v>
      </c>
      <c r="C85" s="134">
        <v>21.17</v>
      </c>
      <c r="D85" s="134">
        <v>29.43</v>
      </c>
      <c r="E85" s="134">
        <v>5.74</v>
      </c>
      <c r="F85" s="134">
        <v>2.72</v>
      </c>
      <c r="G85" s="134">
        <v>59.5</v>
      </c>
      <c r="H85" s="134">
        <v>14.65</v>
      </c>
      <c r="I85" s="134">
        <v>7.64</v>
      </c>
      <c r="J85" s="134">
        <v>0.2</v>
      </c>
      <c r="K85" s="134">
        <v>75.400000000000006</v>
      </c>
      <c r="L85" s="134">
        <v>25.8</v>
      </c>
      <c r="M85" s="134">
        <v>78.97</v>
      </c>
      <c r="N85" s="134">
        <v>0</v>
      </c>
      <c r="O85" s="134">
        <v>0</v>
      </c>
      <c r="P85" s="134">
        <v>0.64</v>
      </c>
      <c r="Q85" s="134">
        <v>4.9800000000000004</v>
      </c>
    </row>
    <row r="86" spans="1:17" customFormat="1">
      <c r="A86" s="112" t="s">
        <v>508</v>
      </c>
      <c r="B86" s="134">
        <v>19.850000000000001</v>
      </c>
      <c r="C86" s="134">
        <v>20.78</v>
      </c>
      <c r="D86" s="134">
        <v>28.12</v>
      </c>
      <c r="E86" s="134">
        <v>5.32</v>
      </c>
      <c r="F86" s="134">
        <v>2.83</v>
      </c>
      <c r="G86" s="134">
        <v>59.5</v>
      </c>
      <c r="H86" s="134">
        <v>14.65</v>
      </c>
      <c r="I86" s="134">
        <v>8.52</v>
      </c>
      <c r="J86" s="134">
        <v>0.2</v>
      </c>
      <c r="K86" s="134">
        <v>164.38</v>
      </c>
      <c r="L86" s="134">
        <v>25.87</v>
      </c>
      <c r="M86" s="134">
        <v>76.8</v>
      </c>
      <c r="N86" s="134">
        <v>0</v>
      </c>
      <c r="O86" s="134">
        <v>0</v>
      </c>
      <c r="P86" s="134">
        <v>0.64</v>
      </c>
      <c r="Q86" s="134">
        <v>5.01</v>
      </c>
    </row>
    <row r="87" spans="1:17" customFormat="1">
      <c r="A87" s="112" t="s">
        <v>509</v>
      </c>
      <c r="B87" s="134">
        <v>19.64</v>
      </c>
      <c r="C87" s="134">
        <v>22.11</v>
      </c>
      <c r="D87" s="134">
        <v>28.65</v>
      </c>
      <c r="E87" s="134">
        <v>5.71</v>
      </c>
      <c r="F87" s="134">
        <v>2.59</v>
      </c>
      <c r="G87" s="134">
        <v>59.38</v>
      </c>
      <c r="H87" s="134">
        <v>14.68</v>
      </c>
      <c r="I87" s="134">
        <v>8.14</v>
      </c>
      <c r="J87" s="134">
        <v>0.14000000000000001</v>
      </c>
      <c r="K87" s="134">
        <v>151.94</v>
      </c>
      <c r="L87" s="134">
        <v>25.55</v>
      </c>
      <c r="M87" s="134">
        <v>82.16</v>
      </c>
      <c r="N87" s="134">
        <v>0</v>
      </c>
      <c r="O87" s="134">
        <v>0</v>
      </c>
      <c r="P87" s="134">
        <v>0.65</v>
      </c>
      <c r="Q87" s="134">
        <v>5.01</v>
      </c>
    </row>
    <row r="88" spans="1:17" customFormat="1">
      <c r="A88" s="112" t="s">
        <v>510</v>
      </c>
      <c r="B88" s="134">
        <v>19.64</v>
      </c>
      <c r="C88" s="134">
        <v>20.92</v>
      </c>
      <c r="D88" s="134">
        <v>28.03</v>
      </c>
      <c r="E88" s="134">
        <v>6.05</v>
      </c>
      <c r="F88" s="134">
        <v>2.74</v>
      </c>
      <c r="G88" s="134">
        <v>55.94</v>
      </c>
      <c r="H88" s="134">
        <v>15.55</v>
      </c>
      <c r="I88" s="134">
        <v>8.07</v>
      </c>
      <c r="J88" s="134">
        <v>0.11</v>
      </c>
      <c r="K88" s="134">
        <v>126.87</v>
      </c>
      <c r="L88" s="134">
        <v>25.08</v>
      </c>
      <c r="M88" s="134">
        <v>89.39</v>
      </c>
      <c r="N88" s="134">
        <v>0</v>
      </c>
      <c r="O88" s="134">
        <v>0.2</v>
      </c>
      <c r="P88" s="134">
        <v>0.64</v>
      </c>
      <c r="Q88" s="134">
        <v>5.0199999999999996</v>
      </c>
    </row>
    <row r="89" spans="1:17" customFormat="1">
      <c r="A89" s="112" t="s">
        <v>511</v>
      </c>
      <c r="B89" s="134">
        <v>19.64</v>
      </c>
      <c r="C89" s="134">
        <v>20.92</v>
      </c>
      <c r="D89" s="134">
        <v>28.03</v>
      </c>
      <c r="E89" s="134">
        <v>6.05</v>
      </c>
      <c r="F89" s="134">
        <v>2.74</v>
      </c>
      <c r="G89" s="134">
        <v>55.94</v>
      </c>
      <c r="H89" s="134">
        <v>15.55</v>
      </c>
      <c r="I89" s="134">
        <v>8.07</v>
      </c>
      <c r="J89" s="134">
        <v>0.11</v>
      </c>
      <c r="K89" s="134">
        <v>126.87</v>
      </c>
      <c r="L89" s="134">
        <v>25.08</v>
      </c>
      <c r="M89" s="134">
        <v>89.39</v>
      </c>
      <c r="N89" s="134">
        <v>0</v>
      </c>
      <c r="O89" s="134">
        <v>0.2</v>
      </c>
      <c r="P89" s="134">
        <v>0.64</v>
      </c>
      <c r="Q89" s="134">
        <v>5.0199999999999996</v>
      </c>
    </row>
    <row r="90" spans="1:17" customFormat="1">
      <c r="A90" s="112" t="s">
        <v>512</v>
      </c>
      <c r="B90" s="134">
        <v>19.86</v>
      </c>
      <c r="C90" s="134">
        <v>19.72</v>
      </c>
      <c r="D90" s="134">
        <v>27.58</v>
      </c>
      <c r="E90" s="134">
        <v>5.74</v>
      </c>
      <c r="F90" s="134">
        <v>2.89</v>
      </c>
      <c r="G90" s="134">
        <v>55.94</v>
      </c>
      <c r="H90" s="134">
        <v>15.55</v>
      </c>
      <c r="I90" s="134">
        <v>7.95</v>
      </c>
      <c r="J90" s="134">
        <v>0.18</v>
      </c>
      <c r="K90" s="134">
        <v>189.84</v>
      </c>
      <c r="L90" s="134">
        <v>24.5</v>
      </c>
      <c r="M90" s="134">
        <v>93.59</v>
      </c>
      <c r="N90" s="134">
        <v>0</v>
      </c>
      <c r="O90" s="134">
        <v>0</v>
      </c>
      <c r="P90" s="134">
        <v>0.62</v>
      </c>
      <c r="Q90" s="134">
        <v>5.01</v>
      </c>
    </row>
    <row r="91" spans="1:17" customFormat="1">
      <c r="A91" s="112" t="s">
        <v>513</v>
      </c>
      <c r="B91" s="134">
        <v>19.79</v>
      </c>
      <c r="C91" s="134">
        <v>20.91</v>
      </c>
      <c r="D91" s="134">
        <v>28.15</v>
      </c>
      <c r="E91" s="134">
        <v>5.75</v>
      </c>
      <c r="F91" s="134">
        <v>2.67</v>
      </c>
      <c r="G91" s="134">
        <v>55.62</v>
      </c>
      <c r="H91" s="134">
        <v>15.39</v>
      </c>
      <c r="I91" s="134">
        <v>7.87</v>
      </c>
      <c r="J91" s="134">
        <v>0.18</v>
      </c>
      <c r="K91" s="134">
        <v>278.66000000000003</v>
      </c>
      <c r="L91" s="134">
        <v>23.95</v>
      </c>
      <c r="M91" s="134">
        <v>94.81</v>
      </c>
      <c r="N91" s="134">
        <v>0</v>
      </c>
      <c r="O91" s="134">
        <v>0.4</v>
      </c>
      <c r="P91" s="134">
        <v>0.63</v>
      </c>
      <c r="Q91" s="134">
        <v>5.01</v>
      </c>
    </row>
    <row r="92" spans="1:17" customFormat="1">
      <c r="A92" s="112" t="s">
        <v>514</v>
      </c>
      <c r="B92" s="134">
        <v>19.89</v>
      </c>
      <c r="C92" s="134">
        <v>19.95</v>
      </c>
      <c r="D92" s="134">
        <v>27.72</v>
      </c>
      <c r="E92" s="134">
        <v>5.68</v>
      </c>
      <c r="F92" s="134">
        <v>2.86</v>
      </c>
      <c r="G92" s="134">
        <v>50.12</v>
      </c>
      <c r="H92" s="134">
        <v>12.95</v>
      </c>
      <c r="I92" s="134">
        <v>7.88</v>
      </c>
      <c r="J92" s="134">
        <v>0.17</v>
      </c>
      <c r="K92" s="134">
        <v>222.92</v>
      </c>
      <c r="L92" s="134">
        <v>23.55</v>
      </c>
      <c r="M92" s="134">
        <v>97.52</v>
      </c>
      <c r="N92" s="134">
        <v>0</v>
      </c>
      <c r="O92" s="134">
        <v>0.2</v>
      </c>
      <c r="P92" s="134">
        <v>0.62</v>
      </c>
      <c r="Q92" s="134">
        <v>5.01</v>
      </c>
    </row>
    <row r="93" spans="1:17" customFormat="1">
      <c r="A93" s="112" t="s">
        <v>515</v>
      </c>
      <c r="B93" s="134">
        <v>19.68</v>
      </c>
      <c r="C93" s="134">
        <v>19.309999999999999</v>
      </c>
      <c r="D93" s="134">
        <v>27.22</v>
      </c>
      <c r="E93" s="134">
        <v>5.51</v>
      </c>
      <c r="F93" s="134">
        <v>2.87</v>
      </c>
      <c r="G93" s="134">
        <v>50.12</v>
      </c>
      <c r="H93" s="134">
        <v>12.95</v>
      </c>
      <c r="I93" s="134">
        <v>7.87</v>
      </c>
      <c r="J93" s="134">
        <v>0.14000000000000001</v>
      </c>
      <c r="K93" s="134">
        <v>309.07</v>
      </c>
      <c r="L93" s="134">
        <v>23.43</v>
      </c>
      <c r="M93" s="134">
        <v>99.11</v>
      </c>
      <c r="N93" s="134">
        <v>0</v>
      </c>
      <c r="O93" s="134">
        <v>0</v>
      </c>
      <c r="P93" s="134">
        <v>0.61</v>
      </c>
      <c r="Q93" s="134">
        <v>4.9800000000000004</v>
      </c>
    </row>
    <row r="94" spans="1:17" customFormat="1">
      <c r="A94" s="112" t="s">
        <v>516</v>
      </c>
      <c r="B94" s="134">
        <v>20.03</v>
      </c>
      <c r="C94" s="134">
        <v>20.7</v>
      </c>
      <c r="D94" s="134">
        <v>28.23</v>
      </c>
      <c r="E94" s="134">
        <v>5.49</v>
      </c>
      <c r="F94" s="134">
        <v>2.4700000000000002</v>
      </c>
      <c r="G94" s="134">
        <v>50.12</v>
      </c>
      <c r="H94" s="134">
        <v>12.95</v>
      </c>
      <c r="I94" s="134">
        <v>7.79</v>
      </c>
      <c r="J94" s="134">
        <v>0.13</v>
      </c>
      <c r="K94" s="134">
        <v>151.69</v>
      </c>
      <c r="L94" s="134">
        <v>23.55</v>
      </c>
      <c r="M94" s="134">
        <v>100.46</v>
      </c>
      <c r="N94" s="134">
        <v>0</v>
      </c>
      <c r="O94" s="134">
        <v>0</v>
      </c>
      <c r="P94" s="134">
        <v>0.62</v>
      </c>
      <c r="Q94" s="134">
        <v>5.01</v>
      </c>
    </row>
    <row r="95" spans="1:17" customFormat="1">
      <c r="A95" s="112" t="s">
        <v>517</v>
      </c>
      <c r="B95" s="134">
        <v>20.59</v>
      </c>
      <c r="C95" s="134">
        <v>20</v>
      </c>
      <c r="D95" s="134">
        <v>28.31</v>
      </c>
      <c r="E95" s="134">
        <v>5.76</v>
      </c>
      <c r="F95" s="134">
        <v>2.65</v>
      </c>
      <c r="G95" s="134">
        <v>49.76</v>
      </c>
      <c r="H95" s="134">
        <v>13</v>
      </c>
      <c r="I95" s="134">
        <v>7.67</v>
      </c>
      <c r="J95" s="134">
        <v>0.2</v>
      </c>
      <c r="K95" s="134">
        <v>175.17</v>
      </c>
      <c r="L95" s="134">
        <v>23.66</v>
      </c>
      <c r="M95" s="134">
        <v>101.1</v>
      </c>
      <c r="N95" s="134">
        <v>0</v>
      </c>
      <c r="O95" s="134">
        <v>0</v>
      </c>
      <c r="P95" s="134">
        <v>0.62</v>
      </c>
      <c r="Q95" s="134">
        <v>5.07</v>
      </c>
    </row>
    <row r="96" spans="1:17" customFormat="1">
      <c r="A96" s="112" t="s">
        <v>518</v>
      </c>
      <c r="B96" s="134">
        <v>20.84</v>
      </c>
      <c r="C96" s="134">
        <v>19.43</v>
      </c>
      <c r="D96" s="134">
        <v>28.22</v>
      </c>
      <c r="E96" s="134">
        <v>5.4</v>
      </c>
      <c r="F96" s="134">
        <v>2.64</v>
      </c>
      <c r="G96" s="134">
        <v>43.66</v>
      </c>
      <c r="H96" s="134">
        <v>13.76</v>
      </c>
      <c r="I96" s="134">
        <v>7.65</v>
      </c>
      <c r="J96" s="134">
        <v>0.1</v>
      </c>
      <c r="K96" s="134">
        <v>160.46</v>
      </c>
      <c r="L96" s="134">
        <v>23.7</v>
      </c>
      <c r="M96" s="134">
        <v>100.92</v>
      </c>
      <c r="N96" s="134">
        <v>0</v>
      </c>
      <c r="O96" s="134">
        <v>0</v>
      </c>
      <c r="P96" s="134">
        <v>0.61</v>
      </c>
      <c r="Q96" s="134">
        <v>5.0999999999999996</v>
      </c>
    </row>
    <row r="97" spans="1:22" customFormat="1">
      <c r="A97" s="112" t="s">
        <v>519</v>
      </c>
      <c r="B97" s="134">
        <v>20.74</v>
      </c>
      <c r="C97" s="134">
        <v>20.76</v>
      </c>
      <c r="D97" s="134">
        <v>28.83</v>
      </c>
      <c r="E97" s="134">
        <v>5.59</v>
      </c>
      <c r="F97" s="134">
        <v>2.5</v>
      </c>
      <c r="G97" s="134">
        <v>43.66</v>
      </c>
      <c r="H97" s="134">
        <v>13.76</v>
      </c>
      <c r="I97" s="134">
        <v>7.58</v>
      </c>
      <c r="J97" s="134">
        <v>7.0000000000000007E-2</v>
      </c>
      <c r="K97" s="134">
        <v>131.5</v>
      </c>
      <c r="L97" s="134">
        <v>23.55</v>
      </c>
      <c r="M97" s="134">
        <v>100.28</v>
      </c>
      <c r="N97" s="134">
        <v>0</v>
      </c>
      <c r="O97" s="134">
        <v>0</v>
      </c>
      <c r="P97" s="134">
        <v>0.62</v>
      </c>
      <c r="Q97" s="134">
        <v>5.05</v>
      </c>
    </row>
    <row r="98" spans="1:22" customFormat="1">
      <c r="A98" s="112" t="s">
        <v>520</v>
      </c>
      <c r="B98" s="134">
        <v>20.51</v>
      </c>
      <c r="C98" s="134">
        <v>19.920000000000002</v>
      </c>
      <c r="D98" s="134">
        <v>28.2</v>
      </c>
      <c r="E98" s="134">
        <v>5.08</v>
      </c>
      <c r="F98" s="134">
        <v>2.64</v>
      </c>
      <c r="G98" s="134">
        <v>43.66</v>
      </c>
      <c r="H98" s="134">
        <v>13.76</v>
      </c>
      <c r="I98" s="134">
        <v>7.5</v>
      </c>
      <c r="J98" s="134">
        <v>7.0000000000000007E-2</v>
      </c>
      <c r="K98" s="134">
        <v>220.68</v>
      </c>
      <c r="L98" s="134">
        <v>23.36</v>
      </c>
      <c r="M98" s="134">
        <v>99.9</v>
      </c>
      <c r="N98" s="134">
        <v>0</v>
      </c>
      <c r="O98" s="134">
        <v>0</v>
      </c>
      <c r="P98" s="134">
        <v>0.62</v>
      </c>
      <c r="Q98" s="134">
        <v>5.04</v>
      </c>
    </row>
    <row r="99" spans="1:22" customFormat="1">
      <c r="A99" s="112" t="s">
        <v>521</v>
      </c>
      <c r="B99" s="134">
        <v>19.920000000000002</v>
      </c>
      <c r="C99" s="134">
        <v>19.649999999999999</v>
      </c>
      <c r="D99" s="134">
        <v>27.59</v>
      </c>
      <c r="E99" s="134">
        <v>5.19</v>
      </c>
      <c r="F99" s="134">
        <v>2.73</v>
      </c>
      <c r="G99" s="134">
        <v>43.18</v>
      </c>
      <c r="H99" s="134">
        <v>13.57</v>
      </c>
      <c r="I99" s="134">
        <v>7.45</v>
      </c>
      <c r="J99" s="134">
        <v>0.12</v>
      </c>
      <c r="K99" s="134">
        <v>189.94</v>
      </c>
      <c r="L99" s="134">
        <v>23.36</v>
      </c>
      <c r="M99" s="134">
        <v>99.99</v>
      </c>
      <c r="N99" s="134">
        <v>0</v>
      </c>
      <c r="O99" s="134">
        <v>0.2</v>
      </c>
      <c r="P99" s="134">
        <v>0.63</v>
      </c>
      <c r="Q99" s="134">
        <v>5.03</v>
      </c>
    </row>
    <row r="100" spans="1:22" customFormat="1">
      <c r="A100" s="112" t="s">
        <v>522</v>
      </c>
      <c r="B100" s="134">
        <v>19.39</v>
      </c>
      <c r="C100" s="134">
        <v>19.899999999999999</v>
      </c>
      <c r="D100" s="134">
        <v>27.3</v>
      </c>
      <c r="E100" s="134">
        <v>5.31</v>
      </c>
      <c r="F100" s="134">
        <v>2.71</v>
      </c>
      <c r="G100" s="134">
        <v>35.06</v>
      </c>
      <c r="H100" s="134">
        <v>11.12</v>
      </c>
      <c r="I100" s="134">
        <v>7.3</v>
      </c>
      <c r="J100" s="134">
        <v>0.08</v>
      </c>
      <c r="K100" s="134">
        <v>229.59</v>
      </c>
      <c r="L100" s="134">
        <v>23.35</v>
      </c>
      <c r="M100" s="134">
        <v>100.11</v>
      </c>
      <c r="N100" s="134">
        <v>0</v>
      </c>
      <c r="O100" s="134">
        <v>0</v>
      </c>
      <c r="P100" s="134">
        <v>0.64</v>
      </c>
      <c r="Q100" s="134">
        <v>5</v>
      </c>
    </row>
    <row r="101" spans="1:22" customFormat="1">
      <c r="A101" s="112" t="s">
        <v>523</v>
      </c>
      <c r="B101" s="134">
        <v>18.96</v>
      </c>
      <c r="C101" s="134">
        <v>20.09</v>
      </c>
      <c r="D101" s="134">
        <v>27.05</v>
      </c>
      <c r="E101" s="134">
        <v>5.6</v>
      </c>
      <c r="F101" s="134">
        <v>2.75</v>
      </c>
      <c r="G101" s="134">
        <v>35.06</v>
      </c>
      <c r="H101" s="134">
        <v>11.12</v>
      </c>
      <c r="I101" s="134">
        <v>7.14</v>
      </c>
      <c r="J101" s="134">
        <v>0.03</v>
      </c>
      <c r="K101" s="134">
        <v>321.85000000000002</v>
      </c>
      <c r="L101" s="134">
        <v>23.37</v>
      </c>
      <c r="M101" s="134">
        <v>102.19</v>
      </c>
      <c r="N101" s="134">
        <v>0</v>
      </c>
      <c r="O101" s="134">
        <v>0</v>
      </c>
      <c r="P101" s="134">
        <v>0.63</v>
      </c>
      <c r="Q101" s="134">
        <v>5</v>
      </c>
    </row>
    <row r="102" spans="1:22" customFormat="1">
      <c r="A102" s="112" t="s">
        <v>524</v>
      </c>
      <c r="B102" s="134">
        <v>19.41</v>
      </c>
      <c r="C102" s="134">
        <v>20.52</v>
      </c>
      <c r="D102" s="134">
        <v>27.64</v>
      </c>
      <c r="E102" s="134">
        <v>5.71</v>
      </c>
      <c r="F102" s="134">
        <v>2.52</v>
      </c>
      <c r="G102" s="134">
        <v>35.06</v>
      </c>
      <c r="H102" s="134">
        <v>11.12</v>
      </c>
      <c r="I102" s="134">
        <v>7.04</v>
      </c>
      <c r="J102" s="134">
        <v>0.13</v>
      </c>
      <c r="K102" s="134">
        <v>136.43</v>
      </c>
      <c r="L102" s="134">
        <v>23.51</v>
      </c>
      <c r="M102" s="134">
        <v>102.46</v>
      </c>
      <c r="N102" s="134">
        <v>0</v>
      </c>
      <c r="O102" s="134">
        <v>0</v>
      </c>
      <c r="P102" s="134">
        <v>0.63</v>
      </c>
      <c r="Q102" s="134">
        <v>5.04</v>
      </c>
    </row>
    <row r="103" spans="1:22" customFormat="1">
      <c r="A103" s="112" t="s">
        <v>525</v>
      </c>
      <c r="B103" s="134">
        <v>19.41</v>
      </c>
      <c r="C103" s="134">
        <v>20.52</v>
      </c>
      <c r="D103" s="134">
        <v>27.64</v>
      </c>
      <c r="E103" s="134">
        <v>5.71</v>
      </c>
      <c r="F103" s="134">
        <v>2.52</v>
      </c>
      <c r="G103" s="134">
        <v>35.06</v>
      </c>
      <c r="H103" s="134">
        <v>11.12</v>
      </c>
      <c r="I103" s="134">
        <v>7.04</v>
      </c>
      <c r="J103" s="134">
        <v>0.13</v>
      </c>
      <c r="K103" s="134">
        <v>136.43</v>
      </c>
      <c r="L103" s="134">
        <v>23.51</v>
      </c>
      <c r="M103" s="134">
        <v>102.46</v>
      </c>
      <c r="N103" s="134">
        <v>0</v>
      </c>
      <c r="O103" s="134">
        <v>0</v>
      </c>
      <c r="P103" s="134">
        <v>0.63</v>
      </c>
      <c r="Q103" s="134">
        <v>5.04</v>
      </c>
    </row>
    <row r="104" spans="1:22" customFormat="1">
      <c r="A104" s="112" t="s">
        <v>526</v>
      </c>
      <c r="B104" s="134">
        <v>21.58</v>
      </c>
      <c r="C104" s="134">
        <v>21.61</v>
      </c>
      <c r="D104" s="134">
        <v>29.95</v>
      </c>
      <c r="E104" s="134">
        <v>5.91</v>
      </c>
      <c r="F104" s="134">
        <v>2.66</v>
      </c>
      <c r="G104" s="134">
        <v>36.86</v>
      </c>
      <c r="H104" s="134">
        <v>12.1</v>
      </c>
      <c r="I104" s="134">
        <v>6.87</v>
      </c>
      <c r="J104" s="134">
        <v>0.14000000000000001</v>
      </c>
      <c r="K104" s="134">
        <v>170.89</v>
      </c>
      <c r="L104" s="134">
        <v>23.55</v>
      </c>
      <c r="M104" s="134">
        <v>102.79</v>
      </c>
      <c r="N104" s="134">
        <v>0</v>
      </c>
      <c r="O104" s="134">
        <v>0</v>
      </c>
      <c r="P104" s="134">
        <v>0.64</v>
      </c>
      <c r="Q104" s="134">
        <v>5.13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10.61</v>
      </c>
      <c r="C106" s="183">
        <f>MIN(C9:C104)</f>
        <v>18.72</v>
      </c>
      <c r="D106" s="183">
        <f t="shared" ref="D106:Q106" si="0">MIN(D9:D104)</f>
        <v>21.58</v>
      </c>
      <c r="E106" s="183">
        <f t="shared" si="0"/>
        <v>3.98</v>
      </c>
      <c r="F106" s="183">
        <f t="shared" si="0"/>
        <v>2.31</v>
      </c>
      <c r="G106" s="183">
        <f t="shared" si="0"/>
        <v>35.06</v>
      </c>
      <c r="H106" s="183">
        <f t="shared" si="0"/>
        <v>11.12</v>
      </c>
      <c r="I106" s="183">
        <f t="shared" si="0"/>
        <v>5.45</v>
      </c>
      <c r="J106" s="183">
        <f t="shared" si="0"/>
        <v>0.03</v>
      </c>
      <c r="K106" s="183">
        <f t="shared" si="0"/>
        <v>10.9</v>
      </c>
      <c r="L106" s="183">
        <f t="shared" si="0"/>
        <v>22.98</v>
      </c>
      <c r="M106" s="183">
        <f t="shared" si="0"/>
        <v>55.21</v>
      </c>
      <c r="N106" s="183">
        <f t="shared" si="0"/>
        <v>0</v>
      </c>
      <c r="O106" s="183">
        <f t="shared" si="0"/>
        <v>0</v>
      </c>
      <c r="P106" s="183">
        <f t="shared" si="0"/>
        <v>0.56999999999999995</v>
      </c>
      <c r="Q106" s="183">
        <f t="shared" si="0"/>
        <v>4.66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35.840000000000003</v>
      </c>
      <c r="C107" s="184">
        <f t="shared" ref="C107:Q107" si="1">MAX(C9:C104)</f>
        <v>27.94</v>
      </c>
      <c r="D107" s="184">
        <f t="shared" si="1"/>
        <v>44.61</v>
      </c>
      <c r="E107" s="184">
        <f t="shared" si="1"/>
        <v>7.76</v>
      </c>
      <c r="F107" s="184">
        <f t="shared" si="1"/>
        <v>5.58</v>
      </c>
      <c r="G107" s="184">
        <f t="shared" si="1"/>
        <v>92.1</v>
      </c>
      <c r="H107" s="184">
        <f t="shared" si="1"/>
        <v>36.04</v>
      </c>
      <c r="I107" s="184">
        <f t="shared" si="1"/>
        <v>9.74</v>
      </c>
      <c r="J107" s="184">
        <f t="shared" si="1"/>
        <v>0.72</v>
      </c>
      <c r="K107" s="184">
        <f t="shared" si="1"/>
        <v>353.09</v>
      </c>
      <c r="L107" s="184">
        <f t="shared" si="1"/>
        <v>32.43</v>
      </c>
      <c r="M107" s="184">
        <f t="shared" si="1"/>
        <v>102.79</v>
      </c>
      <c r="N107" s="184">
        <f t="shared" si="1"/>
        <v>568.79999999999995</v>
      </c>
      <c r="O107" s="184">
        <f t="shared" si="1"/>
        <v>1.4</v>
      </c>
      <c r="P107" s="184">
        <f t="shared" si="1"/>
        <v>1.17</v>
      </c>
      <c r="Q107" s="184">
        <f t="shared" si="1"/>
        <v>5.85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23.279166666666669</v>
      </c>
      <c r="C108" s="183">
        <f t="shared" ref="C108:Q108" si="2">AVERAGE(C9:C104)</f>
        <v>22.965937500000013</v>
      </c>
      <c r="D108" s="183">
        <f t="shared" si="2"/>
        <v>32.01822916666665</v>
      </c>
      <c r="E108" s="183">
        <f t="shared" si="2"/>
        <v>5.7283333333333353</v>
      </c>
      <c r="F108" s="183">
        <f t="shared" si="2"/>
        <v>3.0041666666666669</v>
      </c>
      <c r="G108" s="183">
        <f t="shared" si="2"/>
        <v>62.387812500000003</v>
      </c>
      <c r="H108" s="183">
        <f t="shared" si="2"/>
        <v>22.968749999999996</v>
      </c>
      <c r="I108" s="183">
        <f t="shared" si="2"/>
        <v>8.1539583333333354</v>
      </c>
      <c r="J108" s="183">
        <f t="shared" si="2"/>
        <v>0.24645833333333325</v>
      </c>
      <c r="K108" s="183">
        <f t="shared" si="2"/>
        <v>116.81937499999997</v>
      </c>
      <c r="L108" s="183">
        <f t="shared" si="2"/>
        <v>25.873333333333335</v>
      </c>
      <c r="M108" s="183">
        <f t="shared" si="2"/>
        <v>83.712812499999998</v>
      </c>
      <c r="N108" s="183">
        <f t="shared" si="2"/>
        <v>93.029166666666683</v>
      </c>
      <c r="O108" s="183">
        <f t="shared" si="2"/>
        <v>2.7083333333333334E-2</v>
      </c>
      <c r="P108" s="183">
        <f t="shared" si="2"/>
        <v>0.8721875</v>
      </c>
      <c r="Q108" s="183">
        <f t="shared" si="2"/>
        <v>5.2129166666666693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8.4874390988177471</v>
      </c>
      <c r="C109" s="183">
        <f t="shared" ref="C109:Q109" si="3">STDEV(C9:C104)</f>
        <v>2.3581552014120195</v>
      </c>
      <c r="D109" s="183">
        <f t="shared" si="3"/>
        <v>7.68748210025025</v>
      </c>
      <c r="E109" s="183">
        <f t="shared" si="3"/>
        <v>0.79652226541272608</v>
      </c>
      <c r="F109" s="183">
        <f t="shared" si="3"/>
        <v>0.70227699838179358</v>
      </c>
      <c r="G109" s="183">
        <f t="shared" si="3"/>
        <v>20.282441522455819</v>
      </c>
      <c r="H109" s="183">
        <f t="shared" si="3"/>
        <v>8.9097447833966328</v>
      </c>
      <c r="I109" s="183">
        <f t="shared" si="3"/>
        <v>1.3155206927230005</v>
      </c>
      <c r="J109" s="183">
        <f t="shared" si="3"/>
        <v>0.15933400315501869</v>
      </c>
      <c r="K109" s="183">
        <f t="shared" si="3"/>
        <v>80.753844957343958</v>
      </c>
      <c r="L109" s="183">
        <f t="shared" si="3"/>
        <v>2.6792519249210214</v>
      </c>
      <c r="M109" s="183">
        <f t="shared" si="3"/>
        <v>14.943769671892676</v>
      </c>
      <c r="N109" s="183">
        <f t="shared" si="3"/>
        <v>151.40065418524219</v>
      </c>
      <c r="O109" s="183">
        <f t="shared" si="3"/>
        <v>0.15250826839822343</v>
      </c>
      <c r="P109" s="183">
        <f t="shared" si="3"/>
        <v>0.23850500656777526</v>
      </c>
      <c r="Q109" s="183">
        <f t="shared" si="3"/>
        <v>0.3930231456065133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04/11/2023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527</v>
      </c>
      <c r="B9" s="134">
        <v>23.4</v>
      </c>
      <c r="C9" s="134">
        <v>22.1</v>
      </c>
      <c r="D9" s="134">
        <v>31.66</v>
      </c>
      <c r="E9" s="134">
        <v>5.95</v>
      </c>
      <c r="F9" s="134">
        <v>2.68</v>
      </c>
      <c r="G9" s="134">
        <v>38.58</v>
      </c>
      <c r="H9" s="134">
        <v>13.14</v>
      </c>
      <c r="I9" s="134">
        <v>6.71</v>
      </c>
      <c r="J9" s="134">
        <v>0.06</v>
      </c>
      <c r="K9" s="134">
        <v>214.01</v>
      </c>
      <c r="L9" s="134">
        <v>23.22</v>
      </c>
      <c r="M9" s="134">
        <v>102.91</v>
      </c>
      <c r="N9" s="134">
        <v>0</v>
      </c>
      <c r="O9" s="134">
        <v>0</v>
      </c>
      <c r="P9" s="134">
        <v>0.64</v>
      </c>
      <c r="Q9" s="134">
        <v>5.21</v>
      </c>
    </row>
    <row r="10" spans="1:21" customFormat="1">
      <c r="A10" s="112" t="s">
        <v>528</v>
      </c>
      <c r="B10" s="134">
        <v>23.16</v>
      </c>
      <c r="C10" s="134">
        <v>22.5</v>
      </c>
      <c r="D10" s="134">
        <v>31.68</v>
      </c>
      <c r="E10" s="134">
        <v>5.81</v>
      </c>
      <c r="F10" s="134">
        <v>2.44</v>
      </c>
      <c r="G10" s="134">
        <v>38.58</v>
      </c>
      <c r="H10" s="134">
        <v>13.14</v>
      </c>
      <c r="I10" s="134">
        <v>6.66</v>
      </c>
      <c r="J10" s="134">
        <v>0.11</v>
      </c>
      <c r="K10" s="134">
        <v>150.93</v>
      </c>
      <c r="L10" s="134">
        <v>23.21</v>
      </c>
      <c r="M10" s="134">
        <v>100.42</v>
      </c>
      <c r="N10" s="134">
        <v>0</v>
      </c>
      <c r="O10" s="134">
        <v>0</v>
      </c>
      <c r="P10" s="134">
        <v>0.63</v>
      </c>
      <c r="Q10" s="134">
        <v>5.21</v>
      </c>
    </row>
    <row r="11" spans="1:21" customFormat="1">
      <c r="A11" s="112" t="s">
        <v>529</v>
      </c>
      <c r="B11" s="134">
        <v>22.79</v>
      </c>
      <c r="C11" s="134">
        <v>22.53</v>
      </c>
      <c r="D11" s="134">
        <v>31.4</v>
      </c>
      <c r="E11" s="134">
        <v>6.23</v>
      </c>
      <c r="F11" s="134">
        <v>2.4</v>
      </c>
      <c r="G11" s="134">
        <v>38.340000000000003</v>
      </c>
      <c r="H11" s="134">
        <v>13.06</v>
      </c>
      <c r="I11" s="134">
        <v>6.59</v>
      </c>
      <c r="J11" s="134">
        <v>0.12</v>
      </c>
      <c r="K11" s="134">
        <v>207.64</v>
      </c>
      <c r="L11" s="134">
        <v>23.07</v>
      </c>
      <c r="M11" s="134">
        <v>100.21</v>
      </c>
      <c r="N11" s="134">
        <v>0</v>
      </c>
      <c r="O11" s="134">
        <v>0</v>
      </c>
      <c r="P11" s="134">
        <v>0.62</v>
      </c>
      <c r="Q11" s="134">
        <v>5.2</v>
      </c>
    </row>
    <row r="12" spans="1:21" customFormat="1">
      <c r="A12" s="112" t="s">
        <v>530</v>
      </c>
      <c r="B12" s="134">
        <v>22.4</v>
      </c>
      <c r="C12" s="134">
        <v>22.51</v>
      </c>
      <c r="D12" s="134">
        <v>31.08</v>
      </c>
      <c r="E12" s="134">
        <v>6.1</v>
      </c>
      <c r="F12" s="134">
        <v>2.33</v>
      </c>
      <c r="G12" s="134">
        <v>34.14</v>
      </c>
      <c r="H12" s="134">
        <v>11.83</v>
      </c>
      <c r="I12" s="134">
        <v>6.48</v>
      </c>
      <c r="J12" s="134">
        <v>0.12</v>
      </c>
      <c r="K12" s="134">
        <v>242.1</v>
      </c>
      <c r="L12" s="134">
        <v>22.96</v>
      </c>
      <c r="M12" s="134">
        <v>103.85</v>
      </c>
      <c r="N12" s="134">
        <v>0</v>
      </c>
      <c r="O12" s="134">
        <v>0</v>
      </c>
      <c r="P12" s="134">
        <v>0.62</v>
      </c>
      <c r="Q12" s="134">
        <v>5.21</v>
      </c>
    </row>
    <row r="13" spans="1:21" customFormat="1">
      <c r="A13" s="112" t="s">
        <v>531</v>
      </c>
      <c r="B13" s="134">
        <v>22</v>
      </c>
      <c r="C13" s="134">
        <v>22.43</v>
      </c>
      <c r="D13" s="134">
        <v>30.72</v>
      </c>
      <c r="E13" s="134">
        <v>6.13</v>
      </c>
      <c r="F13" s="134">
        <v>2.4300000000000002</v>
      </c>
      <c r="G13" s="134">
        <v>34.14</v>
      </c>
      <c r="H13" s="134">
        <v>11.83</v>
      </c>
      <c r="I13" s="134">
        <v>6.36</v>
      </c>
      <c r="J13" s="134">
        <v>0.1</v>
      </c>
      <c r="K13" s="134">
        <v>178.41</v>
      </c>
      <c r="L13" s="134">
        <v>22.87</v>
      </c>
      <c r="M13" s="134">
        <v>102.42</v>
      </c>
      <c r="N13" s="134">
        <v>0</v>
      </c>
      <c r="O13" s="134">
        <v>0</v>
      </c>
      <c r="P13" s="134">
        <v>0.61</v>
      </c>
      <c r="Q13" s="134">
        <v>5.18</v>
      </c>
    </row>
    <row r="14" spans="1:21" customFormat="1">
      <c r="A14" s="112" t="s">
        <v>532</v>
      </c>
      <c r="B14" s="134">
        <v>22.02</v>
      </c>
      <c r="C14" s="134">
        <v>22.38</v>
      </c>
      <c r="D14" s="134">
        <v>30.71</v>
      </c>
      <c r="E14" s="134">
        <v>6.16</v>
      </c>
      <c r="F14" s="134">
        <v>2.4300000000000002</v>
      </c>
      <c r="G14" s="134">
        <v>34.14</v>
      </c>
      <c r="H14" s="134">
        <v>11.83</v>
      </c>
      <c r="I14" s="134">
        <v>6.29</v>
      </c>
      <c r="J14" s="134">
        <v>0.17</v>
      </c>
      <c r="K14" s="134">
        <v>152.18</v>
      </c>
      <c r="L14" s="134">
        <v>23.04</v>
      </c>
      <c r="M14" s="134">
        <v>103.08</v>
      </c>
      <c r="N14" s="134">
        <v>0</v>
      </c>
      <c r="O14" s="134">
        <v>0</v>
      </c>
      <c r="P14" s="134">
        <v>0.6</v>
      </c>
      <c r="Q14" s="134">
        <v>5.18</v>
      </c>
    </row>
    <row r="15" spans="1:21" customFormat="1">
      <c r="A15" s="112" t="s">
        <v>533</v>
      </c>
      <c r="B15" s="134">
        <v>22.14</v>
      </c>
      <c r="C15" s="134">
        <v>22.72</v>
      </c>
      <c r="D15" s="134">
        <v>30.98</v>
      </c>
      <c r="E15" s="134">
        <v>6.5</v>
      </c>
      <c r="F15" s="134">
        <v>2.4700000000000002</v>
      </c>
      <c r="G15" s="134">
        <v>33.97</v>
      </c>
      <c r="H15" s="134">
        <v>11.74</v>
      </c>
      <c r="I15" s="134">
        <v>6.2</v>
      </c>
      <c r="J15" s="134">
        <v>0.15</v>
      </c>
      <c r="K15" s="134">
        <v>138.97999999999999</v>
      </c>
      <c r="L15" s="134">
        <v>22.98</v>
      </c>
      <c r="M15" s="134">
        <v>102.62</v>
      </c>
      <c r="N15" s="134">
        <v>0</v>
      </c>
      <c r="O15" s="134">
        <v>0</v>
      </c>
      <c r="P15" s="134">
        <v>0.6</v>
      </c>
      <c r="Q15" s="134">
        <v>5.19</v>
      </c>
    </row>
    <row r="16" spans="1:21" customFormat="1">
      <c r="A16" s="112" t="s">
        <v>534</v>
      </c>
      <c r="B16" s="134">
        <v>22.33</v>
      </c>
      <c r="C16" s="134">
        <v>22.8</v>
      </c>
      <c r="D16" s="134">
        <v>31.17</v>
      </c>
      <c r="E16" s="134">
        <v>6.59</v>
      </c>
      <c r="F16" s="134">
        <v>2.4700000000000002</v>
      </c>
      <c r="G16" s="134">
        <v>30.4</v>
      </c>
      <c r="H16" s="134">
        <v>10.24</v>
      </c>
      <c r="I16" s="134">
        <v>6.12</v>
      </c>
      <c r="J16" s="134">
        <v>0.13</v>
      </c>
      <c r="K16" s="134">
        <v>154.38999999999999</v>
      </c>
      <c r="L16" s="134">
        <v>22.95</v>
      </c>
      <c r="M16" s="134">
        <v>102.81</v>
      </c>
      <c r="N16" s="134">
        <v>0</v>
      </c>
      <c r="O16" s="134">
        <v>0</v>
      </c>
      <c r="P16" s="134">
        <v>0.59</v>
      </c>
      <c r="Q16" s="134">
        <v>5.21</v>
      </c>
    </row>
    <row r="17" spans="1:17" customFormat="1">
      <c r="A17" s="112" t="s">
        <v>535</v>
      </c>
      <c r="B17" s="134">
        <v>22.41</v>
      </c>
      <c r="C17" s="134">
        <v>23.07</v>
      </c>
      <c r="D17" s="134">
        <v>31.38</v>
      </c>
      <c r="E17" s="134">
        <v>5.17</v>
      </c>
      <c r="F17" s="134">
        <v>2.4500000000000002</v>
      </c>
      <c r="G17" s="134">
        <v>30.4</v>
      </c>
      <c r="H17" s="134">
        <v>10.24</v>
      </c>
      <c r="I17" s="134">
        <v>6.02</v>
      </c>
      <c r="J17" s="134">
        <v>0.03</v>
      </c>
      <c r="K17" s="134">
        <v>169.06</v>
      </c>
      <c r="L17" s="134">
        <v>22.8</v>
      </c>
      <c r="M17" s="134">
        <v>102.84</v>
      </c>
      <c r="N17" s="134">
        <v>0</v>
      </c>
      <c r="O17" s="134">
        <v>0</v>
      </c>
      <c r="P17" s="134">
        <v>0.57999999999999996</v>
      </c>
      <c r="Q17" s="134">
        <v>5.2</v>
      </c>
    </row>
    <row r="18" spans="1:17" customFormat="1">
      <c r="A18" s="112" t="s">
        <v>536</v>
      </c>
      <c r="B18" s="134">
        <v>23.56</v>
      </c>
      <c r="C18" s="134">
        <v>23.29</v>
      </c>
      <c r="D18" s="134">
        <v>32.409999999999997</v>
      </c>
      <c r="E18" s="134">
        <v>5.86</v>
      </c>
      <c r="F18" s="134">
        <v>2.4300000000000002</v>
      </c>
      <c r="G18" s="134">
        <v>30.4</v>
      </c>
      <c r="H18" s="134">
        <v>10.24</v>
      </c>
      <c r="I18" s="134">
        <v>5.95</v>
      </c>
      <c r="J18" s="134">
        <v>7.0000000000000007E-2</v>
      </c>
      <c r="K18" s="134">
        <v>91.31</v>
      </c>
      <c r="L18" s="134">
        <v>22.82</v>
      </c>
      <c r="M18" s="134">
        <v>102.78</v>
      </c>
      <c r="N18" s="134">
        <v>0</v>
      </c>
      <c r="O18" s="134">
        <v>0</v>
      </c>
      <c r="P18" s="134">
        <v>0.59</v>
      </c>
      <c r="Q18" s="134">
        <v>5.25</v>
      </c>
    </row>
    <row r="19" spans="1:17" customFormat="1">
      <c r="A19" s="112" t="s">
        <v>537</v>
      </c>
      <c r="B19" s="134">
        <v>25.52</v>
      </c>
      <c r="C19" s="134">
        <v>23.5</v>
      </c>
      <c r="D19" s="134">
        <v>34.090000000000003</v>
      </c>
      <c r="E19" s="134">
        <v>6.1</v>
      </c>
      <c r="F19" s="134">
        <v>2.2999999999999998</v>
      </c>
      <c r="G19" s="134">
        <v>30.75</v>
      </c>
      <c r="H19" s="134">
        <v>10.55</v>
      </c>
      <c r="I19" s="134">
        <v>5.88</v>
      </c>
      <c r="J19" s="134">
        <v>0.09</v>
      </c>
      <c r="K19" s="134">
        <v>221.37</v>
      </c>
      <c r="L19" s="134">
        <v>22.79</v>
      </c>
      <c r="M19" s="134">
        <v>104.07</v>
      </c>
      <c r="N19" s="134">
        <v>0</v>
      </c>
      <c r="O19" s="134">
        <v>0</v>
      </c>
      <c r="P19" s="134">
        <v>0.57999999999999996</v>
      </c>
      <c r="Q19" s="134">
        <v>0</v>
      </c>
    </row>
    <row r="20" spans="1:17" customFormat="1">
      <c r="A20" s="112" t="s">
        <v>538</v>
      </c>
      <c r="B20" s="134">
        <v>27.11</v>
      </c>
      <c r="C20" s="134">
        <v>23.93</v>
      </c>
      <c r="D20" s="134">
        <v>35.6</v>
      </c>
      <c r="E20" s="134">
        <v>6.78</v>
      </c>
      <c r="F20" s="134">
        <v>2.2999999999999998</v>
      </c>
      <c r="G20" s="134">
        <v>35.92</v>
      </c>
      <c r="H20" s="134">
        <v>14.36</v>
      </c>
      <c r="I20" s="134">
        <v>5.86</v>
      </c>
      <c r="J20" s="134">
        <v>0.21</v>
      </c>
      <c r="K20" s="134">
        <v>258.38</v>
      </c>
      <c r="L20" s="134">
        <v>22.68</v>
      </c>
      <c r="M20" s="134">
        <v>103.47</v>
      </c>
      <c r="N20" s="134">
        <v>0</v>
      </c>
      <c r="O20" s="134">
        <v>0</v>
      </c>
      <c r="P20" s="134">
        <v>0.57999999999999996</v>
      </c>
      <c r="Q20" s="134">
        <v>5.39</v>
      </c>
    </row>
    <row r="21" spans="1:17" customFormat="1">
      <c r="A21" s="112" t="s">
        <v>539</v>
      </c>
      <c r="B21" s="134">
        <v>29.02</v>
      </c>
      <c r="C21" s="134">
        <v>24.44</v>
      </c>
      <c r="D21" s="134">
        <v>37.39</v>
      </c>
      <c r="E21" s="134">
        <v>6.4</v>
      </c>
      <c r="F21" s="134">
        <v>2.5</v>
      </c>
      <c r="G21" s="134">
        <v>35.92</v>
      </c>
      <c r="H21" s="134">
        <v>14.36</v>
      </c>
      <c r="I21" s="134">
        <v>5.8</v>
      </c>
      <c r="J21" s="134">
        <v>0.13</v>
      </c>
      <c r="K21" s="134">
        <v>163.27000000000001</v>
      </c>
      <c r="L21" s="134">
        <v>22.63</v>
      </c>
      <c r="M21" s="134">
        <v>101.08</v>
      </c>
      <c r="N21" s="134">
        <v>0</v>
      </c>
      <c r="O21" s="134">
        <v>0</v>
      </c>
      <c r="P21" s="134">
        <v>0.57999999999999996</v>
      </c>
      <c r="Q21" s="134">
        <v>5.49</v>
      </c>
    </row>
    <row r="22" spans="1:17" customFormat="1">
      <c r="A22" s="112" t="s">
        <v>540</v>
      </c>
      <c r="B22" s="134">
        <v>30.57</v>
      </c>
      <c r="C22" s="134">
        <v>24.7</v>
      </c>
      <c r="D22" s="134">
        <v>38.770000000000003</v>
      </c>
      <c r="E22" s="134">
        <v>6.34</v>
      </c>
      <c r="F22" s="134">
        <v>2.48</v>
      </c>
      <c r="G22" s="134">
        <v>35.92</v>
      </c>
      <c r="H22" s="134">
        <v>14.36</v>
      </c>
      <c r="I22" s="134">
        <v>5.82</v>
      </c>
      <c r="J22" s="134">
        <v>0.08</v>
      </c>
      <c r="K22" s="134">
        <v>80.069999999999993</v>
      </c>
      <c r="L22" s="134">
        <v>22.47</v>
      </c>
      <c r="M22" s="134">
        <v>100.85</v>
      </c>
      <c r="N22" s="134">
        <v>0</v>
      </c>
      <c r="O22" s="134">
        <v>0</v>
      </c>
      <c r="P22" s="134">
        <v>0.56999999999999995</v>
      </c>
      <c r="Q22" s="134">
        <v>5.58</v>
      </c>
    </row>
    <row r="23" spans="1:17" customFormat="1">
      <c r="A23" s="112" t="s">
        <v>541</v>
      </c>
      <c r="B23" s="134">
        <v>31.76</v>
      </c>
      <c r="C23" s="134">
        <v>23.93</v>
      </c>
      <c r="D23" s="134">
        <v>39.33</v>
      </c>
      <c r="E23" s="134">
        <v>6.2</v>
      </c>
      <c r="F23" s="134">
        <v>2.7</v>
      </c>
      <c r="G23" s="134">
        <v>36.32</v>
      </c>
      <c r="H23" s="134">
        <v>14.27</v>
      </c>
      <c r="I23" s="134">
        <v>5.77</v>
      </c>
      <c r="J23" s="134">
        <v>0.18</v>
      </c>
      <c r="K23" s="134">
        <v>62.81</v>
      </c>
      <c r="L23" s="134">
        <v>22.45</v>
      </c>
      <c r="M23" s="134">
        <v>100.66</v>
      </c>
      <c r="N23" s="134">
        <v>0</v>
      </c>
      <c r="O23" s="134">
        <v>0</v>
      </c>
      <c r="P23" s="134">
        <v>0.55000000000000004</v>
      </c>
      <c r="Q23" s="134">
        <v>5.59</v>
      </c>
    </row>
    <row r="24" spans="1:17" customFormat="1">
      <c r="A24" s="112" t="s">
        <v>542</v>
      </c>
      <c r="B24" s="134">
        <v>32.92</v>
      </c>
      <c r="C24" s="134">
        <v>22.4</v>
      </c>
      <c r="D24" s="134">
        <v>39.450000000000003</v>
      </c>
      <c r="E24" s="134">
        <v>5.45</v>
      </c>
      <c r="F24" s="134">
        <v>2.89</v>
      </c>
      <c r="G24" s="134">
        <v>44.92</v>
      </c>
      <c r="H24" s="134">
        <v>12.97</v>
      </c>
      <c r="I24" s="134">
        <v>5.7</v>
      </c>
      <c r="J24" s="134">
        <v>0.14000000000000001</v>
      </c>
      <c r="K24" s="134">
        <v>41.45</v>
      </c>
      <c r="L24" s="134">
        <v>22.47</v>
      </c>
      <c r="M24" s="134">
        <v>100.26</v>
      </c>
      <c r="N24" s="134">
        <v>0</v>
      </c>
      <c r="O24" s="134">
        <v>0</v>
      </c>
      <c r="P24" s="134">
        <v>0.53</v>
      </c>
      <c r="Q24" s="134">
        <v>5.63</v>
      </c>
    </row>
    <row r="25" spans="1:17" customFormat="1">
      <c r="A25" s="112" t="s">
        <v>543</v>
      </c>
      <c r="B25" s="134">
        <v>33.85</v>
      </c>
      <c r="C25" s="134">
        <v>21</v>
      </c>
      <c r="D25" s="134">
        <v>39.47</v>
      </c>
      <c r="E25" s="134">
        <v>5.88</v>
      </c>
      <c r="F25" s="134">
        <v>2.91</v>
      </c>
      <c r="G25" s="134">
        <v>44.92</v>
      </c>
      <c r="H25" s="134">
        <v>12.97</v>
      </c>
      <c r="I25" s="134">
        <v>5.69</v>
      </c>
      <c r="J25" s="134">
        <v>0.08</v>
      </c>
      <c r="K25" s="134">
        <v>53.17</v>
      </c>
      <c r="L25" s="134">
        <v>22.48</v>
      </c>
      <c r="M25" s="134">
        <v>100.17</v>
      </c>
      <c r="N25" s="134">
        <v>0</v>
      </c>
      <c r="O25" s="134">
        <v>0</v>
      </c>
      <c r="P25" s="134">
        <v>0.5</v>
      </c>
      <c r="Q25" s="134">
        <v>5.63</v>
      </c>
    </row>
    <row r="26" spans="1:17" customFormat="1">
      <c r="A26" s="112" t="s">
        <v>544</v>
      </c>
      <c r="B26" s="134">
        <v>34.869999999999997</v>
      </c>
      <c r="C26" s="134">
        <v>20.100000000000001</v>
      </c>
      <c r="D26" s="134">
        <v>39.82</v>
      </c>
      <c r="E26" s="134">
        <v>5.17</v>
      </c>
      <c r="F26" s="134">
        <v>2.84</v>
      </c>
      <c r="G26" s="134">
        <v>44.92</v>
      </c>
      <c r="H26" s="134">
        <v>12.97</v>
      </c>
      <c r="I26" s="134">
        <v>5.66</v>
      </c>
      <c r="J26" s="134">
        <v>0.14000000000000001</v>
      </c>
      <c r="K26" s="134">
        <v>179.09</v>
      </c>
      <c r="L26" s="134">
        <v>22.44</v>
      </c>
      <c r="M26" s="134">
        <v>100.3</v>
      </c>
      <c r="N26" s="134">
        <v>0</v>
      </c>
      <c r="O26" s="134">
        <v>0</v>
      </c>
      <c r="P26" s="134">
        <v>0.49</v>
      </c>
      <c r="Q26" s="134">
        <v>5.65</v>
      </c>
    </row>
    <row r="27" spans="1:17" customFormat="1">
      <c r="A27" s="112" t="s">
        <v>545</v>
      </c>
      <c r="B27" s="134">
        <v>35.26</v>
      </c>
      <c r="C27" s="134">
        <v>20.39</v>
      </c>
      <c r="D27" s="134">
        <v>40.28</v>
      </c>
      <c r="E27" s="134">
        <v>5.45</v>
      </c>
      <c r="F27" s="134">
        <v>2.7</v>
      </c>
      <c r="G27" s="134">
        <v>44.67</v>
      </c>
      <c r="H27" s="134">
        <v>12.95</v>
      </c>
      <c r="I27" s="134">
        <v>5.7</v>
      </c>
      <c r="J27" s="134">
        <v>0.12</v>
      </c>
      <c r="K27" s="134">
        <v>160.78</v>
      </c>
      <c r="L27" s="134">
        <v>22.42</v>
      </c>
      <c r="M27" s="134">
        <v>100.36</v>
      </c>
      <c r="N27" s="134">
        <v>0</v>
      </c>
      <c r="O27" s="134">
        <v>0</v>
      </c>
      <c r="P27" s="134">
        <v>0.48</v>
      </c>
      <c r="Q27" s="134">
        <v>5.64</v>
      </c>
    </row>
    <row r="28" spans="1:17" customFormat="1">
      <c r="A28" s="112" t="s">
        <v>546</v>
      </c>
      <c r="B28" s="134">
        <v>35.06</v>
      </c>
      <c r="C28" s="134">
        <v>22.34</v>
      </c>
      <c r="D28" s="134">
        <v>41.14</v>
      </c>
      <c r="E28" s="134">
        <v>5.61</v>
      </c>
      <c r="F28" s="134">
        <v>2.35</v>
      </c>
      <c r="G28" s="134">
        <v>39.369999999999997</v>
      </c>
      <c r="H28" s="134">
        <v>11.57</v>
      </c>
      <c r="I28" s="134">
        <v>5.73</v>
      </c>
      <c r="J28" s="134">
        <v>0.13</v>
      </c>
      <c r="K28" s="134">
        <v>178.95</v>
      </c>
      <c r="L28" s="134">
        <v>22.33</v>
      </c>
      <c r="M28" s="134">
        <v>100.32</v>
      </c>
      <c r="N28" s="134">
        <v>0</v>
      </c>
      <c r="O28" s="134">
        <v>0</v>
      </c>
      <c r="P28" s="134">
        <v>0.51</v>
      </c>
      <c r="Q28" s="134">
        <v>5.62</v>
      </c>
    </row>
    <row r="29" spans="1:17" customFormat="1">
      <c r="A29" s="112" t="s">
        <v>547</v>
      </c>
      <c r="B29" s="134">
        <v>35.229999999999997</v>
      </c>
      <c r="C29" s="134">
        <v>21.39</v>
      </c>
      <c r="D29" s="134">
        <v>40.78</v>
      </c>
      <c r="E29" s="134">
        <v>5.67</v>
      </c>
      <c r="F29" s="134">
        <v>2.62</v>
      </c>
      <c r="G29" s="134">
        <v>39.369999999999997</v>
      </c>
      <c r="H29" s="134">
        <v>11.57</v>
      </c>
      <c r="I29" s="134">
        <v>5.73</v>
      </c>
      <c r="J29" s="134">
        <v>0.1</v>
      </c>
      <c r="K29" s="134">
        <v>147.30000000000001</v>
      </c>
      <c r="L29" s="134">
        <v>22.26</v>
      </c>
      <c r="M29" s="134">
        <v>100.28</v>
      </c>
      <c r="N29" s="134">
        <v>0</v>
      </c>
      <c r="O29" s="134">
        <v>0</v>
      </c>
      <c r="P29" s="134">
        <v>0.5</v>
      </c>
      <c r="Q29" s="134">
        <v>5.63</v>
      </c>
    </row>
    <row r="30" spans="1:17" customFormat="1">
      <c r="A30" s="112" t="s">
        <v>548</v>
      </c>
      <c r="B30" s="134">
        <v>35.119999999999997</v>
      </c>
      <c r="C30" s="134">
        <v>20.99</v>
      </c>
      <c r="D30" s="134">
        <v>40.479999999999997</v>
      </c>
      <c r="E30" s="134">
        <v>5.57</v>
      </c>
      <c r="F30" s="134">
        <v>2.56</v>
      </c>
      <c r="G30" s="134">
        <v>39.369999999999997</v>
      </c>
      <c r="H30" s="134">
        <v>11.57</v>
      </c>
      <c r="I30" s="134">
        <v>5.74</v>
      </c>
      <c r="J30" s="134">
        <v>0.1</v>
      </c>
      <c r="K30" s="134">
        <v>158.65</v>
      </c>
      <c r="L30" s="134">
        <v>22.46</v>
      </c>
      <c r="M30" s="134">
        <v>100.36</v>
      </c>
      <c r="N30" s="134">
        <v>0</v>
      </c>
      <c r="O30" s="134">
        <v>0</v>
      </c>
      <c r="P30" s="134">
        <v>0.5</v>
      </c>
      <c r="Q30" s="134">
        <v>5.65</v>
      </c>
    </row>
    <row r="31" spans="1:17" customFormat="1">
      <c r="A31" s="112" t="s">
        <v>549</v>
      </c>
      <c r="B31" s="134">
        <v>34.75</v>
      </c>
      <c r="C31" s="134">
        <v>22.06</v>
      </c>
      <c r="D31" s="134">
        <v>40.75</v>
      </c>
      <c r="E31" s="134">
        <v>5.67</v>
      </c>
      <c r="F31" s="134">
        <v>2.38</v>
      </c>
      <c r="G31" s="134">
        <v>39.369999999999997</v>
      </c>
      <c r="H31" s="134">
        <v>11.66</v>
      </c>
      <c r="I31" s="134">
        <v>5.75</v>
      </c>
      <c r="J31" s="134">
        <v>0.11</v>
      </c>
      <c r="K31" s="134">
        <v>159.38</v>
      </c>
      <c r="L31" s="134">
        <v>22.37</v>
      </c>
      <c r="M31" s="134">
        <v>99.99</v>
      </c>
      <c r="N31" s="134">
        <v>0</v>
      </c>
      <c r="O31" s="134">
        <v>0</v>
      </c>
      <c r="P31" s="134">
        <v>0.51</v>
      </c>
      <c r="Q31" s="134">
        <v>5.64</v>
      </c>
    </row>
    <row r="32" spans="1:17" customFormat="1">
      <c r="A32" s="112" t="s">
        <v>550</v>
      </c>
      <c r="B32" s="134">
        <v>34.76</v>
      </c>
      <c r="C32" s="134">
        <v>20.83</v>
      </c>
      <c r="D32" s="134">
        <v>40.11</v>
      </c>
      <c r="E32" s="134">
        <v>5.84</v>
      </c>
      <c r="F32" s="134">
        <v>2.71</v>
      </c>
      <c r="G32" s="134">
        <v>39.33</v>
      </c>
      <c r="H32" s="134">
        <v>13.36</v>
      </c>
      <c r="I32" s="134">
        <v>5.77</v>
      </c>
      <c r="J32" s="134">
        <v>0.02</v>
      </c>
      <c r="K32" s="134">
        <v>227.04</v>
      </c>
      <c r="L32" s="134">
        <v>22.26</v>
      </c>
      <c r="M32" s="134">
        <v>99.8</v>
      </c>
      <c r="N32" s="134">
        <v>0</v>
      </c>
      <c r="O32" s="134">
        <v>0</v>
      </c>
      <c r="P32" s="134">
        <v>0.49</v>
      </c>
      <c r="Q32" s="134">
        <v>5.61</v>
      </c>
    </row>
    <row r="33" spans="1:17" customFormat="1">
      <c r="A33" s="112" t="s">
        <v>551</v>
      </c>
      <c r="B33" s="134">
        <v>34.32</v>
      </c>
      <c r="C33" s="134">
        <v>21.87</v>
      </c>
      <c r="D33" s="134">
        <v>40.299999999999997</v>
      </c>
      <c r="E33" s="134">
        <v>5.57</v>
      </c>
      <c r="F33" s="134">
        <v>2.6</v>
      </c>
      <c r="G33" s="134">
        <v>39.33</v>
      </c>
      <c r="H33" s="134">
        <v>13.36</v>
      </c>
      <c r="I33" s="134">
        <v>5.81</v>
      </c>
      <c r="J33" s="134">
        <v>0.1</v>
      </c>
      <c r="K33" s="134">
        <v>172.56</v>
      </c>
      <c r="L33" s="134">
        <v>22.15</v>
      </c>
      <c r="M33" s="134">
        <v>99.99</v>
      </c>
      <c r="N33" s="134">
        <v>2</v>
      </c>
      <c r="O33" s="134">
        <v>0</v>
      </c>
      <c r="P33" s="134">
        <v>0.5</v>
      </c>
      <c r="Q33" s="134">
        <v>5.61</v>
      </c>
    </row>
    <row r="34" spans="1:17" customFormat="1">
      <c r="A34" s="112" t="s">
        <v>552</v>
      </c>
      <c r="B34" s="134">
        <v>33.97</v>
      </c>
      <c r="C34" s="134">
        <v>22.32</v>
      </c>
      <c r="D34" s="134">
        <v>40.25</v>
      </c>
      <c r="E34" s="134">
        <v>5.87</v>
      </c>
      <c r="F34" s="134">
        <v>2.4500000000000002</v>
      </c>
      <c r="G34" s="134">
        <v>39.33</v>
      </c>
      <c r="H34" s="134">
        <v>13.36</v>
      </c>
      <c r="I34" s="134">
        <v>5.82</v>
      </c>
      <c r="J34" s="134">
        <v>0.09</v>
      </c>
      <c r="K34" s="134">
        <v>200.08</v>
      </c>
      <c r="L34" s="134">
        <v>22.25</v>
      </c>
      <c r="M34" s="134">
        <v>99.99</v>
      </c>
      <c r="N34" s="134">
        <v>12.2</v>
      </c>
      <c r="O34" s="134">
        <v>0</v>
      </c>
      <c r="P34" s="134">
        <v>0.51</v>
      </c>
      <c r="Q34" s="134">
        <v>5.58</v>
      </c>
    </row>
    <row r="35" spans="1:17" customFormat="1">
      <c r="A35" s="112" t="s">
        <v>553</v>
      </c>
      <c r="B35" s="134">
        <v>33.83</v>
      </c>
      <c r="C35" s="134">
        <v>20.78</v>
      </c>
      <c r="D35" s="134">
        <v>39.340000000000003</v>
      </c>
      <c r="E35" s="134">
        <v>5.63</v>
      </c>
      <c r="F35" s="134">
        <v>2.74</v>
      </c>
      <c r="G35" s="134">
        <v>39.28</v>
      </c>
      <c r="H35" s="134">
        <v>13.09</v>
      </c>
      <c r="I35" s="134">
        <v>5.85</v>
      </c>
      <c r="J35" s="134">
        <v>0.1</v>
      </c>
      <c r="K35" s="134">
        <v>167.27</v>
      </c>
      <c r="L35" s="134">
        <v>22.44</v>
      </c>
      <c r="M35" s="134">
        <v>99.86</v>
      </c>
      <c r="N35" s="134">
        <v>25.3</v>
      </c>
      <c r="O35" s="134">
        <v>0</v>
      </c>
      <c r="P35" s="134">
        <v>0.48</v>
      </c>
      <c r="Q35" s="134">
        <v>5.61</v>
      </c>
    </row>
    <row r="36" spans="1:17" customFormat="1">
      <c r="A36" s="112" t="s">
        <v>554</v>
      </c>
      <c r="B36" s="134">
        <v>33.46</v>
      </c>
      <c r="C36" s="134">
        <v>21.52</v>
      </c>
      <c r="D36" s="134">
        <v>39.43</v>
      </c>
      <c r="E36" s="134">
        <v>5.75</v>
      </c>
      <c r="F36" s="134">
        <v>2.69</v>
      </c>
      <c r="G36" s="134">
        <v>38.32</v>
      </c>
      <c r="H36" s="134">
        <v>9.76</v>
      </c>
      <c r="I36" s="134">
        <v>5.83</v>
      </c>
      <c r="J36" s="134">
        <v>0.09</v>
      </c>
      <c r="K36" s="134">
        <v>121.17</v>
      </c>
      <c r="L36" s="134">
        <v>22.58</v>
      </c>
      <c r="M36" s="134">
        <v>99.31</v>
      </c>
      <c r="N36" s="134">
        <v>35.200000000000003</v>
      </c>
      <c r="O36" s="134">
        <v>0</v>
      </c>
      <c r="P36" s="134">
        <v>0.5</v>
      </c>
      <c r="Q36" s="134">
        <v>5.6</v>
      </c>
    </row>
    <row r="37" spans="1:17" customFormat="1">
      <c r="A37" s="112" t="s">
        <v>555</v>
      </c>
      <c r="B37" s="134">
        <v>33.200000000000003</v>
      </c>
      <c r="C37" s="134">
        <v>21.82</v>
      </c>
      <c r="D37" s="134">
        <v>39.380000000000003</v>
      </c>
      <c r="E37" s="134">
        <v>5.59</v>
      </c>
      <c r="F37" s="134">
        <v>2.61</v>
      </c>
      <c r="G37" s="134">
        <v>38.32</v>
      </c>
      <c r="H37" s="134">
        <v>9.76</v>
      </c>
      <c r="I37" s="134">
        <v>5.8</v>
      </c>
      <c r="J37" s="134">
        <v>0.02</v>
      </c>
      <c r="K37" s="134">
        <v>78.25</v>
      </c>
      <c r="L37" s="134">
        <v>22.82</v>
      </c>
      <c r="M37" s="134">
        <v>97.71</v>
      </c>
      <c r="N37" s="134">
        <v>53.4</v>
      </c>
      <c r="O37" s="134">
        <v>0</v>
      </c>
      <c r="P37" s="134">
        <v>0.5</v>
      </c>
      <c r="Q37" s="134">
        <v>5.57</v>
      </c>
    </row>
    <row r="38" spans="1:17" customFormat="1">
      <c r="A38" s="112" t="s">
        <v>556</v>
      </c>
      <c r="B38" s="134">
        <v>33.270000000000003</v>
      </c>
      <c r="C38" s="134">
        <v>20.56</v>
      </c>
      <c r="D38" s="134">
        <v>38.770000000000003</v>
      </c>
      <c r="E38" s="134">
        <v>5.52</v>
      </c>
      <c r="F38" s="134">
        <v>2.7</v>
      </c>
      <c r="G38" s="134">
        <v>38.32</v>
      </c>
      <c r="H38" s="134">
        <v>9.76</v>
      </c>
      <c r="I38" s="134">
        <v>5.82</v>
      </c>
      <c r="J38" s="134">
        <v>0.19</v>
      </c>
      <c r="K38" s="134">
        <v>168.1</v>
      </c>
      <c r="L38" s="134">
        <v>23.28</v>
      </c>
      <c r="M38" s="134">
        <v>93.93</v>
      </c>
      <c r="N38" s="134">
        <v>69.099999999999994</v>
      </c>
      <c r="O38" s="134">
        <v>0</v>
      </c>
      <c r="P38" s="134">
        <v>0.49</v>
      </c>
      <c r="Q38" s="134">
        <v>0</v>
      </c>
    </row>
    <row r="39" spans="1:17" customFormat="1">
      <c r="A39" s="112" t="s">
        <v>557</v>
      </c>
      <c r="B39" s="134">
        <v>33.270000000000003</v>
      </c>
      <c r="C39" s="134">
        <v>20.56</v>
      </c>
      <c r="D39" s="134">
        <v>38.770000000000003</v>
      </c>
      <c r="E39" s="134">
        <v>5.52</v>
      </c>
      <c r="F39" s="134">
        <v>2.7</v>
      </c>
      <c r="G39" s="134">
        <v>38.32</v>
      </c>
      <c r="H39" s="134">
        <v>9.76</v>
      </c>
      <c r="I39" s="134">
        <v>5.82</v>
      </c>
      <c r="J39" s="134">
        <v>0.19</v>
      </c>
      <c r="K39" s="134">
        <v>168.1</v>
      </c>
      <c r="L39" s="134">
        <v>23.28</v>
      </c>
      <c r="M39" s="134">
        <v>93.93</v>
      </c>
      <c r="N39" s="134">
        <v>69.099999999999994</v>
      </c>
      <c r="O39" s="134">
        <v>0</v>
      </c>
      <c r="P39" s="134">
        <v>0.49</v>
      </c>
      <c r="Q39" s="134">
        <v>0</v>
      </c>
    </row>
    <row r="40" spans="1:17" customFormat="1">
      <c r="A40" s="112" t="s">
        <v>558</v>
      </c>
      <c r="B40" s="134">
        <v>32.409999999999997</v>
      </c>
      <c r="C40" s="134">
        <v>21.12</v>
      </c>
      <c r="D40" s="134">
        <v>38.369999999999997</v>
      </c>
      <c r="E40" s="134">
        <v>5.61</v>
      </c>
      <c r="F40" s="134">
        <v>2.5499999999999998</v>
      </c>
      <c r="G40" s="134">
        <v>36.049999999999997</v>
      </c>
      <c r="H40" s="134">
        <v>9.57</v>
      </c>
      <c r="I40" s="134">
        <v>5.83</v>
      </c>
      <c r="J40" s="134">
        <v>0.18</v>
      </c>
      <c r="K40" s="134">
        <v>96.61</v>
      </c>
      <c r="L40" s="134">
        <v>24.47</v>
      </c>
      <c r="M40" s="134">
        <v>88.24</v>
      </c>
      <c r="N40" s="134">
        <v>157.69999999999999</v>
      </c>
      <c r="O40" s="134">
        <v>0</v>
      </c>
      <c r="P40" s="134">
        <v>0.49</v>
      </c>
      <c r="Q40" s="134">
        <v>5.52</v>
      </c>
    </row>
    <row r="41" spans="1:17" customFormat="1">
      <c r="A41" s="112" t="s">
        <v>559</v>
      </c>
      <c r="B41" s="134">
        <v>32.119999999999997</v>
      </c>
      <c r="C41" s="134">
        <v>20.36</v>
      </c>
      <c r="D41" s="134">
        <v>37.75</v>
      </c>
      <c r="E41" s="134">
        <v>5.26</v>
      </c>
      <c r="F41" s="134">
        <v>2.75</v>
      </c>
      <c r="G41" s="134">
        <v>34.450000000000003</v>
      </c>
      <c r="H41" s="134">
        <v>9.4499999999999993</v>
      </c>
      <c r="I41" s="134">
        <v>5.93</v>
      </c>
      <c r="J41" s="134">
        <v>0.33</v>
      </c>
      <c r="K41" s="134">
        <v>49.88</v>
      </c>
      <c r="L41" s="134">
        <v>24.91</v>
      </c>
      <c r="M41" s="134">
        <v>86.17</v>
      </c>
      <c r="N41" s="134">
        <v>201.6</v>
      </c>
      <c r="O41" s="134">
        <v>0</v>
      </c>
      <c r="P41" s="134">
        <v>0.49</v>
      </c>
      <c r="Q41" s="134">
        <v>5.52</v>
      </c>
    </row>
    <row r="42" spans="1:17" customFormat="1">
      <c r="A42" s="112" t="s">
        <v>560</v>
      </c>
      <c r="B42" s="134">
        <v>31.52</v>
      </c>
      <c r="C42" s="134">
        <v>20.51</v>
      </c>
      <c r="D42" s="134">
        <v>37.35</v>
      </c>
      <c r="E42" s="134">
        <v>6.16</v>
      </c>
      <c r="F42" s="134">
        <v>2.89</v>
      </c>
      <c r="G42" s="134">
        <v>34.450000000000003</v>
      </c>
      <c r="H42" s="134">
        <v>9.4499999999999993</v>
      </c>
      <c r="I42" s="134">
        <v>5.91</v>
      </c>
      <c r="J42" s="134">
        <v>0.4</v>
      </c>
      <c r="K42" s="134">
        <v>43.59</v>
      </c>
      <c r="L42" s="134">
        <v>25.52</v>
      </c>
      <c r="M42" s="134">
        <v>83.21</v>
      </c>
      <c r="N42" s="134">
        <v>239.7</v>
      </c>
      <c r="O42" s="134">
        <v>0</v>
      </c>
      <c r="P42" s="134">
        <v>0.52</v>
      </c>
      <c r="Q42" s="134">
        <v>5.49</v>
      </c>
    </row>
    <row r="43" spans="1:17" customFormat="1">
      <c r="A43" s="112" t="s">
        <v>561</v>
      </c>
      <c r="B43" s="134">
        <v>30.53</v>
      </c>
      <c r="C43" s="134">
        <v>21.49</v>
      </c>
      <c r="D43" s="134">
        <v>37.06</v>
      </c>
      <c r="E43" s="134">
        <v>5.42</v>
      </c>
      <c r="F43" s="134">
        <v>2.95</v>
      </c>
      <c r="G43" s="134">
        <v>34.68</v>
      </c>
      <c r="H43" s="134">
        <v>9.5299999999999994</v>
      </c>
      <c r="I43" s="134">
        <v>6.04</v>
      </c>
      <c r="J43" s="134">
        <v>0.32</v>
      </c>
      <c r="K43" s="134">
        <v>46.58</v>
      </c>
      <c r="L43" s="134">
        <v>26.14</v>
      </c>
      <c r="M43" s="134">
        <v>81.400000000000006</v>
      </c>
      <c r="N43" s="134">
        <v>270.2</v>
      </c>
      <c r="O43" s="134">
        <v>0</v>
      </c>
      <c r="P43" s="134">
        <v>0.54</v>
      </c>
      <c r="Q43" s="134">
        <v>0</v>
      </c>
    </row>
    <row r="44" spans="1:17" customFormat="1">
      <c r="A44" s="112" t="s">
        <v>562</v>
      </c>
      <c r="B44" s="134">
        <v>29.45</v>
      </c>
      <c r="C44" s="134">
        <v>21.97</v>
      </c>
      <c r="D44" s="134">
        <v>36.450000000000003</v>
      </c>
      <c r="E44" s="134">
        <v>5.69</v>
      </c>
      <c r="F44" s="134">
        <v>3.14</v>
      </c>
      <c r="G44" s="134">
        <v>37.47</v>
      </c>
      <c r="H44" s="134">
        <v>10.57</v>
      </c>
      <c r="I44" s="134">
        <v>6.9</v>
      </c>
      <c r="J44" s="134">
        <v>0.27</v>
      </c>
      <c r="K44" s="134">
        <v>57.94</v>
      </c>
      <c r="L44" s="134">
        <v>26.75</v>
      </c>
      <c r="M44" s="134">
        <v>77.59</v>
      </c>
      <c r="N44" s="134">
        <v>316.60000000000002</v>
      </c>
      <c r="O44" s="134">
        <v>0</v>
      </c>
      <c r="P44" s="134">
        <v>0.55000000000000004</v>
      </c>
      <c r="Q44" s="134">
        <v>5.44</v>
      </c>
    </row>
    <row r="45" spans="1:17" customFormat="1">
      <c r="A45" s="112" t="s">
        <v>563</v>
      </c>
      <c r="B45" s="134">
        <v>28.44</v>
      </c>
      <c r="C45" s="134">
        <v>22.54</v>
      </c>
      <c r="D45" s="134">
        <v>35.93</v>
      </c>
      <c r="E45" s="134">
        <v>5.92</v>
      </c>
      <c r="F45" s="134">
        <v>3.01</v>
      </c>
      <c r="G45" s="134">
        <v>37.47</v>
      </c>
      <c r="H45" s="134">
        <v>10.57</v>
      </c>
      <c r="I45" s="134">
        <v>7.09</v>
      </c>
      <c r="J45" s="134">
        <v>0.43</v>
      </c>
      <c r="K45" s="134">
        <v>33.97</v>
      </c>
      <c r="L45" s="134">
        <v>26.96</v>
      </c>
      <c r="M45" s="134">
        <v>77.069999999999993</v>
      </c>
      <c r="N45" s="134">
        <v>232.3</v>
      </c>
      <c r="O45" s="134">
        <v>0</v>
      </c>
      <c r="P45" s="134">
        <v>0.55000000000000004</v>
      </c>
      <c r="Q45" s="134">
        <v>0</v>
      </c>
    </row>
    <row r="46" spans="1:17" customFormat="1">
      <c r="A46" s="112" t="s">
        <v>564</v>
      </c>
      <c r="B46" s="134">
        <v>27.65</v>
      </c>
      <c r="C46" s="134">
        <v>23.2</v>
      </c>
      <c r="D46" s="134">
        <v>35.65</v>
      </c>
      <c r="E46" s="134">
        <v>5.73</v>
      </c>
      <c r="F46" s="134">
        <v>2.94</v>
      </c>
      <c r="G46" s="134">
        <v>37.47</v>
      </c>
      <c r="H46" s="134">
        <v>10.57</v>
      </c>
      <c r="I46" s="134">
        <v>7.08</v>
      </c>
      <c r="J46" s="134">
        <v>0.26</v>
      </c>
      <c r="K46" s="134">
        <v>16.98</v>
      </c>
      <c r="L46" s="134">
        <v>26.78</v>
      </c>
      <c r="M46" s="134">
        <v>78.13</v>
      </c>
      <c r="N46" s="134">
        <v>234.1</v>
      </c>
      <c r="O46" s="134">
        <v>0</v>
      </c>
      <c r="P46" s="134">
        <v>0.56999999999999995</v>
      </c>
      <c r="Q46" s="134">
        <v>5.36</v>
      </c>
    </row>
    <row r="47" spans="1:17" customFormat="1">
      <c r="A47" s="112" t="s">
        <v>565</v>
      </c>
      <c r="B47" s="134">
        <v>26.74</v>
      </c>
      <c r="C47" s="134">
        <v>23.13</v>
      </c>
      <c r="D47" s="134">
        <v>34.880000000000003</v>
      </c>
      <c r="E47" s="134">
        <v>5.98</v>
      </c>
      <c r="F47" s="134">
        <v>2.94</v>
      </c>
      <c r="G47" s="134">
        <v>37.31</v>
      </c>
      <c r="H47" s="134">
        <v>10.57</v>
      </c>
      <c r="I47" s="134">
        <v>7.11</v>
      </c>
      <c r="J47" s="134">
        <v>0.4</v>
      </c>
      <c r="K47" s="134">
        <v>38.97</v>
      </c>
      <c r="L47" s="134">
        <v>27.29</v>
      </c>
      <c r="M47" s="134">
        <v>75.58</v>
      </c>
      <c r="N47" s="134">
        <v>365.6</v>
      </c>
      <c r="O47" s="134">
        <v>0</v>
      </c>
      <c r="P47" s="134">
        <v>0.57999999999999996</v>
      </c>
      <c r="Q47" s="134">
        <v>5.35</v>
      </c>
    </row>
    <row r="48" spans="1:17" customFormat="1">
      <c r="A48" s="112" t="s">
        <v>566</v>
      </c>
      <c r="B48" s="134">
        <v>25.66</v>
      </c>
      <c r="C48" s="134">
        <v>23.83</v>
      </c>
      <c r="D48" s="134">
        <v>34.380000000000003</v>
      </c>
      <c r="E48" s="134">
        <v>5.78</v>
      </c>
      <c r="F48" s="134">
        <v>2.89</v>
      </c>
      <c r="G48" s="134">
        <v>34.68</v>
      </c>
      <c r="H48" s="134">
        <v>11.95</v>
      </c>
      <c r="I48" s="134">
        <v>7.09</v>
      </c>
      <c r="J48" s="134">
        <v>0.3</v>
      </c>
      <c r="K48" s="134">
        <v>50.1</v>
      </c>
      <c r="L48" s="134">
        <v>28.29</v>
      </c>
      <c r="M48" s="134">
        <v>70.94</v>
      </c>
      <c r="N48" s="134">
        <v>494.3</v>
      </c>
      <c r="O48" s="134">
        <v>0</v>
      </c>
      <c r="P48" s="134">
        <v>0.56999999999999995</v>
      </c>
      <c r="Q48" s="134">
        <v>5.32</v>
      </c>
    </row>
    <row r="49" spans="1:17" customFormat="1">
      <c r="A49" s="112" t="s">
        <v>567</v>
      </c>
      <c r="B49" s="134">
        <v>24.38</v>
      </c>
      <c r="C49" s="134">
        <v>24.13</v>
      </c>
      <c r="D49" s="134">
        <v>33.51</v>
      </c>
      <c r="E49" s="134">
        <v>3.99</v>
      </c>
      <c r="F49" s="134">
        <v>3.32</v>
      </c>
      <c r="G49" s="134">
        <v>34.68</v>
      </c>
      <c r="H49" s="134">
        <v>11.95</v>
      </c>
      <c r="I49" s="134">
        <v>7.02</v>
      </c>
      <c r="J49" s="134">
        <v>0.41</v>
      </c>
      <c r="K49" s="134">
        <v>53.51</v>
      </c>
      <c r="L49" s="134">
        <v>28.71</v>
      </c>
      <c r="M49" s="134">
        <v>68.16</v>
      </c>
      <c r="N49" s="134">
        <v>521.9</v>
      </c>
      <c r="O49" s="134">
        <v>0</v>
      </c>
      <c r="P49" s="134">
        <v>0.56999999999999995</v>
      </c>
      <c r="Q49" s="134">
        <v>5.28</v>
      </c>
    </row>
    <row r="50" spans="1:17" customFormat="1">
      <c r="A50" s="112" t="s">
        <v>568</v>
      </c>
      <c r="B50" s="134">
        <v>23.1</v>
      </c>
      <c r="C50" s="134">
        <v>24.48</v>
      </c>
      <c r="D50" s="134">
        <v>32.659999999999997</v>
      </c>
      <c r="E50" s="134">
        <v>4.54</v>
      </c>
      <c r="F50" s="134">
        <v>2.98</v>
      </c>
      <c r="G50" s="134">
        <v>34.68</v>
      </c>
      <c r="H50" s="134">
        <v>11.95</v>
      </c>
      <c r="I50" s="134">
        <v>6.96</v>
      </c>
      <c r="J50" s="134">
        <v>0.32</v>
      </c>
      <c r="K50" s="134">
        <v>67.56</v>
      </c>
      <c r="L50" s="134">
        <v>29.14</v>
      </c>
      <c r="M50" s="134">
        <v>67.14</v>
      </c>
      <c r="N50" s="134">
        <v>544.4</v>
      </c>
      <c r="O50" s="134">
        <v>0</v>
      </c>
      <c r="P50" s="134">
        <v>0.56999999999999995</v>
      </c>
      <c r="Q50" s="134">
        <v>5.23</v>
      </c>
    </row>
    <row r="51" spans="1:17" customFormat="1">
      <c r="A51" s="112" t="s">
        <v>569</v>
      </c>
      <c r="B51" s="134">
        <v>21.71</v>
      </c>
      <c r="C51" s="134">
        <v>24.58</v>
      </c>
      <c r="D51" s="134">
        <v>31.6</v>
      </c>
      <c r="E51" s="134">
        <v>5.26</v>
      </c>
      <c r="F51" s="134">
        <v>3.38</v>
      </c>
      <c r="G51" s="134">
        <v>35.03</v>
      </c>
      <c r="H51" s="134">
        <v>12.14</v>
      </c>
      <c r="I51" s="134">
        <v>6.77</v>
      </c>
      <c r="J51" s="134">
        <v>0.42</v>
      </c>
      <c r="K51" s="134">
        <v>38.53</v>
      </c>
      <c r="L51" s="134">
        <v>29.62</v>
      </c>
      <c r="M51" s="134">
        <v>67.7</v>
      </c>
      <c r="N51" s="134">
        <v>580.5</v>
      </c>
      <c r="O51" s="134">
        <v>0</v>
      </c>
      <c r="P51" s="134">
        <v>0.56999999999999995</v>
      </c>
      <c r="Q51" s="134">
        <v>5.19</v>
      </c>
    </row>
    <row r="52" spans="1:17" customFormat="1">
      <c r="A52" s="112" t="s">
        <v>570</v>
      </c>
      <c r="B52" s="134">
        <v>20.66</v>
      </c>
      <c r="C52" s="134">
        <v>25.41</v>
      </c>
      <c r="D52" s="134">
        <v>31.2</v>
      </c>
      <c r="E52" s="134">
        <v>5.0999999999999996</v>
      </c>
      <c r="F52" s="134">
        <v>3.41</v>
      </c>
      <c r="G52" s="134">
        <v>40.799999999999997</v>
      </c>
      <c r="H52" s="134">
        <v>15</v>
      </c>
      <c r="I52" s="134">
        <v>6.65</v>
      </c>
      <c r="J52" s="134">
        <v>0.41</v>
      </c>
      <c r="K52" s="134">
        <v>33.520000000000003</v>
      </c>
      <c r="L52" s="134">
        <v>29.46</v>
      </c>
      <c r="M52" s="134">
        <v>66.92</v>
      </c>
      <c r="N52" s="134">
        <v>242.8</v>
      </c>
      <c r="O52" s="134">
        <v>0</v>
      </c>
      <c r="P52" s="134">
        <v>0.57999999999999996</v>
      </c>
      <c r="Q52" s="134">
        <v>5.16</v>
      </c>
    </row>
    <row r="53" spans="1:17" customFormat="1">
      <c r="A53" s="112" t="s">
        <v>571</v>
      </c>
      <c r="B53" s="134">
        <v>19.68</v>
      </c>
      <c r="C53" s="134">
        <v>25.28</v>
      </c>
      <c r="D53" s="134">
        <v>30.34</v>
      </c>
      <c r="E53" s="134">
        <v>5.23</v>
      </c>
      <c r="F53" s="134">
        <v>3.13</v>
      </c>
      <c r="G53" s="134">
        <v>40.799999999999997</v>
      </c>
      <c r="H53" s="134">
        <v>15</v>
      </c>
      <c r="I53" s="134">
        <v>6.45</v>
      </c>
      <c r="J53" s="134">
        <v>0.45</v>
      </c>
      <c r="K53" s="134">
        <v>39.57</v>
      </c>
      <c r="L53" s="134">
        <v>28.71</v>
      </c>
      <c r="M53" s="134">
        <v>69.64</v>
      </c>
      <c r="N53" s="134">
        <v>157.19999999999999</v>
      </c>
      <c r="O53" s="134">
        <v>0</v>
      </c>
      <c r="P53" s="134">
        <v>0.57999999999999996</v>
      </c>
      <c r="Q53" s="134">
        <v>5.12</v>
      </c>
    </row>
    <row r="54" spans="1:17" customFormat="1">
      <c r="A54" s="112" t="s">
        <v>572</v>
      </c>
      <c r="B54" s="134">
        <v>18.7</v>
      </c>
      <c r="C54" s="134">
        <v>25.49</v>
      </c>
      <c r="D54" s="134">
        <v>29.67</v>
      </c>
      <c r="E54" s="134">
        <v>4.9400000000000004</v>
      </c>
      <c r="F54" s="134">
        <v>3.34</v>
      </c>
      <c r="G54" s="134">
        <v>40.799999999999997</v>
      </c>
      <c r="H54" s="134">
        <v>15</v>
      </c>
      <c r="I54" s="134">
        <v>6.47</v>
      </c>
      <c r="J54" s="134">
        <v>0.38</v>
      </c>
      <c r="K54" s="134">
        <v>25.98</v>
      </c>
      <c r="L54" s="134">
        <v>28.69</v>
      </c>
      <c r="M54" s="134">
        <v>68.91</v>
      </c>
      <c r="N54" s="134">
        <v>210</v>
      </c>
      <c r="O54" s="134">
        <v>0</v>
      </c>
      <c r="P54" s="134">
        <v>0.57999999999999996</v>
      </c>
      <c r="Q54" s="134">
        <v>5.09</v>
      </c>
    </row>
    <row r="55" spans="1:17" customFormat="1">
      <c r="A55" s="112" t="s">
        <v>573</v>
      </c>
      <c r="B55" s="134">
        <v>18.7</v>
      </c>
      <c r="C55" s="134">
        <v>25.49</v>
      </c>
      <c r="D55" s="134">
        <v>29.67</v>
      </c>
      <c r="E55" s="134">
        <v>4.9400000000000004</v>
      </c>
      <c r="F55" s="134">
        <v>3.34</v>
      </c>
      <c r="G55" s="134">
        <v>40.799999999999997</v>
      </c>
      <c r="H55" s="134">
        <v>15</v>
      </c>
      <c r="I55" s="134">
        <v>6.47</v>
      </c>
      <c r="J55" s="134">
        <v>0.38</v>
      </c>
      <c r="K55" s="134">
        <v>25.98</v>
      </c>
      <c r="L55" s="134">
        <v>28.69</v>
      </c>
      <c r="M55" s="134">
        <v>68.91</v>
      </c>
      <c r="N55" s="134">
        <v>210</v>
      </c>
      <c r="O55" s="134">
        <v>0</v>
      </c>
      <c r="P55" s="134">
        <v>0.57999999999999996</v>
      </c>
      <c r="Q55" s="134">
        <v>5.09</v>
      </c>
    </row>
    <row r="56" spans="1:17" customFormat="1">
      <c r="A56" s="112" t="s">
        <v>574</v>
      </c>
      <c r="B56" s="134">
        <v>18.7</v>
      </c>
      <c r="C56" s="134">
        <v>25.49</v>
      </c>
      <c r="D56" s="134">
        <v>29.67</v>
      </c>
      <c r="E56" s="134">
        <v>4.9400000000000004</v>
      </c>
      <c r="F56" s="134">
        <v>3.34</v>
      </c>
      <c r="G56" s="134">
        <v>40.799999999999997</v>
      </c>
      <c r="H56" s="134">
        <v>15</v>
      </c>
      <c r="I56" s="134">
        <v>6.47</v>
      </c>
      <c r="J56" s="134">
        <v>0.38</v>
      </c>
      <c r="K56" s="134">
        <v>25.98</v>
      </c>
      <c r="L56" s="134">
        <v>28.69</v>
      </c>
      <c r="M56" s="134">
        <v>68.91</v>
      </c>
      <c r="N56" s="134">
        <v>210</v>
      </c>
      <c r="O56" s="134">
        <v>0</v>
      </c>
      <c r="P56" s="134">
        <v>0.57999999999999996</v>
      </c>
      <c r="Q56" s="134">
        <v>5.09</v>
      </c>
    </row>
    <row r="57" spans="1:17" customFormat="1">
      <c r="A57" s="112" t="s">
        <v>575</v>
      </c>
      <c r="B57" s="134">
        <v>16.62</v>
      </c>
      <c r="C57" s="134">
        <v>25.47</v>
      </c>
      <c r="D57" s="134">
        <v>27.99</v>
      </c>
      <c r="E57" s="134">
        <v>5.67</v>
      </c>
      <c r="F57" s="134">
        <v>3.88</v>
      </c>
      <c r="G57" s="134">
        <v>41.42</v>
      </c>
      <c r="H57" s="134">
        <v>14.75</v>
      </c>
      <c r="I57" s="134">
        <v>6.27</v>
      </c>
      <c r="J57" s="134">
        <v>0.27</v>
      </c>
      <c r="K57" s="134">
        <v>55.02</v>
      </c>
      <c r="L57" s="134">
        <v>29.72</v>
      </c>
      <c r="M57" s="134">
        <v>64.88</v>
      </c>
      <c r="N57" s="134">
        <v>429.5</v>
      </c>
      <c r="O57" s="134">
        <v>0</v>
      </c>
      <c r="P57" s="134">
        <v>0.57999999999999996</v>
      </c>
      <c r="Q57" s="134">
        <v>5</v>
      </c>
    </row>
    <row r="58" spans="1:17" customFormat="1">
      <c r="A58" s="112" t="s">
        <v>576</v>
      </c>
      <c r="B58" s="134">
        <v>16.62</v>
      </c>
      <c r="C58" s="134">
        <v>25.47</v>
      </c>
      <c r="D58" s="134">
        <v>27.99</v>
      </c>
      <c r="E58" s="134">
        <v>5.67</v>
      </c>
      <c r="F58" s="134">
        <v>3.88</v>
      </c>
      <c r="G58" s="134">
        <v>41.42</v>
      </c>
      <c r="H58" s="134">
        <v>14.75</v>
      </c>
      <c r="I58" s="134">
        <v>6.27</v>
      </c>
      <c r="J58" s="134">
        <v>0.22</v>
      </c>
      <c r="K58" s="134">
        <v>0.16</v>
      </c>
      <c r="L58" s="134">
        <v>29.72</v>
      </c>
      <c r="M58" s="134">
        <v>64.88</v>
      </c>
      <c r="N58" s="134">
        <v>429.5</v>
      </c>
      <c r="O58" s="134">
        <v>0</v>
      </c>
      <c r="P58" s="134">
        <v>0.57999999999999996</v>
      </c>
      <c r="Q58" s="134">
        <v>5</v>
      </c>
    </row>
    <row r="59" spans="1:17" customFormat="1">
      <c r="A59" s="112" t="s">
        <v>577</v>
      </c>
      <c r="B59" s="134">
        <v>9.99</v>
      </c>
      <c r="C59" s="134">
        <v>22.67</v>
      </c>
      <c r="D59" s="134">
        <v>21.2</v>
      </c>
      <c r="E59" s="134">
        <v>8.6199999999999992</v>
      </c>
      <c r="F59" s="134">
        <v>16.04</v>
      </c>
      <c r="G59" s="134">
        <v>41.99</v>
      </c>
      <c r="H59" s="134">
        <v>14.1</v>
      </c>
      <c r="I59" s="134">
        <v>5.99</v>
      </c>
      <c r="J59" s="134">
        <v>0.5</v>
      </c>
      <c r="K59" s="134">
        <v>36.85</v>
      </c>
      <c r="L59" s="134">
        <v>29.39</v>
      </c>
      <c r="M59" s="134">
        <v>64.22</v>
      </c>
      <c r="N59" s="134">
        <v>155.19999999999999</v>
      </c>
      <c r="O59" s="134">
        <v>0</v>
      </c>
      <c r="P59" s="134">
        <v>0.54</v>
      </c>
      <c r="Q59" s="134">
        <v>0</v>
      </c>
    </row>
    <row r="60" spans="1:17" customFormat="1">
      <c r="A60" s="112" t="s">
        <v>578</v>
      </c>
      <c r="B60" s="134">
        <v>4.9000000000000004</v>
      </c>
      <c r="C60" s="134">
        <v>20.25</v>
      </c>
      <c r="D60" s="134">
        <v>15.87</v>
      </c>
      <c r="E60" s="134">
        <v>8.89</v>
      </c>
      <c r="F60" s="134">
        <v>16.399999999999999</v>
      </c>
      <c r="G60" s="134">
        <v>41.19</v>
      </c>
      <c r="H60" s="134">
        <v>11.09</v>
      </c>
      <c r="I60" s="134">
        <v>5.76</v>
      </c>
      <c r="J60" s="134">
        <v>0.32</v>
      </c>
      <c r="K60" s="134">
        <v>16.45</v>
      </c>
      <c r="L60" s="134">
        <v>29.2</v>
      </c>
      <c r="M60" s="134">
        <v>65.760000000000005</v>
      </c>
      <c r="N60" s="134">
        <v>213.1</v>
      </c>
      <c r="O60" s="134">
        <v>0</v>
      </c>
      <c r="P60" s="134">
        <v>0.53</v>
      </c>
      <c r="Q60" s="134">
        <v>4.4400000000000004</v>
      </c>
    </row>
    <row r="61" spans="1:17" customFormat="1">
      <c r="A61" s="112" t="s">
        <v>579</v>
      </c>
      <c r="B61" s="134">
        <v>3.78</v>
      </c>
      <c r="C61" s="134">
        <v>20.77</v>
      </c>
      <c r="D61" s="134">
        <v>15.24</v>
      </c>
      <c r="E61" s="134">
        <v>6.91</v>
      </c>
      <c r="F61" s="134">
        <v>7.27</v>
      </c>
      <c r="G61" s="134">
        <v>41.19</v>
      </c>
      <c r="H61" s="134">
        <v>11.09</v>
      </c>
      <c r="I61" s="134">
        <v>4.93</v>
      </c>
      <c r="J61" s="134">
        <v>0.27</v>
      </c>
      <c r="K61" s="134">
        <v>12.16</v>
      </c>
      <c r="L61" s="134">
        <v>30.31</v>
      </c>
      <c r="M61" s="134">
        <v>62.49</v>
      </c>
      <c r="N61" s="134">
        <v>453.4</v>
      </c>
      <c r="O61" s="134">
        <v>0</v>
      </c>
      <c r="P61" s="134">
        <v>0.53</v>
      </c>
      <c r="Q61" s="134">
        <v>4.37</v>
      </c>
    </row>
    <row r="62" spans="1:17" customFormat="1">
      <c r="A62" s="112" t="s">
        <v>580</v>
      </c>
      <c r="B62" s="134">
        <v>3.74</v>
      </c>
      <c r="C62" s="134">
        <v>20.420000000000002</v>
      </c>
      <c r="D62" s="134">
        <v>15.02</v>
      </c>
      <c r="E62" s="134">
        <v>5.25</v>
      </c>
      <c r="F62" s="134">
        <v>5.4</v>
      </c>
      <c r="G62" s="134">
        <v>41.19</v>
      </c>
      <c r="H62" s="134">
        <v>11.09</v>
      </c>
      <c r="I62" s="134">
        <v>5.33</v>
      </c>
      <c r="J62" s="134">
        <v>0.37</v>
      </c>
      <c r="K62" s="134">
        <v>71.55</v>
      </c>
      <c r="L62" s="134">
        <v>30.75</v>
      </c>
      <c r="M62" s="134">
        <v>60.14</v>
      </c>
      <c r="N62" s="134">
        <v>436.7</v>
      </c>
      <c r="O62" s="134">
        <v>0</v>
      </c>
      <c r="P62" s="134">
        <v>0.51</v>
      </c>
      <c r="Q62" s="134">
        <v>4.34</v>
      </c>
    </row>
    <row r="63" spans="1:17" customFormat="1">
      <c r="A63" s="112" t="s">
        <v>581</v>
      </c>
      <c r="B63" s="134">
        <v>3.91</v>
      </c>
      <c r="C63" s="134">
        <v>21.32</v>
      </c>
      <c r="D63" s="134">
        <v>15.62</v>
      </c>
      <c r="E63" s="134">
        <v>5.26</v>
      </c>
      <c r="F63" s="134">
        <v>5.86</v>
      </c>
      <c r="G63" s="134">
        <v>41.4</v>
      </c>
      <c r="H63" s="134">
        <v>11.4</v>
      </c>
      <c r="I63" s="134">
        <v>4.84</v>
      </c>
      <c r="J63" s="134">
        <v>0.48</v>
      </c>
      <c r="K63" s="134">
        <v>45.78</v>
      </c>
      <c r="L63" s="134">
        <v>30.69</v>
      </c>
      <c r="M63" s="134">
        <v>58</v>
      </c>
      <c r="N63" s="134">
        <v>430</v>
      </c>
      <c r="O63" s="134">
        <v>0</v>
      </c>
      <c r="P63" s="134">
        <v>0.5</v>
      </c>
      <c r="Q63" s="134">
        <v>4.28</v>
      </c>
    </row>
    <row r="64" spans="1:17" customFormat="1">
      <c r="A64" s="112" t="s">
        <v>582</v>
      </c>
      <c r="B64" s="134">
        <v>4.1900000000000004</v>
      </c>
      <c r="C64" s="134">
        <v>21.02</v>
      </c>
      <c r="D64" s="134">
        <v>15.69</v>
      </c>
      <c r="E64" s="134">
        <v>4.3099999999999996</v>
      </c>
      <c r="F64" s="134">
        <v>5.91</v>
      </c>
      <c r="G64" s="134">
        <v>46.01</v>
      </c>
      <c r="H64" s="134">
        <v>16.18</v>
      </c>
      <c r="I64" s="134">
        <v>4.83</v>
      </c>
      <c r="J64" s="134">
        <v>0.4</v>
      </c>
      <c r="K64" s="134">
        <v>43.26</v>
      </c>
      <c r="L64" s="134">
        <v>30.77</v>
      </c>
      <c r="M64" s="134">
        <v>57.41</v>
      </c>
      <c r="N64" s="134">
        <v>396.9</v>
      </c>
      <c r="O64" s="134">
        <v>0</v>
      </c>
      <c r="P64" s="134">
        <v>0.5</v>
      </c>
      <c r="Q64" s="134">
        <v>4.28</v>
      </c>
    </row>
    <row r="65" spans="1:17" customFormat="1">
      <c r="A65" s="112" t="s">
        <v>583</v>
      </c>
      <c r="B65" s="134">
        <v>4.57</v>
      </c>
      <c r="C65" s="134">
        <v>20.48</v>
      </c>
      <c r="D65" s="134">
        <v>15.71</v>
      </c>
      <c r="E65" s="134">
        <v>5.16</v>
      </c>
      <c r="F65" s="134">
        <v>6.44</v>
      </c>
      <c r="G65" s="134">
        <v>46.01</v>
      </c>
      <c r="H65" s="134">
        <v>16.18</v>
      </c>
      <c r="I65" s="134">
        <v>4.7699999999999996</v>
      </c>
      <c r="J65" s="134">
        <v>0.53</v>
      </c>
      <c r="K65" s="134">
        <v>34.020000000000003</v>
      </c>
      <c r="L65" s="134">
        <v>30.65</v>
      </c>
      <c r="M65" s="134">
        <v>58.05</v>
      </c>
      <c r="N65" s="134">
        <v>278.3</v>
      </c>
      <c r="O65" s="134">
        <v>0</v>
      </c>
      <c r="P65" s="134">
        <v>0.48</v>
      </c>
      <c r="Q65" s="134">
        <v>4.28</v>
      </c>
    </row>
    <row r="66" spans="1:17" customFormat="1">
      <c r="A66" s="112" t="s">
        <v>584</v>
      </c>
      <c r="B66" s="134">
        <v>4.74</v>
      </c>
      <c r="C66" s="134">
        <v>19.88</v>
      </c>
      <c r="D66" s="134">
        <v>15.54</v>
      </c>
      <c r="E66" s="134">
        <v>4.55</v>
      </c>
      <c r="F66" s="134">
        <v>5.81</v>
      </c>
      <c r="G66" s="134">
        <v>46.01</v>
      </c>
      <c r="H66" s="134">
        <v>16.18</v>
      </c>
      <c r="I66" s="134">
        <v>4.79</v>
      </c>
      <c r="J66" s="134">
        <v>0.6</v>
      </c>
      <c r="K66" s="134">
        <v>41.85</v>
      </c>
      <c r="L66" s="134">
        <v>29.93</v>
      </c>
      <c r="M66" s="134">
        <v>60.96</v>
      </c>
      <c r="N66" s="134">
        <v>112.9</v>
      </c>
      <c r="O66" s="134">
        <v>0</v>
      </c>
      <c r="P66" s="134">
        <v>0.5</v>
      </c>
      <c r="Q66" s="134">
        <v>4.2699999999999996</v>
      </c>
    </row>
    <row r="67" spans="1:17" customFormat="1">
      <c r="A67" s="112" t="s">
        <v>585</v>
      </c>
      <c r="B67" s="134">
        <v>4.92</v>
      </c>
      <c r="C67" s="134">
        <v>19.86</v>
      </c>
      <c r="D67" s="134">
        <v>15.68</v>
      </c>
      <c r="E67" s="134">
        <v>5.21</v>
      </c>
      <c r="F67" s="134">
        <v>5.82</v>
      </c>
      <c r="G67" s="134">
        <v>46.08</v>
      </c>
      <c r="H67" s="134">
        <v>16.28</v>
      </c>
      <c r="I67" s="134">
        <v>4.7</v>
      </c>
      <c r="J67" s="134">
        <v>0.47</v>
      </c>
      <c r="K67" s="134">
        <v>47.69</v>
      </c>
      <c r="L67" s="134">
        <v>29.4</v>
      </c>
      <c r="M67" s="134">
        <v>62.5</v>
      </c>
      <c r="N67" s="134">
        <v>75.099999999999994</v>
      </c>
      <c r="O67" s="134">
        <v>0</v>
      </c>
      <c r="P67" s="134">
        <v>0.5</v>
      </c>
      <c r="Q67" s="134">
        <v>4.2699999999999996</v>
      </c>
    </row>
    <row r="68" spans="1:17" customFormat="1">
      <c r="A68" s="112" t="s">
        <v>586</v>
      </c>
      <c r="B68" s="134">
        <v>5.0999999999999996</v>
      </c>
      <c r="C68" s="134">
        <v>20.079999999999998</v>
      </c>
      <c r="D68" s="134">
        <v>15.93</v>
      </c>
      <c r="E68" s="134">
        <v>6.46</v>
      </c>
      <c r="F68" s="134">
        <v>7.64</v>
      </c>
      <c r="G68" s="134">
        <v>47.44</v>
      </c>
      <c r="H68" s="134">
        <v>17.75</v>
      </c>
      <c r="I68" s="134">
        <v>4.6900000000000004</v>
      </c>
      <c r="J68" s="134">
        <v>0.52</v>
      </c>
      <c r="K68" s="134">
        <v>30.81</v>
      </c>
      <c r="L68" s="134">
        <v>29.26</v>
      </c>
      <c r="M68" s="134">
        <v>61.78</v>
      </c>
      <c r="N68" s="134">
        <v>105</v>
      </c>
      <c r="O68" s="134">
        <v>0</v>
      </c>
      <c r="P68" s="134">
        <v>0.5</v>
      </c>
      <c r="Q68" s="134">
        <v>4.2699999999999996</v>
      </c>
    </row>
    <row r="69" spans="1:17" customFormat="1">
      <c r="A69" s="112" t="s">
        <v>587</v>
      </c>
      <c r="B69" s="134">
        <v>5.61</v>
      </c>
      <c r="C69" s="134">
        <v>20.2</v>
      </c>
      <c r="D69" s="134">
        <v>16.399999999999999</v>
      </c>
      <c r="E69" s="134">
        <v>7.55</v>
      </c>
      <c r="F69" s="134">
        <v>7.84</v>
      </c>
      <c r="G69" s="134">
        <v>47.44</v>
      </c>
      <c r="H69" s="134">
        <v>17.75</v>
      </c>
      <c r="I69" s="134">
        <v>5.13</v>
      </c>
      <c r="J69" s="134">
        <v>0.51</v>
      </c>
      <c r="K69" s="134">
        <v>38.78</v>
      </c>
      <c r="L69" s="134">
        <v>29.4</v>
      </c>
      <c r="M69" s="134">
        <v>59.84</v>
      </c>
      <c r="N69" s="134">
        <v>112.9</v>
      </c>
      <c r="O69" s="134">
        <v>0</v>
      </c>
      <c r="P69" s="134">
        <v>0.5</v>
      </c>
      <c r="Q69" s="134">
        <v>4.29</v>
      </c>
    </row>
    <row r="70" spans="1:17" customFormat="1">
      <c r="A70" s="112" t="s">
        <v>588</v>
      </c>
      <c r="B70" s="134">
        <v>5.84</v>
      </c>
      <c r="C70" s="134">
        <v>20.059999999999999</v>
      </c>
      <c r="D70" s="134">
        <v>16.510000000000002</v>
      </c>
      <c r="E70" s="134">
        <v>8.24</v>
      </c>
      <c r="F70" s="134">
        <v>8.59</v>
      </c>
      <c r="G70" s="134">
        <v>47.44</v>
      </c>
      <c r="H70" s="134">
        <v>17.75</v>
      </c>
      <c r="I70" s="134">
        <v>5.05</v>
      </c>
      <c r="J70" s="134">
        <v>0.57999999999999996</v>
      </c>
      <c r="K70" s="134">
        <v>39.25</v>
      </c>
      <c r="L70" s="134">
        <v>29.32</v>
      </c>
      <c r="M70" s="134">
        <v>61.18</v>
      </c>
      <c r="N70" s="134">
        <v>91.8</v>
      </c>
      <c r="O70" s="134">
        <v>0</v>
      </c>
      <c r="P70" s="134">
        <v>0.5</v>
      </c>
      <c r="Q70" s="134">
        <v>4.3</v>
      </c>
    </row>
    <row r="71" spans="1:17" customFormat="1">
      <c r="A71" s="112" t="s">
        <v>589</v>
      </c>
      <c r="B71" s="134">
        <v>5.99</v>
      </c>
      <c r="C71" s="134">
        <v>20.05</v>
      </c>
      <c r="D71" s="134">
        <v>16.63</v>
      </c>
      <c r="E71" s="134">
        <v>8.7899999999999991</v>
      </c>
      <c r="F71" s="134">
        <v>9.18</v>
      </c>
      <c r="G71" s="134">
        <v>47.55</v>
      </c>
      <c r="H71" s="134">
        <v>17.96</v>
      </c>
      <c r="I71" s="134">
        <v>5.01</v>
      </c>
      <c r="J71" s="134">
        <v>0.47</v>
      </c>
      <c r="K71" s="134">
        <v>46.41</v>
      </c>
      <c r="L71" s="134">
        <v>29.15</v>
      </c>
      <c r="M71" s="134">
        <v>63.44</v>
      </c>
      <c r="N71" s="134">
        <v>78.5</v>
      </c>
      <c r="O71" s="134">
        <v>0</v>
      </c>
      <c r="P71" s="134">
        <v>0.52</v>
      </c>
      <c r="Q71" s="134">
        <v>4.3</v>
      </c>
    </row>
    <row r="72" spans="1:17" customFormat="1">
      <c r="A72" s="112" t="s">
        <v>590</v>
      </c>
      <c r="B72" s="134">
        <v>6.3</v>
      </c>
      <c r="C72" s="134">
        <v>20.81</v>
      </c>
      <c r="D72" s="134">
        <v>17.28</v>
      </c>
      <c r="E72" s="134">
        <v>11.27</v>
      </c>
      <c r="F72" s="134">
        <v>8.85</v>
      </c>
      <c r="G72" s="134">
        <v>50.04</v>
      </c>
      <c r="H72" s="134">
        <v>21.29</v>
      </c>
      <c r="I72" s="134">
        <v>5</v>
      </c>
      <c r="J72" s="134">
        <v>0.5</v>
      </c>
      <c r="K72" s="134">
        <v>38</v>
      </c>
      <c r="L72" s="134">
        <v>29.14</v>
      </c>
      <c r="M72" s="134">
        <v>63.11</v>
      </c>
      <c r="N72" s="134">
        <v>70.7</v>
      </c>
      <c r="O72" s="134">
        <v>0</v>
      </c>
      <c r="P72" s="134">
        <v>0.52</v>
      </c>
      <c r="Q72" s="134">
        <v>4.32</v>
      </c>
    </row>
    <row r="73" spans="1:17" customFormat="1">
      <c r="A73" s="112" t="s">
        <v>591</v>
      </c>
      <c r="B73" s="134">
        <v>6.67</v>
      </c>
      <c r="C73" s="134">
        <v>21.64</v>
      </c>
      <c r="D73" s="134">
        <v>18</v>
      </c>
      <c r="E73" s="134">
        <v>11.48</v>
      </c>
      <c r="F73" s="134">
        <v>8.01</v>
      </c>
      <c r="G73" s="134">
        <v>50.04</v>
      </c>
      <c r="H73" s="134">
        <v>21.29</v>
      </c>
      <c r="I73" s="134">
        <v>5.03</v>
      </c>
      <c r="J73" s="134">
        <v>0.44</v>
      </c>
      <c r="K73" s="134">
        <v>40.409999999999997</v>
      </c>
      <c r="L73" s="134">
        <v>28.99</v>
      </c>
      <c r="M73" s="134">
        <v>63.45</v>
      </c>
      <c r="N73" s="134">
        <v>46.9</v>
      </c>
      <c r="O73" s="134">
        <v>0</v>
      </c>
      <c r="P73" s="134">
        <v>0.52</v>
      </c>
      <c r="Q73" s="134">
        <v>4.33</v>
      </c>
    </row>
    <row r="74" spans="1:17" customFormat="1">
      <c r="A74" s="112" t="s">
        <v>592</v>
      </c>
      <c r="B74" s="134">
        <v>6.84</v>
      </c>
      <c r="C74" s="134">
        <v>21.38</v>
      </c>
      <c r="D74" s="134">
        <v>18.010000000000002</v>
      </c>
      <c r="E74" s="134">
        <v>10.68</v>
      </c>
      <c r="F74" s="134">
        <v>7.31</v>
      </c>
      <c r="G74" s="134">
        <v>50.04</v>
      </c>
      <c r="H74" s="134">
        <v>21.29</v>
      </c>
      <c r="I74" s="134">
        <v>5.0199999999999996</v>
      </c>
      <c r="J74" s="134">
        <v>0.43</v>
      </c>
      <c r="K74" s="134">
        <v>48.72</v>
      </c>
      <c r="L74" s="134">
        <v>28.66</v>
      </c>
      <c r="M74" s="134">
        <v>66.11</v>
      </c>
      <c r="N74" s="134">
        <v>26.4</v>
      </c>
      <c r="O74" s="134">
        <v>0</v>
      </c>
      <c r="P74" s="134">
        <v>0.53</v>
      </c>
      <c r="Q74" s="134">
        <v>4.33</v>
      </c>
    </row>
    <row r="75" spans="1:17" customFormat="1">
      <c r="A75" s="112" t="s">
        <v>593</v>
      </c>
      <c r="B75" s="134">
        <v>7.42</v>
      </c>
      <c r="C75" s="134">
        <v>22.15</v>
      </c>
      <c r="D75" s="134">
        <v>18.88</v>
      </c>
      <c r="E75" s="134">
        <v>13.05</v>
      </c>
      <c r="F75" s="134">
        <v>7.31</v>
      </c>
      <c r="G75" s="134">
        <v>50.44</v>
      </c>
      <c r="H75" s="134">
        <v>21.54</v>
      </c>
      <c r="I75" s="134">
        <v>5.03</v>
      </c>
      <c r="J75" s="134">
        <v>0.36</v>
      </c>
      <c r="K75" s="134">
        <v>42.38</v>
      </c>
      <c r="L75" s="134">
        <v>28.35</v>
      </c>
      <c r="M75" s="134">
        <v>68.290000000000006</v>
      </c>
      <c r="N75" s="134">
        <v>18</v>
      </c>
      <c r="O75" s="134">
        <v>0</v>
      </c>
      <c r="P75" s="134">
        <v>0.56999999999999995</v>
      </c>
      <c r="Q75" s="134">
        <v>4.34</v>
      </c>
    </row>
    <row r="76" spans="1:17" customFormat="1">
      <c r="A76" s="112" t="s">
        <v>594</v>
      </c>
      <c r="B76" s="134">
        <v>8.34</v>
      </c>
      <c r="C76" s="134">
        <v>23.54</v>
      </c>
      <c r="D76" s="134">
        <v>20.34</v>
      </c>
      <c r="E76" s="134">
        <v>11.64</v>
      </c>
      <c r="F76" s="134">
        <v>6.24</v>
      </c>
      <c r="G76" s="134">
        <v>58.98</v>
      </c>
      <c r="H76" s="134">
        <v>25.45</v>
      </c>
      <c r="I76" s="134">
        <v>5.13</v>
      </c>
      <c r="J76" s="134">
        <v>0.35</v>
      </c>
      <c r="K76" s="134">
        <v>47.59</v>
      </c>
      <c r="L76" s="134">
        <v>27.92</v>
      </c>
      <c r="M76" s="134">
        <v>70.44</v>
      </c>
      <c r="N76" s="134">
        <v>3</v>
      </c>
      <c r="O76" s="134">
        <v>0</v>
      </c>
      <c r="P76" s="134">
        <v>0.57999999999999996</v>
      </c>
      <c r="Q76" s="134">
        <v>4.3899999999999997</v>
      </c>
    </row>
    <row r="77" spans="1:17" customFormat="1">
      <c r="A77" s="112" t="s">
        <v>595</v>
      </c>
      <c r="B77" s="134">
        <v>9.06</v>
      </c>
      <c r="C77" s="134">
        <v>23.63</v>
      </c>
      <c r="D77" s="134">
        <v>20.96</v>
      </c>
      <c r="E77" s="134">
        <v>10.9</v>
      </c>
      <c r="F77" s="134">
        <v>5.32</v>
      </c>
      <c r="G77" s="134">
        <v>58.98</v>
      </c>
      <c r="H77" s="134">
        <v>25.45</v>
      </c>
      <c r="I77" s="134">
        <v>5.15</v>
      </c>
      <c r="J77" s="134">
        <v>0.24</v>
      </c>
      <c r="K77" s="134">
        <v>51.49</v>
      </c>
      <c r="L77" s="134">
        <v>27.61</v>
      </c>
      <c r="M77" s="134">
        <v>71.53</v>
      </c>
      <c r="N77" s="134">
        <v>0</v>
      </c>
      <c r="O77" s="134">
        <v>0</v>
      </c>
      <c r="P77" s="134">
        <v>0.6</v>
      </c>
      <c r="Q77" s="134">
        <v>4.4000000000000004</v>
      </c>
    </row>
    <row r="78" spans="1:17" customFormat="1">
      <c r="A78" s="112" t="s">
        <v>596</v>
      </c>
      <c r="B78" s="134">
        <v>10.01</v>
      </c>
      <c r="C78" s="134">
        <v>23.91</v>
      </c>
      <c r="D78" s="134">
        <v>21.87</v>
      </c>
      <c r="E78" s="134">
        <v>7.66</v>
      </c>
      <c r="F78" s="134">
        <v>3.85</v>
      </c>
      <c r="G78" s="134">
        <v>58.98</v>
      </c>
      <c r="H78" s="134">
        <v>25.45</v>
      </c>
      <c r="I78" s="134">
        <v>5.47</v>
      </c>
      <c r="J78" s="134">
        <v>0.25</v>
      </c>
      <c r="K78" s="134">
        <v>54.07</v>
      </c>
      <c r="L78" s="134">
        <v>27.34</v>
      </c>
      <c r="M78" s="134">
        <v>72.680000000000007</v>
      </c>
      <c r="N78" s="134">
        <v>0</v>
      </c>
      <c r="O78" s="134">
        <v>0</v>
      </c>
      <c r="P78" s="134">
        <v>0.6</v>
      </c>
      <c r="Q78" s="134">
        <v>4.43</v>
      </c>
    </row>
    <row r="79" spans="1:17" customFormat="1">
      <c r="A79" s="112" t="s">
        <v>597</v>
      </c>
      <c r="B79" s="134">
        <v>10.31</v>
      </c>
      <c r="C79" s="134">
        <v>24.26</v>
      </c>
      <c r="D79" s="134">
        <v>22.29</v>
      </c>
      <c r="E79" s="134">
        <v>6.08</v>
      </c>
      <c r="F79" s="134">
        <v>3.53</v>
      </c>
      <c r="G79" s="134">
        <v>60.05</v>
      </c>
      <c r="H79" s="134">
        <v>25.65</v>
      </c>
      <c r="I79" s="134">
        <v>5.9</v>
      </c>
      <c r="J79" s="134">
        <v>0.28999999999999998</v>
      </c>
      <c r="K79" s="134">
        <v>47.06</v>
      </c>
      <c r="L79" s="134">
        <v>27.11</v>
      </c>
      <c r="M79" s="134">
        <v>73.77</v>
      </c>
      <c r="N79" s="134">
        <v>0</v>
      </c>
      <c r="O79" s="134">
        <v>0</v>
      </c>
      <c r="P79" s="134">
        <v>0.64</v>
      </c>
      <c r="Q79" s="134">
        <v>4.46</v>
      </c>
    </row>
    <row r="80" spans="1:17" customFormat="1">
      <c r="A80" s="112" t="s">
        <v>598</v>
      </c>
      <c r="B80" s="134">
        <v>13.61</v>
      </c>
      <c r="C80" s="134">
        <v>27.71</v>
      </c>
      <c r="D80" s="134">
        <v>26.74</v>
      </c>
      <c r="E80" s="134">
        <v>7.6</v>
      </c>
      <c r="F80" s="134">
        <v>3.82</v>
      </c>
      <c r="G80" s="134">
        <v>83.04</v>
      </c>
      <c r="H80" s="134">
        <v>28.85</v>
      </c>
      <c r="I80" s="134">
        <v>5.77</v>
      </c>
      <c r="J80" s="134">
        <v>0.11</v>
      </c>
      <c r="K80" s="134">
        <v>75.12</v>
      </c>
      <c r="L80" s="134">
        <v>26.83</v>
      </c>
      <c r="M80" s="134">
        <v>76</v>
      </c>
      <c r="N80" s="134">
        <v>0</v>
      </c>
      <c r="O80" s="134">
        <v>0</v>
      </c>
      <c r="P80" s="134">
        <v>0.67</v>
      </c>
      <c r="Q80" s="134">
        <v>4.53</v>
      </c>
    </row>
    <row r="81" spans="1:17" customFormat="1">
      <c r="A81" s="112" t="s">
        <v>599</v>
      </c>
      <c r="B81" s="134">
        <v>11.85</v>
      </c>
      <c r="C81" s="134">
        <v>25.82</v>
      </c>
      <c r="D81" s="134">
        <v>24.35</v>
      </c>
      <c r="E81" s="134">
        <v>4.83</v>
      </c>
      <c r="F81" s="134">
        <v>3.03</v>
      </c>
      <c r="G81" s="134">
        <v>83.04</v>
      </c>
      <c r="H81" s="134">
        <v>28.85</v>
      </c>
      <c r="I81" s="134">
        <v>6.02</v>
      </c>
      <c r="J81" s="134">
        <v>0.06</v>
      </c>
      <c r="K81" s="134">
        <v>144.26</v>
      </c>
      <c r="L81" s="134">
        <v>26.3</v>
      </c>
      <c r="M81" s="134">
        <v>79.77</v>
      </c>
      <c r="N81" s="134">
        <v>0</v>
      </c>
      <c r="O81" s="134">
        <v>0</v>
      </c>
      <c r="P81" s="134">
        <v>0.66</v>
      </c>
      <c r="Q81" s="134">
        <v>4.58</v>
      </c>
    </row>
    <row r="82" spans="1:17" customFormat="1">
      <c r="A82" s="112" t="s">
        <v>600</v>
      </c>
      <c r="B82" s="134">
        <v>11.74</v>
      </c>
      <c r="C82" s="134">
        <v>29.37</v>
      </c>
      <c r="D82" s="134">
        <v>26.11</v>
      </c>
      <c r="E82" s="134">
        <v>5.63</v>
      </c>
      <c r="F82" s="134">
        <v>2.14</v>
      </c>
      <c r="G82" s="134">
        <v>83.04</v>
      </c>
      <c r="H82" s="134">
        <v>28.85</v>
      </c>
      <c r="I82" s="134">
        <v>6.24</v>
      </c>
      <c r="J82" s="134">
        <v>0.17</v>
      </c>
      <c r="K82" s="134">
        <v>151.46</v>
      </c>
      <c r="L82" s="134">
        <v>26.08</v>
      </c>
      <c r="M82" s="134">
        <v>81.2</v>
      </c>
      <c r="N82" s="134">
        <v>0</v>
      </c>
      <c r="O82" s="134">
        <v>0</v>
      </c>
      <c r="P82" s="134">
        <v>0.71</v>
      </c>
      <c r="Q82" s="134">
        <v>4.63</v>
      </c>
    </row>
    <row r="83" spans="1:17" customFormat="1">
      <c r="A83" s="112" t="s">
        <v>601</v>
      </c>
      <c r="B83" s="134">
        <v>12</v>
      </c>
      <c r="C83" s="134">
        <v>29.6</v>
      </c>
      <c r="D83" s="134">
        <v>26.44</v>
      </c>
      <c r="E83" s="134">
        <v>5.69</v>
      </c>
      <c r="F83" s="134">
        <v>2.29</v>
      </c>
      <c r="G83" s="134">
        <v>83.34</v>
      </c>
      <c r="H83" s="134">
        <v>29.26</v>
      </c>
      <c r="I83" s="134">
        <v>6.12</v>
      </c>
      <c r="J83" s="134">
        <v>0.21</v>
      </c>
      <c r="K83" s="134">
        <v>165.7</v>
      </c>
      <c r="L83" s="134">
        <v>25.74</v>
      </c>
      <c r="M83" s="134">
        <v>83.81</v>
      </c>
      <c r="N83" s="134">
        <v>0</v>
      </c>
      <c r="O83" s="134">
        <v>0</v>
      </c>
      <c r="P83" s="134">
        <v>0.74</v>
      </c>
      <c r="Q83" s="134">
        <v>4.6900000000000004</v>
      </c>
    </row>
    <row r="84" spans="1:17" customFormat="1">
      <c r="A84" s="112" t="s">
        <v>602</v>
      </c>
      <c r="B84" s="134">
        <v>12.31</v>
      </c>
      <c r="C84" s="134">
        <v>29.06</v>
      </c>
      <c r="D84" s="134">
        <v>26.41</v>
      </c>
      <c r="E84" s="134">
        <v>6.02</v>
      </c>
      <c r="F84" s="134">
        <v>2.48</v>
      </c>
      <c r="G84" s="134">
        <v>89.77</v>
      </c>
      <c r="H84" s="134">
        <v>35.619999999999997</v>
      </c>
      <c r="I84" s="134">
        <v>6.29</v>
      </c>
      <c r="J84" s="134">
        <v>0.11</v>
      </c>
      <c r="K84" s="134">
        <v>132.09</v>
      </c>
      <c r="L84" s="134">
        <v>25.53</v>
      </c>
      <c r="M84" s="134">
        <v>84.54</v>
      </c>
      <c r="N84" s="134">
        <v>0</v>
      </c>
      <c r="O84" s="134">
        <v>0</v>
      </c>
      <c r="P84" s="134">
        <v>0.77</v>
      </c>
      <c r="Q84" s="134">
        <v>4.72</v>
      </c>
    </row>
    <row r="85" spans="1:17" customFormat="1">
      <c r="A85" s="112" t="s">
        <v>603</v>
      </c>
      <c r="B85" s="134">
        <v>12.88</v>
      </c>
      <c r="C85" s="134">
        <v>28.23</v>
      </c>
      <c r="D85" s="134">
        <v>26.43</v>
      </c>
      <c r="E85" s="134">
        <v>6.36</v>
      </c>
      <c r="F85" s="134">
        <v>2.63</v>
      </c>
      <c r="G85" s="134">
        <v>89.77</v>
      </c>
      <c r="H85" s="134">
        <v>35.619999999999997</v>
      </c>
      <c r="I85" s="134">
        <v>6.46</v>
      </c>
      <c r="J85" s="134">
        <v>0.08</v>
      </c>
      <c r="K85" s="134">
        <v>148.27000000000001</v>
      </c>
      <c r="L85" s="134">
        <v>25.59</v>
      </c>
      <c r="M85" s="134">
        <v>83.93</v>
      </c>
      <c r="N85" s="134">
        <v>0</v>
      </c>
      <c r="O85" s="134">
        <v>0</v>
      </c>
      <c r="P85" s="134">
        <v>0.79</v>
      </c>
      <c r="Q85" s="134">
        <v>4.76</v>
      </c>
    </row>
    <row r="86" spans="1:17" customFormat="1">
      <c r="A86" s="112" t="s">
        <v>604</v>
      </c>
      <c r="B86" s="134">
        <v>13.53</v>
      </c>
      <c r="C86" s="134">
        <v>28.92</v>
      </c>
      <c r="D86" s="134">
        <v>27.31</v>
      </c>
      <c r="E86" s="134">
        <v>6.46</v>
      </c>
      <c r="F86" s="134">
        <v>2.4500000000000002</v>
      </c>
      <c r="G86" s="134">
        <v>89.77</v>
      </c>
      <c r="H86" s="134">
        <v>35.619999999999997</v>
      </c>
      <c r="I86" s="134">
        <v>6.65</v>
      </c>
      <c r="J86" s="134">
        <v>0.09</v>
      </c>
      <c r="K86" s="134">
        <v>92.35</v>
      </c>
      <c r="L86" s="134">
        <v>25.47</v>
      </c>
      <c r="M86" s="134">
        <v>84.53</v>
      </c>
      <c r="N86" s="134">
        <v>0</v>
      </c>
      <c r="O86" s="134">
        <v>0</v>
      </c>
      <c r="P86" s="134">
        <v>0.82</v>
      </c>
      <c r="Q86" s="134">
        <v>4.82</v>
      </c>
    </row>
    <row r="87" spans="1:17" customFormat="1">
      <c r="A87" s="112" t="s">
        <v>605</v>
      </c>
      <c r="B87" s="134">
        <v>14.6</v>
      </c>
      <c r="C87" s="134">
        <v>29.53</v>
      </c>
      <c r="D87" s="134">
        <v>28.49</v>
      </c>
      <c r="E87" s="134">
        <v>6.18</v>
      </c>
      <c r="F87" s="134">
        <v>2.5299999999999998</v>
      </c>
      <c r="G87" s="134">
        <v>90.47</v>
      </c>
      <c r="H87" s="134">
        <v>35.950000000000003</v>
      </c>
      <c r="I87" s="134">
        <v>6.77</v>
      </c>
      <c r="J87" s="134">
        <v>0.11</v>
      </c>
      <c r="K87" s="134">
        <v>61.8</v>
      </c>
      <c r="L87" s="134">
        <v>25.33</v>
      </c>
      <c r="M87" s="134">
        <v>86.77</v>
      </c>
      <c r="N87" s="134">
        <v>0</v>
      </c>
      <c r="O87" s="134">
        <v>0</v>
      </c>
      <c r="P87" s="134">
        <v>0.86</v>
      </c>
      <c r="Q87" s="134">
        <v>4.8600000000000003</v>
      </c>
    </row>
    <row r="88" spans="1:17" customFormat="1">
      <c r="A88" s="112" t="s">
        <v>606</v>
      </c>
      <c r="B88" s="134">
        <v>15.65</v>
      </c>
      <c r="C88" s="134">
        <v>29.96</v>
      </c>
      <c r="D88" s="134">
        <v>29.55</v>
      </c>
      <c r="E88" s="134">
        <v>6.64</v>
      </c>
      <c r="F88" s="134">
        <v>2.5499999999999998</v>
      </c>
      <c r="G88" s="134">
        <v>105.6</v>
      </c>
      <c r="H88" s="134">
        <v>41.14</v>
      </c>
      <c r="I88" s="134">
        <v>6.98</v>
      </c>
      <c r="J88" s="134">
        <v>0.16</v>
      </c>
      <c r="K88" s="134">
        <v>44.44</v>
      </c>
      <c r="L88" s="134">
        <v>25.23</v>
      </c>
      <c r="M88" s="134">
        <v>87.04</v>
      </c>
      <c r="N88" s="134">
        <v>0</v>
      </c>
      <c r="O88" s="134">
        <v>0</v>
      </c>
      <c r="P88" s="134">
        <v>0.89</v>
      </c>
      <c r="Q88" s="134">
        <v>4.8899999999999997</v>
      </c>
    </row>
    <row r="89" spans="1:17" customFormat="1">
      <c r="A89" s="112" t="s">
        <v>607</v>
      </c>
      <c r="B89" s="134">
        <v>16.989999999999998</v>
      </c>
      <c r="C89" s="134">
        <v>29.27</v>
      </c>
      <c r="D89" s="134">
        <v>30.27</v>
      </c>
      <c r="E89" s="134">
        <v>6.65</v>
      </c>
      <c r="F89" s="134">
        <v>2.65</v>
      </c>
      <c r="G89" s="134">
        <v>105.6</v>
      </c>
      <c r="H89" s="134">
        <v>41.14</v>
      </c>
      <c r="I89" s="134">
        <v>7.24</v>
      </c>
      <c r="J89" s="134">
        <v>0.21</v>
      </c>
      <c r="K89" s="134">
        <v>160.68</v>
      </c>
      <c r="L89" s="134">
        <v>25</v>
      </c>
      <c r="M89" s="134">
        <v>87.8</v>
      </c>
      <c r="N89" s="134">
        <v>0</v>
      </c>
      <c r="O89" s="134">
        <v>0</v>
      </c>
      <c r="P89" s="134">
        <v>0.9</v>
      </c>
      <c r="Q89" s="134">
        <v>4.95</v>
      </c>
    </row>
    <row r="90" spans="1:17" customFormat="1">
      <c r="A90" s="112" t="s">
        <v>608</v>
      </c>
      <c r="B90" s="134">
        <v>17.48</v>
      </c>
      <c r="C90" s="134">
        <v>29.39</v>
      </c>
      <c r="D90" s="134">
        <v>30.72</v>
      </c>
      <c r="E90" s="134">
        <v>6.89</v>
      </c>
      <c r="F90" s="134">
        <v>2.5299999999999998</v>
      </c>
      <c r="G90" s="134">
        <v>105.6</v>
      </c>
      <c r="H90" s="134">
        <v>41.14</v>
      </c>
      <c r="I90" s="134">
        <v>7.48</v>
      </c>
      <c r="J90" s="134">
        <v>0.14000000000000001</v>
      </c>
      <c r="K90" s="134">
        <v>164.92</v>
      </c>
      <c r="L90" s="134">
        <v>24.79</v>
      </c>
      <c r="M90" s="134">
        <v>90.79</v>
      </c>
      <c r="N90" s="134">
        <v>0</v>
      </c>
      <c r="O90" s="134">
        <v>0</v>
      </c>
      <c r="P90" s="134">
        <v>0.91</v>
      </c>
      <c r="Q90" s="134">
        <v>4.9800000000000004</v>
      </c>
    </row>
    <row r="91" spans="1:17" customFormat="1">
      <c r="A91" s="112" t="s">
        <v>609</v>
      </c>
      <c r="B91" s="134">
        <v>17.61</v>
      </c>
      <c r="C91" s="134">
        <v>29.8</v>
      </c>
      <c r="D91" s="134">
        <v>31.04</v>
      </c>
      <c r="E91" s="134">
        <v>6.98</v>
      </c>
      <c r="F91" s="134">
        <v>2.54</v>
      </c>
      <c r="G91" s="134">
        <v>105.71</v>
      </c>
      <c r="H91" s="134">
        <v>41.1</v>
      </c>
      <c r="I91" s="134">
        <v>7.72</v>
      </c>
      <c r="J91" s="134">
        <v>0.11</v>
      </c>
      <c r="K91" s="134">
        <v>124.24</v>
      </c>
      <c r="L91" s="134">
        <v>24.69</v>
      </c>
      <c r="M91" s="134">
        <v>91.06</v>
      </c>
      <c r="N91" s="134">
        <v>0</v>
      </c>
      <c r="O91" s="134">
        <v>0</v>
      </c>
      <c r="P91" s="134">
        <v>0.93</v>
      </c>
      <c r="Q91" s="134">
        <v>5.01</v>
      </c>
    </row>
    <row r="92" spans="1:17" customFormat="1">
      <c r="A92" s="112" t="s">
        <v>610</v>
      </c>
      <c r="B92" s="134">
        <v>18.239999999999998</v>
      </c>
      <c r="C92" s="134">
        <v>29.87</v>
      </c>
      <c r="D92" s="134">
        <v>31.59</v>
      </c>
      <c r="E92" s="134">
        <v>7</v>
      </c>
      <c r="F92" s="134">
        <v>2.4900000000000002</v>
      </c>
      <c r="G92" s="134">
        <v>108.04</v>
      </c>
      <c r="H92" s="134">
        <v>40.47</v>
      </c>
      <c r="I92" s="134">
        <v>7.92</v>
      </c>
      <c r="J92" s="134">
        <v>0.13</v>
      </c>
      <c r="K92" s="134">
        <v>150.59</v>
      </c>
      <c r="L92" s="134">
        <v>24.6</v>
      </c>
      <c r="M92" s="134">
        <v>91.17</v>
      </c>
      <c r="N92" s="134">
        <v>0</v>
      </c>
      <c r="O92" s="134">
        <v>0</v>
      </c>
      <c r="P92" s="134">
        <v>0.96</v>
      </c>
      <c r="Q92" s="134">
        <v>5.05</v>
      </c>
    </row>
    <row r="93" spans="1:17" customFormat="1">
      <c r="A93" s="112" t="s">
        <v>611</v>
      </c>
      <c r="B93" s="134">
        <v>19</v>
      </c>
      <c r="C93" s="134">
        <v>29.37</v>
      </c>
      <c r="D93" s="134">
        <v>31.93</v>
      </c>
      <c r="E93" s="134">
        <v>7.57</v>
      </c>
      <c r="F93" s="134">
        <v>2.75</v>
      </c>
      <c r="G93" s="134">
        <v>108.04</v>
      </c>
      <c r="H93" s="134">
        <v>40.47</v>
      </c>
      <c r="I93" s="134">
        <v>8.1</v>
      </c>
      <c r="J93" s="134">
        <v>0.13</v>
      </c>
      <c r="K93" s="134">
        <v>144.6</v>
      </c>
      <c r="L93" s="134">
        <v>24.43</v>
      </c>
      <c r="M93" s="134">
        <v>91.11</v>
      </c>
      <c r="N93" s="134">
        <v>0</v>
      </c>
      <c r="O93" s="134">
        <v>0</v>
      </c>
      <c r="P93" s="134">
        <v>0.97</v>
      </c>
      <c r="Q93" s="134">
        <v>5.08</v>
      </c>
    </row>
    <row r="94" spans="1:17" customFormat="1">
      <c r="A94" s="112" t="s">
        <v>612</v>
      </c>
      <c r="B94" s="134">
        <v>19.71</v>
      </c>
      <c r="C94" s="134">
        <v>29.89</v>
      </c>
      <c r="D94" s="134">
        <v>32.78</v>
      </c>
      <c r="E94" s="134">
        <v>7.13</v>
      </c>
      <c r="F94" s="134">
        <v>2.5299999999999998</v>
      </c>
      <c r="G94" s="134">
        <v>108.04</v>
      </c>
      <c r="H94" s="134">
        <v>40.47</v>
      </c>
      <c r="I94" s="134">
        <v>8.27</v>
      </c>
      <c r="J94" s="134">
        <v>0.1</v>
      </c>
      <c r="K94" s="134">
        <v>128.82</v>
      </c>
      <c r="L94" s="134">
        <v>24.38</v>
      </c>
      <c r="M94" s="134">
        <v>90.73</v>
      </c>
      <c r="N94" s="134">
        <v>0</v>
      </c>
      <c r="O94" s="134">
        <v>0</v>
      </c>
      <c r="P94" s="134">
        <v>0.99</v>
      </c>
      <c r="Q94" s="134">
        <v>5.08</v>
      </c>
    </row>
    <row r="95" spans="1:17" customFormat="1">
      <c r="A95" s="112" t="s">
        <v>613</v>
      </c>
      <c r="B95" s="134">
        <v>20.65</v>
      </c>
      <c r="C95" s="134">
        <v>30.14</v>
      </c>
      <c r="D95" s="134">
        <v>33.659999999999997</v>
      </c>
      <c r="E95" s="134">
        <v>6.87</v>
      </c>
      <c r="F95" s="134">
        <v>2.5299999999999998</v>
      </c>
      <c r="G95" s="134">
        <v>108.25</v>
      </c>
      <c r="H95" s="134">
        <v>40.72</v>
      </c>
      <c r="I95" s="134">
        <v>8.33</v>
      </c>
      <c r="J95" s="134">
        <v>0.18</v>
      </c>
      <c r="K95" s="134">
        <v>41.55</v>
      </c>
      <c r="L95" s="134">
        <v>24.27</v>
      </c>
      <c r="M95" s="134">
        <v>91.05</v>
      </c>
      <c r="N95" s="134">
        <v>0</v>
      </c>
      <c r="O95" s="134">
        <v>0</v>
      </c>
      <c r="P95" s="134">
        <v>1.01</v>
      </c>
      <c r="Q95" s="134">
        <v>5.13</v>
      </c>
    </row>
    <row r="96" spans="1:17" customFormat="1">
      <c r="A96" s="112" t="s">
        <v>614</v>
      </c>
      <c r="B96" s="134">
        <v>21.74</v>
      </c>
      <c r="C96" s="134">
        <v>30.44</v>
      </c>
      <c r="D96" s="134">
        <v>34.69</v>
      </c>
      <c r="E96" s="134">
        <v>7.48</v>
      </c>
      <c r="F96" s="134">
        <v>2.75</v>
      </c>
      <c r="G96" s="134">
        <v>112.74</v>
      </c>
      <c r="H96" s="134">
        <v>44.55</v>
      </c>
      <c r="I96" s="134">
        <v>8.3800000000000008</v>
      </c>
      <c r="J96" s="134">
        <v>0.09</v>
      </c>
      <c r="K96" s="134">
        <v>112.28</v>
      </c>
      <c r="L96" s="134">
        <v>24.26</v>
      </c>
      <c r="M96" s="134">
        <v>90.54</v>
      </c>
      <c r="N96" s="134">
        <v>0</v>
      </c>
      <c r="O96" s="134">
        <v>0</v>
      </c>
      <c r="P96" s="134">
        <v>1.02</v>
      </c>
      <c r="Q96" s="134">
        <v>5.17</v>
      </c>
    </row>
    <row r="97" spans="1:22" customFormat="1">
      <c r="A97" s="112" t="s">
        <v>615</v>
      </c>
      <c r="B97" s="134">
        <v>22.57</v>
      </c>
      <c r="C97" s="134">
        <v>30.22</v>
      </c>
      <c r="D97" s="134">
        <v>35.24</v>
      </c>
      <c r="E97" s="134">
        <v>7.13</v>
      </c>
      <c r="F97" s="134">
        <v>2.77</v>
      </c>
      <c r="G97" s="134">
        <v>112.74</v>
      </c>
      <c r="H97" s="134">
        <v>44.55</v>
      </c>
      <c r="I97" s="134">
        <v>8.4600000000000009</v>
      </c>
      <c r="J97" s="134">
        <v>0.12</v>
      </c>
      <c r="K97" s="134">
        <v>69.23</v>
      </c>
      <c r="L97" s="134">
        <v>24.24</v>
      </c>
      <c r="M97" s="134">
        <v>91.64</v>
      </c>
      <c r="N97" s="134">
        <v>0</v>
      </c>
      <c r="O97" s="134">
        <v>0</v>
      </c>
      <c r="P97" s="134">
        <v>1.01</v>
      </c>
      <c r="Q97" s="134">
        <v>5.19</v>
      </c>
    </row>
    <row r="98" spans="1:22" customFormat="1">
      <c r="A98" s="112" t="s">
        <v>616</v>
      </c>
      <c r="B98" s="134">
        <v>23.42</v>
      </c>
      <c r="C98" s="134">
        <v>30.23</v>
      </c>
      <c r="D98" s="134">
        <v>35.92</v>
      </c>
      <c r="E98" s="134">
        <v>7.11</v>
      </c>
      <c r="F98" s="134">
        <v>2.52</v>
      </c>
      <c r="G98" s="134">
        <v>112.74</v>
      </c>
      <c r="H98" s="134">
        <v>44.55</v>
      </c>
      <c r="I98" s="134">
        <v>8.5500000000000007</v>
      </c>
      <c r="J98" s="134">
        <v>0.11</v>
      </c>
      <c r="K98" s="134">
        <v>73.53</v>
      </c>
      <c r="L98" s="134">
        <v>24.11</v>
      </c>
      <c r="M98" s="134">
        <v>92.03</v>
      </c>
      <c r="N98" s="134">
        <v>0</v>
      </c>
      <c r="O98" s="134">
        <v>0</v>
      </c>
      <c r="P98" s="134">
        <v>1.01</v>
      </c>
      <c r="Q98" s="134">
        <v>5.23</v>
      </c>
    </row>
    <row r="99" spans="1:22" customFormat="1">
      <c r="A99" s="112" t="s">
        <v>617</v>
      </c>
      <c r="B99" s="134">
        <v>24.4</v>
      </c>
      <c r="C99" s="134">
        <v>30.66</v>
      </c>
      <c r="D99" s="134">
        <v>36.94</v>
      </c>
      <c r="E99" s="134">
        <v>6.78</v>
      </c>
      <c r="F99" s="134">
        <v>2.23</v>
      </c>
      <c r="G99" s="134">
        <v>113</v>
      </c>
      <c r="H99" s="134">
        <v>44.72</v>
      </c>
      <c r="I99" s="134">
        <v>8.58</v>
      </c>
      <c r="J99" s="134">
        <v>0.11</v>
      </c>
      <c r="K99" s="134">
        <v>102.29</v>
      </c>
      <c r="L99" s="134">
        <v>24.05</v>
      </c>
      <c r="M99" s="134">
        <v>93.04</v>
      </c>
      <c r="N99" s="134">
        <v>0</v>
      </c>
      <c r="O99" s="134">
        <v>0</v>
      </c>
      <c r="P99" s="134">
        <v>1.02</v>
      </c>
      <c r="Q99" s="134">
        <v>5.28</v>
      </c>
    </row>
    <row r="100" spans="1:22" customFormat="1">
      <c r="A100" s="112" t="s">
        <v>618</v>
      </c>
      <c r="B100" s="134">
        <v>25.18</v>
      </c>
      <c r="C100" s="134">
        <v>30.68</v>
      </c>
      <c r="D100" s="134">
        <v>37.57</v>
      </c>
      <c r="E100" s="134">
        <v>7.22</v>
      </c>
      <c r="F100" s="134">
        <v>2.4900000000000002</v>
      </c>
      <c r="G100" s="134">
        <v>117.37</v>
      </c>
      <c r="H100" s="134">
        <v>47.42</v>
      </c>
      <c r="I100" s="134">
        <v>8.69</v>
      </c>
      <c r="J100" s="134">
        <v>0.12</v>
      </c>
      <c r="K100" s="134">
        <v>119.97</v>
      </c>
      <c r="L100" s="134">
        <v>23.93</v>
      </c>
      <c r="M100" s="134">
        <v>93.38</v>
      </c>
      <c r="N100" s="134">
        <v>0</v>
      </c>
      <c r="O100" s="134">
        <v>0</v>
      </c>
      <c r="P100" s="134">
        <v>1.03</v>
      </c>
      <c r="Q100" s="134">
        <v>5.31</v>
      </c>
    </row>
    <row r="101" spans="1:22" customFormat="1">
      <c r="A101" s="112" t="s">
        <v>619</v>
      </c>
      <c r="B101" s="134">
        <v>25.62</v>
      </c>
      <c r="C101" s="134">
        <v>30.43</v>
      </c>
      <c r="D101" s="134">
        <v>37.79</v>
      </c>
      <c r="E101" s="134">
        <v>7.87</v>
      </c>
      <c r="F101" s="134">
        <v>2.65</v>
      </c>
      <c r="G101" s="134">
        <v>117.37</v>
      </c>
      <c r="H101" s="134">
        <v>47.42</v>
      </c>
      <c r="I101" s="134">
        <v>8.73</v>
      </c>
      <c r="J101" s="134">
        <v>0.09</v>
      </c>
      <c r="K101" s="134">
        <v>106.6</v>
      </c>
      <c r="L101" s="134">
        <v>23.84</v>
      </c>
      <c r="M101" s="134">
        <v>92.34</v>
      </c>
      <c r="N101" s="134">
        <v>0</v>
      </c>
      <c r="O101" s="134">
        <v>0</v>
      </c>
      <c r="P101" s="134">
        <v>1.02</v>
      </c>
      <c r="Q101" s="134">
        <v>5.33</v>
      </c>
    </row>
    <row r="102" spans="1:22" customFormat="1">
      <c r="A102" s="112" t="s">
        <v>620</v>
      </c>
      <c r="B102" s="134">
        <v>25.84</v>
      </c>
      <c r="C102" s="134">
        <v>31.6</v>
      </c>
      <c r="D102" s="134">
        <v>38.590000000000003</v>
      </c>
      <c r="E102" s="134">
        <v>7.15</v>
      </c>
      <c r="F102" s="134">
        <v>2.35</v>
      </c>
      <c r="G102" s="134">
        <v>117.37</v>
      </c>
      <c r="H102" s="134">
        <v>47.42</v>
      </c>
      <c r="I102" s="134">
        <v>8.7799999999999994</v>
      </c>
      <c r="J102" s="134">
        <v>0.15</v>
      </c>
      <c r="K102" s="134">
        <v>86.25</v>
      </c>
      <c r="L102" s="134">
        <v>23.74</v>
      </c>
      <c r="M102" s="134">
        <v>91.44</v>
      </c>
      <c r="N102" s="134">
        <v>0</v>
      </c>
      <c r="O102" s="134">
        <v>0</v>
      </c>
      <c r="P102" s="134">
        <v>1.02</v>
      </c>
      <c r="Q102" s="134">
        <v>5.33</v>
      </c>
    </row>
    <row r="103" spans="1:22" customFormat="1">
      <c r="A103" s="112" t="s">
        <v>621</v>
      </c>
      <c r="B103" s="134">
        <v>26.33</v>
      </c>
      <c r="C103" s="134">
        <v>29.86</v>
      </c>
      <c r="D103" s="134">
        <v>38.07</v>
      </c>
      <c r="E103" s="134">
        <v>6.97</v>
      </c>
      <c r="F103" s="134">
        <v>2.91</v>
      </c>
      <c r="G103" s="134">
        <v>117.5</v>
      </c>
      <c r="H103" s="134">
        <v>47.37</v>
      </c>
      <c r="I103" s="134">
        <v>8.7899999999999991</v>
      </c>
      <c r="J103" s="134">
        <v>0.2</v>
      </c>
      <c r="K103" s="134">
        <v>59.57</v>
      </c>
      <c r="L103" s="134">
        <v>23.67</v>
      </c>
      <c r="M103" s="134">
        <v>90.11</v>
      </c>
      <c r="N103" s="134">
        <v>0</v>
      </c>
      <c r="O103" s="134">
        <v>0</v>
      </c>
      <c r="P103" s="134">
        <v>0.99</v>
      </c>
      <c r="Q103" s="134">
        <v>5.35</v>
      </c>
    </row>
    <row r="104" spans="1:22" customFormat="1">
      <c r="A104" s="112" t="s">
        <v>622</v>
      </c>
      <c r="B104" s="134">
        <v>26.83</v>
      </c>
      <c r="C104" s="134">
        <v>26.96</v>
      </c>
      <c r="D104" s="134">
        <v>36.950000000000003</v>
      </c>
      <c r="E104" s="134">
        <v>6.62</v>
      </c>
      <c r="F104" s="134">
        <v>3.08</v>
      </c>
      <c r="G104" s="134">
        <v>119.69</v>
      </c>
      <c r="H104" s="134">
        <v>46.62</v>
      </c>
      <c r="I104" s="134">
        <v>8.9</v>
      </c>
      <c r="J104" s="134">
        <v>0.26</v>
      </c>
      <c r="K104" s="134">
        <v>37.69</v>
      </c>
      <c r="L104" s="134">
        <v>23.65</v>
      </c>
      <c r="M104" s="134">
        <v>89.44</v>
      </c>
      <c r="N104" s="134">
        <v>0</v>
      </c>
      <c r="O104" s="134">
        <v>0</v>
      </c>
      <c r="P104" s="134">
        <v>0.96</v>
      </c>
      <c r="Q104" s="134">
        <v>5.35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3.74</v>
      </c>
      <c r="C106" s="183">
        <f>MIN(C9:C104)</f>
        <v>19.86</v>
      </c>
      <c r="D106" s="183">
        <f t="shared" ref="D106:Q106" si="0">MIN(D9:D104)</f>
        <v>15.02</v>
      </c>
      <c r="E106" s="183">
        <f t="shared" si="0"/>
        <v>3.99</v>
      </c>
      <c r="F106" s="183">
        <f t="shared" si="0"/>
        <v>2.14</v>
      </c>
      <c r="G106" s="183">
        <f t="shared" si="0"/>
        <v>30.4</v>
      </c>
      <c r="H106" s="183">
        <f t="shared" si="0"/>
        <v>9.4499999999999993</v>
      </c>
      <c r="I106" s="183">
        <f t="shared" si="0"/>
        <v>4.6900000000000004</v>
      </c>
      <c r="J106" s="183">
        <f t="shared" si="0"/>
        <v>0.02</v>
      </c>
      <c r="K106" s="183">
        <f t="shared" si="0"/>
        <v>0.16</v>
      </c>
      <c r="L106" s="183">
        <f t="shared" si="0"/>
        <v>22.15</v>
      </c>
      <c r="M106" s="183">
        <f t="shared" si="0"/>
        <v>57.41</v>
      </c>
      <c r="N106" s="183">
        <f t="shared" si="0"/>
        <v>0</v>
      </c>
      <c r="O106" s="183">
        <f t="shared" si="0"/>
        <v>0</v>
      </c>
      <c r="P106" s="183">
        <f t="shared" si="0"/>
        <v>0.48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35.26</v>
      </c>
      <c r="C107" s="184">
        <f t="shared" ref="C107:Q107" si="1">MAX(C9:C104)</f>
        <v>31.6</v>
      </c>
      <c r="D107" s="184">
        <f t="shared" si="1"/>
        <v>41.14</v>
      </c>
      <c r="E107" s="184">
        <f t="shared" si="1"/>
        <v>13.05</v>
      </c>
      <c r="F107" s="184">
        <f t="shared" si="1"/>
        <v>16.399999999999999</v>
      </c>
      <c r="G107" s="184">
        <f t="shared" si="1"/>
        <v>119.69</v>
      </c>
      <c r="H107" s="184">
        <f t="shared" si="1"/>
        <v>47.42</v>
      </c>
      <c r="I107" s="184">
        <f t="shared" si="1"/>
        <v>8.9</v>
      </c>
      <c r="J107" s="184">
        <f t="shared" si="1"/>
        <v>0.6</v>
      </c>
      <c r="K107" s="184">
        <f t="shared" si="1"/>
        <v>258.38</v>
      </c>
      <c r="L107" s="184">
        <f t="shared" si="1"/>
        <v>30.77</v>
      </c>
      <c r="M107" s="184">
        <f t="shared" si="1"/>
        <v>104.07</v>
      </c>
      <c r="N107" s="184">
        <f t="shared" si="1"/>
        <v>580.5</v>
      </c>
      <c r="O107" s="184">
        <f t="shared" si="1"/>
        <v>0</v>
      </c>
      <c r="P107" s="184">
        <f t="shared" si="1"/>
        <v>1.03</v>
      </c>
      <c r="Q107" s="184">
        <f t="shared" si="1"/>
        <v>5.65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20.653437500000003</v>
      </c>
      <c r="C108" s="183">
        <f t="shared" ref="C108:Q108" si="2">AVERAGE(C9:C104)</f>
        <v>24.193645833333331</v>
      </c>
      <c r="D108" s="183">
        <f t="shared" si="2"/>
        <v>30.55479166666667</v>
      </c>
      <c r="E108" s="183">
        <f t="shared" si="2"/>
        <v>6.4656250000000002</v>
      </c>
      <c r="F108" s="183">
        <f t="shared" si="2"/>
        <v>3.7878124999999989</v>
      </c>
      <c r="G108" s="183">
        <f t="shared" si="2"/>
        <v>57.153854166666662</v>
      </c>
      <c r="H108" s="183">
        <f t="shared" si="2"/>
        <v>20.734374999999996</v>
      </c>
      <c r="I108" s="183">
        <f t="shared" si="2"/>
        <v>6.3258333333333328</v>
      </c>
      <c r="J108" s="183">
        <f t="shared" si="2"/>
        <v>0.2315625</v>
      </c>
      <c r="K108" s="183">
        <f t="shared" si="2"/>
        <v>96.245416666666699</v>
      </c>
      <c r="L108" s="183">
        <f t="shared" si="2"/>
        <v>25.672708333333336</v>
      </c>
      <c r="M108" s="183">
        <f t="shared" si="2"/>
        <v>84.014791666666653</v>
      </c>
      <c r="N108" s="183">
        <f t="shared" si="2"/>
        <v>98.114583333333314</v>
      </c>
      <c r="O108" s="183">
        <f t="shared" si="2"/>
        <v>0</v>
      </c>
      <c r="P108" s="183">
        <f t="shared" si="2"/>
        <v>0.63937500000000014</v>
      </c>
      <c r="Q108" s="183">
        <f t="shared" si="2"/>
        <v>4.7291666666666652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9.893488430395438</v>
      </c>
      <c r="C109" s="183">
        <f t="shared" ref="C109:Q109" si="3">STDEV(C9:C104)</f>
        <v>3.5258169996968189</v>
      </c>
      <c r="D109" s="183">
        <f t="shared" si="3"/>
        <v>8.073320190820418</v>
      </c>
      <c r="E109" s="183">
        <f t="shared" si="3"/>
        <v>1.6218746868978486</v>
      </c>
      <c r="F109" s="183">
        <f t="shared" si="3"/>
        <v>2.5169899329096332</v>
      </c>
      <c r="G109" s="183">
        <f t="shared" si="3"/>
        <v>28.957251845828171</v>
      </c>
      <c r="H109" s="183">
        <f t="shared" si="3"/>
        <v>12.413768231706538</v>
      </c>
      <c r="I109" s="183">
        <f t="shared" si="3"/>
        <v>1.0885390176665566</v>
      </c>
      <c r="J109" s="183">
        <f t="shared" si="3"/>
        <v>0.15041926055983804</v>
      </c>
      <c r="K109" s="183">
        <f t="shared" si="3"/>
        <v>62.87518037503331</v>
      </c>
      <c r="L109" s="183">
        <f t="shared" si="3"/>
        <v>2.7927777076884341</v>
      </c>
      <c r="M109" s="183">
        <f t="shared" si="3"/>
        <v>15.096383462284969</v>
      </c>
      <c r="N109" s="183">
        <f t="shared" si="3"/>
        <v>156.08815861163825</v>
      </c>
      <c r="O109" s="183">
        <f t="shared" si="3"/>
        <v>0</v>
      </c>
      <c r="P109" s="183">
        <f t="shared" si="3"/>
        <v>0.17475885641287667</v>
      </c>
      <c r="Q109" s="183">
        <f t="shared" si="3"/>
        <v>1.3056223897289063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05/11/2023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623</v>
      </c>
      <c r="B9" s="134">
        <v>27.08</v>
      </c>
      <c r="C9" s="134">
        <v>27.59</v>
      </c>
      <c r="D9" s="134">
        <v>37.49</v>
      </c>
      <c r="E9" s="134">
        <v>5.77</v>
      </c>
      <c r="F9" s="134">
        <v>2.73</v>
      </c>
      <c r="G9" s="134">
        <v>119.69</v>
      </c>
      <c r="H9" s="134">
        <v>46.62</v>
      </c>
      <c r="I9" s="134">
        <v>9</v>
      </c>
      <c r="J9" s="134">
        <v>0.18</v>
      </c>
      <c r="K9" s="134">
        <v>39.1</v>
      </c>
      <c r="L9" s="134">
        <v>23.56</v>
      </c>
      <c r="M9" s="134">
        <v>89.66</v>
      </c>
      <c r="N9" s="134">
        <v>0</v>
      </c>
      <c r="O9" s="134">
        <v>0</v>
      </c>
      <c r="P9" s="134">
        <v>0.96</v>
      </c>
      <c r="Q9" s="134">
        <v>5.34</v>
      </c>
    </row>
    <row r="10" spans="1:21" customFormat="1">
      <c r="A10" s="112" t="s">
        <v>624</v>
      </c>
      <c r="B10" s="134">
        <v>27.9</v>
      </c>
      <c r="C10" s="134">
        <v>25.68</v>
      </c>
      <c r="D10" s="134">
        <v>37.14</v>
      </c>
      <c r="E10" s="134">
        <v>6.22</v>
      </c>
      <c r="F10" s="134">
        <v>2.92</v>
      </c>
      <c r="G10" s="134">
        <v>119.69</v>
      </c>
      <c r="H10" s="134">
        <v>46.62</v>
      </c>
      <c r="I10" s="134">
        <v>9.02</v>
      </c>
      <c r="J10" s="134">
        <v>0.2</v>
      </c>
      <c r="K10" s="134">
        <v>47.14</v>
      </c>
      <c r="L10" s="134">
        <v>23.35</v>
      </c>
      <c r="M10" s="134">
        <v>90.54</v>
      </c>
      <c r="N10" s="134">
        <v>0</v>
      </c>
      <c r="O10" s="134">
        <v>0</v>
      </c>
      <c r="P10" s="134">
        <v>0.95</v>
      </c>
      <c r="Q10" s="134">
        <v>5.36</v>
      </c>
    </row>
    <row r="11" spans="1:21" customFormat="1">
      <c r="A11" s="112" t="s">
        <v>625</v>
      </c>
      <c r="B11" s="134">
        <v>28.75</v>
      </c>
      <c r="C11" s="134">
        <v>24.7</v>
      </c>
      <c r="D11" s="134">
        <v>37.31</v>
      </c>
      <c r="E11" s="134">
        <v>5.38</v>
      </c>
      <c r="F11" s="134">
        <v>2.77</v>
      </c>
      <c r="G11" s="134">
        <v>119.34</v>
      </c>
      <c r="H11" s="134">
        <v>46.56</v>
      </c>
      <c r="I11" s="134">
        <v>9.0299999999999994</v>
      </c>
      <c r="J11" s="134">
        <v>0.11</v>
      </c>
      <c r="K11" s="134">
        <v>149.41</v>
      </c>
      <c r="L11" s="134">
        <v>23.13</v>
      </c>
      <c r="M11" s="134">
        <v>92.13</v>
      </c>
      <c r="N11" s="134">
        <v>0</v>
      </c>
      <c r="O11" s="134">
        <v>0</v>
      </c>
      <c r="P11" s="134">
        <v>0.94</v>
      </c>
      <c r="Q11" s="134">
        <v>5.38</v>
      </c>
    </row>
    <row r="12" spans="1:21" customFormat="1">
      <c r="A12" s="112" t="s">
        <v>626</v>
      </c>
      <c r="B12" s="134">
        <v>29.03</v>
      </c>
      <c r="C12" s="134">
        <v>25.52</v>
      </c>
      <c r="D12" s="134">
        <v>37.96</v>
      </c>
      <c r="E12" s="134">
        <v>6.01</v>
      </c>
      <c r="F12" s="134">
        <v>2.4900000000000002</v>
      </c>
      <c r="G12" s="134">
        <v>113.4</v>
      </c>
      <c r="H12" s="134">
        <v>45.62</v>
      </c>
      <c r="I12" s="134">
        <v>9.0399999999999991</v>
      </c>
      <c r="J12" s="134">
        <v>7.0000000000000007E-2</v>
      </c>
      <c r="K12" s="134">
        <v>236.37</v>
      </c>
      <c r="L12" s="134">
        <v>22.83</v>
      </c>
      <c r="M12" s="134">
        <v>94.82</v>
      </c>
      <c r="N12" s="134">
        <v>0</v>
      </c>
      <c r="O12" s="134">
        <v>0</v>
      </c>
      <c r="P12" s="134">
        <v>0.94</v>
      </c>
      <c r="Q12" s="134">
        <v>5.37</v>
      </c>
    </row>
    <row r="13" spans="1:21" customFormat="1">
      <c r="A13" s="112" t="s">
        <v>627</v>
      </c>
      <c r="B13" s="134">
        <v>29.13</v>
      </c>
      <c r="C13" s="134">
        <v>23.89</v>
      </c>
      <c r="D13" s="134">
        <v>37.19</v>
      </c>
      <c r="E13" s="134">
        <v>5.38</v>
      </c>
      <c r="F13" s="134">
        <v>2.76</v>
      </c>
      <c r="G13" s="134">
        <v>113.4</v>
      </c>
      <c r="H13" s="134">
        <v>45.62</v>
      </c>
      <c r="I13" s="134">
        <v>9.0500000000000007</v>
      </c>
      <c r="J13" s="134">
        <v>0.43</v>
      </c>
      <c r="K13" s="134">
        <v>26.93</v>
      </c>
      <c r="L13" s="134">
        <v>22.66</v>
      </c>
      <c r="M13" s="134">
        <v>94.82</v>
      </c>
      <c r="N13" s="134">
        <v>0</v>
      </c>
      <c r="O13" s="134">
        <v>0</v>
      </c>
      <c r="P13" s="134">
        <v>0.92</v>
      </c>
      <c r="Q13" s="134">
        <v>5.36</v>
      </c>
    </row>
    <row r="14" spans="1:21" customFormat="1">
      <c r="A14" s="112" t="s">
        <v>628</v>
      </c>
      <c r="B14" s="134">
        <v>29.08</v>
      </c>
      <c r="C14" s="134">
        <v>24.53</v>
      </c>
      <c r="D14" s="134">
        <v>37.49</v>
      </c>
      <c r="E14" s="134">
        <v>5.38</v>
      </c>
      <c r="F14" s="134">
        <v>2.54</v>
      </c>
      <c r="G14" s="134">
        <v>113.4</v>
      </c>
      <c r="H14" s="134">
        <v>45.62</v>
      </c>
      <c r="I14" s="134">
        <v>9.06</v>
      </c>
      <c r="J14" s="134">
        <v>0.33</v>
      </c>
      <c r="K14" s="134">
        <v>30.76</v>
      </c>
      <c r="L14" s="134">
        <v>22.59</v>
      </c>
      <c r="M14" s="134">
        <v>92.61</v>
      </c>
      <c r="N14" s="134">
        <v>0</v>
      </c>
      <c r="O14" s="134">
        <v>0</v>
      </c>
      <c r="P14" s="134">
        <v>0.93</v>
      </c>
      <c r="Q14" s="134">
        <v>5.34</v>
      </c>
    </row>
    <row r="15" spans="1:21" customFormat="1">
      <c r="A15" s="112" t="s">
        <v>629</v>
      </c>
      <c r="B15" s="134">
        <v>29.06</v>
      </c>
      <c r="C15" s="134">
        <v>23.37</v>
      </c>
      <c r="D15" s="134">
        <v>36.869999999999997</v>
      </c>
      <c r="E15" s="134">
        <v>5.75</v>
      </c>
      <c r="F15" s="134">
        <v>2.92</v>
      </c>
      <c r="G15" s="134">
        <v>113.01</v>
      </c>
      <c r="H15" s="134">
        <v>45.47</v>
      </c>
      <c r="I15" s="134">
        <v>9.06</v>
      </c>
      <c r="J15" s="134">
        <v>0.36</v>
      </c>
      <c r="K15" s="134">
        <v>31.18</v>
      </c>
      <c r="L15" s="134">
        <v>22.51</v>
      </c>
      <c r="M15" s="134">
        <v>91.13</v>
      </c>
      <c r="N15" s="134">
        <v>0</v>
      </c>
      <c r="O15" s="134">
        <v>0</v>
      </c>
      <c r="P15" s="134">
        <v>0.9</v>
      </c>
      <c r="Q15" s="134">
        <v>5.37</v>
      </c>
    </row>
    <row r="16" spans="1:21" customFormat="1">
      <c r="A16" s="112" t="s">
        <v>630</v>
      </c>
      <c r="B16" s="134">
        <v>28.75</v>
      </c>
      <c r="C16" s="134">
        <v>24.09</v>
      </c>
      <c r="D16" s="134">
        <v>36.99</v>
      </c>
      <c r="E16" s="134">
        <v>4.92</v>
      </c>
      <c r="F16" s="134">
        <v>2.62</v>
      </c>
      <c r="G16" s="134">
        <v>104.52</v>
      </c>
      <c r="H16" s="134">
        <v>43.16</v>
      </c>
      <c r="I16" s="134">
        <v>9.0299999999999994</v>
      </c>
      <c r="J16" s="134">
        <v>0.34</v>
      </c>
      <c r="K16" s="134">
        <v>31.65</v>
      </c>
      <c r="L16" s="134">
        <v>22.43</v>
      </c>
      <c r="M16" s="134">
        <v>89.47</v>
      </c>
      <c r="N16" s="134">
        <v>0</v>
      </c>
      <c r="O16" s="134">
        <v>0</v>
      </c>
      <c r="P16" s="134">
        <v>0.91</v>
      </c>
      <c r="Q16" s="134">
        <v>5.35</v>
      </c>
    </row>
    <row r="17" spans="1:17" customFormat="1">
      <c r="A17" s="112" t="s">
        <v>631</v>
      </c>
      <c r="B17" s="134">
        <v>28.55</v>
      </c>
      <c r="C17" s="134">
        <v>24.17</v>
      </c>
      <c r="D17" s="134">
        <v>36.880000000000003</v>
      </c>
      <c r="E17" s="134">
        <v>4.9000000000000004</v>
      </c>
      <c r="F17" s="134">
        <v>2.54</v>
      </c>
      <c r="G17" s="134">
        <v>104.52</v>
      </c>
      <c r="H17" s="134">
        <v>43.16</v>
      </c>
      <c r="I17" s="134">
        <v>8.91</v>
      </c>
      <c r="J17" s="134">
        <v>0.26</v>
      </c>
      <c r="K17" s="134">
        <v>38.72</v>
      </c>
      <c r="L17" s="134">
        <v>22.36</v>
      </c>
      <c r="M17" s="134">
        <v>88.22</v>
      </c>
      <c r="N17" s="134">
        <v>0</v>
      </c>
      <c r="O17" s="134">
        <v>0</v>
      </c>
      <c r="P17" s="134">
        <v>0.89</v>
      </c>
      <c r="Q17" s="134">
        <v>5.35</v>
      </c>
    </row>
    <row r="18" spans="1:17" customFormat="1">
      <c r="A18" s="112" t="s">
        <v>632</v>
      </c>
      <c r="B18" s="134">
        <v>28.37</v>
      </c>
      <c r="C18" s="134">
        <v>22.73</v>
      </c>
      <c r="D18" s="134">
        <v>35.97</v>
      </c>
      <c r="E18" s="134">
        <v>5.85</v>
      </c>
      <c r="F18" s="134">
        <v>2.81</v>
      </c>
      <c r="G18" s="134">
        <v>104.52</v>
      </c>
      <c r="H18" s="134">
        <v>43.16</v>
      </c>
      <c r="I18" s="134">
        <v>8.86</v>
      </c>
      <c r="J18" s="134">
        <v>0.14000000000000001</v>
      </c>
      <c r="K18" s="134">
        <v>170.64</v>
      </c>
      <c r="L18" s="134">
        <v>22.25</v>
      </c>
      <c r="M18" s="134">
        <v>89.06</v>
      </c>
      <c r="N18" s="134">
        <v>0</v>
      </c>
      <c r="O18" s="134">
        <v>0</v>
      </c>
      <c r="P18" s="134">
        <v>0.87</v>
      </c>
      <c r="Q18" s="134">
        <v>5.34</v>
      </c>
    </row>
    <row r="19" spans="1:17" customFormat="1">
      <c r="A19" s="112" t="s">
        <v>633</v>
      </c>
      <c r="B19" s="134">
        <v>27.76</v>
      </c>
      <c r="C19" s="134">
        <v>23.36</v>
      </c>
      <c r="D19" s="134">
        <v>35.82</v>
      </c>
      <c r="E19" s="134">
        <v>5.98</v>
      </c>
      <c r="F19" s="134">
        <v>2.63</v>
      </c>
      <c r="G19" s="134">
        <v>104.33</v>
      </c>
      <c r="H19" s="134">
        <v>43.14</v>
      </c>
      <c r="I19" s="134">
        <v>8.75</v>
      </c>
      <c r="J19" s="134">
        <v>0.06</v>
      </c>
      <c r="K19" s="134">
        <v>244.91</v>
      </c>
      <c r="L19" s="134">
        <v>21.98</v>
      </c>
      <c r="M19" s="134">
        <v>91.65</v>
      </c>
      <c r="N19" s="134">
        <v>0</v>
      </c>
      <c r="O19" s="134">
        <v>0</v>
      </c>
      <c r="P19" s="134">
        <v>0.88</v>
      </c>
      <c r="Q19" s="134">
        <v>5.3</v>
      </c>
    </row>
    <row r="20" spans="1:17" customFormat="1">
      <c r="A20" s="112" t="s">
        <v>634</v>
      </c>
      <c r="B20" s="134">
        <v>27.36</v>
      </c>
      <c r="C20" s="134">
        <v>23.28</v>
      </c>
      <c r="D20" s="134">
        <v>35.450000000000003</v>
      </c>
      <c r="E20" s="134">
        <v>5.92</v>
      </c>
      <c r="F20" s="134">
        <v>2.71</v>
      </c>
      <c r="G20" s="134">
        <v>100.2</v>
      </c>
      <c r="H20" s="134">
        <v>42.76</v>
      </c>
      <c r="I20" s="134">
        <v>8.64</v>
      </c>
      <c r="J20" s="134">
        <v>0.25</v>
      </c>
      <c r="K20" s="134">
        <v>23.28</v>
      </c>
      <c r="L20" s="134">
        <v>21.8</v>
      </c>
      <c r="M20" s="134">
        <v>92.12</v>
      </c>
      <c r="N20" s="134">
        <v>0</v>
      </c>
      <c r="O20" s="134">
        <v>0</v>
      </c>
      <c r="P20" s="134">
        <v>0.87</v>
      </c>
      <c r="Q20" s="134">
        <v>5.28</v>
      </c>
    </row>
    <row r="21" spans="1:17" customFormat="1">
      <c r="A21" s="112" t="s">
        <v>635</v>
      </c>
      <c r="B21" s="134">
        <v>27.23</v>
      </c>
      <c r="C21" s="134">
        <v>23.95</v>
      </c>
      <c r="D21" s="134">
        <v>35.700000000000003</v>
      </c>
      <c r="E21" s="134">
        <v>6.3</v>
      </c>
      <c r="F21" s="134">
        <v>2.54</v>
      </c>
      <c r="G21" s="134">
        <v>100.2</v>
      </c>
      <c r="H21" s="134">
        <v>42.76</v>
      </c>
      <c r="I21" s="134">
        <v>8.59</v>
      </c>
      <c r="J21" s="134">
        <v>0.16</v>
      </c>
      <c r="K21" s="134">
        <v>40.53</v>
      </c>
      <c r="L21" s="134">
        <v>21.8</v>
      </c>
      <c r="M21" s="134">
        <v>91.4</v>
      </c>
      <c r="N21" s="134">
        <v>0</v>
      </c>
      <c r="O21" s="134">
        <v>0</v>
      </c>
      <c r="P21" s="134">
        <v>0.86</v>
      </c>
      <c r="Q21" s="134">
        <v>5.28</v>
      </c>
    </row>
    <row r="22" spans="1:17" customFormat="1">
      <c r="A22" s="112" t="s">
        <v>636</v>
      </c>
      <c r="B22" s="134">
        <v>27.46</v>
      </c>
      <c r="C22" s="134">
        <v>22.95</v>
      </c>
      <c r="D22" s="134">
        <v>35.369999999999997</v>
      </c>
      <c r="E22" s="134">
        <v>5.82</v>
      </c>
      <c r="F22" s="134">
        <v>2.68</v>
      </c>
      <c r="G22" s="134">
        <v>100.2</v>
      </c>
      <c r="H22" s="134">
        <v>42.76</v>
      </c>
      <c r="I22" s="134">
        <v>8.4499999999999993</v>
      </c>
      <c r="J22" s="134">
        <v>0.37</v>
      </c>
      <c r="K22" s="134">
        <v>24.74</v>
      </c>
      <c r="L22" s="134">
        <v>21.74</v>
      </c>
      <c r="M22" s="134">
        <v>91.04</v>
      </c>
      <c r="N22" s="134">
        <v>0</v>
      </c>
      <c r="O22" s="134">
        <v>0</v>
      </c>
      <c r="P22" s="134">
        <v>0.85</v>
      </c>
      <c r="Q22" s="134">
        <v>5.3</v>
      </c>
    </row>
    <row r="23" spans="1:17" customFormat="1">
      <c r="A23" s="112" t="s">
        <v>637</v>
      </c>
      <c r="B23" s="134">
        <v>27.78</v>
      </c>
      <c r="C23" s="134">
        <v>23.73</v>
      </c>
      <c r="D23" s="134">
        <v>36.020000000000003</v>
      </c>
      <c r="E23" s="134">
        <v>6.33</v>
      </c>
      <c r="F23" s="134">
        <v>2.57</v>
      </c>
      <c r="G23" s="134">
        <v>99.97</v>
      </c>
      <c r="H23" s="134">
        <v>42.72</v>
      </c>
      <c r="I23" s="134">
        <v>8.41</v>
      </c>
      <c r="J23" s="134">
        <v>0.36</v>
      </c>
      <c r="K23" s="134">
        <v>27.25</v>
      </c>
      <c r="L23" s="134">
        <v>21.72</v>
      </c>
      <c r="M23" s="134">
        <v>89.67</v>
      </c>
      <c r="N23" s="134">
        <v>0</v>
      </c>
      <c r="O23" s="134">
        <v>0</v>
      </c>
      <c r="P23" s="134">
        <v>0.85</v>
      </c>
      <c r="Q23" s="134">
        <v>5.32</v>
      </c>
    </row>
    <row r="24" spans="1:17" customFormat="1">
      <c r="A24" s="112" t="s">
        <v>638</v>
      </c>
      <c r="B24" s="134">
        <v>28.02</v>
      </c>
      <c r="C24" s="134">
        <v>23.61</v>
      </c>
      <c r="D24" s="134">
        <v>36.15</v>
      </c>
      <c r="E24" s="134">
        <v>6.54</v>
      </c>
      <c r="F24" s="134">
        <v>2.56</v>
      </c>
      <c r="G24" s="134">
        <v>94.94</v>
      </c>
      <c r="H24" s="134">
        <v>42.07</v>
      </c>
      <c r="I24" s="134">
        <v>8.31</v>
      </c>
      <c r="J24" s="134">
        <v>0.45</v>
      </c>
      <c r="K24" s="134">
        <v>35.369999999999997</v>
      </c>
      <c r="L24" s="134">
        <v>21.66</v>
      </c>
      <c r="M24" s="134">
        <v>87.87</v>
      </c>
      <c r="N24" s="134">
        <v>0</v>
      </c>
      <c r="O24" s="134">
        <v>0</v>
      </c>
      <c r="P24" s="134">
        <v>0.84</v>
      </c>
      <c r="Q24" s="134">
        <v>5.32</v>
      </c>
    </row>
    <row r="25" spans="1:17" customFormat="1">
      <c r="A25" s="112" t="s">
        <v>639</v>
      </c>
      <c r="B25" s="134">
        <v>27.93</v>
      </c>
      <c r="C25" s="134">
        <v>25.16</v>
      </c>
      <c r="D25" s="134">
        <v>36.89</v>
      </c>
      <c r="E25" s="134">
        <v>6.09</v>
      </c>
      <c r="F25" s="134">
        <v>2.4900000000000002</v>
      </c>
      <c r="G25" s="134">
        <v>94.94</v>
      </c>
      <c r="H25" s="134">
        <v>42.07</v>
      </c>
      <c r="I25" s="134">
        <v>8.2899999999999991</v>
      </c>
      <c r="J25" s="134">
        <v>0.42</v>
      </c>
      <c r="K25" s="134">
        <v>32.92</v>
      </c>
      <c r="L25" s="134">
        <v>21.47</v>
      </c>
      <c r="M25" s="134">
        <v>88.52</v>
      </c>
      <c r="N25" s="134">
        <v>0</v>
      </c>
      <c r="O25" s="134">
        <v>0</v>
      </c>
      <c r="P25" s="134">
        <v>0.85</v>
      </c>
      <c r="Q25" s="134">
        <v>5.32</v>
      </c>
    </row>
    <row r="26" spans="1:17" customFormat="1">
      <c r="A26" s="112" t="s">
        <v>640</v>
      </c>
      <c r="B26" s="134">
        <v>27.69</v>
      </c>
      <c r="C26" s="134">
        <v>25.46</v>
      </c>
      <c r="D26" s="134">
        <v>36.86</v>
      </c>
      <c r="E26" s="134">
        <v>6.01</v>
      </c>
      <c r="F26" s="134">
        <v>2.69</v>
      </c>
      <c r="G26" s="134">
        <v>94.94</v>
      </c>
      <c r="H26" s="134">
        <v>42.07</v>
      </c>
      <c r="I26" s="134">
        <v>8.2200000000000006</v>
      </c>
      <c r="J26" s="134">
        <v>0.39</v>
      </c>
      <c r="K26" s="134">
        <v>37.93</v>
      </c>
      <c r="L26" s="134">
        <v>21.23</v>
      </c>
      <c r="M26" s="134">
        <v>88.7</v>
      </c>
      <c r="N26" s="134">
        <v>0</v>
      </c>
      <c r="O26" s="134">
        <v>0</v>
      </c>
      <c r="P26" s="134">
        <v>0.85</v>
      </c>
      <c r="Q26" s="134">
        <v>5.32</v>
      </c>
    </row>
    <row r="27" spans="1:17" customFormat="1">
      <c r="A27" s="112" t="s">
        <v>641</v>
      </c>
      <c r="B27" s="134">
        <v>27.42</v>
      </c>
      <c r="C27" s="134">
        <v>25.84</v>
      </c>
      <c r="D27" s="134">
        <v>36.840000000000003</v>
      </c>
      <c r="E27" s="134">
        <v>6.29</v>
      </c>
      <c r="F27" s="134">
        <v>2.75</v>
      </c>
      <c r="G27" s="134">
        <v>94.91</v>
      </c>
      <c r="H27" s="134">
        <v>41.9</v>
      </c>
      <c r="I27" s="134">
        <v>8.16</v>
      </c>
      <c r="J27" s="134">
        <v>0.35</v>
      </c>
      <c r="K27" s="134">
        <v>22.95</v>
      </c>
      <c r="L27" s="134">
        <v>21.03</v>
      </c>
      <c r="M27" s="134">
        <v>88.55</v>
      </c>
      <c r="N27" s="134">
        <v>0</v>
      </c>
      <c r="O27" s="134">
        <v>0</v>
      </c>
      <c r="P27" s="134">
        <v>0.85</v>
      </c>
      <c r="Q27" s="134">
        <v>5.35</v>
      </c>
    </row>
    <row r="28" spans="1:17" customFormat="1">
      <c r="A28" s="112" t="s">
        <v>642</v>
      </c>
      <c r="B28" s="134">
        <v>27.3</v>
      </c>
      <c r="C28" s="134">
        <v>25.93</v>
      </c>
      <c r="D28" s="134">
        <v>36.79</v>
      </c>
      <c r="E28" s="134">
        <v>6.36</v>
      </c>
      <c r="F28" s="134">
        <v>2.76</v>
      </c>
      <c r="G28" s="134">
        <v>94.22</v>
      </c>
      <c r="H28" s="134">
        <v>39.18</v>
      </c>
      <c r="I28" s="134">
        <v>8.1300000000000008</v>
      </c>
      <c r="J28" s="134">
        <v>0.26</v>
      </c>
      <c r="K28" s="134">
        <v>28.98</v>
      </c>
      <c r="L28" s="134">
        <v>20.84</v>
      </c>
      <c r="M28" s="134">
        <v>88.55</v>
      </c>
      <c r="N28" s="134">
        <v>0</v>
      </c>
      <c r="O28" s="134">
        <v>0</v>
      </c>
      <c r="P28" s="134">
        <v>0.84</v>
      </c>
      <c r="Q28" s="134">
        <v>5.34</v>
      </c>
    </row>
    <row r="29" spans="1:17" customFormat="1">
      <c r="A29" s="112" t="s">
        <v>643</v>
      </c>
      <c r="B29" s="134">
        <v>27.34</v>
      </c>
      <c r="C29" s="134">
        <v>26</v>
      </c>
      <c r="D29" s="134">
        <v>36.86</v>
      </c>
      <c r="E29" s="134">
        <v>6.29</v>
      </c>
      <c r="F29" s="134">
        <v>2.8</v>
      </c>
      <c r="G29" s="134">
        <v>94.22</v>
      </c>
      <c r="H29" s="134">
        <v>39.18</v>
      </c>
      <c r="I29" s="134">
        <v>8.09</v>
      </c>
      <c r="J29" s="134">
        <v>0.22</v>
      </c>
      <c r="K29" s="134">
        <v>34.619999999999997</v>
      </c>
      <c r="L29" s="134">
        <v>20.73</v>
      </c>
      <c r="M29" s="134">
        <v>89.36</v>
      </c>
      <c r="N29" s="134">
        <v>0</v>
      </c>
      <c r="O29" s="134">
        <v>0</v>
      </c>
      <c r="P29" s="134">
        <v>0.82</v>
      </c>
      <c r="Q29" s="134">
        <v>5.37</v>
      </c>
    </row>
    <row r="30" spans="1:17" customFormat="1">
      <c r="A30" s="112" t="s">
        <v>644</v>
      </c>
      <c r="B30" s="134">
        <v>27.58</v>
      </c>
      <c r="C30" s="134">
        <v>26.26</v>
      </c>
      <c r="D30" s="134">
        <v>37.19</v>
      </c>
      <c r="E30" s="134">
        <v>6.38</v>
      </c>
      <c r="F30" s="134">
        <v>2.73</v>
      </c>
      <c r="G30" s="134">
        <v>94.22</v>
      </c>
      <c r="H30" s="134">
        <v>39.18</v>
      </c>
      <c r="I30" s="134">
        <v>8.0399999999999991</v>
      </c>
      <c r="J30" s="134">
        <v>0.34</v>
      </c>
      <c r="K30" s="134">
        <v>27.93</v>
      </c>
      <c r="L30" s="134">
        <v>20.420000000000002</v>
      </c>
      <c r="M30" s="134">
        <v>90.9</v>
      </c>
      <c r="N30" s="134">
        <v>0</v>
      </c>
      <c r="O30" s="134">
        <v>0</v>
      </c>
      <c r="P30" s="134">
        <v>0.82</v>
      </c>
      <c r="Q30" s="134">
        <v>5.37</v>
      </c>
    </row>
    <row r="31" spans="1:17" customFormat="1">
      <c r="A31" s="112" t="s">
        <v>645</v>
      </c>
      <c r="B31" s="134">
        <v>27.34</v>
      </c>
      <c r="C31" s="134">
        <v>26.28</v>
      </c>
      <c r="D31" s="134">
        <v>37</v>
      </c>
      <c r="E31" s="134">
        <v>6.29</v>
      </c>
      <c r="F31" s="134">
        <v>2.64</v>
      </c>
      <c r="G31" s="134">
        <v>93.95</v>
      </c>
      <c r="H31" s="134">
        <v>39.29</v>
      </c>
      <c r="I31" s="134">
        <v>8.02</v>
      </c>
      <c r="J31" s="134">
        <v>0.38</v>
      </c>
      <c r="K31" s="134">
        <v>27.35</v>
      </c>
      <c r="L31" s="134">
        <v>20.49</v>
      </c>
      <c r="M31" s="134">
        <v>90.47</v>
      </c>
      <c r="N31" s="134">
        <v>0</v>
      </c>
      <c r="O31" s="134">
        <v>0</v>
      </c>
      <c r="P31" s="134">
        <v>0.82</v>
      </c>
      <c r="Q31" s="134">
        <v>5.36</v>
      </c>
    </row>
    <row r="32" spans="1:17" customFormat="1">
      <c r="A32" s="112" t="s">
        <v>646</v>
      </c>
      <c r="B32" s="134">
        <v>27.53</v>
      </c>
      <c r="C32" s="134">
        <v>26.42</v>
      </c>
      <c r="D32" s="134">
        <v>37.229999999999997</v>
      </c>
      <c r="E32" s="134">
        <v>6.45</v>
      </c>
      <c r="F32" s="134">
        <v>2.69</v>
      </c>
      <c r="G32" s="134">
        <v>88.15</v>
      </c>
      <c r="H32" s="134">
        <v>41.14</v>
      </c>
      <c r="I32" s="134">
        <v>8.06</v>
      </c>
      <c r="J32" s="134">
        <v>0.3</v>
      </c>
      <c r="K32" s="134">
        <v>37.01</v>
      </c>
      <c r="L32" s="134">
        <v>20.399999999999999</v>
      </c>
      <c r="M32" s="134">
        <v>92.67</v>
      </c>
      <c r="N32" s="134">
        <v>0</v>
      </c>
      <c r="O32" s="134">
        <v>0</v>
      </c>
      <c r="P32" s="134">
        <v>0.82</v>
      </c>
      <c r="Q32" s="134">
        <v>5.35</v>
      </c>
    </row>
    <row r="33" spans="1:17" customFormat="1">
      <c r="A33" s="112" t="s">
        <v>647</v>
      </c>
      <c r="B33" s="134">
        <v>27.81</v>
      </c>
      <c r="C33" s="134">
        <v>26.54</v>
      </c>
      <c r="D33" s="134">
        <v>37.520000000000003</v>
      </c>
      <c r="E33" s="134">
        <v>6.94</v>
      </c>
      <c r="F33" s="134">
        <v>2.75</v>
      </c>
      <c r="G33" s="134">
        <v>88.15</v>
      </c>
      <c r="H33" s="134">
        <v>41.14</v>
      </c>
      <c r="I33" s="134">
        <v>8</v>
      </c>
      <c r="J33" s="134">
        <v>0.39</v>
      </c>
      <c r="K33" s="134">
        <v>29.15</v>
      </c>
      <c r="L33" s="134">
        <v>20.39</v>
      </c>
      <c r="M33" s="134">
        <v>92.29</v>
      </c>
      <c r="N33" s="134">
        <v>1.5</v>
      </c>
      <c r="O33" s="134">
        <v>0</v>
      </c>
      <c r="P33" s="134">
        <v>0.82</v>
      </c>
      <c r="Q33" s="134">
        <v>5.38</v>
      </c>
    </row>
    <row r="34" spans="1:17" customFormat="1">
      <c r="A34" s="112" t="s">
        <v>648</v>
      </c>
      <c r="B34" s="134">
        <v>28.13</v>
      </c>
      <c r="C34" s="134">
        <v>26.55</v>
      </c>
      <c r="D34" s="134">
        <v>37.78</v>
      </c>
      <c r="E34" s="134">
        <v>6.84</v>
      </c>
      <c r="F34" s="134">
        <v>2.71</v>
      </c>
      <c r="G34" s="134">
        <v>88.15</v>
      </c>
      <c r="H34" s="134">
        <v>41.14</v>
      </c>
      <c r="I34" s="134">
        <v>8.01</v>
      </c>
      <c r="J34" s="134">
        <v>0.32</v>
      </c>
      <c r="K34" s="134">
        <v>27.48</v>
      </c>
      <c r="L34" s="134">
        <v>20.51</v>
      </c>
      <c r="M34" s="134">
        <v>91.68</v>
      </c>
      <c r="N34" s="134">
        <v>13.5</v>
      </c>
      <c r="O34" s="134">
        <v>0</v>
      </c>
      <c r="P34" s="134">
        <v>0.82</v>
      </c>
      <c r="Q34" s="134">
        <v>5.38</v>
      </c>
    </row>
    <row r="35" spans="1:17" customFormat="1">
      <c r="A35" s="112" t="s">
        <v>649</v>
      </c>
      <c r="B35" s="134">
        <v>28.71</v>
      </c>
      <c r="C35" s="134">
        <v>26.61</v>
      </c>
      <c r="D35" s="134">
        <v>38.28</v>
      </c>
      <c r="E35" s="134">
        <v>6.92</v>
      </c>
      <c r="F35" s="134">
        <v>2.67</v>
      </c>
      <c r="G35" s="134">
        <v>88.15</v>
      </c>
      <c r="H35" s="134">
        <v>41.15</v>
      </c>
      <c r="I35" s="134">
        <v>8</v>
      </c>
      <c r="J35" s="134">
        <v>0.28000000000000003</v>
      </c>
      <c r="K35" s="134">
        <v>41.51</v>
      </c>
      <c r="L35" s="134">
        <v>20.74</v>
      </c>
      <c r="M35" s="134">
        <v>90.94</v>
      </c>
      <c r="N35" s="134">
        <v>30.6</v>
      </c>
      <c r="O35" s="134">
        <v>0</v>
      </c>
      <c r="P35" s="134">
        <v>0.83</v>
      </c>
      <c r="Q35" s="134">
        <v>5.41</v>
      </c>
    </row>
    <row r="36" spans="1:17" customFormat="1">
      <c r="A36" s="112" t="s">
        <v>650</v>
      </c>
      <c r="B36" s="134">
        <v>28.91</v>
      </c>
      <c r="C36" s="134">
        <v>26.85</v>
      </c>
      <c r="D36" s="134">
        <v>38.57</v>
      </c>
      <c r="E36" s="134">
        <v>6.49</v>
      </c>
      <c r="F36" s="134">
        <v>2.4900000000000002</v>
      </c>
      <c r="G36" s="134">
        <v>88.18</v>
      </c>
      <c r="H36" s="134">
        <v>41.29</v>
      </c>
      <c r="I36" s="134">
        <v>8.1</v>
      </c>
      <c r="J36" s="134">
        <v>0.35</v>
      </c>
      <c r="K36" s="134">
        <v>32.4</v>
      </c>
      <c r="L36" s="134">
        <v>21.03</v>
      </c>
      <c r="M36" s="134">
        <v>88.11</v>
      </c>
      <c r="N36" s="134">
        <v>40.200000000000003</v>
      </c>
      <c r="O36" s="134">
        <v>0</v>
      </c>
      <c r="P36" s="134">
        <v>0.83</v>
      </c>
      <c r="Q36" s="134">
        <v>5.42</v>
      </c>
    </row>
    <row r="37" spans="1:17" customFormat="1">
      <c r="A37" s="112" t="s">
        <v>651</v>
      </c>
      <c r="B37" s="134">
        <v>28.75</v>
      </c>
      <c r="C37" s="134">
        <v>26.91</v>
      </c>
      <c r="D37" s="134">
        <v>38.46</v>
      </c>
      <c r="E37" s="134">
        <v>7.34</v>
      </c>
      <c r="F37" s="134">
        <v>2.59</v>
      </c>
      <c r="G37" s="134">
        <v>88.18</v>
      </c>
      <c r="H37" s="134">
        <v>41.29</v>
      </c>
      <c r="I37" s="134">
        <v>8.1199999999999992</v>
      </c>
      <c r="J37" s="134">
        <v>0.41</v>
      </c>
      <c r="K37" s="134">
        <v>29.62</v>
      </c>
      <c r="L37" s="134">
        <v>21.13</v>
      </c>
      <c r="M37" s="134">
        <v>86.69</v>
      </c>
      <c r="N37" s="134">
        <v>50.9</v>
      </c>
      <c r="O37" s="134">
        <v>0</v>
      </c>
      <c r="P37" s="134">
        <v>0.83</v>
      </c>
      <c r="Q37" s="134">
        <v>5.45</v>
      </c>
    </row>
    <row r="38" spans="1:17" customFormat="1">
      <c r="A38" s="112" t="s">
        <v>652</v>
      </c>
      <c r="B38" s="134">
        <v>28.36</v>
      </c>
      <c r="C38" s="134">
        <v>26.97</v>
      </c>
      <c r="D38" s="134">
        <v>38.18</v>
      </c>
      <c r="E38" s="134">
        <v>6.87</v>
      </c>
      <c r="F38" s="134">
        <v>2.5099999999999998</v>
      </c>
      <c r="G38" s="134">
        <v>88.18</v>
      </c>
      <c r="H38" s="134">
        <v>41.29</v>
      </c>
      <c r="I38" s="134">
        <v>8.16</v>
      </c>
      <c r="J38" s="134">
        <v>0.59</v>
      </c>
      <c r="K38" s="134">
        <v>24.05</v>
      </c>
      <c r="L38" s="134">
        <v>21.36</v>
      </c>
      <c r="M38" s="134">
        <v>84.43</v>
      </c>
      <c r="N38" s="134">
        <v>68.599999999999994</v>
      </c>
      <c r="O38" s="134">
        <v>0</v>
      </c>
      <c r="P38" s="134">
        <v>0.83</v>
      </c>
      <c r="Q38" s="134">
        <v>5.41</v>
      </c>
    </row>
    <row r="39" spans="1:17" customFormat="1">
      <c r="A39" s="112" t="s">
        <v>653</v>
      </c>
      <c r="B39" s="134">
        <v>28.12</v>
      </c>
      <c r="C39" s="134">
        <v>27.08</v>
      </c>
      <c r="D39" s="134">
        <v>38.049999999999997</v>
      </c>
      <c r="E39" s="134">
        <v>7.06</v>
      </c>
      <c r="F39" s="134">
        <v>2.52</v>
      </c>
      <c r="G39" s="134">
        <v>88.19</v>
      </c>
      <c r="H39" s="134">
        <v>41.22</v>
      </c>
      <c r="I39" s="134">
        <v>8.23</v>
      </c>
      <c r="J39" s="134">
        <v>0.56000000000000005</v>
      </c>
      <c r="K39" s="134">
        <v>31.27</v>
      </c>
      <c r="L39" s="134">
        <v>21.74</v>
      </c>
      <c r="M39" s="134">
        <v>81.97</v>
      </c>
      <c r="N39" s="134">
        <v>112.8</v>
      </c>
      <c r="O39" s="134">
        <v>0</v>
      </c>
      <c r="P39" s="134">
        <v>0.83</v>
      </c>
      <c r="Q39" s="134">
        <v>5.4</v>
      </c>
    </row>
    <row r="40" spans="1:17" customFormat="1">
      <c r="A40" s="112" t="s">
        <v>654</v>
      </c>
      <c r="B40" s="134">
        <v>27.8</v>
      </c>
      <c r="C40" s="134">
        <v>27.29</v>
      </c>
      <c r="D40" s="134">
        <v>37.9</v>
      </c>
      <c r="E40" s="134">
        <v>6.32</v>
      </c>
      <c r="F40" s="134">
        <v>2.5</v>
      </c>
      <c r="G40" s="134">
        <v>88.46</v>
      </c>
      <c r="H40" s="134">
        <v>40.1</v>
      </c>
      <c r="I40" s="134">
        <v>8.2799999999999994</v>
      </c>
      <c r="J40" s="134">
        <v>0.56999999999999995</v>
      </c>
      <c r="K40" s="134">
        <v>38.81</v>
      </c>
      <c r="L40" s="134">
        <v>22.28</v>
      </c>
      <c r="M40" s="134">
        <v>78.900000000000006</v>
      </c>
      <c r="N40" s="134">
        <v>141.19999999999999</v>
      </c>
      <c r="O40" s="134">
        <v>0</v>
      </c>
      <c r="P40" s="134">
        <v>0.84</v>
      </c>
      <c r="Q40" s="134">
        <v>5.39</v>
      </c>
    </row>
    <row r="41" spans="1:17" customFormat="1">
      <c r="A41" s="112" t="s">
        <v>655</v>
      </c>
      <c r="B41" s="134">
        <v>27.31</v>
      </c>
      <c r="C41" s="134">
        <v>27.39</v>
      </c>
      <c r="D41" s="134">
        <v>37.56</v>
      </c>
      <c r="E41" s="134">
        <v>6.6</v>
      </c>
      <c r="F41" s="134">
        <v>2.5299999999999998</v>
      </c>
      <c r="G41" s="134">
        <v>88.46</v>
      </c>
      <c r="H41" s="134">
        <v>40.1</v>
      </c>
      <c r="I41" s="134">
        <v>8.25</v>
      </c>
      <c r="J41" s="134">
        <v>0.64</v>
      </c>
      <c r="K41" s="134">
        <v>37.54</v>
      </c>
      <c r="L41" s="134">
        <v>22.79</v>
      </c>
      <c r="M41" s="134">
        <v>77.180000000000007</v>
      </c>
      <c r="N41" s="134">
        <v>206.7</v>
      </c>
      <c r="O41" s="134">
        <v>0</v>
      </c>
      <c r="P41" s="134">
        <v>0.83</v>
      </c>
      <c r="Q41" s="134">
        <v>5.39</v>
      </c>
    </row>
    <row r="42" spans="1:17" customFormat="1">
      <c r="A42" s="112" t="s">
        <v>656</v>
      </c>
      <c r="B42" s="134">
        <v>26.77</v>
      </c>
      <c r="C42" s="134">
        <v>27.46</v>
      </c>
      <c r="D42" s="134">
        <v>37.17</v>
      </c>
      <c r="E42" s="134">
        <v>6.94</v>
      </c>
      <c r="F42" s="134">
        <v>2.69</v>
      </c>
      <c r="G42" s="134">
        <v>88.46</v>
      </c>
      <c r="H42" s="134">
        <v>40.1</v>
      </c>
      <c r="I42" s="134">
        <v>8.24</v>
      </c>
      <c r="J42" s="134">
        <v>0.76</v>
      </c>
      <c r="K42" s="134">
        <v>36.450000000000003</v>
      </c>
      <c r="L42" s="134">
        <v>23.27</v>
      </c>
      <c r="M42" s="134">
        <v>75.430000000000007</v>
      </c>
      <c r="N42" s="134">
        <v>199.7</v>
      </c>
      <c r="O42" s="134">
        <v>0</v>
      </c>
      <c r="P42" s="134">
        <v>0.82</v>
      </c>
      <c r="Q42" s="134">
        <v>5.34</v>
      </c>
    </row>
    <row r="43" spans="1:17" customFormat="1">
      <c r="A43" s="112" t="s">
        <v>657</v>
      </c>
      <c r="B43" s="134">
        <v>25.91</v>
      </c>
      <c r="C43" s="134">
        <v>27.74</v>
      </c>
      <c r="D43" s="134">
        <v>36.619999999999997</v>
      </c>
      <c r="E43" s="134">
        <v>6.73</v>
      </c>
      <c r="F43" s="134">
        <v>2.5499999999999998</v>
      </c>
      <c r="G43" s="134">
        <v>88.46</v>
      </c>
      <c r="H43" s="134">
        <v>40.119999999999997</v>
      </c>
      <c r="I43" s="134">
        <v>8.19</v>
      </c>
      <c r="J43" s="134">
        <v>0.65</v>
      </c>
      <c r="K43" s="134">
        <v>40.46</v>
      </c>
      <c r="L43" s="134">
        <v>23.87</v>
      </c>
      <c r="M43" s="134">
        <v>74.400000000000006</v>
      </c>
      <c r="N43" s="134">
        <v>262.3</v>
      </c>
      <c r="O43" s="134">
        <v>0</v>
      </c>
      <c r="P43" s="134">
        <v>0.82</v>
      </c>
      <c r="Q43" s="134">
        <v>5.33</v>
      </c>
    </row>
    <row r="44" spans="1:17" customFormat="1">
      <c r="A44" s="112" t="s">
        <v>658</v>
      </c>
      <c r="B44" s="134">
        <v>24.96</v>
      </c>
      <c r="C44" s="134">
        <v>27.93</v>
      </c>
      <c r="D44" s="134">
        <v>35.96</v>
      </c>
      <c r="E44" s="134">
        <v>6.7</v>
      </c>
      <c r="F44" s="134">
        <v>2.65</v>
      </c>
      <c r="G44" s="134">
        <v>88.52</v>
      </c>
      <c r="H44" s="134">
        <v>40.42</v>
      </c>
      <c r="I44" s="134">
        <v>8.08</v>
      </c>
      <c r="J44" s="134">
        <v>0.67</v>
      </c>
      <c r="K44" s="134">
        <v>38.369999999999997</v>
      </c>
      <c r="L44" s="134">
        <v>24.42</v>
      </c>
      <c r="M44" s="134">
        <v>73.72</v>
      </c>
      <c r="N44" s="134">
        <v>278.2</v>
      </c>
      <c r="O44" s="134">
        <v>0</v>
      </c>
      <c r="P44" s="134">
        <v>0.81</v>
      </c>
      <c r="Q44" s="134">
        <v>5.29</v>
      </c>
    </row>
    <row r="45" spans="1:17" customFormat="1">
      <c r="A45" s="112" t="s">
        <v>659</v>
      </c>
      <c r="B45" s="134">
        <v>24.19</v>
      </c>
      <c r="C45" s="134">
        <v>27.93</v>
      </c>
      <c r="D45" s="134">
        <v>35.340000000000003</v>
      </c>
      <c r="E45" s="134">
        <v>6.69</v>
      </c>
      <c r="F45" s="134">
        <v>2.62</v>
      </c>
      <c r="G45" s="134">
        <v>88.52</v>
      </c>
      <c r="H45" s="134">
        <v>40.42</v>
      </c>
      <c r="I45" s="134">
        <v>7.99</v>
      </c>
      <c r="J45" s="134">
        <v>0.56999999999999995</v>
      </c>
      <c r="K45" s="134">
        <v>40.17</v>
      </c>
      <c r="L45" s="134">
        <v>24.93</v>
      </c>
      <c r="M45" s="134">
        <v>73.39</v>
      </c>
      <c r="N45" s="134">
        <v>316.89999999999998</v>
      </c>
      <c r="O45" s="134">
        <v>0</v>
      </c>
      <c r="P45" s="134">
        <v>0.81</v>
      </c>
      <c r="Q45" s="134">
        <v>5.24</v>
      </c>
    </row>
    <row r="46" spans="1:17" customFormat="1">
      <c r="A46" s="112" t="s">
        <v>660</v>
      </c>
      <c r="B46" s="134">
        <v>23.98</v>
      </c>
      <c r="C46" s="134">
        <v>26.32</v>
      </c>
      <c r="D46" s="134">
        <v>34.33</v>
      </c>
      <c r="E46" s="134">
        <v>6.04</v>
      </c>
      <c r="F46" s="134">
        <v>2.88</v>
      </c>
      <c r="G46" s="134">
        <v>88.52</v>
      </c>
      <c r="H46" s="134">
        <v>40.42</v>
      </c>
      <c r="I46" s="134">
        <v>7.97</v>
      </c>
      <c r="J46" s="134">
        <v>0.64</v>
      </c>
      <c r="K46" s="134">
        <v>46.27</v>
      </c>
      <c r="L46" s="134">
        <v>25.54</v>
      </c>
      <c r="M46" s="134">
        <v>73.08</v>
      </c>
      <c r="N46" s="134">
        <v>260.60000000000002</v>
      </c>
      <c r="O46" s="134">
        <v>0</v>
      </c>
      <c r="P46" s="134">
        <v>0.8</v>
      </c>
      <c r="Q46" s="134">
        <v>5.21</v>
      </c>
    </row>
    <row r="47" spans="1:17" customFormat="1">
      <c r="A47" s="112" t="s">
        <v>661</v>
      </c>
      <c r="B47" s="134">
        <v>23.53</v>
      </c>
      <c r="C47" s="134">
        <v>24.8</v>
      </c>
      <c r="D47" s="134">
        <v>33.18</v>
      </c>
      <c r="E47" s="134">
        <v>6.01</v>
      </c>
      <c r="F47" s="134">
        <v>3.17</v>
      </c>
      <c r="G47" s="134">
        <v>88.65</v>
      </c>
      <c r="H47" s="134">
        <v>40.340000000000003</v>
      </c>
      <c r="I47" s="134">
        <v>7.91</v>
      </c>
      <c r="J47" s="134">
        <v>0.56000000000000005</v>
      </c>
      <c r="K47" s="134">
        <v>47.88</v>
      </c>
      <c r="L47" s="134">
        <v>26.14</v>
      </c>
      <c r="M47" s="134">
        <v>73.08</v>
      </c>
      <c r="N47" s="134">
        <v>395.6</v>
      </c>
      <c r="O47" s="134">
        <v>0</v>
      </c>
      <c r="P47" s="134">
        <v>0.79</v>
      </c>
      <c r="Q47" s="134">
        <v>5.18</v>
      </c>
    </row>
    <row r="48" spans="1:17" customFormat="1">
      <c r="A48" s="112" t="s">
        <v>662</v>
      </c>
      <c r="B48" s="134">
        <v>22.84</v>
      </c>
      <c r="C48" s="134">
        <v>23.83</v>
      </c>
      <c r="D48" s="134">
        <v>32.11</v>
      </c>
      <c r="E48" s="134">
        <v>5.89</v>
      </c>
      <c r="F48" s="134">
        <v>3.1</v>
      </c>
      <c r="G48" s="134">
        <v>91.53</v>
      </c>
      <c r="H48" s="134">
        <v>39.119999999999997</v>
      </c>
      <c r="I48" s="134">
        <v>7.92</v>
      </c>
      <c r="J48" s="134">
        <v>0.5</v>
      </c>
      <c r="K48" s="134">
        <v>46.55</v>
      </c>
      <c r="L48" s="134">
        <v>27.07</v>
      </c>
      <c r="M48" s="134">
        <v>70.92</v>
      </c>
      <c r="N48" s="134">
        <v>440.6</v>
      </c>
      <c r="O48" s="134">
        <v>0</v>
      </c>
      <c r="P48" s="134">
        <v>0.77</v>
      </c>
      <c r="Q48" s="134">
        <v>5.14</v>
      </c>
    </row>
    <row r="49" spans="1:17" customFormat="1">
      <c r="A49" s="112" t="s">
        <v>663</v>
      </c>
      <c r="B49" s="134">
        <v>21.87</v>
      </c>
      <c r="C49" s="134">
        <v>23.51</v>
      </c>
      <c r="D49" s="134">
        <v>31.17</v>
      </c>
      <c r="E49" s="134">
        <v>4.91</v>
      </c>
      <c r="F49" s="134">
        <v>3.23</v>
      </c>
      <c r="G49" s="134">
        <v>91.53</v>
      </c>
      <c r="H49" s="134">
        <v>39.119999999999997</v>
      </c>
      <c r="I49" s="134">
        <v>7.89</v>
      </c>
      <c r="J49" s="134">
        <v>0.51</v>
      </c>
      <c r="K49" s="134">
        <v>54.96</v>
      </c>
      <c r="L49" s="134">
        <v>27.48</v>
      </c>
      <c r="M49" s="134">
        <v>71.5</v>
      </c>
      <c r="N49" s="134">
        <v>419.6</v>
      </c>
      <c r="O49" s="134">
        <v>0</v>
      </c>
      <c r="P49" s="134">
        <v>0.77</v>
      </c>
      <c r="Q49" s="134">
        <v>5.08</v>
      </c>
    </row>
    <row r="50" spans="1:17" customFormat="1">
      <c r="A50" s="112" t="s">
        <v>664</v>
      </c>
      <c r="B50" s="134">
        <v>20.73</v>
      </c>
      <c r="C50" s="134">
        <v>23.15</v>
      </c>
      <c r="D50" s="134">
        <v>30.07</v>
      </c>
      <c r="E50" s="134">
        <v>6.36</v>
      </c>
      <c r="F50" s="134">
        <v>3.23</v>
      </c>
      <c r="G50" s="134">
        <v>91.53</v>
      </c>
      <c r="H50" s="134">
        <v>39.119999999999997</v>
      </c>
      <c r="I50" s="134">
        <v>7.84</v>
      </c>
      <c r="J50" s="134">
        <v>0.39</v>
      </c>
      <c r="K50" s="134">
        <v>79.319999999999993</v>
      </c>
      <c r="L50" s="134">
        <v>28.19</v>
      </c>
      <c r="M50" s="134">
        <v>70.150000000000006</v>
      </c>
      <c r="N50" s="134">
        <v>500.7</v>
      </c>
      <c r="O50" s="134">
        <v>0</v>
      </c>
      <c r="P50" s="134">
        <v>0.75</v>
      </c>
      <c r="Q50" s="134">
        <v>5.03</v>
      </c>
    </row>
    <row r="51" spans="1:17" customFormat="1">
      <c r="A51" s="112" t="s">
        <v>665</v>
      </c>
      <c r="B51" s="134">
        <v>19.27</v>
      </c>
      <c r="C51" s="134">
        <v>23.23</v>
      </c>
      <c r="D51" s="134">
        <v>28.95</v>
      </c>
      <c r="E51" s="134">
        <v>6.77</v>
      </c>
      <c r="F51" s="134">
        <v>3.79</v>
      </c>
      <c r="G51" s="134">
        <v>91</v>
      </c>
      <c r="H51" s="134">
        <v>38.81</v>
      </c>
      <c r="I51" s="134">
        <v>7.78</v>
      </c>
      <c r="J51" s="134">
        <v>0.36</v>
      </c>
      <c r="K51" s="134">
        <v>60.04</v>
      </c>
      <c r="L51" s="134">
        <v>28.5</v>
      </c>
      <c r="M51" s="134">
        <v>69.56</v>
      </c>
      <c r="N51" s="134">
        <v>487.6</v>
      </c>
      <c r="O51" s="134">
        <v>0</v>
      </c>
      <c r="P51" s="134">
        <v>0.74</v>
      </c>
      <c r="Q51" s="134">
        <v>4.97</v>
      </c>
    </row>
    <row r="52" spans="1:17" customFormat="1">
      <c r="A52" s="112" t="s">
        <v>666</v>
      </c>
      <c r="B52" s="134">
        <v>18.04</v>
      </c>
      <c r="C52" s="134">
        <v>22.9</v>
      </c>
      <c r="D52" s="134">
        <v>27.78</v>
      </c>
      <c r="E52" s="134">
        <v>7.38</v>
      </c>
      <c r="F52" s="134">
        <v>4.42</v>
      </c>
      <c r="G52" s="134">
        <v>82.01</v>
      </c>
      <c r="H52" s="134">
        <v>33.83</v>
      </c>
      <c r="I52" s="134">
        <v>7.65</v>
      </c>
      <c r="J52" s="134">
        <v>0.49</v>
      </c>
      <c r="K52" s="134">
        <v>63.04</v>
      </c>
      <c r="L52" s="134">
        <v>28.9</v>
      </c>
      <c r="M52" s="134">
        <v>66.47</v>
      </c>
      <c r="N52" s="134">
        <v>528.79999999999995</v>
      </c>
      <c r="O52" s="134">
        <v>0</v>
      </c>
      <c r="P52" s="134">
        <v>0.73</v>
      </c>
      <c r="Q52" s="134">
        <v>4.93</v>
      </c>
    </row>
    <row r="53" spans="1:17" customFormat="1">
      <c r="A53" s="112" t="s">
        <v>667</v>
      </c>
      <c r="B53" s="134">
        <v>16.96</v>
      </c>
      <c r="C53" s="134">
        <v>22.61</v>
      </c>
      <c r="D53" s="134">
        <v>26.76</v>
      </c>
      <c r="E53" s="134">
        <v>7.22</v>
      </c>
      <c r="F53" s="134">
        <v>4.3099999999999996</v>
      </c>
      <c r="G53" s="134">
        <v>82.01</v>
      </c>
      <c r="H53" s="134">
        <v>33.83</v>
      </c>
      <c r="I53" s="134">
        <v>7.49</v>
      </c>
      <c r="J53" s="134">
        <v>0.75</v>
      </c>
      <c r="K53" s="134">
        <v>40.43</v>
      </c>
      <c r="L53" s="134">
        <v>29.1</v>
      </c>
      <c r="M53" s="134">
        <v>64.55</v>
      </c>
      <c r="N53" s="134">
        <v>475.5</v>
      </c>
      <c r="O53" s="134">
        <v>0</v>
      </c>
      <c r="P53" s="134">
        <v>0.73</v>
      </c>
      <c r="Q53" s="134">
        <v>4.88</v>
      </c>
    </row>
    <row r="54" spans="1:17" customFormat="1">
      <c r="A54" s="112" t="s">
        <v>668</v>
      </c>
      <c r="B54" s="134">
        <v>15.85</v>
      </c>
      <c r="C54" s="134">
        <v>22.54</v>
      </c>
      <c r="D54" s="134">
        <v>25.84</v>
      </c>
      <c r="E54" s="134">
        <v>7.81</v>
      </c>
      <c r="F54" s="134">
        <v>4.92</v>
      </c>
      <c r="G54" s="134">
        <v>82.01</v>
      </c>
      <c r="H54" s="134">
        <v>33.83</v>
      </c>
      <c r="I54" s="134">
        <v>7.36</v>
      </c>
      <c r="J54" s="134">
        <v>0.69</v>
      </c>
      <c r="K54" s="134">
        <v>38.1</v>
      </c>
      <c r="L54" s="134">
        <v>29.1</v>
      </c>
      <c r="M54" s="134">
        <v>62.49</v>
      </c>
      <c r="N54" s="134">
        <v>530.70000000000005</v>
      </c>
      <c r="O54" s="134">
        <v>0</v>
      </c>
      <c r="P54" s="134">
        <v>0.72</v>
      </c>
      <c r="Q54" s="134">
        <v>4.8</v>
      </c>
    </row>
    <row r="55" spans="1:17" customFormat="1">
      <c r="A55" s="112" t="s">
        <v>669</v>
      </c>
      <c r="B55" s="134">
        <v>14.84</v>
      </c>
      <c r="C55" s="134">
        <v>22.47</v>
      </c>
      <c r="D55" s="134">
        <v>24.99</v>
      </c>
      <c r="E55" s="134">
        <v>7.97</v>
      </c>
      <c r="F55" s="134">
        <v>4.63</v>
      </c>
      <c r="G55" s="134">
        <v>81.680000000000007</v>
      </c>
      <c r="H55" s="134">
        <v>33.700000000000003</v>
      </c>
      <c r="I55" s="134">
        <v>7.24</v>
      </c>
      <c r="J55" s="134">
        <v>0.57999999999999996</v>
      </c>
      <c r="K55" s="134">
        <v>53.3</v>
      </c>
      <c r="L55" s="134">
        <v>29.55</v>
      </c>
      <c r="M55" s="134">
        <v>60.19</v>
      </c>
      <c r="N55" s="134">
        <v>551.5</v>
      </c>
      <c r="O55" s="134">
        <v>0</v>
      </c>
      <c r="P55" s="134">
        <v>0.72</v>
      </c>
      <c r="Q55" s="134">
        <v>4.75</v>
      </c>
    </row>
    <row r="56" spans="1:17" customFormat="1">
      <c r="A56" s="112" t="s">
        <v>670</v>
      </c>
      <c r="B56" s="134">
        <v>13.69</v>
      </c>
      <c r="C56" s="134">
        <v>21.88</v>
      </c>
      <c r="D56" s="134">
        <v>23.76</v>
      </c>
      <c r="E56" s="134">
        <v>9.42</v>
      </c>
      <c r="F56" s="134">
        <v>7.94</v>
      </c>
      <c r="G56" s="134">
        <v>74.739999999999995</v>
      </c>
      <c r="H56" s="134">
        <v>31.64</v>
      </c>
      <c r="I56" s="134">
        <v>7.14</v>
      </c>
      <c r="J56" s="134">
        <v>0.94</v>
      </c>
      <c r="K56" s="134">
        <v>31.88</v>
      </c>
      <c r="L56" s="134">
        <v>29.22</v>
      </c>
      <c r="M56" s="134">
        <v>60.67</v>
      </c>
      <c r="N56" s="134">
        <v>348</v>
      </c>
      <c r="O56" s="134">
        <v>0</v>
      </c>
      <c r="P56" s="134">
        <v>0.7</v>
      </c>
      <c r="Q56" s="134">
        <v>4.7300000000000004</v>
      </c>
    </row>
    <row r="57" spans="1:17" customFormat="1">
      <c r="A57" s="112" t="s">
        <v>671</v>
      </c>
      <c r="B57" s="134">
        <v>13.1</v>
      </c>
      <c r="C57" s="134">
        <v>23.41</v>
      </c>
      <c r="D57" s="134">
        <v>24.09</v>
      </c>
      <c r="E57" s="134">
        <v>8.26</v>
      </c>
      <c r="F57" s="134">
        <v>5.88</v>
      </c>
      <c r="G57" s="134">
        <v>74.739999999999995</v>
      </c>
      <c r="H57" s="134">
        <v>31.64</v>
      </c>
      <c r="I57" s="134">
        <v>7.02</v>
      </c>
      <c r="J57" s="134">
        <v>0.83</v>
      </c>
      <c r="K57" s="134">
        <v>41.39</v>
      </c>
      <c r="L57" s="134">
        <v>29.06</v>
      </c>
      <c r="M57" s="134">
        <v>57.7</v>
      </c>
      <c r="N57" s="134">
        <v>424.9</v>
      </c>
      <c r="O57" s="134">
        <v>0</v>
      </c>
      <c r="P57" s="134">
        <v>0.69</v>
      </c>
      <c r="Q57" s="134">
        <v>4.67</v>
      </c>
    </row>
    <row r="58" spans="1:17" customFormat="1">
      <c r="A58" s="112" t="s">
        <v>672</v>
      </c>
      <c r="B58" s="134">
        <v>12.26</v>
      </c>
      <c r="C58" s="134">
        <v>21.95</v>
      </c>
      <c r="D58" s="134">
        <v>22.65</v>
      </c>
      <c r="E58" s="134">
        <v>8.57</v>
      </c>
      <c r="F58" s="134">
        <v>6.1</v>
      </c>
      <c r="G58" s="134">
        <v>74.739999999999995</v>
      </c>
      <c r="H58" s="134">
        <v>31.64</v>
      </c>
      <c r="I58" s="134">
        <v>6.85</v>
      </c>
      <c r="J58" s="134">
        <v>0.76</v>
      </c>
      <c r="K58" s="134">
        <v>43.61</v>
      </c>
      <c r="L58" s="134">
        <v>29.55</v>
      </c>
      <c r="M58" s="134">
        <v>50.97</v>
      </c>
      <c r="N58" s="134">
        <v>380.5</v>
      </c>
      <c r="O58" s="134">
        <v>0</v>
      </c>
      <c r="P58" s="134">
        <v>0.68</v>
      </c>
      <c r="Q58" s="134">
        <v>4.6399999999999997</v>
      </c>
    </row>
    <row r="59" spans="1:17" customFormat="1">
      <c r="A59" s="112" t="s">
        <v>673</v>
      </c>
      <c r="B59" s="134">
        <v>11.57</v>
      </c>
      <c r="C59" s="134">
        <v>21.56</v>
      </c>
      <c r="D59" s="134">
        <v>21.89</v>
      </c>
      <c r="E59" s="134">
        <v>6.69</v>
      </c>
      <c r="F59" s="134">
        <v>5.47</v>
      </c>
      <c r="G59" s="134">
        <v>74.489999999999995</v>
      </c>
      <c r="H59" s="134">
        <v>31.44</v>
      </c>
      <c r="I59" s="134">
        <v>6.79</v>
      </c>
      <c r="J59" s="134">
        <v>0.48</v>
      </c>
      <c r="K59" s="134">
        <v>58.45</v>
      </c>
      <c r="L59" s="134">
        <v>29.44</v>
      </c>
      <c r="M59" s="134">
        <v>54.26</v>
      </c>
      <c r="N59" s="134">
        <v>283.10000000000002</v>
      </c>
      <c r="O59" s="134">
        <v>0</v>
      </c>
      <c r="P59" s="134">
        <v>0.68</v>
      </c>
      <c r="Q59" s="134">
        <v>4.6100000000000003</v>
      </c>
    </row>
    <row r="60" spans="1:17" customFormat="1">
      <c r="A60" s="112" t="s">
        <v>674</v>
      </c>
      <c r="B60" s="134">
        <v>10.91</v>
      </c>
      <c r="C60" s="134">
        <v>21.13</v>
      </c>
      <c r="D60" s="134">
        <v>21.14</v>
      </c>
      <c r="E60" s="134">
        <v>7.36</v>
      </c>
      <c r="F60" s="134">
        <v>4.9400000000000004</v>
      </c>
      <c r="G60" s="134">
        <v>69.08</v>
      </c>
      <c r="H60" s="134">
        <v>28.28</v>
      </c>
      <c r="I60" s="134">
        <v>6.71</v>
      </c>
      <c r="J60" s="134">
        <v>0.71</v>
      </c>
      <c r="K60" s="134">
        <v>37.880000000000003</v>
      </c>
      <c r="L60" s="134">
        <v>29.4</v>
      </c>
      <c r="M60" s="134">
        <v>54.57</v>
      </c>
      <c r="N60" s="134">
        <v>292.2</v>
      </c>
      <c r="O60" s="134">
        <v>0</v>
      </c>
      <c r="P60" s="134">
        <v>0.67</v>
      </c>
      <c r="Q60" s="134">
        <v>4.57</v>
      </c>
    </row>
    <row r="61" spans="1:17" customFormat="1">
      <c r="A61" s="112" t="s">
        <v>675</v>
      </c>
      <c r="B61" s="134">
        <v>10.29</v>
      </c>
      <c r="C61" s="134">
        <v>21.05</v>
      </c>
      <c r="D61" s="134">
        <v>20.6</v>
      </c>
      <c r="E61" s="134">
        <v>7.36</v>
      </c>
      <c r="F61" s="134">
        <v>5.51</v>
      </c>
      <c r="G61" s="134">
        <v>69.08</v>
      </c>
      <c r="H61" s="134">
        <v>28.28</v>
      </c>
      <c r="I61" s="134">
        <v>6.58</v>
      </c>
      <c r="J61" s="134">
        <v>0.56000000000000005</v>
      </c>
      <c r="K61" s="134">
        <v>49.77</v>
      </c>
      <c r="L61" s="134">
        <v>29.44</v>
      </c>
      <c r="M61" s="134">
        <v>52.29</v>
      </c>
      <c r="N61" s="134">
        <v>279.89999999999998</v>
      </c>
      <c r="O61" s="134">
        <v>0</v>
      </c>
      <c r="P61" s="134">
        <v>0.66</v>
      </c>
      <c r="Q61" s="134">
        <v>4.54</v>
      </c>
    </row>
    <row r="62" spans="1:17" customFormat="1">
      <c r="A62" s="112" t="s">
        <v>676</v>
      </c>
      <c r="B62" s="134">
        <v>9.8000000000000007</v>
      </c>
      <c r="C62" s="134">
        <v>20.88</v>
      </c>
      <c r="D62" s="134">
        <v>20.12</v>
      </c>
      <c r="E62" s="134">
        <v>6.84</v>
      </c>
      <c r="F62" s="134">
        <v>6.24</v>
      </c>
      <c r="G62" s="134">
        <v>69.08</v>
      </c>
      <c r="H62" s="134">
        <v>28.28</v>
      </c>
      <c r="I62" s="134">
        <v>6.51</v>
      </c>
      <c r="J62" s="134">
        <v>0.62</v>
      </c>
      <c r="K62" s="134">
        <v>43.72</v>
      </c>
      <c r="L62" s="134">
        <v>29.74</v>
      </c>
      <c r="M62" s="134">
        <v>47.16</v>
      </c>
      <c r="N62" s="134">
        <v>348.8</v>
      </c>
      <c r="O62" s="134">
        <v>0</v>
      </c>
      <c r="P62" s="134">
        <v>0.65</v>
      </c>
      <c r="Q62" s="134">
        <v>4.5199999999999996</v>
      </c>
    </row>
    <row r="63" spans="1:17" customFormat="1">
      <c r="A63" s="112" t="s">
        <v>677</v>
      </c>
      <c r="B63" s="134">
        <v>9.31</v>
      </c>
      <c r="C63" s="134">
        <v>20.239999999999998</v>
      </c>
      <c r="D63" s="134">
        <v>19.39</v>
      </c>
      <c r="E63" s="134">
        <v>7.77</v>
      </c>
      <c r="F63" s="134">
        <v>8.74</v>
      </c>
      <c r="G63" s="134">
        <v>68.91</v>
      </c>
      <c r="H63" s="134">
        <v>28.14</v>
      </c>
      <c r="I63" s="134">
        <v>6.39</v>
      </c>
      <c r="J63" s="134">
        <v>0.49</v>
      </c>
      <c r="K63" s="134">
        <v>52.16</v>
      </c>
      <c r="L63" s="134">
        <v>29.84</v>
      </c>
      <c r="M63" s="134">
        <v>48.16</v>
      </c>
      <c r="N63" s="134">
        <v>320.7</v>
      </c>
      <c r="O63" s="134">
        <v>0</v>
      </c>
      <c r="P63" s="134">
        <v>0.63</v>
      </c>
      <c r="Q63" s="134">
        <v>4.47</v>
      </c>
    </row>
    <row r="64" spans="1:17" customFormat="1">
      <c r="A64" s="112" t="s">
        <v>678</v>
      </c>
      <c r="B64" s="134">
        <v>8.74</v>
      </c>
      <c r="C64" s="134">
        <v>19.95</v>
      </c>
      <c r="D64" s="134">
        <v>18.78</v>
      </c>
      <c r="E64" s="134">
        <v>8.14</v>
      </c>
      <c r="F64" s="134">
        <v>6.39</v>
      </c>
      <c r="G64" s="134">
        <v>65.33</v>
      </c>
      <c r="H64" s="134">
        <v>25.86</v>
      </c>
      <c r="I64" s="134">
        <v>6.23</v>
      </c>
      <c r="J64" s="134">
        <v>0.45</v>
      </c>
      <c r="K64" s="134">
        <v>50.53</v>
      </c>
      <c r="L64" s="134">
        <v>29.97</v>
      </c>
      <c r="M64" s="134">
        <v>47.57</v>
      </c>
      <c r="N64" s="134">
        <v>364.1</v>
      </c>
      <c r="O64" s="134">
        <v>0</v>
      </c>
      <c r="P64" s="134">
        <v>0.63</v>
      </c>
      <c r="Q64" s="134">
        <v>4.4400000000000004</v>
      </c>
    </row>
    <row r="65" spans="1:17" customFormat="1">
      <c r="A65" s="112" t="s">
        <v>679</v>
      </c>
      <c r="B65" s="134">
        <v>8.1199999999999992</v>
      </c>
      <c r="C65" s="134">
        <v>20.11</v>
      </c>
      <c r="D65" s="134">
        <v>18.37</v>
      </c>
      <c r="E65" s="134">
        <v>7.48</v>
      </c>
      <c r="F65" s="134">
        <v>7.36</v>
      </c>
      <c r="G65" s="134">
        <v>65.33</v>
      </c>
      <c r="H65" s="134">
        <v>25.86</v>
      </c>
      <c r="I65" s="134">
        <v>6.11</v>
      </c>
      <c r="J65" s="134">
        <v>0.45</v>
      </c>
      <c r="K65" s="134">
        <v>51.44</v>
      </c>
      <c r="L65" s="134">
        <v>30.29</v>
      </c>
      <c r="M65" s="134">
        <v>45.1</v>
      </c>
      <c r="N65" s="134">
        <v>405.3</v>
      </c>
      <c r="O65" s="134">
        <v>0</v>
      </c>
      <c r="P65" s="134">
        <v>0.65</v>
      </c>
      <c r="Q65" s="134">
        <v>4.43</v>
      </c>
    </row>
    <row r="66" spans="1:17" customFormat="1">
      <c r="A66" s="112" t="s">
        <v>680</v>
      </c>
      <c r="B66" s="134">
        <v>7.28</v>
      </c>
      <c r="C66" s="134">
        <v>20.56</v>
      </c>
      <c r="D66" s="134">
        <v>17.93</v>
      </c>
      <c r="E66" s="134">
        <v>7.64</v>
      </c>
      <c r="F66" s="134">
        <v>8.93</v>
      </c>
      <c r="G66" s="134">
        <v>65.33</v>
      </c>
      <c r="H66" s="134">
        <v>25.86</v>
      </c>
      <c r="I66" s="134">
        <v>6.09</v>
      </c>
      <c r="J66" s="134">
        <v>0.54</v>
      </c>
      <c r="K66" s="134">
        <v>53.24</v>
      </c>
      <c r="L66" s="134">
        <v>30.05</v>
      </c>
      <c r="M66" s="134">
        <v>40.98</v>
      </c>
      <c r="N66" s="134">
        <v>193.7</v>
      </c>
      <c r="O66" s="134">
        <v>0</v>
      </c>
      <c r="P66" s="134">
        <v>0.68</v>
      </c>
      <c r="Q66" s="134">
        <v>4.37</v>
      </c>
    </row>
    <row r="67" spans="1:17" customFormat="1">
      <c r="A67" s="112" t="s">
        <v>681</v>
      </c>
      <c r="B67" s="134">
        <v>6.61</v>
      </c>
      <c r="C67" s="134">
        <v>21.08</v>
      </c>
      <c r="D67" s="134">
        <v>17.66</v>
      </c>
      <c r="E67" s="134">
        <v>6.64</v>
      </c>
      <c r="F67" s="134">
        <v>7.89</v>
      </c>
      <c r="G67" s="134">
        <v>65.14</v>
      </c>
      <c r="H67" s="134">
        <v>25.8</v>
      </c>
      <c r="I67" s="134">
        <v>5.93</v>
      </c>
      <c r="J67" s="134">
        <v>0.48</v>
      </c>
      <c r="K67" s="134">
        <v>55.08</v>
      </c>
      <c r="L67" s="134">
        <v>29.86</v>
      </c>
      <c r="M67" s="134">
        <v>43.55</v>
      </c>
      <c r="N67" s="134">
        <v>141.4</v>
      </c>
      <c r="O67" s="134">
        <v>0</v>
      </c>
      <c r="P67" s="134">
        <v>0.69</v>
      </c>
      <c r="Q67" s="134">
        <v>4.32</v>
      </c>
    </row>
    <row r="68" spans="1:17" customFormat="1">
      <c r="A68" s="112" t="s">
        <v>682</v>
      </c>
      <c r="B68" s="134">
        <v>6.09</v>
      </c>
      <c r="C68" s="134">
        <v>21.29</v>
      </c>
      <c r="D68" s="134">
        <v>17.36</v>
      </c>
      <c r="E68" s="134">
        <v>6.55</v>
      </c>
      <c r="F68" s="134">
        <v>6.29</v>
      </c>
      <c r="G68" s="134">
        <v>61.86</v>
      </c>
      <c r="H68" s="134">
        <v>24.79</v>
      </c>
      <c r="I68" s="134">
        <v>5.76</v>
      </c>
      <c r="J68" s="134">
        <v>0.31</v>
      </c>
      <c r="K68" s="134">
        <v>100.04</v>
      </c>
      <c r="L68" s="134">
        <v>29.78</v>
      </c>
      <c r="M68" s="134">
        <v>42.54</v>
      </c>
      <c r="N68" s="134">
        <v>120.3</v>
      </c>
      <c r="O68" s="134">
        <v>0</v>
      </c>
      <c r="P68" s="134">
        <v>0.67</v>
      </c>
      <c r="Q68" s="134">
        <v>4.3</v>
      </c>
    </row>
    <row r="69" spans="1:17" customFormat="1">
      <c r="A69" s="112" t="s">
        <v>683</v>
      </c>
      <c r="B69" s="134">
        <v>5.88</v>
      </c>
      <c r="C69" s="134">
        <v>21.27</v>
      </c>
      <c r="D69" s="134">
        <v>17.18</v>
      </c>
      <c r="E69" s="134">
        <v>6.48</v>
      </c>
      <c r="F69" s="134">
        <v>6.83</v>
      </c>
      <c r="G69" s="134">
        <v>61.86</v>
      </c>
      <c r="H69" s="134">
        <v>24.79</v>
      </c>
      <c r="I69" s="134">
        <v>5.64</v>
      </c>
      <c r="J69" s="134">
        <v>0.54</v>
      </c>
      <c r="K69" s="134">
        <v>52.79</v>
      </c>
      <c r="L69" s="134">
        <v>29.64</v>
      </c>
      <c r="M69" s="134">
        <v>40.54</v>
      </c>
      <c r="N69" s="134">
        <v>107.1</v>
      </c>
      <c r="O69" s="134">
        <v>0</v>
      </c>
      <c r="P69" s="134">
        <v>0.66</v>
      </c>
      <c r="Q69" s="134">
        <v>4.29</v>
      </c>
    </row>
    <row r="70" spans="1:17" customFormat="1">
      <c r="A70" s="112" t="s">
        <v>684</v>
      </c>
      <c r="B70" s="134">
        <v>5.7</v>
      </c>
      <c r="C70" s="134">
        <v>21</v>
      </c>
      <c r="D70" s="134">
        <v>16.89</v>
      </c>
      <c r="E70" s="134">
        <v>6.5</v>
      </c>
      <c r="F70" s="134">
        <v>7.61</v>
      </c>
      <c r="G70" s="134">
        <v>61.86</v>
      </c>
      <c r="H70" s="134">
        <v>24.79</v>
      </c>
      <c r="I70" s="134">
        <v>5.56</v>
      </c>
      <c r="J70" s="134">
        <v>0.53</v>
      </c>
      <c r="K70" s="134">
        <v>46.97</v>
      </c>
      <c r="L70" s="134">
        <v>29.34</v>
      </c>
      <c r="M70" s="134">
        <v>40.56</v>
      </c>
      <c r="N70" s="134">
        <v>84.2</v>
      </c>
      <c r="O70" s="134">
        <v>0</v>
      </c>
      <c r="P70" s="134">
        <v>0.66</v>
      </c>
      <c r="Q70" s="134">
        <v>4.28</v>
      </c>
    </row>
    <row r="71" spans="1:17" customFormat="1">
      <c r="A71" s="112" t="s">
        <v>685</v>
      </c>
      <c r="B71" s="134">
        <v>5.64</v>
      </c>
      <c r="C71" s="134">
        <v>21.27</v>
      </c>
      <c r="D71" s="134">
        <v>16.989999999999998</v>
      </c>
      <c r="E71" s="134">
        <v>6.07</v>
      </c>
      <c r="F71" s="134">
        <v>7.6</v>
      </c>
      <c r="G71" s="134">
        <v>61.6</v>
      </c>
      <c r="H71" s="134">
        <v>24.77</v>
      </c>
      <c r="I71" s="134">
        <v>5.38</v>
      </c>
      <c r="J71" s="134">
        <v>0.74</v>
      </c>
      <c r="K71" s="134">
        <v>44.13</v>
      </c>
      <c r="L71" s="134">
        <v>29.17</v>
      </c>
      <c r="M71" s="134">
        <v>38.380000000000003</v>
      </c>
      <c r="N71" s="134">
        <v>87.2</v>
      </c>
      <c r="O71" s="134">
        <v>0</v>
      </c>
      <c r="P71" s="134">
        <v>0.64</v>
      </c>
      <c r="Q71" s="134">
        <v>4.2699999999999996</v>
      </c>
    </row>
    <row r="72" spans="1:17" customFormat="1">
      <c r="A72" s="112" t="s">
        <v>686</v>
      </c>
      <c r="B72" s="134">
        <v>5.57</v>
      </c>
      <c r="C72" s="134">
        <v>21.43</v>
      </c>
      <c r="D72" s="134">
        <v>17.02</v>
      </c>
      <c r="E72" s="134">
        <v>5.83</v>
      </c>
      <c r="F72" s="134">
        <v>6.58</v>
      </c>
      <c r="G72" s="134">
        <v>56.06</v>
      </c>
      <c r="H72" s="134">
        <v>24.54</v>
      </c>
      <c r="I72" s="134">
        <v>5.25</v>
      </c>
      <c r="J72" s="134">
        <v>0.45</v>
      </c>
      <c r="K72" s="134">
        <v>55.34</v>
      </c>
      <c r="L72" s="134">
        <v>29.1</v>
      </c>
      <c r="M72" s="134">
        <v>40.270000000000003</v>
      </c>
      <c r="N72" s="134">
        <v>79.7</v>
      </c>
      <c r="O72" s="134">
        <v>0</v>
      </c>
      <c r="P72" s="134">
        <v>0.64</v>
      </c>
      <c r="Q72" s="134">
        <v>4.29</v>
      </c>
    </row>
    <row r="73" spans="1:17" customFormat="1">
      <c r="A73" s="112" t="s">
        <v>687</v>
      </c>
      <c r="B73" s="134">
        <v>5.61</v>
      </c>
      <c r="C73" s="134">
        <v>21.45</v>
      </c>
      <c r="D73" s="134">
        <v>17.059999999999999</v>
      </c>
      <c r="E73" s="134">
        <v>5.41</v>
      </c>
      <c r="F73" s="134">
        <v>5.39</v>
      </c>
      <c r="G73" s="134">
        <v>56.06</v>
      </c>
      <c r="H73" s="134">
        <v>24.54</v>
      </c>
      <c r="I73" s="134">
        <v>5.15</v>
      </c>
      <c r="J73" s="134">
        <v>0.48</v>
      </c>
      <c r="K73" s="134">
        <v>50.79</v>
      </c>
      <c r="L73" s="134">
        <v>28.81</v>
      </c>
      <c r="M73" s="134">
        <v>40.81</v>
      </c>
      <c r="N73" s="134">
        <v>43.7</v>
      </c>
      <c r="O73" s="134">
        <v>0</v>
      </c>
      <c r="P73" s="134">
        <v>0.64</v>
      </c>
      <c r="Q73" s="134">
        <v>4.28</v>
      </c>
    </row>
    <row r="74" spans="1:17" customFormat="1">
      <c r="A74" s="112" t="s">
        <v>688</v>
      </c>
      <c r="B74" s="134">
        <v>5.85</v>
      </c>
      <c r="C74" s="134">
        <v>21.77</v>
      </c>
      <c r="D74" s="134">
        <v>17.41</v>
      </c>
      <c r="E74" s="134">
        <v>5.89</v>
      </c>
      <c r="F74" s="134">
        <v>4.8099999999999996</v>
      </c>
      <c r="G74" s="134">
        <v>56.06</v>
      </c>
      <c r="H74" s="134">
        <v>24.54</v>
      </c>
      <c r="I74" s="134">
        <v>5.17</v>
      </c>
      <c r="J74" s="134">
        <v>0.45</v>
      </c>
      <c r="K74" s="134">
        <v>50.28</v>
      </c>
      <c r="L74" s="134">
        <v>28.43</v>
      </c>
      <c r="M74" s="134">
        <v>37.97</v>
      </c>
      <c r="N74" s="134">
        <v>39.5</v>
      </c>
      <c r="O74" s="134">
        <v>0</v>
      </c>
      <c r="P74" s="134">
        <v>0.64</v>
      </c>
      <c r="Q74" s="134">
        <v>4.3</v>
      </c>
    </row>
    <row r="75" spans="1:17" customFormat="1">
      <c r="A75" s="112" t="s">
        <v>689</v>
      </c>
      <c r="B75" s="134">
        <v>6.09</v>
      </c>
      <c r="C75" s="134">
        <v>22.03</v>
      </c>
      <c r="D75" s="134">
        <v>17.75</v>
      </c>
      <c r="E75" s="134">
        <v>4.9800000000000004</v>
      </c>
      <c r="F75" s="134">
        <v>4.26</v>
      </c>
      <c r="G75" s="134">
        <v>56.35</v>
      </c>
      <c r="H75" s="134">
        <v>24.32</v>
      </c>
      <c r="I75" s="134">
        <v>5.12</v>
      </c>
      <c r="J75" s="134">
        <v>0.25</v>
      </c>
      <c r="K75" s="134">
        <v>61.26</v>
      </c>
      <c r="L75" s="134">
        <v>27.99</v>
      </c>
      <c r="M75" s="134">
        <v>39.89</v>
      </c>
      <c r="N75" s="134">
        <v>26.8</v>
      </c>
      <c r="O75" s="134">
        <v>0</v>
      </c>
      <c r="P75" s="134">
        <v>0.64</v>
      </c>
      <c r="Q75" s="134">
        <v>4.28</v>
      </c>
    </row>
    <row r="76" spans="1:17" customFormat="1">
      <c r="A76" s="112" t="s">
        <v>690</v>
      </c>
      <c r="B76" s="134">
        <v>6.46</v>
      </c>
      <c r="C76" s="134">
        <v>22.5</v>
      </c>
      <c r="D76" s="134">
        <v>18.29</v>
      </c>
      <c r="E76" s="134">
        <v>5.21</v>
      </c>
      <c r="F76" s="134">
        <v>3.71</v>
      </c>
      <c r="G76" s="134">
        <v>61.35</v>
      </c>
      <c r="H76" s="134">
        <v>20.85</v>
      </c>
      <c r="I76" s="134">
        <v>5.1100000000000003</v>
      </c>
      <c r="J76" s="134">
        <v>0.18</v>
      </c>
      <c r="K76" s="134">
        <v>72.19</v>
      </c>
      <c r="L76" s="134">
        <v>27.34</v>
      </c>
      <c r="M76" s="134">
        <v>42.97</v>
      </c>
      <c r="N76" s="134">
        <v>9.9</v>
      </c>
      <c r="O76" s="134">
        <v>0</v>
      </c>
      <c r="P76" s="134">
        <v>0.63</v>
      </c>
      <c r="Q76" s="134">
        <v>4.32</v>
      </c>
    </row>
    <row r="77" spans="1:17" customFormat="1">
      <c r="A77" s="112" t="s">
        <v>691</v>
      </c>
      <c r="B77" s="134">
        <v>6.86</v>
      </c>
      <c r="C77" s="134">
        <v>22.99</v>
      </c>
      <c r="D77" s="134">
        <v>18.87</v>
      </c>
      <c r="E77" s="134">
        <v>5.42</v>
      </c>
      <c r="F77" s="134">
        <v>3.16</v>
      </c>
      <c r="G77" s="134">
        <v>61.35</v>
      </c>
      <c r="H77" s="134">
        <v>20.85</v>
      </c>
      <c r="I77" s="134">
        <v>5.23</v>
      </c>
      <c r="J77" s="134">
        <v>0.15</v>
      </c>
      <c r="K77" s="134">
        <v>120.76</v>
      </c>
      <c r="L77" s="134">
        <v>26.49</v>
      </c>
      <c r="M77" s="134">
        <v>50</v>
      </c>
      <c r="N77" s="134">
        <v>0.5</v>
      </c>
      <c r="O77" s="134">
        <v>0</v>
      </c>
      <c r="P77" s="134">
        <v>0.63</v>
      </c>
      <c r="Q77" s="134">
        <v>4.34</v>
      </c>
    </row>
    <row r="78" spans="1:17" customFormat="1">
      <c r="A78" s="112" t="s">
        <v>692</v>
      </c>
      <c r="B78" s="134">
        <v>7.3</v>
      </c>
      <c r="C78" s="134">
        <v>23.19</v>
      </c>
      <c r="D78" s="134">
        <v>19.32</v>
      </c>
      <c r="E78" s="134">
        <v>5.39</v>
      </c>
      <c r="F78" s="134">
        <v>2.94</v>
      </c>
      <c r="G78" s="134">
        <v>61.35</v>
      </c>
      <c r="H78" s="134">
        <v>20.85</v>
      </c>
      <c r="I78" s="134">
        <v>5.34</v>
      </c>
      <c r="J78" s="134">
        <v>0.14000000000000001</v>
      </c>
      <c r="K78" s="134">
        <v>135.58000000000001</v>
      </c>
      <c r="L78" s="134">
        <v>25.22</v>
      </c>
      <c r="M78" s="134">
        <v>56.76</v>
      </c>
      <c r="N78" s="134">
        <v>0</v>
      </c>
      <c r="O78" s="134">
        <v>0</v>
      </c>
      <c r="P78" s="134">
        <v>0.64</v>
      </c>
      <c r="Q78" s="134">
        <v>4.3499999999999996</v>
      </c>
    </row>
    <row r="79" spans="1:17" customFormat="1">
      <c r="A79" s="112" t="s">
        <v>693</v>
      </c>
      <c r="B79" s="134">
        <v>7.88</v>
      </c>
      <c r="C79" s="134">
        <v>23.58</v>
      </c>
      <c r="D79" s="134">
        <v>19.989999999999998</v>
      </c>
      <c r="E79" s="134">
        <v>5.45</v>
      </c>
      <c r="F79" s="134">
        <v>2.82</v>
      </c>
      <c r="G79" s="134">
        <v>62.43</v>
      </c>
      <c r="H79" s="134">
        <v>21.23</v>
      </c>
      <c r="I79" s="134">
        <v>5.35</v>
      </c>
      <c r="J79" s="134">
        <v>0.12</v>
      </c>
      <c r="K79" s="134">
        <v>90.93</v>
      </c>
      <c r="L79" s="134">
        <v>24.86</v>
      </c>
      <c r="M79" s="134">
        <v>57.3</v>
      </c>
      <c r="N79" s="134">
        <v>0</v>
      </c>
      <c r="O79" s="134">
        <v>0</v>
      </c>
      <c r="P79" s="134">
        <v>0.65</v>
      </c>
      <c r="Q79" s="134">
        <v>4.38</v>
      </c>
    </row>
    <row r="80" spans="1:17" customFormat="1">
      <c r="A80" s="112" t="s">
        <v>694</v>
      </c>
      <c r="B80" s="134">
        <v>8.67</v>
      </c>
      <c r="C80" s="134">
        <v>24.39</v>
      </c>
      <c r="D80" s="134">
        <v>21.05</v>
      </c>
      <c r="E80" s="134">
        <v>5.25</v>
      </c>
      <c r="F80" s="134">
        <v>2.76</v>
      </c>
      <c r="G80" s="134">
        <v>85.6</v>
      </c>
      <c r="H80" s="134">
        <v>27.11</v>
      </c>
      <c r="I80" s="134">
        <v>5.37</v>
      </c>
      <c r="J80" s="134">
        <v>0.15</v>
      </c>
      <c r="K80" s="134">
        <v>81.03</v>
      </c>
      <c r="L80" s="134">
        <v>24.41</v>
      </c>
      <c r="M80" s="134">
        <v>61.15</v>
      </c>
      <c r="N80" s="134">
        <v>0</v>
      </c>
      <c r="O80" s="134">
        <v>0</v>
      </c>
      <c r="P80" s="134">
        <v>0.67</v>
      </c>
      <c r="Q80" s="134">
        <v>4.43</v>
      </c>
    </row>
    <row r="81" spans="1:17" customFormat="1">
      <c r="A81" s="112" t="s">
        <v>695</v>
      </c>
      <c r="B81" s="134">
        <v>9.82</v>
      </c>
      <c r="C81" s="134">
        <v>24.92</v>
      </c>
      <c r="D81" s="134">
        <v>22.25</v>
      </c>
      <c r="E81" s="134">
        <v>5.58</v>
      </c>
      <c r="F81" s="134">
        <v>2.62</v>
      </c>
      <c r="G81" s="134">
        <v>85.6</v>
      </c>
      <c r="H81" s="134">
        <v>27.11</v>
      </c>
      <c r="I81" s="134">
        <v>5.44</v>
      </c>
      <c r="J81" s="134">
        <v>0.25</v>
      </c>
      <c r="K81" s="134">
        <v>52.67</v>
      </c>
      <c r="L81" s="134">
        <v>24.48</v>
      </c>
      <c r="M81" s="134">
        <v>59.32</v>
      </c>
      <c r="N81" s="134">
        <v>0</v>
      </c>
      <c r="O81" s="134">
        <v>0</v>
      </c>
      <c r="P81" s="134">
        <v>0.68</v>
      </c>
      <c r="Q81" s="134">
        <v>4.51</v>
      </c>
    </row>
    <row r="82" spans="1:17" customFormat="1">
      <c r="A82" s="112" t="s">
        <v>696</v>
      </c>
      <c r="B82" s="134">
        <v>10.79</v>
      </c>
      <c r="C82" s="134">
        <v>25.56</v>
      </c>
      <c r="D82" s="134">
        <v>23.36</v>
      </c>
      <c r="E82" s="134">
        <v>6.52</v>
      </c>
      <c r="F82" s="134">
        <v>2.65</v>
      </c>
      <c r="G82" s="134">
        <v>85.6</v>
      </c>
      <c r="H82" s="134">
        <v>27.11</v>
      </c>
      <c r="I82" s="134">
        <v>5.57</v>
      </c>
      <c r="J82" s="134">
        <v>0.1</v>
      </c>
      <c r="K82" s="134">
        <v>88.86</v>
      </c>
      <c r="L82" s="134">
        <v>24.24</v>
      </c>
      <c r="M82" s="134">
        <v>60.98</v>
      </c>
      <c r="N82" s="134">
        <v>0</v>
      </c>
      <c r="O82" s="134">
        <v>0</v>
      </c>
      <c r="P82" s="134">
        <v>0.7</v>
      </c>
      <c r="Q82" s="134">
        <v>4.59</v>
      </c>
    </row>
    <row r="83" spans="1:17" customFormat="1">
      <c r="A83" s="112" t="s">
        <v>697</v>
      </c>
      <c r="B83" s="134">
        <v>11.53</v>
      </c>
      <c r="C83" s="134">
        <v>25.85</v>
      </c>
      <c r="D83" s="134">
        <v>24.1</v>
      </c>
      <c r="E83" s="134">
        <v>6.61</v>
      </c>
      <c r="F83" s="134">
        <v>2.63</v>
      </c>
      <c r="G83" s="134">
        <v>86.47</v>
      </c>
      <c r="H83" s="134">
        <v>27.38</v>
      </c>
      <c r="I83" s="134">
        <v>5.66</v>
      </c>
      <c r="J83" s="134">
        <v>0.16</v>
      </c>
      <c r="K83" s="134">
        <v>63.14</v>
      </c>
      <c r="L83" s="134">
        <v>24</v>
      </c>
      <c r="M83" s="134">
        <v>60.72</v>
      </c>
      <c r="N83" s="134">
        <v>0</v>
      </c>
      <c r="O83" s="134">
        <v>0</v>
      </c>
      <c r="P83" s="134">
        <v>0.72</v>
      </c>
      <c r="Q83" s="134">
        <v>4.5999999999999996</v>
      </c>
    </row>
    <row r="84" spans="1:17" customFormat="1">
      <c r="A84" s="112" t="s">
        <v>698</v>
      </c>
      <c r="B84" s="134">
        <v>12.15</v>
      </c>
      <c r="C84" s="134">
        <v>26.41</v>
      </c>
      <c r="D84" s="134">
        <v>24.9</v>
      </c>
      <c r="E84" s="134">
        <v>6.49</v>
      </c>
      <c r="F84" s="134">
        <v>2.5099999999999998</v>
      </c>
      <c r="G84" s="134">
        <v>101.27</v>
      </c>
      <c r="H84" s="134">
        <v>31.51</v>
      </c>
      <c r="I84" s="134">
        <v>5.73</v>
      </c>
      <c r="J84" s="134">
        <v>0.15</v>
      </c>
      <c r="K84" s="134">
        <v>124.7</v>
      </c>
      <c r="L84" s="134">
        <v>23.68</v>
      </c>
      <c r="M84" s="134">
        <v>64.849999999999994</v>
      </c>
      <c r="N84" s="134">
        <v>0</v>
      </c>
      <c r="O84" s="134">
        <v>0</v>
      </c>
      <c r="P84" s="134">
        <v>0.72</v>
      </c>
      <c r="Q84" s="134">
        <v>4.62</v>
      </c>
    </row>
    <row r="85" spans="1:17" customFormat="1">
      <c r="A85" s="112" t="s">
        <v>699</v>
      </c>
      <c r="B85" s="134">
        <v>12.33</v>
      </c>
      <c r="C85" s="134">
        <v>26.77</v>
      </c>
      <c r="D85" s="134">
        <v>25.22</v>
      </c>
      <c r="E85" s="134">
        <v>7.01</v>
      </c>
      <c r="F85" s="134">
        <v>2.65</v>
      </c>
      <c r="G85" s="134">
        <v>101.27</v>
      </c>
      <c r="H85" s="134">
        <v>31.51</v>
      </c>
      <c r="I85" s="134">
        <v>5.75</v>
      </c>
      <c r="J85" s="134">
        <v>0.14000000000000001</v>
      </c>
      <c r="K85" s="134">
        <v>96.85</v>
      </c>
      <c r="L85" s="134">
        <v>23.17</v>
      </c>
      <c r="M85" s="134">
        <v>65.02</v>
      </c>
      <c r="N85" s="134">
        <v>0</v>
      </c>
      <c r="O85" s="134">
        <v>0</v>
      </c>
      <c r="P85" s="134">
        <v>0.74</v>
      </c>
      <c r="Q85" s="134">
        <v>4.6399999999999997</v>
      </c>
    </row>
    <row r="86" spans="1:17" customFormat="1">
      <c r="A86" s="112" t="s">
        <v>700</v>
      </c>
      <c r="B86" s="134">
        <v>12.71</v>
      </c>
      <c r="C86" s="134">
        <v>24.97</v>
      </c>
      <c r="D86" s="134">
        <v>24.59</v>
      </c>
      <c r="E86" s="134">
        <v>6.19</v>
      </c>
      <c r="F86" s="134">
        <v>2.97</v>
      </c>
      <c r="G86" s="134">
        <v>101.27</v>
      </c>
      <c r="H86" s="134">
        <v>31.51</v>
      </c>
      <c r="I86" s="134">
        <v>5.85</v>
      </c>
      <c r="J86" s="134">
        <v>0.16</v>
      </c>
      <c r="K86" s="134">
        <v>174.29</v>
      </c>
      <c r="L86" s="134">
        <v>22.6</v>
      </c>
      <c r="M86" s="134">
        <v>70.27</v>
      </c>
      <c r="N86" s="134">
        <v>0</v>
      </c>
      <c r="O86" s="134">
        <v>0</v>
      </c>
      <c r="P86" s="134">
        <v>0.73</v>
      </c>
      <c r="Q86" s="134">
        <v>4.6500000000000004</v>
      </c>
    </row>
    <row r="87" spans="1:17" customFormat="1">
      <c r="A87" s="112" t="s">
        <v>701</v>
      </c>
      <c r="B87" s="134">
        <v>12.69</v>
      </c>
      <c r="C87" s="134">
        <v>23.77</v>
      </c>
      <c r="D87" s="134">
        <v>23.95</v>
      </c>
      <c r="E87" s="134">
        <v>6.25</v>
      </c>
      <c r="F87" s="134">
        <v>2.86</v>
      </c>
      <c r="G87" s="134">
        <v>101.07</v>
      </c>
      <c r="H87" s="134">
        <v>31.54</v>
      </c>
      <c r="I87" s="134">
        <v>5.96</v>
      </c>
      <c r="J87" s="134">
        <v>0.1</v>
      </c>
      <c r="K87" s="134">
        <v>213.49</v>
      </c>
      <c r="L87" s="134">
        <v>22.04</v>
      </c>
      <c r="M87" s="134">
        <v>73.680000000000007</v>
      </c>
      <c r="N87" s="134">
        <v>0</v>
      </c>
      <c r="O87" s="134">
        <v>0</v>
      </c>
      <c r="P87" s="134">
        <v>0.73</v>
      </c>
      <c r="Q87" s="134">
        <v>4.6500000000000004</v>
      </c>
    </row>
    <row r="88" spans="1:17" customFormat="1">
      <c r="A88" s="112" t="s">
        <v>702</v>
      </c>
      <c r="B88" s="134">
        <v>12.67</v>
      </c>
      <c r="C88" s="134">
        <v>23.46</v>
      </c>
      <c r="D88" s="134">
        <v>23.77</v>
      </c>
      <c r="E88" s="134">
        <v>6.2</v>
      </c>
      <c r="F88" s="134">
        <v>2.72</v>
      </c>
      <c r="G88" s="134">
        <v>97.67</v>
      </c>
      <c r="H88" s="134">
        <v>31.98</v>
      </c>
      <c r="I88" s="134">
        <v>6.05</v>
      </c>
      <c r="J88" s="134">
        <v>0.09</v>
      </c>
      <c r="K88" s="134">
        <v>184.97</v>
      </c>
      <c r="L88" s="134">
        <v>21.51</v>
      </c>
      <c r="M88" s="134">
        <v>76.67</v>
      </c>
      <c r="N88" s="134">
        <v>0</v>
      </c>
      <c r="O88" s="134">
        <v>0</v>
      </c>
      <c r="P88" s="134">
        <v>0.72</v>
      </c>
      <c r="Q88" s="134">
        <v>4.6399999999999997</v>
      </c>
    </row>
    <row r="89" spans="1:17" customFormat="1">
      <c r="A89" s="112" t="s">
        <v>703</v>
      </c>
      <c r="B89" s="134">
        <v>12.6</v>
      </c>
      <c r="C89" s="134">
        <v>22.32</v>
      </c>
      <c r="D89" s="134">
        <v>23.12</v>
      </c>
      <c r="E89" s="134">
        <v>6.23</v>
      </c>
      <c r="F89" s="134">
        <v>2.85</v>
      </c>
      <c r="G89" s="134">
        <v>97.67</v>
      </c>
      <c r="H89" s="134">
        <v>31.98</v>
      </c>
      <c r="I89" s="134">
        <v>6.08</v>
      </c>
      <c r="J89" s="134">
        <v>0.18</v>
      </c>
      <c r="K89" s="134">
        <v>199.22</v>
      </c>
      <c r="L89" s="134">
        <v>21.28</v>
      </c>
      <c r="M89" s="134">
        <v>77.22</v>
      </c>
      <c r="N89" s="134">
        <v>0</v>
      </c>
      <c r="O89" s="134">
        <v>0</v>
      </c>
      <c r="P89" s="134">
        <v>0.7</v>
      </c>
      <c r="Q89" s="134">
        <v>4.63</v>
      </c>
    </row>
    <row r="90" spans="1:17" customFormat="1">
      <c r="A90" s="112" t="s">
        <v>704</v>
      </c>
      <c r="B90" s="134">
        <v>12.5</v>
      </c>
      <c r="C90" s="134">
        <v>22.76</v>
      </c>
      <c r="D90" s="134">
        <v>23.27</v>
      </c>
      <c r="E90" s="134">
        <v>6.21</v>
      </c>
      <c r="F90" s="134">
        <v>2.62</v>
      </c>
      <c r="G90" s="134">
        <v>97.67</v>
      </c>
      <c r="H90" s="134">
        <v>31.98</v>
      </c>
      <c r="I90" s="134">
        <v>6.1</v>
      </c>
      <c r="J90" s="134">
        <v>0.24</v>
      </c>
      <c r="K90" s="134">
        <v>222.07</v>
      </c>
      <c r="L90" s="134">
        <v>20.79</v>
      </c>
      <c r="M90" s="134">
        <v>80.22</v>
      </c>
      <c r="N90" s="134">
        <v>0</v>
      </c>
      <c r="O90" s="134">
        <v>0</v>
      </c>
      <c r="P90" s="134">
        <v>0.71</v>
      </c>
      <c r="Q90" s="134">
        <v>4.6100000000000003</v>
      </c>
    </row>
    <row r="91" spans="1:17" customFormat="1">
      <c r="A91" s="112" t="s">
        <v>705</v>
      </c>
      <c r="B91" s="134">
        <v>12.36</v>
      </c>
      <c r="C91" s="134">
        <v>21.7</v>
      </c>
      <c r="D91" s="134">
        <v>22.6</v>
      </c>
      <c r="E91" s="134">
        <v>6.04</v>
      </c>
      <c r="F91" s="134">
        <v>2.67</v>
      </c>
      <c r="G91" s="134">
        <v>97.84</v>
      </c>
      <c r="H91" s="134">
        <v>31.94</v>
      </c>
      <c r="I91" s="134">
        <v>6.05</v>
      </c>
      <c r="J91" s="134">
        <v>0.15</v>
      </c>
      <c r="K91" s="134">
        <v>207.61</v>
      </c>
      <c r="L91" s="134">
        <v>20.48</v>
      </c>
      <c r="M91" s="134">
        <v>82.57</v>
      </c>
      <c r="N91" s="134">
        <v>0</v>
      </c>
      <c r="O91" s="134">
        <v>0</v>
      </c>
      <c r="P91" s="134">
        <v>0.7</v>
      </c>
      <c r="Q91" s="134">
        <v>4.62</v>
      </c>
    </row>
    <row r="92" spans="1:17" customFormat="1">
      <c r="A92" s="112" t="s">
        <v>706</v>
      </c>
      <c r="B92" s="134">
        <v>12.28</v>
      </c>
      <c r="C92" s="134">
        <v>22.48</v>
      </c>
      <c r="D92" s="134">
        <v>22.94</v>
      </c>
      <c r="E92" s="134">
        <v>5.54</v>
      </c>
      <c r="F92" s="134">
        <v>2.35</v>
      </c>
      <c r="G92" s="134">
        <v>100.59</v>
      </c>
      <c r="H92" s="134">
        <v>31.27</v>
      </c>
      <c r="I92" s="134">
        <v>6.09</v>
      </c>
      <c r="J92" s="134">
        <v>0.08</v>
      </c>
      <c r="K92" s="134">
        <v>206.1</v>
      </c>
      <c r="L92" s="134">
        <v>20.39</v>
      </c>
      <c r="M92" s="134">
        <v>82.68</v>
      </c>
      <c r="N92" s="134">
        <v>0</v>
      </c>
      <c r="O92" s="134">
        <v>0</v>
      </c>
      <c r="P92" s="134">
        <v>0.72</v>
      </c>
      <c r="Q92" s="134">
        <v>4.6100000000000003</v>
      </c>
    </row>
    <row r="93" spans="1:17" customFormat="1">
      <c r="A93" s="112" t="s">
        <v>707</v>
      </c>
      <c r="B93" s="134">
        <v>12.36</v>
      </c>
      <c r="C93" s="134">
        <v>21.81</v>
      </c>
      <c r="D93" s="134">
        <v>22.65</v>
      </c>
      <c r="E93" s="134">
        <v>5.76</v>
      </c>
      <c r="F93" s="134">
        <v>2.5299999999999998</v>
      </c>
      <c r="G93" s="134">
        <v>100.59</v>
      </c>
      <c r="H93" s="134">
        <v>31.27</v>
      </c>
      <c r="I93" s="134">
        <v>6.14</v>
      </c>
      <c r="J93" s="134">
        <v>0.09</v>
      </c>
      <c r="K93" s="134">
        <v>197.17</v>
      </c>
      <c r="L93" s="134">
        <v>20.309999999999999</v>
      </c>
      <c r="M93" s="134">
        <v>80.7</v>
      </c>
      <c r="N93" s="134">
        <v>0</v>
      </c>
      <c r="O93" s="134">
        <v>0</v>
      </c>
      <c r="P93" s="134">
        <v>0.71</v>
      </c>
      <c r="Q93" s="134">
        <v>4.5999999999999996</v>
      </c>
    </row>
    <row r="94" spans="1:17" customFormat="1">
      <c r="A94" s="112" t="s">
        <v>708</v>
      </c>
      <c r="B94" s="134">
        <v>12.29</v>
      </c>
      <c r="C94" s="134">
        <v>21.43</v>
      </c>
      <c r="D94" s="134">
        <v>22.4</v>
      </c>
      <c r="E94" s="134">
        <v>6.16</v>
      </c>
      <c r="F94" s="134">
        <v>2.65</v>
      </c>
      <c r="G94" s="134">
        <v>100.59</v>
      </c>
      <c r="H94" s="134">
        <v>31.27</v>
      </c>
      <c r="I94" s="134">
        <v>6.28</v>
      </c>
      <c r="J94" s="134">
        <v>0.14000000000000001</v>
      </c>
      <c r="K94" s="134">
        <v>242.83</v>
      </c>
      <c r="L94" s="134">
        <v>20.239999999999998</v>
      </c>
      <c r="M94" s="134">
        <v>80.13</v>
      </c>
      <c r="N94" s="134">
        <v>0</v>
      </c>
      <c r="O94" s="134">
        <v>0</v>
      </c>
      <c r="P94" s="134">
        <v>0.71</v>
      </c>
      <c r="Q94" s="134">
        <v>4.5999999999999996</v>
      </c>
    </row>
    <row r="95" spans="1:17" customFormat="1">
      <c r="A95" s="112" t="s">
        <v>709</v>
      </c>
      <c r="B95" s="134">
        <v>12.19</v>
      </c>
      <c r="C95" s="134">
        <v>21.1</v>
      </c>
      <c r="D95" s="134">
        <v>22.15</v>
      </c>
      <c r="E95" s="134">
        <v>6.05</v>
      </c>
      <c r="F95" s="134">
        <v>2.56</v>
      </c>
      <c r="G95" s="134">
        <v>99.73</v>
      </c>
      <c r="H95" s="134">
        <v>31.36</v>
      </c>
      <c r="I95" s="134">
        <v>6.29</v>
      </c>
      <c r="J95" s="134">
        <v>0.11</v>
      </c>
      <c r="K95" s="134">
        <v>238.84</v>
      </c>
      <c r="L95" s="134">
        <v>20.14</v>
      </c>
      <c r="M95" s="134">
        <v>81.58</v>
      </c>
      <c r="N95" s="134">
        <v>0</v>
      </c>
      <c r="O95" s="134">
        <v>0</v>
      </c>
      <c r="P95" s="134">
        <v>0.71</v>
      </c>
      <c r="Q95" s="134">
        <v>4.59</v>
      </c>
    </row>
    <row r="96" spans="1:17" customFormat="1">
      <c r="A96" s="112" t="s">
        <v>710</v>
      </c>
      <c r="B96" s="134">
        <v>12.15</v>
      </c>
      <c r="C96" s="134">
        <v>20.76</v>
      </c>
      <c r="D96" s="134">
        <v>21.94</v>
      </c>
      <c r="E96" s="134">
        <v>6.22</v>
      </c>
      <c r="F96" s="134">
        <v>2.61</v>
      </c>
      <c r="G96" s="134">
        <v>85.1</v>
      </c>
      <c r="H96" s="134">
        <v>32.81</v>
      </c>
      <c r="I96" s="134">
        <v>6.3</v>
      </c>
      <c r="J96" s="134">
        <v>0.15</v>
      </c>
      <c r="K96" s="134">
        <v>233.83</v>
      </c>
      <c r="L96" s="134">
        <v>20.09</v>
      </c>
      <c r="M96" s="134">
        <v>82.14</v>
      </c>
      <c r="N96" s="134">
        <v>0</v>
      </c>
      <c r="O96" s="134">
        <v>0</v>
      </c>
      <c r="P96" s="134">
        <v>0.71</v>
      </c>
      <c r="Q96" s="134">
        <v>4.59</v>
      </c>
    </row>
    <row r="97" spans="1:22" customFormat="1">
      <c r="A97" s="112" t="s">
        <v>711</v>
      </c>
      <c r="B97" s="134">
        <v>12.13</v>
      </c>
      <c r="C97" s="134">
        <v>21.15</v>
      </c>
      <c r="D97" s="134">
        <v>22.13</v>
      </c>
      <c r="E97" s="134">
        <v>6.2</v>
      </c>
      <c r="F97" s="134">
        <v>2.54</v>
      </c>
      <c r="G97" s="134">
        <v>85.1</v>
      </c>
      <c r="H97" s="134">
        <v>32.81</v>
      </c>
      <c r="I97" s="134">
        <v>6.3</v>
      </c>
      <c r="J97" s="134">
        <v>0.16</v>
      </c>
      <c r="K97" s="134">
        <v>237.3</v>
      </c>
      <c r="L97" s="134">
        <v>19.78</v>
      </c>
      <c r="M97" s="134">
        <v>83.81</v>
      </c>
      <c r="N97" s="134">
        <v>0</v>
      </c>
      <c r="O97" s="134">
        <v>0</v>
      </c>
      <c r="P97" s="134">
        <v>0.7</v>
      </c>
      <c r="Q97" s="134">
        <v>4.59</v>
      </c>
    </row>
    <row r="98" spans="1:22" customFormat="1">
      <c r="A98" s="112" t="s">
        <v>712</v>
      </c>
      <c r="B98" s="134">
        <v>12.14</v>
      </c>
      <c r="C98" s="134">
        <v>20.41</v>
      </c>
      <c r="D98" s="134">
        <v>21.75</v>
      </c>
      <c r="E98" s="134">
        <v>6.2</v>
      </c>
      <c r="F98" s="134">
        <v>2.76</v>
      </c>
      <c r="G98" s="134">
        <v>85.1</v>
      </c>
      <c r="H98" s="134">
        <v>32.81</v>
      </c>
      <c r="I98" s="134">
        <v>6.28</v>
      </c>
      <c r="J98" s="134">
        <v>0.11</v>
      </c>
      <c r="K98" s="134">
        <v>244.34</v>
      </c>
      <c r="L98" s="134">
        <v>19.71</v>
      </c>
      <c r="M98" s="134">
        <v>83.26</v>
      </c>
      <c r="N98" s="134">
        <v>0</v>
      </c>
      <c r="O98" s="134">
        <v>0</v>
      </c>
      <c r="P98" s="134">
        <v>0.69</v>
      </c>
      <c r="Q98" s="134">
        <v>4.5999999999999996</v>
      </c>
    </row>
    <row r="99" spans="1:22" customFormat="1">
      <c r="A99" s="112" t="s">
        <v>713</v>
      </c>
      <c r="B99" s="134">
        <v>12.09</v>
      </c>
      <c r="C99" s="134">
        <v>21.25</v>
      </c>
      <c r="D99" s="134">
        <v>22.15</v>
      </c>
      <c r="E99" s="134">
        <v>6.57</v>
      </c>
      <c r="F99" s="134">
        <v>2.4900000000000002</v>
      </c>
      <c r="G99" s="134">
        <v>84.97</v>
      </c>
      <c r="H99" s="134">
        <v>32.549999999999997</v>
      </c>
      <c r="I99" s="134">
        <v>6.27</v>
      </c>
      <c r="J99" s="134">
        <v>0.17</v>
      </c>
      <c r="K99" s="134">
        <v>210.78</v>
      </c>
      <c r="L99" s="134">
        <v>19.7</v>
      </c>
      <c r="M99" s="134">
        <v>83.07</v>
      </c>
      <c r="N99" s="134">
        <v>0</v>
      </c>
      <c r="O99" s="134">
        <v>0</v>
      </c>
      <c r="P99" s="134">
        <v>0.71</v>
      </c>
      <c r="Q99" s="134">
        <v>4.5999999999999996</v>
      </c>
    </row>
    <row r="100" spans="1:22" customFormat="1">
      <c r="A100" s="112" t="s">
        <v>714</v>
      </c>
      <c r="B100" s="134">
        <v>12.42</v>
      </c>
      <c r="C100" s="134">
        <v>21.4</v>
      </c>
      <c r="D100" s="134">
        <v>22.5</v>
      </c>
      <c r="E100" s="134">
        <v>5.83</v>
      </c>
      <c r="F100" s="134">
        <v>2.5</v>
      </c>
      <c r="G100" s="134">
        <v>82.81</v>
      </c>
      <c r="H100" s="134">
        <v>28.63</v>
      </c>
      <c r="I100" s="134">
        <v>6.28</v>
      </c>
      <c r="J100" s="134">
        <v>0.13</v>
      </c>
      <c r="K100" s="134">
        <v>209.32</v>
      </c>
      <c r="L100" s="134">
        <v>19.600000000000001</v>
      </c>
      <c r="M100" s="134">
        <v>85.34</v>
      </c>
      <c r="N100" s="134">
        <v>0</v>
      </c>
      <c r="O100" s="134">
        <v>0</v>
      </c>
      <c r="P100" s="134">
        <v>0.7</v>
      </c>
      <c r="Q100" s="134">
        <v>4.6100000000000003</v>
      </c>
    </row>
    <row r="101" spans="1:22" customFormat="1">
      <c r="A101" s="112" t="s">
        <v>715</v>
      </c>
      <c r="B101" s="134">
        <v>12.56</v>
      </c>
      <c r="C101" s="134">
        <v>20.93</v>
      </c>
      <c r="D101" s="134">
        <v>22.36</v>
      </c>
      <c r="E101" s="134">
        <v>6.21</v>
      </c>
      <c r="F101" s="134">
        <v>2.5299999999999998</v>
      </c>
      <c r="G101" s="134">
        <v>82.81</v>
      </c>
      <c r="H101" s="134">
        <v>28.63</v>
      </c>
      <c r="I101" s="134">
        <v>6.35</v>
      </c>
      <c r="J101" s="134">
        <v>0.14000000000000001</v>
      </c>
      <c r="K101" s="134">
        <v>230.75</v>
      </c>
      <c r="L101" s="134">
        <v>19.489999999999998</v>
      </c>
      <c r="M101" s="134">
        <v>84.23</v>
      </c>
      <c r="N101" s="134">
        <v>0</v>
      </c>
      <c r="O101" s="134">
        <v>0</v>
      </c>
      <c r="P101" s="134">
        <v>0.7</v>
      </c>
      <c r="Q101" s="134">
        <v>4.6399999999999997</v>
      </c>
    </row>
    <row r="102" spans="1:22" customFormat="1">
      <c r="A102" s="112" t="s">
        <v>716</v>
      </c>
      <c r="B102" s="134">
        <v>12.47</v>
      </c>
      <c r="C102" s="134">
        <v>21.16</v>
      </c>
      <c r="D102" s="134">
        <v>22.4</v>
      </c>
      <c r="E102" s="134">
        <v>6.11</v>
      </c>
      <c r="F102" s="134">
        <v>2.4300000000000002</v>
      </c>
      <c r="G102" s="134">
        <v>82.81</v>
      </c>
      <c r="H102" s="134">
        <v>28.63</v>
      </c>
      <c r="I102" s="134">
        <v>6.37</v>
      </c>
      <c r="J102" s="134">
        <v>0.16</v>
      </c>
      <c r="K102" s="134">
        <v>228.04</v>
      </c>
      <c r="L102" s="134">
        <v>19.45</v>
      </c>
      <c r="M102" s="134">
        <v>87.62</v>
      </c>
      <c r="N102" s="134">
        <v>0</v>
      </c>
      <c r="O102" s="134">
        <v>0</v>
      </c>
      <c r="P102" s="134">
        <v>0.7</v>
      </c>
      <c r="Q102" s="134">
        <v>4.62</v>
      </c>
    </row>
    <row r="103" spans="1:22" customFormat="1">
      <c r="A103" s="112" t="s">
        <v>717</v>
      </c>
      <c r="B103" s="134">
        <v>12.38</v>
      </c>
      <c r="C103" s="134">
        <v>20.28</v>
      </c>
      <c r="D103" s="134">
        <v>21.88</v>
      </c>
      <c r="E103" s="134">
        <v>5.47</v>
      </c>
      <c r="F103" s="134">
        <v>2.63</v>
      </c>
      <c r="G103" s="134">
        <v>82.44</v>
      </c>
      <c r="H103" s="134">
        <v>28.65</v>
      </c>
      <c r="I103" s="134">
        <v>6.41</v>
      </c>
      <c r="J103" s="134">
        <v>0.09</v>
      </c>
      <c r="K103" s="134">
        <v>229.84</v>
      </c>
      <c r="L103" s="134">
        <v>19.36</v>
      </c>
      <c r="M103" s="134">
        <v>86.57</v>
      </c>
      <c r="N103" s="134">
        <v>0</v>
      </c>
      <c r="O103" s="134">
        <v>0</v>
      </c>
      <c r="P103" s="134">
        <v>0.69</v>
      </c>
      <c r="Q103" s="134">
        <v>4.62</v>
      </c>
    </row>
    <row r="104" spans="1:22" customFormat="1">
      <c r="A104" s="112" t="s">
        <v>718</v>
      </c>
      <c r="B104" s="134">
        <v>12.35</v>
      </c>
      <c r="C104" s="134">
        <v>21.26</v>
      </c>
      <c r="D104" s="134">
        <v>22.37</v>
      </c>
      <c r="E104" s="134">
        <v>6.25</v>
      </c>
      <c r="F104" s="134">
        <v>2.33</v>
      </c>
      <c r="G104" s="134">
        <v>76.069999999999993</v>
      </c>
      <c r="H104" s="134">
        <v>28.94</v>
      </c>
      <c r="I104" s="134">
        <v>6.44</v>
      </c>
      <c r="J104" s="134">
        <v>0.09</v>
      </c>
      <c r="K104" s="134">
        <v>226.55</v>
      </c>
      <c r="L104" s="134">
        <v>19.5</v>
      </c>
      <c r="M104" s="134">
        <v>82.57</v>
      </c>
      <c r="N104" s="134">
        <v>0</v>
      </c>
      <c r="O104" s="134">
        <v>0</v>
      </c>
      <c r="P104" s="134">
        <v>0.7</v>
      </c>
      <c r="Q104" s="134">
        <v>4.62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5.57</v>
      </c>
      <c r="C106" s="183">
        <f>MIN(C9:C104)</f>
        <v>19.95</v>
      </c>
      <c r="D106" s="183">
        <f t="shared" ref="D106:Q106" si="0">MIN(D9:D104)</f>
        <v>16.89</v>
      </c>
      <c r="E106" s="183">
        <f t="shared" si="0"/>
        <v>4.9000000000000004</v>
      </c>
      <c r="F106" s="183">
        <f t="shared" si="0"/>
        <v>2.33</v>
      </c>
      <c r="G106" s="183">
        <f t="shared" si="0"/>
        <v>56.06</v>
      </c>
      <c r="H106" s="183">
        <f t="shared" si="0"/>
        <v>20.85</v>
      </c>
      <c r="I106" s="183">
        <f t="shared" si="0"/>
        <v>5.1100000000000003</v>
      </c>
      <c r="J106" s="183">
        <f t="shared" si="0"/>
        <v>0.06</v>
      </c>
      <c r="K106" s="183">
        <f t="shared" si="0"/>
        <v>22.95</v>
      </c>
      <c r="L106" s="183">
        <f t="shared" si="0"/>
        <v>19.36</v>
      </c>
      <c r="M106" s="183">
        <f t="shared" si="0"/>
        <v>37.97</v>
      </c>
      <c r="N106" s="183">
        <f t="shared" si="0"/>
        <v>0</v>
      </c>
      <c r="O106" s="183">
        <f t="shared" si="0"/>
        <v>0</v>
      </c>
      <c r="P106" s="183">
        <f t="shared" si="0"/>
        <v>0.63</v>
      </c>
      <c r="Q106" s="183">
        <f t="shared" si="0"/>
        <v>4.2699999999999996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29.13</v>
      </c>
      <c r="C107" s="184">
        <f t="shared" ref="C107:Q107" si="1">MAX(C9:C104)</f>
        <v>27.93</v>
      </c>
      <c r="D107" s="184">
        <f t="shared" si="1"/>
        <v>38.57</v>
      </c>
      <c r="E107" s="184">
        <f t="shared" si="1"/>
        <v>9.42</v>
      </c>
      <c r="F107" s="184">
        <f t="shared" si="1"/>
        <v>8.93</v>
      </c>
      <c r="G107" s="184">
        <f t="shared" si="1"/>
        <v>119.69</v>
      </c>
      <c r="H107" s="184">
        <f t="shared" si="1"/>
        <v>46.62</v>
      </c>
      <c r="I107" s="184">
        <f t="shared" si="1"/>
        <v>9.06</v>
      </c>
      <c r="J107" s="184">
        <f t="shared" si="1"/>
        <v>0.94</v>
      </c>
      <c r="K107" s="184">
        <f t="shared" si="1"/>
        <v>244.91</v>
      </c>
      <c r="L107" s="184">
        <f t="shared" si="1"/>
        <v>30.29</v>
      </c>
      <c r="M107" s="184">
        <f t="shared" si="1"/>
        <v>94.82</v>
      </c>
      <c r="N107" s="184">
        <f t="shared" si="1"/>
        <v>551.5</v>
      </c>
      <c r="O107" s="184">
        <f t="shared" si="1"/>
        <v>0</v>
      </c>
      <c r="P107" s="184">
        <f t="shared" si="1"/>
        <v>0.96</v>
      </c>
      <c r="Q107" s="184">
        <f t="shared" si="1"/>
        <v>5.45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17.940833333333323</v>
      </c>
      <c r="C108" s="183">
        <f t="shared" ref="C108:Q108" si="2">AVERAGE(C9:C104)</f>
        <v>23.635208333333338</v>
      </c>
      <c r="D108" s="183">
        <f t="shared" si="2"/>
        <v>28.086875000000003</v>
      </c>
      <c r="E108" s="183">
        <f t="shared" si="2"/>
        <v>6.3740625000000009</v>
      </c>
      <c r="F108" s="183">
        <f t="shared" si="2"/>
        <v>3.5896875000000001</v>
      </c>
      <c r="G108" s="183">
        <f t="shared" si="2"/>
        <v>86.826041666666754</v>
      </c>
      <c r="H108" s="183">
        <f t="shared" si="2"/>
        <v>34.579166666666687</v>
      </c>
      <c r="I108" s="183">
        <f t="shared" si="2"/>
        <v>7.1118749999999986</v>
      </c>
      <c r="J108" s="183">
        <f t="shared" si="2"/>
        <v>0.35520833333333335</v>
      </c>
      <c r="K108" s="183">
        <f t="shared" si="2"/>
        <v>88.746249999999989</v>
      </c>
      <c r="L108" s="183">
        <f t="shared" si="2"/>
        <v>24.11958333333332</v>
      </c>
      <c r="M108" s="183">
        <f t="shared" si="2"/>
        <v>72.629062500000018</v>
      </c>
      <c r="N108" s="183">
        <f t="shared" si="2"/>
        <v>111.41458333333334</v>
      </c>
      <c r="O108" s="183">
        <f t="shared" si="2"/>
        <v>0</v>
      </c>
      <c r="P108" s="183">
        <f t="shared" si="2"/>
        <v>0.75718749999999968</v>
      </c>
      <c r="Q108" s="183">
        <f t="shared" si="2"/>
        <v>4.8855208333333326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8.6273253361711486</v>
      </c>
      <c r="C109" s="183">
        <f t="shared" ref="C109:Q109" si="3">STDEV(C9:C104)</f>
        <v>2.2785322972967648</v>
      </c>
      <c r="D109" s="183">
        <f t="shared" si="3"/>
        <v>7.808068338853726</v>
      </c>
      <c r="E109" s="183">
        <f t="shared" si="3"/>
        <v>0.81060935899774755</v>
      </c>
      <c r="F109" s="183">
        <f t="shared" si="3"/>
        <v>1.685968379003592</v>
      </c>
      <c r="G109" s="183">
        <f t="shared" si="3"/>
        <v>15.707347223456653</v>
      </c>
      <c r="H109" s="183">
        <f t="shared" si="3"/>
        <v>7.2752266981016618</v>
      </c>
      <c r="I109" s="183">
        <f t="shared" si="3"/>
        <v>1.2487360451778164</v>
      </c>
      <c r="J109" s="183">
        <f t="shared" si="3"/>
        <v>0.21249385956040528</v>
      </c>
      <c r="K109" s="183">
        <f t="shared" si="3"/>
        <v>75.056029558976121</v>
      </c>
      <c r="L109" s="183">
        <f t="shared" si="3"/>
        <v>3.6303611293953932</v>
      </c>
      <c r="M109" s="183">
        <f t="shared" si="3"/>
        <v>17.538989293218403</v>
      </c>
      <c r="N109" s="183">
        <f t="shared" si="3"/>
        <v>167.81150451695973</v>
      </c>
      <c r="O109" s="183">
        <f t="shared" si="3"/>
        <v>0</v>
      </c>
      <c r="P109" s="183">
        <f t="shared" si="3"/>
        <v>9.0562024398523441E-2</v>
      </c>
      <c r="Q109" s="183">
        <f t="shared" si="3"/>
        <v>0.41318498416610089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06/11/2023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719</v>
      </c>
      <c r="B9" s="134">
        <v>13.83</v>
      </c>
      <c r="C9" s="134">
        <v>23.44</v>
      </c>
      <c r="D9" s="134">
        <v>24.69</v>
      </c>
      <c r="E9" s="134">
        <v>6.35</v>
      </c>
      <c r="F9" s="134">
        <v>2.54</v>
      </c>
      <c r="G9" s="134">
        <v>76.069999999999993</v>
      </c>
      <c r="H9" s="134">
        <v>28.94</v>
      </c>
      <c r="I9" s="134">
        <v>6.46</v>
      </c>
      <c r="J9" s="134">
        <v>0.17</v>
      </c>
      <c r="K9" s="134">
        <v>17.03</v>
      </c>
      <c r="L9" s="134">
        <v>19.579999999999998</v>
      </c>
      <c r="M9" s="134">
        <v>81.459999999999994</v>
      </c>
      <c r="N9" s="134">
        <v>0</v>
      </c>
      <c r="O9" s="134">
        <v>0</v>
      </c>
      <c r="P9" s="134">
        <v>0.72</v>
      </c>
      <c r="Q9" s="134">
        <v>4.6500000000000004</v>
      </c>
    </row>
    <row r="10" spans="1:21" customFormat="1">
      <c r="A10" s="112" t="s">
        <v>720</v>
      </c>
      <c r="B10" s="134">
        <v>15.04</v>
      </c>
      <c r="C10" s="134">
        <v>23.82</v>
      </c>
      <c r="D10" s="134">
        <v>25.85</v>
      </c>
      <c r="E10" s="134">
        <v>5.93</v>
      </c>
      <c r="F10" s="134">
        <v>2.63</v>
      </c>
      <c r="G10" s="134">
        <v>76.069999999999993</v>
      </c>
      <c r="H10" s="134">
        <v>28.94</v>
      </c>
      <c r="I10" s="134">
        <v>6.45</v>
      </c>
      <c r="J10" s="134">
        <v>0.44</v>
      </c>
      <c r="K10" s="134">
        <v>18.88</v>
      </c>
      <c r="L10" s="134">
        <v>19.86</v>
      </c>
      <c r="M10" s="134">
        <v>78.489999999999995</v>
      </c>
      <c r="N10" s="134">
        <v>0</v>
      </c>
      <c r="O10" s="134">
        <v>0</v>
      </c>
      <c r="P10" s="134">
        <v>0.72</v>
      </c>
      <c r="Q10" s="134">
        <v>4.72</v>
      </c>
    </row>
    <row r="11" spans="1:21" customFormat="1">
      <c r="A11" s="112" t="s">
        <v>721</v>
      </c>
      <c r="B11" s="134">
        <v>15.49</v>
      </c>
      <c r="C11" s="134">
        <v>24.1</v>
      </c>
      <c r="D11" s="134">
        <v>26.36</v>
      </c>
      <c r="E11" s="134">
        <v>5.79</v>
      </c>
      <c r="F11" s="134">
        <v>2.66</v>
      </c>
      <c r="G11" s="134">
        <v>76.180000000000007</v>
      </c>
      <c r="H11" s="134">
        <v>28.8</v>
      </c>
      <c r="I11" s="134">
        <v>6.46</v>
      </c>
      <c r="J11" s="134">
        <v>0.35</v>
      </c>
      <c r="K11" s="134">
        <v>32.880000000000003</v>
      </c>
      <c r="L11" s="134">
        <v>19.96</v>
      </c>
      <c r="M11" s="134">
        <v>78.25</v>
      </c>
      <c r="N11" s="134">
        <v>0</v>
      </c>
      <c r="O11" s="134">
        <v>0</v>
      </c>
      <c r="P11" s="134">
        <v>0.72</v>
      </c>
      <c r="Q11" s="134">
        <v>4.75</v>
      </c>
    </row>
    <row r="12" spans="1:21" customFormat="1">
      <c r="A12" s="112" t="s">
        <v>722</v>
      </c>
      <c r="B12" s="134">
        <v>15.53</v>
      </c>
      <c r="C12" s="134">
        <v>24.48</v>
      </c>
      <c r="D12" s="134">
        <v>26.59</v>
      </c>
      <c r="E12" s="134">
        <v>6.33</v>
      </c>
      <c r="F12" s="134">
        <v>2.66</v>
      </c>
      <c r="G12" s="134">
        <v>77.94</v>
      </c>
      <c r="H12" s="134">
        <v>26.54</v>
      </c>
      <c r="I12" s="134">
        <v>6.5</v>
      </c>
      <c r="J12" s="134">
        <v>0.39</v>
      </c>
      <c r="K12" s="134">
        <v>40.6</v>
      </c>
      <c r="L12" s="134">
        <v>20.18</v>
      </c>
      <c r="M12" s="134">
        <v>77.41</v>
      </c>
      <c r="N12" s="134">
        <v>0</v>
      </c>
      <c r="O12" s="134">
        <v>0</v>
      </c>
      <c r="P12" s="134">
        <v>0.72</v>
      </c>
      <c r="Q12" s="134">
        <v>4.79</v>
      </c>
    </row>
    <row r="13" spans="1:21" customFormat="1">
      <c r="A13" s="112" t="s">
        <v>723</v>
      </c>
      <c r="B13" s="134">
        <v>15.46</v>
      </c>
      <c r="C13" s="134">
        <v>24.55</v>
      </c>
      <c r="D13" s="134">
        <v>26.57</v>
      </c>
      <c r="E13" s="134">
        <v>6.87</v>
      </c>
      <c r="F13" s="134">
        <v>2.66</v>
      </c>
      <c r="G13" s="134">
        <v>77.94</v>
      </c>
      <c r="H13" s="134">
        <v>26.54</v>
      </c>
      <c r="I13" s="134">
        <v>6.56</v>
      </c>
      <c r="J13" s="134">
        <v>0.39</v>
      </c>
      <c r="K13" s="134">
        <v>40.130000000000003</v>
      </c>
      <c r="L13" s="134">
        <v>20.18</v>
      </c>
      <c r="M13" s="134">
        <v>77.83</v>
      </c>
      <c r="N13" s="134">
        <v>0</v>
      </c>
      <c r="O13" s="134">
        <v>0</v>
      </c>
      <c r="P13" s="134">
        <v>0.72</v>
      </c>
      <c r="Q13" s="134">
        <v>4.8</v>
      </c>
    </row>
    <row r="14" spans="1:21" customFormat="1">
      <c r="A14" s="112" t="s">
        <v>724</v>
      </c>
      <c r="B14" s="134">
        <v>15.16</v>
      </c>
      <c r="C14" s="134">
        <v>24.88</v>
      </c>
      <c r="D14" s="134">
        <v>26.51</v>
      </c>
      <c r="E14" s="134">
        <v>6.47</v>
      </c>
      <c r="F14" s="134">
        <v>2.73</v>
      </c>
      <c r="G14" s="134">
        <v>77.94</v>
      </c>
      <c r="H14" s="134">
        <v>26.54</v>
      </c>
      <c r="I14" s="134">
        <v>6.62</v>
      </c>
      <c r="J14" s="134">
        <v>0.06</v>
      </c>
      <c r="K14" s="134">
        <v>110.27</v>
      </c>
      <c r="L14" s="134">
        <v>20.21</v>
      </c>
      <c r="M14" s="134">
        <v>77.930000000000007</v>
      </c>
      <c r="N14" s="134">
        <v>0</v>
      </c>
      <c r="O14" s="134">
        <v>0</v>
      </c>
      <c r="P14" s="134">
        <v>0.72</v>
      </c>
      <c r="Q14" s="134">
        <v>4.7699999999999996</v>
      </c>
    </row>
    <row r="15" spans="1:21" customFormat="1">
      <c r="A15" s="112" t="s">
        <v>725</v>
      </c>
      <c r="B15" s="134">
        <v>15.01</v>
      </c>
      <c r="C15" s="134">
        <v>24.78</v>
      </c>
      <c r="D15" s="134">
        <v>26.33</v>
      </c>
      <c r="E15" s="134">
        <v>6.12</v>
      </c>
      <c r="F15" s="134">
        <v>2.87</v>
      </c>
      <c r="G15" s="134">
        <v>77.959999999999994</v>
      </c>
      <c r="H15" s="134">
        <v>26.67</v>
      </c>
      <c r="I15" s="134">
        <v>6.61</v>
      </c>
      <c r="J15" s="134">
        <v>0.1</v>
      </c>
      <c r="K15" s="134">
        <v>244.56</v>
      </c>
      <c r="L15" s="134">
        <v>19.66</v>
      </c>
      <c r="M15" s="134">
        <v>82.1</v>
      </c>
      <c r="N15" s="134">
        <v>0</v>
      </c>
      <c r="O15" s="134">
        <v>0</v>
      </c>
      <c r="P15" s="134">
        <v>0.72</v>
      </c>
      <c r="Q15" s="134">
        <v>4.7699999999999996</v>
      </c>
    </row>
    <row r="16" spans="1:21" customFormat="1">
      <c r="A16" s="112" t="s">
        <v>726</v>
      </c>
      <c r="B16" s="134">
        <v>15.06</v>
      </c>
      <c r="C16" s="134">
        <v>24.73</v>
      </c>
      <c r="D16" s="134">
        <v>26.35</v>
      </c>
      <c r="E16" s="134">
        <v>6.04</v>
      </c>
      <c r="F16" s="134">
        <v>2.84</v>
      </c>
      <c r="G16" s="134">
        <v>78.290000000000006</v>
      </c>
      <c r="H16" s="134">
        <v>28.67</v>
      </c>
      <c r="I16" s="134">
        <v>6.55</v>
      </c>
      <c r="J16" s="134">
        <v>0.27</v>
      </c>
      <c r="K16" s="134">
        <v>163.16</v>
      </c>
      <c r="L16" s="134">
        <v>19.48</v>
      </c>
      <c r="M16" s="134">
        <v>84.76</v>
      </c>
      <c r="N16" s="134">
        <v>0</v>
      </c>
      <c r="O16" s="134">
        <v>0</v>
      </c>
      <c r="P16" s="134">
        <v>0.72</v>
      </c>
      <c r="Q16" s="134">
        <v>4.7699999999999996</v>
      </c>
    </row>
    <row r="17" spans="1:17" customFormat="1">
      <c r="A17" s="112" t="s">
        <v>727</v>
      </c>
      <c r="B17" s="134">
        <v>15.24</v>
      </c>
      <c r="C17" s="134">
        <v>24.85</v>
      </c>
      <c r="D17" s="134">
        <v>26.56</v>
      </c>
      <c r="E17" s="134">
        <v>3.87</v>
      </c>
      <c r="F17" s="134">
        <v>2.73</v>
      </c>
      <c r="G17" s="134">
        <v>78.290000000000006</v>
      </c>
      <c r="H17" s="134">
        <v>28.67</v>
      </c>
      <c r="I17" s="134">
        <v>6.52</v>
      </c>
      <c r="J17" s="134">
        <v>0.19</v>
      </c>
      <c r="K17" s="134">
        <v>201.04</v>
      </c>
      <c r="L17" s="134">
        <v>19.18</v>
      </c>
      <c r="M17" s="134">
        <v>87.33</v>
      </c>
      <c r="N17" s="134">
        <v>0</v>
      </c>
      <c r="O17" s="134">
        <v>0</v>
      </c>
      <c r="P17" s="134">
        <v>0.72</v>
      </c>
      <c r="Q17" s="134">
        <v>4.7699999999999996</v>
      </c>
    </row>
    <row r="18" spans="1:17" customFormat="1">
      <c r="A18" s="112" t="s">
        <v>728</v>
      </c>
      <c r="B18" s="134">
        <v>14.97</v>
      </c>
      <c r="C18" s="134">
        <v>24.53</v>
      </c>
      <c r="D18" s="134">
        <v>26.17</v>
      </c>
      <c r="E18" s="134">
        <v>4.74</v>
      </c>
      <c r="F18" s="134">
        <v>2.65</v>
      </c>
      <c r="G18" s="134">
        <v>78.290000000000006</v>
      </c>
      <c r="H18" s="134">
        <v>28.67</v>
      </c>
      <c r="I18" s="134">
        <v>6.51</v>
      </c>
      <c r="J18" s="134">
        <v>0.11</v>
      </c>
      <c r="K18" s="134">
        <v>251.14</v>
      </c>
      <c r="L18" s="134">
        <v>18.79</v>
      </c>
      <c r="M18" s="134">
        <v>89.31</v>
      </c>
      <c r="N18" s="134">
        <v>0</v>
      </c>
      <c r="O18" s="134">
        <v>0</v>
      </c>
      <c r="P18" s="134">
        <v>0.72</v>
      </c>
      <c r="Q18" s="134">
        <v>4.8</v>
      </c>
    </row>
    <row r="19" spans="1:17" customFormat="1">
      <c r="A19" s="112" t="s">
        <v>729</v>
      </c>
      <c r="B19" s="134">
        <v>15.06</v>
      </c>
      <c r="C19" s="134">
        <v>24.41</v>
      </c>
      <c r="D19" s="134">
        <v>26.18</v>
      </c>
      <c r="E19" s="134">
        <v>5.62</v>
      </c>
      <c r="F19" s="134">
        <v>2.65</v>
      </c>
      <c r="G19" s="134">
        <v>78.19</v>
      </c>
      <c r="H19" s="134">
        <v>28.7</v>
      </c>
      <c r="I19" s="134">
        <v>6.49</v>
      </c>
      <c r="J19" s="134">
        <v>0.01</v>
      </c>
      <c r="K19" s="134">
        <v>118.93</v>
      </c>
      <c r="L19" s="134">
        <v>18.760000000000002</v>
      </c>
      <c r="M19" s="134">
        <v>88.77</v>
      </c>
      <c r="N19" s="134">
        <v>0</v>
      </c>
      <c r="O19" s="134">
        <v>0</v>
      </c>
      <c r="P19" s="134">
        <v>0.71</v>
      </c>
      <c r="Q19" s="134">
        <v>4.7699999999999996</v>
      </c>
    </row>
    <row r="20" spans="1:17" customFormat="1">
      <c r="A20" s="112" t="s">
        <v>730</v>
      </c>
      <c r="B20" s="134">
        <v>16.329999999999998</v>
      </c>
      <c r="C20" s="134">
        <v>24.99</v>
      </c>
      <c r="D20" s="134">
        <v>27.51</v>
      </c>
      <c r="E20" s="134">
        <v>5.23</v>
      </c>
      <c r="F20" s="134">
        <v>2.5299999999999998</v>
      </c>
      <c r="G20" s="134">
        <v>75.930000000000007</v>
      </c>
      <c r="H20" s="134">
        <v>29.05</v>
      </c>
      <c r="I20" s="134">
        <v>6.45</v>
      </c>
      <c r="J20" s="134">
        <v>0.16</v>
      </c>
      <c r="K20" s="134">
        <v>68.75</v>
      </c>
      <c r="L20" s="134">
        <v>18.78</v>
      </c>
      <c r="M20" s="134">
        <v>86.99</v>
      </c>
      <c r="N20" s="134">
        <v>0</v>
      </c>
      <c r="O20" s="134">
        <v>0</v>
      </c>
      <c r="P20" s="134">
        <v>0.7</v>
      </c>
      <c r="Q20" s="134">
        <v>4.8099999999999996</v>
      </c>
    </row>
    <row r="21" spans="1:17" customFormat="1">
      <c r="A21" s="112" t="s">
        <v>731</v>
      </c>
      <c r="B21" s="134">
        <v>17.670000000000002</v>
      </c>
      <c r="C21" s="134">
        <v>25.3</v>
      </c>
      <c r="D21" s="134">
        <v>28.74</v>
      </c>
      <c r="E21" s="134">
        <v>5.4</v>
      </c>
      <c r="F21" s="134">
        <v>2.69</v>
      </c>
      <c r="G21" s="134">
        <v>75.930000000000007</v>
      </c>
      <c r="H21" s="134">
        <v>29.05</v>
      </c>
      <c r="I21" s="134">
        <v>6.46</v>
      </c>
      <c r="J21" s="134">
        <v>0.08</v>
      </c>
      <c r="K21" s="134">
        <v>53.52</v>
      </c>
      <c r="L21" s="134">
        <v>19.14</v>
      </c>
      <c r="M21" s="134">
        <v>82.38</v>
      </c>
      <c r="N21" s="134">
        <v>0</v>
      </c>
      <c r="O21" s="134">
        <v>0</v>
      </c>
      <c r="P21" s="134">
        <v>0.7</v>
      </c>
      <c r="Q21" s="134">
        <v>4.88</v>
      </c>
    </row>
    <row r="22" spans="1:17" customFormat="1">
      <c r="A22" s="112" t="s">
        <v>732</v>
      </c>
      <c r="B22" s="134">
        <v>18.12</v>
      </c>
      <c r="C22" s="134">
        <v>25.94</v>
      </c>
      <c r="D22" s="134">
        <v>29.44</v>
      </c>
      <c r="E22" s="134">
        <v>5.16</v>
      </c>
      <c r="F22" s="134">
        <v>2.77</v>
      </c>
      <c r="G22" s="134">
        <v>75.930000000000007</v>
      </c>
      <c r="H22" s="134">
        <v>29.05</v>
      </c>
      <c r="I22" s="134">
        <v>6.48</v>
      </c>
      <c r="J22" s="134">
        <v>0.17</v>
      </c>
      <c r="K22" s="134">
        <v>222.91</v>
      </c>
      <c r="L22" s="134">
        <v>19.260000000000002</v>
      </c>
      <c r="M22" s="134">
        <v>83.64</v>
      </c>
      <c r="N22" s="134">
        <v>0</v>
      </c>
      <c r="O22" s="134">
        <v>0</v>
      </c>
      <c r="P22" s="134">
        <v>0.71</v>
      </c>
      <c r="Q22" s="134">
        <v>4.91</v>
      </c>
    </row>
    <row r="23" spans="1:17" customFormat="1">
      <c r="A23" s="112" t="s">
        <v>733</v>
      </c>
      <c r="B23" s="134">
        <v>18.3</v>
      </c>
      <c r="C23" s="134">
        <v>25.71</v>
      </c>
      <c r="D23" s="134">
        <v>29.46</v>
      </c>
      <c r="E23" s="134">
        <v>5.35</v>
      </c>
      <c r="F23" s="134">
        <v>2.64</v>
      </c>
      <c r="G23" s="134">
        <v>76.06</v>
      </c>
      <c r="H23" s="134">
        <v>29.2</v>
      </c>
      <c r="I23" s="134">
        <v>6.49</v>
      </c>
      <c r="J23" s="134">
        <v>0.13</v>
      </c>
      <c r="K23" s="134">
        <v>85.62</v>
      </c>
      <c r="L23" s="134">
        <v>19.05</v>
      </c>
      <c r="M23" s="134">
        <v>86.38</v>
      </c>
      <c r="N23" s="134">
        <v>0</v>
      </c>
      <c r="O23" s="134">
        <v>0</v>
      </c>
      <c r="P23" s="134">
        <v>0.7</v>
      </c>
      <c r="Q23" s="134">
        <v>4.9400000000000004</v>
      </c>
    </row>
    <row r="24" spans="1:17" customFormat="1">
      <c r="A24" s="112" t="s">
        <v>734</v>
      </c>
      <c r="B24" s="134">
        <v>18.61</v>
      </c>
      <c r="C24" s="134">
        <v>25.76</v>
      </c>
      <c r="D24" s="134">
        <v>29.73</v>
      </c>
      <c r="E24" s="134">
        <v>5.39</v>
      </c>
      <c r="F24" s="134">
        <v>2.63</v>
      </c>
      <c r="G24" s="134">
        <v>78.900000000000006</v>
      </c>
      <c r="H24" s="134">
        <v>31.58</v>
      </c>
      <c r="I24" s="134">
        <v>6.48</v>
      </c>
      <c r="J24" s="134">
        <v>0.21</v>
      </c>
      <c r="K24" s="134">
        <v>45.87</v>
      </c>
      <c r="L24" s="134">
        <v>19.02</v>
      </c>
      <c r="M24" s="134">
        <v>85.14</v>
      </c>
      <c r="N24" s="134">
        <v>0</v>
      </c>
      <c r="O24" s="134">
        <v>0</v>
      </c>
      <c r="P24" s="134">
        <v>0.7</v>
      </c>
      <c r="Q24" s="134">
        <v>4.92</v>
      </c>
    </row>
    <row r="25" spans="1:17" customFormat="1">
      <c r="A25" s="112" t="s">
        <v>735</v>
      </c>
      <c r="B25" s="134">
        <v>19.13</v>
      </c>
      <c r="C25" s="134">
        <v>25.82</v>
      </c>
      <c r="D25" s="134">
        <v>30.19</v>
      </c>
      <c r="E25" s="134">
        <v>5.66</v>
      </c>
      <c r="F25" s="134">
        <v>2.52</v>
      </c>
      <c r="G25" s="134">
        <v>78.900000000000006</v>
      </c>
      <c r="H25" s="134">
        <v>31.58</v>
      </c>
      <c r="I25" s="134">
        <v>6.47</v>
      </c>
      <c r="J25" s="134">
        <v>0.16</v>
      </c>
      <c r="K25" s="134">
        <v>35.46</v>
      </c>
      <c r="L25" s="134">
        <v>19.29</v>
      </c>
      <c r="M25" s="134">
        <v>82.57</v>
      </c>
      <c r="N25" s="134">
        <v>0</v>
      </c>
      <c r="O25" s="134">
        <v>0</v>
      </c>
      <c r="P25" s="134">
        <v>0.7</v>
      </c>
      <c r="Q25" s="134">
        <v>4.95</v>
      </c>
    </row>
    <row r="26" spans="1:17" customFormat="1">
      <c r="A26" s="112" t="s">
        <v>736</v>
      </c>
      <c r="B26" s="134">
        <v>19.510000000000002</v>
      </c>
      <c r="C26" s="134">
        <v>25.94</v>
      </c>
      <c r="D26" s="134">
        <v>30.55</v>
      </c>
      <c r="E26" s="134">
        <v>5.62</v>
      </c>
      <c r="F26" s="134">
        <v>2.5499999999999998</v>
      </c>
      <c r="G26" s="134">
        <v>78.900000000000006</v>
      </c>
      <c r="H26" s="134">
        <v>31.58</v>
      </c>
      <c r="I26" s="134">
        <v>6.48</v>
      </c>
      <c r="J26" s="134">
        <v>0.28000000000000003</v>
      </c>
      <c r="K26" s="134">
        <v>39.75</v>
      </c>
      <c r="L26" s="134">
        <v>19.37</v>
      </c>
      <c r="M26" s="134">
        <v>82.47</v>
      </c>
      <c r="N26" s="134">
        <v>0</v>
      </c>
      <c r="O26" s="134">
        <v>0</v>
      </c>
      <c r="P26" s="134">
        <v>0.7</v>
      </c>
      <c r="Q26" s="134">
        <v>4.97</v>
      </c>
    </row>
    <row r="27" spans="1:17" customFormat="1">
      <c r="A27" s="112" t="s">
        <v>737</v>
      </c>
      <c r="B27" s="134">
        <v>19.899999999999999</v>
      </c>
      <c r="C27" s="134">
        <v>26.14</v>
      </c>
      <c r="D27" s="134">
        <v>30.97</v>
      </c>
      <c r="E27" s="134">
        <v>5.86</v>
      </c>
      <c r="F27" s="134">
        <v>2.59</v>
      </c>
      <c r="G27" s="134">
        <v>79.06</v>
      </c>
      <c r="H27" s="134">
        <v>31.58</v>
      </c>
      <c r="I27" s="134">
        <v>6.53</v>
      </c>
      <c r="J27" s="134">
        <v>0.22</v>
      </c>
      <c r="K27" s="134">
        <v>41.25</v>
      </c>
      <c r="L27" s="134">
        <v>19.350000000000001</v>
      </c>
      <c r="M27" s="134">
        <v>82.64</v>
      </c>
      <c r="N27" s="134">
        <v>0</v>
      </c>
      <c r="O27" s="134">
        <v>0</v>
      </c>
      <c r="P27" s="134">
        <v>0.69</v>
      </c>
      <c r="Q27" s="134">
        <v>4.9800000000000004</v>
      </c>
    </row>
    <row r="28" spans="1:17" customFormat="1">
      <c r="A28" s="112" t="s">
        <v>738</v>
      </c>
      <c r="B28" s="134">
        <v>20.23</v>
      </c>
      <c r="C28" s="134">
        <v>26.23</v>
      </c>
      <c r="D28" s="134">
        <v>31.28</v>
      </c>
      <c r="E28" s="134">
        <v>6.16</v>
      </c>
      <c r="F28" s="134">
        <v>2.57</v>
      </c>
      <c r="G28" s="134">
        <v>82.59</v>
      </c>
      <c r="H28" s="134">
        <v>31.61</v>
      </c>
      <c r="I28" s="134">
        <v>6.52</v>
      </c>
      <c r="J28" s="134">
        <v>0.13</v>
      </c>
      <c r="K28" s="134">
        <v>47.79</v>
      </c>
      <c r="L28" s="134">
        <v>19.239999999999998</v>
      </c>
      <c r="M28" s="134">
        <v>84.48</v>
      </c>
      <c r="N28" s="134">
        <v>0</v>
      </c>
      <c r="O28" s="134">
        <v>0</v>
      </c>
      <c r="P28" s="134">
        <v>0.68</v>
      </c>
      <c r="Q28" s="134">
        <v>4.9800000000000004</v>
      </c>
    </row>
    <row r="29" spans="1:17" customFormat="1">
      <c r="A29" s="112" t="s">
        <v>739</v>
      </c>
      <c r="B29" s="134">
        <v>20.77</v>
      </c>
      <c r="C29" s="134">
        <v>25.5</v>
      </c>
      <c r="D29" s="134">
        <v>31.33</v>
      </c>
      <c r="E29" s="134">
        <v>5.93</v>
      </c>
      <c r="F29" s="134">
        <v>2.66</v>
      </c>
      <c r="G29" s="134">
        <v>82.59</v>
      </c>
      <c r="H29" s="134">
        <v>31.61</v>
      </c>
      <c r="I29" s="134">
        <v>6.49</v>
      </c>
      <c r="J29" s="134">
        <v>0.05</v>
      </c>
      <c r="K29" s="134">
        <v>95.65</v>
      </c>
      <c r="L29" s="134">
        <v>18.97</v>
      </c>
      <c r="M29" s="134">
        <v>86.79</v>
      </c>
      <c r="N29" s="134">
        <v>0</v>
      </c>
      <c r="O29" s="134">
        <v>0</v>
      </c>
      <c r="P29" s="134">
        <v>0.68</v>
      </c>
      <c r="Q29" s="134">
        <v>4.99</v>
      </c>
    </row>
    <row r="30" spans="1:17" customFormat="1">
      <c r="A30" s="112" t="s">
        <v>740</v>
      </c>
      <c r="B30" s="134">
        <v>21.37</v>
      </c>
      <c r="C30" s="134">
        <v>23.72</v>
      </c>
      <c r="D30" s="134">
        <v>30.88</v>
      </c>
      <c r="E30" s="134">
        <v>4.88</v>
      </c>
      <c r="F30" s="134">
        <v>2.84</v>
      </c>
      <c r="G30" s="134">
        <v>82.59</v>
      </c>
      <c r="H30" s="134">
        <v>31.61</v>
      </c>
      <c r="I30" s="134">
        <v>6.5</v>
      </c>
      <c r="J30" s="134">
        <v>0.08</v>
      </c>
      <c r="K30" s="134">
        <v>124.07</v>
      </c>
      <c r="L30" s="134">
        <v>18.760000000000002</v>
      </c>
      <c r="M30" s="134">
        <v>88.88</v>
      </c>
      <c r="N30" s="134">
        <v>0</v>
      </c>
      <c r="O30" s="134">
        <v>0</v>
      </c>
      <c r="P30" s="134">
        <v>0.66</v>
      </c>
      <c r="Q30" s="134">
        <v>5.01</v>
      </c>
    </row>
    <row r="31" spans="1:17" customFormat="1">
      <c r="A31" s="112" t="s">
        <v>741</v>
      </c>
      <c r="B31" s="134">
        <v>21.95</v>
      </c>
      <c r="C31" s="134">
        <v>23.81</v>
      </c>
      <c r="D31" s="134">
        <v>31.39</v>
      </c>
      <c r="E31" s="134">
        <v>4.83</v>
      </c>
      <c r="F31" s="134">
        <v>2.72</v>
      </c>
      <c r="G31" s="134">
        <v>82.44</v>
      </c>
      <c r="H31" s="134">
        <v>31.68</v>
      </c>
      <c r="I31" s="134">
        <v>6.49</v>
      </c>
      <c r="J31" s="134">
        <v>0.12</v>
      </c>
      <c r="K31" s="134">
        <v>107.19</v>
      </c>
      <c r="L31" s="134">
        <v>18.75</v>
      </c>
      <c r="M31" s="134">
        <v>89.22</v>
      </c>
      <c r="N31" s="134">
        <v>0</v>
      </c>
      <c r="O31" s="134">
        <v>0</v>
      </c>
      <c r="P31" s="134">
        <v>0.66</v>
      </c>
      <c r="Q31" s="134">
        <v>5.03</v>
      </c>
    </row>
    <row r="32" spans="1:17" customFormat="1">
      <c r="A32" s="112" t="s">
        <v>742</v>
      </c>
      <c r="B32" s="134">
        <v>23.22</v>
      </c>
      <c r="C32" s="134">
        <v>23.96</v>
      </c>
      <c r="D32" s="134">
        <v>32.49</v>
      </c>
      <c r="E32" s="134">
        <v>4.97</v>
      </c>
      <c r="F32" s="134">
        <v>2.58</v>
      </c>
      <c r="G32" s="134">
        <v>79.069999999999993</v>
      </c>
      <c r="H32" s="134">
        <v>32.659999999999997</v>
      </c>
      <c r="I32" s="134">
        <v>6.46</v>
      </c>
      <c r="J32" s="134">
        <v>0.21</v>
      </c>
      <c r="K32" s="134">
        <v>37.56</v>
      </c>
      <c r="L32" s="134">
        <v>18.739999999999998</v>
      </c>
      <c r="M32" s="134">
        <v>87.99</v>
      </c>
      <c r="N32" s="134">
        <v>0</v>
      </c>
      <c r="O32" s="134">
        <v>0</v>
      </c>
      <c r="P32" s="134">
        <v>0.66</v>
      </c>
      <c r="Q32" s="134">
        <v>5.08</v>
      </c>
    </row>
    <row r="33" spans="1:17" customFormat="1">
      <c r="A33" s="112" t="s">
        <v>743</v>
      </c>
      <c r="B33" s="134">
        <v>24.49</v>
      </c>
      <c r="C33" s="134">
        <v>25.09</v>
      </c>
      <c r="D33" s="134">
        <v>34.1</v>
      </c>
      <c r="E33" s="134">
        <v>5.39</v>
      </c>
      <c r="F33" s="134">
        <v>2.31</v>
      </c>
      <c r="G33" s="134">
        <v>79.069999999999993</v>
      </c>
      <c r="H33" s="134">
        <v>32.659999999999997</v>
      </c>
      <c r="I33" s="134">
        <v>6.48</v>
      </c>
      <c r="J33" s="134">
        <v>0.24</v>
      </c>
      <c r="K33" s="134">
        <v>37.68</v>
      </c>
      <c r="L33" s="134">
        <v>18.79</v>
      </c>
      <c r="M33" s="134">
        <v>87.51</v>
      </c>
      <c r="N33" s="134">
        <v>0</v>
      </c>
      <c r="O33" s="134">
        <v>0</v>
      </c>
      <c r="P33" s="134">
        <v>0.67</v>
      </c>
      <c r="Q33" s="134">
        <v>5.1100000000000003</v>
      </c>
    </row>
    <row r="34" spans="1:17" customFormat="1">
      <c r="A34" s="112" t="s">
        <v>744</v>
      </c>
      <c r="B34" s="134">
        <v>25.35</v>
      </c>
      <c r="C34" s="134">
        <v>24.6</v>
      </c>
      <c r="D34" s="134">
        <v>34.53</v>
      </c>
      <c r="E34" s="134">
        <v>5.39</v>
      </c>
      <c r="F34" s="134">
        <v>2.42</v>
      </c>
      <c r="G34" s="134">
        <v>79.069999999999993</v>
      </c>
      <c r="H34" s="134">
        <v>32.659999999999997</v>
      </c>
      <c r="I34" s="134">
        <v>6.44</v>
      </c>
      <c r="J34" s="134">
        <v>0.11</v>
      </c>
      <c r="K34" s="134">
        <v>52.96</v>
      </c>
      <c r="L34" s="134">
        <v>18.809999999999999</v>
      </c>
      <c r="M34" s="134">
        <v>87.89</v>
      </c>
      <c r="N34" s="134">
        <v>2.2000000000000002</v>
      </c>
      <c r="O34" s="134">
        <v>0</v>
      </c>
      <c r="P34" s="134">
        <v>0.68</v>
      </c>
      <c r="Q34" s="134">
        <v>5.14</v>
      </c>
    </row>
    <row r="35" spans="1:17" customFormat="1">
      <c r="A35" s="112" t="s">
        <v>745</v>
      </c>
      <c r="B35" s="134">
        <v>26.45</v>
      </c>
      <c r="C35" s="134">
        <v>25.06</v>
      </c>
      <c r="D35" s="134">
        <v>35.65</v>
      </c>
      <c r="E35" s="134">
        <v>5.47</v>
      </c>
      <c r="F35" s="134">
        <v>2.4300000000000002</v>
      </c>
      <c r="G35" s="134">
        <v>79.47</v>
      </c>
      <c r="H35" s="134">
        <v>32.869999999999997</v>
      </c>
      <c r="I35" s="134">
        <v>6.51</v>
      </c>
      <c r="J35" s="134">
        <v>0.21</v>
      </c>
      <c r="K35" s="134">
        <v>44.68</v>
      </c>
      <c r="L35" s="134">
        <v>19.010000000000002</v>
      </c>
      <c r="M35" s="134">
        <v>86.22</v>
      </c>
      <c r="N35" s="134">
        <v>13.9</v>
      </c>
      <c r="O35" s="134">
        <v>0</v>
      </c>
      <c r="P35" s="134">
        <v>0.7</v>
      </c>
      <c r="Q35" s="134">
        <v>5.19</v>
      </c>
    </row>
    <row r="36" spans="1:17" customFormat="1">
      <c r="A36" s="112" t="s">
        <v>746</v>
      </c>
      <c r="B36" s="134">
        <v>27.65</v>
      </c>
      <c r="C36" s="134">
        <v>25.01</v>
      </c>
      <c r="D36" s="134">
        <v>36.590000000000003</v>
      </c>
      <c r="E36" s="134">
        <v>5.96</v>
      </c>
      <c r="F36" s="134">
        <v>2.5299999999999998</v>
      </c>
      <c r="G36" s="134">
        <v>88.06</v>
      </c>
      <c r="H36" s="134">
        <v>36.08</v>
      </c>
      <c r="I36" s="134">
        <v>6.58</v>
      </c>
      <c r="J36" s="134">
        <v>0.21</v>
      </c>
      <c r="K36" s="134">
        <v>50.25</v>
      </c>
      <c r="L36" s="134">
        <v>19.34</v>
      </c>
      <c r="M36" s="134">
        <v>83.85</v>
      </c>
      <c r="N36" s="134">
        <v>29</v>
      </c>
      <c r="O36" s="134">
        <v>0</v>
      </c>
      <c r="P36" s="134">
        <v>0.72</v>
      </c>
      <c r="Q36" s="134">
        <v>5.24</v>
      </c>
    </row>
    <row r="37" spans="1:17" customFormat="1">
      <c r="A37" s="112" t="s">
        <v>747</v>
      </c>
      <c r="B37" s="134">
        <v>28.8</v>
      </c>
      <c r="C37" s="134">
        <v>25.76</v>
      </c>
      <c r="D37" s="134">
        <v>37.9</v>
      </c>
      <c r="E37" s="134">
        <v>6.24</v>
      </c>
      <c r="F37" s="134">
        <v>2.5499999999999998</v>
      </c>
      <c r="G37" s="134">
        <v>88.06</v>
      </c>
      <c r="H37" s="134">
        <v>36.08</v>
      </c>
      <c r="I37" s="134">
        <v>6.78</v>
      </c>
      <c r="J37" s="134">
        <v>0.28000000000000003</v>
      </c>
      <c r="K37" s="134">
        <v>49.06</v>
      </c>
      <c r="L37" s="134">
        <v>19.8</v>
      </c>
      <c r="M37" s="134">
        <v>81.05</v>
      </c>
      <c r="N37" s="134">
        <v>40.1</v>
      </c>
      <c r="O37" s="134">
        <v>0</v>
      </c>
      <c r="P37" s="134">
        <v>0.75</v>
      </c>
      <c r="Q37" s="134">
        <v>5.29</v>
      </c>
    </row>
    <row r="38" spans="1:17" customFormat="1">
      <c r="A38" s="112" t="s">
        <v>748</v>
      </c>
      <c r="B38" s="134">
        <v>29.72</v>
      </c>
      <c r="C38" s="134">
        <v>25.34</v>
      </c>
      <c r="D38" s="134">
        <v>38.42</v>
      </c>
      <c r="E38" s="134">
        <v>5.88</v>
      </c>
      <c r="F38" s="134">
        <v>2.79</v>
      </c>
      <c r="G38" s="134">
        <v>88.06</v>
      </c>
      <c r="H38" s="134">
        <v>36.08</v>
      </c>
      <c r="I38" s="134">
        <v>7.09</v>
      </c>
      <c r="J38" s="134">
        <v>0.3</v>
      </c>
      <c r="K38" s="134">
        <v>38.68</v>
      </c>
      <c r="L38" s="134">
        <v>20.04</v>
      </c>
      <c r="M38" s="134">
        <v>80.87</v>
      </c>
      <c r="N38" s="134">
        <v>39.4</v>
      </c>
      <c r="O38" s="134">
        <v>0</v>
      </c>
      <c r="P38" s="134">
        <v>0.77</v>
      </c>
      <c r="Q38" s="134">
        <v>5.34</v>
      </c>
    </row>
    <row r="39" spans="1:17" customFormat="1">
      <c r="A39" s="112" t="s">
        <v>749</v>
      </c>
      <c r="B39" s="134">
        <v>30.49</v>
      </c>
      <c r="C39" s="134">
        <v>26.09</v>
      </c>
      <c r="D39" s="134">
        <v>39.43</v>
      </c>
      <c r="E39" s="134">
        <v>5.83</v>
      </c>
      <c r="F39" s="134">
        <v>2.61</v>
      </c>
      <c r="G39" s="134">
        <v>88.3</v>
      </c>
      <c r="H39" s="134">
        <v>36.15</v>
      </c>
      <c r="I39" s="134">
        <v>7.48</v>
      </c>
      <c r="J39" s="134">
        <v>0.45</v>
      </c>
      <c r="K39" s="134">
        <v>45.3</v>
      </c>
      <c r="L39" s="134">
        <v>20.46</v>
      </c>
      <c r="M39" s="134">
        <v>78.92</v>
      </c>
      <c r="N39" s="134">
        <v>114.9</v>
      </c>
      <c r="O39" s="134">
        <v>0</v>
      </c>
      <c r="P39" s="134">
        <v>0.79</v>
      </c>
      <c r="Q39" s="134">
        <v>5.37</v>
      </c>
    </row>
    <row r="40" spans="1:17" customFormat="1">
      <c r="A40" s="112" t="s">
        <v>750</v>
      </c>
      <c r="B40" s="134">
        <v>30.73</v>
      </c>
      <c r="C40" s="134">
        <v>25.88</v>
      </c>
      <c r="D40" s="134">
        <v>39.520000000000003</v>
      </c>
      <c r="E40" s="134">
        <v>5.49</v>
      </c>
      <c r="F40" s="134">
        <v>2.5099999999999998</v>
      </c>
      <c r="G40" s="134">
        <v>93.59</v>
      </c>
      <c r="H40" s="134">
        <v>37.270000000000003</v>
      </c>
      <c r="I40" s="134">
        <v>7.67</v>
      </c>
      <c r="J40" s="134">
        <v>0.59</v>
      </c>
      <c r="K40" s="134">
        <v>43.46</v>
      </c>
      <c r="L40" s="134">
        <v>21.16</v>
      </c>
      <c r="M40" s="134">
        <v>76.67</v>
      </c>
      <c r="N40" s="134">
        <v>152.30000000000001</v>
      </c>
      <c r="O40" s="134">
        <v>0</v>
      </c>
      <c r="P40" s="134">
        <v>0.81</v>
      </c>
      <c r="Q40" s="134">
        <v>5.38</v>
      </c>
    </row>
    <row r="41" spans="1:17" customFormat="1">
      <c r="A41" s="112" t="s">
        <v>751</v>
      </c>
      <c r="B41" s="134">
        <v>30.5</v>
      </c>
      <c r="C41" s="134">
        <v>26.45</v>
      </c>
      <c r="D41" s="134">
        <v>39.630000000000003</v>
      </c>
      <c r="E41" s="134">
        <v>5.45</v>
      </c>
      <c r="F41" s="134">
        <v>2.42</v>
      </c>
      <c r="G41" s="134">
        <v>93.59</v>
      </c>
      <c r="H41" s="134">
        <v>37.270000000000003</v>
      </c>
      <c r="I41" s="134">
        <v>7.88</v>
      </c>
      <c r="J41" s="134">
        <v>0.51</v>
      </c>
      <c r="K41" s="134">
        <v>41.38</v>
      </c>
      <c r="L41" s="134">
        <v>22</v>
      </c>
      <c r="M41" s="134">
        <v>75.290000000000006</v>
      </c>
      <c r="N41" s="134">
        <v>210.4</v>
      </c>
      <c r="O41" s="134">
        <v>0</v>
      </c>
      <c r="P41" s="134">
        <v>0.81</v>
      </c>
      <c r="Q41" s="134">
        <v>5.39</v>
      </c>
    </row>
    <row r="42" spans="1:17" customFormat="1">
      <c r="A42" s="112" t="s">
        <v>752</v>
      </c>
      <c r="B42" s="134">
        <v>30.47</v>
      </c>
      <c r="C42" s="134">
        <v>25.03</v>
      </c>
      <c r="D42" s="134">
        <v>38.86</v>
      </c>
      <c r="E42" s="134">
        <v>5.42</v>
      </c>
      <c r="F42" s="134">
        <v>2.84</v>
      </c>
      <c r="G42" s="134">
        <v>93.59</v>
      </c>
      <c r="H42" s="134">
        <v>37.270000000000003</v>
      </c>
      <c r="I42" s="134">
        <v>7.98</v>
      </c>
      <c r="J42" s="134">
        <v>0.56000000000000005</v>
      </c>
      <c r="K42" s="134">
        <v>36.729999999999997</v>
      </c>
      <c r="L42" s="134">
        <v>23.06</v>
      </c>
      <c r="M42" s="134">
        <v>68.98</v>
      </c>
      <c r="N42" s="134">
        <v>225.7</v>
      </c>
      <c r="O42" s="134">
        <v>0</v>
      </c>
      <c r="P42" s="134">
        <v>0.8</v>
      </c>
      <c r="Q42" s="134">
        <v>5.38</v>
      </c>
    </row>
    <row r="43" spans="1:17" customFormat="1">
      <c r="A43" s="112" t="s">
        <v>753</v>
      </c>
      <c r="B43" s="134">
        <v>29.96</v>
      </c>
      <c r="C43" s="134">
        <v>25.69</v>
      </c>
      <c r="D43" s="134">
        <v>38.799999999999997</v>
      </c>
      <c r="E43" s="134">
        <v>5.16</v>
      </c>
      <c r="F43" s="134">
        <v>2.52</v>
      </c>
      <c r="G43" s="134">
        <v>93.63</v>
      </c>
      <c r="H43" s="134">
        <v>37.340000000000003</v>
      </c>
      <c r="I43" s="134">
        <v>8.0500000000000007</v>
      </c>
      <c r="J43" s="134">
        <v>0.62</v>
      </c>
      <c r="K43" s="134">
        <v>40.78</v>
      </c>
      <c r="L43" s="134">
        <v>23.66</v>
      </c>
      <c r="M43" s="134">
        <v>67.31</v>
      </c>
      <c r="N43" s="134">
        <v>278.3</v>
      </c>
      <c r="O43" s="134">
        <v>0</v>
      </c>
      <c r="P43" s="134">
        <v>0.82</v>
      </c>
      <c r="Q43" s="134">
        <v>5.35</v>
      </c>
    </row>
    <row r="44" spans="1:17" customFormat="1">
      <c r="A44" s="112" t="s">
        <v>754</v>
      </c>
      <c r="B44" s="134">
        <v>29.38</v>
      </c>
      <c r="C44" s="134">
        <v>24.79</v>
      </c>
      <c r="D44" s="134">
        <v>37.869999999999997</v>
      </c>
      <c r="E44" s="134">
        <v>5.17</v>
      </c>
      <c r="F44" s="134">
        <v>2.85</v>
      </c>
      <c r="G44" s="134">
        <v>94.65</v>
      </c>
      <c r="H44" s="134">
        <v>38.44</v>
      </c>
      <c r="I44" s="134">
        <v>8.07</v>
      </c>
      <c r="J44" s="134">
        <v>0.68</v>
      </c>
      <c r="K44" s="134">
        <v>36.44</v>
      </c>
      <c r="L44" s="134">
        <v>24.66</v>
      </c>
      <c r="M44" s="134">
        <v>63.52</v>
      </c>
      <c r="N44" s="134">
        <v>368.8</v>
      </c>
      <c r="O44" s="134">
        <v>0</v>
      </c>
      <c r="P44" s="134">
        <v>0.81</v>
      </c>
      <c r="Q44" s="134">
        <v>5.33</v>
      </c>
    </row>
    <row r="45" spans="1:17" customFormat="1">
      <c r="A45" s="112" t="s">
        <v>755</v>
      </c>
      <c r="B45" s="134">
        <v>28.57</v>
      </c>
      <c r="C45" s="134">
        <v>25.74</v>
      </c>
      <c r="D45" s="134">
        <v>37.71</v>
      </c>
      <c r="E45" s="134">
        <v>5.23</v>
      </c>
      <c r="F45" s="134">
        <v>2.71</v>
      </c>
      <c r="G45" s="134">
        <v>94.65</v>
      </c>
      <c r="H45" s="134">
        <v>38.44</v>
      </c>
      <c r="I45" s="134">
        <v>8.06</v>
      </c>
      <c r="J45" s="134">
        <v>0.59</v>
      </c>
      <c r="K45" s="134">
        <v>31.42</v>
      </c>
      <c r="L45" s="134">
        <v>25.84</v>
      </c>
      <c r="M45" s="134">
        <v>61.39</v>
      </c>
      <c r="N45" s="134">
        <v>334.9</v>
      </c>
      <c r="O45" s="134">
        <v>0</v>
      </c>
      <c r="P45" s="134">
        <v>0.82</v>
      </c>
      <c r="Q45" s="134">
        <v>5.32</v>
      </c>
    </row>
    <row r="46" spans="1:17" customFormat="1">
      <c r="A46" s="112" t="s">
        <v>756</v>
      </c>
      <c r="B46" s="134">
        <v>27.83</v>
      </c>
      <c r="C46" s="134">
        <v>26.41</v>
      </c>
      <c r="D46" s="134">
        <v>37.47</v>
      </c>
      <c r="E46" s="134">
        <v>5.56</v>
      </c>
      <c r="F46" s="134">
        <v>2.59</v>
      </c>
      <c r="G46" s="134">
        <v>94.65</v>
      </c>
      <c r="H46" s="134">
        <v>38.44</v>
      </c>
      <c r="I46" s="134">
        <v>8.0299999999999994</v>
      </c>
      <c r="J46" s="134">
        <v>0.56000000000000005</v>
      </c>
      <c r="K46" s="134">
        <v>36.090000000000003</v>
      </c>
      <c r="L46" s="134">
        <v>26.44</v>
      </c>
      <c r="M46" s="134">
        <v>59.96</v>
      </c>
      <c r="N46" s="134">
        <v>249.1</v>
      </c>
      <c r="O46" s="134">
        <v>0</v>
      </c>
      <c r="P46" s="134">
        <v>0.84</v>
      </c>
      <c r="Q46" s="134">
        <v>5.29</v>
      </c>
    </row>
    <row r="47" spans="1:17" customFormat="1">
      <c r="A47" s="112" t="s">
        <v>757</v>
      </c>
      <c r="B47" s="134">
        <v>27.11</v>
      </c>
      <c r="C47" s="134">
        <v>25.36</v>
      </c>
      <c r="D47" s="134">
        <v>36.340000000000003</v>
      </c>
      <c r="E47" s="134">
        <v>5.5</v>
      </c>
      <c r="F47" s="134">
        <v>2.93</v>
      </c>
      <c r="G47" s="134">
        <v>94.81</v>
      </c>
      <c r="H47" s="134">
        <v>38.450000000000003</v>
      </c>
      <c r="I47" s="134">
        <v>8</v>
      </c>
      <c r="J47" s="134">
        <v>0.32</v>
      </c>
      <c r="K47" s="134">
        <v>63.15</v>
      </c>
      <c r="L47" s="134">
        <v>26.91</v>
      </c>
      <c r="M47" s="134">
        <v>57.11</v>
      </c>
      <c r="N47" s="134">
        <v>355.6</v>
      </c>
      <c r="O47" s="134">
        <v>0</v>
      </c>
      <c r="P47" s="134">
        <v>0.84</v>
      </c>
      <c r="Q47" s="134">
        <v>5.27</v>
      </c>
    </row>
    <row r="48" spans="1:17" customFormat="1">
      <c r="A48" s="112" t="s">
        <v>758</v>
      </c>
      <c r="B48" s="134">
        <v>25.61</v>
      </c>
      <c r="C48" s="134">
        <v>25.74</v>
      </c>
      <c r="D48" s="134">
        <v>35.340000000000003</v>
      </c>
      <c r="E48" s="134">
        <v>6.04</v>
      </c>
      <c r="F48" s="134">
        <v>3.47</v>
      </c>
      <c r="G48" s="134">
        <v>97.5</v>
      </c>
      <c r="H48" s="134">
        <v>38.65</v>
      </c>
      <c r="I48" s="134">
        <v>8.0399999999999991</v>
      </c>
      <c r="J48" s="134">
        <v>0.32</v>
      </c>
      <c r="K48" s="134">
        <v>82.32</v>
      </c>
      <c r="L48" s="134">
        <v>28.04</v>
      </c>
      <c r="M48" s="134">
        <v>53.35</v>
      </c>
      <c r="N48" s="134">
        <v>495.8</v>
      </c>
      <c r="O48" s="134">
        <v>0</v>
      </c>
      <c r="P48" s="134">
        <v>0.84</v>
      </c>
      <c r="Q48" s="134">
        <v>5.2</v>
      </c>
    </row>
    <row r="49" spans="1:17" customFormat="1">
      <c r="A49" s="112" t="s">
        <v>759</v>
      </c>
      <c r="B49" s="134">
        <v>23.81</v>
      </c>
      <c r="C49" s="134">
        <v>26.54</v>
      </c>
      <c r="D49" s="134">
        <v>34.31</v>
      </c>
      <c r="E49" s="134">
        <v>6.04</v>
      </c>
      <c r="F49" s="134">
        <v>3.12</v>
      </c>
      <c r="G49" s="134">
        <v>97.5</v>
      </c>
      <c r="H49" s="134">
        <v>38.65</v>
      </c>
      <c r="I49" s="134">
        <v>8.0399999999999991</v>
      </c>
      <c r="J49" s="134">
        <v>0.34</v>
      </c>
      <c r="K49" s="134">
        <v>55.89</v>
      </c>
      <c r="L49" s="134">
        <v>28.2</v>
      </c>
      <c r="M49" s="134">
        <v>55.66</v>
      </c>
      <c r="N49" s="134">
        <v>382.3</v>
      </c>
      <c r="O49" s="134">
        <v>0</v>
      </c>
      <c r="P49" s="134">
        <v>0.85</v>
      </c>
      <c r="Q49" s="134">
        <v>5.15</v>
      </c>
    </row>
    <row r="50" spans="1:17" customFormat="1">
      <c r="A50" s="112" t="s">
        <v>760</v>
      </c>
      <c r="B50" s="134">
        <v>22.09</v>
      </c>
      <c r="C50" s="134">
        <v>27.19</v>
      </c>
      <c r="D50" s="134">
        <v>33.270000000000003</v>
      </c>
      <c r="E50" s="134">
        <v>7.01</v>
      </c>
      <c r="F50" s="134">
        <v>3.27</v>
      </c>
      <c r="G50" s="134">
        <v>97.5</v>
      </c>
      <c r="H50" s="134">
        <v>38.65</v>
      </c>
      <c r="I50" s="134">
        <v>7.89</v>
      </c>
      <c r="J50" s="134">
        <v>0.48</v>
      </c>
      <c r="K50" s="134">
        <v>57.74</v>
      </c>
      <c r="L50" s="134">
        <v>28.29</v>
      </c>
      <c r="M50" s="134">
        <v>56.31</v>
      </c>
      <c r="N50" s="134">
        <v>541.1</v>
      </c>
      <c r="O50" s="134">
        <v>0</v>
      </c>
      <c r="P50" s="134">
        <v>0.84</v>
      </c>
      <c r="Q50" s="134">
        <v>5.0999999999999996</v>
      </c>
    </row>
    <row r="51" spans="1:17" customFormat="1">
      <c r="A51" s="112" t="s">
        <v>761</v>
      </c>
      <c r="B51" s="134">
        <v>20.21</v>
      </c>
      <c r="C51" s="134">
        <v>27.49</v>
      </c>
      <c r="D51" s="134">
        <v>31.92</v>
      </c>
      <c r="E51" s="134">
        <v>7</v>
      </c>
      <c r="F51" s="134">
        <v>3.39</v>
      </c>
      <c r="G51" s="134">
        <v>97.01</v>
      </c>
      <c r="H51" s="134">
        <v>38.56</v>
      </c>
      <c r="I51" s="134">
        <v>7.83</v>
      </c>
      <c r="J51" s="134">
        <v>0.35</v>
      </c>
      <c r="K51" s="134">
        <v>55.81</v>
      </c>
      <c r="L51" s="134">
        <v>29.03</v>
      </c>
      <c r="M51" s="134">
        <v>55.28</v>
      </c>
      <c r="N51" s="134">
        <v>578.4</v>
      </c>
      <c r="O51" s="134">
        <v>0</v>
      </c>
      <c r="P51" s="134">
        <v>0.84</v>
      </c>
      <c r="Q51" s="134">
        <v>5</v>
      </c>
    </row>
    <row r="52" spans="1:17" customFormat="1">
      <c r="A52" s="112" t="s">
        <v>762</v>
      </c>
      <c r="B52" s="134">
        <v>18.34</v>
      </c>
      <c r="C52" s="134">
        <v>27.66</v>
      </c>
      <c r="D52" s="134">
        <v>30.51</v>
      </c>
      <c r="E52" s="134">
        <v>7.67</v>
      </c>
      <c r="F52" s="134">
        <v>4.08</v>
      </c>
      <c r="G52" s="134">
        <v>86.47</v>
      </c>
      <c r="H52" s="134">
        <v>37.11</v>
      </c>
      <c r="I52" s="134">
        <v>7.77</v>
      </c>
      <c r="J52" s="134">
        <v>0.36</v>
      </c>
      <c r="K52" s="134">
        <v>91.44</v>
      </c>
      <c r="L52" s="134">
        <v>29.59</v>
      </c>
      <c r="M52" s="134">
        <v>49.3</v>
      </c>
      <c r="N52" s="134">
        <v>560.70000000000005</v>
      </c>
      <c r="O52" s="134">
        <v>0</v>
      </c>
      <c r="P52" s="134">
        <v>0.82</v>
      </c>
      <c r="Q52" s="134">
        <v>4.93</v>
      </c>
    </row>
    <row r="53" spans="1:17" customFormat="1">
      <c r="A53" s="112" t="s">
        <v>763</v>
      </c>
      <c r="B53" s="134">
        <v>16.760000000000002</v>
      </c>
      <c r="C53" s="134">
        <v>27.92</v>
      </c>
      <c r="D53" s="134">
        <v>29.38</v>
      </c>
      <c r="E53" s="134">
        <v>8.08</v>
      </c>
      <c r="F53" s="134">
        <v>4.33</v>
      </c>
      <c r="G53" s="134">
        <v>86.47</v>
      </c>
      <c r="H53" s="134">
        <v>37.11</v>
      </c>
      <c r="I53" s="134">
        <v>7.6</v>
      </c>
      <c r="J53" s="134">
        <v>0.5</v>
      </c>
      <c r="K53" s="134">
        <v>53.3</v>
      </c>
      <c r="L53" s="134">
        <v>29.71</v>
      </c>
      <c r="M53" s="134">
        <v>46.84</v>
      </c>
      <c r="N53" s="134">
        <v>631</v>
      </c>
      <c r="O53" s="134">
        <v>0</v>
      </c>
      <c r="P53" s="134">
        <v>0.8</v>
      </c>
      <c r="Q53" s="134">
        <v>4.8600000000000003</v>
      </c>
    </row>
    <row r="54" spans="1:17" customFormat="1">
      <c r="A54" s="112" t="s">
        <v>764</v>
      </c>
      <c r="B54" s="134">
        <v>15.47</v>
      </c>
      <c r="C54" s="134">
        <v>27.85</v>
      </c>
      <c r="D54" s="134">
        <v>28.31</v>
      </c>
      <c r="E54" s="134">
        <v>7.74</v>
      </c>
      <c r="F54" s="134">
        <v>4.12</v>
      </c>
      <c r="G54" s="134">
        <v>86.47</v>
      </c>
      <c r="H54" s="134">
        <v>37.11</v>
      </c>
      <c r="I54" s="134">
        <v>7.39</v>
      </c>
      <c r="J54" s="134">
        <v>0.49</v>
      </c>
      <c r="K54" s="134">
        <v>44.27</v>
      </c>
      <c r="L54" s="134">
        <v>29.9</v>
      </c>
      <c r="M54" s="134">
        <v>43.86</v>
      </c>
      <c r="N54" s="134">
        <v>598.29999999999995</v>
      </c>
      <c r="O54" s="134">
        <v>0</v>
      </c>
      <c r="P54" s="134">
        <v>0.79</v>
      </c>
      <c r="Q54" s="134">
        <v>4.83</v>
      </c>
    </row>
    <row r="55" spans="1:17" customFormat="1">
      <c r="A55" s="112" t="s">
        <v>765</v>
      </c>
      <c r="B55" s="134">
        <v>14.23</v>
      </c>
      <c r="C55" s="134">
        <v>27.9</v>
      </c>
      <c r="D55" s="134">
        <v>27.34</v>
      </c>
      <c r="E55" s="134">
        <v>8.31</v>
      </c>
      <c r="F55" s="134">
        <v>3.79</v>
      </c>
      <c r="G55" s="134">
        <v>85.88</v>
      </c>
      <c r="H55" s="134">
        <v>36.659999999999997</v>
      </c>
      <c r="I55" s="134">
        <v>7.21</v>
      </c>
      <c r="J55" s="134">
        <v>0.43</v>
      </c>
      <c r="K55" s="134">
        <v>43.25</v>
      </c>
      <c r="L55" s="134">
        <v>30.12</v>
      </c>
      <c r="M55" s="134">
        <v>41.52</v>
      </c>
      <c r="N55" s="134">
        <v>639.20000000000005</v>
      </c>
      <c r="O55" s="134">
        <v>0</v>
      </c>
      <c r="P55" s="134">
        <v>0.78</v>
      </c>
      <c r="Q55" s="134">
        <v>4.78</v>
      </c>
    </row>
    <row r="56" spans="1:17" customFormat="1">
      <c r="A56" s="112" t="s">
        <v>766</v>
      </c>
      <c r="B56" s="134">
        <v>13.14</v>
      </c>
      <c r="C56" s="134">
        <v>28.05</v>
      </c>
      <c r="D56" s="134">
        <v>26.55</v>
      </c>
      <c r="E56" s="134">
        <v>8.17</v>
      </c>
      <c r="F56" s="134">
        <v>4.26</v>
      </c>
      <c r="G56" s="134">
        <v>73.31</v>
      </c>
      <c r="H56" s="134">
        <v>29.56</v>
      </c>
      <c r="I56" s="134">
        <v>7.13</v>
      </c>
      <c r="J56" s="134">
        <v>0.31</v>
      </c>
      <c r="K56" s="134">
        <v>69.599999999999994</v>
      </c>
      <c r="L56" s="134">
        <v>30.78</v>
      </c>
      <c r="M56" s="134">
        <v>38.67</v>
      </c>
      <c r="N56" s="134">
        <v>661.1</v>
      </c>
      <c r="O56" s="134">
        <v>0</v>
      </c>
      <c r="P56" s="134">
        <v>0.77</v>
      </c>
      <c r="Q56" s="134">
        <v>4.71</v>
      </c>
    </row>
    <row r="57" spans="1:17" customFormat="1">
      <c r="A57" s="112" t="s">
        <v>767</v>
      </c>
      <c r="B57" s="134">
        <v>12.23</v>
      </c>
      <c r="C57" s="134">
        <v>27.81</v>
      </c>
      <c r="D57" s="134">
        <v>25.69</v>
      </c>
      <c r="E57" s="134">
        <v>8.6</v>
      </c>
      <c r="F57" s="134">
        <v>4.26</v>
      </c>
      <c r="G57" s="134">
        <v>73.31</v>
      </c>
      <c r="H57" s="134">
        <v>29.56</v>
      </c>
      <c r="I57" s="134">
        <v>6.99</v>
      </c>
      <c r="J57" s="134">
        <v>0.59</v>
      </c>
      <c r="K57" s="134">
        <v>43.01</v>
      </c>
      <c r="L57" s="134">
        <v>30.9</v>
      </c>
      <c r="M57" s="134">
        <v>35.42</v>
      </c>
      <c r="N57" s="134">
        <v>666.7</v>
      </c>
      <c r="O57" s="134">
        <v>0</v>
      </c>
      <c r="P57" s="134">
        <v>0.75</v>
      </c>
      <c r="Q57" s="134">
        <v>4.66</v>
      </c>
    </row>
    <row r="58" spans="1:17" customFormat="1">
      <c r="A58" s="112" t="s">
        <v>768</v>
      </c>
      <c r="B58" s="134">
        <v>11.48</v>
      </c>
      <c r="C58" s="134">
        <v>27.61</v>
      </c>
      <c r="D58" s="134">
        <v>24.98</v>
      </c>
      <c r="E58" s="134">
        <v>7.53</v>
      </c>
      <c r="F58" s="134">
        <v>3.84</v>
      </c>
      <c r="G58" s="134">
        <v>73.31</v>
      </c>
      <c r="H58" s="134">
        <v>29.56</v>
      </c>
      <c r="I58" s="134">
        <v>6.89</v>
      </c>
      <c r="J58" s="134">
        <v>0.46</v>
      </c>
      <c r="K58" s="134">
        <v>53.11</v>
      </c>
      <c r="L58" s="134">
        <v>30.99</v>
      </c>
      <c r="M58" s="134">
        <v>33.950000000000003</v>
      </c>
      <c r="N58" s="134">
        <v>583.4</v>
      </c>
      <c r="O58" s="134">
        <v>0</v>
      </c>
      <c r="P58" s="134">
        <v>0.74</v>
      </c>
      <c r="Q58" s="134">
        <v>4.62</v>
      </c>
    </row>
    <row r="59" spans="1:17" customFormat="1">
      <c r="A59" s="112" t="s">
        <v>769</v>
      </c>
      <c r="B59" s="134">
        <v>10.73</v>
      </c>
      <c r="C59" s="134">
        <v>27.34</v>
      </c>
      <c r="D59" s="134">
        <v>24.24</v>
      </c>
      <c r="E59" s="134">
        <v>7.71</v>
      </c>
      <c r="F59" s="134">
        <v>4.3099999999999996</v>
      </c>
      <c r="G59" s="134">
        <v>72.81</v>
      </c>
      <c r="H59" s="134">
        <v>29.34</v>
      </c>
      <c r="I59" s="134">
        <v>6.71</v>
      </c>
      <c r="J59" s="134">
        <v>0.38</v>
      </c>
      <c r="K59" s="134">
        <v>98.74</v>
      </c>
      <c r="L59" s="134">
        <v>31.2</v>
      </c>
      <c r="M59" s="134">
        <v>33.11</v>
      </c>
      <c r="N59" s="134">
        <v>610.6</v>
      </c>
      <c r="O59" s="134">
        <v>0</v>
      </c>
      <c r="P59" s="134">
        <v>0.72</v>
      </c>
      <c r="Q59" s="134">
        <v>4.59</v>
      </c>
    </row>
    <row r="60" spans="1:17" customFormat="1">
      <c r="A60" s="112" t="s">
        <v>770</v>
      </c>
      <c r="B60" s="134">
        <v>9.83</v>
      </c>
      <c r="C60" s="134">
        <v>26.52</v>
      </c>
      <c r="D60" s="134">
        <v>23.09</v>
      </c>
      <c r="E60" s="134">
        <v>7.85</v>
      </c>
      <c r="F60" s="134">
        <v>7.06</v>
      </c>
      <c r="G60" s="134">
        <v>62</v>
      </c>
      <c r="H60" s="134">
        <v>25.89</v>
      </c>
      <c r="I60" s="134">
        <v>6.59</v>
      </c>
      <c r="J60" s="134">
        <v>0.25</v>
      </c>
      <c r="K60" s="134">
        <v>65.41</v>
      </c>
      <c r="L60" s="134">
        <v>31.54</v>
      </c>
      <c r="M60" s="134">
        <v>31.21</v>
      </c>
      <c r="N60" s="134">
        <v>599.5</v>
      </c>
      <c r="O60" s="134">
        <v>0</v>
      </c>
      <c r="P60" s="134">
        <v>0.71</v>
      </c>
      <c r="Q60" s="134">
        <v>4.54</v>
      </c>
    </row>
    <row r="61" spans="1:17" customFormat="1">
      <c r="A61" s="112" t="s">
        <v>771</v>
      </c>
      <c r="B61" s="134">
        <v>9.1300000000000008</v>
      </c>
      <c r="C61" s="134">
        <v>26.7</v>
      </c>
      <c r="D61" s="134">
        <v>22.62</v>
      </c>
      <c r="E61" s="134">
        <v>7.5</v>
      </c>
      <c r="F61" s="134">
        <v>5.48</v>
      </c>
      <c r="G61" s="134">
        <v>62</v>
      </c>
      <c r="H61" s="134">
        <v>25.89</v>
      </c>
      <c r="I61" s="134">
        <v>6.35</v>
      </c>
      <c r="J61" s="134">
        <v>0.44</v>
      </c>
      <c r="K61" s="134">
        <v>51.28</v>
      </c>
      <c r="L61" s="134">
        <v>31.47</v>
      </c>
      <c r="M61" s="134">
        <v>31.17</v>
      </c>
      <c r="N61" s="134">
        <v>588.20000000000005</v>
      </c>
      <c r="O61" s="134">
        <v>0</v>
      </c>
      <c r="P61" s="134">
        <v>0.7</v>
      </c>
      <c r="Q61" s="134">
        <v>4.51</v>
      </c>
    </row>
    <row r="62" spans="1:17" customFormat="1">
      <c r="A62" s="112" t="s">
        <v>772</v>
      </c>
      <c r="B62" s="134">
        <v>8.35</v>
      </c>
      <c r="C62" s="134">
        <v>26.21</v>
      </c>
      <c r="D62" s="134">
        <v>21.74</v>
      </c>
      <c r="E62" s="134">
        <v>7.64</v>
      </c>
      <c r="F62" s="134">
        <v>5.65</v>
      </c>
      <c r="G62" s="134">
        <v>62</v>
      </c>
      <c r="H62" s="134">
        <v>25.89</v>
      </c>
      <c r="I62" s="134">
        <v>6.11</v>
      </c>
      <c r="J62" s="134">
        <v>0.26</v>
      </c>
      <c r="K62" s="134">
        <v>113.1</v>
      </c>
      <c r="L62" s="134">
        <v>31.7</v>
      </c>
      <c r="M62" s="134">
        <v>32.29</v>
      </c>
      <c r="N62" s="134">
        <v>508.3</v>
      </c>
      <c r="O62" s="134">
        <v>0</v>
      </c>
      <c r="P62" s="134">
        <v>0.67</v>
      </c>
      <c r="Q62" s="134">
        <v>4.47</v>
      </c>
    </row>
    <row r="63" spans="1:17" customFormat="1">
      <c r="A63" s="112" t="s">
        <v>773</v>
      </c>
      <c r="B63" s="134">
        <v>7.62</v>
      </c>
      <c r="C63" s="134">
        <v>25.43</v>
      </c>
      <c r="D63" s="134">
        <v>20.74</v>
      </c>
      <c r="E63" s="134">
        <v>7</v>
      </c>
      <c r="F63" s="134">
        <v>4.71</v>
      </c>
      <c r="G63" s="134">
        <v>61.58</v>
      </c>
      <c r="H63" s="134">
        <v>25.74</v>
      </c>
      <c r="I63" s="134">
        <v>5.96</v>
      </c>
      <c r="J63" s="134">
        <v>0.24</v>
      </c>
      <c r="K63" s="134">
        <v>108.24</v>
      </c>
      <c r="L63" s="134">
        <v>31.72</v>
      </c>
      <c r="M63" s="134">
        <v>32.130000000000003</v>
      </c>
      <c r="N63" s="134">
        <v>460.7</v>
      </c>
      <c r="O63" s="134">
        <v>0</v>
      </c>
      <c r="P63" s="134">
        <v>0.66</v>
      </c>
      <c r="Q63" s="134">
        <v>4.43</v>
      </c>
    </row>
    <row r="64" spans="1:17" customFormat="1">
      <c r="A64" s="112" t="s">
        <v>774</v>
      </c>
      <c r="B64" s="134">
        <v>7.04</v>
      </c>
      <c r="C64" s="134">
        <v>24.77</v>
      </c>
      <c r="D64" s="134">
        <v>19.940000000000001</v>
      </c>
      <c r="E64" s="134">
        <v>6.59</v>
      </c>
      <c r="F64" s="134">
        <v>4.55</v>
      </c>
      <c r="G64" s="134">
        <v>52.65</v>
      </c>
      <c r="H64" s="134">
        <v>23.35</v>
      </c>
      <c r="I64" s="134">
        <v>5.85</v>
      </c>
      <c r="J64" s="134">
        <v>0.26</v>
      </c>
      <c r="K64" s="134">
        <v>133.72999999999999</v>
      </c>
      <c r="L64" s="134">
        <v>31.31</v>
      </c>
      <c r="M64" s="134">
        <v>31.82</v>
      </c>
      <c r="N64" s="134">
        <v>459</v>
      </c>
      <c r="O64" s="134">
        <v>0</v>
      </c>
      <c r="P64" s="134">
        <v>0.65</v>
      </c>
      <c r="Q64" s="134">
        <v>4.37</v>
      </c>
    </row>
    <row r="65" spans="1:17" customFormat="1">
      <c r="A65" s="112" t="s">
        <v>775</v>
      </c>
      <c r="B65" s="134">
        <v>6.55</v>
      </c>
      <c r="C65" s="134">
        <v>24.22</v>
      </c>
      <c r="D65" s="134">
        <v>19.260000000000002</v>
      </c>
      <c r="E65" s="134">
        <v>6.66</v>
      </c>
      <c r="F65" s="134">
        <v>4.9000000000000004</v>
      </c>
      <c r="G65" s="134">
        <v>52.65</v>
      </c>
      <c r="H65" s="134">
        <v>23.35</v>
      </c>
      <c r="I65" s="134">
        <v>5.69</v>
      </c>
      <c r="J65" s="134">
        <v>0.32</v>
      </c>
      <c r="K65" s="134">
        <v>136.84</v>
      </c>
      <c r="L65" s="134">
        <v>31.2</v>
      </c>
      <c r="M65" s="134">
        <v>30.26</v>
      </c>
      <c r="N65" s="134">
        <v>414.2</v>
      </c>
      <c r="O65" s="134">
        <v>0</v>
      </c>
      <c r="P65" s="134">
        <v>0.62</v>
      </c>
      <c r="Q65" s="134">
        <v>4.3499999999999996</v>
      </c>
    </row>
    <row r="66" spans="1:17" customFormat="1">
      <c r="A66" s="112" t="s">
        <v>776</v>
      </c>
      <c r="B66" s="134">
        <v>6.3</v>
      </c>
      <c r="C66" s="134">
        <v>23.4</v>
      </c>
      <c r="D66" s="134">
        <v>18.62</v>
      </c>
      <c r="E66" s="134">
        <v>6.85</v>
      </c>
      <c r="F66" s="134">
        <v>5.37</v>
      </c>
      <c r="G66" s="134">
        <v>52.65</v>
      </c>
      <c r="H66" s="134">
        <v>23.35</v>
      </c>
      <c r="I66" s="134">
        <v>5.55</v>
      </c>
      <c r="J66" s="134">
        <v>0.24</v>
      </c>
      <c r="K66" s="134">
        <v>81.48</v>
      </c>
      <c r="L66" s="134">
        <v>30.86</v>
      </c>
      <c r="M66" s="134">
        <v>30.23</v>
      </c>
      <c r="N66" s="134">
        <v>218.1</v>
      </c>
      <c r="O66" s="134">
        <v>0</v>
      </c>
      <c r="P66" s="134">
        <v>0.63</v>
      </c>
      <c r="Q66" s="134">
        <v>4.3</v>
      </c>
    </row>
    <row r="67" spans="1:17" customFormat="1">
      <c r="A67" s="112" t="s">
        <v>777</v>
      </c>
      <c r="B67" s="134">
        <v>6.03</v>
      </c>
      <c r="C67" s="134">
        <v>22.94</v>
      </c>
      <c r="D67" s="134">
        <v>18.170000000000002</v>
      </c>
      <c r="E67" s="134">
        <v>6.04</v>
      </c>
      <c r="F67" s="134">
        <v>5.21</v>
      </c>
      <c r="G67" s="134">
        <v>52.44</v>
      </c>
      <c r="H67" s="134">
        <v>23.21</v>
      </c>
      <c r="I67" s="134">
        <v>5.37</v>
      </c>
      <c r="J67" s="134">
        <v>0.31</v>
      </c>
      <c r="K67" s="134">
        <v>60.75</v>
      </c>
      <c r="L67" s="134">
        <v>30.39</v>
      </c>
      <c r="M67" s="134">
        <v>30.85</v>
      </c>
      <c r="N67" s="134">
        <v>131.5</v>
      </c>
      <c r="O67" s="134">
        <v>0</v>
      </c>
      <c r="P67" s="134">
        <v>0.61</v>
      </c>
      <c r="Q67" s="134">
        <v>4.29</v>
      </c>
    </row>
    <row r="68" spans="1:17" customFormat="1">
      <c r="A68" s="112" t="s">
        <v>778</v>
      </c>
      <c r="B68" s="134">
        <v>5.95</v>
      </c>
      <c r="C68" s="134">
        <v>23.14</v>
      </c>
      <c r="D68" s="134">
        <v>18.21</v>
      </c>
      <c r="E68" s="134">
        <v>6.84</v>
      </c>
      <c r="F68" s="134">
        <v>5.23</v>
      </c>
      <c r="G68" s="134">
        <v>48.76</v>
      </c>
      <c r="H68" s="134">
        <v>20.99</v>
      </c>
      <c r="I68" s="134">
        <v>5.22</v>
      </c>
      <c r="J68" s="134">
        <v>0.26</v>
      </c>
      <c r="K68" s="134">
        <v>138.37</v>
      </c>
      <c r="L68" s="134">
        <v>30.16</v>
      </c>
      <c r="M68" s="134">
        <v>31.82</v>
      </c>
      <c r="N68" s="134">
        <v>120.8</v>
      </c>
      <c r="O68" s="134">
        <v>0</v>
      </c>
      <c r="P68" s="134">
        <v>0.61</v>
      </c>
      <c r="Q68" s="134">
        <v>4.26</v>
      </c>
    </row>
    <row r="69" spans="1:17" customFormat="1">
      <c r="A69" s="112" t="s">
        <v>779</v>
      </c>
      <c r="B69" s="134">
        <v>5.98</v>
      </c>
      <c r="C69" s="134">
        <v>21.71</v>
      </c>
      <c r="D69" s="134">
        <v>17.489999999999998</v>
      </c>
      <c r="E69" s="134">
        <v>6.51</v>
      </c>
      <c r="F69" s="134">
        <v>4.7699999999999996</v>
      </c>
      <c r="G69" s="134">
        <v>48.76</v>
      </c>
      <c r="H69" s="134">
        <v>20.99</v>
      </c>
      <c r="I69" s="134">
        <v>5.09</v>
      </c>
      <c r="J69" s="134">
        <v>0.22</v>
      </c>
      <c r="K69" s="134">
        <v>83.2</v>
      </c>
      <c r="L69" s="134">
        <v>29.9</v>
      </c>
      <c r="M69" s="134">
        <v>33.07</v>
      </c>
      <c r="N69" s="134">
        <v>104.9</v>
      </c>
      <c r="O69" s="134">
        <v>0</v>
      </c>
      <c r="P69" s="134">
        <v>0.59</v>
      </c>
      <c r="Q69" s="134">
        <v>4.26</v>
      </c>
    </row>
    <row r="70" spans="1:17" customFormat="1">
      <c r="A70" s="112" t="s">
        <v>780</v>
      </c>
      <c r="B70" s="134">
        <v>6.13</v>
      </c>
      <c r="C70" s="134">
        <v>20.239999999999998</v>
      </c>
      <c r="D70" s="134">
        <v>16.84</v>
      </c>
      <c r="E70" s="134">
        <v>6.64</v>
      </c>
      <c r="F70" s="134">
        <v>4.7300000000000004</v>
      </c>
      <c r="G70" s="134">
        <v>48.76</v>
      </c>
      <c r="H70" s="134">
        <v>20.99</v>
      </c>
      <c r="I70" s="134">
        <v>5.03</v>
      </c>
      <c r="J70" s="134">
        <v>0.21</v>
      </c>
      <c r="K70" s="134">
        <v>97.16</v>
      </c>
      <c r="L70" s="134">
        <v>29.71</v>
      </c>
      <c r="M70" s="134">
        <v>31.94</v>
      </c>
      <c r="N70" s="134">
        <v>78.2</v>
      </c>
      <c r="O70" s="134">
        <v>0</v>
      </c>
      <c r="P70" s="134">
        <v>0.56999999999999995</v>
      </c>
      <c r="Q70" s="134">
        <v>4.25</v>
      </c>
    </row>
    <row r="71" spans="1:17" customFormat="1">
      <c r="A71" s="112" t="s">
        <v>781</v>
      </c>
      <c r="B71" s="134">
        <v>6.15</v>
      </c>
      <c r="C71" s="134">
        <v>19.440000000000001</v>
      </c>
      <c r="D71" s="134">
        <v>16.440000000000001</v>
      </c>
      <c r="E71" s="134">
        <v>5.76</v>
      </c>
      <c r="F71" s="134">
        <v>4.57</v>
      </c>
      <c r="G71" s="134">
        <v>48.9</v>
      </c>
      <c r="H71" s="134">
        <v>20.94</v>
      </c>
      <c r="I71" s="134">
        <v>5.0599999999999996</v>
      </c>
      <c r="J71" s="134">
        <v>0.3</v>
      </c>
      <c r="K71" s="134">
        <v>69.66</v>
      </c>
      <c r="L71" s="134">
        <v>29.44</v>
      </c>
      <c r="M71" s="134">
        <v>32.56</v>
      </c>
      <c r="N71" s="134">
        <v>72.599999999999994</v>
      </c>
      <c r="O71" s="134">
        <v>0</v>
      </c>
      <c r="P71" s="134">
        <v>0.56000000000000005</v>
      </c>
      <c r="Q71" s="134">
        <v>4.26</v>
      </c>
    </row>
    <row r="72" spans="1:17" customFormat="1">
      <c r="A72" s="112" t="s">
        <v>782</v>
      </c>
      <c r="B72" s="134">
        <v>6.32</v>
      </c>
      <c r="C72" s="134">
        <v>19.47</v>
      </c>
      <c r="D72" s="134">
        <v>16.59</v>
      </c>
      <c r="E72" s="134">
        <v>6.21</v>
      </c>
      <c r="F72" s="134">
        <v>4.67</v>
      </c>
      <c r="G72" s="134">
        <v>51.93</v>
      </c>
      <c r="H72" s="134">
        <v>20.23</v>
      </c>
      <c r="I72" s="134">
        <v>5.15</v>
      </c>
      <c r="J72" s="134">
        <v>0.37</v>
      </c>
      <c r="K72" s="134">
        <v>53.46</v>
      </c>
      <c r="L72" s="134">
        <v>29.19</v>
      </c>
      <c r="M72" s="134">
        <v>33.14</v>
      </c>
      <c r="N72" s="134">
        <v>54.7</v>
      </c>
      <c r="O72" s="134">
        <v>0</v>
      </c>
      <c r="P72" s="134">
        <v>0.56000000000000005</v>
      </c>
      <c r="Q72" s="134">
        <v>4.25</v>
      </c>
    </row>
    <row r="73" spans="1:17" customFormat="1">
      <c r="A73" s="112" t="s">
        <v>783</v>
      </c>
      <c r="B73" s="134">
        <v>6.53</v>
      </c>
      <c r="C73" s="134">
        <v>19.22</v>
      </c>
      <c r="D73" s="134">
        <v>16.63</v>
      </c>
      <c r="E73" s="134">
        <v>5.98</v>
      </c>
      <c r="F73" s="134">
        <v>4.24</v>
      </c>
      <c r="G73" s="134">
        <v>51.93</v>
      </c>
      <c r="H73" s="134">
        <v>20.23</v>
      </c>
      <c r="I73" s="134">
        <v>5.04</v>
      </c>
      <c r="J73" s="134">
        <v>0.15</v>
      </c>
      <c r="K73" s="134">
        <v>113.86</v>
      </c>
      <c r="L73" s="134">
        <v>28.76</v>
      </c>
      <c r="M73" s="134">
        <v>36.869999999999997</v>
      </c>
      <c r="N73" s="134">
        <v>42.8</v>
      </c>
      <c r="O73" s="134">
        <v>0</v>
      </c>
      <c r="P73" s="134">
        <v>0.56000000000000005</v>
      </c>
      <c r="Q73" s="134">
        <v>4.26</v>
      </c>
    </row>
    <row r="74" spans="1:17" customFormat="1">
      <c r="A74" s="112" t="s">
        <v>784</v>
      </c>
      <c r="B74" s="134">
        <v>6.73</v>
      </c>
      <c r="C74" s="134">
        <v>18.93</v>
      </c>
      <c r="D74" s="134">
        <v>16.64</v>
      </c>
      <c r="E74" s="134">
        <v>5.75</v>
      </c>
      <c r="F74" s="134">
        <v>3.49</v>
      </c>
      <c r="G74" s="134">
        <v>51.93</v>
      </c>
      <c r="H74" s="134">
        <v>20.23</v>
      </c>
      <c r="I74" s="134">
        <v>5.0199999999999996</v>
      </c>
      <c r="J74" s="134">
        <v>0.19</v>
      </c>
      <c r="K74" s="134">
        <v>79.67</v>
      </c>
      <c r="L74" s="134">
        <v>28.3</v>
      </c>
      <c r="M74" s="134">
        <v>39.119999999999997</v>
      </c>
      <c r="N74" s="134">
        <v>44.3</v>
      </c>
      <c r="O74" s="134">
        <v>0</v>
      </c>
      <c r="P74" s="134">
        <v>0.55000000000000004</v>
      </c>
      <c r="Q74" s="134">
        <v>4.28</v>
      </c>
    </row>
    <row r="75" spans="1:17" customFormat="1">
      <c r="A75" s="112" t="s">
        <v>785</v>
      </c>
      <c r="B75" s="134">
        <v>6.96</v>
      </c>
      <c r="C75" s="134">
        <v>18.71</v>
      </c>
      <c r="D75" s="134">
        <v>16.71</v>
      </c>
      <c r="E75" s="134">
        <v>5.89</v>
      </c>
      <c r="F75" s="134">
        <v>3.59</v>
      </c>
      <c r="G75" s="134">
        <v>52.05</v>
      </c>
      <c r="H75" s="134">
        <v>20.3</v>
      </c>
      <c r="I75" s="134">
        <v>4.97</v>
      </c>
      <c r="J75" s="134">
        <v>0.16</v>
      </c>
      <c r="K75" s="134">
        <v>135.19</v>
      </c>
      <c r="L75" s="134">
        <v>27.84</v>
      </c>
      <c r="M75" s="134">
        <v>42.62</v>
      </c>
      <c r="N75" s="134">
        <v>16.399999999999999</v>
      </c>
      <c r="O75" s="134">
        <v>0</v>
      </c>
      <c r="P75" s="134">
        <v>0.55000000000000004</v>
      </c>
      <c r="Q75" s="134">
        <v>4.28</v>
      </c>
    </row>
    <row r="76" spans="1:17" customFormat="1">
      <c r="A76" s="112" t="s">
        <v>786</v>
      </c>
      <c r="B76" s="134">
        <v>7.07</v>
      </c>
      <c r="C76" s="134">
        <v>18.45</v>
      </c>
      <c r="D76" s="134">
        <v>16.66</v>
      </c>
      <c r="E76" s="134">
        <v>5.31</v>
      </c>
      <c r="F76" s="134">
        <v>3.5</v>
      </c>
      <c r="G76" s="134">
        <v>53.96</v>
      </c>
      <c r="H76" s="134">
        <v>21.38</v>
      </c>
      <c r="I76" s="134">
        <v>4.95</v>
      </c>
      <c r="J76" s="134">
        <v>0.22</v>
      </c>
      <c r="K76" s="134">
        <v>158.86000000000001</v>
      </c>
      <c r="L76" s="134">
        <v>26.95</v>
      </c>
      <c r="M76" s="134">
        <v>46.74</v>
      </c>
      <c r="N76" s="134">
        <v>6</v>
      </c>
      <c r="O76" s="134">
        <v>0</v>
      </c>
      <c r="P76" s="134">
        <v>0.55000000000000004</v>
      </c>
      <c r="Q76" s="134">
        <v>4.29</v>
      </c>
    </row>
    <row r="77" spans="1:17" customFormat="1">
      <c r="A77" s="112" t="s">
        <v>787</v>
      </c>
      <c r="B77" s="134">
        <v>7.18</v>
      </c>
      <c r="C77" s="134">
        <v>19.07</v>
      </c>
      <c r="D77" s="134">
        <v>17.07</v>
      </c>
      <c r="E77" s="134">
        <v>5.27</v>
      </c>
      <c r="F77" s="134">
        <v>3.03</v>
      </c>
      <c r="G77" s="134">
        <v>53.96</v>
      </c>
      <c r="H77" s="134">
        <v>21.38</v>
      </c>
      <c r="I77" s="134">
        <v>4.93</v>
      </c>
      <c r="J77" s="134">
        <v>0.21</v>
      </c>
      <c r="K77" s="134">
        <v>160.65</v>
      </c>
      <c r="L77" s="134">
        <v>26.18</v>
      </c>
      <c r="M77" s="134">
        <v>50.09</v>
      </c>
      <c r="N77" s="134">
        <v>0</v>
      </c>
      <c r="O77" s="134">
        <v>0</v>
      </c>
      <c r="P77" s="134">
        <v>0.54</v>
      </c>
      <c r="Q77" s="134">
        <v>4.29</v>
      </c>
    </row>
    <row r="78" spans="1:17" customFormat="1">
      <c r="A78" s="112" t="s">
        <v>788</v>
      </c>
      <c r="B78" s="134">
        <v>7.79</v>
      </c>
      <c r="C78" s="134">
        <v>20.81</v>
      </c>
      <c r="D78" s="134">
        <v>18.48</v>
      </c>
      <c r="E78" s="134">
        <v>5.25</v>
      </c>
      <c r="F78" s="134">
        <v>2.5499999999999998</v>
      </c>
      <c r="G78" s="134">
        <v>53.96</v>
      </c>
      <c r="H78" s="134">
        <v>21.38</v>
      </c>
      <c r="I78" s="134">
        <v>4.9400000000000004</v>
      </c>
      <c r="J78" s="134">
        <v>0.17</v>
      </c>
      <c r="K78" s="134">
        <v>141.81</v>
      </c>
      <c r="L78" s="134">
        <v>25.34</v>
      </c>
      <c r="M78" s="134">
        <v>53.21</v>
      </c>
      <c r="N78" s="134">
        <v>0</v>
      </c>
      <c r="O78" s="134">
        <v>0</v>
      </c>
      <c r="P78" s="134">
        <v>0.56999999999999995</v>
      </c>
      <c r="Q78" s="134">
        <v>4.34</v>
      </c>
    </row>
    <row r="79" spans="1:17" customFormat="1">
      <c r="A79" s="112" t="s">
        <v>789</v>
      </c>
      <c r="B79" s="134">
        <v>8.8000000000000007</v>
      </c>
      <c r="C79" s="134">
        <v>20.68</v>
      </c>
      <c r="D79" s="134">
        <v>19.22</v>
      </c>
      <c r="E79" s="134">
        <v>5.18</v>
      </c>
      <c r="F79" s="134">
        <v>2.68</v>
      </c>
      <c r="G79" s="134">
        <v>54.99</v>
      </c>
      <c r="H79" s="134">
        <v>21.84</v>
      </c>
      <c r="I79" s="134">
        <v>4.95</v>
      </c>
      <c r="J79" s="134">
        <v>0.21</v>
      </c>
      <c r="K79" s="134">
        <v>166.54</v>
      </c>
      <c r="L79" s="134">
        <v>24.9</v>
      </c>
      <c r="M79" s="134">
        <v>56.16</v>
      </c>
      <c r="N79" s="134">
        <v>0</v>
      </c>
      <c r="O79" s="134">
        <v>0</v>
      </c>
      <c r="P79" s="134">
        <v>0.59</v>
      </c>
      <c r="Q79" s="134">
        <v>4.4000000000000004</v>
      </c>
    </row>
    <row r="80" spans="1:17" customFormat="1">
      <c r="A80" s="112" t="s">
        <v>790</v>
      </c>
      <c r="B80" s="134">
        <v>9.52</v>
      </c>
      <c r="C80" s="134">
        <v>21.75</v>
      </c>
      <c r="D80" s="134">
        <v>20.350000000000001</v>
      </c>
      <c r="E80" s="134">
        <v>5.43</v>
      </c>
      <c r="F80" s="134">
        <v>2.56</v>
      </c>
      <c r="G80" s="134">
        <v>77.13</v>
      </c>
      <c r="H80" s="134">
        <v>28.97</v>
      </c>
      <c r="I80" s="134">
        <v>5.04</v>
      </c>
      <c r="J80" s="134">
        <v>0.28000000000000003</v>
      </c>
      <c r="K80" s="134">
        <v>170.99</v>
      </c>
      <c r="L80" s="134">
        <v>24.43</v>
      </c>
      <c r="M80" s="134">
        <v>60.75</v>
      </c>
      <c r="N80" s="134">
        <v>0</v>
      </c>
      <c r="O80" s="134">
        <v>0</v>
      </c>
      <c r="P80" s="134">
        <v>0.62</v>
      </c>
      <c r="Q80" s="134">
        <v>4.4400000000000004</v>
      </c>
    </row>
    <row r="81" spans="1:17" customFormat="1">
      <c r="A81" s="112" t="s">
        <v>791</v>
      </c>
      <c r="B81" s="134">
        <v>10.33</v>
      </c>
      <c r="C81" s="134">
        <v>23.47</v>
      </c>
      <c r="D81" s="134">
        <v>21.89</v>
      </c>
      <c r="E81" s="134">
        <v>4.8</v>
      </c>
      <c r="F81" s="134">
        <v>2.38</v>
      </c>
      <c r="G81" s="134">
        <v>77.13</v>
      </c>
      <c r="H81" s="134">
        <v>28.97</v>
      </c>
      <c r="I81" s="134">
        <v>5.51</v>
      </c>
      <c r="J81" s="134">
        <v>0.24</v>
      </c>
      <c r="K81" s="134">
        <v>183.07</v>
      </c>
      <c r="L81" s="134">
        <v>23.74</v>
      </c>
      <c r="M81" s="134">
        <v>69.75</v>
      </c>
      <c r="N81" s="134">
        <v>0</v>
      </c>
      <c r="O81" s="134">
        <v>0</v>
      </c>
      <c r="P81" s="134">
        <v>0.65</v>
      </c>
      <c r="Q81" s="134">
        <v>4.4800000000000004</v>
      </c>
    </row>
    <row r="82" spans="1:17" customFormat="1">
      <c r="A82" s="112" t="s">
        <v>792</v>
      </c>
      <c r="B82" s="134">
        <v>11</v>
      </c>
      <c r="C82" s="134">
        <v>22.41</v>
      </c>
      <c r="D82" s="134">
        <v>21.88</v>
      </c>
      <c r="E82" s="134">
        <v>5.8</v>
      </c>
      <c r="F82" s="134">
        <v>2.6</v>
      </c>
      <c r="G82" s="134">
        <v>77.13</v>
      </c>
      <c r="H82" s="134">
        <v>28.97</v>
      </c>
      <c r="I82" s="134">
        <v>6.17</v>
      </c>
      <c r="J82" s="134">
        <v>0.17</v>
      </c>
      <c r="K82" s="134">
        <v>178.65</v>
      </c>
      <c r="L82" s="134">
        <v>23.16</v>
      </c>
      <c r="M82" s="134">
        <v>70.84</v>
      </c>
      <c r="N82" s="134">
        <v>0</v>
      </c>
      <c r="O82" s="134">
        <v>0</v>
      </c>
      <c r="P82" s="134">
        <v>0.65</v>
      </c>
      <c r="Q82" s="134">
        <v>4.53</v>
      </c>
    </row>
    <row r="83" spans="1:17" customFormat="1">
      <c r="A83" s="112" t="s">
        <v>793</v>
      </c>
      <c r="B83" s="134">
        <v>11.34</v>
      </c>
      <c r="C83" s="134">
        <v>22.82</v>
      </c>
      <c r="D83" s="134">
        <v>22.36</v>
      </c>
      <c r="E83" s="134">
        <v>6</v>
      </c>
      <c r="F83" s="134">
        <v>2.69</v>
      </c>
      <c r="G83" s="134">
        <v>77.91</v>
      </c>
      <c r="H83" s="134">
        <v>28.97</v>
      </c>
      <c r="I83" s="134">
        <v>6.9</v>
      </c>
      <c r="J83" s="134">
        <v>0.15</v>
      </c>
      <c r="K83" s="134">
        <v>194.12</v>
      </c>
      <c r="L83" s="134">
        <v>22.82</v>
      </c>
      <c r="M83" s="134">
        <v>72.849999999999994</v>
      </c>
      <c r="N83" s="134">
        <v>0</v>
      </c>
      <c r="O83" s="134">
        <v>0</v>
      </c>
      <c r="P83" s="134">
        <v>0.68</v>
      </c>
      <c r="Q83" s="134">
        <v>4.55</v>
      </c>
    </row>
    <row r="84" spans="1:17" customFormat="1">
      <c r="A84" s="112" t="s">
        <v>794</v>
      </c>
      <c r="B84" s="134">
        <v>11.71</v>
      </c>
      <c r="C84" s="134">
        <v>23.16</v>
      </c>
      <c r="D84" s="134">
        <v>22.84</v>
      </c>
      <c r="E84" s="134">
        <v>5.68</v>
      </c>
      <c r="F84" s="134">
        <v>2.48</v>
      </c>
      <c r="G84" s="134">
        <v>94.68</v>
      </c>
      <c r="H84" s="134">
        <v>29.03</v>
      </c>
      <c r="I84" s="134">
        <v>7.07</v>
      </c>
      <c r="J84" s="134">
        <v>0.12</v>
      </c>
      <c r="K84" s="134">
        <v>166.94</v>
      </c>
      <c r="L84" s="134">
        <v>22.68</v>
      </c>
      <c r="M84" s="134">
        <v>70.069999999999993</v>
      </c>
      <c r="N84" s="134">
        <v>0</v>
      </c>
      <c r="O84" s="134">
        <v>0</v>
      </c>
      <c r="P84" s="134">
        <v>0.7</v>
      </c>
      <c r="Q84" s="134">
        <v>4.55</v>
      </c>
    </row>
    <row r="85" spans="1:17" customFormat="1">
      <c r="A85" s="112" t="s">
        <v>795</v>
      </c>
      <c r="B85" s="134">
        <v>12.2</v>
      </c>
      <c r="C85" s="134">
        <v>22.31</v>
      </c>
      <c r="D85" s="134">
        <v>22.79</v>
      </c>
      <c r="E85" s="134">
        <v>5.7</v>
      </c>
      <c r="F85" s="134">
        <v>2.66</v>
      </c>
      <c r="G85" s="134">
        <v>94.68</v>
      </c>
      <c r="H85" s="134">
        <v>29.03</v>
      </c>
      <c r="I85" s="134">
        <v>7.14</v>
      </c>
      <c r="J85" s="134">
        <v>7.0000000000000007E-2</v>
      </c>
      <c r="K85" s="134">
        <v>189.3</v>
      </c>
      <c r="L85" s="134">
        <v>22.59</v>
      </c>
      <c r="M85" s="134">
        <v>67.760000000000005</v>
      </c>
      <c r="N85" s="134">
        <v>0</v>
      </c>
      <c r="O85" s="134">
        <v>0</v>
      </c>
      <c r="P85" s="134">
        <v>0.69</v>
      </c>
      <c r="Q85" s="134">
        <v>4.5599999999999996</v>
      </c>
    </row>
    <row r="86" spans="1:17" customFormat="1">
      <c r="A86" s="112" t="s">
        <v>796</v>
      </c>
      <c r="B86" s="134">
        <v>13.99</v>
      </c>
      <c r="C86" s="134">
        <v>24.06</v>
      </c>
      <c r="D86" s="134">
        <v>25.14</v>
      </c>
      <c r="E86" s="134">
        <v>5.8</v>
      </c>
      <c r="F86" s="134">
        <v>2.4300000000000002</v>
      </c>
      <c r="G86" s="134">
        <v>94.68</v>
      </c>
      <c r="H86" s="134">
        <v>29.03</v>
      </c>
      <c r="I86" s="134">
        <v>7.23</v>
      </c>
      <c r="J86" s="134">
        <v>0.13</v>
      </c>
      <c r="K86" s="134">
        <v>180.17</v>
      </c>
      <c r="L86" s="134">
        <v>22.62</v>
      </c>
      <c r="M86" s="134">
        <v>67.64</v>
      </c>
      <c r="N86" s="134">
        <v>0</v>
      </c>
      <c r="O86" s="134">
        <v>0</v>
      </c>
      <c r="P86" s="134">
        <v>0.75</v>
      </c>
      <c r="Q86" s="134">
        <v>4.6399999999999997</v>
      </c>
    </row>
    <row r="87" spans="1:17" customFormat="1">
      <c r="A87" s="112" t="s">
        <v>797</v>
      </c>
      <c r="B87" s="134">
        <v>16.850000000000001</v>
      </c>
      <c r="C87" s="134">
        <v>24.63</v>
      </c>
      <c r="D87" s="134">
        <v>27.73</v>
      </c>
      <c r="E87" s="134">
        <v>5.97</v>
      </c>
      <c r="F87" s="134">
        <v>2.58</v>
      </c>
      <c r="G87" s="134">
        <v>95.9</v>
      </c>
      <c r="H87" s="134">
        <v>29.45</v>
      </c>
      <c r="I87" s="134">
        <v>7.33</v>
      </c>
      <c r="J87" s="134">
        <v>0.22</v>
      </c>
      <c r="K87" s="134">
        <v>191.35</v>
      </c>
      <c r="L87" s="134">
        <v>22.18</v>
      </c>
      <c r="M87" s="134">
        <v>74.5</v>
      </c>
      <c r="N87" s="134">
        <v>0</v>
      </c>
      <c r="O87" s="134">
        <v>0</v>
      </c>
      <c r="P87" s="134">
        <v>0.78</v>
      </c>
      <c r="Q87" s="134">
        <v>4.76</v>
      </c>
    </row>
    <row r="88" spans="1:17" customFormat="1">
      <c r="A88" s="112" t="s">
        <v>798</v>
      </c>
      <c r="B88" s="134">
        <v>17.8</v>
      </c>
      <c r="C88" s="134">
        <v>24.83</v>
      </c>
      <c r="D88" s="134">
        <v>28.6</v>
      </c>
      <c r="E88" s="134">
        <v>6</v>
      </c>
      <c r="F88" s="134">
        <v>2.66</v>
      </c>
      <c r="G88" s="134">
        <v>116.58</v>
      </c>
      <c r="H88" s="134">
        <v>35.96</v>
      </c>
      <c r="I88" s="134">
        <v>7.56</v>
      </c>
      <c r="J88" s="134">
        <v>0.14000000000000001</v>
      </c>
      <c r="K88" s="134">
        <v>228.61</v>
      </c>
      <c r="L88" s="134">
        <v>21.92</v>
      </c>
      <c r="M88" s="134">
        <v>71.349999999999994</v>
      </c>
      <c r="N88" s="134">
        <v>0</v>
      </c>
      <c r="O88" s="134">
        <v>0</v>
      </c>
      <c r="P88" s="134">
        <v>0.81</v>
      </c>
      <c r="Q88" s="134">
        <v>4.83</v>
      </c>
    </row>
    <row r="89" spans="1:17" customFormat="1">
      <c r="A89" s="112" t="s">
        <v>799</v>
      </c>
      <c r="B89" s="134">
        <v>17.600000000000001</v>
      </c>
      <c r="C89" s="134">
        <v>24.84</v>
      </c>
      <c r="D89" s="134">
        <v>28.45</v>
      </c>
      <c r="E89" s="134">
        <v>6.28</v>
      </c>
      <c r="F89" s="134">
        <v>2.81</v>
      </c>
      <c r="G89" s="134">
        <v>116.58</v>
      </c>
      <c r="H89" s="134">
        <v>35.96</v>
      </c>
      <c r="I89" s="134">
        <v>7.76</v>
      </c>
      <c r="J89" s="134">
        <v>0.12</v>
      </c>
      <c r="K89" s="134">
        <v>231.15</v>
      </c>
      <c r="L89" s="134">
        <v>21.78</v>
      </c>
      <c r="M89" s="134">
        <v>70.78</v>
      </c>
      <c r="N89" s="134">
        <v>0</v>
      </c>
      <c r="O89" s="134">
        <v>0</v>
      </c>
      <c r="P89" s="134">
        <v>0.81</v>
      </c>
      <c r="Q89" s="134">
        <v>4.83</v>
      </c>
    </row>
    <row r="90" spans="1:17" customFormat="1">
      <c r="A90" s="112" t="s">
        <v>800</v>
      </c>
      <c r="B90" s="134">
        <v>17.16</v>
      </c>
      <c r="C90" s="134">
        <v>24.8</v>
      </c>
      <c r="D90" s="134">
        <v>28.07</v>
      </c>
      <c r="E90" s="134">
        <v>5.96</v>
      </c>
      <c r="F90" s="134">
        <v>2.7</v>
      </c>
      <c r="G90" s="134">
        <v>116.58</v>
      </c>
      <c r="H90" s="134">
        <v>35.96</v>
      </c>
      <c r="I90" s="134">
        <v>7.81</v>
      </c>
      <c r="J90" s="134">
        <v>0.16</v>
      </c>
      <c r="K90" s="134">
        <v>159.80000000000001</v>
      </c>
      <c r="L90" s="134">
        <v>21.69</v>
      </c>
      <c r="M90" s="134">
        <v>77.900000000000006</v>
      </c>
      <c r="N90" s="134">
        <v>0</v>
      </c>
      <c r="O90" s="134">
        <v>0</v>
      </c>
      <c r="P90" s="134">
        <v>0.82</v>
      </c>
      <c r="Q90" s="134">
        <v>4.8099999999999996</v>
      </c>
    </row>
    <row r="91" spans="1:17" customFormat="1">
      <c r="A91" s="112" t="s">
        <v>801</v>
      </c>
      <c r="B91" s="134">
        <v>16.850000000000001</v>
      </c>
      <c r="C91" s="134">
        <v>24.51</v>
      </c>
      <c r="D91" s="134">
        <v>27.67</v>
      </c>
      <c r="E91" s="134">
        <v>5.9</v>
      </c>
      <c r="F91" s="134">
        <v>2.75</v>
      </c>
      <c r="G91" s="134">
        <v>116.11</v>
      </c>
      <c r="H91" s="134">
        <v>35.69</v>
      </c>
      <c r="I91" s="134">
        <v>7.88</v>
      </c>
      <c r="J91" s="134">
        <v>0.11</v>
      </c>
      <c r="K91" s="134">
        <v>161.6</v>
      </c>
      <c r="L91" s="134">
        <v>21.58</v>
      </c>
      <c r="M91" s="134">
        <v>75.78</v>
      </c>
      <c r="N91" s="134">
        <v>0</v>
      </c>
      <c r="O91" s="134">
        <v>0</v>
      </c>
      <c r="P91" s="134">
        <v>0.83</v>
      </c>
      <c r="Q91" s="134">
        <v>4.8099999999999996</v>
      </c>
    </row>
    <row r="92" spans="1:17" customFormat="1">
      <c r="A92" s="112" t="s">
        <v>802</v>
      </c>
      <c r="B92" s="134">
        <v>17.16</v>
      </c>
      <c r="C92" s="134">
        <v>24.92</v>
      </c>
      <c r="D92" s="134">
        <v>28.13</v>
      </c>
      <c r="E92" s="134">
        <v>5.73</v>
      </c>
      <c r="F92" s="134">
        <v>2.8</v>
      </c>
      <c r="G92" s="134">
        <v>108.12</v>
      </c>
      <c r="H92" s="134">
        <v>31.57</v>
      </c>
      <c r="I92" s="134">
        <v>7.93</v>
      </c>
      <c r="J92" s="134">
        <v>0.09</v>
      </c>
      <c r="K92" s="134">
        <v>173.6</v>
      </c>
      <c r="L92" s="134">
        <v>21.69</v>
      </c>
      <c r="M92" s="134">
        <v>71.290000000000006</v>
      </c>
      <c r="N92" s="134">
        <v>0</v>
      </c>
      <c r="O92" s="134">
        <v>0</v>
      </c>
      <c r="P92" s="134">
        <v>0.84</v>
      </c>
      <c r="Q92" s="134">
        <v>4.8099999999999996</v>
      </c>
    </row>
    <row r="93" spans="1:17" customFormat="1">
      <c r="A93" s="112" t="s">
        <v>803</v>
      </c>
      <c r="B93" s="134">
        <v>19.87</v>
      </c>
      <c r="C93" s="134">
        <v>26.13</v>
      </c>
      <c r="D93" s="134">
        <v>30.93</v>
      </c>
      <c r="E93" s="134">
        <v>6.12</v>
      </c>
      <c r="F93" s="134">
        <v>2.72</v>
      </c>
      <c r="G93" s="134">
        <v>108.12</v>
      </c>
      <c r="H93" s="134">
        <v>31.57</v>
      </c>
      <c r="I93" s="134">
        <v>7.98</v>
      </c>
      <c r="J93" s="134">
        <v>0.1</v>
      </c>
      <c r="K93" s="134">
        <v>165.25</v>
      </c>
      <c r="L93" s="134">
        <v>21.67</v>
      </c>
      <c r="M93" s="134">
        <v>72.37</v>
      </c>
      <c r="N93" s="134">
        <v>0</v>
      </c>
      <c r="O93" s="134">
        <v>0</v>
      </c>
      <c r="P93" s="134">
        <v>0.89</v>
      </c>
      <c r="Q93" s="134">
        <v>4.91</v>
      </c>
    </row>
    <row r="94" spans="1:17" customFormat="1">
      <c r="A94" s="112" t="s">
        <v>804</v>
      </c>
      <c r="B94" s="134">
        <v>24.1</v>
      </c>
      <c r="C94" s="134">
        <v>27.56</v>
      </c>
      <c r="D94" s="134">
        <v>35.07</v>
      </c>
      <c r="E94" s="134">
        <v>6.06</v>
      </c>
      <c r="F94" s="134">
        <v>2.68</v>
      </c>
      <c r="G94" s="134">
        <v>108.12</v>
      </c>
      <c r="H94" s="134">
        <v>31.57</v>
      </c>
      <c r="I94" s="134">
        <v>8.08</v>
      </c>
      <c r="J94" s="134">
        <v>0.12</v>
      </c>
      <c r="K94" s="134">
        <v>198.92</v>
      </c>
      <c r="L94" s="134">
        <v>21.65</v>
      </c>
      <c r="M94" s="134">
        <v>73.069999999999993</v>
      </c>
      <c r="N94" s="134">
        <v>0</v>
      </c>
      <c r="O94" s="134">
        <v>0</v>
      </c>
      <c r="P94" s="134">
        <v>0.94</v>
      </c>
      <c r="Q94" s="134">
        <v>5.08</v>
      </c>
    </row>
    <row r="95" spans="1:17" customFormat="1">
      <c r="A95" s="112" t="s">
        <v>805</v>
      </c>
      <c r="B95" s="134">
        <v>28.36</v>
      </c>
      <c r="C95" s="134">
        <v>28.56</v>
      </c>
      <c r="D95" s="134">
        <v>39.01</v>
      </c>
      <c r="E95" s="134">
        <v>6.25</v>
      </c>
      <c r="F95" s="134">
        <v>2.61</v>
      </c>
      <c r="G95" s="134">
        <v>109.65</v>
      </c>
      <c r="H95" s="134">
        <v>31.98</v>
      </c>
      <c r="I95" s="134">
        <v>8.26</v>
      </c>
      <c r="J95" s="134">
        <v>0.14000000000000001</v>
      </c>
      <c r="K95" s="134">
        <v>153.72999999999999</v>
      </c>
      <c r="L95" s="134">
        <v>21.45</v>
      </c>
      <c r="M95" s="134">
        <v>76.14</v>
      </c>
      <c r="N95" s="134">
        <v>0</v>
      </c>
      <c r="O95" s="134">
        <v>0</v>
      </c>
      <c r="P95" s="134">
        <v>0.97</v>
      </c>
      <c r="Q95" s="134">
        <v>5.25</v>
      </c>
    </row>
    <row r="96" spans="1:17" customFormat="1">
      <c r="A96" s="112" t="s">
        <v>806</v>
      </c>
      <c r="B96" s="134">
        <v>32.450000000000003</v>
      </c>
      <c r="C96" s="134">
        <v>29.59</v>
      </c>
      <c r="D96" s="134">
        <v>42.83</v>
      </c>
      <c r="E96" s="134">
        <v>6.41</v>
      </c>
      <c r="F96" s="134">
        <v>2.5099999999999998</v>
      </c>
      <c r="G96" s="134">
        <v>135.62</v>
      </c>
      <c r="H96" s="134">
        <v>38.4</v>
      </c>
      <c r="I96" s="134">
        <v>8.4700000000000006</v>
      </c>
      <c r="J96" s="134">
        <v>0.13</v>
      </c>
      <c r="K96" s="134">
        <v>216.66</v>
      </c>
      <c r="L96" s="134">
        <v>21.39</v>
      </c>
      <c r="M96" s="134">
        <v>76.069999999999993</v>
      </c>
      <c r="N96" s="134">
        <v>0</v>
      </c>
      <c r="O96" s="134">
        <v>0</v>
      </c>
      <c r="P96" s="134">
        <v>1.01</v>
      </c>
      <c r="Q96" s="134">
        <v>5.43</v>
      </c>
    </row>
    <row r="97" spans="1:22" customFormat="1">
      <c r="A97" s="112" t="s">
        <v>807</v>
      </c>
      <c r="B97" s="134">
        <v>36.65</v>
      </c>
      <c r="C97" s="134">
        <v>30.25</v>
      </c>
      <c r="D97" s="134">
        <v>46.55</v>
      </c>
      <c r="E97" s="134">
        <v>6.34</v>
      </c>
      <c r="F97" s="134">
        <v>2.78</v>
      </c>
      <c r="G97" s="134">
        <v>135.62</v>
      </c>
      <c r="H97" s="134">
        <v>38.4</v>
      </c>
      <c r="I97" s="134">
        <v>8.65</v>
      </c>
      <c r="J97" s="134">
        <v>0.17</v>
      </c>
      <c r="K97" s="134">
        <v>228.07</v>
      </c>
      <c r="L97" s="134">
        <v>21.15</v>
      </c>
      <c r="M97" s="134">
        <v>81.150000000000006</v>
      </c>
      <c r="N97" s="134">
        <v>0</v>
      </c>
      <c r="O97" s="134">
        <v>0</v>
      </c>
      <c r="P97" s="134">
        <v>1.04</v>
      </c>
      <c r="Q97" s="134">
        <v>5.61</v>
      </c>
    </row>
    <row r="98" spans="1:22" customFormat="1">
      <c r="A98" s="112" t="s">
        <v>808</v>
      </c>
      <c r="B98" s="134">
        <v>38.85</v>
      </c>
      <c r="C98" s="134">
        <v>30.48</v>
      </c>
      <c r="D98" s="134">
        <v>48.44</v>
      </c>
      <c r="E98" s="134">
        <v>7.18</v>
      </c>
      <c r="F98" s="134">
        <v>2.65</v>
      </c>
      <c r="G98" s="134">
        <v>135.62</v>
      </c>
      <c r="H98" s="134">
        <v>38.4</v>
      </c>
      <c r="I98" s="134">
        <v>8.86</v>
      </c>
      <c r="J98" s="134">
        <v>0.19</v>
      </c>
      <c r="K98" s="134">
        <v>224.96</v>
      </c>
      <c r="L98" s="134">
        <v>20.77</v>
      </c>
      <c r="M98" s="134">
        <v>85.95</v>
      </c>
      <c r="N98" s="134">
        <v>0</v>
      </c>
      <c r="O98" s="134">
        <v>0</v>
      </c>
      <c r="P98" s="134">
        <v>1.06</v>
      </c>
      <c r="Q98" s="134">
        <v>5.7</v>
      </c>
    </row>
    <row r="99" spans="1:22" customFormat="1">
      <c r="A99" s="112" t="s">
        <v>809</v>
      </c>
      <c r="B99" s="134">
        <v>39.24</v>
      </c>
      <c r="C99" s="134">
        <v>29.89</v>
      </c>
      <c r="D99" s="134">
        <v>48.44</v>
      </c>
      <c r="E99" s="134">
        <v>6.91</v>
      </c>
      <c r="F99" s="134">
        <v>2.67</v>
      </c>
      <c r="G99" s="134">
        <v>134.91</v>
      </c>
      <c r="H99" s="134">
        <v>38.409999999999997</v>
      </c>
      <c r="I99" s="134">
        <v>9.0500000000000007</v>
      </c>
      <c r="J99" s="134">
        <v>0.11</v>
      </c>
      <c r="K99" s="134">
        <v>198.43</v>
      </c>
      <c r="L99" s="134">
        <v>20.45</v>
      </c>
      <c r="M99" s="134">
        <v>84.23</v>
      </c>
      <c r="N99" s="134">
        <v>0</v>
      </c>
      <c r="O99" s="134">
        <v>0</v>
      </c>
      <c r="P99" s="134">
        <v>1.06</v>
      </c>
      <c r="Q99" s="134">
        <v>5.75</v>
      </c>
    </row>
    <row r="100" spans="1:22" customFormat="1">
      <c r="A100" s="112" t="s">
        <v>810</v>
      </c>
      <c r="B100" s="134">
        <v>38.67</v>
      </c>
      <c r="C100" s="134">
        <v>29.75</v>
      </c>
      <c r="D100" s="134">
        <v>47.9</v>
      </c>
      <c r="E100" s="134">
        <v>6.7</v>
      </c>
      <c r="F100" s="134">
        <v>2.4900000000000002</v>
      </c>
      <c r="G100" s="134">
        <v>122.87</v>
      </c>
      <c r="H100" s="134">
        <v>38.5</v>
      </c>
      <c r="I100" s="134">
        <v>9.19</v>
      </c>
      <c r="J100" s="134">
        <v>0.1</v>
      </c>
      <c r="K100" s="134">
        <v>181.11</v>
      </c>
      <c r="L100" s="134">
        <v>20.37</v>
      </c>
      <c r="M100" s="134">
        <v>84.73</v>
      </c>
      <c r="N100" s="134">
        <v>0</v>
      </c>
      <c r="O100" s="134">
        <v>0</v>
      </c>
      <c r="P100" s="134">
        <v>1.06</v>
      </c>
      <c r="Q100" s="134">
        <v>5.73</v>
      </c>
    </row>
    <row r="101" spans="1:22" customFormat="1">
      <c r="A101" s="112" t="s">
        <v>811</v>
      </c>
      <c r="B101" s="134">
        <v>37.93</v>
      </c>
      <c r="C101" s="134">
        <v>29.33</v>
      </c>
      <c r="D101" s="134">
        <v>47.09</v>
      </c>
      <c r="E101" s="134">
        <v>6.75</v>
      </c>
      <c r="F101" s="134">
        <v>2.44</v>
      </c>
      <c r="G101" s="134">
        <v>122.87</v>
      </c>
      <c r="H101" s="134">
        <v>38.5</v>
      </c>
      <c r="I101" s="134">
        <v>9.2100000000000009</v>
      </c>
      <c r="J101" s="134">
        <v>0.1</v>
      </c>
      <c r="K101" s="134">
        <v>185.46</v>
      </c>
      <c r="L101" s="134">
        <v>20.420000000000002</v>
      </c>
      <c r="M101" s="134">
        <v>85.2</v>
      </c>
      <c r="N101" s="134">
        <v>0</v>
      </c>
      <c r="O101" s="134">
        <v>0</v>
      </c>
      <c r="P101" s="134">
        <v>1.06</v>
      </c>
      <c r="Q101" s="134">
        <v>5.72</v>
      </c>
    </row>
    <row r="102" spans="1:22" customFormat="1">
      <c r="A102" s="112" t="s">
        <v>812</v>
      </c>
      <c r="B102" s="134">
        <v>36.93</v>
      </c>
      <c r="C102" s="134">
        <v>29.28</v>
      </c>
      <c r="D102" s="134">
        <v>46.27</v>
      </c>
      <c r="E102" s="134">
        <v>7</v>
      </c>
      <c r="F102" s="134">
        <v>2.54</v>
      </c>
      <c r="G102" s="134">
        <v>122.87</v>
      </c>
      <c r="H102" s="134">
        <v>38.5</v>
      </c>
      <c r="I102" s="134">
        <v>9.2899999999999991</v>
      </c>
      <c r="J102" s="134">
        <v>0.1</v>
      </c>
      <c r="K102" s="134">
        <v>161.6</v>
      </c>
      <c r="L102" s="134">
        <v>20.39</v>
      </c>
      <c r="M102" s="134">
        <v>84.22</v>
      </c>
      <c r="N102" s="134">
        <v>0</v>
      </c>
      <c r="O102" s="134">
        <v>0</v>
      </c>
      <c r="P102" s="134">
        <v>1.05</v>
      </c>
      <c r="Q102" s="134">
        <v>5.7</v>
      </c>
    </row>
    <row r="103" spans="1:22" customFormat="1">
      <c r="A103" s="112" t="s">
        <v>813</v>
      </c>
      <c r="B103" s="134">
        <v>38.31</v>
      </c>
      <c r="C103" s="134">
        <v>29.56</v>
      </c>
      <c r="D103" s="134">
        <v>47.51</v>
      </c>
      <c r="E103" s="134">
        <v>6.9</v>
      </c>
      <c r="F103" s="134">
        <v>2.66</v>
      </c>
      <c r="G103" s="134">
        <v>122.1</v>
      </c>
      <c r="H103" s="134">
        <v>38.369999999999997</v>
      </c>
      <c r="I103" s="134">
        <v>9.33</v>
      </c>
      <c r="J103" s="134">
        <v>0.11</v>
      </c>
      <c r="K103" s="134">
        <v>192.88</v>
      </c>
      <c r="L103" s="134">
        <v>20.399999999999999</v>
      </c>
      <c r="M103" s="134">
        <v>81.96</v>
      </c>
      <c r="N103" s="134">
        <v>0</v>
      </c>
      <c r="O103" s="134">
        <v>0</v>
      </c>
      <c r="P103" s="134">
        <v>1.07</v>
      </c>
      <c r="Q103" s="134">
        <v>5.71</v>
      </c>
    </row>
    <row r="104" spans="1:22" customFormat="1">
      <c r="A104" s="112" t="s">
        <v>814</v>
      </c>
      <c r="B104" s="134">
        <v>42.17</v>
      </c>
      <c r="C104" s="134">
        <v>30.18</v>
      </c>
      <c r="D104" s="134">
        <v>50.94</v>
      </c>
      <c r="E104" s="134">
        <v>6.99</v>
      </c>
      <c r="F104" s="134">
        <v>2.58</v>
      </c>
      <c r="G104" s="134">
        <v>109.01</v>
      </c>
      <c r="H104" s="134">
        <v>36.36</v>
      </c>
      <c r="I104" s="134">
        <v>9.34</v>
      </c>
      <c r="J104" s="134">
        <v>0.13</v>
      </c>
      <c r="K104" s="134">
        <v>170.42</v>
      </c>
      <c r="L104" s="134">
        <v>20.37</v>
      </c>
      <c r="M104" s="134">
        <v>82.87</v>
      </c>
      <c r="N104" s="134">
        <v>0</v>
      </c>
      <c r="O104" s="134">
        <v>0</v>
      </c>
      <c r="P104" s="134">
        <v>1.08</v>
      </c>
      <c r="Q104" s="134">
        <v>5.83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5.95</v>
      </c>
      <c r="C106" s="183">
        <f>MIN(C9:C104)</f>
        <v>18.45</v>
      </c>
      <c r="D106" s="183">
        <f t="shared" ref="D106:Q106" si="0">MIN(D9:D104)</f>
        <v>16.440000000000001</v>
      </c>
      <c r="E106" s="183">
        <f t="shared" si="0"/>
        <v>3.87</v>
      </c>
      <c r="F106" s="183">
        <f t="shared" si="0"/>
        <v>2.31</v>
      </c>
      <c r="G106" s="183">
        <f t="shared" si="0"/>
        <v>48.76</v>
      </c>
      <c r="H106" s="183">
        <f t="shared" si="0"/>
        <v>20.23</v>
      </c>
      <c r="I106" s="183">
        <f t="shared" si="0"/>
        <v>4.93</v>
      </c>
      <c r="J106" s="183">
        <f t="shared" si="0"/>
        <v>0.01</v>
      </c>
      <c r="K106" s="183">
        <f t="shared" si="0"/>
        <v>17.03</v>
      </c>
      <c r="L106" s="183">
        <f t="shared" si="0"/>
        <v>18.739999999999998</v>
      </c>
      <c r="M106" s="183">
        <f t="shared" si="0"/>
        <v>30.23</v>
      </c>
      <c r="N106" s="183">
        <f t="shared" si="0"/>
        <v>0</v>
      </c>
      <c r="O106" s="183">
        <f t="shared" si="0"/>
        <v>0</v>
      </c>
      <c r="P106" s="183">
        <f t="shared" si="0"/>
        <v>0.54</v>
      </c>
      <c r="Q106" s="183">
        <f t="shared" si="0"/>
        <v>4.25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42.17</v>
      </c>
      <c r="C107" s="184">
        <f t="shared" ref="C107:Q107" si="1">MAX(C9:C104)</f>
        <v>30.48</v>
      </c>
      <c r="D107" s="184">
        <f t="shared" si="1"/>
        <v>50.94</v>
      </c>
      <c r="E107" s="184">
        <f t="shared" si="1"/>
        <v>8.6</v>
      </c>
      <c r="F107" s="184">
        <f t="shared" si="1"/>
        <v>7.06</v>
      </c>
      <c r="G107" s="184">
        <f t="shared" si="1"/>
        <v>135.62</v>
      </c>
      <c r="H107" s="184">
        <f t="shared" si="1"/>
        <v>38.65</v>
      </c>
      <c r="I107" s="184">
        <f t="shared" si="1"/>
        <v>9.34</v>
      </c>
      <c r="J107" s="184">
        <f t="shared" si="1"/>
        <v>0.68</v>
      </c>
      <c r="K107" s="184">
        <f t="shared" si="1"/>
        <v>251.14</v>
      </c>
      <c r="L107" s="184">
        <f t="shared" si="1"/>
        <v>31.72</v>
      </c>
      <c r="M107" s="184">
        <f t="shared" si="1"/>
        <v>89.31</v>
      </c>
      <c r="N107" s="184">
        <f t="shared" si="1"/>
        <v>666.7</v>
      </c>
      <c r="O107" s="184">
        <f t="shared" si="1"/>
        <v>0</v>
      </c>
      <c r="P107" s="184">
        <f t="shared" si="1"/>
        <v>1.08</v>
      </c>
      <c r="Q107" s="184">
        <f t="shared" si="1"/>
        <v>5.83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18.667083333333334</v>
      </c>
      <c r="C108" s="183">
        <f t="shared" ref="C108:Q108" si="2">AVERAGE(C9:C104)</f>
        <v>25.082500000000007</v>
      </c>
      <c r="D108" s="183">
        <f t="shared" si="2"/>
        <v>29.425208333333341</v>
      </c>
      <c r="E108" s="183">
        <f t="shared" si="2"/>
        <v>6.1353124999999977</v>
      </c>
      <c r="F108" s="183">
        <f t="shared" si="2"/>
        <v>3.1726041666666673</v>
      </c>
      <c r="G108" s="183">
        <f t="shared" si="2"/>
        <v>83.971770833333338</v>
      </c>
      <c r="H108" s="183">
        <f t="shared" si="2"/>
        <v>30.933437500000011</v>
      </c>
      <c r="I108" s="183">
        <f t="shared" si="2"/>
        <v>6.890416666666666</v>
      </c>
      <c r="J108" s="183">
        <f t="shared" si="2"/>
        <v>0.25218750000000018</v>
      </c>
      <c r="K108" s="183">
        <f t="shared" si="2"/>
        <v>109.13177083333329</v>
      </c>
      <c r="L108" s="183">
        <f t="shared" si="2"/>
        <v>23.755312499999999</v>
      </c>
      <c r="M108" s="183">
        <f t="shared" si="2"/>
        <v>65.620208333333338</v>
      </c>
      <c r="N108" s="183">
        <f t="shared" si="2"/>
        <v>138.36875000000001</v>
      </c>
      <c r="O108" s="183">
        <f t="shared" si="2"/>
        <v>0</v>
      </c>
      <c r="P108" s="183">
        <f t="shared" si="2"/>
        <v>0.74989583333333332</v>
      </c>
      <c r="Q108" s="183">
        <f t="shared" si="2"/>
        <v>4.8784374999999995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9.5176203258307481</v>
      </c>
      <c r="C109" s="183">
        <f t="shared" ref="C109:Q109" si="3">STDEV(C9:C104)</f>
        <v>2.7206400175809353</v>
      </c>
      <c r="D109" s="183">
        <f t="shared" si="3"/>
        <v>8.6986517986429632</v>
      </c>
      <c r="E109" s="183">
        <f t="shared" si="3"/>
        <v>0.88389562747146933</v>
      </c>
      <c r="F109" s="183">
        <f t="shared" si="3"/>
        <v>0.9511812542879361</v>
      </c>
      <c r="G109" s="183">
        <f t="shared" si="3"/>
        <v>22.008542982204897</v>
      </c>
      <c r="H109" s="183">
        <f t="shared" si="3"/>
        <v>5.7846646317063808</v>
      </c>
      <c r="I109" s="183">
        <f t="shared" si="3"/>
        <v>1.1601242371462053</v>
      </c>
      <c r="J109" s="183">
        <f t="shared" si="3"/>
        <v>0.15095627198838579</v>
      </c>
      <c r="K109" s="183">
        <f t="shared" si="3"/>
        <v>66.339380397830027</v>
      </c>
      <c r="L109" s="183">
        <f t="shared" si="3"/>
        <v>4.5056278149198246</v>
      </c>
      <c r="M109" s="183">
        <f t="shared" si="3"/>
        <v>20.080122456072768</v>
      </c>
      <c r="N109" s="183">
        <f t="shared" si="3"/>
        <v>219.38223231443141</v>
      </c>
      <c r="O109" s="183">
        <f t="shared" si="3"/>
        <v>0</v>
      </c>
      <c r="P109" s="183">
        <f t="shared" si="3"/>
        <v>0.13262130329520869</v>
      </c>
      <c r="Q109" s="183">
        <f t="shared" si="3"/>
        <v>0.41799604159545178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07/11/2023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815</v>
      </c>
      <c r="B9" s="134">
        <v>47.26</v>
      </c>
      <c r="C9" s="134">
        <v>30.62</v>
      </c>
      <c r="D9" s="134">
        <v>55.25</v>
      </c>
      <c r="E9" s="134">
        <v>7.16</v>
      </c>
      <c r="F9" s="134">
        <v>2.4900000000000002</v>
      </c>
      <c r="G9" s="134">
        <v>109.01</v>
      </c>
      <c r="H9" s="134">
        <v>36.36</v>
      </c>
      <c r="I9" s="134">
        <v>9.43</v>
      </c>
      <c r="J9" s="134">
        <v>0.14000000000000001</v>
      </c>
      <c r="K9" s="134">
        <v>180.63</v>
      </c>
      <c r="L9" s="134">
        <v>20.260000000000002</v>
      </c>
      <c r="M9" s="134">
        <v>87</v>
      </c>
      <c r="N9" s="134">
        <v>0</v>
      </c>
      <c r="O9" s="134">
        <v>0</v>
      </c>
      <c r="P9" s="134">
        <v>1.1000000000000001</v>
      </c>
      <c r="Q9" s="134">
        <v>5.98</v>
      </c>
    </row>
    <row r="10" spans="1:21" customFormat="1">
      <c r="A10" s="112" t="s">
        <v>816</v>
      </c>
      <c r="B10" s="134">
        <v>47.53</v>
      </c>
      <c r="C10" s="134">
        <v>30.54</v>
      </c>
      <c r="D10" s="134">
        <v>55.42</v>
      </c>
      <c r="E10" s="134">
        <v>6.91</v>
      </c>
      <c r="F10" s="134">
        <v>2.4900000000000002</v>
      </c>
      <c r="G10" s="134">
        <v>109.01</v>
      </c>
      <c r="H10" s="134">
        <v>36.36</v>
      </c>
      <c r="I10" s="134">
        <v>9.5399999999999991</v>
      </c>
      <c r="J10" s="134">
        <v>0.09</v>
      </c>
      <c r="K10" s="134">
        <v>186.97</v>
      </c>
      <c r="L10" s="134">
        <v>19.87</v>
      </c>
      <c r="M10" s="134">
        <v>88.08</v>
      </c>
      <c r="N10" s="134">
        <v>0</v>
      </c>
      <c r="O10" s="134">
        <v>0</v>
      </c>
      <c r="P10" s="134">
        <v>1.1000000000000001</v>
      </c>
      <c r="Q10" s="134">
        <v>6.05</v>
      </c>
    </row>
    <row r="11" spans="1:21" customFormat="1">
      <c r="A11" s="112" t="s">
        <v>817</v>
      </c>
      <c r="B11" s="134">
        <v>46.6</v>
      </c>
      <c r="C11" s="134">
        <v>30.46</v>
      </c>
      <c r="D11" s="134">
        <v>54.64</v>
      </c>
      <c r="E11" s="134">
        <v>7.47</v>
      </c>
      <c r="F11" s="134">
        <v>2.6</v>
      </c>
      <c r="G11" s="134">
        <v>108.82</v>
      </c>
      <c r="H11" s="134">
        <v>36.33</v>
      </c>
      <c r="I11" s="134">
        <v>9.6300000000000008</v>
      </c>
      <c r="J11" s="134">
        <v>0.16</v>
      </c>
      <c r="K11" s="134">
        <v>152.27000000000001</v>
      </c>
      <c r="L11" s="134">
        <v>19.809999999999999</v>
      </c>
      <c r="M11" s="134">
        <v>88.44</v>
      </c>
      <c r="N11" s="134">
        <v>0</v>
      </c>
      <c r="O11" s="134">
        <v>0</v>
      </c>
      <c r="P11" s="134">
        <v>1.1000000000000001</v>
      </c>
      <c r="Q11" s="134">
        <v>6.03</v>
      </c>
    </row>
    <row r="12" spans="1:21" customFormat="1">
      <c r="A12" s="112" t="s">
        <v>818</v>
      </c>
      <c r="B12" s="134">
        <v>46.13</v>
      </c>
      <c r="C12" s="134">
        <v>30.35</v>
      </c>
      <c r="D12" s="134">
        <v>54.2</v>
      </c>
      <c r="E12" s="134">
        <v>7.47</v>
      </c>
      <c r="F12" s="134">
        <v>2.65</v>
      </c>
      <c r="G12" s="134">
        <v>105.58</v>
      </c>
      <c r="H12" s="134">
        <v>35.880000000000003</v>
      </c>
      <c r="I12" s="134">
        <v>9.6300000000000008</v>
      </c>
      <c r="J12" s="134">
        <v>0.09</v>
      </c>
      <c r="K12" s="134">
        <v>153.97</v>
      </c>
      <c r="L12" s="134">
        <v>19.78</v>
      </c>
      <c r="M12" s="134">
        <v>88.26</v>
      </c>
      <c r="N12" s="134">
        <v>0</v>
      </c>
      <c r="O12" s="134">
        <v>0</v>
      </c>
      <c r="P12" s="134">
        <v>1.0900000000000001</v>
      </c>
      <c r="Q12" s="134">
        <v>6.04</v>
      </c>
    </row>
    <row r="13" spans="1:21" customFormat="1">
      <c r="A13" s="112" t="s">
        <v>819</v>
      </c>
      <c r="B13" s="134">
        <v>46.48</v>
      </c>
      <c r="C13" s="134">
        <v>28.01</v>
      </c>
      <c r="D13" s="134">
        <v>53.26</v>
      </c>
      <c r="E13" s="134">
        <v>6.79</v>
      </c>
      <c r="F13" s="134">
        <v>2.87</v>
      </c>
      <c r="G13" s="134">
        <v>105.58</v>
      </c>
      <c r="H13" s="134">
        <v>35.880000000000003</v>
      </c>
      <c r="I13" s="134">
        <v>9.61</v>
      </c>
      <c r="J13" s="134">
        <v>7.0000000000000007E-2</v>
      </c>
      <c r="K13" s="134">
        <v>178.22</v>
      </c>
      <c r="L13" s="134">
        <v>19.79</v>
      </c>
      <c r="M13" s="134">
        <v>85.79</v>
      </c>
      <c r="N13" s="134">
        <v>0</v>
      </c>
      <c r="O13" s="134">
        <v>0</v>
      </c>
      <c r="P13" s="134">
        <v>1.05</v>
      </c>
      <c r="Q13" s="134">
        <v>6.04</v>
      </c>
    </row>
    <row r="14" spans="1:21" customFormat="1">
      <c r="A14" s="112" t="s">
        <v>820</v>
      </c>
      <c r="B14" s="134">
        <v>49.1</v>
      </c>
      <c r="C14" s="134">
        <v>27.97</v>
      </c>
      <c r="D14" s="134">
        <v>55.34</v>
      </c>
      <c r="E14" s="134">
        <v>6.41</v>
      </c>
      <c r="F14" s="134">
        <v>2.57</v>
      </c>
      <c r="G14" s="134">
        <v>105.58</v>
      </c>
      <c r="H14" s="134">
        <v>35.880000000000003</v>
      </c>
      <c r="I14" s="134">
        <v>9.6300000000000008</v>
      </c>
      <c r="J14" s="134">
        <v>0.03</v>
      </c>
      <c r="K14" s="134">
        <v>237.09</v>
      </c>
      <c r="L14" s="134">
        <v>19.87</v>
      </c>
      <c r="M14" s="134">
        <v>87.58</v>
      </c>
      <c r="N14" s="134">
        <v>0</v>
      </c>
      <c r="O14" s="134">
        <v>0</v>
      </c>
      <c r="P14" s="134">
        <v>1.06</v>
      </c>
      <c r="Q14" s="134">
        <v>6.1</v>
      </c>
    </row>
    <row r="15" spans="1:21" customFormat="1">
      <c r="A15" s="112" t="s">
        <v>821</v>
      </c>
      <c r="B15" s="134">
        <v>52.61</v>
      </c>
      <c r="C15" s="134">
        <v>27.46</v>
      </c>
      <c r="D15" s="134">
        <v>57.89</v>
      </c>
      <c r="E15" s="134">
        <v>6.62</v>
      </c>
      <c r="F15" s="134">
        <v>2.72</v>
      </c>
      <c r="G15" s="134">
        <v>106.06</v>
      </c>
      <c r="H15" s="134">
        <v>35.85</v>
      </c>
      <c r="I15" s="134">
        <v>9.64</v>
      </c>
      <c r="J15" s="134">
        <v>0.1</v>
      </c>
      <c r="K15" s="134">
        <v>17.48</v>
      </c>
      <c r="L15" s="134">
        <v>19.829999999999998</v>
      </c>
      <c r="M15" s="134">
        <v>85.27</v>
      </c>
      <c r="N15" s="134">
        <v>0</v>
      </c>
      <c r="O15" s="134">
        <v>0</v>
      </c>
      <c r="P15" s="134">
        <v>1.05</v>
      </c>
      <c r="Q15" s="134">
        <v>6.22</v>
      </c>
    </row>
    <row r="16" spans="1:21" customFormat="1">
      <c r="A16" s="112" t="s">
        <v>822</v>
      </c>
      <c r="B16" s="134">
        <v>55.12</v>
      </c>
      <c r="C16" s="134">
        <v>28.95</v>
      </c>
      <c r="D16" s="134">
        <v>60.68</v>
      </c>
      <c r="E16" s="134">
        <v>6.44</v>
      </c>
      <c r="F16" s="134">
        <v>2.37</v>
      </c>
      <c r="G16" s="134">
        <v>116.22</v>
      </c>
      <c r="H16" s="134">
        <v>35.36</v>
      </c>
      <c r="I16" s="134">
        <v>9.65</v>
      </c>
      <c r="J16" s="134">
        <v>0.09</v>
      </c>
      <c r="K16" s="134">
        <v>149.03</v>
      </c>
      <c r="L16" s="134">
        <v>19.8</v>
      </c>
      <c r="M16" s="134">
        <v>85.35</v>
      </c>
      <c r="N16" s="134">
        <v>0</v>
      </c>
      <c r="O16" s="134">
        <v>0</v>
      </c>
      <c r="P16" s="134">
        <v>1.07</v>
      </c>
      <c r="Q16" s="134">
        <v>6.28</v>
      </c>
    </row>
    <row r="17" spans="1:17" customFormat="1">
      <c r="A17" s="112" t="s">
        <v>823</v>
      </c>
      <c r="B17" s="134">
        <v>56.72</v>
      </c>
      <c r="C17" s="134">
        <v>28.3</v>
      </c>
      <c r="D17" s="134">
        <v>61.63</v>
      </c>
      <c r="E17" s="134">
        <v>5.49</v>
      </c>
      <c r="F17" s="134">
        <v>2.56</v>
      </c>
      <c r="G17" s="134">
        <v>116.22</v>
      </c>
      <c r="H17" s="134">
        <v>35.36</v>
      </c>
      <c r="I17" s="134">
        <v>9.65</v>
      </c>
      <c r="J17" s="134">
        <v>0.09</v>
      </c>
      <c r="K17" s="134">
        <v>155.94999999999999</v>
      </c>
      <c r="L17" s="134">
        <v>19.690000000000001</v>
      </c>
      <c r="M17" s="134">
        <v>84.47</v>
      </c>
      <c r="N17" s="134">
        <v>0</v>
      </c>
      <c r="O17" s="134">
        <v>0</v>
      </c>
      <c r="P17" s="134">
        <v>1.06</v>
      </c>
      <c r="Q17" s="134">
        <v>6.33</v>
      </c>
    </row>
    <row r="18" spans="1:17" customFormat="1">
      <c r="A18" s="112" t="s">
        <v>824</v>
      </c>
      <c r="B18" s="134">
        <v>57.33</v>
      </c>
      <c r="C18" s="134">
        <v>28.61</v>
      </c>
      <c r="D18" s="134">
        <v>62.27</v>
      </c>
      <c r="E18" s="134">
        <v>6.91</v>
      </c>
      <c r="F18" s="134">
        <v>2.4700000000000002</v>
      </c>
      <c r="G18" s="134">
        <v>116.22</v>
      </c>
      <c r="H18" s="134">
        <v>35.36</v>
      </c>
      <c r="I18" s="134">
        <v>9.76</v>
      </c>
      <c r="J18" s="134">
        <v>0.12</v>
      </c>
      <c r="K18" s="134">
        <v>191.58</v>
      </c>
      <c r="L18" s="134">
        <v>19.510000000000002</v>
      </c>
      <c r="M18" s="134">
        <v>87.84</v>
      </c>
      <c r="N18" s="134">
        <v>0</v>
      </c>
      <c r="O18" s="134">
        <v>0</v>
      </c>
      <c r="P18" s="134">
        <v>1.07</v>
      </c>
      <c r="Q18" s="134">
        <v>6.38</v>
      </c>
    </row>
    <row r="19" spans="1:17" customFormat="1">
      <c r="A19" s="112" t="s">
        <v>825</v>
      </c>
      <c r="B19" s="134">
        <v>57.51</v>
      </c>
      <c r="C19" s="134">
        <v>27.48</v>
      </c>
      <c r="D19" s="134">
        <v>61.83</v>
      </c>
      <c r="E19" s="134">
        <v>6.54</v>
      </c>
      <c r="F19" s="134">
        <v>2.71</v>
      </c>
      <c r="G19" s="134">
        <v>116.24</v>
      </c>
      <c r="H19" s="134">
        <v>35.58</v>
      </c>
      <c r="I19" s="134">
        <v>9.8000000000000007</v>
      </c>
      <c r="J19" s="134">
        <v>0.05</v>
      </c>
      <c r="K19" s="134">
        <v>201.71</v>
      </c>
      <c r="L19" s="134">
        <v>19.25</v>
      </c>
      <c r="M19" s="134">
        <v>90.51</v>
      </c>
      <c r="N19" s="134">
        <v>0</v>
      </c>
      <c r="O19" s="134">
        <v>0</v>
      </c>
      <c r="P19" s="134">
        <v>1.05</v>
      </c>
      <c r="Q19" s="134">
        <v>6.42</v>
      </c>
    </row>
    <row r="20" spans="1:17" customFormat="1">
      <c r="A20" s="112" t="s">
        <v>826</v>
      </c>
      <c r="B20" s="134">
        <v>58.29</v>
      </c>
      <c r="C20" s="134">
        <v>28.72</v>
      </c>
      <c r="D20" s="134">
        <v>63.1</v>
      </c>
      <c r="E20" s="134">
        <v>6.24</v>
      </c>
      <c r="F20" s="134">
        <v>2.56</v>
      </c>
      <c r="G20" s="134">
        <v>116.76</v>
      </c>
      <c r="H20" s="134">
        <v>39.14</v>
      </c>
      <c r="I20" s="134">
        <v>9.9</v>
      </c>
      <c r="J20" s="134">
        <v>0.11</v>
      </c>
      <c r="K20" s="134">
        <v>147.24</v>
      </c>
      <c r="L20" s="134">
        <v>19.36</v>
      </c>
      <c r="M20" s="134">
        <v>87.44</v>
      </c>
      <c r="N20" s="134">
        <v>0</v>
      </c>
      <c r="O20" s="134">
        <v>0</v>
      </c>
      <c r="P20" s="134">
        <v>1.07</v>
      </c>
      <c r="Q20" s="134">
        <v>6.41</v>
      </c>
    </row>
    <row r="21" spans="1:17" customFormat="1">
      <c r="A21" s="112" t="s">
        <v>827</v>
      </c>
      <c r="B21" s="134">
        <v>59.76</v>
      </c>
      <c r="C21" s="134">
        <v>28.57</v>
      </c>
      <c r="D21" s="134">
        <v>64.2</v>
      </c>
      <c r="E21" s="134">
        <v>6.56</v>
      </c>
      <c r="F21" s="134">
        <v>2.58</v>
      </c>
      <c r="G21" s="134">
        <v>116.76</v>
      </c>
      <c r="H21" s="134">
        <v>39.14</v>
      </c>
      <c r="I21" s="134">
        <v>9.94</v>
      </c>
      <c r="J21" s="134">
        <v>0.11</v>
      </c>
      <c r="K21" s="134">
        <v>166.01</v>
      </c>
      <c r="L21" s="134">
        <v>19.399999999999999</v>
      </c>
      <c r="M21" s="134">
        <v>85.64</v>
      </c>
      <c r="N21" s="134">
        <v>0</v>
      </c>
      <c r="O21" s="134">
        <v>0</v>
      </c>
      <c r="P21" s="134">
        <v>1.07</v>
      </c>
      <c r="Q21" s="134">
        <v>6.42</v>
      </c>
    </row>
    <row r="22" spans="1:17" customFormat="1">
      <c r="A22" s="112" t="s">
        <v>828</v>
      </c>
      <c r="B22" s="134">
        <v>60.1</v>
      </c>
      <c r="C22" s="134">
        <v>28.55</v>
      </c>
      <c r="D22" s="134">
        <v>64.459999999999994</v>
      </c>
      <c r="E22" s="134">
        <v>6.51</v>
      </c>
      <c r="F22" s="134">
        <v>2.63</v>
      </c>
      <c r="G22" s="134">
        <v>116.76</v>
      </c>
      <c r="H22" s="134">
        <v>39.14</v>
      </c>
      <c r="I22" s="134">
        <v>10.050000000000001</v>
      </c>
      <c r="J22" s="134">
        <v>0.05</v>
      </c>
      <c r="K22" s="134">
        <v>240.27</v>
      </c>
      <c r="L22" s="134">
        <v>19.239999999999998</v>
      </c>
      <c r="M22" s="134">
        <v>89.62</v>
      </c>
      <c r="N22" s="134">
        <v>0</v>
      </c>
      <c r="O22" s="134">
        <v>0</v>
      </c>
      <c r="P22" s="134">
        <v>1.06</v>
      </c>
      <c r="Q22" s="134">
        <v>6.47</v>
      </c>
    </row>
    <row r="23" spans="1:17" customFormat="1">
      <c r="A23" s="112" t="s">
        <v>829</v>
      </c>
      <c r="B23" s="134">
        <v>59.98</v>
      </c>
      <c r="C23" s="134">
        <v>28.21</v>
      </c>
      <c r="D23" s="134">
        <v>64.180000000000007</v>
      </c>
      <c r="E23" s="134">
        <v>6.7</v>
      </c>
      <c r="F23" s="134">
        <v>2.62</v>
      </c>
      <c r="G23" s="134">
        <v>116.74</v>
      </c>
      <c r="H23" s="134">
        <v>39.17</v>
      </c>
      <c r="I23" s="134">
        <v>10.07</v>
      </c>
      <c r="J23" s="134">
        <v>0.09</v>
      </c>
      <c r="K23" s="134">
        <v>157.07</v>
      </c>
      <c r="L23" s="134">
        <v>19.16</v>
      </c>
      <c r="M23" s="134">
        <v>89.16</v>
      </c>
      <c r="N23" s="134">
        <v>0</v>
      </c>
      <c r="O23" s="134">
        <v>0</v>
      </c>
      <c r="P23" s="134">
        <v>1.05</v>
      </c>
      <c r="Q23" s="134">
        <v>6.51</v>
      </c>
    </row>
    <row r="24" spans="1:17" customFormat="1">
      <c r="A24" s="112" t="s">
        <v>830</v>
      </c>
      <c r="B24" s="134">
        <v>60.6</v>
      </c>
      <c r="C24" s="134">
        <v>27.57</v>
      </c>
      <c r="D24" s="134">
        <v>64.36</v>
      </c>
      <c r="E24" s="134">
        <v>6.61</v>
      </c>
      <c r="F24" s="134">
        <v>2.56</v>
      </c>
      <c r="G24" s="134">
        <v>116.39</v>
      </c>
      <c r="H24" s="134">
        <v>39.619999999999997</v>
      </c>
      <c r="I24" s="134">
        <v>10.06</v>
      </c>
      <c r="J24" s="134">
        <v>0.11</v>
      </c>
      <c r="K24" s="134">
        <v>161.28</v>
      </c>
      <c r="L24" s="134">
        <v>19.29</v>
      </c>
      <c r="M24" s="134">
        <v>86.25</v>
      </c>
      <c r="N24" s="134">
        <v>0</v>
      </c>
      <c r="O24" s="134">
        <v>0</v>
      </c>
      <c r="P24" s="134">
        <v>1.04</v>
      </c>
      <c r="Q24" s="134">
        <v>6.51</v>
      </c>
    </row>
    <row r="25" spans="1:17" customFormat="1">
      <c r="A25" s="112" t="s">
        <v>831</v>
      </c>
      <c r="B25" s="134">
        <v>60.87</v>
      </c>
      <c r="C25" s="134">
        <v>28.32</v>
      </c>
      <c r="D25" s="134">
        <v>64.959999999999994</v>
      </c>
      <c r="E25" s="134">
        <v>6.72</v>
      </c>
      <c r="F25" s="134">
        <v>2.21</v>
      </c>
      <c r="G25" s="134">
        <v>116.39</v>
      </c>
      <c r="H25" s="134">
        <v>39.619999999999997</v>
      </c>
      <c r="I25" s="134">
        <v>10.11</v>
      </c>
      <c r="J25" s="134">
        <v>0.1</v>
      </c>
      <c r="K25" s="134">
        <v>164.15</v>
      </c>
      <c r="L25" s="134">
        <v>19.22</v>
      </c>
      <c r="M25" s="134">
        <v>86.02</v>
      </c>
      <c r="N25" s="134">
        <v>0</v>
      </c>
      <c r="O25" s="134">
        <v>0</v>
      </c>
      <c r="P25" s="134">
        <v>1.04</v>
      </c>
      <c r="Q25" s="134">
        <v>6.53</v>
      </c>
    </row>
    <row r="26" spans="1:17" customFormat="1">
      <c r="A26" s="112" t="s">
        <v>832</v>
      </c>
      <c r="B26" s="134">
        <v>60.68</v>
      </c>
      <c r="C26" s="134">
        <v>28.31</v>
      </c>
      <c r="D26" s="134">
        <v>64.8</v>
      </c>
      <c r="E26" s="134">
        <v>6.43</v>
      </c>
      <c r="F26" s="134">
        <v>2.5299999999999998</v>
      </c>
      <c r="G26" s="134">
        <v>116.39</v>
      </c>
      <c r="H26" s="134">
        <v>39.619999999999997</v>
      </c>
      <c r="I26" s="134">
        <v>10.029999999999999</v>
      </c>
      <c r="J26" s="134">
        <v>0.09</v>
      </c>
      <c r="K26" s="134">
        <v>209.32</v>
      </c>
      <c r="L26" s="134">
        <v>19.02</v>
      </c>
      <c r="M26" s="134">
        <v>89.68</v>
      </c>
      <c r="N26" s="134">
        <v>0</v>
      </c>
      <c r="O26" s="134">
        <v>0</v>
      </c>
      <c r="P26" s="134">
        <v>1.03</v>
      </c>
      <c r="Q26" s="134">
        <v>6.5</v>
      </c>
    </row>
    <row r="27" spans="1:17" customFormat="1">
      <c r="A27" s="112" t="s">
        <v>833</v>
      </c>
      <c r="B27" s="134">
        <v>59.96</v>
      </c>
      <c r="C27" s="134">
        <v>27.14</v>
      </c>
      <c r="D27" s="134">
        <v>63.61</v>
      </c>
      <c r="E27" s="134">
        <v>6.51</v>
      </c>
      <c r="F27" s="134">
        <v>2.69</v>
      </c>
      <c r="G27" s="134">
        <v>115.94</v>
      </c>
      <c r="H27" s="134">
        <v>39.49</v>
      </c>
      <c r="I27" s="134">
        <v>9.99</v>
      </c>
      <c r="J27" s="134">
        <v>0.14000000000000001</v>
      </c>
      <c r="K27" s="134">
        <v>248.29</v>
      </c>
      <c r="L27" s="134">
        <v>18.73</v>
      </c>
      <c r="M27" s="134">
        <v>92.99</v>
      </c>
      <c r="N27" s="134">
        <v>0</v>
      </c>
      <c r="O27" s="134">
        <v>0</v>
      </c>
      <c r="P27" s="134">
        <v>1.01</v>
      </c>
      <c r="Q27" s="134">
        <v>6.49</v>
      </c>
    </row>
    <row r="28" spans="1:17" customFormat="1">
      <c r="A28" s="112" t="s">
        <v>834</v>
      </c>
      <c r="B28" s="134">
        <v>58.66</v>
      </c>
      <c r="C28" s="134">
        <v>27.57</v>
      </c>
      <c r="D28" s="134">
        <v>62.79</v>
      </c>
      <c r="E28" s="134">
        <v>7</v>
      </c>
      <c r="F28" s="134">
        <v>2.44</v>
      </c>
      <c r="G28" s="134">
        <v>106.33</v>
      </c>
      <c r="H28" s="134">
        <v>37.49</v>
      </c>
      <c r="I28" s="134">
        <v>9.9499999999999993</v>
      </c>
      <c r="J28" s="134">
        <v>7.0000000000000007E-2</v>
      </c>
      <c r="K28" s="134">
        <v>207.48</v>
      </c>
      <c r="L28" s="134">
        <v>18.54</v>
      </c>
      <c r="M28" s="134">
        <v>92.96</v>
      </c>
      <c r="N28" s="134">
        <v>0</v>
      </c>
      <c r="O28" s="134">
        <v>0</v>
      </c>
      <c r="P28" s="134">
        <v>1.01</v>
      </c>
      <c r="Q28" s="134">
        <v>6.45</v>
      </c>
    </row>
    <row r="29" spans="1:17" customFormat="1">
      <c r="A29" s="112" t="s">
        <v>835</v>
      </c>
      <c r="B29" s="134">
        <v>58.57</v>
      </c>
      <c r="C29" s="134">
        <v>27.11</v>
      </c>
      <c r="D29" s="134">
        <v>62.48</v>
      </c>
      <c r="E29" s="134">
        <v>6.87</v>
      </c>
      <c r="F29" s="134">
        <v>2.4500000000000002</v>
      </c>
      <c r="G29" s="134">
        <v>106.33</v>
      </c>
      <c r="H29" s="134">
        <v>37.49</v>
      </c>
      <c r="I29" s="134">
        <v>9.8699999999999992</v>
      </c>
      <c r="J29" s="134">
        <v>0.08</v>
      </c>
      <c r="K29" s="134">
        <v>159.15</v>
      </c>
      <c r="L29" s="134">
        <v>18.55</v>
      </c>
      <c r="M29" s="134">
        <v>92.41</v>
      </c>
      <c r="N29" s="134">
        <v>0</v>
      </c>
      <c r="O29" s="134">
        <v>0</v>
      </c>
      <c r="P29" s="134">
        <v>1</v>
      </c>
      <c r="Q29" s="134">
        <v>6.43</v>
      </c>
    </row>
    <row r="30" spans="1:17" customFormat="1">
      <c r="A30" s="112" t="s">
        <v>836</v>
      </c>
      <c r="B30" s="134">
        <v>60.21</v>
      </c>
      <c r="C30" s="134">
        <v>26.97</v>
      </c>
      <c r="D30" s="134">
        <v>63.72</v>
      </c>
      <c r="E30" s="134">
        <v>6.88</v>
      </c>
      <c r="F30" s="134">
        <v>2.64</v>
      </c>
      <c r="G30" s="134">
        <v>106.33</v>
      </c>
      <c r="H30" s="134">
        <v>37.49</v>
      </c>
      <c r="I30" s="134">
        <v>9.86</v>
      </c>
      <c r="J30" s="134">
        <v>0.1</v>
      </c>
      <c r="K30" s="134">
        <v>181.04</v>
      </c>
      <c r="L30" s="134">
        <v>18.489999999999998</v>
      </c>
      <c r="M30" s="134">
        <v>92.22</v>
      </c>
      <c r="N30" s="134">
        <v>0</v>
      </c>
      <c r="O30" s="134">
        <v>0</v>
      </c>
      <c r="P30" s="134">
        <v>0.99</v>
      </c>
      <c r="Q30" s="134">
        <v>6.49</v>
      </c>
    </row>
    <row r="31" spans="1:17" customFormat="1">
      <c r="A31" s="112" t="s">
        <v>837</v>
      </c>
      <c r="B31" s="134">
        <v>61.92</v>
      </c>
      <c r="C31" s="134">
        <v>26.54</v>
      </c>
      <c r="D31" s="134">
        <v>64.87</v>
      </c>
      <c r="E31" s="134">
        <v>6.61</v>
      </c>
      <c r="F31" s="134">
        <v>2.52</v>
      </c>
      <c r="G31" s="134">
        <v>106.07</v>
      </c>
      <c r="H31" s="134">
        <v>37.43</v>
      </c>
      <c r="I31" s="134">
        <v>9.81</v>
      </c>
      <c r="J31" s="134">
        <v>0.22</v>
      </c>
      <c r="K31" s="134">
        <v>169.88</v>
      </c>
      <c r="L31" s="134">
        <v>18.53</v>
      </c>
      <c r="M31" s="134">
        <v>93.72</v>
      </c>
      <c r="N31" s="134">
        <v>0</v>
      </c>
      <c r="O31" s="134">
        <v>0</v>
      </c>
      <c r="P31" s="134">
        <v>1</v>
      </c>
      <c r="Q31" s="134">
        <v>6.55</v>
      </c>
    </row>
    <row r="32" spans="1:17" customFormat="1">
      <c r="A32" s="112" t="s">
        <v>838</v>
      </c>
      <c r="B32" s="134">
        <v>60.96</v>
      </c>
      <c r="C32" s="134">
        <v>26.87</v>
      </c>
      <c r="D32" s="134">
        <v>64.27</v>
      </c>
      <c r="E32" s="134">
        <v>6.79</v>
      </c>
      <c r="F32" s="134">
        <v>2.52</v>
      </c>
      <c r="G32" s="134">
        <v>100.42</v>
      </c>
      <c r="H32" s="134">
        <v>36.409999999999997</v>
      </c>
      <c r="I32" s="134">
        <v>9.7899999999999991</v>
      </c>
      <c r="J32" s="134">
        <v>0.11</v>
      </c>
      <c r="K32" s="134">
        <v>162.5</v>
      </c>
      <c r="L32" s="134">
        <v>18.32</v>
      </c>
      <c r="M32" s="134">
        <v>92.87</v>
      </c>
      <c r="N32" s="134">
        <v>0</v>
      </c>
      <c r="O32" s="134">
        <v>0</v>
      </c>
      <c r="P32" s="134">
        <v>1.01</v>
      </c>
      <c r="Q32" s="134">
        <v>6.54</v>
      </c>
    </row>
    <row r="33" spans="1:17" customFormat="1">
      <c r="A33" s="112" t="s">
        <v>839</v>
      </c>
      <c r="B33" s="134">
        <v>59.12</v>
      </c>
      <c r="C33" s="134">
        <v>27.12</v>
      </c>
      <c r="D33" s="134">
        <v>62.93</v>
      </c>
      <c r="E33" s="134">
        <v>6.67</v>
      </c>
      <c r="F33" s="134">
        <v>2.64</v>
      </c>
      <c r="G33" s="134">
        <v>100.42</v>
      </c>
      <c r="H33" s="134">
        <v>36.409999999999997</v>
      </c>
      <c r="I33" s="134">
        <v>9.77</v>
      </c>
      <c r="J33" s="134">
        <v>0.12</v>
      </c>
      <c r="K33" s="134">
        <v>133.54</v>
      </c>
      <c r="L33" s="134">
        <v>18.21</v>
      </c>
      <c r="M33" s="134">
        <v>93.21</v>
      </c>
      <c r="N33" s="134">
        <v>0</v>
      </c>
      <c r="O33" s="134">
        <v>0</v>
      </c>
      <c r="P33" s="134">
        <v>1</v>
      </c>
      <c r="Q33" s="134">
        <v>6.48</v>
      </c>
    </row>
    <row r="34" spans="1:17" customFormat="1">
      <c r="A34" s="112" t="s">
        <v>840</v>
      </c>
      <c r="B34" s="134">
        <v>57.98</v>
      </c>
      <c r="C34" s="134">
        <v>27.21</v>
      </c>
      <c r="D34" s="134">
        <v>62.06</v>
      </c>
      <c r="E34" s="134">
        <v>6.82</v>
      </c>
      <c r="F34" s="134">
        <v>2.69</v>
      </c>
      <c r="G34" s="134">
        <v>100.42</v>
      </c>
      <c r="H34" s="134">
        <v>36.409999999999997</v>
      </c>
      <c r="I34" s="134">
        <v>9.73</v>
      </c>
      <c r="J34" s="134">
        <v>0.1</v>
      </c>
      <c r="K34" s="134">
        <v>103.05</v>
      </c>
      <c r="L34" s="134">
        <v>18.329999999999998</v>
      </c>
      <c r="M34" s="134">
        <v>90.9</v>
      </c>
      <c r="N34" s="134">
        <v>0</v>
      </c>
      <c r="O34" s="134">
        <v>0</v>
      </c>
      <c r="P34" s="134">
        <v>1</v>
      </c>
      <c r="Q34" s="134">
        <v>6.42</v>
      </c>
    </row>
    <row r="35" spans="1:17" customFormat="1">
      <c r="A35" s="112" t="s">
        <v>841</v>
      </c>
      <c r="B35" s="134">
        <v>59.77</v>
      </c>
      <c r="C35" s="134">
        <v>27.31</v>
      </c>
      <c r="D35" s="134">
        <v>63.55</v>
      </c>
      <c r="E35" s="134">
        <v>6.67</v>
      </c>
      <c r="F35" s="134">
        <v>2.7</v>
      </c>
      <c r="G35" s="134">
        <v>100.47</v>
      </c>
      <c r="H35" s="134">
        <v>36.43</v>
      </c>
      <c r="I35" s="134">
        <v>9.67</v>
      </c>
      <c r="J35" s="134">
        <v>0.04</v>
      </c>
      <c r="K35" s="134">
        <v>356.98</v>
      </c>
      <c r="L35" s="134">
        <v>18.489999999999998</v>
      </c>
      <c r="M35" s="134">
        <v>89.28</v>
      </c>
      <c r="N35" s="134">
        <v>5.4</v>
      </c>
      <c r="O35" s="134">
        <v>0</v>
      </c>
      <c r="P35" s="134">
        <v>1.02</v>
      </c>
      <c r="Q35" s="134">
        <v>6.45</v>
      </c>
    </row>
    <row r="36" spans="1:17" customFormat="1">
      <c r="A36" s="112" t="s">
        <v>842</v>
      </c>
      <c r="B36" s="134">
        <v>62.12</v>
      </c>
      <c r="C36" s="134">
        <v>27.9</v>
      </c>
      <c r="D36" s="134">
        <v>65.739999999999995</v>
      </c>
      <c r="E36" s="134">
        <v>6.98</v>
      </c>
      <c r="F36" s="134">
        <v>2.67</v>
      </c>
      <c r="G36" s="134">
        <v>101.61</v>
      </c>
      <c r="H36" s="134">
        <v>36.69</v>
      </c>
      <c r="I36" s="134">
        <v>9.65</v>
      </c>
      <c r="J36" s="134">
        <v>0.12</v>
      </c>
      <c r="K36" s="134">
        <v>150.75</v>
      </c>
      <c r="L36" s="134">
        <v>18.899999999999999</v>
      </c>
      <c r="M36" s="134">
        <v>88.33</v>
      </c>
      <c r="N36" s="134">
        <v>26.6</v>
      </c>
      <c r="O36" s="134">
        <v>0</v>
      </c>
      <c r="P36" s="134">
        <v>1.04</v>
      </c>
      <c r="Q36" s="134">
        <v>6.52</v>
      </c>
    </row>
    <row r="37" spans="1:17" customFormat="1">
      <c r="A37" s="112" t="s">
        <v>843</v>
      </c>
      <c r="B37" s="134">
        <v>63.53</v>
      </c>
      <c r="C37" s="134">
        <v>28.23</v>
      </c>
      <c r="D37" s="134">
        <v>67.05</v>
      </c>
      <c r="E37" s="134">
        <v>7.32</v>
      </c>
      <c r="F37" s="134">
        <v>2.46</v>
      </c>
      <c r="G37" s="134">
        <v>101.61</v>
      </c>
      <c r="H37" s="134">
        <v>36.69</v>
      </c>
      <c r="I37" s="134">
        <v>9.7100000000000009</v>
      </c>
      <c r="J37" s="134">
        <v>0.09</v>
      </c>
      <c r="K37" s="134">
        <v>219.25</v>
      </c>
      <c r="L37" s="134">
        <v>19.45</v>
      </c>
      <c r="M37" s="134">
        <v>87.47</v>
      </c>
      <c r="N37" s="134">
        <v>43</v>
      </c>
      <c r="O37" s="134">
        <v>0</v>
      </c>
      <c r="P37" s="134">
        <v>1.05</v>
      </c>
      <c r="Q37" s="134">
        <v>6.58</v>
      </c>
    </row>
    <row r="38" spans="1:17" customFormat="1">
      <c r="A38" s="112" t="s">
        <v>844</v>
      </c>
      <c r="B38" s="134">
        <v>63.73</v>
      </c>
      <c r="C38" s="134">
        <v>28.76</v>
      </c>
      <c r="D38" s="134">
        <v>67.48</v>
      </c>
      <c r="E38" s="134">
        <v>7.3</v>
      </c>
      <c r="F38" s="134">
        <v>2.59</v>
      </c>
      <c r="G38" s="134">
        <v>101.61</v>
      </c>
      <c r="H38" s="134">
        <v>36.69</v>
      </c>
      <c r="I38" s="134">
        <v>9.85</v>
      </c>
      <c r="J38" s="134">
        <v>0.13</v>
      </c>
      <c r="K38" s="134">
        <v>151.06</v>
      </c>
      <c r="L38" s="134">
        <v>20.3</v>
      </c>
      <c r="M38" s="134">
        <v>83.83</v>
      </c>
      <c r="N38" s="134">
        <v>59.4</v>
      </c>
      <c r="O38" s="134">
        <v>0</v>
      </c>
      <c r="P38" s="134">
        <v>1.07</v>
      </c>
      <c r="Q38" s="134">
        <v>6.71</v>
      </c>
    </row>
    <row r="39" spans="1:17" customFormat="1">
      <c r="A39" s="112" t="s">
        <v>845</v>
      </c>
      <c r="B39" s="134">
        <v>62.82</v>
      </c>
      <c r="C39" s="134">
        <v>29.08</v>
      </c>
      <c r="D39" s="134">
        <v>66.92</v>
      </c>
      <c r="E39" s="134">
        <v>7.46</v>
      </c>
      <c r="F39" s="134">
        <v>2.54</v>
      </c>
      <c r="G39" s="134">
        <v>102.33</v>
      </c>
      <c r="H39" s="134">
        <v>36.97</v>
      </c>
      <c r="I39" s="134">
        <v>10</v>
      </c>
      <c r="J39" s="134">
        <v>0.13</v>
      </c>
      <c r="K39" s="134">
        <v>60.11</v>
      </c>
      <c r="L39" s="134">
        <v>21.36</v>
      </c>
      <c r="M39" s="134">
        <v>73.63</v>
      </c>
      <c r="N39" s="134">
        <v>137.30000000000001</v>
      </c>
      <c r="O39" s="134">
        <v>0</v>
      </c>
      <c r="P39" s="134">
        <v>1.08</v>
      </c>
      <c r="Q39" s="134">
        <v>6.75</v>
      </c>
    </row>
    <row r="40" spans="1:17" customFormat="1">
      <c r="A40" s="112" t="s">
        <v>846</v>
      </c>
      <c r="B40" s="134">
        <v>60.76</v>
      </c>
      <c r="C40" s="134">
        <v>29.66</v>
      </c>
      <c r="D40" s="134">
        <v>65.58</v>
      </c>
      <c r="E40" s="134">
        <v>7.46</v>
      </c>
      <c r="F40" s="134">
        <v>2.54</v>
      </c>
      <c r="G40" s="134">
        <v>117.81</v>
      </c>
      <c r="H40" s="134">
        <v>41.34</v>
      </c>
      <c r="I40" s="134">
        <v>10.11</v>
      </c>
      <c r="J40" s="134">
        <v>0.3</v>
      </c>
      <c r="K40" s="134">
        <v>36.49</v>
      </c>
      <c r="L40" s="134">
        <v>22.07</v>
      </c>
      <c r="M40" s="134">
        <v>67.59</v>
      </c>
      <c r="N40" s="134">
        <v>191.6</v>
      </c>
      <c r="O40" s="134">
        <v>0</v>
      </c>
      <c r="P40" s="134">
        <v>1.08</v>
      </c>
      <c r="Q40" s="134">
        <v>6.66</v>
      </c>
    </row>
    <row r="41" spans="1:17" customFormat="1">
      <c r="A41" s="112" t="s">
        <v>847</v>
      </c>
      <c r="B41" s="134">
        <v>58.31</v>
      </c>
      <c r="C41" s="134">
        <v>30.05</v>
      </c>
      <c r="D41" s="134">
        <v>63.81</v>
      </c>
      <c r="E41" s="134">
        <v>7.44</v>
      </c>
      <c r="F41" s="134">
        <v>2.67</v>
      </c>
      <c r="G41" s="134">
        <v>117.81</v>
      </c>
      <c r="H41" s="134">
        <v>41.34</v>
      </c>
      <c r="I41" s="134">
        <v>10.19</v>
      </c>
      <c r="J41" s="134">
        <v>0.44</v>
      </c>
      <c r="K41" s="134">
        <v>34.380000000000003</v>
      </c>
      <c r="L41" s="134">
        <v>22.69</v>
      </c>
      <c r="M41" s="134">
        <v>66.08</v>
      </c>
      <c r="N41" s="134">
        <v>232.3</v>
      </c>
      <c r="O41" s="134">
        <v>0</v>
      </c>
      <c r="P41" s="134">
        <v>1.08</v>
      </c>
      <c r="Q41" s="134">
        <v>6.59</v>
      </c>
    </row>
    <row r="42" spans="1:17" customFormat="1">
      <c r="A42" s="112" t="s">
        <v>848</v>
      </c>
      <c r="B42" s="134">
        <v>55.71</v>
      </c>
      <c r="C42" s="134">
        <v>31.29</v>
      </c>
      <c r="D42" s="134">
        <v>62.37</v>
      </c>
      <c r="E42" s="134">
        <v>7.47</v>
      </c>
      <c r="F42" s="134">
        <v>2.66</v>
      </c>
      <c r="G42" s="134">
        <v>117.81</v>
      </c>
      <c r="H42" s="134">
        <v>41.34</v>
      </c>
      <c r="I42" s="134">
        <v>10.17</v>
      </c>
      <c r="J42" s="134">
        <v>0.35</v>
      </c>
      <c r="K42" s="134">
        <v>39.44</v>
      </c>
      <c r="L42" s="134">
        <v>23.57</v>
      </c>
      <c r="M42" s="134">
        <v>67.41</v>
      </c>
      <c r="N42" s="134">
        <v>275.5</v>
      </c>
      <c r="O42" s="134">
        <v>0</v>
      </c>
      <c r="P42" s="134">
        <v>1.0900000000000001</v>
      </c>
      <c r="Q42" s="134">
        <v>6.52</v>
      </c>
    </row>
    <row r="43" spans="1:17" customFormat="1">
      <c r="A43" s="112" t="s">
        <v>849</v>
      </c>
      <c r="B43" s="134">
        <v>53.04</v>
      </c>
      <c r="C43" s="134">
        <v>31.95</v>
      </c>
      <c r="D43" s="134">
        <v>60.58</v>
      </c>
      <c r="E43" s="134">
        <v>7.59</v>
      </c>
      <c r="F43" s="134">
        <v>2.86</v>
      </c>
      <c r="G43" s="134">
        <v>118.17</v>
      </c>
      <c r="H43" s="134">
        <v>41.79</v>
      </c>
      <c r="I43" s="134">
        <v>10.210000000000001</v>
      </c>
      <c r="J43" s="134">
        <v>0.28000000000000003</v>
      </c>
      <c r="K43" s="134">
        <v>53.81</v>
      </c>
      <c r="L43" s="134">
        <v>24.68</v>
      </c>
      <c r="M43" s="134">
        <v>65.290000000000006</v>
      </c>
      <c r="N43" s="134">
        <v>315.60000000000002</v>
      </c>
      <c r="O43" s="134">
        <v>0</v>
      </c>
      <c r="P43" s="134">
        <v>1.1000000000000001</v>
      </c>
      <c r="Q43" s="134">
        <v>6.41</v>
      </c>
    </row>
    <row r="44" spans="1:17" customFormat="1">
      <c r="A44" s="112" t="s">
        <v>850</v>
      </c>
      <c r="B44" s="134">
        <v>50.21</v>
      </c>
      <c r="C44" s="134">
        <v>32.590000000000003</v>
      </c>
      <c r="D44" s="134">
        <v>58.64</v>
      </c>
      <c r="E44" s="134">
        <v>6.94</v>
      </c>
      <c r="F44" s="134">
        <v>2.84</v>
      </c>
      <c r="G44" s="134">
        <v>125.98</v>
      </c>
      <c r="H44" s="134">
        <v>48.76</v>
      </c>
      <c r="I44" s="134">
        <v>10.25</v>
      </c>
      <c r="J44" s="134">
        <v>0.28000000000000003</v>
      </c>
      <c r="K44" s="134">
        <v>51.73</v>
      </c>
      <c r="L44" s="134">
        <v>25.59</v>
      </c>
      <c r="M44" s="134">
        <v>61.44</v>
      </c>
      <c r="N44" s="134">
        <v>350.8</v>
      </c>
      <c r="O44" s="134">
        <v>0</v>
      </c>
      <c r="P44" s="134">
        <v>1.1100000000000001</v>
      </c>
      <c r="Q44" s="134">
        <v>6.33</v>
      </c>
    </row>
    <row r="45" spans="1:17" customFormat="1">
      <c r="A45" s="112" t="s">
        <v>851</v>
      </c>
      <c r="B45" s="134">
        <v>47.08</v>
      </c>
      <c r="C45" s="134">
        <v>33.33</v>
      </c>
      <c r="D45" s="134">
        <v>56.52</v>
      </c>
      <c r="E45" s="134">
        <v>7.58</v>
      </c>
      <c r="F45" s="134">
        <v>2.78</v>
      </c>
      <c r="G45" s="134">
        <v>125.98</v>
      </c>
      <c r="H45" s="134">
        <v>48.76</v>
      </c>
      <c r="I45" s="134">
        <v>10.35</v>
      </c>
      <c r="J45" s="134">
        <v>0.36</v>
      </c>
      <c r="K45" s="134">
        <v>50.4</v>
      </c>
      <c r="L45" s="134">
        <v>26.23</v>
      </c>
      <c r="M45" s="134">
        <v>57.21</v>
      </c>
      <c r="N45" s="134">
        <v>340.5</v>
      </c>
      <c r="O45" s="134">
        <v>0</v>
      </c>
      <c r="P45" s="134">
        <v>1.1200000000000001</v>
      </c>
      <c r="Q45" s="134">
        <v>6.22</v>
      </c>
    </row>
    <row r="46" spans="1:17" customFormat="1">
      <c r="A46" s="112" t="s">
        <v>852</v>
      </c>
      <c r="B46" s="134">
        <v>43.94</v>
      </c>
      <c r="C46" s="134">
        <v>34.25</v>
      </c>
      <c r="D46" s="134">
        <v>54.48</v>
      </c>
      <c r="E46" s="134">
        <v>7.77</v>
      </c>
      <c r="F46" s="134">
        <v>2.77</v>
      </c>
      <c r="G46" s="134">
        <v>125.98</v>
      </c>
      <c r="H46" s="134">
        <v>48.76</v>
      </c>
      <c r="I46" s="134">
        <v>10.4</v>
      </c>
      <c r="J46" s="134">
        <v>0.25</v>
      </c>
      <c r="K46" s="134">
        <v>54</v>
      </c>
      <c r="L46" s="134">
        <v>27.15</v>
      </c>
      <c r="M46" s="134">
        <v>53.04</v>
      </c>
      <c r="N46" s="134">
        <v>265.7</v>
      </c>
      <c r="O46" s="134">
        <v>0</v>
      </c>
      <c r="P46" s="134">
        <v>1.1299999999999999</v>
      </c>
      <c r="Q46" s="134">
        <v>6.1</v>
      </c>
    </row>
    <row r="47" spans="1:17" customFormat="1">
      <c r="A47" s="112" t="s">
        <v>853</v>
      </c>
      <c r="B47" s="134">
        <v>40.44</v>
      </c>
      <c r="C47" s="134">
        <v>34.659999999999997</v>
      </c>
      <c r="D47" s="134">
        <v>51.89</v>
      </c>
      <c r="E47" s="134">
        <v>7.9</v>
      </c>
      <c r="F47" s="134">
        <v>2.87</v>
      </c>
      <c r="G47" s="134">
        <v>126.07</v>
      </c>
      <c r="H47" s="134">
        <v>48.72</v>
      </c>
      <c r="I47" s="134">
        <v>10.42</v>
      </c>
      <c r="J47" s="134">
        <v>0.19</v>
      </c>
      <c r="K47" s="134">
        <v>120.33</v>
      </c>
      <c r="L47" s="134">
        <v>27.99</v>
      </c>
      <c r="M47" s="134">
        <v>46.88</v>
      </c>
      <c r="N47" s="134">
        <v>450.1</v>
      </c>
      <c r="O47" s="134">
        <v>0</v>
      </c>
      <c r="P47" s="134">
        <v>1.1299999999999999</v>
      </c>
      <c r="Q47" s="134">
        <v>5.93</v>
      </c>
    </row>
    <row r="48" spans="1:17" customFormat="1">
      <c r="A48" s="112" t="s">
        <v>854</v>
      </c>
      <c r="B48" s="134">
        <v>36.75</v>
      </c>
      <c r="C48" s="134">
        <v>35.369999999999997</v>
      </c>
      <c r="D48" s="134">
        <v>49.3</v>
      </c>
      <c r="E48" s="134">
        <v>8.08</v>
      </c>
      <c r="F48" s="134">
        <v>2.87</v>
      </c>
      <c r="G48" s="134">
        <v>128.07</v>
      </c>
      <c r="H48" s="134">
        <v>48.12</v>
      </c>
      <c r="I48" s="134">
        <v>10.41</v>
      </c>
      <c r="J48" s="134">
        <v>0.15</v>
      </c>
      <c r="K48" s="134">
        <v>196.18</v>
      </c>
      <c r="L48" s="134">
        <v>28.71</v>
      </c>
      <c r="M48" s="134">
        <v>44.86</v>
      </c>
      <c r="N48" s="134">
        <v>507.7</v>
      </c>
      <c r="O48" s="134">
        <v>0</v>
      </c>
      <c r="P48" s="134">
        <v>1.1200000000000001</v>
      </c>
      <c r="Q48" s="134">
        <v>5.84</v>
      </c>
    </row>
    <row r="49" spans="1:17" customFormat="1">
      <c r="A49" s="112" t="s">
        <v>855</v>
      </c>
      <c r="B49" s="134">
        <v>32.979999999999997</v>
      </c>
      <c r="C49" s="134">
        <v>35.26</v>
      </c>
      <c r="D49" s="134">
        <v>46.22</v>
      </c>
      <c r="E49" s="134">
        <v>5.87</v>
      </c>
      <c r="F49" s="134">
        <v>2.92</v>
      </c>
      <c r="G49" s="134">
        <v>128.07</v>
      </c>
      <c r="H49" s="134">
        <v>48.12</v>
      </c>
      <c r="I49" s="134">
        <v>10.32</v>
      </c>
      <c r="J49" s="134">
        <v>0.09</v>
      </c>
      <c r="K49" s="134">
        <v>159.46</v>
      </c>
      <c r="L49" s="134">
        <v>29.13</v>
      </c>
      <c r="M49" s="134">
        <v>44.41</v>
      </c>
      <c r="N49" s="134">
        <v>550.9</v>
      </c>
      <c r="O49" s="134">
        <v>0</v>
      </c>
      <c r="P49" s="134">
        <v>1.1000000000000001</v>
      </c>
      <c r="Q49" s="134">
        <v>5.66</v>
      </c>
    </row>
    <row r="50" spans="1:17" customFormat="1">
      <c r="A50" s="112" t="s">
        <v>856</v>
      </c>
      <c r="B50" s="134">
        <v>29.26</v>
      </c>
      <c r="C50" s="134">
        <v>35.06</v>
      </c>
      <c r="D50" s="134">
        <v>43.13</v>
      </c>
      <c r="E50" s="134">
        <v>6.29</v>
      </c>
      <c r="F50" s="134">
        <v>2.85</v>
      </c>
      <c r="G50" s="134">
        <v>128.07</v>
      </c>
      <c r="H50" s="134">
        <v>48.12</v>
      </c>
      <c r="I50" s="134">
        <v>10.199999999999999</v>
      </c>
      <c r="J50" s="134">
        <v>0.27</v>
      </c>
      <c r="K50" s="134">
        <v>169.78</v>
      </c>
      <c r="L50" s="134">
        <v>30.13</v>
      </c>
      <c r="M50" s="134">
        <v>39.01</v>
      </c>
      <c r="N50" s="134">
        <v>584.5</v>
      </c>
      <c r="O50" s="134">
        <v>0</v>
      </c>
      <c r="P50" s="134">
        <v>1.08</v>
      </c>
      <c r="Q50" s="134">
        <v>5.52</v>
      </c>
    </row>
    <row r="51" spans="1:17" customFormat="1">
      <c r="A51" s="112" t="s">
        <v>857</v>
      </c>
      <c r="B51" s="134">
        <v>25.71</v>
      </c>
      <c r="C51" s="134">
        <v>35.86</v>
      </c>
      <c r="D51" s="134">
        <v>40.700000000000003</v>
      </c>
      <c r="E51" s="134">
        <v>6.05</v>
      </c>
      <c r="F51" s="134">
        <v>2.75</v>
      </c>
      <c r="G51" s="134">
        <v>127.35</v>
      </c>
      <c r="H51" s="134">
        <v>47.83</v>
      </c>
      <c r="I51" s="134">
        <v>10.01</v>
      </c>
      <c r="J51" s="134">
        <v>0.26</v>
      </c>
      <c r="K51" s="134">
        <v>169.4</v>
      </c>
      <c r="L51" s="134">
        <v>30.44</v>
      </c>
      <c r="M51" s="134">
        <v>36.46</v>
      </c>
      <c r="N51" s="134">
        <v>607.9</v>
      </c>
      <c r="O51" s="134">
        <v>0</v>
      </c>
      <c r="P51" s="134">
        <v>1.05</v>
      </c>
      <c r="Q51" s="134">
        <v>5.37</v>
      </c>
    </row>
    <row r="52" spans="1:17" customFormat="1">
      <c r="A52" s="112" t="s">
        <v>858</v>
      </c>
      <c r="B52" s="134">
        <v>23.43</v>
      </c>
      <c r="C52" s="134">
        <v>34.590000000000003</v>
      </c>
      <c r="D52" s="134">
        <v>38.22</v>
      </c>
      <c r="E52" s="134">
        <v>6.21</v>
      </c>
      <c r="F52" s="134">
        <v>2.94</v>
      </c>
      <c r="G52" s="134">
        <v>111.88</v>
      </c>
      <c r="H52" s="134">
        <v>43.44</v>
      </c>
      <c r="I52" s="134">
        <v>9.82</v>
      </c>
      <c r="J52" s="134">
        <v>0.13</v>
      </c>
      <c r="K52" s="134">
        <v>52.16</v>
      </c>
      <c r="L52" s="134">
        <v>30.77</v>
      </c>
      <c r="M52" s="134">
        <v>34.33</v>
      </c>
      <c r="N52" s="134">
        <v>577</v>
      </c>
      <c r="O52" s="134">
        <v>0</v>
      </c>
      <c r="P52" s="134">
        <v>1.04</v>
      </c>
      <c r="Q52" s="134">
        <v>5.23</v>
      </c>
    </row>
    <row r="53" spans="1:17" customFormat="1">
      <c r="A53" s="112" t="s">
        <v>859</v>
      </c>
      <c r="B53" s="134">
        <v>21.44</v>
      </c>
      <c r="C53" s="134">
        <v>32.51</v>
      </c>
      <c r="D53" s="134">
        <v>35.53</v>
      </c>
      <c r="E53" s="134">
        <v>5.31</v>
      </c>
      <c r="F53" s="134">
        <v>3.21</v>
      </c>
      <c r="G53" s="134">
        <v>111.88</v>
      </c>
      <c r="H53" s="134">
        <v>43.44</v>
      </c>
      <c r="I53" s="134">
        <v>9.6300000000000008</v>
      </c>
      <c r="J53" s="134">
        <v>0.22</v>
      </c>
      <c r="K53" s="134">
        <v>70.02</v>
      </c>
      <c r="L53" s="134">
        <v>30.98</v>
      </c>
      <c r="M53" s="134">
        <v>32.86</v>
      </c>
      <c r="N53" s="134">
        <v>632.4</v>
      </c>
      <c r="O53" s="134">
        <v>0</v>
      </c>
      <c r="P53" s="134">
        <v>1.02</v>
      </c>
      <c r="Q53" s="134">
        <v>5.15</v>
      </c>
    </row>
    <row r="54" spans="1:17" customFormat="1">
      <c r="A54" s="112" t="s">
        <v>860</v>
      </c>
      <c r="B54" s="134">
        <v>19.66</v>
      </c>
      <c r="C54" s="134">
        <v>31.02</v>
      </c>
      <c r="D54" s="134">
        <v>33.32</v>
      </c>
      <c r="E54" s="134">
        <v>5.05</v>
      </c>
      <c r="F54" s="134">
        <v>3.05</v>
      </c>
      <c r="G54" s="134">
        <v>111.88</v>
      </c>
      <c r="H54" s="134">
        <v>43.44</v>
      </c>
      <c r="I54" s="134">
        <v>9.4499999999999993</v>
      </c>
      <c r="J54" s="134">
        <v>0.14000000000000001</v>
      </c>
      <c r="K54" s="134">
        <v>249.43</v>
      </c>
      <c r="L54" s="134">
        <v>31.05</v>
      </c>
      <c r="M54" s="134">
        <v>33.53</v>
      </c>
      <c r="N54" s="134">
        <v>644.6</v>
      </c>
      <c r="O54" s="134">
        <v>0</v>
      </c>
      <c r="P54" s="134">
        <v>1</v>
      </c>
      <c r="Q54" s="134">
        <v>5.04</v>
      </c>
    </row>
    <row r="55" spans="1:17" customFormat="1">
      <c r="A55" s="112" t="s">
        <v>861</v>
      </c>
      <c r="B55" s="134">
        <v>17.78</v>
      </c>
      <c r="C55" s="134">
        <v>30.01</v>
      </c>
      <c r="D55" s="134">
        <v>31.28</v>
      </c>
      <c r="E55" s="134">
        <v>5.85</v>
      </c>
      <c r="F55" s="134">
        <v>3.21</v>
      </c>
      <c r="G55" s="134">
        <v>110.77</v>
      </c>
      <c r="H55" s="134">
        <v>43.21</v>
      </c>
      <c r="I55" s="134">
        <v>9.3000000000000007</v>
      </c>
      <c r="J55" s="134">
        <v>0.38</v>
      </c>
      <c r="K55" s="134">
        <v>31.83</v>
      </c>
      <c r="L55" s="134">
        <v>31.44</v>
      </c>
      <c r="M55" s="134">
        <v>28.86</v>
      </c>
      <c r="N55" s="134">
        <v>662.5</v>
      </c>
      <c r="O55" s="134">
        <v>0</v>
      </c>
      <c r="P55" s="134">
        <v>0.97</v>
      </c>
      <c r="Q55" s="134">
        <v>4.95</v>
      </c>
    </row>
    <row r="56" spans="1:17" customFormat="1">
      <c r="A56" s="112" t="s">
        <v>862</v>
      </c>
      <c r="B56" s="134">
        <v>16.21</v>
      </c>
      <c r="C56" s="134">
        <v>29.25</v>
      </c>
      <c r="D56" s="134">
        <v>29.63</v>
      </c>
      <c r="E56" s="134">
        <v>5.43</v>
      </c>
      <c r="F56" s="134">
        <v>3.68</v>
      </c>
      <c r="G56" s="134">
        <v>91.88</v>
      </c>
      <c r="H56" s="134">
        <v>39.53</v>
      </c>
      <c r="I56" s="134">
        <v>9.1199999999999992</v>
      </c>
      <c r="J56" s="134">
        <v>0.19</v>
      </c>
      <c r="K56" s="134">
        <v>40.729999999999997</v>
      </c>
      <c r="L56" s="134">
        <v>31.51</v>
      </c>
      <c r="M56" s="134">
        <v>28.49</v>
      </c>
      <c r="N56" s="134">
        <v>655.7</v>
      </c>
      <c r="O56" s="134">
        <v>0</v>
      </c>
      <c r="P56" s="134">
        <v>0.96</v>
      </c>
      <c r="Q56" s="134">
        <v>4.9000000000000004</v>
      </c>
    </row>
    <row r="57" spans="1:17" customFormat="1">
      <c r="A57" s="112" t="s">
        <v>863</v>
      </c>
      <c r="B57" s="134">
        <v>14.83</v>
      </c>
      <c r="C57" s="134">
        <v>28.96</v>
      </c>
      <c r="D57" s="134">
        <v>28.37</v>
      </c>
      <c r="E57" s="134">
        <v>5.95</v>
      </c>
      <c r="F57" s="134">
        <v>4.3499999999999996</v>
      </c>
      <c r="G57" s="134">
        <v>91.88</v>
      </c>
      <c r="H57" s="134">
        <v>39.53</v>
      </c>
      <c r="I57" s="134">
        <v>8.91</v>
      </c>
      <c r="J57" s="134">
        <v>0.45</v>
      </c>
      <c r="K57" s="134">
        <v>20.11</v>
      </c>
      <c r="L57" s="134">
        <v>31.45</v>
      </c>
      <c r="M57" s="134">
        <v>28.94</v>
      </c>
      <c r="N57" s="134">
        <v>640.4</v>
      </c>
      <c r="O57" s="134">
        <v>0</v>
      </c>
      <c r="P57" s="134">
        <v>0.93</v>
      </c>
      <c r="Q57" s="134">
        <v>4.8099999999999996</v>
      </c>
    </row>
    <row r="58" spans="1:17" customFormat="1">
      <c r="A58" s="112" t="s">
        <v>864</v>
      </c>
      <c r="B58" s="134">
        <v>13.62</v>
      </c>
      <c r="C58" s="134">
        <v>28.27</v>
      </c>
      <c r="D58" s="134">
        <v>27.04</v>
      </c>
      <c r="E58" s="134">
        <v>5.22</v>
      </c>
      <c r="F58" s="134">
        <v>5.26</v>
      </c>
      <c r="G58" s="134">
        <v>91.88</v>
      </c>
      <c r="H58" s="134">
        <v>39.53</v>
      </c>
      <c r="I58" s="134">
        <v>8.76</v>
      </c>
      <c r="J58" s="134">
        <v>0.19</v>
      </c>
      <c r="K58" s="134">
        <v>14.05</v>
      </c>
      <c r="L58" s="134">
        <v>31.72</v>
      </c>
      <c r="M58" s="134">
        <v>27.79</v>
      </c>
      <c r="N58" s="134">
        <v>621.70000000000005</v>
      </c>
      <c r="O58" s="134">
        <v>0</v>
      </c>
      <c r="P58" s="134">
        <v>0.91</v>
      </c>
      <c r="Q58" s="134">
        <v>4.74</v>
      </c>
    </row>
    <row r="59" spans="1:17" customFormat="1">
      <c r="A59" s="112" t="s">
        <v>865</v>
      </c>
      <c r="B59" s="134">
        <v>12.65</v>
      </c>
      <c r="C59" s="134">
        <v>27.25</v>
      </c>
      <c r="D59" s="134">
        <v>25.73</v>
      </c>
      <c r="E59" s="134">
        <v>5.75</v>
      </c>
      <c r="F59" s="134">
        <v>6.6</v>
      </c>
      <c r="G59" s="134">
        <v>91.43</v>
      </c>
      <c r="H59" s="134">
        <v>39.26</v>
      </c>
      <c r="I59" s="134">
        <v>8.48</v>
      </c>
      <c r="J59" s="134">
        <v>0.7</v>
      </c>
      <c r="K59" s="134">
        <v>32.770000000000003</v>
      </c>
      <c r="L59" s="134">
        <v>31.71</v>
      </c>
      <c r="M59" s="134">
        <v>26.22</v>
      </c>
      <c r="N59" s="134">
        <v>603.9</v>
      </c>
      <c r="O59" s="134">
        <v>0</v>
      </c>
      <c r="P59" s="134">
        <v>0.88</v>
      </c>
      <c r="Q59" s="134">
        <v>4.67</v>
      </c>
    </row>
    <row r="60" spans="1:17" customFormat="1">
      <c r="A60" s="112" t="s">
        <v>866</v>
      </c>
      <c r="B60" s="134">
        <v>12.08</v>
      </c>
      <c r="C60" s="134">
        <v>26.63</v>
      </c>
      <c r="D60" s="134">
        <v>24.95</v>
      </c>
      <c r="E60" s="134">
        <v>5.15</v>
      </c>
      <c r="F60" s="134">
        <v>6.58</v>
      </c>
      <c r="G60" s="134">
        <v>83.75</v>
      </c>
      <c r="H60" s="134">
        <v>34.97</v>
      </c>
      <c r="I60" s="134">
        <v>8.33</v>
      </c>
      <c r="J60" s="134">
        <v>0.75</v>
      </c>
      <c r="K60" s="134">
        <v>34.51</v>
      </c>
      <c r="L60" s="134">
        <v>31.67</v>
      </c>
      <c r="M60" s="134">
        <v>26.08</v>
      </c>
      <c r="N60" s="134">
        <v>579.29999999999995</v>
      </c>
      <c r="O60" s="134">
        <v>0</v>
      </c>
      <c r="P60" s="134">
        <v>0.85</v>
      </c>
      <c r="Q60" s="134">
        <v>4.63</v>
      </c>
    </row>
    <row r="61" spans="1:17" customFormat="1">
      <c r="A61" s="112" t="s">
        <v>867</v>
      </c>
      <c r="B61" s="134">
        <v>11.01</v>
      </c>
      <c r="C61" s="134">
        <v>26.24</v>
      </c>
      <c r="D61" s="134">
        <v>23.89</v>
      </c>
      <c r="E61" s="134">
        <v>4.58</v>
      </c>
      <c r="F61" s="134">
        <v>5.5</v>
      </c>
      <c r="G61" s="134">
        <v>83.75</v>
      </c>
      <c r="H61" s="134">
        <v>34.97</v>
      </c>
      <c r="I61" s="134">
        <v>7.96</v>
      </c>
      <c r="J61" s="134">
        <v>0.72</v>
      </c>
      <c r="K61" s="134">
        <v>40.78</v>
      </c>
      <c r="L61" s="134">
        <v>31.68</v>
      </c>
      <c r="M61" s="134">
        <v>26.84</v>
      </c>
      <c r="N61" s="134">
        <v>565.1</v>
      </c>
      <c r="O61" s="134">
        <v>0</v>
      </c>
      <c r="P61" s="134">
        <v>0.84</v>
      </c>
      <c r="Q61" s="134">
        <v>4.59</v>
      </c>
    </row>
    <row r="62" spans="1:17" customFormat="1">
      <c r="A62" s="112" t="s">
        <v>868</v>
      </c>
      <c r="B62" s="134">
        <v>10.33</v>
      </c>
      <c r="C62" s="134">
        <v>25.63</v>
      </c>
      <c r="D62" s="134">
        <v>23.02</v>
      </c>
      <c r="E62" s="134">
        <v>4.53</v>
      </c>
      <c r="F62" s="134">
        <v>4.91</v>
      </c>
      <c r="G62" s="134">
        <v>83.75</v>
      </c>
      <c r="H62" s="134">
        <v>34.97</v>
      </c>
      <c r="I62" s="134">
        <v>7.85</v>
      </c>
      <c r="J62" s="134">
        <v>0.26</v>
      </c>
      <c r="K62" s="134">
        <v>103.42</v>
      </c>
      <c r="L62" s="134">
        <v>31.95</v>
      </c>
      <c r="M62" s="134">
        <v>27.77</v>
      </c>
      <c r="N62" s="134">
        <v>525</v>
      </c>
      <c r="O62" s="134">
        <v>0</v>
      </c>
      <c r="P62" s="134">
        <v>0.83</v>
      </c>
      <c r="Q62" s="134">
        <v>4.55</v>
      </c>
    </row>
    <row r="63" spans="1:17" customFormat="1">
      <c r="A63" s="112" t="s">
        <v>869</v>
      </c>
      <c r="B63" s="134">
        <v>9.6300000000000008</v>
      </c>
      <c r="C63" s="134">
        <v>24.9</v>
      </c>
      <c r="D63" s="134">
        <v>22.08</v>
      </c>
      <c r="E63" s="134">
        <v>4.6399999999999997</v>
      </c>
      <c r="F63" s="134">
        <v>6.17</v>
      </c>
      <c r="G63" s="134">
        <v>83.67</v>
      </c>
      <c r="H63" s="134">
        <v>34.700000000000003</v>
      </c>
      <c r="I63" s="134">
        <v>7.71</v>
      </c>
      <c r="J63" s="134">
        <v>0.56999999999999995</v>
      </c>
      <c r="K63" s="134">
        <v>25.13</v>
      </c>
      <c r="L63" s="134">
        <v>31.85</v>
      </c>
      <c r="M63" s="134">
        <v>29.46</v>
      </c>
      <c r="N63" s="134">
        <v>487.6</v>
      </c>
      <c r="O63" s="134">
        <v>0</v>
      </c>
      <c r="P63" s="134">
        <v>0.81</v>
      </c>
      <c r="Q63" s="134">
        <v>4.4800000000000004</v>
      </c>
    </row>
    <row r="64" spans="1:17" customFormat="1">
      <c r="A64" s="112" t="s">
        <v>870</v>
      </c>
      <c r="B64" s="134">
        <v>9.0399999999999991</v>
      </c>
      <c r="C64" s="134">
        <v>24.39</v>
      </c>
      <c r="D64" s="134">
        <v>21.34</v>
      </c>
      <c r="E64" s="134">
        <v>4.9000000000000004</v>
      </c>
      <c r="F64" s="134">
        <v>6.36</v>
      </c>
      <c r="G64" s="134">
        <v>82.31</v>
      </c>
      <c r="H64" s="134">
        <v>30.54</v>
      </c>
      <c r="I64" s="134">
        <v>7.58</v>
      </c>
      <c r="J64" s="134">
        <v>0.32</v>
      </c>
      <c r="K64" s="134">
        <v>37.200000000000003</v>
      </c>
      <c r="L64" s="134">
        <v>31.74</v>
      </c>
      <c r="M64" s="134">
        <v>29.39</v>
      </c>
      <c r="N64" s="134">
        <v>470.6</v>
      </c>
      <c r="O64" s="134">
        <v>0</v>
      </c>
      <c r="P64" s="134">
        <v>0.81</v>
      </c>
      <c r="Q64" s="134">
        <v>4.47</v>
      </c>
    </row>
    <row r="65" spans="1:17" customFormat="1">
      <c r="A65" s="112" t="s">
        <v>871</v>
      </c>
      <c r="B65" s="134">
        <v>8.59</v>
      </c>
      <c r="C65" s="134">
        <v>24.19</v>
      </c>
      <c r="D65" s="134">
        <v>20.88</v>
      </c>
      <c r="E65" s="134">
        <v>4.42</v>
      </c>
      <c r="F65" s="134">
        <v>5.44</v>
      </c>
      <c r="G65" s="134">
        <v>82.31</v>
      </c>
      <c r="H65" s="134">
        <v>30.54</v>
      </c>
      <c r="I65" s="134">
        <v>7.38</v>
      </c>
      <c r="J65" s="134">
        <v>0.51</v>
      </c>
      <c r="K65" s="134">
        <v>40.98</v>
      </c>
      <c r="L65" s="134">
        <v>31.64</v>
      </c>
      <c r="M65" s="134">
        <v>29.56</v>
      </c>
      <c r="N65" s="134">
        <v>417.2</v>
      </c>
      <c r="O65" s="134">
        <v>0</v>
      </c>
      <c r="P65" s="134">
        <v>0.76</v>
      </c>
      <c r="Q65" s="134">
        <v>4.45</v>
      </c>
    </row>
    <row r="66" spans="1:17" customFormat="1">
      <c r="A66" s="112" t="s">
        <v>872</v>
      </c>
      <c r="B66" s="134">
        <v>8.14</v>
      </c>
      <c r="C66" s="134">
        <v>23.56</v>
      </c>
      <c r="D66" s="134">
        <v>20.190000000000001</v>
      </c>
      <c r="E66" s="134">
        <v>5.51</v>
      </c>
      <c r="F66" s="134">
        <v>6.17</v>
      </c>
      <c r="G66" s="134">
        <v>82.31</v>
      </c>
      <c r="H66" s="134">
        <v>30.54</v>
      </c>
      <c r="I66" s="134">
        <v>7.32</v>
      </c>
      <c r="J66" s="134">
        <v>0.54</v>
      </c>
      <c r="K66" s="134">
        <v>54.96</v>
      </c>
      <c r="L66" s="134">
        <v>31.36</v>
      </c>
      <c r="M66" s="134">
        <v>25.98</v>
      </c>
      <c r="N66" s="134">
        <v>188.9</v>
      </c>
      <c r="O66" s="134">
        <v>0</v>
      </c>
      <c r="P66" s="134">
        <v>0.77</v>
      </c>
      <c r="Q66" s="134">
        <v>4.43</v>
      </c>
    </row>
    <row r="67" spans="1:17" customFormat="1">
      <c r="A67" s="112" t="s">
        <v>873</v>
      </c>
      <c r="B67" s="134">
        <v>7.89</v>
      </c>
      <c r="C67" s="134">
        <v>23.36</v>
      </c>
      <c r="D67" s="134">
        <v>19.88</v>
      </c>
      <c r="E67" s="134">
        <v>5.1100000000000003</v>
      </c>
      <c r="F67" s="134">
        <v>7.24</v>
      </c>
      <c r="G67" s="134">
        <v>82.16</v>
      </c>
      <c r="H67" s="134">
        <v>30.42</v>
      </c>
      <c r="I67" s="134">
        <v>7.18</v>
      </c>
      <c r="J67" s="134">
        <v>0.35</v>
      </c>
      <c r="K67" s="134">
        <v>51.64</v>
      </c>
      <c r="L67" s="134">
        <v>30.83</v>
      </c>
      <c r="M67" s="134">
        <v>24.3</v>
      </c>
      <c r="N67" s="134">
        <v>103.8</v>
      </c>
      <c r="O67" s="134">
        <v>0</v>
      </c>
      <c r="P67" s="134">
        <v>0.75</v>
      </c>
      <c r="Q67" s="134">
        <v>4.3899999999999997</v>
      </c>
    </row>
    <row r="68" spans="1:17" customFormat="1">
      <c r="A68" s="112" t="s">
        <v>874</v>
      </c>
      <c r="B68" s="134">
        <v>8.16</v>
      </c>
      <c r="C68" s="134">
        <v>23.59</v>
      </c>
      <c r="D68" s="134">
        <v>20.22</v>
      </c>
      <c r="E68" s="134">
        <v>5.0999999999999996</v>
      </c>
      <c r="F68" s="134">
        <v>7.46</v>
      </c>
      <c r="G68" s="134">
        <v>78.91</v>
      </c>
      <c r="H68" s="134">
        <v>28.46</v>
      </c>
      <c r="I68" s="134">
        <v>7.04</v>
      </c>
      <c r="J68" s="134">
        <v>0.41</v>
      </c>
      <c r="K68" s="134">
        <v>63.87</v>
      </c>
      <c r="L68" s="134">
        <v>30.63</v>
      </c>
      <c r="M68" s="134">
        <v>26.33</v>
      </c>
      <c r="N68" s="134">
        <v>93.6</v>
      </c>
      <c r="O68" s="134">
        <v>0</v>
      </c>
      <c r="P68" s="134">
        <v>0.74</v>
      </c>
      <c r="Q68" s="134">
        <v>4.38</v>
      </c>
    </row>
    <row r="69" spans="1:17" customFormat="1">
      <c r="A69" s="112" t="s">
        <v>875</v>
      </c>
      <c r="B69" s="134">
        <v>7.46</v>
      </c>
      <c r="C69" s="134">
        <v>22.94</v>
      </c>
      <c r="D69" s="134">
        <v>19.32</v>
      </c>
      <c r="E69" s="134">
        <v>4.07</v>
      </c>
      <c r="F69" s="134">
        <v>6.85</v>
      </c>
      <c r="G69" s="134">
        <v>78.91</v>
      </c>
      <c r="H69" s="134">
        <v>28.46</v>
      </c>
      <c r="I69" s="134">
        <v>6.73</v>
      </c>
      <c r="J69" s="134">
        <v>0.59</v>
      </c>
      <c r="K69" s="134">
        <v>51.02</v>
      </c>
      <c r="L69" s="134">
        <v>30.36</v>
      </c>
      <c r="M69" s="134">
        <v>26.3</v>
      </c>
      <c r="N69" s="134">
        <v>83.6</v>
      </c>
      <c r="O69" s="134">
        <v>0</v>
      </c>
      <c r="P69" s="134">
        <v>0.73</v>
      </c>
      <c r="Q69" s="134">
        <v>4.37</v>
      </c>
    </row>
    <row r="70" spans="1:17" customFormat="1">
      <c r="A70" s="112" t="s">
        <v>876</v>
      </c>
      <c r="B70" s="134">
        <v>7.34</v>
      </c>
      <c r="C70" s="134">
        <v>22.93</v>
      </c>
      <c r="D70" s="134">
        <v>19.22</v>
      </c>
      <c r="E70" s="134">
        <v>5.01</v>
      </c>
      <c r="F70" s="134">
        <v>7.72</v>
      </c>
      <c r="G70" s="134">
        <v>78.91</v>
      </c>
      <c r="H70" s="134">
        <v>28.46</v>
      </c>
      <c r="I70" s="134">
        <v>6.72</v>
      </c>
      <c r="J70" s="134">
        <v>0.5</v>
      </c>
      <c r="K70" s="134">
        <v>51.44</v>
      </c>
      <c r="L70" s="134">
        <v>30.21</v>
      </c>
      <c r="M70" s="134">
        <v>26.4</v>
      </c>
      <c r="N70" s="134">
        <v>72.7</v>
      </c>
      <c r="O70" s="134">
        <v>0</v>
      </c>
      <c r="P70" s="134">
        <v>0.72</v>
      </c>
      <c r="Q70" s="134">
        <v>4.37</v>
      </c>
    </row>
    <row r="71" spans="1:17" customFormat="1">
      <c r="A71" s="112" t="s">
        <v>877</v>
      </c>
      <c r="B71" s="134">
        <v>7.24</v>
      </c>
      <c r="C71" s="134">
        <v>23.56</v>
      </c>
      <c r="D71" s="134">
        <v>19.47</v>
      </c>
      <c r="E71" s="134">
        <v>5.49</v>
      </c>
      <c r="F71" s="134">
        <v>8.84</v>
      </c>
      <c r="G71" s="134">
        <v>78.55</v>
      </c>
      <c r="H71" s="134">
        <v>28.3</v>
      </c>
      <c r="I71" s="134">
        <v>6.61</v>
      </c>
      <c r="J71" s="134">
        <v>0.54</v>
      </c>
      <c r="K71" s="134">
        <v>49.59</v>
      </c>
      <c r="L71" s="134">
        <v>30.02</v>
      </c>
      <c r="M71" s="134">
        <v>26.88</v>
      </c>
      <c r="N71" s="134">
        <v>64.099999999999994</v>
      </c>
      <c r="O71" s="134">
        <v>0</v>
      </c>
      <c r="P71" s="134">
        <v>0.73</v>
      </c>
      <c r="Q71" s="134">
        <v>4.3499999999999996</v>
      </c>
    </row>
    <row r="72" spans="1:17" customFormat="1">
      <c r="A72" s="112" t="s">
        <v>878</v>
      </c>
      <c r="B72" s="134">
        <v>6.88</v>
      </c>
      <c r="C72" s="134">
        <v>23.96</v>
      </c>
      <c r="D72" s="134">
        <v>19.38</v>
      </c>
      <c r="E72" s="134">
        <v>5.19</v>
      </c>
      <c r="F72" s="134">
        <v>7.33</v>
      </c>
      <c r="G72" s="134">
        <v>70.83</v>
      </c>
      <c r="H72" s="134">
        <v>25.91</v>
      </c>
      <c r="I72" s="134">
        <v>6.41</v>
      </c>
      <c r="J72" s="134">
        <v>0.45</v>
      </c>
      <c r="K72" s="134">
        <v>62.82</v>
      </c>
      <c r="L72" s="134">
        <v>29.84</v>
      </c>
      <c r="M72" s="134">
        <v>27.36</v>
      </c>
      <c r="N72" s="134">
        <v>55.3</v>
      </c>
      <c r="O72" s="134">
        <v>0</v>
      </c>
      <c r="P72" s="134">
        <v>0.72</v>
      </c>
      <c r="Q72" s="134">
        <v>4.33</v>
      </c>
    </row>
    <row r="73" spans="1:17" customFormat="1">
      <c r="A73" s="112" t="s">
        <v>879</v>
      </c>
      <c r="B73" s="134">
        <v>6.65</v>
      </c>
      <c r="C73" s="134">
        <v>24.21</v>
      </c>
      <c r="D73" s="134">
        <v>19.329999999999998</v>
      </c>
      <c r="E73" s="134">
        <v>4.97</v>
      </c>
      <c r="F73" s="134">
        <v>6.2</v>
      </c>
      <c r="G73" s="134">
        <v>70.83</v>
      </c>
      <c r="H73" s="134">
        <v>25.91</v>
      </c>
      <c r="I73" s="134">
        <v>6.19</v>
      </c>
      <c r="J73" s="134">
        <v>0.22</v>
      </c>
      <c r="K73" s="134">
        <v>71.39</v>
      </c>
      <c r="L73" s="134">
        <v>29.57</v>
      </c>
      <c r="M73" s="134">
        <v>29.72</v>
      </c>
      <c r="N73" s="134">
        <v>43.5</v>
      </c>
      <c r="O73" s="134">
        <v>0</v>
      </c>
      <c r="P73" s="134">
        <v>0.71</v>
      </c>
      <c r="Q73" s="134">
        <v>4.32</v>
      </c>
    </row>
    <row r="74" spans="1:17" customFormat="1">
      <c r="A74" s="112" t="s">
        <v>880</v>
      </c>
      <c r="B74" s="134">
        <v>6.59</v>
      </c>
      <c r="C74" s="134">
        <v>24.38</v>
      </c>
      <c r="D74" s="134">
        <v>19.37</v>
      </c>
      <c r="E74" s="134">
        <v>4.58</v>
      </c>
      <c r="F74" s="134">
        <v>5.65</v>
      </c>
      <c r="G74" s="134">
        <v>70.83</v>
      </c>
      <c r="H74" s="134">
        <v>25.91</v>
      </c>
      <c r="I74" s="134">
        <v>6.13</v>
      </c>
      <c r="J74" s="134">
        <v>0.17</v>
      </c>
      <c r="K74" s="134">
        <v>81.97</v>
      </c>
      <c r="L74" s="134">
        <v>29.16</v>
      </c>
      <c r="M74" s="134">
        <v>32.21</v>
      </c>
      <c r="N74" s="134">
        <v>32.1</v>
      </c>
      <c r="O74" s="134">
        <v>0</v>
      </c>
      <c r="P74" s="134">
        <v>0.71</v>
      </c>
      <c r="Q74" s="134">
        <v>4.34</v>
      </c>
    </row>
    <row r="75" spans="1:17" customFormat="1">
      <c r="A75" s="112" t="s">
        <v>881</v>
      </c>
      <c r="B75" s="134">
        <v>6.73</v>
      </c>
      <c r="C75" s="134">
        <v>25</v>
      </c>
      <c r="D75" s="134">
        <v>19.809999999999999</v>
      </c>
      <c r="E75" s="134">
        <v>4.91</v>
      </c>
      <c r="F75" s="134">
        <v>4.46</v>
      </c>
      <c r="G75" s="134">
        <v>71.08</v>
      </c>
      <c r="H75" s="134">
        <v>25.98</v>
      </c>
      <c r="I75" s="134">
        <v>6</v>
      </c>
      <c r="J75" s="134">
        <v>0.12</v>
      </c>
      <c r="K75" s="134">
        <v>101.9</v>
      </c>
      <c r="L75" s="134">
        <v>28.64</v>
      </c>
      <c r="M75" s="134">
        <v>36.409999999999997</v>
      </c>
      <c r="N75" s="134">
        <v>18</v>
      </c>
      <c r="O75" s="134">
        <v>0</v>
      </c>
      <c r="P75" s="134">
        <v>0.71</v>
      </c>
      <c r="Q75" s="134">
        <v>4.34</v>
      </c>
    </row>
    <row r="76" spans="1:17" customFormat="1">
      <c r="A76" s="112" t="s">
        <v>882</v>
      </c>
      <c r="B76" s="134">
        <v>6.91</v>
      </c>
      <c r="C76" s="134">
        <v>25.58</v>
      </c>
      <c r="D76" s="134">
        <v>20.25</v>
      </c>
      <c r="E76" s="134">
        <v>4.33</v>
      </c>
      <c r="F76" s="134">
        <v>3.78</v>
      </c>
      <c r="G76" s="134">
        <v>75.349999999999994</v>
      </c>
      <c r="H76" s="134">
        <v>27.01</v>
      </c>
      <c r="I76" s="134">
        <v>5.93</v>
      </c>
      <c r="J76" s="134">
        <v>0.14000000000000001</v>
      </c>
      <c r="K76" s="134">
        <v>104.6</v>
      </c>
      <c r="L76" s="134">
        <v>27.95</v>
      </c>
      <c r="M76" s="134">
        <v>39.270000000000003</v>
      </c>
      <c r="N76" s="134">
        <v>5.6</v>
      </c>
      <c r="O76" s="134">
        <v>0</v>
      </c>
      <c r="P76" s="134">
        <v>0.71</v>
      </c>
      <c r="Q76" s="134">
        <v>4.34</v>
      </c>
    </row>
    <row r="77" spans="1:17" customFormat="1">
      <c r="A77" s="112" t="s">
        <v>883</v>
      </c>
      <c r="B77" s="134">
        <v>7.17</v>
      </c>
      <c r="C77" s="134">
        <v>25.55</v>
      </c>
      <c r="D77" s="134">
        <v>20.45</v>
      </c>
      <c r="E77" s="134">
        <v>4.16</v>
      </c>
      <c r="F77" s="134">
        <v>3.19</v>
      </c>
      <c r="G77" s="134">
        <v>75.349999999999994</v>
      </c>
      <c r="H77" s="134">
        <v>27.01</v>
      </c>
      <c r="I77" s="134">
        <v>5.91</v>
      </c>
      <c r="J77" s="134">
        <v>0.15</v>
      </c>
      <c r="K77" s="134">
        <v>155.74</v>
      </c>
      <c r="L77" s="134">
        <v>27.14</v>
      </c>
      <c r="M77" s="134">
        <v>44.37</v>
      </c>
      <c r="N77" s="134">
        <v>0</v>
      </c>
      <c r="O77" s="134">
        <v>0</v>
      </c>
      <c r="P77" s="134">
        <v>0.71</v>
      </c>
      <c r="Q77" s="134">
        <v>4.34</v>
      </c>
    </row>
    <row r="78" spans="1:17" customFormat="1">
      <c r="A78" s="112" t="s">
        <v>884</v>
      </c>
      <c r="B78" s="134">
        <v>7.56</v>
      </c>
      <c r="C78" s="134">
        <v>25.81</v>
      </c>
      <c r="D78" s="134">
        <v>20.9</v>
      </c>
      <c r="E78" s="134">
        <v>4.1399999999999997</v>
      </c>
      <c r="F78" s="134">
        <v>2.98</v>
      </c>
      <c r="G78" s="134">
        <v>75.349999999999994</v>
      </c>
      <c r="H78" s="134">
        <v>27.01</v>
      </c>
      <c r="I78" s="134">
        <v>5.89</v>
      </c>
      <c r="J78" s="134">
        <v>0.15</v>
      </c>
      <c r="K78" s="134">
        <v>134.08000000000001</v>
      </c>
      <c r="L78" s="134">
        <v>26.29</v>
      </c>
      <c r="M78" s="134">
        <v>46.87</v>
      </c>
      <c r="N78" s="134">
        <v>0</v>
      </c>
      <c r="O78" s="134">
        <v>0</v>
      </c>
      <c r="P78" s="134">
        <v>0.72</v>
      </c>
      <c r="Q78" s="134">
        <v>4.37</v>
      </c>
    </row>
    <row r="79" spans="1:17" customFormat="1">
      <c r="A79" s="112" t="s">
        <v>885</v>
      </c>
      <c r="B79" s="134">
        <v>8.08</v>
      </c>
      <c r="C79" s="134">
        <v>26.48</v>
      </c>
      <c r="D79" s="134">
        <v>21.66</v>
      </c>
      <c r="E79" s="134">
        <v>4.09</v>
      </c>
      <c r="F79" s="134">
        <v>2.9</v>
      </c>
      <c r="G79" s="134">
        <v>76.61</v>
      </c>
      <c r="H79" s="134">
        <v>27.19</v>
      </c>
      <c r="I79" s="134">
        <v>5.89</v>
      </c>
      <c r="J79" s="134">
        <v>0.21</v>
      </c>
      <c r="K79" s="134">
        <v>153.88</v>
      </c>
      <c r="L79" s="134">
        <v>25.61</v>
      </c>
      <c r="M79" s="134">
        <v>50.09</v>
      </c>
      <c r="N79" s="134">
        <v>0</v>
      </c>
      <c r="O79" s="134">
        <v>0</v>
      </c>
      <c r="P79" s="134">
        <v>0.72</v>
      </c>
      <c r="Q79" s="134">
        <v>4.3899999999999997</v>
      </c>
    </row>
    <row r="80" spans="1:17" customFormat="1">
      <c r="A80" s="112" t="s">
        <v>886</v>
      </c>
      <c r="B80" s="134">
        <v>8.7100000000000009</v>
      </c>
      <c r="C80" s="134">
        <v>27.39</v>
      </c>
      <c r="D80" s="134">
        <v>22.65</v>
      </c>
      <c r="E80" s="134">
        <v>4.05</v>
      </c>
      <c r="F80" s="134">
        <v>2.61</v>
      </c>
      <c r="G80" s="134">
        <v>97.95</v>
      </c>
      <c r="H80" s="134">
        <v>30.04</v>
      </c>
      <c r="I80" s="134">
        <v>5.94</v>
      </c>
      <c r="J80" s="134">
        <v>0.22</v>
      </c>
      <c r="K80" s="134">
        <v>159.44</v>
      </c>
      <c r="L80" s="134">
        <v>25.28</v>
      </c>
      <c r="M80" s="134">
        <v>50.92</v>
      </c>
      <c r="N80" s="134">
        <v>0</v>
      </c>
      <c r="O80" s="134">
        <v>0</v>
      </c>
      <c r="P80" s="134">
        <v>0.73</v>
      </c>
      <c r="Q80" s="134">
        <v>4.43</v>
      </c>
    </row>
    <row r="81" spans="1:17" customFormat="1">
      <c r="A81" s="112" t="s">
        <v>887</v>
      </c>
      <c r="B81" s="134">
        <v>9.61</v>
      </c>
      <c r="C81" s="134">
        <v>27.99</v>
      </c>
      <c r="D81" s="134">
        <v>23.68</v>
      </c>
      <c r="E81" s="134">
        <v>5.36</v>
      </c>
      <c r="F81" s="134">
        <v>2.69</v>
      </c>
      <c r="G81" s="134">
        <v>97.95</v>
      </c>
      <c r="H81" s="134">
        <v>30.04</v>
      </c>
      <c r="I81" s="134">
        <v>6</v>
      </c>
      <c r="J81" s="134">
        <v>0.27</v>
      </c>
      <c r="K81" s="134">
        <v>170.22</v>
      </c>
      <c r="L81" s="134">
        <v>24.8</v>
      </c>
      <c r="M81" s="134">
        <v>56.2</v>
      </c>
      <c r="N81" s="134">
        <v>0</v>
      </c>
      <c r="O81" s="134">
        <v>0</v>
      </c>
      <c r="P81" s="134">
        <v>0.76</v>
      </c>
      <c r="Q81" s="134">
        <v>4.49</v>
      </c>
    </row>
    <row r="82" spans="1:17" customFormat="1">
      <c r="A82" s="112" t="s">
        <v>888</v>
      </c>
      <c r="B82" s="134">
        <v>10.3</v>
      </c>
      <c r="C82" s="134">
        <v>28.58</v>
      </c>
      <c r="D82" s="134">
        <v>24.54</v>
      </c>
      <c r="E82" s="134">
        <v>6.5</v>
      </c>
      <c r="F82" s="134">
        <v>2.58</v>
      </c>
      <c r="G82" s="134">
        <v>97.95</v>
      </c>
      <c r="H82" s="134">
        <v>30.04</v>
      </c>
      <c r="I82" s="134">
        <v>6.13</v>
      </c>
      <c r="J82" s="134">
        <v>0.21</v>
      </c>
      <c r="K82" s="134">
        <v>176.88</v>
      </c>
      <c r="L82" s="134">
        <v>24.17</v>
      </c>
      <c r="M82" s="134">
        <v>65.25</v>
      </c>
      <c r="N82" s="134">
        <v>0</v>
      </c>
      <c r="O82" s="134">
        <v>0</v>
      </c>
      <c r="P82" s="134">
        <v>0.79</v>
      </c>
      <c r="Q82" s="134">
        <v>4.53</v>
      </c>
    </row>
    <row r="83" spans="1:17" customFormat="1">
      <c r="A83" s="112" t="s">
        <v>889</v>
      </c>
      <c r="B83" s="134">
        <v>10.89</v>
      </c>
      <c r="C83" s="134">
        <v>29.05</v>
      </c>
      <c r="D83" s="134">
        <v>25.26</v>
      </c>
      <c r="E83" s="134">
        <v>7.14</v>
      </c>
      <c r="F83" s="134">
        <v>2.59</v>
      </c>
      <c r="G83" s="134">
        <v>99.48</v>
      </c>
      <c r="H83" s="134">
        <v>30.33</v>
      </c>
      <c r="I83" s="134">
        <v>6.36</v>
      </c>
      <c r="J83" s="134">
        <v>0.2</v>
      </c>
      <c r="K83" s="134">
        <v>187.09</v>
      </c>
      <c r="L83" s="134">
        <v>23.46</v>
      </c>
      <c r="M83" s="134">
        <v>70.61</v>
      </c>
      <c r="N83" s="134">
        <v>0</v>
      </c>
      <c r="O83" s="134">
        <v>0</v>
      </c>
      <c r="P83" s="134">
        <v>0.82</v>
      </c>
      <c r="Q83" s="134">
        <v>4.58</v>
      </c>
    </row>
    <row r="84" spans="1:17" customFormat="1">
      <c r="A84" s="112" t="s">
        <v>890</v>
      </c>
      <c r="B84" s="134">
        <v>11.29</v>
      </c>
      <c r="C84" s="134">
        <v>29.15</v>
      </c>
      <c r="D84" s="134">
        <v>25.63</v>
      </c>
      <c r="E84" s="134">
        <v>7.02</v>
      </c>
      <c r="F84" s="134">
        <v>2.5499999999999998</v>
      </c>
      <c r="G84" s="134">
        <v>125.43</v>
      </c>
      <c r="H84" s="134">
        <v>34.89</v>
      </c>
      <c r="I84" s="134">
        <v>6.63</v>
      </c>
      <c r="J84" s="134">
        <v>0.18</v>
      </c>
      <c r="K84" s="134">
        <v>178.91</v>
      </c>
      <c r="L84" s="134">
        <v>23</v>
      </c>
      <c r="M84" s="134">
        <v>69.23</v>
      </c>
      <c r="N84" s="134">
        <v>0</v>
      </c>
      <c r="O84" s="134">
        <v>0</v>
      </c>
      <c r="P84" s="134">
        <v>0.86</v>
      </c>
      <c r="Q84" s="134">
        <v>4.58</v>
      </c>
    </row>
    <row r="85" spans="1:17" customFormat="1">
      <c r="A85" s="112" t="s">
        <v>891</v>
      </c>
      <c r="B85" s="134">
        <v>11.49</v>
      </c>
      <c r="C85" s="134">
        <v>29.12</v>
      </c>
      <c r="D85" s="134">
        <v>25.78</v>
      </c>
      <c r="E85" s="134">
        <v>7.17</v>
      </c>
      <c r="F85" s="134">
        <v>2.73</v>
      </c>
      <c r="G85" s="134">
        <v>125.43</v>
      </c>
      <c r="H85" s="134">
        <v>34.89</v>
      </c>
      <c r="I85" s="134">
        <v>6.88</v>
      </c>
      <c r="J85" s="134">
        <v>0.15</v>
      </c>
      <c r="K85" s="134">
        <v>183.18</v>
      </c>
      <c r="L85" s="134">
        <v>22.78</v>
      </c>
      <c r="M85" s="134">
        <v>69.510000000000005</v>
      </c>
      <c r="N85" s="134">
        <v>0</v>
      </c>
      <c r="O85" s="134">
        <v>0</v>
      </c>
      <c r="P85" s="134">
        <v>0.87</v>
      </c>
      <c r="Q85" s="134">
        <v>4.5999999999999996</v>
      </c>
    </row>
    <row r="86" spans="1:17" customFormat="1">
      <c r="A86" s="112" t="s">
        <v>892</v>
      </c>
      <c r="B86" s="134">
        <v>11.65</v>
      </c>
      <c r="C86" s="134">
        <v>28.84</v>
      </c>
      <c r="D86" s="134">
        <v>25.76</v>
      </c>
      <c r="E86" s="134">
        <v>7.41</v>
      </c>
      <c r="F86" s="134">
        <v>2.68</v>
      </c>
      <c r="G86" s="134">
        <v>125.43</v>
      </c>
      <c r="H86" s="134">
        <v>34.89</v>
      </c>
      <c r="I86" s="134">
        <v>7.18</v>
      </c>
      <c r="J86" s="134">
        <v>0.18</v>
      </c>
      <c r="K86" s="134">
        <v>238.81</v>
      </c>
      <c r="L86" s="134">
        <v>22.54</v>
      </c>
      <c r="M86" s="134">
        <v>66.569999999999993</v>
      </c>
      <c r="N86" s="134">
        <v>0</v>
      </c>
      <c r="O86" s="134">
        <v>0</v>
      </c>
      <c r="P86" s="134">
        <v>0.88</v>
      </c>
      <c r="Q86" s="134">
        <v>4.63</v>
      </c>
    </row>
    <row r="87" spans="1:17" customFormat="1">
      <c r="A87" s="112" t="s">
        <v>893</v>
      </c>
      <c r="B87" s="134">
        <v>11.68</v>
      </c>
      <c r="C87" s="134">
        <v>28.45</v>
      </c>
      <c r="D87" s="134">
        <v>25.58</v>
      </c>
      <c r="E87" s="134">
        <v>7.12</v>
      </c>
      <c r="F87" s="134">
        <v>2.7</v>
      </c>
      <c r="G87" s="134">
        <v>125.09</v>
      </c>
      <c r="H87" s="134">
        <v>34.770000000000003</v>
      </c>
      <c r="I87" s="134">
        <v>7.48</v>
      </c>
      <c r="J87" s="134">
        <v>0.16</v>
      </c>
      <c r="K87" s="134">
        <v>258.91000000000003</v>
      </c>
      <c r="L87" s="134">
        <v>21.96</v>
      </c>
      <c r="M87" s="134">
        <v>69.290000000000006</v>
      </c>
      <c r="N87" s="134">
        <v>0</v>
      </c>
      <c r="O87" s="134">
        <v>0</v>
      </c>
      <c r="P87" s="134">
        <v>0.88</v>
      </c>
      <c r="Q87" s="134">
        <v>4.62</v>
      </c>
    </row>
    <row r="88" spans="1:17" customFormat="1">
      <c r="A88" s="112" t="s">
        <v>894</v>
      </c>
      <c r="B88" s="134">
        <v>11.69</v>
      </c>
      <c r="C88" s="134">
        <v>28.19</v>
      </c>
      <c r="D88" s="134">
        <v>25.46</v>
      </c>
      <c r="E88" s="134">
        <v>7.51</v>
      </c>
      <c r="F88" s="134">
        <v>2.5299999999999998</v>
      </c>
      <c r="G88" s="134">
        <v>119.17</v>
      </c>
      <c r="H88" s="134">
        <v>32.840000000000003</v>
      </c>
      <c r="I88" s="134">
        <v>7.64</v>
      </c>
      <c r="J88" s="134">
        <v>0.14000000000000001</v>
      </c>
      <c r="K88" s="134">
        <v>246.17</v>
      </c>
      <c r="L88" s="134">
        <v>21.64</v>
      </c>
      <c r="M88" s="134">
        <v>69.62</v>
      </c>
      <c r="N88" s="134">
        <v>0</v>
      </c>
      <c r="O88" s="134">
        <v>0</v>
      </c>
      <c r="P88" s="134">
        <v>0.88</v>
      </c>
      <c r="Q88" s="134">
        <v>4.62</v>
      </c>
    </row>
    <row r="89" spans="1:17" customFormat="1">
      <c r="A89" s="112" t="s">
        <v>895</v>
      </c>
      <c r="B89" s="134">
        <v>11.65</v>
      </c>
      <c r="C89" s="134">
        <v>28.04</v>
      </c>
      <c r="D89" s="134">
        <v>25.34</v>
      </c>
      <c r="E89" s="134">
        <v>7.3</v>
      </c>
      <c r="F89" s="134">
        <v>2.5299999999999998</v>
      </c>
      <c r="G89" s="134">
        <v>119.17</v>
      </c>
      <c r="H89" s="134">
        <v>32.840000000000003</v>
      </c>
      <c r="I89" s="134">
        <v>7.69</v>
      </c>
      <c r="J89" s="134">
        <v>0.13</v>
      </c>
      <c r="K89" s="134">
        <v>239.61</v>
      </c>
      <c r="L89" s="134">
        <v>21.45</v>
      </c>
      <c r="M89" s="134">
        <v>72.319999999999993</v>
      </c>
      <c r="N89" s="134">
        <v>0</v>
      </c>
      <c r="O89" s="134">
        <v>0</v>
      </c>
      <c r="P89" s="134">
        <v>0.87</v>
      </c>
      <c r="Q89" s="134">
        <v>4.62</v>
      </c>
    </row>
    <row r="90" spans="1:17" customFormat="1">
      <c r="A90" s="112" t="s">
        <v>896</v>
      </c>
      <c r="B90" s="134">
        <v>11.78</v>
      </c>
      <c r="C90" s="134">
        <v>27.51</v>
      </c>
      <c r="D90" s="134">
        <v>25.17</v>
      </c>
      <c r="E90" s="134">
        <v>7.19</v>
      </c>
      <c r="F90" s="134">
        <v>2.4300000000000002</v>
      </c>
      <c r="G90" s="134">
        <v>119.17</v>
      </c>
      <c r="H90" s="134">
        <v>32.840000000000003</v>
      </c>
      <c r="I90" s="134">
        <v>7.72</v>
      </c>
      <c r="J90" s="134">
        <v>0.1</v>
      </c>
      <c r="K90" s="134">
        <v>186.81</v>
      </c>
      <c r="L90" s="134">
        <v>21.44</v>
      </c>
      <c r="M90" s="134">
        <v>72.930000000000007</v>
      </c>
      <c r="N90" s="134">
        <v>0</v>
      </c>
      <c r="O90" s="134">
        <v>0</v>
      </c>
      <c r="P90" s="134">
        <v>0.87</v>
      </c>
      <c r="Q90" s="134">
        <v>4.6100000000000003</v>
      </c>
    </row>
    <row r="91" spans="1:17" customFormat="1">
      <c r="A91" s="112" t="s">
        <v>897</v>
      </c>
      <c r="B91" s="134">
        <v>11.89</v>
      </c>
      <c r="C91" s="134">
        <v>27.73</v>
      </c>
      <c r="D91" s="134">
        <v>25.38</v>
      </c>
      <c r="E91" s="134">
        <v>6.7</v>
      </c>
      <c r="F91" s="134">
        <v>2.5099999999999998</v>
      </c>
      <c r="G91" s="134">
        <v>119.35</v>
      </c>
      <c r="H91" s="134">
        <v>32.840000000000003</v>
      </c>
      <c r="I91" s="134">
        <v>7.74</v>
      </c>
      <c r="J91" s="134">
        <v>0.13</v>
      </c>
      <c r="K91" s="134">
        <v>180.95</v>
      </c>
      <c r="L91" s="134">
        <v>21.33</v>
      </c>
      <c r="M91" s="134">
        <v>77.78</v>
      </c>
      <c r="N91" s="134">
        <v>0</v>
      </c>
      <c r="O91" s="134">
        <v>0</v>
      </c>
      <c r="P91" s="134">
        <v>0.87</v>
      </c>
      <c r="Q91" s="134">
        <v>4.62</v>
      </c>
    </row>
    <row r="92" spans="1:17" customFormat="1">
      <c r="A92" s="112" t="s">
        <v>898</v>
      </c>
      <c r="B92" s="134">
        <v>12.11</v>
      </c>
      <c r="C92" s="134">
        <v>25.62</v>
      </c>
      <c r="D92" s="134">
        <v>24.45</v>
      </c>
      <c r="E92" s="134">
        <v>6.99</v>
      </c>
      <c r="F92" s="134">
        <v>2.73</v>
      </c>
      <c r="G92" s="134">
        <v>122.36</v>
      </c>
      <c r="H92" s="134">
        <v>32.71</v>
      </c>
      <c r="I92" s="134">
        <v>7.76</v>
      </c>
      <c r="J92" s="134">
        <v>0.1</v>
      </c>
      <c r="K92" s="134">
        <v>218.88</v>
      </c>
      <c r="L92" s="134">
        <v>21.27</v>
      </c>
      <c r="M92" s="134">
        <v>77.849999999999994</v>
      </c>
      <c r="N92" s="134">
        <v>0</v>
      </c>
      <c r="O92" s="134">
        <v>0</v>
      </c>
      <c r="P92" s="134">
        <v>0.85</v>
      </c>
      <c r="Q92" s="134">
        <v>4.6500000000000004</v>
      </c>
    </row>
    <row r="93" spans="1:17" customFormat="1">
      <c r="A93" s="112" t="s">
        <v>899</v>
      </c>
      <c r="B93" s="134">
        <v>12.22</v>
      </c>
      <c r="C93" s="134">
        <v>24.32</v>
      </c>
      <c r="D93" s="134">
        <v>23.86</v>
      </c>
      <c r="E93" s="134">
        <v>6.66</v>
      </c>
      <c r="F93" s="134">
        <v>2.62</v>
      </c>
      <c r="G93" s="134">
        <v>122.36</v>
      </c>
      <c r="H93" s="134">
        <v>32.71</v>
      </c>
      <c r="I93" s="134">
        <v>7.8</v>
      </c>
      <c r="J93" s="134">
        <v>7.0000000000000007E-2</v>
      </c>
      <c r="K93" s="134">
        <v>202.38</v>
      </c>
      <c r="L93" s="134">
        <v>21.12</v>
      </c>
      <c r="M93" s="134">
        <v>76.92</v>
      </c>
      <c r="N93" s="134">
        <v>0</v>
      </c>
      <c r="O93" s="134">
        <v>0</v>
      </c>
      <c r="P93" s="134">
        <v>0.83</v>
      </c>
      <c r="Q93" s="134">
        <v>4.63</v>
      </c>
    </row>
    <row r="94" spans="1:17" customFormat="1">
      <c r="A94" s="112" t="s">
        <v>900</v>
      </c>
      <c r="B94" s="134">
        <v>12.28</v>
      </c>
      <c r="C94" s="134">
        <v>24.81</v>
      </c>
      <c r="D94" s="134">
        <v>24.16</v>
      </c>
      <c r="E94" s="134">
        <v>6.66</v>
      </c>
      <c r="F94" s="134">
        <v>2.34</v>
      </c>
      <c r="G94" s="134">
        <v>122.36</v>
      </c>
      <c r="H94" s="134">
        <v>32.71</v>
      </c>
      <c r="I94" s="134">
        <v>7.82</v>
      </c>
      <c r="J94" s="134">
        <v>0.12</v>
      </c>
      <c r="K94" s="134">
        <v>163.97</v>
      </c>
      <c r="L94" s="134">
        <v>20.95</v>
      </c>
      <c r="M94" s="134">
        <v>77.97</v>
      </c>
      <c r="N94" s="134">
        <v>0</v>
      </c>
      <c r="O94" s="134">
        <v>0</v>
      </c>
      <c r="P94" s="134">
        <v>0.83</v>
      </c>
      <c r="Q94" s="134">
        <v>4.62</v>
      </c>
    </row>
    <row r="95" spans="1:17" customFormat="1">
      <c r="A95" s="112" t="s">
        <v>901</v>
      </c>
      <c r="B95" s="134">
        <v>12.31</v>
      </c>
      <c r="C95" s="134">
        <v>23.53</v>
      </c>
      <c r="D95" s="134">
        <v>23.52</v>
      </c>
      <c r="E95" s="134">
        <v>6.88</v>
      </c>
      <c r="F95" s="134">
        <v>2.5499999999999998</v>
      </c>
      <c r="G95" s="134">
        <v>121.19</v>
      </c>
      <c r="H95" s="134">
        <v>32.630000000000003</v>
      </c>
      <c r="I95" s="134">
        <v>7.84</v>
      </c>
      <c r="J95" s="134">
        <v>0.09</v>
      </c>
      <c r="K95" s="134">
        <v>200.19</v>
      </c>
      <c r="L95" s="134">
        <v>20.87</v>
      </c>
      <c r="M95" s="134">
        <v>76.09</v>
      </c>
      <c r="N95" s="134">
        <v>0</v>
      </c>
      <c r="O95" s="134">
        <v>0</v>
      </c>
      <c r="P95" s="134">
        <v>0.83</v>
      </c>
      <c r="Q95" s="134">
        <v>4.6100000000000003</v>
      </c>
    </row>
    <row r="96" spans="1:17" customFormat="1">
      <c r="A96" s="112" t="s">
        <v>902</v>
      </c>
      <c r="B96" s="134">
        <v>12.39</v>
      </c>
      <c r="C96" s="134">
        <v>24.16</v>
      </c>
      <c r="D96" s="134">
        <v>23.91</v>
      </c>
      <c r="E96" s="134">
        <v>6.41</v>
      </c>
      <c r="F96" s="134">
        <v>2.35</v>
      </c>
      <c r="G96" s="134">
        <v>101.26</v>
      </c>
      <c r="H96" s="134">
        <v>31.43</v>
      </c>
      <c r="I96" s="134">
        <v>7.86</v>
      </c>
      <c r="J96" s="134">
        <v>0.08</v>
      </c>
      <c r="K96" s="134">
        <v>151.1</v>
      </c>
      <c r="L96" s="134">
        <v>20.83</v>
      </c>
      <c r="M96" s="134">
        <v>81.55</v>
      </c>
      <c r="N96" s="134">
        <v>0</v>
      </c>
      <c r="O96" s="134">
        <v>0</v>
      </c>
      <c r="P96" s="134">
        <v>0.84</v>
      </c>
      <c r="Q96" s="134">
        <v>4.6100000000000003</v>
      </c>
    </row>
    <row r="97" spans="1:22" customFormat="1">
      <c r="A97" s="112" t="s">
        <v>903</v>
      </c>
      <c r="B97" s="134">
        <v>12.5</v>
      </c>
      <c r="C97" s="134">
        <v>23.05</v>
      </c>
      <c r="D97" s="134">
        <v>23.42</v>
      </c>
      <c r="E97" s="134">
        <v>6.34</v>
      </c>
      <c r="F97" s="134">
        <v>2.6</v>
      </c>
      <c r="G97" s="134">
        <v>101.26</v>
      </c>
      <c r="H97" s="134">
        <v>31.43</v>
      </c>
      <c r="I97" s="134">
        <v>7.83</v>
      </c>
      <c r="J97" s="134">
        <v>0.12</v>
      </c>
      <c r="K97" s="134">
        <v>215.5</v>
      </c>
      <c r="L97" s="134">
        <v>20.59</v>
      </c>
      <c r="M97" s="134">
        <v>86.16</v>
      </c>
      <c r="N97" s="134">
        <v>0</v>
      </c>
      <c r="O97" s="134">
        <v>0</v>
      </c>
      <c r="P97" s="134">
        <v>0.83</v>
      </c>
      <c r="Q97" s="134">
        <v>4.6399999999999997</v>
      </c>
    </row>
    <row r="98" spans="1:22" customFormat="1">
      <c r="A98" s="112" t="s">
        <v>904</v>
      </c>
      <c r="B98" s="134">
        <v>12.55</v>
      </c>
      <c r="C98" s="134">
        <v>23.82</v>
      </c>
      <c r="D98" s="134">
        <v>23.86</v>
      </c>
      <c r="E98" s="134">
        <v>6.54</v>
      </c>
      <c r="F98" s="134">
        <v>2.2799999999999998</v>
      </c>
      <c r="G98" s="134">
        <v>101.26</v>
      </c>
      <c r="H98" s="134">
        <v>31.43</v>
      </c>
      <c r="I98" s="134">
        <v>7.87</v>
      </c>
      <c r="J98" s="134">
        <v>0.12</v>
      </c>
      <c r="K98" s="134">
        <v>195.06</v>
      </c>
      <c r="L98" s="134">
        <v>20.48</v>
      </c>
      <c r="M98" s="134">
        <v>84.31</v>
      </c>
      <c r="N98" s="134">
        <v>0</v>
      </c>
      <c r="O98" s="134">
        <v>0</v>
      </c>
      <c r="P98" s="134">
        <v>0.83</v>
      </c>
      <c r="Q98" s="134">
        <v>4.62</v>
      </c>
    </row>
    <row r="99" spans="1:22" customFormat="1">
      <c r="A99" s="112" t="s">
        <v>905</v>
      </c>
      <c r="B99" s="134">
        <v>12.73</v>
      </c>
      <c r="C99" s="134">
        <v>22.45</v>
      </c>
      <c r="D99" s="134">
        <v>23.29</v>
      </c>
      <c r="E99" s="134">
        <v>6.49</v>
      </c>
      <c r="F99" s="134">
        <v>2.4700000000000002</v>
      </c>
      <c r="G99" s="134">
        <v>100.46</v>
      </c>
      <c r="H99" s="134">
        <v>31.48</v>
      </c>
      <c r="I99" s="134">
        <v>7.86</v>
      </c>
      <c r="J99" s="134">
        <v>0.12</v>
      </c>
      <c r="K99" s="134">
        <v>173.27</v>
      </c>
      <c r="L99" s="134">
        <v>20.21</v>
      </c>
      <c r="M99" s="134">
        <v>85.69</v>
      </c>
      <c r="N99" s="134">
        <v>0</v>
      </c>
      <c r="O99" s="134">
        <v>0</v>
      </c>
      <c r="P99" s="134">
        <v>0.82</v>
      </c>
      <c r="Q99" s="134">
        <v>4.63</v>
      </c>
    </row>
    <row r="100" spans="1:22" customFormat="1">
      <c r="A100" s="112" t="s">
        <v>906</v>
      </c>
      <c r="B100" s="134">
        <v>12.79</v>
      </c>
      <c r="C100" s="134">
        <v>23.34</v>
      </c>
      <c r="D100" s="134">
        <v>23.8</v>
      </c>
      <c r="E100" s="134">
        <v>6.75</v>
      </c>
      <c r="F100" s="134">
        <v>2.35</v>
      </c>
      <c r="G100" s="134">
        <v>86.81</v>
      </c>
      <c r="H100" s="134">
        <v>32.229999999999997</v>
      </c>
      <c r="I100" s="134">
        <v>7.91</v>
      </c>
      <c r="J100" s="134">
        <v>0.14000000000000001</v>
      </c>
      <c r="K100" s="134">
        <v>205.4</v>
      </c>
      <c r="L100" s="134">
        <v>20.100000000000001</v>
      </c>
      <c r="M100" s="134">
        <v>86.72</v>
      </c>
      <c r="N100" s="134">
        <v>0</v>
      </c>
      <c r="O100" s="134">
        <v>0</v>
      </c>
      <c r="P100" s="134">
        <v>0.83</v>
      </c>
      <c r="Q100" s="134">
        <v>4.6500000000000004</v>
      </c>
    </row>
    <row r="101" spans="1:22" customFormat="1">
      <c r="A101" s="112" t="s">
        <v>907</v>
      </c>
      <c r="B101" s="134">
        <v>12.76</v>
      </c>
      <c r="C101" s="134">
        <v>22.5</v>
      </c>
      <c r="D101" s="134">
        <v>23.34</v>
      </c>
      <c r="E101" s="134">
        <v>6.93</v>
      </c>
      <c r="F101" s="134">
        <v>2.67</v>
      </c>
      <c r="G101" s="134">
        <v>86.81</v>
      </c>
      <c r="H101" s="134">
        <v>32.229999999999997</v>
      </c>
      <c r="I101" s="134">
        <v>7.94</v>
      </c>
      <c r="J101" s="134">
        <v>0.09</v>
      </c>
      <c r="K101" s="134">
        <v>209.75</v>
      </c>
      <c r="L101" s="134">
        <v>19.850000000000001</v>
      </c>
      <c r="M101" s="134">
        <v>87.19</v>
      </c>
      <c r="N101" s="134">
        <v>0</v>
      </c>
      <c r="O101" s="134">
        <v>0</v>
      </c>
      <c r="P101" s="134">
        <v>0.83</v>
      </c>
      <c r="Q101" s="134">
        <v>4.6500000000000004</v>
      </c>
    </row>
    <row r="102" spans="1:22" customFormat="1">
      <c r="A102" s="112" t="s">
        <v>908</v>
      </c>
      <c r="B102" s="134">
        <v>12.84</v>
      </c>
      <c r="C102" s="134">
        <v>23.22</v>
      </c>
      <c r="D102" s="134">
        <v>23.78</v>
      </c>
      <c r="E102" s="134">
        <v>7.02</v>
      </c>
      <c r="F102" s="134">
        <v>2.33</v>
      </c>
      <c r="G102" s="134">
        <v>86.81</v>
      </c>
      <c r="H102" s="134">
        <v>32.229999999999997</v>
      </c>
      <c r="I102" s="134">
        <v>7.97</v>
      </c>
      <c r="J102" s="134">
        <v>0.1</v>
      </c>
      <c r="K102" s="134">
        <v>216.79</v>
      </c>
      <c r="L102" s="134">
        <v>19.829999999999998</v>
      </c>
      <c r="M102" s="134">
        <v>85.25</v>
      </c>
      <c r="N102" s="134">
        <v>0</v>
      </c>
      <c r="O102" s="134">
        <v>0</v>
      </c>
      <c r="P102" s="134">
        <v>0.84</v>
      </c>
      <c r="Q102" s="134">
        <v>4.6500000000000004</v>
      </c>
    </row>
    <row r="103" spans="1:22" customFormat="1">
      <c r="A103" s="112" t="s">
        <v>909</v>
      </c>
      <c r="B103" s="134">
        <v>13.02</v>
      </c>
      <c r="C103" s="134">
        <v>23.02</v>
      </c>
      <c r="D103" s="134">
        <v>23.81</v>
      </c>
      <c r="E103" s="134">
        <v>6.82</v>
      </c>
      <c r="F103" s="134">
        <v>2.39</v>
      </c>
      <c r="G103" s="134">
        <v>86.14</v>
      </c>
      <c r="H103" s="134">
        <v>32.08</v>
      </c>
      <c r="I103" s="134">
        <v>7.98</v>
      </c>
      <c r="J103" s="134">
        <v>0.21</v>
      </c>
      <c r="K103" s="134">
        <v>179.95</v>
      </c>
      <c r="L103" s="134">
        <v>19.829999999999998</v>
      </c>
      <c r="M103" s="134">
        <v>88.1</v>
      </c>
      <c r="N103" s="134">
        <v>0</v>
      </c>
      <c r="O103" s="134">
        <v>0</v>
      </c>
      <c r="P103" s="134">
        <v>0.84</v>
      </c>
      <c r="Q103" s="134">
        <v>4.6500000000000004</v>
      </c>
    </row>
    <row r="104" spans="1:22" customFormat="1">
      <c r="A104" s="112" t="s">
        <v>910</v>
      </c>
      <c r="B104" s="134">
        <v>13.2</v>
      </c>
      <c r="C104" s="134">
        <v>22.45</v>
      </c>
      <c r="D104" s="134">
        <v>23.67</v>
      </c>
      <c r="E104" s="134">
        <v>6.67</v>
      </c>
      <c r="F104" s="134">
        <v>2.67</v>
      </c>
      <c r="G104" s="134">
        <v>74.64</v>
      </c>
      <c r="H104" s="134">
        <v>29.85</v>
      </c>
      <c r="I104" s="134">
        <v>8.0399999999999991</v>
      </c>
      <c r="J104" s="134">
        <v>0.11</v>
      </c>
      <c r="K104" s="134">
        <v>218.88</v>
      </c>
      <c r="L104" s="134">
        <v>19.53</v>
      </c>
      <c r="M104" s="134">
        <v>87.25</v>
      </c>
      <c r="N104" s="134">
        <v>0</v>
      </c>
      <c r="O104" s="134">
        <v>0</v>
      </c>
      <c r="P104" s="134">
        <v>0.84</v>
      </c>
      <c r="Q104" s="134">
        <v>4.66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6.59</v>
      </c>
      <c r="C106" s="183">
        <f>MIN(C9:C104)</f>
        <v>22.45</v>
      </c>
      <c r="D106" s="183">
        <f t="shared" ref="D106:Q106" si="0">MIN(D9:D104)</f>
        <v>19.22</v>
      </c>
      <c r="E106" s="183">
        <f t="shared" si="0"/>
        <v>4.05</v>
      </c>
      <c r="F106" s="183">
        <f t="shared" si="0"/>
        <v>2.21</v>
      </c>
      <c r="G106" s="183">
        <f t="shared" si="0"/>
        <v>70.83</v>
      </c>
      <c r="H106" s="183">
        <f t="shared" si="0"/>
        <v>25.91</v>
      </c>
      <c r="I106" s="183">
        <f t="shared" si="0"/>
        <v>5.89</v>
      </c>
      <c r="J106" s="183">
        <f t="shared" si="0"/>
        <v>0.03</v>
      </c>
      <c r="K106" s="183">
        <f t="shared" si="0"/>
        <v>14.05</v>
      </c>
      <c r="L106" s="183">
        <f t="shared" si="0"/>
        <v>18.21</v>
      </c>
      <c r="M106" s="183">
        <f t="shared" si="0"/>
        <v>24.3</v>
      </c>
      <c r="N106" s="183">
        <f t="shared" si="0"/>
        <v>0</v>
      </c>
      <c r="O106" s="183">
        <f t="shared" si="0"/>
        <v>0</v>
      </c>
      <c r="P106" s="183">
        <f t="shared" si="0"/>
        <v>0.71</v>
      </c>
      <c r="Q106" s="183">
        <f t="shared" si="0"/>
        <v>4.32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63.73</v>
      </c>
      <c r="C107" s="184">
        <f t="shared" ref="C107:Q107" si="1">MAX(C9:C104)</f>
        <v>35.86</v>
      </c>
      <c r="D107" s="184">
        <f t="shared" si="1"/>
        <v>67.48</v>
      </c>
      <c r="E107" s="184">
        <f t="shared" si="1"/>
        <v>8.08</v>
      </c>
      <c r="F107" s="184">
        <f t="shared" si="1"/>
        <v>8.84</v>
      </c>
      <c r="G107" s="184">
        <f t="shared" si="1"/>
        <v>128.07</v>
      </c>
      <c r="H107" s="184">
        <f t="shared" si="1"/>
        <v>48.76</v>
      </c>
      <c r="I107" s="184">
        <f t="shared" si="1"/>
        <v>10.42</v>
      </c>
      <c r="J107" s="184">
        <f t="shared" si="1"/>
        <v>0.75</v>
      </c>
      <c r="K107" s="184">
        <f t="shared" si="1"/>
        <v>356.98</v>
      </c>
      <c r="L107" s="184">
        <f t="shared" si="1"/>
        <v>31.95</v>
      </c>
      <c r="M107" s="184">
        <f t="shared" si="1"/>
        <v>93.72</v>
      </c>
      <c r="N107" s="184">
        <f t="shared" si="1"/>
        <v>662.5</v>
      </c>
      <c r="O107" s="184">
        <f t="shared" si="1"/>
        <v>0</v>
      </c>
      <c r="P107" s="184">
        <f t="shared" si="1"/>
        <v>1.1299999999999999</v>
      </c>
      <c r="Q107" s="184">
        <f t="shared" si="1"/>
        <v>6.75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30.267083333333336</v>
      </c>
      <c r="C108" s="183">
        <f t="shared" ref="C108:Q108" si="2">AVERAGE(C9:C104)</f>
        <v>27.658541666666668</v>
      </c>
      <c r="D108" s="183">
        <f t="shared" si="2"/>
        <v>40.072812500000005</v>
      </c>
      <c r="E108" s="183">
        <f t="shared" si="2"/>
        <v>6.2872916666666656</v>
      </c>
      <c r="F108" s="183">
        <f t="shared" si="2"/>
        <v>3.3815624999999998</v>
      </c>
      <c r="G108" s="183">
        <f t="shared" si="2"/>
        <v>103.45916666666669</v>
      </c>
      <c r="H108" s="183">
        <f t="shared" si="2"/>
        <v>35.726874999999986</v>
      </c>
      <c r="I108" s="183">
        <f t="shared" si="2"/>
        <v>8.5720833333333371</v>
      </c>
      <c r="J108" s="183">
        <f t="shared" si="2"/>
        <v>0.20802083333333335</v>
      </c>
      <c r="K108" s="183">
        <f t="shared" si="2"/>
        <v>139.88374999999999</v>
      </c>
      <c r="L108" s="183">
        <f t="shared" si="2"/>
        <v>24.008437499999999</v>
      </c>
      <c r="M108" s="183">
        <f t="shared" si="2"/>
        <v>64.060312500000009</v>
      </c>
      <c r="N108" s="183">
        <f t="shared" si="2"/>
        <v>143.63541666666669</v>
      </c>
      <c r="O108" s="183">
        <f t="shared" si="2"/>
        <v>0</v>
      </c>
      <c r="P108" s="183">
        <f t="shared" si="2"/>
        <v>0.93031249999999976</v>
      </c>
      <c r="Q108" s="183">
        <f t="shared" si="2"/>
        <v>5.3557291666666655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22.236952504034075</v>
      </c>
      <c r="C109" s="183">
        <f t="shared" ref="C109:Q109" si="3">STDEV(C9:C104)</f>
        <v>3.2706191202621864</v>
      </c>
      <c r="D109" s="183">
        <f t="shared" si="3"/>
        <v>18.635976508560809</v>
      </c>
      <c r="E109" s="183">
        <f t="shared" si="3"/>
        <v>1.0314940407682234</v>
      </c>
      <c r="F109" s="183">
        <f t="shared" si="3"/>
        <v>1.5457911128201272</v>
      </c>
      <c r="G109" s="183">
        <f t="shared" si="3"/>
        <v>17.099386425844362</v>
      </c>
      <c r="H109" s="183">
        <f t="shared" si="3"/>
        <v>5.8050510333673655</v>
      </c>
      <c r="I109" s="183">
        <f t="shared" si="3"/>
        <v>1.4569831243227687</v>
      </c>
      <c r="J109" s="183">
        <f t="shared" si="3"/>
        <v>0.16007642774405675</v>
      </c>
      <c r="K109" s="183">
        <f t="shared" si="3"/>
        <v>73.507535700340583</v>
      </c>
      <c r="L109" s="183">
        <f t="shared" si="3"/>
        <v>4.8904003340863218</v>
      </c>
      <c r="M109" s="183">
        <f t="shared" si="3"/>
        <v>24.808660985658133</v>
      </c>
      <c r="N109" s="183">
        <f t="shared" si="3"/>
        <v>227.46827146204328</v>
      </c>
      <c r="O109" s="183">
        <f t="shared" si="3"/>
        <v>0</v>
      </c>
      <c r="P109" s="183">
        <f t="shared" si="3"/>
        <v>0.13594467237581936</v>
      </c>
      <c r="Q109" s="183">
        <f t="shared" si="3"/>
        <v>0.8985529241264284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08/11/2023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911</v>
      </c>
      <c r="B9" s="134">
        <v>12.73</v>
      </c>
      <c r="C9" s="134">
        <v>24.19</v>
      </c>
      <c r="D9" s="134">
        <v>24.19</v>
      </c>
      <c r="E9" s="134">
        <v>6.94</v>
      </c>
      <c r="F9" s="134">
        <v>2.5</v>
      </c>
      <c r="G9" s="134">
        <v>74.64</v>
      </c>
      <c r="H9" s="134">
        <v>29.85</v>
      </c>
      <c r="I9" s="134">
        <v>8.1</v>
      </c>
      <c r="J9" s="134">
        <v>0.06</v>
      </c>
      <c r="K9" s="134">
        <v>171.36</v>
      </c>
      <c r="L9" s="134">
        <v>19.5</v>
      </c>
      <c r="M9" s="134">
        <v>87.23</v>
      </c>
      <c r="N9" s="134">
        <v>0</v>
      </c>
      <c r="O9" s="134">
        <v>0</v>
      </c>
      <c r="P9" s="134">
        <v>0.85</v>
      </c>
      <c r="Q9" s="134">
        <v>4.67</v>
      </c>
    </row>
    <row r="10" spans="1:21" customFormat="1">
      <c r="A10" s="112" t="s">
        <v>912</v>
      </c>
      <c r="B10" s="134">
        <v>13.19</v>
      </c>
      <c r="C10" s="134">
        <v>22.1</v>
      </c>
      <c r="D10" s="134">
        <v>23.47</v>
      </c>
      <c r="E10" s="134">
        <v>6.49</v>
      </c>
      <c r="F10" s="134">
        <v>2.63</v>
      </c>
      <c r="G10" s="134">
        <v>74.64</v>
      </c>
      <c r="H10" s="134">
        <v>29.85</v>
      </c>
      <c r="I10" s="134">
        <v>8.1199999999999992</v>
      </c>
      <c r="J10" s="134">
        <v>0.05</v>
      </c>
      <c r="K10" s="134">
        <v>162.46</v>
      </c>
      <c r="L10" s="134">
        <v>19.600000000000001</v>
      </c>
      <c r="M10" s="134">
        <v>86.11</v>
      </c>
      <c r="N10" s="134">
        <v>0</v>
      </c>
      <c r="O10" s="134">
        <v>0</v>
      </c>
      <c r="P10" s="134">
        <v>0.84</v>
      </c>
      <c r="Q10" s="134">
        <v>4.6900000000000004</v>
      </c>
    </row>
    <row r="11" spans="1:21" customFormat="1">
      <c r="A11" s="112" t="s">
        <v>913</v>
      </c>
      <c r="B11" s="134">
        <v>14.78</v>
      </c>
      <c r="C11" s="134">
        <v>23.3</v>
      </c>
      <c r="D11" s="134">
        <v>25.38</v>
      </c>
      <c r="E11" s="134">
        <v>7.13</v>
      </c>
      <c r="F11" s="134">
        <v>2.46</v>
      </c>
      <c r="G11" s="134">
        <v>74.61</v>
      </c>
      <c r="H11" s="134">
        <v>29.95</v>
      </c>
      <c r="I11" s="134">
        <v>8.2100000000000009</v>
      </c>
      <c r="J11" s="134">
        <v>0.01</v>
      </c>
      <c r="K11" s="134">
        <v>96.45</v>
      </c>
      <c r="L11" s="134">
        <v>19.559999999999999</v>
      </c>
      <c r="M11" s="134">
        <v>84.28</v>
      </c>
      <c r="N11" s="134">
        <v>0</v>
      </c>
      <c r="O11" s="134">
        <v>0</v>
      </c>
      <c r="P11" s="134">
        <v>0.86</v>
      </c>
      <c r="Q11" s="134">
        <v>4.74</v>
      </c>
    </row>
    <row r="12" spans="1:21" customFormat="1">
      <c r="A12" s="112" t="s">
        <v>914</v>
      </c>
      <c r="B12" s="134">
        <v>18.52</v>
      </c>
      <c r="C12" s="134">
        <v>24.18</v>
      </c>
      <c r="D12" s="134">
        <v>28.84</v>
      </c>
      <c r="E12" s="134">
        <v>6.66</v>
      </c>
      <c r="F12" s="134">
        <v>2.63</v>
      </c>
      <c r="G12" s="134">
        <v>74.069999999999993</v>
      </c>
      <c r="H12" s="134">
        <v>31.48</v>
      </c>
      <c r="I12" s="134">
        <v>8.2200000000000006</v>
      </c>
      <c r="J12" s="134">
        <v>0.05</v>
      </c>
      <c r="K12" s="134">
        <v>89.16</v>
      </c>
      <c r="L12" s="134">
        <v>19.59</v>
      </c>
      <c r="M12" s="134">
        <v>83.56</v>
      </c>
      <c r="N12" s="134">
        <v>0</v>
      </c>
      <c r="O12" s="134">
        <v>0</v>
      </c>
      <c r="P12" s="134">
        <v>0.88</v>
      </c>
      <c r="Q12" s="134">
        <v>4.88</v>
      </c>
    </row>
    <row r="13" spans="1:21" customFormat="1">
      <c r="A13" s="112" t="s">
        <v>915</v>
      </c>
      <c r="B13" s="134">
        <v>22.32</v>
      </c>
      <c r="C13" s="134">
        <v>25.53</v>
      </c>
      <c r="D13" s="134">
        <v>32.590000000000003</v>
      </c>
      <c r="E13" s="134">
        <v>7.81</v>
      </c>
      <c r="F13" s="134">
        <v>2.41</v>
      </c>
      <c r="G13" s="134">
        <v>74.069999999999993</v>
      </c>
      <c r="H13" s="134">
        <v>31.48</v>
      </c>
      <c r="I13" s="134">
        <v>8.3699999999999992</v>
      </c>
      <c r="J13" s="134">
        <v>0.09</v>
      </c>
      <c r="K13" s="134">
        <v>33.6</v>
      </c>
      <c r="L13" s="134">
        <v>19.64</v>
      </c>
      <c r="M13" s="134">
        <v>81.349999999999994</v>
      </c>
      <c r="N13" s="134">
        <v>0</v>
      </c>
      <c r="O13" s="134">
        <v>0</v>
      </c>
      <c r="P13" s="134">
        <v>0.9</v>
      </c>
      <c r="Q13" s="134">
        <v>5.0199999999999996</v>
      </c>
    </row>
    <row r="14" spans="1:21" customFormat="1">
      <c r="A14" s="112" t="s">
        <v>916</v>
      </c>
      <c r="B14" s="134">
        <v>25.04</v>
      </c>
      <c r="C14" s="134">
        <v>25.49</v>
      </c>
      <c r="D14" s="134">
        <v>34.75</v>
      </c>
      <c r="E14" s="134">
        <v>7.57</v>
      </c>
      <c r="F14" s="134">
        <v>2.52</v>
      </c>
      <c r="G14" s="134">
        <v>74.069999999999993</v>
      </c>
      <c r="H14" s="134">
        <v>31.48</v>
      </c>
      <c r="I14" s="134">
        <v>8.49</v>
      </c>
      <c r="J14" s="134">
        <v>0.14000000000000001</v>
      </c>
      <c r="K14" s="134">
        <v>48.41</v>
      </c>
      <c r="L14" s="134">
        <v>19.84</v>
      </c>
      <c r="M14" s="134">
        <v>80.11</v>
      </c>
      <c r="N14" s="134">
        <v>0</v>
      </c>
      <c r="O14" s="134">
        <v>0</v>
      </c>
      <c r="P14" s="134">
        <v>0.91</v>
      </c>
      <c r="Q14" s="134">
        <v>5.17</v>
      </c>
    </row>
    <row r="15" spans="1:21" customFormat="1">
      <c r="A15" s="112" t="s">
        <v>917</v>
      </c>
      <c r="B15" s="134">
        <v>26.83</v>
      </c>
      <c r="C15" s="134">
        <v>25.96</v>
      </c>
      <c r="D15" s="134">
        <v>36.43</v>
      </c>
      <c r="E15" s="134">
        <v>7.36</v>
      </c>
      <c r="F15" s="134">
        <v>2.68</v>
      </c>
      <c r="G15" s="134">
        <v>74.8</v>
      </c>
      <c r="H15" s="134">
        <v>31.77</v>
      </c>
      <c r="I15" s="134">
        <v>8.65</v>
      </c>
      <c r="J15" s="134">
        <v>0.22</v>
      </c>
      <c r="K15" s="134">
        <v>159.63999999999999</v>
      </c>
      <c r="L15" s="134">
        <v>19.940000000000001</v>
      </c>
      <c r="M15" s="134">
        <v>80.16</v>
      </c>
      <c r="N15" s="134">
        <v>0</v>
      </c>
      <c r="O15" s="134">
        <v>0</v>
      </c>
      <c r="P15" s="134">
        <v>0.96</v>
      </c>
      <c r="Q15" s="134">
        <v>5.26</v>
      </c>
    </row>
    <row r="16" spans="1:21" customFormat="1">
      <c r="A16" s="112" t="s">
        <v>918</v>
      </c>
      <c r="B16" s="134">
        <v>27.97</v>
      </c>
      <c r="C16" s="134">
        <v>26.64</v>
      </c>
      <c r="D16" s="134">
        <v>37.700000000000003</v>
      </c>
      <c r="E16" s="134">
        <v>7.22</v>
      </c>
      <c r="F16" s="134">
        <v>2.68</v>
      </c>
      <c r="G16" s="134">
        <v>90.44</v>
      </c>
      <c r="H16" s="134">
        <v>36.200000000000003</v>
      </c>
      <c r="I16" s="134">
        <v>8.83</v>
      </c>
      <c r="J16" s="134">
        <v>0.17</v>
      </c>
      <c r="K16" s="134">
        <v>164.43</v>
      </c>
      <c r="L16" s="134">
        <v>19.77</v>
      </c>
      <c r="M16" s="134">
        <v>82.59</v>
      </c>
      <c r="N16" s="134">
        <v>0</v>
      </c>
      <c r="O16" s="134">
        <v>0</v>
      </c>
      <c r="P16" s="134">
        <v>0.99</v>
      </c>
      <c r="Q16" s="134">
        <v>5.34</v>
      </c>
    </row>
    <row r="17" spans="1:17" customFormat="1">
      <c r="A17" s="112" t="s">
        <v>919</v>
      </c>
      <c r="B17" s="134">
        <v>29.5</v>
      </c>
      <c r="C17" s="134">
        <v>27.23</v>
      </c>
      <c r="D17" s="134">
        <v>39.24</v>
      </c>
      <c r="E17" s="134">
        <v>6.04</v>
      </c>
      <c r="F17" s="134">
        <v>2.7</v>
      </c>
      <c r="G17" s="134">
        <v>90.44</v>
      </c>
      <c r="H17" s="134">
        <v>36.200000000000003</v>
      </c>
      <c r="I17" s="134">
        <v>9.16</v>
      </c>
      <c r="J17" s="134">
        <v>0.19</v>
      </c>
      <c r="K17" s="134">
        <v>234.69</v>
      </c>
      <c r="L17" s="134">
        <v>19.239999999999998</v>
      </c>
      <c r="M17" s="134">
        <v>84.97</v>
      </c>
      <c r="N17" s="134">
        <v>0</v>
      </c>
      <c r="O17" s="134">
        <v>0</v>
      </c>
      <c r="P17" s="134">
        <v>1.01</v>
      </c>
      <c r="Q17" s="134">
        <v>5.4</v>
      </c>
    </row>
    <row r="18" spans="1:17" customFormat="1">
      <c r="A18" s="112" t="s">
        <v>920</v>
      </c>
      <c r="B18" s="134">
        <v>30.5</v>
      </c>
      <c r="C18" s="134">
        <v>27.72</v>
      </c>
      <c r="D18" s="134">
        <v>40.29</v>
      </c>
      <c r="E18" s="134">
        <v>7.04</v>
      </c>
      <c r="F18" s="134">
        <v>2.69</v>
      </c>
      <c r="G18" s="134">
        <v>90.44</v>
      </c>
      <c r="H18" s="134">
        <v>36.200000000000003</v>
      </c>
      <c r="I18" s="134">
        <v>9.4600000000000009</v>
      </c>
      <c r="J18" s="134">
        <v>0.11</v>
      </c>
      <c r="K18" s="134">
        <v>221.81</v>
      </c>
      <c r="L18" s="134">
        <v>18.87</v>
      </c>
      <c r="M18" s="134">
        <v>86.14</v>
      </c>
      <c r="N18" s="134">
        <v>0</v>
      </c>
      <c r="O18" s="134">
        <v>0</v>
      </c>
      <c r="P18" s="134">
        <v>1.04</v>
      </c>
      <c r="Q18" s="134">
        <v>5.44</v>
      </c>
    </row>
    <row r="19" spans="1:17" customFormat="1">
      <c r="A19" s="112" t="s">
        <v>921</v>
      </c>
      <c r="B19" s="134">
        <v>30.6</v>
      </c>
      <c r="C19" s="134">
        <v>27.71</v>
      </c>
      <c r="D19" s="134">
        <v>40.369999999999997</v>
      </c>
      <c r="E19" s="134">
        <v>7.32</v>
      </c>
      <c r="F19" s="134">
        <v>2.67</v>
      </c>
      <c r="G19" s="134">
        <v>91.28</v>
      </c>
      <c r="H19" s="134">
        <v>36.36</v>
      </c>
      <c r="I19" s="134">
        <v>9.75</v>
      </c>
      <c r="J19" s="134">
        <v>0.06</v>
      </c>
      <c r="K19" s="134">
        <v>162.30000000000001</v>
      </c>
      <c r="L19" s="134">
        <v>18.46</v>
      </c>
      <c r="M19" s="134">
        <v>88.34</v>
      </c>
      <c r="N19" s="134">
        <v>0</v>
      </c>
      <c r="O19" s="134">
        <v>0</v>
      </c>
      <c r="P19" s="134">
        <v>1.04</v>
      </c>
      <c r="Q19" s="134">
        <v>5.42</v>
      </c>
    </row>
    <row r="20" spans="1:17" customFormat="1">
      <c r="A20" s="112" t="s">
        <v>922</v>
      </c>
      <c r="B20" s="134">
        <v>30.44</v>
      </c>
      <c r="C20" s="134">
        <v>27.63</v>
      </c>
      <c r="D20" s="134">
        <v>40.200000000000003</v>
      </c>
      <c r="E20" s="134">
        <v>6.75</v>
      </c>
      <c r="F20" s="134">
        <v>2.6</v>
      </c>
      <c r="G20" s="134">
        <v>109.33</v>
      </c>
      <c r="H20" s="134">
        <v>38.89</v>
      </c>
      <c r="I20" s="134">
        <v>9.98</v>
      </c>
      <c r="J20" s="134">
        <v>0.1</v>
      </c>
      <c r="K20" s="134">
        <v>174.16</v>
      </c>
      <c r="L20" s="134">
        <v>18.52</v>
      </c>
      <c r="M20" s="134">
        <v>89.68</v>
      </c>
      <c r="N20" s="134">
        <v>0</v>
      </c>
      <c r="O20" s="134">
        <v>0</v>
      </c>
      <c r="P20" s="134">
        <v>1.06</v>
      </c>
      <c r="Q20" s="134">
        <v>5.43</v>
      </c>
    </row>
    <row r="21" spans="1:17" customFormat="1">
      <c r="A21" s="112" t="s">
        <v>923</v>
      </c>
      <c r="B21" s="134">
        <v>30.32</v>
      </c>
      <c r="C21" s="134">
        <v>27.39</v>
      </c>
      <c r="D21" s="134">
        <v>39.979999999999997</v>
      </c>
      <c r="E21" s="134">
        <v>7.24</v>
      </c>
      <c r="F21" s="134">
        <v>2.6</v>
      </c>
      <c r="G21" s="134">
        <v>109.33</v>
      </c>
      <c r="H21" s="134">
        <v>38.89</v>
      </c>
      <c r="I21" s="134">
        <v>10.08</v>
      </c>
      <c r="J21" s="134">
        <v>0.14000000000000001</v>
      </c>
      <c r="K21" s="134">
        <v>153.22</v>
      </c>
      <c r="L21" s="134">
        <v>18.47</v>
      </c>
      <c r="M21" s="134">
        <v>91.87</v>
      </c>
      <c r="N21" s="134">
        <v>0</v>
      </c>
      <c r="O21" s="134">
        <v>0</v>
      </c>
      <c r="P21" s="134">
        <v>1.07</v>
      </c>
      <c r="Q21" s="134">
        <v>5.45</v>
      </c>
    </row>
    <row r="22" spans="1:17" customFormat="1">
      <c r="A22" s="112" t="s">
        <v>924</v>
      </c>
      <c r="B22" s="134">
        <v>30.14</v>
      </c>
      <c r="C22" s="134">
        <v>27.25</v>
      </c>
      <c r="D22" s="134">
        <v>39.76</v>
      </c>
      <c r="E22" s="134">
        <v>7.6</v>
      </c>
      <c r="F22" s="134">
        <v>2.61</v>
      </c>
      <c r="G22" s="134">
        <v>109.33</v>
      </c>
      <c r="H22" s="134">
        <v>38.89</v>
      </c>
      <c r="I22" s="134">
        <v>10.210000000000001</v>
      </c>
      <c r="J22" s="134">
        <v>0.08</v>
      </c>
      <c r="K22" s="134">
        <v>185.57</v>
      </c>
      <c r="L22" s="134">
        <v>18.41</v>
      </c>
      <c r="M22" s="134">
        <v>92.93</v>
      </c>
      <c r="N22" s="134">
        <v>0</v>
      </c>
      <c r="O22" s="134">
        <v>0</v>
      </c>
      <c r="P22" s="134">
        <v>1.08</v>
      </c>
      <c r="Q22" s="134">
        <v>5.43</v>
      </c>
    </row>
    <row r="23" spans="1:17" customFormat="1">
      <c r="A23" s="112" t="s">
        <v>925</v>
      </c>
      <c r="B23" s="134">
        <v>29.97</v>
      </c>
      <c r="C23" s="134">
        <v>27.19</v>
      </c>
      <c r="D23" s="134">
        <v>39.590000000000003</v>
      </c>
      <c r="E23" s="134">
        <v>7.16</v>
      </c>
      <c r="F23" s="134">
        <v>2.62</v>
      </c>
      <c r="G23" s="134">
        <v>109.22</v>
      </c>
      <c r="H23" s="134">
        <v>38.880000000000003</v>
      </c>
      <c r="I23" s="134">
        <v>10.34</v>
      </c>
      <c r="J23" s="134">
        <v>0.32</v>
      </c>
      <c r="K23" s="134">
        <v>173.41</v>
      </c>
      <c r="L23" s="134">
        <v>18.48</v>
      </c>
      <c r="M23" s="134">
        <v>91.65</v>
      </c>
      <c r="N23" s="134">
        <v>0</v>
      </c>
      <c r="O23" s="134">
        <v>0</v>
      </c>
      <c r="P23" s="134">
        <v>1.0900000000000001</v>
      </c>
      <c r="Q23" s="134">
        <v>5.42</v>
      </c>
    </row>
    <row r="24" spans="1:17" customFormat="1">
      <c r="A24" s="112" t="s">
        <v>926</v>
      </c>
      <c r="B24" s="134">
        <v>29.76</v>
      </c>
      <c r="C24" s="134">
        <v>27.21</v>
      </c>
      <c r="D24" s="134">
        <v>39.43</v>
      </c>
      <c r="E24" s="134">
        <v>7.81</v>
      </c>
      <c r="F24" s="134">
        <v>2.5299999999999998</v>
      </c>
      <c r="G24" s="134">
        <v>106.97</v>
      </c>
      <c r="H24" s="134">
        <v>38.83</v>
      </c>
      <c r="I24" s="134">
        <v>10.5</v>
      </c>
      <c r="J24" s="134">
        <v>0.12</v>
      </c>
      <c r="K24" s="134">
        <v>149.1</v>
      </c>
      <c r="L24" s="134">
        <v>18.2</v>
      </c>
      <c r="M24" s="134">
        <v>89.98</v>
      </c>
      <c r="N24" s="134">
        <v>0</v>
      </c>
      <c r="O24" s="134">
        <v>0</v>
      </c>
      <c r="P24" s="134">
        <v>1.0900000000000001</v>
      </c>
      <c r="Q24" s="134">
        <v>5.41</v>
      </c>
    </row>
    <row r="25" spans="1:17" customFormat="1">
      <c r="A25" s="112" t="s">
        <v>927</v>
      </c>
      <c r="B25" s="134">
        <v>29.5</v>
      </c>
      <c r="C25" s="134">
        <v>27.29</v>
      </c>
      <c r="D25" s="134">
        <v>39.270000000000003</v>
      </c>
      <c r="E25" s="134">
        <v>7.51</v>
      </c>
      <c r="F25" s="134">
        <v>2.62</v>
      </c>
      <c r="G25" s="134">
        <v>106.97</v>
      </c>
      <c r="H25" s="134">
        <v>38.83</v>
      </c>
      <c r="I25" s="134">
        <v>10.64</v>
      </c>
      <c r="J25" s="134">
        <v>0.06</v>
      </c>
      <c r="K25" s="134">
        <v>185.06</v>
      </c>
      <c r="L25" s="134">
        <v>18.07</v>
      </c>
      <c r="M25" s="134">
        <v>90.85</v>
      </c>
      <c r="N25" s="134">
        <v>0</v>
      </c>
      <c r="O25" s="134">
        <v>0</v>
      </c>
      <c r="P25" s="134">
        <v>1.1000000000000001</v>
      </c>
      <c r="Q25" s="134">
        <v>5.41</v>
      </c>
    </row>
    <row r="26" spans="1:17" customFormat="1">
      <c r="A26" s="112" t="s">
        <v>928</v>
      </c>
      <c r="B26" s="134">
        <v>29.59</v>
      </c>
      <c r="C26" s="134">
        <v>27.02</v>
      </c>
      <c r="D26" s="134">
        <v>39.200000000000003</v>
      </c>
      <c r="E26" s="134">
        <v>7.28</v>
      </c>
      <c r="F26" s="134">
        <v>2.57</v>
      </c>
      <c r="G26" s="134">
        <v>106.97</v>
      </c>
      <c r="H26" s="134">
        <v>38.83</v>
      </c>
      <c r="I26" s="134">
        <v>10.7</v>
      </c>
      <c r="J26" s="134">
        <v>0.09</v>
      </c>
      <c r="K26" s="134">
        <v>151.13</v>
      </c>
      <c r="L26" s="134">
        <v>18.13</v>
      </c>
      <c r="M26" s="134">
        <v>92.2</v>
      </c>
      <c r="N26" s="134">
        <v>0</v>
      </c>
      <c r="O26" s="134">
        <v>0</v>
      </c>
      <c r="P26" s="134">
        <v>1.1100000000000001</v>
      </c>
      <c r="Q26" s="134">
        <v>5.42</v>
      </c>
    </row>
    <row r="27" spans="1:17" customFormat="1">
      <c r="A27" s="112" t="s">
        <v>929</v>
      </c>
      <c r="B27" s="134">
        <v>29.81</v>
      </c>
      <c r="C27" s="134">
        <v>27.03</v>
      </c>
      <c r="D27" s="134">
        <v>39.380000000000003</v>
      </c>
      <c r="E27" s="134">
        <v>7.85</v>
      </c>
      <c r="F27" s="134">
        <v>2.58</v>
      </c>
      <c r="G27" s="134">
        <v>106.99</v>
      </c>
      <c r="H27" s="134">
        <v>38.96</v>
      </c>
      <c r="I27" s="134">
        <v>10.78</v>
      </c>
      <c r="J27" s="134">
        <v>0.1</v>
      </c>
      <c r="K27" s="134">
        <v>125.79</v>
      </c>
      <c r="L27" s="134">
        <v>18.010000000000002</v>
      </c>
      <c r="M27" s="134">
        <v>92.5</v>
      </c>
      <c r="N27" s="134">
        <v>0</v>
      </c>
      <c r="O27" s="134">
        <v>0</v>
      </c>
      <c r="P27" s="134">
        <v>1.1100000000000001</v>
      </c>
      <c r="Q27" s="134">
        <v>5.47</v>
      </c>
    </row>
    <row r="28" spans="1:17" customFormat="1">
      <c r="A28" s="112" t="s">
        <v>930</v>
      </c>
      <c r="B28" s="134">
        <v>32.19</v>
      </c>
      <c r="C28" s="134">
        <v>27.45</v>
      </c>
      <c r="D28" s="134">
        <v>41.51</v>
      </c>
      <c r="E28" s="134">
        <v>8.0399999999999991</v>
      </c>
      <c r="F28" s="134">
        <v>2.61</v>
      </c>
      <c r="G28" s="134">
        <v>107.53</v>
      </c>
      <c r="H28" s="134">
        <v>41.71</v>
      </c>
      <c r="I28" s="134">
        <v>10.92</v>
      </c>
      <c r="J28" s="134">
        <v>0.09</v>
      </c>
      <c r="K28" s="134">
        <v>187.21</v>
      </c>
      <c r="L28" s="134">
        <v>18.18</v>
      </c>
      <c r="M28" s="134">
        <v>90.71</v>
      </c>
      <c r="N28" s="134">
        <v>0</v>
      </c>
      <c r="O28" s="134">
        <v>0</v>
      </c>
      <c r="P28" s="134">
        <v>1.1399999999999999</v>
      </c>
      <c r="Q28" s="134">
        <v>5.52</v>
      </c>
    </row>
    <row r="29" spans="1:17" customFormat="1">
      <c r="A29" s="112" t="s">
        <v>931</v>
      </c>
      <c r="B29" s="134">
        <v>34.94</v>
      </c>
      <c r="C29" s="134">
        <v>27.68</v>
      </c>
      <c r="D29" s="134">
        <v>43.83</v>
      </c>
      <c r="E29" s="134">
        <v>8.18</v>
      </c>
      <c r="F29" s="134">
        <v>2.4500000000000002</v>
      </c>
      <c r="G29" s="134">
        <v>107.53</v>
      </c>
      <c r="H29" s="134">
        <v>41.71</v>
      </c>
      <c r="I29" s="134">
        <v>11.08</v>
      </c>
      <c r="J29" s="134">
        <v>0.12</v>
      </c>
      <c r="K29" s="134">
        <v>156.47999999999999</v>
      </c>
      <c r="L29" s="134">
        <v>18.05</v>
      </c>
      <c r="M29" s="134">
        <v>93.21</v>
      </c>
      <c r="N29" s="134">
        <v>0</v>
      </c>
      <c r="O29" s="134">
        <v>0</v>
      </c>
      <c r="P29" s="134">
        <v>1.1499999999999999</v>
      </c>
      <c r="Q29" s="134">
        <v>5.64</v>
      </c>
    </row>
    <row r="30" spans="1:17" customFormat="1">
      <c r="A30" s="112" t="s">
        <v>932</v>
      </c>
      <c r="B30" s="134">
        <v>35.590000000000003</v>
      </c>
      <c r="C30" s="134">
        <v>27.65</v>
      </c>
      <c r="D30" s="134">
        <v>44.33</v>
      </c>
      <c r="E30" s="134">
        <v>8.16</v>
      </c>
      <c r="F30" s="134">
        <v>2.58</v>
      </c>
      <c r="G30" s="134">
        <v>107.53</v>
      </c>
      <c r="H30" s="134">
        <v>41.71</v>
      </c>
      <c r="I30" s="134">
        <v>11.29</v>
      </c>
      <c r="J30" s="134">
        <v>0.08</v>
      </c>
      <c r="K30" s="134">
        <v>195.83</v>
      </c>
      <c r="L30" s="134">
        <v>17.940000000000001</v>
      </c>
      <c r="M30" s="134">
        <v>92.63</v>
      </c>
      <c r="N30" s="134">
        <v>0</v>
      </c>
      <c r="O30" s="134">
        <v>0</v>
      </c>
      <c r="P30" s="134">
        <v>1.1599999999999999</v>
      </c>
      <c r="Q30" s="134">
        <v>5.7</v>
      </c>
    </row>
    <row r="31" spans="1:17" customFormat="1">
      <c r="A31" s="112" t="s">
        <v>933</v>
      </c>
      <c r="B31" s="134">
        <v>35.43</v>
      </c>
      <c r="C31" s="134">
        <v>27.67</v>
      </c>
      <c r="D31" s="134">
        <v>44.22</v>
      </c>
      <c r="E31" s="134">
        <v>7.99</v>
      </c>
      <c r="F31" s="134">
        <v>2.62</v>
      </c>
      <c r="G31" s="134">
        <v>107.71</v>
      </c>
      <c r="H31" s="134">
        <v>41.75</v>
      </c>
      <c r="I31" s="134">
        <v>11.46</v>
      </c>
      <c r="J31" s="134">
        <v>0.09</v>
      </c>
      <c r="K31" s="134">
        <v>159.79</v>
      </c>
      <c r="L31" s="134">
        <v>17.920000000000002</v>
      </c>
      <c r="M31" s="134">
        <v>94.38</v>
      </c>
      <c r="N31" s="134">
        <v>0</v>
      </c>
      <c r="O31" s="134">
        <v>0</v>
      </c>
      <c r="P31" s="134">
        <v>1.18</v>
      </c>
      <c r="Q31" s="134">
        <v>5.66</v>
      </c>
    </row>
    <row r="32" spans="1:17" customFormat="1">
      <c r="A32" s="112" t="s">
        <v>934</v>
      </c>
      <c r="B32" s="134">
        <v>35.28</v>
      </c>
      <c r="C32" s="134">
        <v>27.72</v>
      </c>
      <c r="D32" s="134">
        <v>44.12</v>
      </c>
      <c r="E32" s="134">
        <v>8.17</v>
      </c>
      <c r="F32" s="134">
        <v>2.5499999999999998</v>
      </c>
      <c r="G32" s="134">
        <v>111.71</v>
      </c>
      <c r="H32" s="134">
        <v>42.45</v>
      </c>
      <c r="I32" s="134">
        <v>11.62</v>
      </c>
      <c r="J32" s="134">
        <v>0.04</v>
      </c>
      <c r="K32" s="134">
        <v>179.56</v>
      </c>
      <c r="L32" s="134">
        <v>17.77</v>
      </c>
      <c r="M32" s="134">
        <v>94.21</v>
      </c>
      <c r="N32" s="134">
        <v>0</v>
      </c>
      <c r="O32" s="134">
        <v>0</v>
      </c>
      <c r="P32" s="134">
        <v>1.19</v>
      </c>
      <c r="Q32" s="134">
        <v>5.68</v>
      </c>
    </row>
    <row r="33" spans="1:17" customFormat="1">
      <c r="A33" s="112" t="s">
        <v>935</v>
      </c>
      <c r="B33" s="134">
        <v>38.49</v>
      </c>
      <c r="C33" s="134">
        <v>27.98</v>
      </c>
      <c r="D33" s="134">
        <v>46.83</v>
      </c>
      <c r="E33" s="134">
        <v>8.34</v>
      </c>
      <c r="F33" s="134">
        <v>2.66</v>
      </c>
      <c r="G33" s="134">
        <v>111.71</v>
      </c>
      <c r="H33" s="134">
        <v>42.45</v>
      </c>
      <c r="I33" s="134">
        <v>11.78</v>
      </c>
      <c r="J33" s="134">
        <v>0.06</v>
      </c>
      <c r="K33" s="134">
        <v>234.5</v>
      </c>
      <c r="L33" s="134">
        <v>17.760000000000002</v>
      </c>
      <c r="M33" s="134">
        <v>93.63</v>
      </c>
      <c r="N33" s="134">
        <v>0</v>
      </c>
      <c r="O33" s="134">
        <v>0</v>
      </c>
      <c r="P33" s="134">
        <v>1.22</v>
      </c>
      <c r="Q33" s="134">
        <v>5.79</v>
      </c>
    </row>
    <row r="34" spans="1:17" customFormat="1">
      <c r="A34" s="112" t="s">
        <v>936</v>
      </c>
      <c r="B34" s="134">
        <v>45.07</v>
      </c>
      <c r="C34" s="134">
        <v>28.96</v>
      </c>
      <c r="D34" s="134">
        <v>52.62</v>
      </c>
      <c r="E34" s="134">
        <v>8.52</v>
      </c>
      <c r="F34" s="134">
        <v>2.5099999999999998</v>
      </c>
      <c r="G34" s="134">
        <v>111.71</v>
      </c>
      <c r="H34" s="134">
        <v>42.45</v>
      </c>
      <c r="I34" s="134">
        <v>11.96</v>
      </c>
      <c r="J34" s="134">
        <v>0.11</v>
      </c>
      <c r="K34" s="134">
        <v>223.83</v>
      </c>
      <c r="L34" s="134">
        <v>17.89</v>
      </c>
      <c r="M34" s="134">
        <v>93.97</v>
      </c>
      <c r="N34" s="134">
        <v>5</v>
      </c>
      <c r="O34" s="134">
        <v>0</v>
      </c>
      <c r="P34" s="134">
        <v>1.25</v>
      </c>
      <c r="Q34" s="134">
        <v>5.99</v>
      </c>
    </row>
    <row r="35" spans="1:17" customFormat="1">
      <c r="A35" s="112" t="s">
        <v>937</v>
      </c>
      <c r="B35" s="134">
        <v>50.23</v>
      </c>
      <c r="C35" s="134">
        <v>28.81</v>
      </c>
      <c r="D35" s="134">
        <v>56.69</v>
      </c>
      <c r="E35" s="134">
        <v>8.23</v>
      </c>
      <c r="F35" s="134">
        <v>2.68</v>
      </c>
      <c r="G35" s="134">
        <v>112.47</v>
      </c>
      <c r="H35" s="134">
        <v>42.6</v>
      </c>
      <c r="I35" s="134">
        <v>12.21</v>
      </c>
      <c r="J35" s="134">
        <v>0.35</v>
      </c>
      <c r="K35" s="134">
        <v>170.06</v>
      </c>
      <c r="L35" s="134">
        <v>18.149999999999999</v>
      </c>
      <c r="M35" s="134">
        <v>95.12</v>
      </c>
      <c r="N35" s="134">
        <v>15.5</v>
      </c>
      <c r="O35" s="134">
        <v>0</v>
      </c>
      <c r="P35" s="134">
        <v>1.25</v>
      </c>
      <c r="Q35" s="134">
        <v>6.17</v>
      </c>
    </row>
    <row r="36" spans="1:17" customFormat="1">
      <c r="A36" s="112" t="s">
        <v>938</v>
      </c>
      <c r="B36" s="134">
        <v>51.47</v>
      </c>
      <c r="C36" s="134">
        <v>27.26</v>
      </c>
      <c r="D36" s="134">
        <v>56.87</v>
      </c>
      <c r="E36" s="134">
        <v>7.82</v>
      </c>
      <c r="F36" s="134">
        <v>2.69</v>
      </c>
      <c r="G36" s="134">
        <v>125.47</v>
      </c>
      <c r="H36" s="134">
        <v>44.98</v>
      </c>
      <c r="I36" s="134">
        <v>12.48</v>
      </c>
      <c r="J36" s="134">
        <v>0.25</v>
      </c>
      <c r="K36" s="134">
        <v>165.55</v>
      </c>
      <c r="L36" s="134">
        <v>18.41</v>
      </c>
      <c r="M36" s="134">
        <v>91.35</v>
      </c>
      <c r="N36" s="134">
        <v>28</v>
      </c>
      <c r="O36" s="134">
        <v>0</v>
      </c>
      <c r="P36" s="134">
        <v>1.23</v>
      </c>
      <c r="Q36" s="134">
        <v>6.25</v>
      </c>
    </row>
    <row r="37" spans="1:17" customFormat="1">
      <c r="A37" s="112" t="s">
        <v>939</v>
      </c>
      <c r="B37" s="134">
        <v>50.96</v>
      </c>
      <c r="C37" s="134">
        <v>27.41</v>
      </c>
      <c r="D37" s="134">
        <v>56.54</v>
      </c>
      <c r="E37" s="134">
        <v>8.24</v>
      </c>
      <c r="F37" s="134">
        <v>2.69</v>
      </c>
      <c r="G37" s="134">
        <v>125.47</v>
      </c>
      <c r="H37" s="134">
        <v>44.98</v>
      </c>
      <c r="I37" s="134">
        <v>12.69</v>
      </c>
      <c r="J37" s="134">
        <v>0.09</v>
      </c>
      <c r="K37" s="134">
        <v>167.72</v>
      </c>
      <c r="L37" s="134">
        <v>18.86</v>
      </c>
      <c r="M37" s="134">
        <v>90.84</v>
      </c>
      <c r="N37" s="134">
        <v>42</v>
      </c>
      <c r="O37" s="134">
        <v>0</v>
      </c>
      <c r="P37" s="134">
        <v>1.24</v>
      </c>
      <c r="Q37" s="134">
        <v>6.24</v>
      </c>
    </row>
    <row r="38" spans="1:17" customFormat="1">
      <c r="A38" s="112" t="s">
        <v>940</v>
      </c>
      <c r="B38" s="134">
        <v>50.25</v>
      </c>
      <c r="C38" s="134">
        <v>27.92</v>
      </c>
      <c r="D38" s="134">
        <v>56.24</v>
      </c>
      <c r="E38" s="134">
        <v>7.78</v>
      </c>
      <c r="F38" s="134">
        <v>2.39</v>
      </c>
      <c r="G38" s="134">
        <v>125.47</v>
      </c>
      <c r="H38" s="134">
        <v>44.98</v>
      </c>
      <c r="I38" s="134">
        <v>12.68</v>
      </c>
      <c r="J38" s="134">
        <v>0.09</v>
      </c>
      <c r="K38" s="134">
        <v>253.41</v>
      </c>
      <c r="L38" s="134">
        <v>19.579999999999998</v>
      </c>
      <c r="M38" s="134">
        <v>88.5</v>
      </c>
      <c r="N38" s="134">
        <v>57.6</v>
      </c>
      <c r="O38" s="134">
        <v>0</v>
      </c>
      <c r="P38" s="134">
        <v>1.25</v>
      </c>
      <c r="Q38" s="134">
        <v>6.2</v>
      </c>
    </row>
    <row r="39" spans="1:17" customFormat="1">
      <c r="A39" s="112" t="s">
        <v>941</v>
      </c>
      <c r="B39" s="134">
        <v>50.06</v>
      </c>
      <c r="C39" s="134">
        <v>28.37</v>
      </c>
      <c r="D39" s="134">
        <v>56.31</v>
      </c>
      <c r="E39" s="134">
        <v>7.66</v>
      </c>
      <c r="F39" s="134">
        <v>2.4</v>
      </c>
      <c r="G39" s="134">
        <v>125.92</v>
      </c>
      <c r="H39" s="134">
        <v>45.09</v>
      </c>
      <c r="I39" s="134">
        <v>12.75</v>
      </c>
      <c r="J39" s="134">
        <v>0.08</v>
      </c>
      <c r="K39" s="134">
        <v>163.07</v>
      </c>
      <c r="L39" s="134">
        <v>20.56</v>
      </c>
      <c r="M39" s="134">
        <v>84.81</v>
      </c>
      <c r="N39" s="134">
        <v>115.6</v>
      </c>
      <c r="O39" s="134">
        <v>0</v>
      </c>
      <c r="P39" s="134">
        <v>1.27</v>
      </c>
      <c r="Q39" s="134">
        <v>6.19</v>
      </c>
    </row>
    <row r="40" spans="1:17" customFormat="1">
      <c r="A40" s="112" t="s">
        <v>942</v>
      </c>
      <c r="B40" s="134">
        <v>49.84</v>
      </c>
      <c r="C40" s="134">
        <v>29.02</v>
      </c>
      <c r="D40" s="134">
        <v>56.48</v>
      </c>
      <c r="E40" s="134">
        <v>7.52</v>
      </c>
      <c r="F40" s="134">
        <v>2.35</v>
      </c>
      <c r="G40" s="134">
        <v>135.59</v>
      </c>
      <c r="H40" s="134">
        <v>46.81</v>
      </c>
      <c r="I40" s="134">
        <v>12.88</v>
      </c>
      <c r="J40" s="134">
        <v>0.1</v>
      </c>
      <c r="K40" s="134">
        <v>142.75</v>
      </c>
      <c r="L40" s="134">
        <v>21.65</v>
      </c>
      <c r="M40" s="134">
        <v>77.540000000000006</v>
      </c>
      <c r="N40" s="134">
        <v>165.8</v>
      </c>
      <c r="O40" s="134">
        <v>0</v>
      </c>
      <c r="P40" s="134">
        <v>1.29</v>
      </c>
      <c r="Q40" s="134">
        <v>6.2</v>
      </c>
    </row>
    <row r="41" spans="1:17" customFormat="1">
      <c r="A41" s="112" t="s">
        <v>943</v>
      </c>
      <c r="B41" s="134">
        <v>48.85</v>
      </c>
      <c r="C41" s="134">
        <v>28.33</v>
      </c>
      <c r="D41" s="134">
        <v>55.33</v>
      </c>
      <c r="E41" s="134">
        <v>8</v>
      </c>
      <c r="F41" s="134">
        <v>2.5299999999999998</v>
      </c>
      <c r="G41" s="134">
        <v>135.59</v>
      </c>
      <c r="H41" s="134">
        <v>46.81</v>
      </c>
      <c r="I41" s="134">
        <v>13</v>
      </c>
      <c r="J41" s="134">
        <v>0.13</v>
      </c>
      <c r="K41" s="134">
        <v>237.11</v>
      </c>
      <c r="L41" s="134">
        <v>22.66</v>
      </c>
      <c r="M41" s="134">
        <v>68.72</v>
      </c>
      <c r="N41" s="134">
        <v>200.4</v>
      </c>
      <c r="O41" s="134">
        <v>0</v>
      </c>
      <c r="P41" s="134">
        <v>1.3</v>
      </c>
      <c r="Q41" s="134">
        <v>6.13</v>
      </c>
    </row>
    <row r="42" spans="1:17" customFormat="1">
      <c r="A42" s="112" t="s">
        <v>944</v>
      </c>
      <c r="B42" s="134">
        <v>46.91</v>
      </c>
      <c r="C42" s="134">
        <v>29.02</v>
      </c>
      <c r="D42" s="134">
        <v>54.13</v>
      </c>
      <c r="E42" s="134">
        <v>7.92</v>
      </c>
      <c r="F42" s="134">
        <v>2.54</v>
      </c>
      <c r="G42" s="134">
        <v>135.59</v>
      </c>
      <c r="H42" s="134">
        <v>46.81</v>
      </c>
      <c r="I42" s="134">
        <v>13.14</v>
      </c>
      <c r="J42" s="134">
        <v>0.16</v>
      </c>
      <c r="K42" s="134">
        <v>253.36</v>
      </c>
      <c r="L42" s="134">
        <v>23.47</v>
      </c>
      <c r="M42" s="134">
        <v>66.86</v>
      </c>
      <c r="N42" s="134">
        <v>235.3</v>
      </c>
      <c r="O42" s="134">
        <v>0</v>
      </c>
      <c r="P42" s="134">
        <v>1.33</v>
      </c>
      <c r="Q42" s="134">
        <v>6.1</v>
      </c>
    </row>
    <row r="43" spans="1:17" customFormat="1">
      <c r="A43" s="112" t="s">
        <v>945</v>
      </c>
      <c r="B43" s="134">
        <v>44.87</v>
      </c>
      <c r="C43" s="134">
        <v>28.42</v>
      </c>
      <c r="D43" s="134">
        <v>52.18</v>
      </c>
      <c r="E43" s="134">
        <v>7.75</v>
      </c>
      <c r="F43" s="134">
        <v>2.83</v>
      </c>
      <c r="G43" s="134">
        <v>136.71</v>
      </c>
      <c r="H43" s="134">
        <v>47.38</v>
      </c>
      <c r="I43" s="134">
        <v>13.31</v>
      </c>
      <c r="J43" s="134">
        <v>0.15</v>
      </c>
      <c r="K43" s="134">
        <v>131.05000000000001</v>
      </c>
      <c r="L43" s="134">
        <v>24.4</v>
      </c>
      <c r="M43" s="134">
        <v>58.84</v>
      </c>
      <c r="N43" s="134">
        <v>263.8</v>
      </c>
      <c r="O43" s="134">
        <v>0</v>
      </c>
      <c r="P43" s="134">
        <v>1.33</v>
      </c>
      <c r="Q43" s="134">
        <v>6.06</v>
      </c>
    </row>
    <row r="44" spans="1:17" customFormat="1">
      <c r="A44" s="112" t="s">
        <v>946</v>
      </c>
      <c r="B44" s="134">
        <v>42.76</v>
      </c>
      <c r="C44" s="134">
        <v>29.73</v>
      </c>
      <c r="D44" s="134">
        <v>51.18</v>
      </c>
      <c r="E44" s="134">
        <v>7.44</v>
      </c>
      <c r="F44" s="134">
        <v>2.61</v>
      </c>
      <c r="G44" s="134">
        <v>160.72</v>
      </c>
      <c r="H44" s="134">
        <v>56.49</v>
      </c>
      <c r="I44" s="134">
        <v>13.47</v>
      </c>
      <c r="J44" s="134">
        <v>0.35</v>
      </c>
      <c r="K44" s="134">
        <v>150.57</v>
      </c>
      <c r="L44" s="134">
        <v>25.37</v>
      </c>
      <c r="M44" s="134">
        <v>56.41</v>
      </c>
      <c r="N44" s="134">
        <v>296.89999999999998</v>
      </c>
      <c r="O44" s="134">
        <v>0</v>
      </c>
      <c r="P44" s="134">
        <v>1.36</v>
      </c>
      <c r="Q44" s="134">
        <v>5.96</v>
      </c>
    </row>
    <row r="45" spans="1:17" customFormat="1">
      <c r="A45" s="112" t="s">
        <v>947</v>
      </c>
      <c r="B45" s="134">
        <v>40.520000000000003</v>
      </c>
      <c r="C45" s="134">
        <v>30.09</v>
      </c>
      <c r="D45" s="134">
        <v>49.57</v>
      </c>
      <c r="E45" s="134">
        <v>7.31</v>
      </c>
      <c r="F45" s="134">
        <v>2.68</v>
      </c>
      <c r="G45" s="134">
        <v>160.72</v>
      </c>
      <c r="H45" s="134">
        <v>56.49</v>
      </c>
      <c r="I45" s="134">
        <v>13.53</v>
      </c>
      <c r="J45" s="134">
        <v>0.19</v>
      </c>
      <c r="K45" s="134">
        <v>192.34</v>
      </c>
      <c r="L45" s="134">
        <v>25.7</v>
      </c>
      <c r="M45" s="134">
        <v>55</v>
      </c>
      <c r="N45" s="134">
        <v>293.3</v>
      </c>
      <c r="O45" s="134">
        <v>0</v>
      </c>
      <c r="P45" s="134">
        <v>1.38</v>
      </c>
      <c r="Q45" s="134">
        <v>5.88</v>
      </c>
    </row>
    <row r="46" spans="1:17" customFormat="1">
      <c r="A46" s="112" t="s">
        <v>948</v>
      </c>
      <c r="B46" s="134">
        <v>38.39</v>
      </c>
      <c r="C46" s="134">
        <v>29.89</v>
      </c>
      <c r="D46" s="134">
        <v>47.75</v>
      </c>
      <c r="E46" s="134">
        <v>7.46</v>
      </c>
      <c r="F46" s="134">
        <v>2.8</v>
      </c>
      <c r="G46" s="134">
        <v>160.72</v>
      </c>
      <c r="H46" s="134">
        <v>56.49</v>
      </c>
      <c r="I46" s="134">
        <v>13.57</v>
      </c>
      <c r="J46" s="134">
        <v>0.21</v>
      </c>
      <c r="K46" s="134">
        <v>148.86000000000001</v>
      </c>
      <c r="L46" s="134">
        <v>26.64</v>
      </c>
      <c r="M46" s="134">
        <v>52.06</v>
      </c>
      <c r="N46" s="134">
        <v>245.5</v>
      </c>
      <c r="O46" s="134">
        <v>0</v>
      </c>
      <c r="P46" s="134">
        <v>1.38</v>
      </c>
      <c r="Q46" s="134">
        <v>5.79</v>
      </c>
    </row>
    <row r="47" spans="1:17" customFormat="1">
      <c r="A47" s="112" t="s">
        <v>949</v>
      </c>
      <c r="B47" s="134">
        <v>36.14</v>
      </c>
      <c r="C47" s="134">
        <v>31.25</v>
      </c>
      <c r="D47" s="134">
        <v>46.66</v>
      </c>
      <c r="E47" s="134">
        <v>7.49</v>
      </c>
      <c r="F47" s="134">
        <v>2.66</v>
      </c>
      <c r="G47" s="134">
        <v>161.94999999999999</v>
      </c>
      <c r="H47" s="134">
        <v>57.11</v>
      </c>
      <c r="I47" s="134">
        <v>13.59</v>
      </c>
      <c r="J47" s="134">
        <v>0.12</v>
      </c>
      <c r="K47" s="134">
        <v>201.29</v>
      </c>
      <c r="L47" s="134">
        <v>27.03</v>
      </c>
      <c r="M47" s="134">
        <v>51.42</v>
      </c>
      <c r="N47" s="134">
        <v>398.3</v>
      </c>
      <c r="O47" s="134">
        <v>0</v>
      </c>
      <c r="P47" s="134">
        <v>1.41</v>
      </c>
      <c r="Q47" s="134">
        <v>5.7</v>
      </c>
    </row>
    <row r="48" spans="1:17" customFormat="1">
      <c r="A48" s="112" t="s">
        <v>950</v>
      </c>
      <c r="B48" s="134">
        <v>33.93</v>
      </c>
      <c r="C48" s="134">
        <v>31.21</v>
      </c>
      <c r="D48" s="134">
        <v>44.87</v>
      </c>
      <c r="E48" s="134">
        <v>7.58</v>
      </c>
      <c r="F48" s="134">
        <v>2.75</v>
      </c>
      <c r="G48" s="134">
        <v>188.26</v>
      </c>
      <c r="H48" s="134">
        <v>66.91</v>
      </c>
      <c r="I48" s="134">
        <v>13.6</v>
      </c>
      <c r="J48" s="134">
        <v>0.2</v>
      </c>
      <c r="K48" s="134">
        <v>202.75</v>
      </c>
      <c r="L48" s="134">
        <v>27.38</v>
      </c>
      <c r="M48" s="134">
        <v>44.28</v>
      </c>
      <c r="N48" s="134">
        <v>439.2</v>
      </c>
      <c r="O48" s="134">
        <v>0</v>
      </c>
      <c r="P48" s="134">
        <v>1.41</v>
      </c>
      <c r="Q48" s="134">
        <v>5.65</v>
      </c>
    </row>
    <row r="49" spans="1:17" customFormat="1">
      <c r="A49" s="112" t="s">
        <v>951</v>
      </c>
      <c r="B49" s="134">
        <v>31.54</v>
      </c>
      <c r="C49" s="134">
        <v>31.1</v>
      </c>
      <c r="D49" s="134">
        <v>42.89</v>
      </c>
      <c r="E49" s="134">
        <v>4.74</v>
      </c>
      <c r="F49" s="134">
        <v>2.82</v>
      </c>
      <c r="G49" s="134">
        <v>188.26</v>
      </c>
      <c r="H49" s="134">
        <v>66.91</v>
      </c>
      <c r="I49" s="134">
        <v>13.64</v>
      </c>
      <c r="J49" s="134">
        <v>0.06</v>
      </c>
      <c r="K49" s="134">
        <v>186.61</v>
      </c>
      <c r="L49" s="134">
        <v>27.87</v>
      </c>
      <c r="M49" s="134">
        <v>43.53</v>
      </c>
      <c r="N49" s="134">
        <v>471.6</v>
      </c>
      <c r="O49" s="134">
        <v>0</v>
      </c>
      <c r="P49" s="134">
        <v>1.4</v>
      </c>
      <c r="Q49" s="134">
        <v>5.58</v>
      </c>
    </row>
    <row r="50" spans="1:17" customFormat="1">
      <c r="A50" s="112" t="s">
        <v>952</v>
      </c>
      <c r="B50" s="134">
        <v>29.17</v>
      </c>
      <c r="C50" s="134">
        <v>31.22</v>
      </c>
      <c r="D50" s="134">
        <v>41.05</v>
      </c>
      <c r="E50" s="134">
        <v>5.71</v>
      </c>
      <c r="F50" s="134">
        <v>2.88</v>
      </c>
      <c r="G50" s="134">
        <v>188.26</v>
      </c>
      <c r="H50" s="134">
        <v>66.91</v>
      </c>
      <c r="I50" s="134">
        <v>13.61</v>
      </c>
      <c r="J50" s="134">
        <v>0.17</v>
      </c>
      <c r="K50" s="134">
        <v>197.72</v>
      </c>
      <c r="L50" s="134">
        <v>28.57</v>
      </c>
      <c r="M50" s="134">
        <v>42.99</v>
      </c>
      <c r="N50" s="134">
        <v>487.4</v>
      </c>
      <c r="O50" s="134">
        <v>0</v>
      </c>
      <c r="P50" s="134">
        <v>1.4</v>
      </c>
      <c r="Q50" s="134">
        <v>5.46</v>
      </c>
    </row>
    <row r="51" spans="1:17" customFormat="1">
      <c r="A51" s="112" t="s">
        <v>953</v>
      </c>
      <c r="B51" s="134">
        <v>26.88</v>
      </c>
      <c r="C51" s="134">
        <v>31.23</v>
      </c>
      <c r="D51" s="134">
        <v>39.229999999999997</v>
      </c>
      <c r="E51" s="134">
        <v>5.67</v>
      </c>
      <c r="F51" s="134">
        <v>2.85</v>
      </c>
      <c r="G51" s="134">
        <v>187.19</v>
      </c>
      <c r="H51" s="134">
        <v>66.62</v>
      </c>
      <c r="I51" s="134">
        <v>13.49</v>
      </c>
      <c r="J51" s="134">
        <v>0.26</v>
      </c>
      <c r="K51" s="134">
        <v>179.49</v>
      </c>
      <c r="L51" s="134">
        <v>29.07</v>
      </c>
      <c r="M51" s="134">
        <v>41.43</v>
      </c>
      <c r="N51" s="134">
        <v>501.2</v>
      </c>
      <c r="O51" s="134">
        <v>0</v>
      </c>
      <c r="P51" s="134">
        <v>1.39</v>
      </c>
      <c r="Q51" s="134">
        <v>5.36</v>
      </c>
    </row>
    <row r="52" spans="1:17" customFormat="1">
      <c r="A52" s="112" t="s">
        <v>954</v>
      </c>
      <c r="B52" s="134">
        <v>24.37</v>
      </c>
      <c r="C52" s="134">
        <v>32.69</v>
      </c>
      <c r="D52" s="134">
        <v>37.97</v>
      </c>
      <c r="E52" s="134">
        <v>5.37</v>
      </c>
      <c r="F52" s="134">
        <v>2.75</v>
      </c>
      <c r="G52" s="134">
        <v>164.08</v>
      </c>
      <c r="H52" s="134">
        <v>61.98</v>
      </c>
      <c r="I52" s="134">
        <v>13.38</v>
      </c>
      <c r="J52" s="134">
        <v>0.16</v>
      </c>
      <c r="K52" s="134">
        <v>252.41</v>
      </c>
      <c r="L52" s="134">
        <v>29.24</v>
      </c>
      <c r="M52" s="134">
        <v>40.479999999999997</v>
      </c>
      <c r="N52" s="134">
        <v>487.8</v>
      </c>
      <c r="O52" s="134">
        <v>0</v>
      </c>
      <c r="P52" s="134">
        <v>1.39</v>
      </c>
      <c r="Q52" s="134">
        <v>5.26</v>
      </c>
    </row>
    <row r="53" spans="1:17" customFormat="1">
      <c r="A53" s="112" t="s">
        <v>955</v>
      </c>
      <c r="B53" s="134">
        <v>21.65</v>
      </c>
      <c r="C53" s="134">
        <v>33.32</v>
      </c>
      <c r="D53" s="134">
        <v>36.119999999999997</v>
      </c>
      <c r="E53" s="134">
        <v>5.63</v>
      </c>
      <c r="F53" s="134">
        <v>2.83</v>
      </c>
      <c r="G53" s="134">
        <v>164.08</v>
      </c>
      <c r="H53" s="134">
        <v>61.98</v>
      </c>
      <c r="I53" s="134">
        <v>13.2</v>
      </c>
      <c r="J53" s="134">
        <v>0.32</v>
      </c>
      <c r="K53" s="134">
        <v>146.81</v>
      </c>
      <c r="L53" s="134">
        <v>29.96</v>
      </c>
      <c r="M53" s="134">
        <v>36.479999999999997</v>
      </c>
      <c r="N53" s="134">
        <v>533.9</v>
      </c>
      <c r="O53" s="134">
        <v>0</v>
      </c>
      <c r="P53" s="134">
        <v>1.39</v>
      </c>
      <c r="Q53" s="134">
        <v>5.14</v>
      </c>
    </row>
    <row r="54" spans="1:17" customFormat="1">
      <c r="A54" s="112" t="s">
        <v>956</v>
      </c>
      <c r="B54" s="134">
        <v>18.260000000000002</v>
      </c>
      <c r="C54" s="134">
        <v>33.619999999999997</v>
      </c>
      <c r="D54" s="134">
        <v>33.56</v>
      </c>
      <c r="E54" s="134">
        <v>6.29</v>
      </c>
      <c r="F54" s="134">
        <v>4.7</v>
      </c>
      <c r="G54" s="134">
        <v>164.08</v>
      </c>
      <c r="H54" s="134">
        <v>61.98</v>
      </c>
      <c r="I54" s="134">
        <v>13.07</v>
      </c>
      <c r="J54" s="134">
        <v>0.13</v>
      </c>
      <c r="K54" s="134">
        <v>208.42</v>
      </c>
      <c r="L54" s="134">
        <v>30.36</v>
      </c>
      <c r="M54" s="134">
        <v>38.979999999999997</v>
      </c>
      <c r="N54" s="134">
        <v>553.29999999999995</v>
      </c>
      <c r="O54" s="134">
        <v>0</v>
      </c>
      <c r="P54" s="134">
        <v>1.37</v>
      </c>
      <c r="Q54" s="134">
        <v>5.03</v>
      </c>
    </row>
    <row r="55" spans="1:17" customFormat="1">
      <c r="A55" s="112" t="s">
        <v>957</v>
      </c>
      <c r="B55" s="134">
        <v>14.92</v>
      </c>
      <c r="C55" s="134">
        <v>33.97</v>
      </c>
      <c r="D55" s="134">
        <v>31.06</v>
      </c>
      <c r="E55" s="134">
        <v>5.12</v>
      </c>
      <c r="F55" s="134">
        <v>3.87</v>
      </c>
      <c r="G55" s="134">
        <v>162.38999999999999</v>
      </c>
      <c r="H55" s="134">
        <v>61.6</v>
      </c>
      <c r="I55" s="134">
        <v>12.89</v>
      </c>
      <c r="J55" s="134">
        <v>0.28999999999999998</v>
      </c>
      <c r="K55" s="134">
        <v>243.92</v>
      </c>
      <c r="L55" s="134">
        <v>30.37</v>
      </c>
      <c r="M55" s="134">
        <v>38.5</v>
      </c>
      <c r="N55" s="134">
        <v>577.9</v>
      </c>
      <c r="O55" s="134">
        <v>0</v>
      </c>
      <c r="P55" s="134">
        <v>1.36</v>
      </c>
      <c r="Q55" s="134">
        <v>4.9000000000000004</v>
      </c>
    </row>
    <row r="56" spans="1:17" customFormat="1">
      <c r="A56" s="112" t="s">
        <v>958</v>
      </c>
      <c r="B56" s="134">
        <v>11.76</v>
      </c>
      <c r="C56" s="134">
        <v>34.03</v>
      </c>
      <c r="D56" s="134">
        <v>28.56</v>
      </c>
      <c r="E56" s="134">
        <v>5.55</v>
      </c>
      <c r="F56" s="134">
        <v>3.72</v>
      </c>
      <c r="G56" s="134">
        <v>133.63</v>
      </c>
      <c r="H56" s="134">
        <v>55.63</v>
      </c>
      <c r="I56" s="134">
        <v>12.62</v>
      </c>
      <c r="J56" s="134">
        <v>0.2</v>
      </c>
      <c r="K56" s="134">
        <v>187.31</v>
      </c>
      <c r="L56" s="134">
        <v>30.82</v>
      </c>
      <c r="M56" s="134">
        <v>37.4</v>
      </c>
      <c r="N56" s="134">
        <v>576.9</v>
      </c>
      <c r="O56" s="134">
        <v>0</v>
      </c>
      <c r="P56" s="134">
        <v>1.32</v>
      </c>
      <c r="Q56" s="134">
        <v>4.76</v>
      </c>
    </row>
    <row r="57" spans="1:17" customFormat="1">
      <c r="A57" s="112" t="s">
        <v>959</v>
      </c>
      <c r="B57" s="134">
        <v>9.32</v>
      </c>
      <c r="C57" s="134">
        <v>33.42</v>
      </c>
      <c r="D57" s="134">
        <v>26.28</v>
      </c>
      <c r="E57" s="134">
        <v>5.22</v>
      </c>
      <c r="F57" s="134">
        <v>4.0599999999999996</v>
      </c>
      <c r="G57" s="134">
        <v>133.63</v>
      </c>
      <c r="H57" s="134">
        <v>55.63</v>
      </c>
      <c r="I57" s="134">
        <v>12.38</v>
      </c>
      <c r="J57" s="134">
        <v>0.28999999999999998</v>
      </c>
      <c r="K57" s="134">
        <v>173.27</v>
      </c>
      <c r="L57" s="134">
        <v>31.22</v>
      </c>
      <c r="M57" s="134">
        <v>34.909999999999997</v>
      </c>
      <c r="N57" s="134">
        <v>574.6</v>
      </c>
      <c r="O57" s="134">
        <v>0</v>
      </c>
      <c r="P57" s="134">
        <v>1.29</v>
      </c>
      <c r="Q57" s="134">
        <v>4.6500000000000004</v>
      </c>
    </row>
    <row r="58" spans="1:17" customFormat="1">
      <c r="A58" s="112" t="s">
        <v>960</v>
      </c>
      <c r="B58" s="134">
        <v>7.34</v>
      </c>
      <c r="C58" s="134">
        <v>32.520000000000003</v>
      </c>
      <c r="D58" s="134">
        <v>24.23</v>
      </c>
      <c r="E58" s="134">
        <v>5.19</v>
      </c>
      <c r="F58" s="134">
        <v>4.51</v>
      </c>
      <c r="G58" s="134">
        <v>133.63</v>
      </c>
      <c r="H58" s="134">
        <v>55.63</v>
      </c>
      <c r="I58" s="134">
        <v>12.1</v>
      </c>
      <c r="J58" s="134">
        <v>0.25</v>
      </c>
      <c r="K58" s="134">
        <v>198.13</v>
      </c>
      <c r="L58" s="134">
        <v>31.43</v>
      </c>
      <c r="M58" s="134">
        <v>33.81</v>
      </c>
      <c r="N58" s="134">
        <v>550</v>
      </c>
      <c r="O58" s="134">
        <v>0</v>
      </c>
      <c r="P58" s="134">
        <v>1.26</v>
      </c>
      <c r="Q58" s="134">
        <v>4.53</v>
      </c>
    </row>
    <row r="59" spans="1:17" customFormat="1">
      <c r="A59" s="112" t="s">
        <v>961</v>
      </c>
      <c r="B59" s="134">
        <v>5.99</v>
      </c>
      <c r="C59" s="134">
        <v>31.19</v>
      </c>
      <c r="D59" s="134">
        <v>22.45</v>
      </c>
      <c r="E59" s="134">
        <v>4.78</v>
      </c>
      <c r="F59" s="134">
        <v>5.25</v>
      </c>
      <c r="G59" s="134">
        <v>131.58000000000001</v>
      </c>
      <c r="H59" s="134">
        <v>54.96</v>
      </c>
      <c r="I59" s="134">
        <v>11.77</v>
      </c>
      <c r="J59" s="134">
        <v>0.39</v>
      </c>
      <c r="K59" s="134">
        <v>179.12</v>
      </c>
      <c r="L59" s="134">
        <v>31.36</v>
      </c>
      <c r="M59" s="134">
        <v>34.47</v>
      </c>
      <c r="N59" s="134">
        <v>488.4</v>
      </c>
      <c r="O59" s="134">
        <v>0</v>
      </c>
      <c r="P59" s="134">
        <v>1.23</v>
      </c>
      <c r="Q59" s="134">
        <v>4.46</v>
      </c>
    </row>
    <row r="60" spans="1:17" customFormat="1">
      <c r="A60" s="112" t="s">
        <v>962</v>
      </c>
      <c r="B60" s="134">
        <v>5.0599999999999996</v>
      </c>
      <c r="C60" s="134">
        <v>29.95</v>
      </c>
      <c r="D60" s="134">
        <v>21.06</v>
      </c>
      <c r="E60" s="134">
        <v>4.7</v>
      </c>
      <c r="F60" s="134">
        <v>5.42</v>
      </c>
      <c r="G60" s="134">
        <v>96.71</v>
      </c>
      <c r="H60" s="134">
        <v>44.37</v>
      </c>
      <c r="I60" s="134">
        <v>11.47</v>
      </c>
      <c r="J60" s="134">
        <v>0.19</v>
      </c>
      <c r="K60" s="134">
        <v>223.43</v>
      </c>
      <c r="L60" s="134">
        <v>31.41</v>
      </c>
      <c r="M60" s="134">
        <v>32.979999999999997</v>
      </c>
      <c r="N60" s="134">
        <v>463.5</v>
      </c>
      <c r="O60" s="134">
        <v>0</v>
      </c>
      <c r="P60" s="134">
        <v>1.21</v>
      </c>
      <c r="Q60" s="134">
        <v>4.4000000000000004</v>
      </c>
    </row>
    <row r="61" spans="1:17" customFormat="1">
      <c r="A61" s="112" t="s">
        <v>963</v>
      </c>
      <c r="B61" s="134">
        <v>4.43</v>
      </c>
      <c r="C61" s="134">
        <v>28.82</v>
      </c>
      <c r="D61" s="134">
        <v>19.96</v>
      </c>
      <c r="E61" s="134">
        <v>5.77</v>
      </c>
      <c r="F61" s="134">
        <v>6.96</v>
      </c>
      <c r="G61" s="134">
        <v>96.71</v>
      </c>
      <c r="H61" s="134">
        <v>44.37</v>
      </c>
      <c r="I61" s="134">
        <v>11.15</v>
      </c>
      <c r="J61" s="134">
        <v>0.25</v>
      </c>
      <c r="K61" s="134">
        <v>338.24</v>
      </c>
      <c r="L61" s="134">
        <v>31.13</v>
      </c>
      <c r="M61" s="134">
        <v>34.31</v>
      </c>
      <c r="N61" s="134">
        <v>372.7</v>
      </c>
      <c r="O61" s="134">
        <v>0</v>
      </c>
      <c r="P61" s="134">
        <v>1.18</v>
      </c>
      <c r="Q61" s="134">
        <v>4.3499999999999996</v>
      </c>
    </row>
    <row r="62" spans="1:17" customFormat="1">
      <c r="A62" s="112" t="s">
        <v>964</v>
      </c>
      <c r="B62" s="134">
        <v>4.03</v>
      </c>
      <c r="C62" s="134">
        <v>27.98</v>
      </c>
      <c r="D62" s="134">
        <v>19.2</v>
      </c>
      <c r="E62" s="134">
        <v>5.29</v>
      </c>
      <c r="F62" s="134">
        <v>8.4700000000000006</v>
      </c>
      <c r="G62" s="134">
        <v>96.71</v>
      </c>
      <c r="H62" s="134">
        <v>44.37</v>
      </c>
      <c r="I62" s="134">
        <v>10.98</v>
      </c>
      <c r="J62" s="134">
        <v>0.1</v>
      </c>
      <c r="K62" s="134">
        <v>72.7</v>
      </c>
      <c r="L62" s="134">
        <v>30.92</v>
      </c>
      <c r="M62" s="134">
        <v>34.590000000000003</v>
      </c>
      <c r="N62" s="134">
        <v>325.10000000000002</v>
      </c>
      <c r="O62" s="134">
        <v>0</v>
      </c>
      <c r="P62" s="134">
        <v>1.1599999999999999</v>
      </c>
      <c r="Q62" s="134">
        <v>4.33</v>
      </c>
    </row>
    <row r="63" spans="1:17" customFormat="1">
      <c r="A63" s="112" t="s">
        <v>965</v>
      </c>
      <c r="B63" s="134">
        <v>3.93</v>
      </c>
      <c r="C63" s="134">
        <v>27.37</v>
      </c>
      <c r="D63" s="134">
        <v>18.8</v>
      </c>
      <c r="E63" s="134">
        <v>5.82</v>
      </c>
      <c r="F63" s="134">
        <v>9.6199999999999992</v>
      </c>
      <c r="G63" s="134">
        <v>96.55</v>
      </c>
      <c r="H63" s="134">
        <v>44.45</v>
      </c>
      <c r="I63" s="134">
        <v>10.68</v>
      </c>
      <c r="J63" s="134">
        <v>7.0000000000000007E-2</v>
      </c>
      <c r="K63" s="134">
        <v>114.92</v>
      </c>
      <c r="L63" s="134">
        <v>30.97</v>
      </c>
      <c r="M63" s="134">
        <v>34.94</v>
      </c>
      <c r="N63" s="134">
        <v>315.3</v>
      </c>
      <c r="O63" s="134">
        <v>0</v>
      </c>
      <c r="P63" s="134">
        <v>1.1399999999999999</v>
      </c>
      <c r="Q63" s="134">
        <v>4.29</v>
      </c>
    </row>
    <row r="64" spans="1:17" customFormat="1">
      <c r="A64" s="112" t="s">
        <v>966</v>
      </c>
      <c r="B64" s="134">
        <v>3.81</v>
      </c>
      <c r="C64" s="134">
        <v>27.08</v>
      </c>
      <c r="D64" s="134">
        <v>18.55</v>
      </c>
      <c r="E64" s="134">
        <v>6.15</v>
      </c>
      <c r="F64" s="134">
        <v>7.96</v>
      </c>
      <c r="G64" s="134">
        <v>93.21</v>
      </c>
      <c r="H64" s="134">
        <v>45.66</v>
      </c>
      <c r="I64" s="134">
        <v>10.47</v>
      </c>
      <c r="J64" s="134">
        <v>0.26</v>
      </c>
      <c r="K64" s="134">
        <v>34.479999999999997</v>
      </c>
      <c r="L64" s="134">
        <v>30.94</v>
      </c>
      <c r="M64" s="134">
        <v>35.92</v>
      </c>
      <c r="N64" s="134">
        <v>297.10000000000002</v>
      </c>
      <c r="O64" s="134">
        <v>0</v>
      </c>
      <c r="P64" s="134">
        <v>1.1399999999999999</v>
      </c>
      <c r="Q64" s="134">
        <v>4.28</v>
      </c>
    </row>
    <row r="65" spans="1:17" customFormat="1">
      <c r="A65" s="112" t="s">
        <v>967</v>
      </c>
      <c r="B65" s="134">
        <v>3.8</v>
      </c>
      <c r="C65" s="134">
        <v>27.11</v>
      </c>
      <c r="D65" s="134">
        <v>18.57</v>
      </c>
      <c r="E65" s="134">
        <v>5.83</v>
      </c>
      <c r="F65" s="134">
        <v>7.13</v>
      </c>
      <c r="G65" s="134">
        <v>93.21</v>
      </c>
      <c r="H65" s="134">
        <v>45.66</v>
      </c>
      <c r="I65" s="134">
        <v>10.28</v>
      </c>
      <c r="J65" s="134">
        <v>0.18</v>
      </c>
      <c r="K65" s="134">
        <v>204.95</v>
      </c>
      <c r="L65" s="134">
        <v>30.69</v>
      </c>
      <c r="M65" s="134">
        <v>38</v>
      </c>
      <c r="N65" s="134">
        <v>271.2</v>
      </c>
      <c r="O65" s="134">
        <v>0</v>
      </c>
      <c r="P65" s="134">
        <v>1.08</v>
      </c>
      <c r="Q65" s="134">
        <v>4.2699999999999996</v>
      </c>
    </row>
    <row r="66" spans="1:17" customFormat="1">
      <c r="A66" s="112" t="s">
        <v>968</v>
      </c>
      <c r="B66" s="134">
        <v>3.71</v>
      </c>
      <c r="C66" s="134">
        <v>26.68</v>
      </c>
      <c r="D66" s="134">
        <v>18.27</v>
      </c>
      <c r="E66" s="134">
        <v>6.2</v>
      </c>
      <c r="F66" s="134">
        <v>9.98</v>
      </c>
      <c r="G66" s="134">
        <v>93.21</v>
      </c>
      <c r="H66" s="134">
        <v>45.66</v>
      </c>
      <c r="I66" s="134">
        <v>10.23</v>
      </c>
      <c r="J66" s="134">
        <v>0.2</v>
      </c>
      <c r="K66" s="134">
        <v>155.01</v>
      </c>
      <c r="L66" s="134">
        <v>30.57</v>
      </c>
      <c r="M66" s="134">
        <v>39.33</v>
      </c>
      <c r="N66" s="134">
        <v>165.2</v>
      </c>
      <c r="O66" s="134">
        <v>0</v>
      </c>
      <c r="P66" s="134">
        <v>1.1499999999999999</v>
      </c>
      <c r="Q66" s="134">
        <v>4.3</v>
      </c>
    </row>
    <row r="67" spans="1:17" customFormat="1">
      <c r="A67" s="112" t="s">
        <v>969</v>
      </c>
      <c r="B67" s="134">
        <v>3.7</v>
      </c>
      <c r="C67" s="134">
        <v>25.93</v>
      </c>
      <c r="D67" s="134">
        <v>17.87</v>
      </c>
      <c r="E67" s="134">
        <v>6.3</v>
      </c>
      <c r="F67" s="134">
        <v>7.22</v>
      </c>
      <c r="G67" s="134">
        <v>94.56</v>
      </c>
      <c r="H67" s="134">
        <v>45.75</v>
      </c>
      <c r="I67" s="134">
        <v>10.24</v>
      </c>
      <c r="J67" s="134">
        <v>0.12</v>
      </c>
      <c r="K67" s="134">
        <v>153.85</v>
      </c>
      <c r="L67" s="134">
        <v>30.39</v>
      </c>
      <c r="M67" s="134">
        <v>40.479999999999997</v>
      </c>
      <c r="N67" s="134">
        <v>115.7</v>
      </c>
      <c r="O67" s="134">
        <v>0</v>
      </c>
      <c r="P67" s="134">
        <v>1.1299999999999999</v>
      </c>
      <c r="Q67" s="134">
        <v>4.2699999999999996</v>
      </c>
    </row>
    <row r="68" spans="1:17" customFormat="1">
      <c r="A68" s="112" t="s">
        <v>970</v>
      </c>
      <c r="B68" s="134">
        <v>3.78</v>
      </c>
      <c r="C68" s="134">
        <v>25.72</v>
      </c>
      <c r="D68" s="134">
        <v>17.82</v>
      </c>
      <c r="E68" s="134">
        <v>6.6</v>
      </c>
      <c r="F68" s="134">
        <v>9.39</v>
      </c>
      <c r="G68" s="134">
        <v>117.49</v>
      </c>
      <c r="H68" s="134">
        <v>47.18</v>
      </c>
      <c r="I68" s="134">
        <v>10.130000000000001</v>
      </c>
      <c r="J68" s="134">
        <v>0.28999999999999998</v>
      </c>
      <c r="K68" s="134">
        <v>44.76</v>
      </c>
      <c r="L68" s="134">
        <v>29.92</v>
      </c>
      <c r="M68" s="134">
        <v>39.04</v>
      </c>
      <c r="N68" s="134">
        <v>96.9</v>
      </c>
      <c r="O68" s="134">
        <v>0</v>
      </c>
      <c r="P68" s="134">
        <v>1.1399999999999999</v>
      </c>
      <c r="Q68" s="134">
        <v>4.26</v>
      </c>
    </row>
    <row r="69" spans="1:17" customFormat="1">
      <c r="A69" s="112" t="s">
        <v>971</v>
      </c>
      <c r="B69" s="134">
        <v>4.1100000000000003</v>
      </c>
      <c r="C69" s="134">
        <v>26.56</v>
      </c>
      <c r="D69" s="134">
        <v>18.52</v>
      </c>
      <c r="E69" s="134">
        <v>7.05</v>
      </c>
      <c r="F69" s="134">
        <v>7.42</v>
      </c>
      <c r="G69" s="134">
        <v>117.49</v>
      </c>
      <c r="H69" s="134">
        <v>47.18</v>
      </c>
      <c r="I69" s="134">
        <v>10.06</v>
      </c>
      <c r="J69" s="134">
        <v>0.59</v>
      </c>
      <c r="K69" s="134">
        <v>39.46</v>
      </c>
      <c r="L69" s="134">
        <v>29.72</v>
      </c>
      <c r="M69" s="134">
        <v>29.63</v>
      </c>
      <c r="N69" s="134">
        <v>80.3</v>
      </c>
      <c r="O69" s="134">
        <v>0</v>
      </c>
      <c r="P69" s="134">
        <v>1.1100000000000001</v>
      </c>
      <c r="Q69" s="134">
        <v>4.26</v>
      </c>
    </row>
    <row r="70" spans="1:17" customFormat="1">
      <c r="A70" s="112" t="s">
        <v>972</v>
      </c>
      <c r="B70" s="134">
        <v>4.5599999999999996</v>
      </c>
      <c r="C70" s="134">
        <v>27.24</v>
      </c>
      <c r="D70" s="134">
        <v>19.239999999999998</v>
      </c>
      <c r="E70" s="134">
        <v>5.92</v>
      </c>
      <c r="F70" s="134">
        <v>7.08</v>
      </c>
      <c r="G70" s="134">
        <v>117.49</v>
      </c>
      <c r="H70" s="134">
        <v>47.18</v>
      </c>
      <c r="I70" s="134">
        <v>9.9700000000000006</v>
      </c>
      <c r="J70" s="134">
        <v>0.53</v>
      </c>
      <c r="K70" s="134">
        <v>42.44</v>
      </c>
      <c r="L70" s="134">
        <v>29.57</v>
      </c>
      <c r="M70" s="134">
        <v>29.66</v>
      </c>
      <c r="N70" s="134">
        <v>60.8</v>
      </c>
      <c r="O70" s="134">
        <v>0</v>
      </c>
      <c r="P70" s="134">
        <v>1.0900000000000001</v>
      </c>
      <c r="Q70" s="134">
        <v>4.29</v>
      </c>
    </row>
    <row r="71" spans="1:17" customFormat="1">
      <c r="A71" s="112" t="s">
        <v>973</v>
      </c>
      <c r="B71" s="134">
        <v>4.7300000000000004</v>
      </c>
      <c r="C71" s="134">
        <v>27.37</v>
      </c>
      <c r="D71" s="134">
        <v>19.440000000000001</v>
      </c>
      <c r="E71" s="134">
        <v>6.01</v>
      </c>
      <c r="F71" s="134">
        <v>7.98</v>
      </c>
      <c r="G71" s="134">
        <v>117.09</v>
      </c>
      <c r="H71" s="134">
        <v>46.74</v>
      </c>
      <c r="I71" s="134">
        <v>9.69</v>
      </c>
      <c r="J71" s="134">
        <v>0.46</v>
      </c>
      <c r="K71" s="134">
        <v>30.5</v>
      </c>
      <c r="L71" s="134">
        <v>29.33</v>
      </c>
      <c r="M71" s="134">
        <v>30.16</v>
      </c>
      <c r="N71" s="134">
        <v>57.6</v>
      </c>
      <c r="O71" s="134">
        <v>0</v>
      </c>
      <c r="P71" s="134">
        <v>1.06</v>
      </c>
      <c r="Q71" s="134">
        <v>4.29</v>
      </c>
    </row>
    <row r="72" spans="1:17" customFormat="1">
      <c r="A72" s="112" t="s">
        <v>974</v>
      </c>
      <c r="B72" s="134">
        <v>4.87</v>
      </c>
      <c r="C72" s="134">
        <v>28.48</v>
      </c>
      <c r="D72" s="134">
        <v>20.14</v>
      </c>
      <c r="E72" s="134">
        <v>5.38</v>
      </c>
      <c r="F72" s="134">
        <v>5.54</v>
      </c>
      <c r="G72" s="134">
        <v>108.4</v>
      </c>
      <c r="H72" s="134">
        <v>39.86</v>
      </c>
      <c r="I72" s="134">
        <v>9.4499999999999993</v>
      </c>
      <c r="J72" s="134">
        <v>0.37</v>
      </c>
      <c r="K72" s="134">
        <v>42.04</v>
      </c>
      <c r="L72" s="134">
        <v>29.24</v>
      </c>
      <c r="M72" s="134">
        <v>31.55</v>
      </c>
      <c r="N72" s="134">
        <v>47.3</v>
      </c>
      <c r="O72" s="134">
        <v>0</v>
      </c>
      <c r="P72" s="134">
        <v>1.05</v>
      </c>
      <c r="Q72" s="134">
        <v>4.3099999999999996</v>
      </c>
    </row>
    <row r="73" spans="1:17" customFormat="1">
      <c r="A73" s="112" t="s">
        <v>975</v>
      </c>
      <c r="B73" s="134">
        <v>4.9800000000000004</v>
      </c>
      <c r="C73" s="134">
        <v>28.67</v>
      </c>
      <c r="D73" s="134">
        <v>20.32</v>
      </c>
      <c r="E73" s="134">
        <v>4.8899999999999997</v>
      </c>
      <c r="F73" s="134">
        <v>3.94</v>
      </c>
      <c r="G73" s="134">
        <v>108.4</v>
      </c>
      <c r="H73" s="134">
        <v>39.86</v>
      </c>
      <c r="I73" s="134">
        <v>9.0399999999999991</v>
      </c>
      <c r="J73" s="134">
        <v>0.16</v>
      </c>
      <c r="K73" s="134">
        <v>46.33</v>
      </c>
      <c r="L73" s="134">
        <v>28.93</v>
      </c>
      <c r="M73" s="134">
        <v>35.590000000000003</v>
      </c>
      <c r="N73" s="134">
        <v>49.2</v>
      </c>
      <c r="O73" s="134">
        <v>0</v>
      </c>
      <c r="P73" s="134">
        <v>1.04</v>
      </c>
      <c r="Q73" s="134">
        <v>4.3600000000000003</v>
      </c>
    </row>
    <row r="74" spans="1:17" customFormat="1">
      <c r="A74" s="112" t="s">
        <v>976</v>
      </c>
      <c r="B74" s="134">
        <v>5.14</v>
      </c>
      <c r="C74" s="134">
        <v>29.24</v>
      </c>
      <c r="D74" s="134">
        <v>20.74</v>
      </c>
      <c r="E74" s="134">
        <v>4.6399999999999997</v>
      </c>
      <c r="F74" s="134">
        <v>3.25</v>
      </c>
      <c r="G74" s="134">
        <v>108.4</v>
      </c>
      <c r="H74" s="134">
        <v>39.86</v>
      </c>
      <c r="I74" s="134">
        <v>9.01</v>
      </c>
      <c r="J74" s="134">
        <v>0.14000000000000001</v>
      </c>
      <c r="K74" s="134">
        <v>110.66</v>
      </c>
      <c r="L74" s="134">
        <v>28.55</v>
      </c>
      <c r="M74" s="134">
        <v>39.86</v>
      </c>
      <c r="N74" s="134">
        <v>36.4</v>
      </c>
      <c r="O74" s="134">
        <v>0</v>
      </c>
      <c r="P74" s="134">
        <v>1.03</v>
      </c>
      <c r="Q74" s="134">
        <v>4.32</v>
      </c>
    </row>
    <row r="75" spans="1:17" customFormat="1">
      <c r="A75" s="112" t="s">
        <v>977</v>
      </c>
      <c r="B75" s="134">
        <v>5.55</v>
      </c>
      <c r="C75" s="134">
        <v>27.12</v>
      </c>
      <c r="D75" s="134">
        <v>19.97</v>
      </c>
      <c r="E75" s="134">
        <v>4.47</v>
      </c>
      <c r="F75" s="134">
        <v>3.37</v>
      </c>
      <c r="G75" s="134">
        <v>108.22</v>
      </c>
      <c r="H75" s="134">
        <v>39.67</v>
      </c>
      <c r="I75" s="134">
        <v>8.83</v>
      </c>
      <c r="J75" s="134">
        <v>0.24</v>
      </c>
      <c r="K75" s="134">
        <v>167.24</v>
      </c>
      <c r="L75" s="134">
        <v>27.41</v>
      </c>
      <c r="M75" s="134">
        <v>46.67</v>
      </c>
      <c r="N75" s="134">
        <v>19.8</v>
      </c>
      <c r="O75" s="134">
        <v>0</v>
      </c>
      <c r="P75" s="134">
        <v>1.02</v>
      </c>
      <c r="Q75" s="134">
        <v>4.34</v>
      </c>
    </row>
    <row r="76" spans="1:17" customFormat="1">
      <c r="A76" s="112" t="s">
        <v>978</v>
      </c>
      <c r="B76" s="134">
        <v>5.86</v>
      </c>
      <c r="C76" s="134">
        <v>25.23</v>
      </c>
      <c r="D76" s="134">
        <v>19.23</v>
      </c>
      <c r="E76" s="134">
        <v>4.1399999999999997</v>
      </c>
      <c r="F76" s="134">
        <v>3.17</v>
      </c>
      <c r="G76" s="134">
        <v>105.26</v>
      </c>
      <c r="H76" s="134">
        <v>36.67</v>
      </c>
      <c r="I76" s="134">
        <v>8.77</v>
      </c>
      <c r="J76" s="134">
        <v>0.32</v>
      </c>
      <c r="K76" s="134">
        <v>174.97</v>
      </c>
      <c r="L76" s="134">
        <v>26.55</v>
      </c>
      <c r="M76" s="134">
        <v>49.58</v>
      </c>
      <c r="N76" s="134">
        <v>6.5</v>
      </c>
      <c r="O76" s="134">
        <v>0</v>
      </c>
      <c r="P76" s="134">
        <v>0.99</v>
      </c>
      <c r="Q76" s="134">
        <v>4.3499999999999996</v>
      </c>
    </row>
    <row r="77" spans="1:17" customFormat="1">
      <c r="A77" s="112" t="s">
        <v>979</v>
      </c>
      <c r="B77" s="134">
        <v>5.98</v>
      </c>
      <c r="C77" s="134">
        <v>24.57</v>
      </c>
      <c r="D77" s="134">
        <v>18.989999999999998</v>
      </c>
      <c r="E77" s="134">
        <v>4.2300000000000004</v>
      </c>
      <c r="F77" s="134">
        <v>3.05</v>
      </c>
      <c r="G77" s="134">
        <v>105.26</v>
      </c>
      <c r="H77" s="134">
        <v>36.67</v>
      </c>
      <c r="I77" s="134">
        <v>8.69</v>
      </c>
      <c r="J77" s="134">
        <v>0.28000000000000003</v>
      </c>
      <c r="K77" s="134">
        <v>170.98</v>
      </c>
      <c r="L77" s="134">
        <v>25.65</v>
      </c>
      <c r="M77" s="134">
        <v>56.89</v>
      </c>
      <c r="N77" s="134">
        <v>0.1</v>
      </c>
      <c r="O77" s="134">
        <v>0</v>
      </c>
      <c r="P77" s="134">
        <v>0.98</v>
      </c>
      <c r="Q77" s="134">
        <v>4.3499999999999996</v>
      </c>
    </row>
    <row r="78" spans="1:17" customFormat="1">
      <c r="A78" s="112" t="s">
        <v>980</v>
      </c>
      <c r="B78" s="134">
        <v>6.19</v>
      </c>
      <c r="C78" s="134">
        <v>24.17</v>
      </c>
      <c r="D78" s="134">
        <v>18.940000000000001</v>
      </c>
      <c r="E78" s="134">
        <v>3.72</v>
      </c>
      <c r="F78" s="134">
        <v>2.76</v>
      </c>
      <c r="G78" s="134">
        <v>105.26</v>
      </c>
      <c r="H78" s="134">
        <v>36.67</v>
      </c>
      <c r="I78" s="134">
        <v>8.65</v>
      </c>
      <c r="J78" s="134">
        <v>0.28999999999999998</v>
      </c>
      <c r="K78" s="134">
        <v>174.77</v>
      </c>
      <c r="L78" s="134">
        <v>24.84</v>
      </c>
      <c r="M78" s="134">
        <v>61.27</v>
      </c>
      <c r="N78" s="134">
        <v>0</v>
      </c>
      <c r="O78" s="134">
        <v>0</v>
      </c>
      <c r="P78" s="134">
        <v>0.97</v>
      </c>
      <c r="Q78" s="134">
        <v>4.34</v>
      </c>
    </row>
    <row r="79" spans="1:17" customFormat="1">
      <c r="A79" s="112" t="s">
        <v>981</v>
      </c>
      <c r="B79" s="134">
        <v>6.5</v>
      </c>
      <c r="C79" s="134">
        <v>25.36</v>
      </c>
      <c r="D79" s="134">
        <v>19.809999999999999</v>
      </c>
      <c r="E79" s="134">
        <v>3.75</v>
      </c>
      <c r="F79" s="134">
        <v>2.66</v>
      </c>
      <c r="G79" s="134">
        <v>106.1</v>
      </c>
      <c r="H79" s="134">
        <v>36.729999999999997</v>
      </c>
      <c r="I79" s="134">
        <v>8.6300000000000008</v>
      </c>
      <c r="J79" s="134">
        <v>0.17</v>
      </c>
      <c r="K79" s="134">
        <v>177.91</v>
      </c>
      <c r="L79" s="134">
        <v>24.11</v>
      </c>
      <c r="M79" s="134">
        <v>69.17</v>
      </c>
      <c r="N79" s="134">
        <v>0</v>
      </c>
      <c r="O79" s="134">
        <v>0</v>
      </c>
      <c r="P79" s="134">
        <v>0.98</v>
      </c>
      <c r="Q79" s="134">
        <v>4.37</v>
      </c>
    </row>
    <row r="80" spans="1:17" customFormat="1">
      <c r="A80" s="112" t="s">
        <v>982</v>
      </c>
      <c r="B80" s="134">
        <v>6.85</v>
      </c>
      <c r="C80" s="134">
        <v>24.78</v>
      </c>
      <c r="D80" s="134">
        <v>19.79</v>
      </c>
      <c r="E80" s="134">
        <v>4.1100000000000003</v>
      </c>
      <c r="F80" s="134">
        <v>2.84</v>
      </c>
      <c r="G80" s="134">
        <v>120.35</v>
      </c>
      <c r="H80" s="134">
        <v>37.619999999999997</v>
      </c>
      <c r="I80" s="134">
        <v>8.58</v>
      </c>
      <c r="J80" s="134">
        <v>0.22</v>
      </c>
      <c r="K80" s="134">
        <v>168.96</v>
      </c>
      <c r="L80" s="134">
        <v>23.75</v>
      </c>
      <c r="M80" s="134">
        <v>68.33</v>
      </c>
      <c r="N80" s="134">
        <v>0</v>
      </c>
      <c r="O80" s="134">
        <v>0</v>
      </c>
      <c r="P80" s="134">
        <v>0.98</v>
      </c>
      <c r="Q80" s="134">
        <v>4.3899999999999997</v>
      </c>
    </row>
    <row r="81" spans="1:17" customFormat="1">
      <c r="A81" s="112" t="s">
        <v>983</v>
      </c>
      <c r="B81" s="134">
        <v>7.19</v>
      </c>
      <c r="C81" s="134">
        <v>25.48</v>
      </c>
      <c r="D81" s="134">
        <v>20.43</v>
      </c>
      <c r="E81" s="134">
        <v>5.67</v>
      </c>
      <c r="F81" s="134">
        <v>2.4700000000000002</v>
      </c>
      <c r="G81" s="134">
        <v>120.35</v>
      </c>
      <c r="H81" s="134">
        <v>37.619999999999997</v>
      </c>
      <c r="I81" s="134">
        <v>8.6199999999999992</v>
      </c>
      <c r="J81" s="134">
        <v>0.23</v>
      </c>
      <c r="K81" s="134">
        <v>172.01</v>
      </c>
      <c r="L81" s="134">
        <v>23.43</v>
      </c>
      <c r="M81" s="134">
        <v>68.650000000000006</v>
      </c>
      <c r="N81" s="134">
        <v>0</v>
      </c>
      <c r="O81" s="134">
        <v>0</v>
      </c>
      <c r="P81" s="134">
        <v>0.99</v>
      </c>
      <c r="Q81" s="134">
        <v>4.38</v>
      </c>
    </row>
    <row r="82" spans="1:17" customFormat="1">
      <c r="A82" s="112" t="s">
        <v>984</v>
      </c>
      <c r="B82" s="134">
        <v>7.42</v>
      </c>
      <c r="C82" s="134">
        <v>25.09</v>
      </c>
      <c r="D82" s="134">
        <v>20.41</v>
      </c>
      <c r="E82" s="134">
        <v>6.79</v>
      </c>
      <c r="F82" s="134">
        <v>2.56</v>
      </c>
      <c r="G82" s="134">
        <v>120.35</v>
      </c>
      <c r="H82" s="134">
        <v>37.619999999999997</v>
      </c>
      <c r="I82" s="134">
        <v>8.58</v>
      </c>
      <c r="J82" s="134">
        <v>0.22</v>
      </c>
      <c r="K82" s="134">
        <v>162.6</v>
      </c>
      <c r="L82" s="134">
        <v>23.18</v>
      </c>
      <c r="M82" s="134">
        <v>69.2</v>
      </c>
      <c r="N82" s="134">
        <v>0</v>
      </c>
      <c r="O82" s="134">
        <v>0</v>
      </c>
      <c r="P82" s="134">
        <v>1</v>
      </c>
      <c r="Q82" s="134">
        <v>4.41</v>
      </c>
    </row>
    <row r="83" spans="1:17" customFormat="1">
      <c r="A83" s="112" t="s">
        <v>985</v>
      </c>
      <c r="B83" s="134">
        <v>8.19</v>
      </c>
      <c r="C83" s="134">
        <v>26.01</v>
      </c>
      <c r="D83" s="134">
        <v>21.51</v>
      </c>
      <c r="E83" s="134">
        <v>6.2</v>
      </c>
      <c r="F83" s="134">
        <v>2.48</v>
      </c>
      <c r="G83" s="134">
        <v>120.45</v>
      </c>
      <c r="H83" s="134">
        <v>37.36</v>
      </c>
      <c r="I83" s="134">
        <v>8.6</v>
      </c>
      <c r="J83" s="134">
        <v>0.17</v>
      </c>
      <c r="K83" s="134">
        <v>190.3</v>
      </c>
      <c r="L83" s="134">
        <v>22.92</v>
      </c>
      <c r="M83" s="134">
        <v>74.19</v>
      </c>
      <c r="N83" s="134">
        <v>0</v>
      </c>
      <c r="O83" s="134">
        <v>0</v>
      </c>
      <c r="P83" s="134">
        <v>1.03</v>
      </c>
      <c r="Q83" s="134">
        <v>4.43</v>
      </c>
    </row>
    <row r="84" spans="1:17" customFormat="1">
      <c r="A84" s="112" t="s">
        <v>986</v>
      </c>
      <c r="B84" s="134">
        <v>8.7799999999999994</v>
      </c>
      <c r="C84" s="134">
        <v>25.88</v>
      </c>
      <c r="D84" s="134">
        <v>21.91</v>
      </c>
      <c r="E84" s="134">
        <v>6.56</v>
      </c>
      <c r="F84" s="134">
        <v>2.5499999999999998</v>
      </c>
      <c r="G84" s="134">
        <v>122.16</v>
      </c>
      <c r="H84" s="134">
        <v>33.229999999999997</v>
      </c>
      <c r="I84" s="134">
        <v>8.6199999999999992</v>
      </c>
      <c r="J84" s="134">
        <v>0.17</v>
      </c>
      <c r="K84" s="134">
        <v>191.98</v>
      </c>
      <c r="L84" s="134">
        <v>22.58</v>
      </c>
      <c r="M84" s="134">
        <v>74.7</v>
      </c>
      <c r="N84" s="134">
        <v>0</v>
      </c>
      <c r="O84" s="134">
        <v>0</v>
      </c>
      <c r="P84" s="134">
        <v>1.03</v>
      </c>
      <c r="Q84" s="134">
        <v>4.47</v>
      </c>
    </row>
    <row r="85" spans="1:17" customFormat="1">
      <c r="A85" s="112" t="s">
        <v>987</v>
      </c>
      <c r="B85" s="134">
        <v>9.2200000000000006</v>
      </c>
      <c r="C85" s="134">
        <v>26.31</v>
      </c>
      <c r="D85" s="134">
        <v>22.49</v>
      </c>
      <c r="E85" s="134">
        <v>6.93</v>
      </c>
      <c r="F85" s="134">
        <v>2.5</v>
      </c>
      <c r="G85" s="134">
        <v>122.16</v>
      </c>
      <c r="H85" s="134">
        <v>33.229999999999997</v>
      </c>
      <c r="I85" s="134">
        <v>8.7100000000000009</v>
      </c>
      <c r="J85" s="134">
        <v>0.17</v>
      </c>
      <c r="K85" s="134">
        <v>218.14</v>
      </c>
      <c r="L85" s="134">
        <v>22.21</v>
      </c>
      <c r="M85" s="134">
        <v>74.86</v>
      </c>
      <c r="N85" s="134">
        <v>0</v>
      </c>
      <c r="O85" s="134">
        <v>0</v>
      </c>
      <c r="P85" s="134">
        <v>1.03</v>
      </c>
      <c r="Q85" s="134">
        <v>4.5</v>
      </c>
    </row>
    <row r="86" spans="1:17" customFormat="1">
      <c r="A86" s="112" t="s">
        <v>988</v>
      </c>
      <c r="B86" s="134">
        <v>9.6199999999999992</v>
      </c>
      <c r="C86" s="134">
        <v>25.4</v>
      </c>
      <c r="D86" s="134">
        <v>22.33</v>
      </c>
      <c r="E86" s="134">
        <v>6.79</v>
      </c>
      <c r="F86" s="134">
        <v>2.63</v>
      </c>
      <c r="G86" s="134">
        <v>122.16</v>
      </c>
      <c r="H86" s="134">
        <v>33.229999999999997</v>
      </c>
      <c r="I86" s="134">
        <v>8.75</v>
      </c>
      <c r="J86" s="134">
        <v>0.17</v>
      </c>
      <c r="K86" s="134">
        <v>238.33</v>
      </c>
      <c r="L86" s="134">
        <v>21.95</v>
      </c>
      <c r="M86" s="134">
        <v>73.61</v>
      </c>
      <c r="N86" s="134">
        <v>0</v>
      </c>
      <c r="O86" s="134">
        <v>0</v>
      </c>
      <c r="P86" s="134">
        <v>1.03</v>
      </c>
      <c r="Q86" s="134">
        <v>4.54</v>
      </c>
    </row>
    <row r="87" spans="1:17" customFormat="1">
      <c r="A87" s="112" t="s">
        <v>989</v>
      </c>
      <c r="B87" s="134">
        <v>9.9499999999999993</v>
      </c>
      <c r="C87" s="134">
        <v>26.1</v>
      </c>
      <c r="D87" s="134">
        <v>22.97</v>
      </c>
      <c r="E87" s="134">
        <v>6.92</v>
      </c>
      <c r="F87" s="134">
        <v>2.57</v>
      </c>
      <c r="G87" s="134">
        <v>124.28</v>
      </c>
      <c r="H87" s="134">
        <v>33.549999999999997</v>
      </c>
      <c r="I87" s="134">
        <v>8.77</v>
      </c>
      <c r="J87" s="134">
        <v>0.16</v>
      </c>
      <c r="K87" s="134">
        <v>250.93</v>
      </c>
      <c r="L87" s="134">
        <v>21.85</v>
      </c>
      <c r="M87" s="134">
        <v>75.930000000000007</v>
      </c>
      <c r="N87" s="134">
        <v>0</v>
      </c>
      <c r="O87" s="134">
        <v>0</v>
      </c>
      <c r="P87" s="134">
        <v>1.03</v>
      </c>
      <c r="Q87" s="134">
        <v>4.57</v>
      </c>
    </row>
    <row r="88" spans="1:17" customFormat="1">
      <c r="A88" s="112" t="s">
        <v>990</v>
      </c>
      <c r="B88" s="134">
        <v>10.44</v>
      </c>
      <c r="C88" s="134">
        <v>26.08</v>
      </c>
      <c r="D88" s="134">
        <v>23.35</v>
      </c>
      <c r="E88" s="134">
        <v>6.78</v>
      </c>
      <c r="F88" s="134">
        <v>2.73</v>
      </c>
      <c r="G88" s="134">
        <v>160.25</v>
      </c>
      <c r="H88" s="134">
        <v>38.4</v>
      </c>
      <c r="I88" s="134">
        <v>8.75</v>
      </c>
      <c r="J88" s="134">
        <v>0.2</v>
      </c>
      <c r="K88" s="134">
        <v>254.04</v>
      </c>
      <c r="L88" s="134">
        <v>21.67</v>
      </c>
      <c r="M88" s="134">
        <v>78.099999999999994</v>
      </c>
      <c r="N88" s="134">
        <v>0</v>
      </c>
      <c r="O88" s="134">
        <v>0</v>
      </c>
      <c r="P88" s="134">
        <v>1.03</v>
      </c>
      <c r="Q88" s="134">
        <v>4.57</v>
      </c>
    </row>
    <row r="89" spans="1:17" customFormat="1">
      <c r="A89" s="112" t="s">
        <v>991</v>
      </c>
      <c r="B89" s="134">
        <v>10.9</v>
      </c>
      <c r="C89" s="134">
        <v>25.95</v>
      </c>
      <c r="D89" s="134">
        <v>23.65</v>
      </c>
      <c r="E89" s="134">
        <v>7.16</v>
      </c>
      <c r="F89" s="134">
        <v>2.59</v>
      </c>
      <c r="G89" s="134">
        <v>160.25</v>
      </c>
      <c r="H89" s="134">
        <v>38.4</v>
      </c>
      <c r="I89" s="134">
        <v>8.81</v>
      </c>
      <c r="J89" s="134">
        <v>0.12</v>
      </c>
      <c r="K89" s="134">
        <v>240.05</v>
      </c>
      <c r="L89" s="134">
        <v>21.46</v>
      </c>
      <c r="M89" s="134">
        <v>76.790000000000006</v>
      </c>
      <c r="N89" s="134">
        <v>0</v>
      </c>
      <c r="O89" s="134">
        <v>0</v>
      </c>
      <c r="P89" s="134">
        <v>1.02</v>
      </c>
      <c r="Q89" s="134">
        <v>4.59</v>
      </c>
    </row>
    <row r="90" spans="1:17" customFormat="1">
      <c r="A90" s="112" t="s">
        <v>992</v>
      </c>
      <c r="B90" s="134">
        <v>11.25</v>
      </c>
      <c r="C90" s="134">
        <v>25.36</v>
      </c>
      <c r="D90" s="134">
        <v>23.63</v>
      </c>
      <c r="E90" s="134">
        <v>6.9</v>
      </c>
      <c r="F90" s="134">
        <v>2.59</v>
      </c>
      <c r="G90" s="134">
        <v>160.25</v>
      </c>
      <c r="H90" s="134">
        <v>38.4</v>
      </c>
      <c r="I90" s="134">
        <v>8.89</v>
      </c>
      <c r="J90" s="134">
        <v>0.1</v>
      </c>
      <c r="K90" s="134">
        <v>226.37</v>
      </c>
      <c r="L90" s="134">
        <v>21.36</v>
      </c>
      <c r="M90" s="134">
        <v>77.5</v>
      </c>
      <c r="N90" s="134">
        <v>0</v>
      </c>
      <c r="O90" s="134">
        <v>0</v>
      </c>
      <c r="P90" s="134">
        <v>1.02</v>
      </c>
      <c r="Q90" s="134">
        <v>4.59</v>
      </c>
    </row>
    <row r="91" spans="1:17" customFormat="1">
      <c r="A91" s="112" t="s">
        <v>993</v>
      </c>
      <c r="B91" s="134">
        <v>11.21</v>
      </c>
      <c r="C91" s="134">
        <v>26.13</v>
      </c>
      <c r="D91" s="134">
        <v>23.99</v>
      </c>
      <c r="E91" s="134">
        <v>6.78</v>
      </c>
      <c r="F91" s="134">
        <v>2.4</v>
      </c>
      <c r="G91" s="134">
        <v>162.28</v>
      </c>
      <c r="H91" s="134">
        <v>38.54</v>
      </c>
      <c r="I91" s="134">
        <v>8.9700000000000006</v>
      </c>
      <c r="J91" s="134">
        <v>0.09</v>
      </c>
      <c r="K91" s="134">
        <v>186.62</v>
      </c>
      <c r="L91" s="134">
        <v>21.3</v>
      </c>
      <c r="M91" s="134">
        <v>78.22</v>
      </c>
      <c r="N91" s="134">
        <v>0</v>
      </c>
      <c r="O91" s="134">
        <v>0</v>
      </c>
      <c r="P91" s="134">
        <v>1.02</v>
      </c>
      <c r="Q91" s="134">
        <v>4.5999999999999996</v>
      </c>
    </row>
    <row r="92" spans="1:17" customFormat="1">
      <c r="A92" s="112" t="s">
        <v>994</v>
      </c>
      <c r="B92" s="134">
        <v>11.09</v>
      </c>
      <c r="C92" s="134">
        <v>25.54</v>
      </c>
      <c r="D92" s="134">
        <v>23.59</v>
      </c>
      <c r="E92" s="134">
        <v>7</v>
      </c>
      <c r="F92" s="134">
        <v>2.61</v>
      </c>
      <c r="G92" s="134">
        <v>196.74</v>
      </c>
      <c r="H92" s="134">
        <v>40.68</v>
      </c>
      <c r="I92" s="134">
        <v>8.9600000000000009</v>
      </c>
      <c r="J92" s="134">
        <v>0.09</v>
      </c>
      <c r="K92" s="134">
        <v>186.88</v>
      </c>
      <c r="L92" s="134">
        <v>21.26</v>
      </c>
      <c r="M92" s="134">
        <v>76.27</v>
      </c>
      <c r="N92" s="134">
        <v>0</v>
      </c>
      <c r="O92" s="134">
        <v>0</v>
      </c>
      <c r="P92" s="134">
        <v>1.01</v>
      </c>
      <c r="Q92" s="134">
        <v>4.6100000000000003</v>
      </c>
    </row>
    <row r="93" spans="1:17" customFormat="1">
      <c r="A93" s="112" t="s">
        <v>995</v>
      </c>
      <c r="B93" s="134">
        <v>11.04</v>
      </c>
      <c r="C93" s="134">
        <v>26.66</v>
      </c>
      <c r="D93" s="134">
        <v>24.13</v>
      </c>
      <c r="E93" s="134">
        <v>7.19</v>
      </c>
      <c r="F93" s="134">
        <v>2.58</v>
      </c>
      <c r="G93" s="134">
        <v>196.74</v>
      </c>
      <c r="H93" s="134">
        <v>40.68</v>
      </c>
      <c r="I93" s="134">
        <v>9.02</v>
      </c>
      <c r="J93" s="134">
        <v>0.11</v>
      </c>
      <c r="K93" s="134">
        <v>231.36</v>
      </c>
      <c r="L93" s="134">
        <v>21.27</v>
      </c>
      <c r="M93" s="134">
        <v>75.11</v>
      </c>
      <c r="N93" s="134">
        <v>0</v>
      </c>
      <c r="O93" s="134">
        <v>0</v>
      </c>
      <c r="P93" s="134">
        <v>1.02</v>
      </c>
      <c r="Q93" s="134">
        <v>4.62</v>
      </c>
    </row>
    <row r="94" spans="1:17" customFormat="1">
      <c r="A94" s="112" t="s">
        <v>996</v>
      </c>
      <c r="B94" s="134">
        <v>10.68</v>
      </c>
      <c r="C94" s="134">
        <v>26.71</v>
      </c>
      <c r="D94" s="134">
        <v>23.87</v>
      </c>
      <c r="E94" s="134">
        <v>7.13</v>
      </c>
      <c r="F94" s="134">
        <v>2.7</v>
      </c>
      <c r="G94" s="134">
        <v>196.74</v>
      </c>
      <c r="H94" s="134">
        <v>40.68</v>
      </c>
      <c r="I94" s="134">
        <v>9.08</v>
      </c>
      <c r="J94" s="134">
        <v>0.1</v>
      </c>
      <c r="K94" s="134">
        <v>214.55</v>
      </c>
      <c r="L94" s="134">
        <v>21</v>
      </c>
      <c r="M94" s="134">
        <v>78.59</v>
      </c>
      <c r="N94" s="134">
        <v>0</v>
      </c>
      <c r="O94" s="134">
        <v>0</v>
      </c>
      <c r="P94" s="134">
        <v>1.03</v>
      </c>
      <c r="Q94" s="134">
        <v>4.5999999999999996</v>
      </c>
    </row>
    <row r="95" spans="1:17" customFormat="1">
      <c r="A95" s="112" t="s">
        <v>997</v>
      </c>
      <c r="B95" s="134">
        <v>10.29</v>
      </c>
      <c r="C95" s="134">
        <v>26.49</v>
      </c>
      <c r="D95" s="134">
        <v>23.44</v>
      </c>
      <c r="E95" s="134">
        <v>7.18</v>
      </c>
      <c r="F95" s="134">
        <v>2.97</v>
      </c>
      <c r="G95" s="134">
        <v>191.05</v>
      </c>
      <c r="H95" s="134">
        <v>40.67</v>
      </c>
      <c r="I95" s="134">
        <v>9.19</v>
      </c>
      <c r="J95" s="134">
        <v>0.09</v>
      </c>
      <c r="K95" s="134">
        <v>188.38</v>
      </c>
      <c r="L95" s="134">
        <v>20.86</v>
      </c>
      <c r="M95" s="134">
        <v>78.260000000000005</v>
      </c>
      <c r="N95" s="134">
        <v>0</v>
      </c>
      <c r="O95" s="134">
        <v>0</v>
      </c>
      <c r="P95" s="134">
        <v>1.02</v>
      </c>
      <c r="Q95" s="134">
        <v>4.58</v>
      </c>
    </row>
    <row r="96" spans="1:17" customFormat="1">
      <c r="A96" s="112" t="s">
        <v>998</v>
      </c>
      <c r="B96" s="134">
        <v>9.91</v>
      </c>
      <c r="C96" s="134">
        <v>26.26</v>
      </c>
      <c r="D96" s="134">
        <v>23.02</v>
      </c>
      <c r="E96" s="134">
        <v>6.91</v>
      </c>
      <c r="F96" s="134">
        <v>2.91</v>
      </c>
      <c r="G96" s="134">
        <v>94.26</v>
      </c>
      <c r="H96" s="134">
        <v>40.450000000000003</v>
      </c>
      <c r="I96" s="134">
        <v>9.3000000000000007</v>
      </c>
      <c r="J96" s="134">
        <v>0.12</v>
      </c>
      <c r="K96" s="134">
        <v>166.16</v>
      </c>
      <c r="L96" s="134">
        <v>20.87</v>
      </c>
      <c r="M96" s="134">
        <v>80.06</v>
      </c>
      <c r="N96" s="134">
        <v>0</v>
      </c>
      <c r="O96" s="134">
        <v>0</v>
      </c>
      <c r="P96" s="134">
        <v>1.02</v>
      </c>
      <c r="Q96" s="134">
        <v>4.58</v>
      </c>
    </row>
    <row r="97" spans="1:22" customFormat="1">
      <c r="A97" s="112" t="s">
        <v>999</v>
      </c>
      <c r="B97" s="134">
        <v>9.69</v>
      </c>
      <c r="C97" s="134">
        <v>25.82</v>
      </c>
      <c r="D97" s="134">
        <v>22.61</v>
      </c>
      <c r="E97" s="134">
        <v>6.81</v>
      </c>
      <c r="F97" s="134">
        <v>2.81</v>
      </c>
      <c r="G97" s="134">
        <v>94.26</v>
      </c>
      <c r="H97" s="134">
        <v>40.450000000000003</v>
      </c>
      <c r="I97" s="134">
        <v>9.3800000000000008</v>
      </c>
      <c r="J97" s="134">
        <v>0.19</v>
      </c>
      <c r="K97" s="134">
        <v>251.92</v>
      </c>
      <c r="L97" s="134">
        <v>20.56</v>
      </c>
      <c r="M97" s="134">
        <v>82.55</v>
      </c>
      <c r="N97" s="134">
        <v>0</v>
      </c>
      <c r="O97" s="134">
        <v>0</v>
      </c>
      <c r="P97" s="134">
        <v>1</v>
      </c>
      <c r="Q97" s="134">
        <v>4.57</v>
      </c>
    </row>
    <row r="98" spans="1:22" customFormat="1">
      <c r="A98" s="112" t="s">
        <v>1000</v>
      </c>
      <c r="B98" s="134">
        <v>9.49</v>
      </c>
      <c r="C98" s="134">
        <v>25.62</v>
      </c>
      <c r="D98" s="134">
        <v>22.35</v>
      </c>
      <c r="E98" s="134">
        <v>7.66</v>
      </c>
      <c r="F98" s="134">
        <v>2.76</v>
      </c>
      <c r="G98" s="134">
        <v>94.26</v>
      </c>
      <c r="H98" s="134">
        <v>40.450000000000003</v>
      </c>
      <c r="I98" s="134">
        <v>9.39</v>
      </c>
      <c r="J98" s="134">
        <v>0.16</v>
      </c>
      <c r="K98" s="134">
        <v>232.05</v>
      </c>
      <c r="L98" s="134">
        <v>20.32</v>
      </c>
      <c r="M98" s="134">
        <v>79.81</v>
      </c>
      <c r="N98" s="134">
        <v>0</v>
      </c>
      <c r="O98" s="134">
        <v>0</v>
      </c>
      <c r="P98" s="134">
        <v>1</v>
      </c>
      <c r="Q98" s="134">
        <v>4.55</v>
      </c>
    </row>
    <row r="99" spans="1:22" customFormat="1">
      <c r="A99" s="112" t="s">
        <v>1001</v>
      </c>
      <c r="B99" s="134">
        <v>9.2200000000000006</v>
      </c>
      <c r="C99" s="134">
        <v>25.6</v>
      </c>
      <c r="D99" s="134">
        <v>22.12</v>
      </c>
      <c r="E99" s="134">
        <v>7.49</v>
      </c>
      <c r="F99" s="134">
        <v>2.83</v>
      </c>
      <c r="G99" s="134">
        <v>92.66</v>
      </c>
      <c r="H99" s="134">
        <v>40.340000000000003</v>
      </c>
      <c r="I99" s="134">
        <v>9.41</v>
      </c>
      <c r="J99" s="134">
        <v>0.13</v>
      </c>
      <c r="K99" s="134">
        <v>232.82</v>
      </c>
      <c r="L99" s="134">
        <v>20.25</v>
      </c>
      <c r="M99" s="134">
        <v>79.180000000000007</v>
      </c>
      <c r="N99" s="134">
        <v>0</v>
      </c>
      <c r="O99" s="134">
        <v>0</v>
      </c>
      <c r="P99" s="134">
        <v>0.99</v>
      </c>
      <c r="Q99" s="134">
        <v>4.5599999999999996</v>
      </c>
    </row>
    <row r="100" spans="1:22" customFormat="1">
      <c r="A100" s="112" t="s">
        <v>1002</v>
      </c>
      <c r="B100" s="134">
        <v>9.19</v>
      </c>
      <c r="C100" s="134">
        <v>25.5</v>
      </c>
      <c r="D100" s="134">
        <v>22.04</v>
      </c>
      <c r="E100" s="134">
        <v>7.31</v>
      </c>
      <c r="F100" s="134">
        <v>2.73</v>
      </c>
      <c r="G100" s="134">
        <v>65.48</v>
      </c>
      <c r="H100" s="134">
        <v>38.74</v>
      </c>
      <c r="I100" s="134">
        <v>9.39</v>
      </c>
      <c r="J100" s="134">
        <v>0.13</v>
      </c>
      <c r="K100" s="134">
        <v>239.84</v>
      </c>
      <c r="L100" s="134">
        <v>20.13</v>
      </c>
      <c r="M100" s="134">
        <v>80.39</v>
      </c>
      <c r="N100" s="134">
        <v>0</v>
      </c>
      <c r="O100" s="134">
        <v>0</v>
      </c>
      <c r="P100" s="134">
        <v>0.98</v>
      </c>
      <c r="Q100" s="134">
        <v>4.5599999999999996</v>
      </c>
    </row>
    <row r="101" spans="1:22" customFormat="1">
      <c r="A101" s="112" t="s">
        <v>1003</v>
      </c>
      <c r="B101" s="134">
        <v>9.06</v>
      </c>
      <c r="C101" s="134">
        <v>25.3</v>
      </c>
      <c r="D101" s="134">
        <v>21.83</v>
      </c>
      <c r="E101" s="134">
        <v>7.52</v>
      </c>
      <c r="F101" s="134">
        <v>2.67</v>
      </c>
      <c r="G101" s="134">
        <v>65.48</v>
      </c>
      <c r="H101" s="134">
        <v>38.74</v>
      </c>
      <c r="I101" s="134">
        <v>9.3000000000000007</v>
      </c>
      <c r="J101" s="134">
        <v>0.11</v>
      </c>
      <c r="K101" s="134">
        <v>231.07</v>
      </c>
      <c r="L101" s="134">
        <v>20.04</v>
      </c>
      <c r="M101" s="134">
        <v>79.92</v>
      </c>
      <c r="N101" s="134">
        <v>0</v>
      </c>
      <c r="O101" s="134">
        <v>0</v>
      </c>
      <c r="P101" s="134">
        <v>0.98</v>
      </c>
      <c r="Q101" s="134">
        <v>4.5599999999999996</v>
      </c>
    </row>
    <row r="102" spans="1:22" customFormat="1">
      <c r="A102" s="112" t="s">
        <v>1004</v>
      </c>
      <c r="B102" s="134">
        <v>8.9600000000000009</v>
      </c>
      <c r="C102" s="134">
        <v>25.17</v>
      </c>
      <c r="D102" s="134">
        <v>21.69</v>
      </c>
      <c r="E102" s="134">
        <v>7.39</v>
      </c>
      <c r="F102" s="134">
        <v>2.75</v>
      </c>
      <c r="G102" s="134">
        <v>65.48</v>
      </c>
      <c r="H102" s="134">
        <v>38.74</v>
      </c>
      <c r="I102" s="134">
        <v>9.25</v>
      </c>
      <c r="J102" s="134">
        <v>0.09</v>
      </c>
      <c r="K102" s="134">
        <v>148.53</v>
      </c>
      <c r="L102" s="134">
        <v>20.059999999999999</v>
      </c>
      <c r="M102" s="134">
        <v>81.42</v>
      </c>
      <c r="N102" s="134">
        <v>0</v>
      </c>
      <c r="O102" s="134">
        <v>0</v>
      </c>
      <c r="P102" s="134">
        <v>0.97</v>
      </c>
      <c r="Q102" s="134">
        <v>4.55</v>
      </c>
    </row>
    <row r="103" spans="1:22" customFormat="1">
      <c r="A103" s="112" t="s">
        <v>1005</v>
      </c>
      <c r="B103" s="134">
        <v>9.2100000000000009</v>
      </c>
      <c r="C103" s="134">
        <v>25.35</v>
      </c>
      <c r="D103" s="134">
        <v>21.99</v>
      </c>
      <c r="E103" s="134">
        <v>7.71</v>
      </c>
      <c r="F103" s="134">
        <v>2.72</v>
      </c>
      <c r="G103" s="134">
        <v>66.88</v>
      </c>
      <c r="H103" s="134">
        <v>38.74</v>
      </c>
      <c r="I103" s="134">
        <v>9.2200000000000006</v>
      </c>
      <c r="J103" s="134">
        <v>0.12</v>
      </c>
      <c r="K103" s="134">
        <v>164.24</v>
      </c>
      <c r="L103" s="134">
        <v>20.260000000000002</v>
      </c>
      <c r="M103" s="134">
        <v>80.12</v>
      </c>
      <c r="N103" s="134">
        <v>0</v>
      </c>
      <c r="O103" s="134">
        <v>0</v>
      </c>
      <c r="P103" s="134">
        <v>0.99</v>
      </c>
      <c r="Q103" s="134">
        <v>4.5599999999999996</v>
      </c>
    </row>
    <row r="104" spans="1:22" customFormat="1">
      <c r="A104" s="112" t="s">
        <v>1006</v>
      </c>
      <c r="B104" s="134">
        <v>10.51</v>
      </c>
      <c r="C104" s="134">
        <v>26.58</v>
      </c>
      <c r="D104" s="134">
        <v>23.67</v>
      </c>
      <c r="E104" s="134">
        <v>6.94</v>
      </c>
      <c r="F104" s="134">
        <v>2.71</v>
      </c>
      <c r="G104" s="134">
        <v>90.82</v>
      </c>
      <c r="H104" s="134">
        <v>38.75</v>
      </c>
      <c r="I104" s="134">
        <v>9.25</v>
      </c>
      <c r="J104" s="134">
        <v>0.13</v>
      </c>
      <c r="K104" s="134">
        <v>201.86</v>
      </c>
      <c r="L104" s="134">
        <v>20.22</v>
      </c>
      <c r="M104" s="134">
        <v>82.06</v>
      </c>
      <c r="N104" s="134">
        <v>0</v>
      </c>
      <c r="O104" s="134">
        <v>0</v>
      </c>
      <c r="P104" s="134">
        <v>1</v>
      </c>
      <c r="Q104" s="134">
        <v>4.6100000000000003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3.7</v>
      </c>
      <c r="C106" s="183">
        <f>MIN(C9:C104)</f>
        <v>22.1</v>
      </c>
      <c r="D106" s="183">
        <f t="shared" ref="D106:Q106" si="0">MIN(D9:D104)</f>
        <v>17.82</v>
      </c>
      <c r="E106" s="183">
        <f t="shared" si="0"/>
        <v>3.72</v>
      </c>
      <c r="F106" s="183">
        <f t="shared" si="0"/>
        <v>2.35</v>
      </c>
      <c r="G106" s="183">
        <f t="shared" si="0"/>
        <v>65.48</v>
      </c>
      <c r="H106" s="183">
        <f t="shared" si="0"/>
        <v>29.85</v>
      </c>
      <c r="I106" s="183">
        <f t="shared" si="0"/>
        <v>8.1</v>
      </c>
      <c r="J106" s="183">
        <f t="shared" si="0"/>
        <v>0.01</v>
      </c>
      <c r="K106" s="183">
        <f t="shared" si="0"/>
        <v>30.5</v>
      </c>
      <c r="L106" s="183">
        <f t="shared" si="0"/>
        <v>17.760000000000002</v>
      </c>
      <c r="M106" s="183">
        <f t="shared" si="0"/>
        <v>29.63</v>
      </c>
      <c r="N106" s="183">
        <f t="shared" si="0"/>
        <v>0</v>
      </c>
      <c r="O106" s="183">
        <f t="shared" si="0"/>
        <v>0</v>
      </c>
      <c r="P106" s="183">
        <f t="shared" si="0"/>
        <v>0.84</v>
      </c>
      <c r="Q106" s="183">
        <f t="shared" si="0"/>
        <v>4.26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51.47</v>
      </c>
      <c r="C107" s="184">
        <f t="shared" ref="C107:Q107" si="1">MAX(C9:C104)</f>
        <v>34.03</v>
      </c>
      <c r="D107" s="184">
        <f t="shared" si="1"/>
        <v>56.87</v>
      </c>
      <c r="E107" s="184">
        <f t="shared" si="1"/>
        <v>8.52</v>
      </c>
      <c r="F107" s="184">
        <f t="shared" si="1"/>
        <v>9.98</v>
      </c>
      <c r="G107" s="184">
        <f t="shared" si="1"/>
        <v>196.74</v>
      </c>
      <c r="H107" s="184">
        <f t="shared" si="1"/>
        <v>66.91</v>
      </c>
      <c r="I107" s="184">
        <f t="shared" si="1"/>
        <v>13.64</v>
      </c>
      <c r="J107" s="184">
        <f t="shared" si="1"/>
        <v>0.59</v>
      </c>
      <c r="K107" s="184">
        <f t="shared" si="1"/>
        <v>338.24</v>
      </c>
      <c r="L107" s="184">
        <f t="shared" si="1"/>
        <v>31.43</v>
      </c>
      <c r="M107" s="184">
        <f t="shared" si="1"/>
        <v>95.12</v>
      </c>
      <c r="N107" s="184">
        <f t="shared" si="1"/>
        <v>577.9</v>
      </c>
      <c r="O107" s="184">
        <f t="shared" si="1"/>
        <v>0</v>
      </c>
      <c r="P107" s="184">
        <f t="shared" si="1"/>
        <v>1.41</v>
      </c>
      <c r="Q107" s="184">
        <f t="shared" si="1"/>
        <v>6.25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19.989166666666669</v>
      </c>
      <c r="C108" s="183">
        <f t="shared" ref="C108:Q108" si="2">AVERAGE(C9:C104)</f>
        <v>27.541979166666664</v>
      </c>
      <c r="D108" s="183">
        <f t="shared" si="2"/>
        <v>31.770520833333318</v>
      </c>
      <c r="E108" s="183">
        <f t="shared" si="2"/>
        <v>6.6702083333333322</v>
      </c>
      <c r="F108" s="183">
        <f t="shared" si="2"/>
        <v>3.4703125000000004</v>
      </c>
      <c r="G108" s="183">
        <f t="shared" si="2"/>
        <v>119.45177083333333</v>
      </c>
      <c r="H108" s="183">
        <f t="shared" si="2"/>
        <v>43.22583333333332</v>
      </c>
      <c r="I108" s="183">
        <f t="shared" si="2"/>
        <v>10.468333333333335</v>
      </c>
      <c r="J108" s="183">
        <f t="shared" si="2"/>
        <v>0.17229166666666659</v>
      </c>
      <c r="K108" s="183">
        <f t="shared" si="2"/>
        <v>173.14250000000001</v>
      </c>
      <c r="L108" s="183">
        <f t="shared" si="2"/>
        <v>23.45354166666667</v>
      </c>
      <c r="M108" s="183">
        <f t="shared" si="2"/>
        <v>67.160520833333365</v>
      </c>
      <c r="N108" s="183">
        <f t="shared" si="2"/>
        <v>118.60312499999999</v>
      </c>
      <c r="O108" s="183">
        <f t="shared" si="2"/>
        <v>0</v>
      </c>
      <c r="P108" s="183">
        <f t="shared" si="2"/>
        <v>1.1185416666666665</v>
      </c>
      <c r="Q108" s="183">
        <f t="shared" si="2"/>
        <v>4.989374999999999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14.935825645718358</v>
      </c>
      <c r="C109" s="183">
        <f t="shared" ref="C109:Q109" si="3">STDEV(C9:C104)</f>
        <v>2.4348978665673298</v>
      </c>
      <c r="D109" s="183">
        <f t="shared" si="3"/>
        <v>12.405050700572438</v>
      </c>
      <c r="E109" s="183">
        <f t="shared" si="3"/>
        <v>1.1681636323434441</v>
      </c>
      <c r="F109" s="183">
        <f t="shared" si="3"/>
        <v>1.820373271800102</v>
      </c>
      <c r="G109" s="183">
        <f t="shared" si="3"/>
        <v>33.36758045247209</v>
      </c>
      <c r="H109" s="183">
        <f t="shared" si="3"/>
        <v>8.9010971135339894</v>
      </c>
      <c r="I109" s="183">
        <f t="shared" si="3"/>
        <v>1.7612607127411877</v>
      </c>
      <c r="J109" s="183">
        <f t="shared" si="3"/>
        <v>0.10469483641483887</v>
      </c>
      <c r="K109" s="183">
        <f t="shared" si="3"/>
        <v>59.166918708630334</v>
      </c>
      <c r="L109" s="183">
        <f t="shared" si="3"/>
        <v>4.6985092774011292</v>
      </c>
      <c r="M109" s="183">
        <f t="shared" si="3"/>
        <v>21.84594604665228</v>
      </c>
      <c r="N109" s="183">
        <f t="shared" si="3"/>
        <v>186.84571200697846</v>
      </c>
      <c r="O109" s="183">
        <f t="shared" si="3"/>
        <v>0</v>
      </c>
      <c r="P109" s="183">
        <f t="shared" si="3"/>
        <v>0.14946204705132574</v>
      </c>
      <c r="Q109" s="183">
        <f t="shared" si="3"/>
        <v>0.63235202138316726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E30" sqref="E3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09/11/2023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1007</v>
      </c>
      <c r="B9" s="134">
        <v>11.66</v>
      </c>
      <c r="C9" s="134">
        <v>26.28</v>
      </c>
      <c r="D9" s="134">
        <v>24.43</v>
      </c>
      <c r="E9" s="134">
        <v>7.63</v>
      </c>
      <c r="F9" s="134">
        <v>2.64</v>
      </c>
      <c r="G9" s="134">
        <v>90.82</v>
      </c>
      <c r="H9" s="134">
        <v>38.75</v>
      </c>
      <c r="I9" s="134">
        <v>9.32</v>
      </c>
      <c r="J9" s="134">
        <v>0.11</v>
      </c>
      <c r="K9" s="134">
        <v>165.88</v>
      </c>
      <c r="L9" s="134">
        <v>19.86</v>
      </c>
      <c r="M9" s="134">
        <v>88.64</v>
      </c>
      <c r="N9" s="134">
        <v>0</v>
      </c>
      <c r="O9" s="134">
        <v>0</v>
      </c>
      <c r="P9" s="134">
        <v>1.01</v>
      </c>
      <c r="Q9" s="134">
        <v>4.66</v>
      </c>
    </row>
    <row r="10" spans="1:21" customFormat="1">
      <c r="A10" s="112" t="s">
        <v>1008</v>
      </c>
      <c r="B10" s="134">
        <v>11.56</v>
      </c>
      <c r="C10" s="134">
        <v>26.68</v>
      </c>
      <c r="D10" s="134">
        <v>24.56</v>
      </c>
      <c r="E10" s="134">
        <v>7.35</v>
      </c>
      <c r="F10" s="134">
        <v>2.5499999999999998</v>
      </c>
      <c r="G10" s="134">
        <v>90.82</v>
      </c>
      <c r="H10" s="134">
        <v>38.75</v>
      </c>
      <c r="I10" s="134">
        <v>9.42</v>
      </c>
      <c r="J10" s="134">
        <v>0.12</v>
      </c>
      <c r="K10" s="134">
        <v>177.96</v>
      </c>
      <c r="L10" s="134">
        <v>19.690000000000001</v>
      </c>
      <c r="M10" s="134">
        <v>87.88</v>
      </c>
      <c r="N10" s="134">
        <v>0</v>
      </c>
      <c r="O10" s="134">
        <v>0</v>
      </c>
      <c r="P10" s="134">
        <v>1.02</v>
      </c>
      <c r="Q10" s="134">
        <v>4.6900000000000004</v>
      </c>
    </row>
    <row r="11" spans="1:21" customFormat="1">
      <c r="A11" s="112" t="s">
        <v>1009</v>
      </c>
      <c r="B11" s="134">
        <v>11.34</v>
      </c>
      <c r="C11" s="134">
        <v>26.59</v>
      </c>
      <c r="D11" s="134">
        <v>24.34</v>
      </c>
      <c r="E11" s="134">
        <v>7.44</v>
      </c>
      <c r="F11" s="134">
        <v>2.5099999999999998</v>
      </c>
      <c r="G11" s="134">
        <v>90.01</v>
      </c>
      <c r="H11" s="134">
        <v>38.61</v>
      </c>
      <c r="I11" s="134">
        <v>9.5</v>
      </c>
      <c r="J11" s="134">
        <v>0.11</v>
      </c>
      <c r="K11" s="134">
        <v>213.6</v>
      </c>
      <c r="L11" s="134">
        <v>19.420000000000002</v>
      </c>
      <c r="M11" s="134">
        <v>85.28</v>
      </c>
      <c r="N11" s="134">
        <v>0</v>
      </c>
      <c r="O11" s="134">
        <v>0</v>
      </c>
      <c r="P11" s="134">
        <v>1.02</v>
      </c>
      <c r="Q11" s="134">
        <v>4.68</v>
      </c>
    </row>
    <row r="12" spans="1:21" customFormat="1">
      <c r="A12" s="112" t="s">
        <v>1010</v>
      </c>
      <c r="B12" s="134">
        <v>11.15</v>
      </c>
      <c r="C12" s="134">
        <v>26.71</v>
      </c>
      <c r="D12" s="134">
        <v>24.24</v>
      </c>
      <c r="E12" s="134">
        <v>7.52</v>
      </c>
      <c r="F12" s="134">
        <v>2.5299999999999998</v>
      </c>
      <c r="G12" s="134">
        <v>76.27</v>
      </c>
      <c r="H12" s="134">
        <v>36.520000000000003</v>
      </c>
      <c r="I12" s="134">
        <v>9.52</v>
      </c>
      <c r="J12" s="134">
        <v>0.08</v>
      </c>
      <c r="K12" s="134">
        <v>188.17</v>
      </c>
      <c r="L12" s="134">
        <v>19.399999999999999</v>
      </c>
      <c r="M12" s="134">
        <v>82.81</v>
      </c>
      <c r="N12" s="134">
        <v>0</v>
      </c>
      <c r="O12" s="134">
        <v>0</v>
      </c>
      <c r="P12" s="134">
        <v>1.02</v>
      </c>
      <c r="Q12" s="134">
        <v>4.68</v>
      </c>
    </row>
    <row r="13" spans="1:21" customFormat="1">
      <c r="A13" s="112" t="s">
        <v>1011</v>
      </c>
      <c r="B13" s="134">
        <v>10.96</v>
      </c>
      <c r="C13" s="134">
        <v>26.34</v>
      </c>
      <c r="D13" s="134">
        <v>23.9</v>
      </c>
      <c r="E13" s="134">
        <v>7.39</v>
      </c>
      <c r="F13" s="134">
        <v>2.48</v>
      </c>
      <c r="G13" s="134">
        <v>76.27</v>
      </c>
      <c r="H13" s="134">
        <v>36.520000000000003</v>
      </c>
      <c r="I13" s="134">
        <v>9.57</v>
      </c>
      <c r="J13" s="134">
        <v>0.12</v>
      </c>
      <c r="K13" s="134">
        <v>157.53</v>
      </c>
      <c r="L13" s="134">
        <v>19.38</v>
      </c>
      <c r="M13" s="134">
        <v>85</v>
      </c>
      <c r="N13" s="134">
        <v>0</v>
      </c>
      <c r="O13" s="134">
        <v>0</v>
      </c>
      <c r="P13" s="134">
        <v>1.02</v>
      </c>
      <c r="Q13" s="134">
        <v>4.6900000000000004</v>
      </c>
    </row>
    <row r="14" spans="1:21" customFormat="1">
      <c r="A14" s="112" t="s">
        <v>1012</v>
      </c>
      <c r="B14" s="134">
        <v>10.85</v>
      </c>
      <c r="C14" s="134">
        <v>25.91</v>
      </c>
      <c r="D14" s="134">
        <v>23.59</v>
      </c>
      <c r="E14" s="134">
        <v>7.68</v>
      </c>
      <c r="F14" s="134">
        <v>2.6</v>
      </c>
      <c r="G14" s="134">
        <v>76.27</v>
      </c>
      <c r="H14" s="134">
        <v>36.520000000000003</v>
      </c>
      <c r="I14" s="134">
        <v>9.5500000000000007</v>
      </c>
      <c r="J14" s="134">
        <v>0.09</v>
      </c>
      <c r="K14" s="134">
        <v>184.08</v>
      </c>
      <c r="L14" s="134">
        <v>19.28</v>
      </c>
      <c r="M14" s="134">
        <v>86.04</v>
      </c>
      <c r="N14" s="134">
        <v>0</v>
      </c>
      <c r="O14" s="134">
        <v>0</v>
      </c>
      <c r="P14" s="134">
        <v>1.01</v>
      </c>
      <c r="Q14" s="134">
        <v>4.67</v>
      </c>
    </row>
    <row r="15" spans="1:21" customFormat="1">
      <c r="A15" s="112" t="s">
        <v>1013</v>
      </c>
      <c r="B15" s="134">
        <v>10.71</v>
      </c>
      <c r="C15" s="134">
        <v>25.53</v>
      </c>
      <c r="D15" s="134">
        <v>23.28</v>
      </c>
      <c r="E15" s="134">
        <v>7.66</v>
      </c>
      <c r="F15" s="134">
        <v>2.64</v>
      </c>
      <c r="G15" s="134">
        <v>76.290000000000006</v>
      </c>
      <c r="H15" s="134">
        <v>36.51</v>
      </c>
      <c r="I15" s="134">
        <v>9.56</v>
      </c>
      <c r="J15" s="134">
        <v>0.06</v>
      </c>
      <c r="K15" s="134">
        <v>158.53</v>
      </c>
      <c r="L15" s="134">
        <v>19.22</v>
      </c>
      <c r="M15" s="134">
        <v>85.71</v>
      </c>
      <c r="N15" s="134">
        <v>0</v>
      </c>
      <c r="O15" s="134">
        <v>0</v>
      </c>
      <c r="P15" s="134">
        <v>1.01</v>
      </c>
      <c r="Q15" s="134">
        <v>4.63</v>
      </c>
    </row>
    <row r="16" spans="1:21" customFormat="1">
      <c r="A16" s="112" t="s">
        <v>1014</v>
      </c>
      <c r="B16" s="134">
        <v>10.48</v>
      </c>
      <c r="C16" s="134">
        <v>25.52</v>
      </c>
      <c r="D16" s="134">
        <v>23.09</v>
      </c>
      <c r="E16" s="134">
        <v>7.53</v>
      </c>
      <c r="F16" s="134">
        <v>2.52</v>
      </c>
      <c r="G16" s="134">
        <v>76.75</v>
      </c>
      <c r="H16" s="134">
        <v>36.32</v>
      </c>
      <c r="I16" s="134">
        <v>9.49</v>
      </c>
      <c r="J16" s="134">
        <v>7.0000000000000007E-2</v>
      </c>
      <c r="K16" s="134">
        <v>217.45</v>
      </c>
      <c r="L16" s="134">
        <v>19.239999999999998</v>
      </c>
      <c r="M16" s="134">
        <v>81.52</v>
      </c>
      <c r="N16" s="134">
        <v>0</v>
      </c>
      <c r="O16" s="134">
        <v>0</v>
      </c>
      <c r="P16" s="134">
        <v>0.99</v>
      </c>
      <c r="Q16" s="134">
        <v>4.63</v>
      </c>
    </row>
    <row r="17" spans="1:17" customFormat="1">
      <c r="A17" s="112" t="s">
        <v>1015</v>
      </c>
      <c r="B17" s="134">
        <v>10.210000000000001</v>
      </c>
      <c r="C17" s="134">
        <v>25.38</v>
      </c>
      <c r="D17" s="134">
        <v>22.8</v>
      </c>
      <c r="E17" s="134">
        <v>5.36</v>
      </c>
      <c r="F17" s="134">
        <v>2.7</v>
      </c>
      <c r="G17" s="134">
        <v>76.75</v>
      </c>
      <c r="H17" s="134">
        <v>36.32</v>
      </c>
      <c r="I17" s="134">
        <v>9.41</v>
      </c>
      <c r="J17" s="134">
        <v>0.08</v>
      </c>
      <c r="K17" s="134">
        <v>199.58</v>
      </c>
      <c r="L17" s="134">
        <v>19.32</v>
      </c>
      <c r="M17" s="134">
        <v>80.180000000000007</v>
      </c>
      <c r="N17" s="134">
        <v>0</v>
      </c>
      <c r="O17" s="134">
        <v>0</v>
      </c>
      <c r="P17" s="134">
        <v>0.99</v>
      </c>
      <c r="Q17" s="134">
        <v>4.6100000000000003</v>
      </c>
    </row>
    <row r="18" spans="1:17" customFormat="1">
      <c r="A18" s="112" t="s">
        <v>1016</v>
      </c>
      <c r="B18" s="134">
        <v>10.08</v>
      </c>
      <c r="C18" s="134">
        <v>24.94</v>
      </c>
      <c r="D18" s="134">
        <v>22.46</v>
      </c>
      <c r="E18" s="134">
        <v>5.99</v>
      </c>
      <c r="F18" s="134">
        <v>2.83</v>
      </c>
      <c r="G18" s="134">
        <v>76.75</v>
      </c>
      <c r="H18" s="134">
        <v>36.32</v>
      </c>
      <c r="I18" s="134">
        <v>9.34</v>
      </c>
      <c r="J18" s="134">
        <v>0.1</v>
      </c>
      <c r="K18" s="134">
        <v>123.54</v>
      </c>
      <c r="L18" s="134">
        <v>19.3</v>
      </c>
      <c r="M18" s="134">
        <v>81.8</v>
      </c>
      <c r="N18" s="134">
        <v>0</v>
      </c>
      <c r="O18" s="134">
        <v>0</v>
      </c>
      <c r="P18" s="134">
        <v>0.97</v>
      </c>
      <c r="Q18" s="134">
        <v>4.62</v>
      </c>
    </row>
    <row r="19" spans="1:17" customFormat="1">
      <c r="A19" s="112" t="s">
        <v>1017</v>
      </c>
      <c r="B19" s="134">
        <v>10.46</v>
      </c>
      <c r="C19" s="134">
        <v>22.93</v>
      </c>
      <c r="D19" s="134">
        <v>21.71</v>
      </c>
      <c r="E19" s="134">
        <v>5.05</v>
      </c>
      <c r="F19" s="134">
        <v>2.95</v>
      </c>
      <c r="G19" s="134">
        <v>76.7</v>
      </c>
      <c r="H19" s="134">
        <v>36.229999999999997</v>
      </c>
      <c r="I19" s="134">
        <v>9.24</v>
      </c>
      <c r="J19" s="134">
        <v>0.13</v>
      </c>
      <c r="K19" s="134">
        <v>123.23</v>
      </c>
      <c r="L19" s="134">
        <v>19.32</v>
      </c>
      <c r="M19" s="134">
        <v>81.69</v>
      </c>
      <c r="N19" s="134">
        <v>0</v>
      </c>
      <c r="O19" s="134">
        <v>0</v>
      </c>
      <c r="P19" s="134">
        <v>0.93</v>
      </c>
      <c r="Q19" s="134">
        <v>4.62</v>
      </c>
    </row>
    <row r="20" spans="1:17" customFormat="1">
      <c r="A20" s="112" t="s">
        <v>1018</v>
      </c>
      <c r="B20" s="134">
        <v>11.53</v>
      </c>
      <c r="C20" s="134">
        <v>23.97</v>
      </c>
      <c r="D20" s="134">
        <v>23.12</v>
      </c>
      <c r="E20" s="134">
        <v>4.99</v>
      </c>
      <c r="F20" s="134">
        <v>2.5299999999999998</v>
      </c>
      <c r="G20" s="134">
        <v>75.67</v>
      </c>
      <c r="H20" s="134">
        <v>34.880000000000003</v>
      </c>
      <c r="I20" s="134">
        <v>9.18</v>
      </c>
      <c r="J20" s="134">
        <v>0.15</v>
      </c>
      <c r="K20" s="134">
        <v>159.86000000000001</v>
      </c>
      <c r="L20" s="134">
        <v>19.21</v>
      </c>
      <c r="M20" s="134">
        <v>83.98</v>
      </c>
      <c r="N20" s="134">
        <v>0</v>
      </c>
      <c r="O20" s="134">
        <v>0</v>
      </c>
      <c r="P20" s="134">
        <v>0.94</v>
      </c>
      <c r="Q20" s="134">
        <v>4.63</v>
      </c>
    </row>
    <row r="21" spans="1:17" customFormat="1">
      <c r="A21" s="112" t="s">
        <v>1019</v>
      </c>
      <c r="B21" s="134">
        <v>12.17</v>
      </c>
      <c r="C21" s="134">
        <v>24.04</v>
      </c>
      <c r="D21" s="134">
        <v>23.67</v>
      </c>
      <c r="E21" s="134">
        <v>5.21</v>
      </c>
      <c r="F21" s="134">
        <v>2.66</v>
      </c>
      <c r="G21" s="134">
        <v>75.67</v>
      </c>
      <c r="H21" s="134">
        <v>34.880000000000003</v>
      </c>
      <c r="I21" s="134">
        <v>9.1300000000000008</v>
      </c>
      <c r="J21" s="134">
        <v>0.22</v>
      </c>
      <c r="K21" s="134">
        <v>178.14</v>
      </c>
      <c r="L21" s="134">
        <v>18.920000000000002</v>
      </c>
      <c r="M21" s="134">
        <v>89.02</v>
      </c>
      <c r="N21" s="134">
        <v>0</v>
      </c>
      <c r="O21" s="134">
        <v>0</v>
      </c>
      <c r="P21" s="134">
        <v>0.92</v>
      </c>
      <c r="Q21" s="134">
        <v>4.67</v>
      </c>
    </row>
    <row r="22" spans="1:17" customFormat="1">
      <c r="A22" s="112" t="s">
        <v>1020</v>
      </c>
      <c r="B22" s="134">
        <v>12.21</v>
      </c>
      <c r="C22" s="134">
        <v>24.36</v>
      </c>
      <c r="D22" s="134">
        <v>23.87</v>
      </c>
      <c r="E22" s="134">
        <v>4.91</v>
      </c>
      <c r="F22" s="134">
        <v>2.62</v>
      </c>
      <c r="G22" s="134">
        <v>75.67</v>
      </c>
      <c r="H22" s="134">
        <v>34.880000000000003</v>
      </c>
      <c r="I22" s="134">
        <v>9.09</v>
      </c>
      <c r="J22" s="134">
        <v>0.11</v>
      </c>
      <c r="K22" s="134">
        <v>189.45</v>
      </c>
      <c r="L22" s="134">
        <v>18.61</v>
      </c>
      <c r="M22" s="134">
        <v>88.98</v>
      </c>
      <c r="N22" s="134">
        <v>0</v>
      </c>
      <c r="O22" s="134">
        <v>0</v>
      </c>
      <c r="P22" s="134">
        <v>0.92</v>
      </c>
      <c r="Q22" s="134">
        <v>4.6399999999999997</v>
      </c>
    </row>
    <row r="23" spans="1:17" customFormat="1">
      <c r="A23" s="112" t="s">
        <v>1021</v>
      </c>
      <c r="B23" s="134">
        <v>12.07</v>
      </c>
      <c r="C23" s="134">
        <v>23.91</v>
      </c>
      <c r="D23" s="134">
        <v>23.52</v>
      </c>
      <c r="E23" s="134">
        <v>4.8099999999999996</v>
      </c>
      <c r="F23" s="134">
        <v>2.6</v>
      </c>
      <c r="G23" s="134">
        <v>75.010000000000005</v>
      </c>
      <c r="H23" s="134">
        <v>34.76</v>
      </c>
      <c r="I23" s="134">
        <v>9.01</v>
      </c>
      <c r="J23" s="134">
        <v>0.11</v>
      </c>
      <c r="K23" s="134">
        <v>141.32</v>
      </c>
      <c r="L23" s="134">
        <v>18.420000000000002</v>
      </c>
      <c r="M23" s="134">
        <v>87.79</v>
      </c>
      <c r="N23" s="134">
        <v>0</v>
      </c>
      <c r="O23" s="134">
        <v>0</v>
      </c>
      <c r="P23" s="134">
        <v>0.92</v>
      </c>
      <c r="Q23" s="134">
        <v>4.6500000000000004</v>
      </c>
    </row>
    <row r="24" spans="1:17" customFormat="1">
      <c r="A24" s="112" t="s">
        <v>1022</v>
      </c>
      <c r="B24" s="134">
        <v>11.88</v>
      </c>
      <c r="C24" s="134">
        <v>23.85</v>
      </c>
      <c r="D24" s="134">
        <v>23.34</v>
      </c>
      <c r="E24" s="134">
        <v>5.0599999999999996</v>
      </c>
      <c r="F24" s="134">
        <v>2.5499999999999998</v>
      </c>
      <c r="G24" s="134">
        <v>60.78</v>
      </c>
      <c r="H24" s="134">
        <v>32.99</v>
      </c>
      <c r="I24" s="134">
        <v>9</v>
      </c>
      <c r="J24" s="134">
        <v>0.09</v>
      </c>
      <c r="K24" s="134">
        <v>201.83</v>
      </c>
      <c r="L24" s="134">
        <v>18.29</v>
      </c>
      <c r="M24" s="134">
        <v>89.21</v>
      </c>
      <c r="N24" s="134">
        <v>0</v>
      </c>
      <c r="O24" s="134">
        <v>0</v>
      </c>
      <c r="P24" s="134">
        <v>0.91</v>
      </c>
      <c r="Q24" s="134">
        <v>4.63</v>
      </c>
    </row>
    <row r="25" spans="1:17" customFormat="1">
      <c r="A25" s="112" t="s">
        <v>1023</v>
      </c>
      <c r="B25" s="134">
        <v>11.83</v>
      </c>
      <c r="C25" s="134">
        <v>24.06</v>
      </c>
      <c r="D25" s="134">
        <v>23.41</v>
      </c>
      <c r="E25" s="134">
        <v>4.79</v>
      </c>
      <c r="F25" s="134">
        <v>2.54</v>
      </c>
      <c r="G25" s="134">
        <v>60.78</v>
      </c>
      <c r="H25" s="134">
        <v>32.99</v>
      </c>
      <c r="I25" s="134">
        <v>8.9600000000000009</v>
      </c>
      <c r="J25" s="134">
        <v>0.13</v>
      </c>
      <c r="K25" s="134">
        <v>115.73</v>
      </c>
      <c r="L25" s="134">
        <v>18.22</v>
      </c>
      <c r="M25" s="134">
        <v>89.23</v>
      </c>
      <c r="N25" s="134">
        <v>0</v>
      </c>
      <c r="O25" s="134">
        <v>0</v>
      </c>
      <c r="P25" s="134">
        <v>0.91</v>
      </c>
      <c r="Q25" s="134">
        <v>4.63</v>
      </c>
    </row>
    <row r="26" spans="1:17" customFormat="1">
      <c r="A26" s="112" t="s">
        <v>1024</v>
      </c>
      <c r="B26" s="134">
        <v>12.55</v>
      </c>
      <c r="C26" s="134">
        <v>24.18</v>
      </c>
      <c r="D26" s="134">
        <v>24.05</v>
      </c>
      <c r="E26" s="134">
        <v>4.7300000000000004</v>
      </c>
      <c r="F26" s="134">
        <v>2.68</v>
      </c>
      <c r="G26" s="134">
        <v>60.78</v>
      </c>
      <c r="H26" s="134">
        <v>32.99</v>
      </c>
      <c r="I26" s="134">
        <v>8.93</v>
      </c>
      <c r="J26" s="134">
        <v>0.13</v>
      </c>
      <c r="K26" s="134">
        <v>135.49</v>
      </c>
      <c r="L26" s="134">
        <v>18.239999999999998</v>
      </c>
      <c r="M26" s="134">
        <v>87.79</v>
      </c>
      <c r="N26" s="134">
        <v>0</v>
      </c>
      <c r="O26" s="134">
        <v>0</v>
      </c>
      <c r="P26" s="134">
        <v>0.91</v>
      </c>
      <c r="Q26" s="134">
        <v>4.67</v>
      </c>
    </row>
    <row r="27" spans="1:17" customFormat="1">
      <c r="A27" s="112" t="s">
        <v>1025</v>
      </c>
      <c r="B27" s="134">
        <v>14.57</v>
      </c>
      <c r="C27" s="134">
        <v>24.21</v>
      </c>
      <c r="D27" s="134">
        <v>25.69</v>
      </c>
      <c r="E27" s="134">
        <v>5.56</v>
      </c>
      <c r="F27" s="134">
        <v>2.72</v>
      </c>
      <c r="G27" s="134">
        <v>61.69</v>
      </c>
      <c r="H27" s="134">
        <v>32.979999999999997</v>
      </c>
      <c r="I27" s="134">
        <v>8.92</v>
      </c>
      <c r="J27" s="134">
        <v>0.09</v>
      </c>
      <c r="K27" s="134">
        <v>161.80000000000001</v>
      </c>
      <c r="L27" s="134">
        <v>18.18</v>
      </c>
      <c r="M27" s="134">
        <v>88.77</v>
      </c>
      <c r="N27" s="134">
        <v>0</v>
      </c>
      <c r="O27" s="134">
        <v>0</v>
      </c>
      <c r="P27" s="134">
        <v>0.89</v>
      </c>
      <c r="Q27" s="134">
        <v>4.76</v>
      </c>
    </row>
    <row r="28" spans="1:17" customFormat="1">
      <c r="A28" s="112" t="s">
        <v>1026</v>
      </c>
      <c r="B28" s="134">
        <v>16.399999999999999</v>
      </c>
      <c r="C28" s="134">
        <v>25.6</v>
      </c>
      <c r="D28" s="134">
        <v>27.87</v>
      </c>
      <c r="E28" s="134">
        <v>5.29</v>
      </c>
      <c r="F28" s="134">
        <v>2.52</v>
      </c>
      <c r="G28" s="134">
        <v>81.290000000000006</v>
      </c>
      <c r="H28" s="134">
        <v>32.78</v>
      </c>
      <c r="I28" s="134">
        <v>8.84</v>
      </c>
      <c r="J28" s="134">
        <v>0.11</v>
      </c>
      <c r="K28" s="134">
        <v>198.78</v>
      </c>
      <c r="L28" s="134">
        <v>18.36</v>
      </c>
      <c r="M28" s="134">
        <v>87.74</v>
      </c>
      <c r="N28" s="134">
        <v>0</v>
      </c>
      <c r="O28" s="134">
        <v>0</v>
      </c>
      <c r="P28" s="134">
        <v>0.9</v>
      </c>
      <c r="Q28" s="134">
        <v>4.83</v>
      </c>
    </row>
    <row r="29" spans="1:17" customFormat="1">
      <c r="A29" s="112" t="s">
        <v>1027</v>
      </c>
      <c r="B29" s="134">
        <v>17.489999999999998</v>
      </c>
      <c r="C29" s="134">
        <v>25.39</v>
      </c>
      <c r="D29" s="134">
        <v>28.64</v>
      </c>
      <c r="E29" s="134">
        <v>5.37</v>
      </c>
      <c r="F29" s="134">
        <v>2.59</v>
      </c>
      <c r="G29" s="134">
        <v>81.290000000000006</v>
      </c>
      <c r="H29" s="134">
        <v>32.78</v>
      </c>
      <c r="I29" s="134">
        <v>8.7799999999999994</v>
      </c>
      <c r="J29" s="134">
        <v>0.13</v>
      </c>
      <c r="K29" s="134">
        <v>213</v>
      </c>
      <c r="L29" s="134">
        <v>18.37</v>
      </c>
      <c r="M29" s="134">
        <v>91.28</v>
      </c>
      <c r="N29" s="134">
        <v>0</v>
      </c>
      <c r="O29" s="134">
        <v>0</v>
      </c>
      <c r="P29" s="134">
        <v>0.89</v>
      </c>
      <c r="Q29" s="134">
        <v>4.88</v>
      </c>
    </row>
    <row r="30" spans="1:17" customFormat="1">
      <c r="A30" s="112" t="s">
        <v>1028</v>
      </c>
      <c r="B30" s="134">
        <v>17.45</v>
      </c>
      <c r="C30" s="134">
        <v>25.5</v>
      </c>
      <c r="D30" s="134">
        <v>28.67</v>
      </c>
      <c r="E30" s="134">
        <v>5.46</v>
      </c>
      <c r="F30" s="134">
        <v>2.5299999999999998</v>
      </c>
      <c r="G30" s="134">
        <v>81.290000000000006</v>
      </c>
      <c r="H30" s="134">
        <v>32.78</v>
      </c>
      <c r="I30" s="134">
        <v>8.7799999999999994</v>
      </c>
      <c r="J30" s="134">
        <v>0.13</v>
      </c>
      <c r="K30" s="134">
        <v>198.2</v>
      </c>
      <c r="L30" s="134">
        <v>18.059999999999999</v>
      </c>
      <c r="M30" s="134">
        <v>91.68</v>
      </c>
      <c r="N30" s="134">
        <v>0</v>
      </c>
      <c r="O30" s="134">
        <v>0</v>
      </c>
      <c r="P30" s="134">
        <v>0.89</v>
      </c>
      <c r="Q30" s="134">
        <v>4.8899999999999997</v>
      </c>
    </row>
    <row r="31" spans="1:17" customFormat="1">
      <c r="A31" s="112" t="s">
        <v>1029</v>
      </c>
      <c r="B31" s="134">
        <v>17.04</v>
      </c>
      <c r="C31" s="134">
        <v>25.19</v>
      </c>
      <c r="D31" s="134">
        <v>28.17</v>
      </c>
      <c r="E31" s="134">
        <v>5.4</v>
      </c>
      <c r="F31" s="134">
        <v>2.64</v>
      </c>
      <c r="G31" s="134">
        <v>80.37</v>
      </c>
      <c r="H31" s="134">
        <v>32.72</v>
      </c>
      <c r="I31" s="134">
        <v>8.6999999999999993</v>
      </c>
      <c r="J31" s="134">
        <v>0.12</v>
      </c>
      <c r="K31" s="134">
        <v>147.04</v>
      </c>
      <c r="L31" s="134">
        <v>18.11</v>
      </c>
      <c r="M31" s="134">
        <v>89.34</v>
      </c>
      <c r="N31" s="134">
        <v>0</v>
      </c>
      <c r="O31" s="134">
        <v>0</v>
      </c>
      <c r="P31" s="134">
        <v>0.88</v>
      </c>
      <c r="Q31" s="134">
        <v>4.88</v>
      </c>
    </row>
    <row r="32" spans="1:17" customFormat="1">
      <c r="A32" s="112" t="s">
        <v>1030</v>
      </c>
      <c r="B32" s="134">
        <v>16.649999999999999</v>
      </c>
      <c r="C32" s="134">
        <v>24.84</v>
      </c>
      <c r="D32" s="134">
        <v>27.68</v>
      </c>
      <c r="E32" s="134">
        <v>5.66</v>
      </c>
      <c r="F32" s="134">
        <v>2.67</v>
      </c>
      <c r="G32" s="134">
        <v>60.65</v>
      </c>
      <c r="H32" s="134">
        <v>31.75</v>
      </c>
      <c r="I32" s="134">
        <v>8.67</v>
      </c>
      <c r="J32" s="134">
        <v>0.1</v>
      </c>
      <c r="K32" s="134">
        <v>240.31</v>
      </c>
      <c r="L32" s="134">
        <v>18.16</v>
      </c>
      <c r="M32" s="134">
        <v>89.13</v>
      </c>
      <c r="N32" s="134">
        <v>0</v>
      </c>
      <c r="O32" s="134">
        <v>0</v>
      </c>
      <c r="P32" s="134">
        <v>0.88</v>
      </c>
      <c r="Q32" s="134">
        <v>4.87</v>
      </c>
    </row>
    <row r="33" spans="1:17" customFormat="1">
      <c r="A33" s="112" t="s">
        <v>1031</v>
      </c>
      <c r="B33" s="134">
        <v>16.37</v>
      </c>
      <c r="C33" s="134">
        <v>24.79</v>
      </c>
      <c r="D33" s="134">
        <v>27.43</v>
      </c>
      <c r="E33" s="134">
        <v>5.5</v>
      </c>
      <c r="F33" s="134">
        <v>2.44</v>
      </c>
      <c r="G33" s="134">
        <v>60.65</v>
      </c>
      <c r="H33" s="134">
        <v>31.75</v>
      </c>
      <c r="I33" s="134">
        <v>8.6199999999999992</v>
      </c>
      <c r="J33" s="134">
        <v>7.0000000000000007E-2</v>
      </c>
      <c r="K33" s="134">
        <v>172.44</v>
      </c>
      <c r="L33" s="134">
        <v>18.25</v>
      </c>
      <c r="M33" s="134">
        <v>90.87</v>
      </c>
      <c r="N33" s="134">
        <v>0.8</v>
      </c>
      <c r="O33" s="134">
        <v>0</v>
      </c>
      <c r="P33" s="134">
        <v>0.87</v>
      </c>
      <c r="Q33" s="134">
        <v>4.8600000000000003</v>
      </c>
    </row>
    <row r="34" spans="1:17" customFormat="1">
      <c r="A34" s="112" t="s">
        <v>1032</v>
      </c>
      <c r="B34" s="134">
        <v>16.100000000000001</v>
      </c>
      <c r="C34" s="134">
        <v>24.61</v>
      </c>
      <c r="D34" s="134">
        <v>27.12</v>
      </c>
      <c r="E34" s="134">
        <v>5.5</v>
      </c>
      <c r="F34" s="134">
        <v>2.52</v>
      </c>
      <c r="G34" s="134">
        <v>60.65</v>
      </c>
      <c r="H34" s="134">
        <v>31.75</v>
      </c>
      <c r="I34" s="134">
        <v>8.58</v>
      </c>
      <c r="J34" s="134">
        <v>0.1</v>
      </c>
      <c r="K34" s="134">
        <v>137.94</v>
      </c>
      <c r="L34" s="134">
        <v>18.559999999999999</v>
      </c>
      <c r="M34" s="134">
        <v>89.57</v>
      </c>
      <c r="N34" s="134">
        <v>8.6999999999999993</v>
      </c>
      <c r="O34" s="134">
        <v>0</v>
      </c>
      <c r="P34" s="134">
        <v>0.88</v>
      </c>
      <c r="Q34" s="134">
        <v>4.8499999999999996</v>
      </c>
    </row>
    <row r="35" spans="1:17" customFormat="1">
      <c r="A35" s="112" t="s">
        <v>1033</v>
      </c>
      <c r="B35" s="134">
        <v>16.32</v>
      </c>
      <c r="C35" s="134">
        <v>24.4</v>
      </c>
      <c r="D35" s="134">
        <v>27.19</v>
      </c>
      <c r="E35" s="134">
        <v>5.35</v>
      </c>
      <c r="F35" s="134">
        <v>2.5499999999999998</v>
      </c>
      <c r="G35" s="134">
        <v>60.77</v>
      </c>
      <c r="H35" s="134">
        <v>31.59</v>
      </c>
      <c r="I35" s="134">
        <v>8.5399999999999991</v>
      </c>
      <c r="J35" s="134">
        <v>0.18</v>
      </c>
      <c r="K35" s="134">
        <v>52.66</v>
      </c>
      <c r="L35" s="134">
        <v>18.84</v>
      </c>
      <c r="M35" s="134">
        <v>86.06</v>
      </c>
      <c r="N35" s="134">
        <v>24.7</v>
      </c>
      <c r="O35" s="134">
        <v>0</v>
      </c>
      <c r="P35" s="134">
        <v>0.87</v>
      </c>
      <c r="Q35" s="134">
        <v>4.84</v>
      </c>
    </row>
    <row r="36" spans="1:17" customFormat="1">
      <c r="A36" s="112" t="s">
        <v>1034</v>
      </c>
      <c r="B36" s="134">
        <v>18.14</v>
      </c>
      <c r="C36" s="134">
        <v>24.97</v>
      </c>
      <c r="D36" s="134">
        <v>28.94</v>
      </c>
      <c r="E36" s="134">
        <v>5.67</v>
      </c>
      <c r="F36" s="134">
        <v>2.4300000000000002</v>
      </c>
      <c r="G36" s="134">
        <v>63.49</v>
      </c>
      <c r="H36" s="134">
        <v>29.11</v>
      </c>
      <c r="I36" s="134">
        <v>8.56</v>
      </c>
      <c r="J36" s="134">
        <v>0.1</v>
      </c>
      <c r="K36" s="134">
        <v>98.33</v>
      </c>
      <c r="L36" s="134">
        <v>19.36</v>
      </c>
      <c r="M36" s="134">
        <v>83.88</v>
      </c>
      <c r="N36" s="134">
        <v>28.3</v>
      </c>
      <c r="O36" s="134">
        <v>0</v>
      </c>
      <c r="P36" s="134">
        <v>0.89</v>
      </c>
      <c r="Q36" s="134">
        <v>4.8899999999999997</v>
      </c>
    </row>
    <row r="37" spans="1:17" customFormat="1">
      <c r="A37" s="112" t="s">
        <v>1035</v>
      </c>
      <c r="B37" s="134">
        <v>20.69</v>
      </c>
      <c r="C37" s="134">
        <v>25.31</v>
      </c>
      <c r="D37" s="134">
        <v>31.16</v>
      </c>
      <c r="E37" s="134">
        <v>5.43</v>
      </c>
      <c r="F37" s="134">
        <v>2.57</v>
      </c>
      <c r="G37" s="134">
        <v>63.49</v>
      </c>
      <c r="H37" s="134">
        <v>29.11</v>
      </c>
      <c r="I37" s="134">
        <v>8.5399999999999991</v>
      </c>
      <c r="J37" s="134">
        <v>0.09</v>
      </c>
      <c r="K37" s="134">
        <v>107.6</v>
      </c>
      <c r="L37" s="134">
        <v>19.68</v>
      </c>
      <c r="M37" s="134">
        <v>84.15</v>
      </c>
      <c r="N37" s="134">
        <v>39</v>
      </c>
      <c r="O37" s="134">
        <v>0</v>
      </c>
      <c r="P37" s="134">
        <v>0.91</v>
      </c>
      <c r="Q37" s="134">
        <v>4.9800000000000004</v>
      </c>
    </row>
    <row r="38" spans="1:17" customFormat="1">
      <c r="A38" s="112" t="s">
        <v>1036</v>
      </c>
      <c r="B38" s="134">
        <v>22.58</v>
      </c>
      <c r="C38" s="134">
        <v>25.89</v>
      </c>
      <c r="D38" s="134">
        <v>32.979999999999997</v>
      </c>
      <c r="E38" s="134">
        <v>5.88</v>
      </c>
      <c r="F38" s="134">
        <v>2.71</v>
      </c>
      <c r="G38" s="134">
        <v>63.49</v>
      </c>
      <c r="H38" s="134">
        <v>29.11</v>
      </c>
      <c r="I38" s="134">
        <v>8.66</v>
      </c>
      <c r="J38" s="134">
        <v>7.0000000000000007E-2</v>
      </c>
      <c r="K38" s="134">
        <v>116.46</v>
      </c>
      <c r="L38" s="134">
        <v>20.420000000000002</v>
      </c>
      <c r="M38" s="134">
        <v>79.959999999999994</v>
      </c>
      <c r="N38" s="134">
        <v>56.6</v>
      </c>
      <c r="O38" s="134">
        <v>0</v>
      </c>
      <c r="P38" s="134">
        <v>0.94</v>
      </c>
      <c r="Q38" s="134">
        <v>5.07</v>
      </c>
    </row>
    <row r="39" spans="1:17" customFormat="1">
      <c r="A39" s="112" t="s">
        <v>1037</v>
      </c>
      <c r="B39" s="134">
        <v>23.52</v>
      </c>
      <c r="C39" s="134">
        <v>26.69</v>
      </c>
      <c r="D39" s="134">
        <v>34.159999999999997</v>
      </c>
      <c r="E39" s="134">
        <v>6.02</v>
      </c>
      <c r="F39" s="134">
        <v>2.64</v>
      </c>
      <c r="G39" s="134">
        <v>65.010000000000005</v>
      </c>
      <c r="H39" s="134">
        <v>29.37</v>
      </c>
      <c r="I39" s="134">
        <v>8.77</v>
      </c>
      <c r="J39" s="134">
        <v>0.13</v>
      </c>
      <c r="K39" s="134">
        <v>73.56</v>
      </c>
      <c r="L39" s="134">
        <v>21.1</v>
      </c>
      <c r="M39" s="134">
        <v>76.83</v>
      </c>
      <c r="N39" s="134">
        <v>111.7</v>
      </c>
      <c r="O39" s="134">
        <v>0</v>
      </c>
      <c r="P39" s="134">
        <v>0.97</v>
      </c>
      <c r="Q39" s="134">
        <v>5.15</v>
      </c>
    </row>
    <row r="40" spans="1:17" customFormat="1">
      <c r="A40" s="112" t="s">
        <v>1038</v>
      </c>
      <c r="B40" s="134">
        <v>23.61</v>
      </c>
      <c r="C40" s="134">
        <v>27.58</v>
      </c>
      <c r="D40" s="134">
        <v>34.700000000000003</v>
      </c>
      <c r="E40" s="134">
        <v>6.17</v>
      </c>
      <c r="F40" s="134">
        <v>2.75</v>
      </c>
      <c r="G40" s="134">
        <v>97.83</v>
      </c>
      <c r="H40" s="134">
        <v>33.43</v>
      </c>
      <c r="I40" s="134">
        <v>8.93</v>
      </c>
      <c r="J40" s="134">
        <v>0.28000000000000003</v>
      </c>
      <c r="K40" s="134">
        <v>150.26</v>
      </c>
      <c r="L40" s="134">
        <v>22.38</v>
      </c>
      <c r="M40" s="134">
        <v>69.739999999999995</v>
      </c>
      <c r="N40" s="134">
        <v>173.9</v>
      </c>
      <c r="O40" s="134">
        <v>0</v>
      </c>
      <c r="P40" s="134">
        <v>0.99</v>
      </c>
      <c r="Q40" s="134">
        <v>5.17</v>
      </c>
    </row>
    <row r="41" spans="1:17" customFormat="1">
      <c r="A41" s="112" t="s">
        <v>1039</v>
      </c>
      <c r="B41" s="134">
        <v>23.09</v>
      </c>
      <c r="C41" s="134">
        <v>28.48</v>
      </c>
      <c r="D41" s="134">
        <v>34.74</v>
      </c>
      <c r="E41" s="134">
        <v>6.21</v>
      </c>
      <c r="F41" s="134">
        <v>2.86</v>
      </c>
      <c r="G41" s="134">
        <v>97.83</v>
      </c>
      <c r="H41" s="134">
        <v>33.43</v>
      </c>
      <c r="I41" s="134">
        <v>9.24</v>
      </c>
      <c r="J41" s="134">
        <v>0.21</v>
      </c>
      <c r="K41" s="134">
        <v>172.25</v>
      </c>
      <c r="L41" s="134">
        <v>23.69</v>
      </c>
      <c r="M41" s="134">
        <v>65.569999999999993</v>
      </c>
      <c r="N41" s="134">
        <v>212.5</v>
      </c>
      <c r="O41" s="134">
        <v>0</v>
      </c>
      <c r="P41" s="134">
        <v>1.02</v>
      </c>
      <c r="Q41" s="134">
        <v>5.18</v>
      </c>
    </row>
    <row r="42" spans="1:17" customFormat="1">
      <c r="A42" s="112" t="s">
        <v>1040</v>
      </c>
      <c r="B42" s="134">
        <v>21.99</v>
      </c>
      <c r="C42" s="134">
        <v>29.53</v>
      </c>
      <c r="D42" s="134">
        <v>34.409999999999997</v>
      </c>
      <c r="E42" s="134">
        <v>5.9</v>
      </c>
      <c r="F42" s="134">
        <v>2.87</v>
      </c>
      <c r="G42" s="134">
        <v>97.83</v>
      </c>
      <c r="H42" s="134">
        <v>33.43</v>
      </c>
      <c r="I42" s="134">
        <v>9.61</v>
      </c>
      <c r="J42" s="134">
        <v>0.12</v>
      </c>
      <c r="K42" s="134">
        <v>144.55000000000001</v>
      </c>
      <c r="L42" s="134">
        <v>24.38</v>
      </c>
      <c r="M42" s="134">
        <v>63.58</v>
      </c>
      <c r="N42" s="134">
        <v>249.7</v>
      </c>
      <c r="O42" s="134">
        <v>0</v>
      </c>
      <c r="P42" s="134">
        <v>1.05</v>
      </c>
      <c r="Q42" s="134">
        <v>5.15</v>
      </c>
    </row>
    <row r="43" spans="1:17" customFormat="1">
      <c r="A43" s="112" t="s">
        <v>1041</v>
      </c>
      <c r="B43" s="134">
        <v>20.73</v>
      </c>
      <c r="C43" s="134">
        <v>30.29</v>
      </c>
      <c r="D43" s="134">
        <v>33.799999999999997</v>
      </c>
      <c r="E43" s="134">
        <v>6.61</v>
      </c>
      <c r="F43" s="134">
        <v>2.69</v>
      </c>
      <c r="G43" s="134">
        <v>100.04</v>
      </c>
      <c r="H43" s="134">
        <v>34.31</v>
      </c>
      <c r="I43" s="134">
        <v>9.98</v>
      </c>
      <c r="J43" s="134">
        <v>0.15</v>
      </c>
      <c r="K43" s="134">
        <v>104.93</v>
      </c>
      <c r="L43" s="134">
        <v>25.41</v>
      </c>
      <c r="M43" s="134">
        <v>60.31</v>
      </c>
      <c r="N43" s="134">
        <v>289</v>
      </c>
      <c r="O43" s="134">
        <v>0</v>
      </c>
      <c r="P43" s="134">
        <v>1.0900000000000001</v>
      </c>
      <c r="Q43" s="134">
        <v>5.1100000000000003</v>
      </c>
    </row>
    <row r="44" spans="1:17" customFormat="1">
      <c r="A44" s="112" t="s">
        <v>1042</v>
      </c>
      <c r="B44" s="134">
        <v>19.420000000000002</v>
      </c>
      <c r="C44" s="134">
        <v>31.34</v>
      </c>
      <c r="D44" s="134">
        <v>33.299999999999997</v>
      </c>
      <c r="E44" s="134">
        <v>6.47</v>
      </c>
      <c r="F44" s="134">
        <v>2.77</v>
      </c>
      <c r="G44" s="134">
        <v>147.44999999999999</v>
      </c>
      <c r="H44" s="134">
        <v>48.27</v>
      </c>
      <c r="I44" s="134">
        <v>10.3</v>
      </c>
      <c r="J44" s="134">
        <v>0.16</v>
      </c>
      <c r="K44" s="134">
        <v>151.86000000000001</v>
      </c>
      <c r="L44" s="134">
        <v>26.26</v>
      </c>
      <c r="M44" s="134">
        <v>55.12</v>
      </c>
      <c r="N44" s="134">
        <v>341.9</v>
      </c>
      <c r="O44" s="134">
        <v>0</v>
      </c>
      <c r="P44" s="134">
        <v>1.1200000000000001</v>
      </c>
      <c r="Q44" s="134">
        <v>5.08</v>
      </c>
    </row>
    <row r="45" spans="1:17" customFormat="1">
      <c r="A45" s="112" t="s">
        <v>1043</v>
      </c>
      <c r="B45" s="134">
        <v>17.670000000000002</v>
      </c>
      <c r="C45" s="134">
        <v>31.56</v>
      </c>
      <c r="D45" s="134">
        <v>32.01</v>
      </c>
      <c r="E45" s="134">
        <v>6.17</v>
      </c>
      <c r="F45" s="134">
        <v>2.92</v>
      </c>
      <c r="G45" s="134">
        <v>147.44999999999999</v>
      </c>
      <c r="H45" s="134">
        <v>48.27</v>
      </c>
      <c r="I45" s="134">
        <v>10.54</v>
      </c>
      <c r="J45" s="134">
        <v>0.22</v>
      </c>
      <c r="K45" s="134">
        <v>217.44</v>
      </c>
      <c r="L45" s="134">
        <v>26.47</v>
      </c>
      <c r="M45" s="134">
        <v>50.62</v>
      </c>
      <c r="N45" s="134">
        <v>322.89999999999998</v>
      </c>
      <c r="O45" s="134">
        <v>0</v>
      </c>
      <c r="P45" s="134">
        <v>1.1399999999999999</v>
      </c>
      <c r="Q45" s="134">
        <v>5.01</v>
      </c>
    </row>
    <row r="46" spans="1:17" customFormat="1">
      <c r="A46" s="112" t="s">
        <v>1044</v>
      </c>
      <c r="B46" s="134">
        <v>15.64</v>
      </c>
      <c r="C46" s="134">
        <v>31.78</v>
      </c>
      <c r="D46" s="134">
        <v>30.49</v>
      </c>
      <c r="E46" s="134">
        <v>6.45</v>
      </c>
      <c r="F46" s="134">
        <v>3.01</v>
      </c>
      <c r="G46" s="134">
        <v>147.44999999999999</v>
      </c>
      <c r="H46" s="134">
        <v>48.27</v>
      </c>
      <c r="I46" s="134">
        <v>10.74</v>
      </c>
      <c r="J46" s="134">
        <v>0.2</v>
      </c>
      <c r="K46" s="134">
        <v>185.53</v>
      </c>
      <c r="L46" s="134">
        <v>27.56</v>
      </c>
      <c r="M46" s="134">
        <v>47.52</v>
      </c>
      <c r="N46" s="134">
        <v>260</v>
      </c>
      <c r="O46" s="134">
        <v>0</v>
      </c>
      <c r="P46" s="134">
        <v>1.1399999999999999</v>
      </c>
      <c r="Q46" s="134">
        <v>4.92</v>
      </c>
    </row>
    <row r="47" spans="1:17" customFormat="1">
      <c r="A47" s="112" t="s">
        <v>1045</v>
      </c>
      <c r="B47" s="134">
        <v>13.61</v>
      </c>
      <c r="C47" s="134">
        <v>31.93</v>
      </c>
      <c r="D47" s="134">
        <v>28.95</v>
      </c>
      <c r="E47" s="134">
        <v>6.63</v>
      </c>
      <c r="F47" s="134">
        <v>3.3</v>
      </c>
      <c r="G47" s="134">
        <v>146.59</v>
      </c>
      <c r="H47" s="134">
        <v>48.2</v>
      </c>
      <c r="I47" s="134">
        <v>10.8</v>
      </c>
      <c r="J47" s="134">
        <v>0.23</v>
      </c>
      <c r="K47" s="134">
        <v>260.99</v>
      </c>
      <c r="L47" s="134">
        <v>27.71</v>
      </c>
      <c r="M47" s="134">
        <v>46.67</v>
      </c>
      <c r="N47" s="134">
        <v>441.7</v>
      </c>
      <c r="O47" s="134">
        <v>0</v>
      </c>
      <c r="P47" s="134">
        <v>1.1499999999999999</v>
      </c>
      <c r="Q47" s="134">
        <v>4.83</v>
      </c>
    </row>
    <row r="48" spans="1:17" customFormat="1">
      <c r="A48" s="112" t="s">
        <v>1046</v>
      </c>
      <c r="B48" s="134">
        <v>11.85</v>
      </c>
      <c r="C48" s="134">
        <v>31.47</v>
      </c>
      <c r="D48" s="134">
        <v>27.29</v>
      </c>
      <c r="E48" s="134">
        <v>6.41</v>
      </c>
      <c r="F48" s="134">
        <v>3.26</v>
      </c>
      <c r="G48" s="134">
        <v>128.13999999999999</v>
      </c>
      <c r="H48" s="134">
        <v>47.09</v>
      </c>
      <c r="I48" s="134">
        <v>10.73</v>
      </c>
      <c r="J48" s="134">
        <v>0.19</v>
      </c>
      <c r="K48" s="134">
        <v>181.49</v>
      </c>
      <c r="L48" s="134">
        <v>28.43</v>
      </c>
      <c r="M48" s="134">
        <v>45.66</v>
      </c>
      <c r="N48" s="134">
        <v>483.9</v>
      </c>
      <c r="O48" s="134">
        <v>0</v>
      </c>
      <c r="P48" s="134">
        <v>1.1399999999999999</v>
      </c>
      <c r="Q48" s="134">
        <v>4.72</v>
      </c>
    </row>
    <row r="49" spans="1:17" customFormat="1">
      <c r="A49" s="112" t="s">
        <v>1047</v>
      </c>
      <c r="B49" s="134">
        <v>10.1</v>
      </c>
      <c r="C49" s="134">
        <v>30.94</v>
      </c>
      <c r="D49" s="134">
        <v>25.62</v>
      </c>
      <c r="E49" s="134">
        <v>5.69</v>
      </c>
      <c r="F49" s="134">
        <v>3.67</v>
      </c>
      <c r="G49" s="134">
        <v>128.13999999999999</v>
      </c>
      <c r="H49" s="134">
        <v>47.09</v>
      </c>
      <c r="I49" s="134">
        <v>10.61</v>
      </c>
      <c r="J49" s="134">
        <v>0.1</v>
      </c>
      <c r="K49" s="134">
        <v>194.87</v>
      </c>
      <c r="L49" s="134">
        <v>28.87</v>
      </c>
      <c r="M49" s="134">
        <v>45.26</v>
      </c>
      <c r="N49" s="134">
        <v>502.9</v>
      </c>
      <c r="O49" s="134">
        <v>0</v>
      </c>
      <c r="P49" s="134">
        <v>1.1399999999999999</v>
      </c>
      <c r="Q49" s="134">
        <v>4.66</v>
      </c>
    </row>
    <row r="50" spans="1:17" customFormat="1">
      <c r="A50" s="112" t="s">
        <v>1048</v>
      </c>
      <c r="B50" s="134">
        <v>8.48</v>
      </c>
      <c r="C50" s="134">
        <v>30.44</v>
      </c>
      <c r="D50" s="134">
        <v>24.06</v>
      </c>
      <c r="E50" s="134">
        <v>6.17</v>
      </c>
      <c r="F50" s="134">
        <v>3.76</v>
      </c>
      <c r="G50" s="134">
        <v>128.13999999999999</v>
      </c>
      <c r="H50" s="134">
        <v>47.09</v>
      </c>
      <c r="I50" s="134">
        <v>10.49</v>
      </c>
      <c r="J50" s="134">
        <v>0.16</v>
      </c>
      <c r="K50" s="134">
        <v>167.6</v>
      </c>
      <c r="L50" s="134">
        <v>29.48</v>
      </c>
      <c r="M50" s="134">
        <v>44.52</v>
      </c>
      <c r="N50" s="134">
        <v>528.1</v>
      </c>
      <c r="O50" s="134">
        <v>0</v>
      </c>
      <c r="P50" s="134">
        <v>1.1299999999999999</v>
      </c>
      <c r="Q50" s="134">
        <v>4.59</v>
      </c>
    </row>
    <row r="51" spans="1:17" customFormat="1">
      <c r="A51" s="112" t="s">
        <v>1049</v>
      </c>
      <c r="B51" s="134">
        <v>7.01</v>
      </c>
      <c r="C51" s="134">
        <v>29.88</v>
      </c>
      <c r="D51" s="134">
        <v>22.59</v>
      </c>
      <c r="E51" s="134">
        <v>6.34</v>
      </c>
      <c r="F51" s="134">
        <v>3.79</v>
      </c>
      <c r="G51" s="134">
        <v>127.41</v>
      </c>
      <c r="H51" s="134">
        <v>47.13</v>
      </c>
      <c r="I51" s="134">
        <v>10.41</v>
      </c>
      <c r="J51" s="134">
        <v>0.2</v>
      </c>
      <c r="K51" s="134">
        <v>181.29</v>
      </c>
      <c r="L51" s="134">
        <v>29.99</v>
      </c>
      <c r="M51" s="134">
        <v>41.91</v>
      </c>
      <c r="N51" s="134">
        <v>553.1</v>
      </c>
      <c r="O51" s="134">
        <v>0</v>
      </c>
      <c r="P51" s="134">
        <v>1.1200000000000001</v>
      </c>
      <c r="Q51" s="134">
        <v>4.5199999999999996</v>
      </c>
    </row>
    <row r="52" spans="1:17" customFormat="1">
      <c r="A52" s="112" t="s">
        <v>1050</v>
      </c>
      <c r="B52" s="134">
        <v>5.86</v>
      </c>
      <c r="C52" s="134">
        <v>29.28</v>
      </c>
      <c r="D52" s="134">
        <v>21.35</v>
      </c>
      <c r="E52" s="134">
        <v>6.19</v>
      </c>
      <c r="F52" s="134">
        <v>3.99</v>
      </c>
      <c r="G52" s="134">
        <v>111.73</v>
      </c>
      <c r="H52" s="134">
        <v>47.77</v>
      </c>
      <c r="I52" s="134">
        <v>10.38</v>
      </c>
      <c r="J52" s="134">
        <v>0.27</v>
      </c>
      <c r="K52" s="134">
        <v>179.9</v>
      </c>
      <c r="L52" s="134">
        <v>30.47</v>
      </c>
      <c r="M52" s="134">
        <v>38.700000000000003</v>
      </c>
      <c r="N52" s="134">
        <v>545.1</v>
      </c>
      <c r="O52" s="134">
        <v>0</v>
      </c>
      <c r="P52" s="134">
        <v>1.1000000000000001</v>
      </c>
      <c r="Q52" s="134">
        <v>4.43</v>
      </c>
    </row>
    <row r="53" spans="1:17" customFormat="1">
      <c r="A53" s="112" t="s">
        <v>1051</v>
      </c>
      <c r="B53" s="134">
        <v>5.1100000000000003</v>
      </c>
      <c r="C53" s="134">
        <v>28.22</v>
      </c>
      <c r="D53" s="134">
        <v>20.190000000000001</v>
      </c>
      <c r="E53" s="134">
        <v>6.77</v>
      </c>
      <c r="F53" s="134">
        <v>5.23</v>
      </c>
      <c r="G53" s="134">
        <v>111.73</v>
      </c>
      <c r="H53" s="134">
        <v>47.77</v>
      </c>
      <c r="I53" s="134">
        <v>10.3</v>
      </c>
      <c r="J53" s="134">
        <v>0.05</v>
      </c>
      <c r="K53" s="134">
        <v>210.87</v>
      </c>
      <c r="L53" s="134">
        <v>30.76</v>
      </c>
      <c r="M53" s="134">
        <v>37.369999999999997</v>
      </c>
      <c r="N53" s="134">
        <v>598.70000000000005</v>
      </c>
      <c r="O53" s="134">
        <v>0</v>
      </c>
      <c r="P53" s="134">
        <v>1.08</v>
      </c>
      <c r="Q53" s="134">
        <v>4.3899999999999997</v>
      </c>
    </row>
    <row r="54" spans="1:17" customFormat="1">
      <c r="A54" s="112" t="s">
        <v>1052</v>
      </c>
      <c r="B54" s="134">
        <v>4.58</v>
      </c>
      <c r="C54" s="134">
        <v>27.17</v>
      </c>
      <c r="D54" s="134">
        <v>19.22</v>
      </c>
      <c r="E54" s="134">
        <v>6.73</v>
      </c>
      <c r="F54" s="134">
        <v>5.15</v>
      </c>
      <c r="G54" s="134">
        <v>111.73</v>
      </c>
      <c r="H54" s="134">
        <v>47.77</v>
      </c>
      <c r="I54" s="134">
        <v>10.16</v>
      </c>
      <c r="J54" s="134">
        <v>0.2</v>
      </c>
      <c r="K54" s="134">
        <v>162.4</v>
      </c>
      <c r="L54" s="134">
        <v>30.99</v>
      </c>
      <c r="M54" s="134">
        <v>35.53</v>
      </c>
      <c r="N54" s="134">
        <v>617.70000000000005</v>
      </c>
      <c r="O54" s="134">
        <v>0</v>
      </c>
      <c r="P54" s="134">
        <v>1.05</v>
      </c>
      <c r="Q54" s="134">
        <v>4.34</v>
      </c>
    </row>
    <row r="55" spans="1:17" customFormat="1">
      <c r="A55" s="112" t="s">
        <v>1053</v>
      </c>
      <c r="B55" s="134">
        <v>4.33</v>
      </c>
      <c r="C55" s="134">
        <v>26.3</v>
      </c>
      <c r="D55" s="134">
        <v>18.559999999999999</v>
      </c>
      <c r="E55" s="134">
        <v>6.32</v>
      </c>
      <c r="F55" s="134">
        <v>4.91</v>
      </c>
      <c r="G55" s="134">
        <v>110.28</v>
      </c>
      <c r="H55" s="134">
        <v>47.47</v>
      </c>
      <c r="I55" s="134">
        <v>9.8800000000000008</v>
      </c>
      <c r="J55" s="134">
        <v>0.26</v>
      </c>
      <c r="K55" s="134">
        <v>148.88999999999999</v>
      </c>
      <c r="L55" s="134">
        <v>31.6</v>
      </c>
      <c r="M55" s="134">
        <v>32.33</v>
      </c>
      <c r="N55" s="134">
        <v>630.1</v>
      </c>
      <c r="O55" s="134">
        <v>0</v>
      </c>
      <c r="P55" s="134">
        <v>1.03</v>
      </c>
      <c r="Q55" s="134">
        <v>4.33</v>
      </c>
    </row>
    <row r="56" spans="1:17" customFormat="1">
      <c r="A56" s="112" t="s">
        <v>1054</v>
      </c>
      <c r="B56" s="134">
        <v>4.09</v>
      </c>
      <c r="C56" s="134">
        <v>25.64</v>
      </c>
      <c r="D56" s="134">
        <v>18.03</v>
      </c>
      <c r="E56" s="134">
        <v>6.04</v>
      </c>
      <c r="F56" s="134">
        <v>4.91</v>
      </c>
      <c r="G56" s="134">
        <v>79.17</v>
      </c>
      <c r="H56" s="134">
        <v>42.72</v>
      </c>
      <c r="I56" s="134">
        <v>9.65</v>
      </c>
      <c r="J56" s="134">
        <v>0.38</v>
      </c>
      <c r="K56" s="134">
        <v>193.9</v>
      </c>
      <c r="L56" s="134">
        <v>31.85</v>
      </c>
      <c r="M56" s="134">
        <v>30.56</v>
      </c>
      <c r="N56" s="134">
        <v>612.29999999999995</v>
      </c>
      <c r="O56" s="134">
        <v>0</v>
      </c>
      <c r="P56" s="134">
        <v>1.01</v>
      </c>
      <c r="Q56" s="134">
        <v>4.3</v>
      </c>
    </row>
    <row r="57" spans="1:17" customFormat="1">
      <c r="A57" s="112" t="s">
        <v>1055</v>
      </c>
      <c r="B57" s="134">
        <v>4</v>
      </c>
      <c r="C57" s="134">
        <v>24.96</v>
      </c>
      <c r="D57" s="134">
        <v>17.600000000000001</v>
      </c>
      <c r="E57" s="134">
        <v>6.08</v>
      </c>
      <c r="F57" s="134">
        <v>4.58</v>
      </c>
      <c r="G57" s="134">
        <v>79.17</v>
      </c>
      <c r="H57" s="134">
        <v>42.72</v>
      </c>
      <c r="I57" s="134">
        <v>9.42</v>
      </c>
      <c r="J57" s="134">
        <v>0.17</v>
      </c>
      <c r="K57" s="134">
        <v>110.53</v>
      </c>
      <c r="L57" s="134">
        <v>31.55</v>
      </c>
      <c r="M57" s="134">
        <v>30.3</v>
      </c>
      <c r="N57" s="134">
        <v>592.5</v>
      </c>
      <c r="O57" s="134">
        <v>0</v>
      </c>
      <c r="P57" s="134">
        <v>0.98</v>
      </c>
      <c r="Q57" s="134">
        <v>4.28</v>
      </c>
    </row>
    <row r="58" spans="1:17" customFormat="1">
      <c r="A58" s="112" t="s">
        <v>1056</v>
      </c>
      <c r="B58" s="134">
        <v>4.08</v>
      </c>
      <c r="C58" s="134">
        <v>24.67</v>
      </c>
      <c r="D58" s="134">
        <v>17.52</v>
      </c>
      <c r="E58" s="134">
        <v>5.93</v>
      </c>
      <c r="F58" s="134">
        <v>4.0999999999999996</v>
      </c>
      <c r="G58" s="134">
        <v>79.17</v>
      </c>
      <c r="H58" s="134">
        <v>42.72</v>
      </c>
      <c r="I58" s="134">
        <v>9.19</v>
      </c>
      <c r="J58" s="134">
        <v>0.19</v>
      </c>
      <c r="K58" s="134">
        <v>180.06</v>
      </c>
      <c r="L58" s="134">
        <v>32.03</v>
      </c>
      <c r="M58" s="134">
        <v>31.59</v>
      </c>
      <c r="N58" s="134">
        <v>594.20000000000005</v>
      </c>
      <c r="O58" s="134">
        <v>0</v>
      </c>
      <c r="P58" s="134">
        <v>0.96</v>
      </c>
      <c r="Q58" s="134">
        <v>4.28</v>
      </c>
    </row>
    <row r="59" spans="1:17" customFormat="1">
      <c r="A59" s="112" t="s">
        <v>1057</v>
      </c>
      <c r="B59" s="134">
        <v>4.2699999999999996</v>
      </c>
      <c r="C59" s="134">
        <v>23.84</v>
      </c>
      <c r="D59" s="134">
        <v>17.23</v>
      </c>
      <c r="E59" s="134">
        <v>6.06</v>
      </c>
      <c r="F59" s="134">
        <v>4.21</v>
      </c>
      <c r="G59" s="134">
        <v>78.540000000000006</v>
      </c>
      <c r="H59" s="134">
        <v>42.41</v>
      </c>
      <c r="I59" s="134">
        <v>8.99</v>
      </c>
      <c r="J59" s="134">
        <v>0.34</v>
      </c>
      <c r="K59" s="134">
        <v>176.88</v>
      </c>
      <c r="L59" s="134">
        <v>32.25</v>
      </c>
      <c r="M59" s="134">
        <v>30.81</v>
      </c>
      <c r="N59" s="134">
        <v>558.9</v>
      </c>
      <c r="O59" s="134">
        <v>0</v>
      </c>
      <c r="P59" s="134">
        <v>0.95</v>
      </c>
      <c r="Q59" s="134">
        <v>4.28</v>
      </c>
    </row>
    <row r="60" spans="1:17" customFormat="1">
      <c r="A60" s="112" t="s">
        <v>1058</v>
      </c>
      <c r="B60" s="134">
        <v>4.32</v>
      </c>
      <c r="C60" s="134">
        <v>22.99</v>
      </c>
      <c r="D60" s="134">
        <v>16.82</v>
      </c>
      <c r="E60" s="134">
        <v>5.67</v>
      </c>
      <c r="F60" s="134">
        <v>4.08</v>
      </c>
      <c r="G60" s="134">
        <v>65.06</v>
      </c>
      <c r="H60" s="134">
        <v>37.479999999999997</v>
      </c>
      <c r="I60" s="134">
        <v>8.84</v>
      </c>
      <c r="J60" s="134">
        <v>0.25</v>
      </c>
      <c r="K60" s="134">
        <v>147.35</v>
      </c>
      <c r="L60" s="134">
        <v>32.520000000000003</v>
      </c>
      <c r="M60" s="134">
        <v>30.88</v>
      </c>
      <c r="N60" s="134">
        <v>508.9</v>
      </c>
      <c r="O60" s="134">
        <v>0</v>
      </c>
      <c r="P60" s="134">
        <v>0.94</v>
      </c>
      <c r="Q60" s="134">
        <v>4.26</v>
      </c>
    </row>
    <row r="61" spans="1:17" customFormat="1">
      <c r="A61" s="112" t="s">
        <v>1059</v>
      </c>
      <c r="B61" s="134">
        <v>4.46</v>
      </c>
      <c r="C61" s="134">
        <v>22.12</v>
      </c>
      <c r="D61" s="134">
        <v>16.48</v>
      </c>
      <c r="E61" s="134">
        <v>5.42</v>
      </c>
      <c r="F61" s="134">
        <v>4.1500000000000004</v>
      </c>
      <c r="G61" s="134">
        <v>65.06</v>
      </c>
      <c r="H61" s="134">
        <v>37.479999999999997</v>
      </c>
      <c r="I61" s="134">
        <v>8.69</v>
      </c>
      <c r="J61" s="134">
        <v>0.3</v>
      </c>
      <c r="K61" s="134">
        <v>334.55</v>
      </c>
      <c r="L61" s="134">
        <v>32.270000000000003</v>
      </c>
      <c r="M61" s="134">
        <v>30.68</v>
      </c>
      <c r="N61" s="134">
        <v>503.1</v>
      </c>
      <c r="O61" s="134">
        <v>0</v>
      </c>
      <c r="P61" s="134">
        <v>0.92</v>
      </c>
      <c r="Q61" s="134">
        <v>4.26</v>
      </c>
    </row>
    <row r="62" spans="1:17" customFormat="1">
      <c r="A62" s="112" t="s">
        <v>1060</v>
      </c>
      <c r="B62" s="134">
        <v>4.4800000000000004</v>
      </c>
      <c r="C62" s="134">
        <v>21.67</v>
      </c>
      <c r="D62" s="134">
        <v>16.260000000000002</v>
      </c>
      <c r="E62" s="134">
        <v>5.89</v>
      </c>
      <c r="F62" s="134">
        <v>5.63</v>
      </c>
      <c r="G62" s="134">
        <v>65.06</v>
      </c>
      <c r="H62" s="134">
        <v>37.479999999999997</v>
      </c>
      <c r="I62" s="134">
        <v>8.59</v>
      </c>
      <c r="J62" s="134">
        <v>0.33</v>
      </c>
      <c r="K62" s="134">
        <v>289.54000000000002</v>
      </c>
      <c r="L62" s="134">
        <v>31.71</v>
      </c>
      <c r="M62" s="134">
        <v>30.82</v>
      </c>
      <c r="N62" s="134">
        <v>467.5</v>
      </c>
      <c r="O62" s="134">
        <v>0</v>
      </c>
      <c r="P62" s="134">
        <v>0.9</v>
      </c>
      <c r="Q62" s="134">
        <v>4.25</v>
      </c>
    </row>
    <row r="63" spans="1:17" customFormat="1">
      <c r="A63" s="112" t="s">
        <v>1061</v>
      </c>
      <c r="B63" s="134">
        <v>4.4400000000000004</v>
      </c>
      <c r="C63" s="134">
        <v>21.37</v>
      </c>
      <c r="D63" s="134">
        <v>16.079999999999998</v>
      </c>
      <c r="E63" s="134">
        <v>5.89</v>
      </c>
      <c r="F63" s="134">
        <v>5.83</v>
      </c>
      <c r="G63" s="134">
        <v>65.489999999999995</v>
      </c>
      <c r="H63" s="134">
        <v>37.36</v>
      </c>
      <c r="I63" s="134">
        <v>8.41</v>
      </c>
      <c r="J63" s="134">
        <v>0.17</v>
      </c>
      <c r="K63" s="134">
        <v>13.68</v>
      </c>
      <c r="L63" s="134">
        <v>31.67</v>
      </c>
      <c r="M63" s="134">
        <v>30.9</v>
      </c>
      <c r="N63" s="134">
        <v>390.4</v>
      </c>
      <c r="O63" s="134">
        <v>0</v>
      </c>
      <c r="P63" s="134">
        <v>0.89</v>
      </c>
      <c r="Q63" s="134">
        <v>4.26</v>
      </c>
    </row>
    <row r="64" spans="1:17" customFormat="1">
      <c r="A64" s="112" t="s">
        <v>1062</v>
      </c>
      <c r="B64" s="134">
        <v>4.3600000000000003</v>
      </c>
      <c r="C64" s="134">
        <v>20.99</v>
      </c>
      <c r="D64" s="134">
        <v>15.82</v>
      </c>
      <c r="E64" s="134">
        <v>6.05</v>
      </c>
      <c r="F64" s="134">
        <v>5.85</v>
      </c>
      <c r="G64" s="134">
        <v>74.72</v>
      </c>
      <c r="H64" s="134">
        <v>34.74</v>
      </c>
      <c r="I64" s="134">
        <v>8.2799999999999994</v>
      </c>
      <c r="J64" s="134">
        <v>0.38</v>
      </c>
      <c r="K64" s="134">
        <v>34.44</v>
      </c>
      <c r="L64" s="134">
        <v>31.74</v>
      </c>
      <c r="M64" s="134">
        <v>30.61</v>
      </c>
      <c r="N64" s="134">
        <v>414.3</v>
      </c>
      <c r="O64" s="134">
        <v>0</v>
      </c>
      <c r="P64" s="134">
        <v>0.88</v>
      </c>
      <c r="Q64" s="134">
        <v>4.24</v>
      </c>
    </row>
    <row r="65" spans="1:17" customFormat="1">
      <c r="A65" s="112" t="s">
        <v>1063</v>
      </c>
      <c r="B65" s="134">
        <v>4.3600000000000003</v>
      </c>
      <c r="C65" s="134">
        <v>20.72</v>
      </c>
      <c r="D65" s="134">
        <v>15.67</v>
      </c>
      <c r="E65" s="134">
        <v>5.66</v>
      </c>
      <c r="F65" s="134">
        <v>5.52</v>
      </c>
      <c r="G65" s="134">
        <v>74.72</v>
      </c>
      <c r="H65" s="134">
        <v>34.74</v>
      </c>
      <c r="I65" s="134">
        <v>8.11</v>
      </c>
      <c r="J65" s="134">
        <v>0.26</v>
      </c>
      <c r="K65" s="134">
        <v>81.13</v>
      </c>
      <c r="L65" s="134">
        <v>31.66</v>
      </c>
      <c r="M65" s="134">
        <v>29.64</v>
      </c>
      <c r="N65" s="134">
        <v>348.2</v>
      </c>
      <c r="O65" s="134">
        <v>0</v>
      </c>
      <c r="P65" s="134">
        <v>0.84</v>
      </c>
      <c r="Q65" s="134">
        <v>4.24</v>
      </c>
    </row>
    <row r="66" spans="1:17" customFormat="1">
      <c r="A66" s="112" t="s">
        <v>1064</v>
      </c>
      <c r="B66" s="134">
        <v>4.37</v>
      </c>
      <c r="C66" s="134">
        <v>20.55</v>
      </c>
      <c r="D66" s="134">
        <v>15.59</v>
      </c>
      <c r="E66" s="134">
        <v>6.49</v>
      </c>
      <c r="F66" s="134">
        <v>6.7</v>
      </c>
      <c r="G66" s="134">
        <v>74.72</v>
      </c>
      <c r="H66" s="134">
        <v>34.74</v>
      </c>
      <c r="I66" s="134">
        <v>8.0299999999999994</v>
      </c>
      <c r="J66" s="134">
        <v>0.08</v>
      </c>
      <c r="K66" s="134">
        <v>11.22</v>
      </c>
      <c r="L66" s="134">
        <v>31.26</v>
      </c>
      <c r="M66" s="134">
        <v>29.17</v>
      </c>
      <c r="N66" s="134">
        <v>181.7</v>
      </c>
      <c r="O66" s="134">
        <v>0</v>
      </c>
      <c r="P66" s="134">
        <v>0.85</v>
      </c>
      <c r="Q66" s="134">
        <v>4.22</v>
      </c>
    </row>
    <row r="67" spans="1:17" customFormat="1">
      <c r="A67" s="112" t="s">
        <v>1065</v>
      </c>
      <c r="B67" s="134">
        <v>4.3899999999999997</v>
      </c>
      <c r="C67" s="134">
        <v>20.3</v>
      </c>
      <c r="D67" s="134">
        <v>15.48</v>
      </c>
      <c r="E67" s="134">
        <v>5.44</v>
      </c>
      <c r="F67" s="134">
        <v>6.36</v>
      </c>
      <c r="G67" s="134">
        <v>74.45</v>
      </c>
      <c r="H67" s="134">
        <v>34.54</v>
      </c>
      <c r="I67" s="134">
        <v>7.89</v>
      </c>
      <c r="J67" s="134">
        <v>0.28000000000000003</v>
      </c>
      <c r="K67" s="134">
        <v>236.62</v>
      </c>
      <c r="L67" s="134">
        <v>30.83</v>
      </c>
      <c r="M67" s="134">
        <v>30.07</v>
      </c>
      <c r="N67" s="134">
        <v>114.8</v>
      </c>
      <c r="O67" s="134">
        <v>0</v>
      </c>
      <c r="P67" s="134">
        <v>0.83</v>
      </c>
      <c r="Q67" s="134">
        <v>4.24</v>
      </c>
    </row>
    <row r="68" spans="1:17" customFormat="1">
      <c r="A68" s="112" t="s">
        <v>1066</v>
      </c>
      <c r="B68" s="134">
        <v>4.26</v>
      </c>
      <c r="C68" s="134">
        <v>19.75</v>
      </c>
      <c r="D68" s="134">
        <v>15.08</v>
      </c>
      <c r="E68" s="134">
        <v>6.05</v>
      </c>
      <c r="F68" s="134">
        <v>5.45</v>
      </c>
      <c r="G68" s="134">
        <v>69.88</v>
      </c>
      <c r="H68" s="134">
        <v>31.31</v>
      </c>
      <c r="I68" s="134">
        <v>7.73</v>
      </c>
      <c r="J68" s="134">
        <v>0.09</v>
      </c>
      <c r="K68" s="134">
        <v>136.04</v>
      </c>
      <c r="L68" s="134">
        <v>30.39</v>
      </c>
      <c r="M68" s="134">
        <v>35.409999999999997</v>
      </c>
      <c r="N68" s="134">
        <v>98.3</v>
      </c>
      <c r="O68" s="134">
        <v>0</v>
      </c>
      <c r="P68" s="134">
        <v>0.82</v>
      </c>
      <c r="Q68" s="134">
        <v>4.2</v>
      </c>
    </row>
    <row r="69" spans="1:17" customFormat="1">
      <c r="A69" s="112" t="s">
        <v>1067</v>
      </c>
      <c r="B69" s="134">
        <v>4.24</v>
      </c>
      <c r="C69" s="134">
        <v>19.61</v>
      </c>
      <c r="D69" s="134">
        <v>15</v>
      </c>
      <c r="E69" s="134">
        <v>5.6</v>
      </c>
      <c r="F69" s="134">
        <v>6.01</v>
      </c>
      <c r="G69" s="134">
        <v>69.88</v>
      </c>
      <c r="H69" s="134">
        <v>31.31</v>
      </c>
      <c r="I69" s="134">
        <v>7.68</v>
      </c>
      <c r="J69" s="134">
        <v>0.23</v>
      </c>
      <c r="K69" s="134">
        <v>66.680000000000007</v>
      </c>
      <c r="L69" s="134">
        <v>30.31</v>
      </c>
      <c r="M69" s="134">
        <v>34.590000000000003</v>
      </c>
      <c r="N69" s="134">
        <v>86.7</v>
      </c>
      <c r="O69" s="134">
        <v>0</v>
      </c>
      <c r="P69" s="134">
        <v>0.81</v>
      </c>
      <c r="Q69" s="134">
        <v>4.1900000000000004</v>
      </c>
    </row>
    <row r="70" spans="1:17" customFormat="1">
      <c r="A70" s="112" t="s">
        <v>1068</v>
      </c>
      <c r="B70" s="134">
        <v>4.28</v>
      </c>
      <c r="C70" s="134">
        <v>19.5</v>
      </c>
      <c r="D70" s="134">
        <v>14.97</v>
      </c>
      <c r="E70" s="134">
        <v>5.9</v>
      </c>
      <c r="F70" s="134">
        <v>6.18</v>
      </c>
      <c r="G70" s="134">
        <v>69.88</v>
      </c>
      <c r="H70" s="134">
        <v>31.31</v>
      </c>
      <c r="I70" s="134">
        <v>7.59</v>
      </c>
      <c r="J70" s="134">
        <v>0.25</v>
      </c>
      <c r="K70" s="134">
        <v>134.66999999999999</v>
      </c>
      <c r="L70" s="134">
        <v>29.93</v>
      </c>
      <c r="M70" s="134">
        <v>36.17</v>
      </c>
      <c r="N70" s="134">
        <v>75.599999999999994</v>
      </c>
      <c r="O70" s="134">
        <v>0</v>
      </c>
      <c r="P70" s="134">
        <v>0.8</v>
      </c>
      <c r="Q70" s="134">
        <v>4.2</v>
      </c>
    </row>
    <row r="71" spans="1:17" customFormat="1">
      <c r="A71" s="112" t="s">
        <v>1069</v>
      </c>
      <c r="B71" s="134">
        <v>4.3099999999999996</v>
      </c>
      <c r="C71" s="134">
        <v>19.39</v>
      </c>
      <c r="D71" s="134">
        <v>14.94</v>
      </c>
      <c r="E71" s="134">
        <v>5.71</v>
      </c>
      <c r="F71" s="134">
        <v>6.44</v>
      </c>
      <c r="G71" s="134">
        <v>70.45</v>
      </c>
      <c r="H71" s="134">
        <v>31.26</v>
      </c>
      <c r="I71" s="134">
        <v>7.48</v>
      </c>
      <c r="J71" s="134">
        <v>0.21</v>
      </c>
      <c r="K71" s="134">
        <v>94.84</v>
      </c>
      <c r="L71" s="134">
        <v>29.7</v>
      </c>
      <c r="M71" s="134">
        <v>36.119999999999997</v>
      </c>
      <c r="N71" s="134">
        <v>65.3</v>
      </c>
      <c r="O71" s="134">
        <v>0</v>
      </c>
      <c r="P71" s="134">
        <v>0.79</v>
      </c>
      <c r="Q71" s="134">
        <v>4.21</v>
      </c>
    </row>
    <row r="72" spans="1:17" customFormat="1">
      <c r="A72" s="112" t="s">
        <v>1070</v>
      </c>
      <c r="B72" s="134">
        <v>4.3</v>
      </c>
      <c r="C72" s="134">
        <v>19.14</v>
      </c>
      <c r="D72" s="134">
        <v>14.8</v>
      </c>
      <c r="E72" s="134">
        <v>5.75</v>
      </c>
      <c r="F72" s="134">
        <v>5.72</v>
      </c>
      <c r="G72" s="134">
        <v>80.19</v>
      </c>
      <c r="H72" s="134">
        <v>30.4</v>
      </c>
      <c r="I72" s="134">
        <v>7.39</v>
      </c>
      <c r="J72" s="134">
        <v>0.16</v>
      </c>
      <c r="K72" s="134">
        <v>125.52</v>
      </c>
      <c r="L72" s="134">
        <v>29.1</v>
      </c>
      <c r="M72" s="134">
        <v>38.67</v>
      </c>
      <c r="N72" s="134">
        <v>50.7</v>
      </c>
      <c r="O72" s="134">
        <v>0</v>
      </c>
      <c r="P72" s="134">
        <v>0.77</v>
      </c>
      <c r="Q72" s="134">
        <v>4.2300000000000004</v>
      </c>
    </row>
    <row r="73" spans="1:17" customFormat="1">
      <c r="A73" s="112" t="s">
        <v>1071</v>
      </c>
      <c r="B73" s="134">
        <v>4.3600000000000003</v>
      </c>
      <c r="C73" s="134">
        <v>18.93</v>
      </c>
      <c r="D73" s="134">
        <v>14.74</v>
      </c>
      <c r="E73" s="134">
        <v>5.78</v>
      </c>
      <c r="F73" s="134">
        <v>5.47</v>
      </c>
      <c r="G73" s="134">
        <v>80.19</v>
      </c>
      <c r="H73" s="134">
        <v>30.4</v>
      </c>
      <c r="I73" s="134">
        <v>7.25</v>
      </c>
      <c r="J73" s="134">
        <v>0.2</v>
      </c>
      <c r="K73" s="134">
        <v>158.13</v>
      </c>
      <c r="L73" s="134">
        <v>28.7</v>
      </c>
      <c r="M73" s="134">
        <v>40.99</v>
      </c>
      <c r="N73" s="134">
        <v>37.5</v>
      </c>
      <c r="O73" s="134">
        <v>0</v>
      </c>
      <c r="P73" s="134">
        <v>0.76</v>
      </c>
      <c r="Q73" s="134">
        <v>4.2300000000000004</v>
      </c>
    </row>
    <row r="74" spans="1:17" customFormat="1">
      <c r="A74" s="112" t="s">
        <v>1072</v>
      </c>
      <c r="B74" s="134">
        <v>4.4800000000000004</v>
      </c>
      <c r="C74" s="134">
        <v>18.89</v>
      </c>
      <c r="D74" s="134">
        <v>14.81</v>
      </c>
      <c r="E74" s="134">
        <v>5.81</v>
      </c>
      <c r="F74" s="134">
        <v>4.68</v>
      </c>
      <c r="G74" s="134">
        <v>80.19</v>
      </c>
      <c r="H74" s="134">
        <v>30.4</v>
      </c>
      <c r="I74" s="134">
        <v>7.28</v>
      </c>
      <c r="J74" s="134">
        <v>0.2</v>
      </c>
      <c r="K74" s="134">
        <v>160.32</v>
      </c>
      <c r="L74" s="134">
        <v>28.29</v>
      </c>
      <c r="M74" s="134">
        <v>41.73</v>
      </c>
      <c r="N74" s="134">
        <v>24.8</v>
      </c>
      <c r="O74" s="134">
        <v>0</v>
      </c>
      <c r="P74" s="134">
        <v>0.76</v>
      </c>
      <c r="Q74" s="134">
        <v>4.22</v>
      </c>
    </row>
    <row r="75" spans="1:17" customFormat="1">
      <c r="A75" s="112" t="s">
        <v>1073</v>
      </c>
      <c r="B75" s="134">
        <v>4.59</v>
      </c>
      <c r="C75" s="134">
        <v>18.82</v>
      </c>
      <c r="D75" s="134">
        <v>14.87</v>
      </c>
      <c r="E75" s="134">
        <v>5.22</v>
      </c>
      <c r="F75" s="134">
        <v>3.88</v>
      </c>
      <c r="G75" s="134">
        <v>79.87</v>
      </c>
      <c r="H75" s="134">
        <v>30.47</v>
      </c>
      <c r="I75" s="134">
        <v>7.14</v>
      </c>
      <c r="J75" s="134">
        <v>0.2</v>
      </c>
      <c r="K75" s="134">
        <v>175.7</v>
      </c>
      <c r="L75" s="134">
        <v>27.63</v>
      </c>
      <c r="M75" s="134">
        <v>46.58</v>
      </c>
      <c r="N75" s="134">
        <v>13.5</v>
      </c>
      <c r="O75" s="134">
        <v>0</v>
      </c>
      <c r="P75" s="134">
        <v>0.76</v>
      </c>
      <c r="Q75" s="134">
        <v>4.24</v>
      </c>
    </row>
    <row r="76" spans="1:17" customFormat="1">
      <c r="A76" s="112" t="s">
        <v>1074</v>
      </c>
      <c r="B76" s="134">
        <v>4.55</v>
      </c>
      <c r="C76" s="134">
        <v>18.84</v>
      </c>
      <c r="D76" s="134">
        <v>14.84</v>
      </c>
      <c r="E76" s="134">
        <v>5.39</v>
      </c>
      <c r="F76" s="134">
        <v>3.68</v>
      </c>
      <c r="G76" s="134">
        <v>72.959999999999994</v>
      </c>
      <c r="H76" s="134">
        <v>31.6</v>
      </c>
      <c r="I76" s="134">
        <v>7.08</v>
      </c>
      <c r="J76" s="134">
        <v>0.23</v>
      </c>
      <c r="K76" s="134">
        <v>167.8</v>
      </c>
      <c r="L76" s="134">
        <v>26.74</v>
      </c>
      <c r="M76" s="134">
        <v>49.35</v>
      </c>
      <c r="N76" s="134">
        <v>3.3</v>
      </c>
      <c r="O76" s="134">
        <v>0</v>
      </c>
      <c r="P76" s="134">
        <v>0.76</v>
      </c>
      <c r="Q76" s="134">
        <v>4.24</v>
      </c>
    </row>
    <row r="77" spans="1:17" customFormat="1">
      <c r="A77" s="112" t="s">
        <v>1075</v>
      </c>
      <c r="B77" s="134">
        <v>4.6500000000000004</v>
      </c>
      <c r="C77" s="134">
        <v>18.989999999999998</v>
      </c>
      <c r="D77" s="134">
        <v>15</v>
      </c>
      <c r="E77" s="134">
        <v>5.52</v>
      </c>
      <c r="F77" s="134">
        <v>4.71</v>
      </c>
      <c r="G77" s="134">
        <v>72.959999999999994</v>
      </c>
      <c r="H77" s="134">
        <v>31.6</v>
      </c>
      <c r="I77" s="134">
        <v>7.07</v>
      </c>
      <c r="J77" s="134">
        <v>0.26</v>
      </c>
      <c r="K77" s="134">
        <v>165.39</v>
      </c>
      <c r="L77" s="134">
        <v>26.12</v>
      </c>
      <c r="M77" s="134">
        <v>54.92</v>
      </c>
      <c r="N77" s="134">
        <v>0</v>
      </c>
      <c r="O77" s="134">
        <v>0</v>
      </c>
      <c r="P77" s="134">
        <v>0.77</v>
      </c>
      <c r="Q77" s="134">
        <v>4.24</v>
      </c>
    </row>
    <row r="78" spans="1:17" customFormat="1">
      <c r="A78" s="112" t="s">
        <v>1076</v>
      </c>
      <c r="B78" s="134">
        <v>4.59</v>
      </c>
      <c r="C78" s="134">
        <v>19.79</v>
      </c>
      <c r="D78" s="134">
        <v>15.37</v>
      </c>
      <c r="E78" s="134">
        <v>4.8600000000000003</v>
      </c>
      <c r="F78" s="134">
        <v>3.78</v>
      </c>
      <c r="G78" s="134">
        <v>72.959999999999994</v>
      </c>
      <c r="H78" s="134">
        <v>31.6</v>
      </c>
      <c r="I78" s="134">
        <v>7.03</v>
      </c>
      <c r="J78" s="134">
        <v>0.23</v>
      </c>
      <c r="K78" s="134">
        <v>173.65</v>
      </c>
      <c r="L78" s="134">
        <v>25.56</v>
      </c>
      <c r="M78" s="134">
        <v>56.23</v>
      </c>
      <c r="N78" s="134">
        <v>0</v>
      </c>
      <c r="O78" s="134">
        <v>0</v>
      </c>
      <c r="P78" s="134">
        <v>0.78</v>
      </c>
      <c r="Q78" s="134">
        <v>4.24</v>
      </c>
    </row>
    <row r="79" spans="1:17" customFormat="1">
      <c r="A79" s="112" t="s">
        <v>1077</v>
      </c>
      <c r="B79" s="134">
        <v>4.82</v>
      </c>
      <c r="C79" s="134">
        <v>20.13</v>
      </c>
      <c r="D79" s="134">
        <v>15.74</v>
      </c>
      <c r="E79" s="134">
        <v>4.92</v>
      </c>
      <c r="F79" s="134">
        <v>3.48</v>
      </c>
      <c r="G79" s="134">
        <v>75.150000000000006</v>
      </c>
      <c r="H79" s="134">
        <v>31.54</v>
      </c>
      <c r="I79" s="134">
        <v>6.88</v>
      </c>
      <c r="J79" s="134">
        <v>0.17</v>
      </c>
      <c r="K79" s="134">
        <v>183.83</v>
      </c>
      <c r="L79" s="134">
        <v>25.11</v>
      </c>
      <c r="M79" s="134">
        <v>59.7</v>
      </c>
      <c r="N79" s="134">
        <v>0</v>
      </c>
      <c r="O79" s="134">
        <v>0</v>
      </c>
      <c r="P79" s="134">
        <v>0.78</v>
      </c>
      <c r="Q79" s="134">
        <v>4.25</v>
      </c>
    </row>
    <row r="80" spans="1:17" customFormat="1">
      <c r="A80" s="112" t="s">
        <v>1078</v>
      </c>
      <c r="B80" s="134">
        <v>4.99</v>
      </c>
      <c r="C80" s="134">
        <v>20.66</v>
      </c>
      <c r="D80" s="134">
        <v>16.149999999999999</v>
      </c>
      <c r="E80" s="134">
        <v>4.79</v>
      </c>
      <c r="F80" s="134">
        <v>3.39</v>
      </c>
      <c r="G80" s="134">
        <v>112.47</v>
      </c>
      <c r="H80" s="134">
        <v>30.54</v>
      </c>
      <c r="I80" s="134">
        <v>6.81</v>
      </c>
      <c r="J80" s="134">
        <v>0.16</v>
      </c>
      <c r="K80" s="134">
        <v>168.74</v>
      </c>
      <c r="L80" s="134">
        <v>24.66</v>
      </c>
      <c r="M80" s="134">
        <v>60.21</v>
      </c>
      <c r="N80" s="134">
        <v>0</v>
      </c>
      <c r="O80" s="134">
        <v>0</v>
      </c>
      <c r="P80" s="134">
        <v>0.78</v>
      </c>
      <c r="Q80" s="134">
        <v>4.26</v>
      </c>
    </row>
    <row r="81" spans="1:17" customFormat="1">
      <c r="A81" s="112" t="s">
        <v>1079</v>
      </c>
      <c r="B81" s="134">
        <v>5.18</v>
      </c>
      <c r="C81" s="134">
        <v>20.89</v>
      </c>
      <c r="D81" s="134">
        <v>16.420000000000002</v>
      </c>
      <c r="E81" s="134">
        <v>3.89</v>
      </c>
      <c r="F81" s="134">
        <v>3.25</v>
      </c>
      <c r="G81" s="134">
        <v>112.47</v>
      </c>
      <c r="H81" s="134">
        <v>30.54</v>
      </c>
      <c r="I81" s="134">
        <v>6.77</v>
      </c>
      <c r="J81" s="134">
        <v>0.26</v>
      </c>
      <c r="K81" s="134">
        <v>165.06</v>
      </c>
      <c r="L81" s="134">
        <v>24.39</v>
      </c>
      <c r="M81" s="134">
        <v>60.71</v>
      </c>
      <c r="N81" s="134">
        <v>0</v>
      </c>
      <c r="O81" s="134">
        <v>0</v>
      </c>
      <c r="P81" s="134">
        <v>0.78</v>
      </c>
      <c r="Q81" s="134">
        <v>4.28</v>
      </c>
    </row>
    <row r="82" spans="1:17" customFormat="1">
      <c r="A82" s="112" t="s">
        <v>1080</v>
      </c>
      <c r="B82" s="134">
        <v>5.28</v>
      </c>
      <c r="C82" s="134">
        <v>21.4</v>
      </c>
      <c r="D82" s="134">
        <v>16.77</v>
      </c>
      <c r="E82" s="134">
        <v>5.0199999999999996</v>
      </c>
      <c r="F82" s="134">
        <v>3.08</v>
      </c>
      <c r="G82" s="134">
        <v>112.47</v>
      </c>
      <c r="H82" s="134">
        <v>30.54</v>
      </c>
      <c r="I82" s="134">
        <v>6.73</v>
      </c>
      <c r="J82" s="134">
        <v>0.18</v>
      </c>
      <c r="K82" s="134">
        <v>171.3</v>
      </c>
      <c r="L82" s="134">
        <v>24.01</v>
      </c>
      <c r="M82" s="134">
        <v>63.69</v>
      </c>
      <c r="N82" s="134">
        <v>0</v>
      </c>
      <c r="O82" s="134">
        <v>0</v>
      </c>
      <c r="P82" s="134">
        <v>0.78</v>
      </c>
      <c r="Q82" s="134">
        <v>4.29</v>
      </c>
    </row>
    <row r="83" spans="1:17" customFormat="1">
      <c r="A83" s="112" t="s">
        <v>1081</v>
      </c>
      <c r="B83" s="134">
        <v>5.41</v>
      </c>
      <c r="C83" s="134">
        <v>21.76</v>
      </c>
      <c r="D83" s="134">
        <v>17.05</v>
      </c>
      <c r="E83" s="134">
        <v>5.21</v>
      </c>
      <c r="F83" s="134">
        <v>3.1</v>
      </c>
      <c r="G83" s="134">
        <v>113.77</v>
      </c>
      <c r="H83" s="134">
        <v>30.64</v>
      </c>
      <c r="I83" s="134">
        <v>6.68</v>
      </c>
      <c r="J83" s="134">
        <v>0.12</v>
      </c>
      <c r="K83" s="134">
        <v>163.85</v>
      </c>
      <c r="L83" s="134">
        <v>23.72</v>
      </c>
      <c r="M83" s="134">
        <v>68.53</v>
      </c>
      <c r="N83" s="134">
        <v>0</v>
      </c>
      <c r="O83" s="134">
        <v>0</v>
      </c>
      <c r="P83" s="134">
        <v>0.79</v>
      </c>
      <c r="Q83" s="134">
        <v>4.3099999999999996</v>
      </c>
    </row>
    <row r="84" spans="1:17" customFormat="1">
      <c r="A84" s="112" t="s">
        <v>1082</v>
      </c>
      <c r="B84" s="134">
        <v>5.6</v>
      </c>
      <c r="C84" s="134">
        <v>21.9</v>
      </c>
      <c r="D84" s="134">
        <v>17.28</v>
      </c>
      <c r="E84" s="134">
        <v>5.52</v>
      </c>
      <c r="F84" s="134">
        <v>3</v>
      </c>
      <c r="G84" s="134">
        <v>135.85</v>
      </c>
      <c r="H84" s="134">
        <v>32.22</v>
      </c>
      <c r="I84" s="134">
        <v>6.63</v>
      </c>
      <c r="J84" s="134">
        <v>0.16</v>
      </c>
      <c r="K84" s="134">
        <v>164.11</v>
      </c>
      <c r="L84" s="134">
        <v>23.39</v>
      </c>
      <c r="M84" s="134">
        <v>66.48</v>
      </c>
      <c r="N84" s="134">
        <v>0</v>
      </c>
      <c r="O84" s="134">
        <v>0</v>
      </c>
      <c r="P84" s="134">
        <v>0.79</v>
      </c>
      <c r="Q84" s="134">
        <v>4.3099999999999996</v>
      </c>
    </row>
    <row r="85" spans="1:17" customFormat="1">
      <c r="A85" s="112" t="s">
        <v>1083</v>
      </c>
      <c r="B85" s="134">
        <v>5.75</v>
      </c>
      <c r="C85" s="134">
        <v>22.19</v>
      </c>
      <c r="D85" s="134">
        <v>17.55</v>
      </c>
      <c r="E85" s="134">
        <v>5.74</v>
      </c>
      <c r="F85" s="134">
        <v>3</v>
      </c>
      <c r="G85" s="134">
        <v>135.85</v>
      </c>
      <c r="H85" s="134">
        <v>32.22</v>
      </c>
      <c r="I85" s="134">
        <v>6.59</v>
      </c>
      <c r="J85" s="134">
        <v>0.15</v>
      </c>
      <c r="K85" s="134">
        <v>166.37</v>
      </c>
      <c r="L85" s="134">
        <v>23.34</v>
      </c>
      <c r="M85" s="134">
        <v>66.81</v>
      </c>
      <c r="N85" s="134">
        <v>0</v>
      </c>
      <c r="O85" s="134">
        <v>0</v>
      </c>
      <c r="P85" s="134">
        <v>0.8</v>
      </c>
      <c r="Q85" s="134">
        <v>4.34</v>
      </c>
    </row>
    <row r="86" spans="1:17" customFormat="1">
      <c r="A86" s="112" t="s">
        <v>1084</v>
      </c>
      <c r="B86" s="134">
        <v>5.91</v>
      </c>
      <c r="C86" s="134">
        <v>22.18</v>
      </c>
      <c r="D86" s="134">
        <v>17.68</v>
      </c>
      <c r="E86" s="134">
        <v>5.66</v>
      </c>
      <c r="F86" s="134">
        <v>2.9</v>
      </c>
      <c r="G86" s="134">
        <v>135.85</v>
      </c>
      <c r="H86" s="134">
        <v>32.22</v>
      </c>
      <c r="I86" s="134">
        <v>6.61</v>
      </c>
      <c r="J86" s="134">
        <v>0.16</v>
      </c>
      <c r="K86" s="134">
        <v>166.95</v>
      </c>
      <c r="L86" s="134">
        <v>23.04</v>
      </c>
      <c r="M86" s="134">
        <v>71.290000000000006</v>
      </c>
      <c r="N86" s="134">
        <v>0</v>
      </c>
      <c r="O86" s="134">
        <v>0</v>
      </c>
      <c r="P86" s="134">
        <v>0.8</v>
      </c>
      <c r="Q86" s="134">
        <v>4.3499999999999996</v>
      </c>
    </row>
    <row r="87" spans="1:17" customFormat="1">
      <c r="A87" s="112" t="s">
        <v>1085</v>
      </c>
      <c r="B87" s="134">
        <v>6.01</v>
      </c>
      <c r="C87" s="134">
        <v>22.54</v>
      </c>
      <c r="D87" s="134">
        <v>17.940000000000001</v>
      </c>
      <c r="E87" s="134">
        <v>5.1100000000000003</v>
      </c>
      <c r="F87" s="134">
        <v>2.81</v>
      </c>
      <c r="G87" s="134">
        <v>136.80000000000001</v>
      </c>
      <c r="H87" s="134">
        <v>32.26</v>
      </c>
      <c r="I87" s="134">
        <v>6.56</v>
      </c>
      <c r="J87" s="134">
        <v>0.15</v>
      </c>
      <c r="K87" s="134">
        <v>210.21</v>
      </c>
      <c r="L87" s="134">
        <v>22.74</v>
      </c>
      <c r="M87" s="134">
        <v>74.28</v>
      </c>
      <c r="N87" s="134">
        <v>0</v>
      </c>
      <c r="O87" s="134">
        <v>0</v>
      </c>
      <c r="P87" s="134">
        <v>0.8</v>
      </c>
      <c r="Q87" s="134">
        <v>4.3499999999999996</v>
      </c>
    </row>
    <row r="88" spans="1:17" customFormat="1">
      <c r="A88" s="112" t="s">
        <v>1086</v>
      </c>
      <c r="B88" s="134">
        <v>6.37</v>
      </c>
      <c r="C88" s="134">
        <v>22.59</v>
      </c>
      <c r="D88" s="134">
        <v>18.260000000000002</v>
      </c>
      <c r="E88" s="134">
        <v>5.23</v>
      </c>
      <c r="F88" s="134">
        <v>2.67</v>
      </c>
      <c r="G88" s="134">
        <v>152.81</v>
      </c>
      <c r="H88" s="134">
        <v>32.9</v>
      </c>
      <c r="I88" s="134">
        <v>6.55</v>
      </c>
      <c r="J88" s="134">
        <v>0.13</v>
      </c>
      <c r="K88" s="134">
        <v>183.73</v>
      </c>
      <c r="L88" s="134">
        <v>22.34</v>
      </c>
      <c r="M88" s="134">
        <v>73.42</v>
      </c>
      <c r="N88" s="134">
        <v>0</v>
      </c>
      <c r="O88" s="134">
        <v>0</v>
      </c>
      <c r="P88" s="134">
        <v>0.81</v>
      </c>
      <c r="Q88" s="134">
        <v>4.3600000000000003</v>
      </c>
    </row>
    <row r="89" spans="1:17" customFormat="1">
      <c r="A89" s="112" t="s">
        <v>1087</v>
      </c>
      <c r="B89" s="134">
        <v>6.57</v>
      </c>
      <c r="C89" s="134">
        <v>22.71</v>
      </c>
      <c r="D89" s="134">
        <v>18.489999999999998</v>
      </c>
      <c r="E89" s="134">
        <v>5.12</v>
      </c>
      <c r="F89" s="134">
        <v>2.82</v>
      </c>
      <c r="G89" s="134">
        <v>152.81</v>
      </c>
      <c r="H89" s="134">
        <v>32.9</v>
      </c>
      <c r="I89" s="134">
        <v>6.53</v>
      </c>
      <c r="J89" s="134">
        <v>0.1</v>
      </c>
      <c r="K89" s="134">
        <v>166.3</v>
      </c>
      <c r="L89" s="134">
        <v>22.22</v>
      </c>
      <c r="M89" s="134">
        <v>72.8</v>
      </c>
      <c r="N89" s="134">
        <v>0</v>
      </c>
      <c r="O89" s="134">
        <v>0</v>
      </c>
      <c r="P89" s="134">
        <v>0.8</v>
      </c>
      <c r="Q89" s="134">
        <v>4.37</v>
      </c>
    </row>
    <row r="90" spans="1:17" customFormat="1">
      <c r="A90" s="112" t="s">
        <v>1088</v>
      </c>
      <c r="B90" s="134">
        <v>6.66</v>
      </c>
      <c r="C90" s="134">
        <v>22.66</v>
      </c>
      <c r="D90" s="134">
        <v>18.53</v>
      </c>
      <c r="E90" s="134">
        <v>5.28</v>
      </c>
      <c r="F90" s="134">
        <v>2.7</v>
      </c>
      <c r="G90" s="134">
        <v>152.81</v>
      </c>
      <c r="H90" s="134">
        <v>32.9</v>
      </c>
      <c r="I90" s="134">
        <v>6.51</v>
      </c>
      <c r="J90" s="134">
        <v>0.11</v>
      </c>
      <c r="K90" s="134">
        <v>165.95</v>
      </c>
      <c r="L90" s="134">
        <v>22.05</v>
      </c>
      <c r="M90" s="134">
        <v>75.34</v>
      </c>
      <c r="N90" s="134">
        <v>0</v>
      </c>
      <c r="O90" s="134">
        <v>0</v>
      </c>
      <c r="P90" s="134">
        <v>0.81</v>
      </c>
      <c r="Q90" s="134">
        <v>4.38</v>
      </c>
    </row>
    <row r="91" spans="1:17" customFormat="1">
      <c r="A91" s="112" t="s">
        <v>1089</v>
      </c>
      <c r="B91" s="134">
        <v>6.78</v>
      </c>
      <c r="C91" s="134">
        <v>22.64</v>
      </c>
      <c r="D91" s="134">
        <v>18.61</v>
      </c>
      <c r="E91" s="134">
        <v>5.29</v>
      </c>
      <c r="F91" s="134">
        <v>2.59</v>
      </c>
      <c r="G91" s="134">
        <v>151.49</v>
      </c>
      <c r="H91" s="134">
        <v>32.770000000000003</v>
      </c>
      <c r="I91" s="134">
        <v>6.48</v>
      </c>
      <c r="J91" s="134">
        <v>0.11</v>
      </c>
      <c r="K91" s="134">
        <v>163.36000000000001</v>
      </c>
      <c r="L91" s="134">
        <v>21.9</v>
      </c>
      <c r="M91" s="134">
        <v>75.72</v>
      </c>
      <c r="N91" s="134">
        <v>0</v>
      </c>
      <c r="O91" s="134">
        <v>0</v>
      </c>
      <c r="P91" s="134">
        <v>0.81</v>
      </c>
      <c r="Q91" s="134">
        <v>4.38</v>
      </c>
    </row>
    <row r="92" spans="1:17" customFormat="1">
      <c r="A92" s="112" t="s">
        <v>1090</v>
      </c>
      <c r="B92" s="134">
        <v>6.97</v>
      </c>
      <c r="C92" s="134">
        <v>22.99</v>
      </c>
      <c r="D92" s="134">
        <v>18.95</v>
      </c>
      <c r="E92" s="134">
        <v>5.5</v>
      </c>
      <c r="F92" s="134">
        <v>2.68</v>
      </c>
      <c r="G92" s="134">
        <v>129.07</v>
      </c>
      <c r="H92" s="134">
        <v>30.87</v>
      </c>
      <c r="I92" s="134">
        <v>6.47</v>
      </c>
      <c r="J92" s="134">
        <v>0.14000000000000001</v>
      </c>
      <c r="K92" s="134">
        <v>158.87</v>
      </c>
      <c r="L92" s="134">
        <v>21.81</v>
      </c>
      <c r="M92" s="134">
        <v>75.2</v>
      </c>
      <c r="N92" s="134">
        <v>0</v>
      </c>
      <c r="O92" s="134">
        <v>0</v>
      </c>
      <c r="P92" s="134">
        <v>0.81</v>
      </c>
      <c r="Q92" s="134">
        <v>4.3899999999999997</v>
      </c>
    </row>
    <row r="93" spans="1:17" customFormat="1">
      <c r="A93" s="112" t="s">
        <v>1091</v>
      </c>
      <c r="B93" s="134">
        <v>7.1</v>
      </c>
      <c r="C93" s="134">
        <v>23.02</v>
      </c>
      <c r="D93" s="134">
        <v>19.07</v>
      </c>
      <c r="E93" s="134">
        <v>5.82</v>
      </c>
      <c r="F93" s="134">
        <v>2.67</v>
      </c>
      <c r="G93" s="134">
        <v>129.07</v>
      </c>
      <c r="H93" s="134">
        <v>30.87</v>
      </c>
      <c r="I93" s="134">
        <v>6.44</v>
      </c>
      <c r="J93" s="134">
        <v>0.12</v>
      </c>
      <c r="K93" s="134">
        <v>160.15</v>
      </c>
      <c r="L93" s="134">
        <v>21.74</v>
      </c>
      <c r="M93" s="134">
        <v>74.709999999999994</v>
      </c>
      <c r="N93" s="134">
        <v>0</v>
      </c>
      <c r="O93" s="134">
        <v>0</v>
      </c>
      <c r="P93" s="134">
        <v>0.81</v>
      </c>
      <c r="Q93" s="134">
        <v>4.4000000000000004</v>
      </c>
    </row>
    <row r="94" spans="1:17" customFormat="1">
      <c r="A94" s="112" t="s">
        <v>1092</v>
      </c>
      <c r="B94" s="134">
        <v>7.26</v>
      </c>
      <c r="C94" s="134">
        <v>23.13</v>
      </c>
      <c r="D94" s="134">
        <v>19.260000000000002</v>
      </c>
      <c r="E94" s="134">
        <v>5.27</v>
      </c>
      <c r="F94" s="134">
        <v>2.62</v>
      </c>
      <c r="G94" s="134">
        <v>129.07</v>
      </c>
      <c r="H94" s="134">
        <v>30.87</v>
      </c>
      <c r="I94" s="134">
        <v>6.46</v>
      </c>
      <c r="J94" s="134">
        <v>0.11</v>
      </c>
      <c r="K94" s="134">
        <v>190.83</v>
      </c>
      <c r="L94" s="134">
        <v>21.77</v>
      </c>
      <c r="M94" s="134">
        <v>69.650000000000006</v>
      </c>
      <c r="N94" s="134">
        <v>0</v>
      </c>
      <c r="O94" s="134">
        <v>0</v>
      </c>
      <c r="P94" s="134">
        <v>0.81</v>
      </c>
      <c r="Q94" s="134">
        <v>4.4400000000000004</v>
      </c>
    </row>
    <row r="95" spans="1:17" customFormat="1">
      <c r="A95" s="112" t="s">
        <v>1093</v>
      </c>
      <c r="B95" s="134">
        <v>7.35</v>
      </c>
      <c r="C95" s="134">
        <v>23.26</v>
      </c>
      <c r="D95" s="134">
        <v>19.399999999999999</v>
      </c>
      <c r="E95" s="134">
        <v>5.43</v>
      </c>
      <c r="F95" s="134">
        <v>2.77</v>
      </c>
      <c r="G95" s="134">
        <v>127.52</v>
      </c>
      <c r="H95" s="134">
        <v>30.6</v>
      </c>
      <c r="I95" s="134">
        <v>6.47</v>
      </c>
      <c r="J95" s="134">
        <v>0.1</v>
      </c>
      <c r="K95" s="134">
        <v>174.49</v>
      </c>
      <c r="L95" s="134">
        <v>21.71</v>
      </c>
      <c r="M95" s="134">
        <v>69.900000000000006</v>
      </c>
      <c r="N95" s="134">
        <v>0</v>
      </c>
      <c r="O95" s="134">
        <v>0</v>
      </c>
      <c r="P95" s="134">
        <v>0.82</v>
      </c>
      <c r="Q95" s="134">
        <v>4.46</v>
      </c>
    </row>
    <row r="96" spans="1:17" customFormat="1">
      <c r="A96" s="112" t="s">
        <v>1094</v>
      </c>
      <c r="B96" s="134">
        <v>7.37</v>
      </c>
      <c r="C96" s="134">
        <v>23.68</v>
      </c>
      <c r="D96" s="134">
        <v>19.64</v>
      </c>
      <c r="E96" s="134">
        <v>5.35</v>
      </c>
      <c r="F96" s="134">
        <v>2.64</v>
      </c>
      <c r="G96" s="134">
        <v>94.16</v>
      </c>
      <c r="H96" s="134">
        <v>26.33</v>
      </c>
      <c r="I96" s="134">
        <v>6.48</v>
      </c>
      <c r="J96" s="134">
        <v>0.11</v>
      </c>
      <c r="K96" s="134">
        <v>172.22</v>
      </c>
      <c r="L96" s="134">
        <v>21.66</v>
      </c>
      <c r="M96" s="134">
        <v>72.87</v>
      </c>
      <c r="N96" s="134">
        <v>0</v>
      </c>
      <c r="O96" s="134">
        <v>0</v>
      </c>
      <c r="P96" s="134">
        <v>0.82</v>
      </c>
      <c r="Q96" s="134">
        <v>4.45</v>
      </c>
    </row>
    <row r="97" spans="1:22" customFormat="1">
      <c r="A97" s="112" t="s">
        <v>1095</v>
      </c>
      <c r="B97" s="134">
        <v>7.67</v>
      </c>
      <c r="C97" s="134">
        <v>24.37</v>
      </c>
      <c r="D97" s="134">
        <v>20.23</v>
      </c>
      <c r="E97" s="134">
        <v>5.31</v>
      </c>
      <c r="F97" s="134">
        <v>2.67</v>
      </c>
      <c r="G97" s="134">
        <v>94.16</v>
      </c>
      <c r="H97" s="134">
        <v>26.33</v>
      </c>
      <c r="I97" s="134">
        <v>6.47</v>
      </c>
      <c r="J97" s="134">
        <v>0.11</v>
      </c>
      <c r="K97" s="134">
        <v>188.02</v>
      </c>
      <c r="L97" s="134">
        <v>21.41</v>
      </c>
      <c r="M97" s="134">
        <v>79.62</v>
      </c>
      <c r="N97" s="134">
        <v>0</v>
      </c>
      <c r="O97" s="134">
        <v>0</v>
      </c>
      <c r="P97" s="134">
        <v>0.81</v>
      </c>
      <c r="Q97" s="134">
        <v>4.46</v>
      </c>
    </row>
    <row r="98" spans="1:22" customFormat="1">
      <c r="A98" s="112" t="s">
        <v>1096</v>
      </c>
      <c r="B98" s="134">
        <v>7.99</v>
      </c>
      <c r="C98" s="134">
        <v>22.47</v>
      </c>
      <c r="D98" s="134">
        <v>19.5</v>
      </c>
      <c r="E98" s="134">
        <v>5.55</v>
      </c>
      <c r="F98" s="134">
        <v>2.95</v>
      </c>
      <c r="G98" s="134">
        <v>94.16</v>
      </c>
      <c r="H98" s="134">
        <v>26.33</v>
      </c>
      <c r="I98" s="134">
        <v>6.47</v>
      </c>
      <c r="J98" s="134">
        <v>0.12</v>
      </c>
      <c r="K98" s="134">
        <v>221.11</v>
      </c>
      <c r="L98" s="134">
        <v>21.1</v>
      </c>
      <c r="M98" s="134">
        <v>77.98</v>
      </c>
      <c r="N98" s="134">
        <v>0</v>
      </c>
      <c r="O98" s="134">
        <v>0</v>
      </c>
      <c r="P98" s="134">
        <v>0.79</v>
      </c>
      <c r="Q98" s="134">
        <v>4.46</v>
      </c>
    </row>
    <row r="99" spans="1:22" customFormat="1">
      <c r="A99" s="112" t="s">
        <v>1097</v>
      </c>
      <c r="B99" s="134">
        <v>8.1999999999999993</v>
      </c>
      <c r="C99" s="134">
        <v>20.94</v>
      </c>
      <c r="D99" s="134">
        <v>18.86</v>
      </c>
      <c r="E99" s="134">
        <v>5.09</v>
      </c>
      <c r="F99" s="134">
        <v>2.92</v>
      </c>
      <c r="G99" s="134">
        <v>94.06</v>
      </c>
      <c r="H99" s="134">
        <v>26.48</v>
      </c>
      <c r="I99" s="134">
        <v>6.47</v>
      </c>
      <c r="J99" s="134">
        <v>0.09</v>
      </c>
      <c r="K99" s="134">
        <v>209.04</v>
      </c>
      <c r="L99" s="134">
        <v>21.11</v>
      </c>
      <c r="M99" s="134">
        <v>73.819999999999993</v>
      </c>
      <c r="N99" s="134">
        <v>0</v>
      </c>
      <c r="O99" s="134">
        <v>0</v>
      </c>
      <c r="P99" s="134">
        <v>0.76</v>
      </c>
      <c r="Q99" s="134">
        <v>4.45</v>
      </c>
    </row>
    <row r="100" spans="1:22" customFormat="1">
      <c r="A100" s="112" t="s">
        <v>1098</v>
      </c>
      <c r="B100" s="134">
        <v>8.31</v>
      </c>
      <c r="C100" s="134">
        <v>20.72</v>
      </c>
      <c r="D100" s="134">
        <v>18.850000000000001</v>
      </c>
      <c r="E100" s="134">
        <v>4.92</v>
      </c>
      <c r="F100" s="134">
        <v>2.71</v>
      </c>
      <c r="G100" s="134">
        <v>92.39</v>
      </c>
      <c r="H100" s="134">
        <v>28.75</v>
      </c>
      <c r="I100" s="134">
        <v>6.46</v>
      </c>
      <c r="J100" s="134">
        <v>0.12</v>
      </c>
      <c r="K100" s="134">
        <v>228.59</v>
      </c>
      <c r="L100" s="134">
        <v>20.96</v>
      </c>
      <c r="M100" s="134">
        <v>75.53</v>
      </c>
      <c r="N100" s="134">
        <v>0</v>
      </c>
      <c r="O100" s="134">
        <v>0</v>
      </c>
      <c r="P100" s="134">
        <v>0.76</v>
      </c>
      <c r="Q100" s="134">
        <v>4.4400000000000004</v>
      </c>
    </row>
    <row r="101" spans="1:22" customFormat="1">
      <c r="A101" s="112" t="s">
        <v>1099</v>
      </c>
      <c r="B101" s="134">
        <v>8.26</v>
      </c>
      <c r="C101" s="134">
        <v>21.44</v>
      </c>
      <c r="D101" s="134">
        <v>19.18</v>
      </c>
      <c r="E101" s="134">
        <v>4.74</v>
      </c>
      <c r="F101" s="134">
        <v>2.57</v>
      </c>
      <c r="G101" s="134">
        <v>92.39</v>
      </c>
      <c r="H101" s="134">
        <v>28.75</v>
      </c>
      <c r="I101" s="134">
        <v>6.49</v>
      </c>
      <c r="J101" s="134">
        <v>0.15</v>
      </c>
      <c r="K101" s="134">
        <v>229.9</v>
      </c>
      <c r="L101" s="134">
        <v>20.55</v>
      </c>
      <c r="M101" s="134">
        <v>78.55</v>
      </c>
      <c r="N101" s="134">
        <v>0</v>
      </c>
      <c r="O101" s="134">
        <v>0</v>
      </c>
      <c r="P101" s="134">
        <v>0.76</v>
      </c>
      <c r="Q101" s="134">
        <v>4.4400000000000004</v>
      </c>
    </row>
    <row r="102" spans="1:22" customFormat="1">
      <c r="A102" s="112" t="s">
        <v>1100</v>
      </c>
      <c r="B102" s="134">
        <v>8.5</v>
      </c>
      <c r="C102" s="134">
        <v>22.43</v>
      </c>
      <c r="D102" s="134">
        <v>19.88</v>
      </c>
      <c r="E102" s="134">
        <v>5.52</v>
      </c>
      <c r="F102" s="134">
        <v>2.4700000000000002</v>
      </c>
      <c r="G102" s="134">
        <v>92.39</v>
      </c>
      <c r="H102" s="134">
        <v>28.75</v>
      </c>
      <c r="I102" s="134">
        <v>6.54</v>
      </c>
      <c r="J102" s="134">
        <v>0.15</v>
      </c>
      <c r="K102" s="134">
        <v>226.67</v>
      </c>
      <c r="L102" s="134">
        <v>20.41</v>
      </c>
      <c r="M102" s="134">
        <v>77.2</v>
      </c>
      <c r="N102" s="134">
        <v>0</v>
      </c>
      <c r="O102" s="134">
        <v>0</v>
      </c>
      <c r="P102" s="134">
        <v>0.77</v>
      </c>
      <c r="Q102" s="134">
        <v>4.45</v>
      </c>
    </row>
    <row r="103" spans="1:22" customFormat="1">
      <c r="A103" s="112" t="s">
        <v>1101</v>
      </c>
      <c r="B103" s="134">
        <v>8.61</v>
      </c>
      <c r="C103" s="134">
        <v>21.42</v>
      </c>
      <c r="D103" s="134">
        <v>19.440000000000001</v>
      </c>
      <c r="E103" s="134">
        <v>5.14</v>
      </c>
      <c r="F103" s="134">
        <v>2.69</v>
      </c>
      <c r="G103" s="134">
        <v>92.26</v>
      </c>
      <c r="H103" s="134">
        <v>28.79</v>
      </c>
      <c r="I103" s="134">
        <v>6.57</v>
      </c>
      <c r="J103" s="134">
        <v>0.14000000000000001</v>
      </c>
      <c r="K103" s="134">
        <v>226.33</v>
      </c>
      <c r="L103" s="134">
        <v>20.32</v>
      </c>
      <c r="M103" s="134">
        <v>77.86</v>
      </c>
      <c r="N103" s="134">
        <v>0</v>
      </c>
      <c r="O103" s="134">
        <v>0</v>
      </c>
      <c r="P103" s="134">
        <v>0.78</v>
      </c>
      <c r="Q103" s="134">
        <v>4.47</v>
      </c>
    </row>
    <row r="104" spans="1:22" customFormat="1">
      <c r="A104" s="112" t="s">
        <v>1102</v>
      </c>
      <c r="B104" s="134">
        <v>8.83</v>
      </c>
      <c r="C104" s="134">
        <v>22.46</v>
      </c>
      <c r="D104" s="134">
        <v>20.170000000000002</v>
      </c>
      <c r="E104" s="134">
        <v>4.84</v>
      </c>
      <c r="F104" s="134">
        <v>2.5099999999999998</v>
      </c>
      <c r="G104" s="134">
        <v>89.54</v>
      </c>
      <c r="H104" s="134">
        <v>29.37</v>
      </c>
      <c r="I104" s="134">
        <v>6.64</v>
      </c>
      <c r="J104" s="134">
        <v>0.12</v>
      </c>
      <c r="K104" s="134">
        <v>227.3</v>
      </c>
      <c r="L104" s="134">
        <v>20.239999999999998</v>
      </c>
      <c r="M104" s="134">
        <v>77.459999999999994</v>
      </c>
      <c r="N104" s="134">
        <v>0</v>
      </c>
      <c r="O104" s="134">
        <v>0</v>
      </c>
      <c r="P104" s="134">
        <v>0.79</v>
      </c>
      <c r="Q104" s="134">
        <v>4.4800000000000004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</v>
      </c>
      <c r="C106" s="183">
        <f>MIN(C9:C104)</f>
        <v>18.82</v>
      </c>
      <c r="D106" s="183">
        <f t="shared" ref="D106:Q106" si="0">MIN(D9:D104)</f>
        <v>14.74</v>
      </c>
      <c r="E106" s="183">
        <f t="shared" si="0"/>
        <v>3.89</v>
      </c>
      <c r="F106" s="183">
        <f t="shared" si="0"/>
        <v>2.4300000000000002</v>
      </c>
      <c r="G106" s="183">
        <f t="shared" si="0"/>
        <v>60.65</v>
      </c>
      <c r="H106" s="183">
        <f t="shared" si="0"/>
        <v>26.33</v>
      </c>
      <c r="I106" s="183">
        <f t="shared" si="0"/>
        <v>6.44</v>
      </c>
      <c r="J106" s="183">
        <f t="shared" si="0"/>
        <v>0.05</v>
      </c>
      <c r="K106" s="183">
        <f t="shared" si="0"/>
        <v>11.22</v>
      </c>
      <c r="L106" s="183">
        <f t="shared" si="0"/>
        <v>18.059999999999999</v>
      </c>
      <c r="M106" s="183">
        <f t="shared" si="0"/>
        <v>29.17</v>
      </c>
      <c r="N106" s="183">
        <f t="shared" si="0"/>
        <v>0</v>
      </c>
      <c r="O106" s="183">
        <f t="shared" si="0"/>
        <v>0</v>
      </c>
      <c r="P106" s="183">
        <f t="shared" si="0"/>
        <v>0.76</v>
      </c>
      <c r="Q106" s="183">
        <f t="shared" si="0"/>
        <v>4.1900000000000004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23.61</v>
      </c>
      <c r="C107" s="184">
        <f t="shared" ref="C107:Q107" si="1">MAX(C9:C104)</f>
        <v>31.93</v>
      </c>
      <c r="D107" s="184">
        <f t="shared" si="1"/>
        <v>34.74</v>
      </c>
      <c r="E107" s="184">
        <f t="shared" si="1"/>
        <v>7.68</v>
      </c>
      <c r="F107" s="184">
        <f t="shared" si="1"/>
        <v>6.7</v>
      </c>
      <c r="G107" s="184">
        <f t="shared" si="1"/>
        <v>152.81</v>
      </c>
      <c r="H107" s="184">
        <f t="shared" si="1"/>
        <v>48.27</v>
      </c>
      <c r="I107" s="184">
        <f t="shared" si="1"/>
        <v>10.8</v>
      </c>
      <c r="J107" s="184">
        <f t="shared" si="1"/>
        <v>0.38</v>
      </c>
      <c r="K107" s="184">
        <f t="shared" si="1"/>
        <v>334.55</v>
      </c>
      <c r="L107" s="184">
        <f t="shared" si="1"/>
        <v>32.520000000000003</v>
      </c>
      <c r="M107" s="184">
        <f t="shared" si="1"/>
        <v>91.68</v>
      </c>
      <c r="N107" s="184">
        <f t="shared" si="1"/>
        <v>630.1</v>
      </c>
      <c r="O107" s="184">
        <f t="shared" si="1"/>
        <v>0</v>
      </c>
      <c r="P107" s="184">
        <f t="shared" si="1"/>
        <v>1.1499999999999999</v>
      </c>
      <c r="Q107" s="184">
        <f t="shared" si="1"/>
        <v>5.18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9.6675000000000022</v>
      </c>
      <c r="C108" s="183">
        <f t="shared" ref="C108:Q108" si="2">AVERAGE(C9:C104)</f>
        <v>24.091770833333342</v>
      </c>
      <c r="D108" s="183">
        <f t="shared" si="2"/>
        <v>21.69020833333332</v>
      </c>
      <c r="E108" s="183">
        <f t="shared" si="2"/>
        <v>5.7488541666666668</v>
      </c>
      <c r="F108" s="183">
        <f t="shared" si="2"/>
        <v>3.428854166666667</v>
      </c>
      <c r="G108" s="183">
        <f t="shared" si="2"/>
        <v>92.89104166666668</v>
      </c>
      <c r="H108" s="183">
        <f t="shared" si="2"/>
        <v>34.876874999999977</v>
      </c>
      <c r="I108" s="183">
        <f t="shared" si="2"/>
        <v>8.3213541666666693</v>
      </c>
      <c r="J108" s="183">
        <f t="shared" si="2"/>
        <v>0.15999999999999995</v>
      </c>
      <c r="K108" s="183">
        <f t="shared" si="2"/>
        <v>166.52635416666666</v>
      </c>
      <c r="L108" s="183">
        <f t="shared" si="2"/>
        <v>24.007812499999996</v>
      </c>
      <c r="M108" s="183">
        <f t="shared" si="2"/>
        <v>64.149374999999978</v>
      </c>
      <c r="N108" s="183">
        <f t="shared" si="2"/>
        <v>132.953125</v>
      </c>
      <c r="O108" s="183">
        <f t="shared" si="2"/>
        <v>0</v>
      </c>
      <c r="P108" s="183">
        <f t="shared" si="2"/>
        <v>0.90333333333333365</v>
      </c>
      <c r="Q108" s="183">
        <f t="shared" si="2"/>
        <v>4.5359375000000002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5.5180438944477972</v>
      </c>
      <c r="C109" s="183">
        <f t="shared" ref="C109:Q109" si="3">STDEV(C9:C104)</f>
        <v>3.3632202597139309</v>
      </c>
      <c r="D109" s="183">
        <f t="shared" si="3"/>
        <v>5.6669971588352128</v>
      </c>
      <c r="E109" s="183">
        <f t="shared" si="3"/>
        <v>0.74596580956172898</v>
      </c>
      <c r="F109" s="183">
        <f t="shared" si="3"/>
        <v>1.1703952277051877</v>
      </c>
      <c r="G109" s="183">
        <f t="shared" si="3"/>
        <v>27.448364747732363</v>
      </c>
      <c r="H109" s="183">
        <f t="shared" si="3"/>
        <v>5.9285754590529889</v>
      </c>
      <c r="I109" s="183">
        <f t="shared" si="3"/>
        <v>1.3641798151205866</v>
      </c>
      <c r="J109" s="183">
        <f t="shared" si="3"/>
        <v>7.1554175279993484E-2</v>
      </c>
      <c r="K109" s="183">
        <f t="shared" si="3"/>
        <v>51.473219876579705</v>
      </c>
      <c r="L109" s="183">
        <f t="shared" si="3"/>
        <v>4.8558199921385734</v>
      </c>
      <c r="M109" s="183">
        <f t="shared" si="3"/>
        <v>21.222395708431929</v>
      </c>
      <c r="N109" s="183">
        <f t="shared" si="3"/>
        <v>209.72147642609735</v>
      </c>
      <c r="O109" s="183">
        <f t="shared" si="3"/>
        <v>0</v>
      </c>
      <c r="P109" s="183">
        <f t="shared" si="3"/>
        <v>0.1156370607744785</v>
      </c>
      <c r="Q109" s="183">
        <f t="shared" si="3"/>
        <v>0.27739608058931398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10/11/2023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1103</v>
      </c>
      <c r="B9" s="134">
        <v>9.4700000000000006</v>
      </c>
      <c r="C9" s="134">
        <v>20.79</v>
      </c>
      <c r="D9" s="134">
        <v>19.809999999999999</v>
      </c>
      <c r="E9" s="134">
        <v>4.99</v>
      </c>
      <c r="F9" s="134">
        <v>2.65</v>
      </c>
      <c r="G9" s="134">
        <v>89.54</v>
      </c>
      <c r="H9" s="134">
        <v>29.37</v>
      </c>
      <c r="I9" s="134">
        <v>6.65</v>
      </c>
      <c r="J9" s="134">
        <v>0.09</v>
      </c>
      <c r="K9" s="134">
        <v>259.75</v>
      </c>
      <c r="L9" s="134">
        <v>20.22</v>
      </c>
      <c r="M9" s="134">
        <v>77.75</v>
      </c>
      <c r="N9" s="134">
        <v>0</v>
      </c>
      <c r="O9" s="134">
        <v>0</v>
      </c>
      <c r="P9" s="134">
        <v>0.78</v>
      </c>
      <c r="Q9" s="134">
        <v>4.4800000000000004</v>
      </c>
    </row>
    <row r="10" spans="1:21" customFormat="1">
      <c r="A10" s="112" t="s">
        <v>1104</v>
      </c>
      <c r="B10" s="134">
        <v>10.35</v>
      </c>
      <c r="C10" s="134">
        <v>22.91</v>
      </c>
      <c r="D10" s="134">
        <v>21.62</v>
      </c>
      <c r="E10" s="134">
        <v>5.86</v>
      </c>
      <c r="F10" s="134">
        <v>2.41</v>
      </c>
      <c r="G10" s="134">
        <v>89.54</v>
      </c>
      <c r="H10" s="134">
        <v>29.37</v>
      </c>
      <c r="I10" s="134">
        <v>6.73</v>
      </c>
      <c r="J10" s="134">
        <v>0.12</v>
      </c>
      <c r="K10" s="134">
        <v>184.41</v>
      </c>
      <c r="L10" s="134">
        <v>20.420000000000002</v>
      </c>
      <c r="M10" s="134">
        <v>75.7</v>
      </c>
      <c r="N10" s="134">
        <v>0</v>
      </c>
      <c r="O10" s="134">
        <v>0</v>
      </c>
      <c r="P10" s="134">
        <v>0.8</v>
      </c>
      <c r="Q10" s="134">
        <v>4.53</v>
      </c>
    </row>
    <row r="11" spans="1:21" customFormat="1">
      <c r="A11" s="112" t="s">
        <v>1105</v>
      </c>
      <c r="B11" s="134">
        <v>11.68</v>
      </c>
      <c r="C11" s="134">
        <v>23.87</v>
      </c>
      <c r="D11" s="134">
        <v>23.19</v>
      </c>
      <c r="E11" s="134">
        <v>5.36</v>
      </c>
      <c r="F11" s="134">
        <v>2.37</v>
      </c>
      <c r="G11" s="134">
        <v>89.39</v>
      </c>
      <c r="H11" s="134">
        <v>29.5</v>
      </c>
      <c r="I11" s="134">
        <v>6.71</v>
      </c>
      <c r="J11" s="134">
        <v>0.13</v>
      </c>
      <c r="K11" s="134">
        <v>166.04</v>
      </c>
      <c r="L11" s="134">
        <v>20.46</v>
      </c>
      <c r="M11" s="134">
        <v>76</v>
      </c>
      <c r="N11" s="134">
        <v>0</v>
      </c>
      <c r="O11" s="134">
        <v>0</v>
      </c>
      <c r="P11" s="134">
        <v>0.83</v>
      </c>
      <c r="Q11" s="134">
        <v>4.5999999999999996</v>
      </c>
    </row>
    <row r="12" spans="1:21" customFormat="1">
      <c r="A12" s="112" t="s">
        <v>1106</v>
      </c>
      <c r="B12" s="134">
        <v>13.49</v>
      </c>
      <c r="C12" s="134">
        <v>23.98</v>
      </c>
      <c r="D12" s="134">
        <v>24.7</v>
      </c>
      <c r="E12" s="134">
        <v>5.76</v>
      </c>
      <c r="F12" s="134">
        <v>2.59</v>
      </c>
      <c r="G12" s="134">
        <v>86.8</v>
      </c>
      <c r="H12" s="134">
        <v>31.6</v>
      </c>
      <c r="I12" s="134">
        <v>6.87</v>
      </c>
      <c r="J12" s="134">
        <v>0.13</v>
      </c>
      <c r="K12" s="134">
        <v>174.71</v>
      </c>
      <c r="L12" s="134">
        <v>20.440000000000001</v>
      </c>
      <c r="M12" s="134">
        <v>77.31</v>
      </c>
      <c r="N12" s="134">
        <v>0</v>
      </c>
      <c r="O12" s="134">
        <v>0</v>
      </c>
      <c r="P12" s="134">
        <v>0.83</v>
      </c>
      <c r="Q12" s="134">
        <v>4.6900000000000004</v>
      </c>
    </row>
    <row r="13" spans="1:21" customFormat="1">
      <c r="A13" s="112" t="s">
        <v>1107</v>
      </c>
      <c r="B13" s="134">
        <v>15.27</v>
      </c>
      <c r="C13" s="134">
        <v>25.38</v>
      </c>
      <c r="D13" s="134">
        <v>26.86</v>
      </c>
      <c r="E13" s="134">
        <v>6.16</v>
      </c>
      <c r="F13" s="134">
        <v>2.5299999999999998</v>
      </c>
      <c r="G13" s="134">
        <v>86.8</v>
      </c>
      <c r="H13" s="134">
        <v>31.6</v>
      </c>
      <c r="I13" s="134">
        <v>7.03</v>
      </c>
      <c r="J13" s="134">
        <v>0.11</v>
      </c>
      <c r="K13" s="134">
        <v>212.29</v>
      </c>
      <c r="L13" s="134">
        <v>20.21</v>
      </c>
      <c r="M13" s="134">
        <v>81.13</v>
      </c>
      <c r="N13" s="134">
        <v>0</v>
      </c>
      <c r="O13" s="134">
        <v>0</v>
      </c>
      <c r="P13" s="134">
        <v>0.87</v>
      </c>
      <c r="Q13" s="134">
        <v>4.78</v>
      </c>
    </row>
    <row r="14" spans="1:21" customFormat="1">
      <c r="A14" s="112" t="s">
        <v>1108</v>
      </c>
      <c r="B14" s="134">
        <v>16.77</v>
      </c>
      <c r="C14" s="134">
        <v>25.99</v>
      </c>
      <c r="D14" s="134">
        <v>28.38</v>
      </c>
      <c r="E14" s="134">
        <v>5.7</v>
      </c>
      <c r="F14" s="134">
        <v>2.5</v>
      </c>
      <c r="G14" s="134">
        <v>86.8</v>
      </c>
      <c r="H14" s="134">
        <v>31.6</v>
      </c>
      <c r="I14" s="134">
        <v>7.16</v>
      </c>
      <c r="J14" s="134">
        <v>0.13</v>
      </c>
      <c r="K14" s="134">
        <v>221.69</v>
      </c>
      <c r="L14" s="134">
        <v>20</v>
      </c>
      <c r="M14" s="134">
        <v>85.84</v>
      </c>
      <c r="N14" s="134">
        <v>0</v>
      </c>
      <c r="O14" s="134">
        <v>0</v>
      </c>
      <c r="P14" s="134">
        <v>0.89</v>
      </c>
      <c r="Q14" s="134">
        <v>4.83</v>
      </c>
    </row>
    <row r="15" spans="1:21" customFormat="1">
      <c r="A15" s="112" t="s">
        <v>1109</v>
      </c>
      <c r="B15" s="134">
        <v>17.71</v>
      </c>
      <c r="C15" s="134">
        <v>25.44</v>
      </c>
      <c r="D15" s="134">
        <v>28.85</v>
      </c>
      <c r="E15" s="134">
        <v>5.98</v>
      </c>
      <c r="F15" s="134">
        <v>2.59</v>
      </c>
      <c r="G15" s="134">
        <v>86.87</v>
      </c>
      <c r="H15" s="134">
        <v>31.68</v>
      </c>
      <c r="I15" s="134">
        <v>7.4</v>
      </c>
      <c r="J15" s="134">
        <v>7.0000000000000007E-2</v>
      </c>
      <c r="K15" s="134">
        <v>199.11</v>
      </c>
      <c r="L15" s="134">
        <v>19.690000000000001</v>
      </c>
      <c r="M15" s="134">
        <v>85.8</v>
      </c>
      <c r="N15" s="134">
        <v>0</v>
      </c>
      <c r="O15" s="134">
        <v>0</v>
      </c>
      <c r="P15" s="134">
        <v>0.89</v>
      </c>
      <c r="Q15" s="134">
        <v>4.8899999999999997</v>
      </c>
    </row>
    <row r="16" spans="1:21" customFormat="1">
      <c r="A16" s="112" t="s">
        <v>1110</v>
      </c>
      <c r="B16" s="134">
        <v>18.48</v>
      </c>
      <c r="C16" s="134">
        <v>26.36</v>
      </c>
      <c r="D16" s="134">
        <v>29.94</v>
      </c>
      <c r="E16" s="134">
        <v>5.6</v>
      </c>
      <c r="F16" s="134">
        <v>2.37</v>
      </c>
      <c r="G16" s="134">
        <v>88.22</v>
      </c>
      <c r="H16" s="134">
        <v>33.31</v>
      </c>
      <c r="I16" s="134">
        <v>7.54</v>
      </c>
      <c r="J16" s="134">
        <v>0.09</v>
      </c>
      <c r="K16" s="134">
        <v>149.15</v>
      </c>
      <c r="L16" s="134">
        <v>19.78</v>
      </c>
      <c r="M16" s="134">
        <v>84.41</v>
      </c>
      <c r="N16" s="134">
        <v>0</v>
      </c>
      <c r="O16" s="134">
        <v>0</v>
      </c>
      <c r="P16" s="134">
        <v>0.91</v>
      </c>
      <c r="Q16" s="134">
        <v>4.91</v>
      </c>
    </row>
    <row r="17" spans="1:17" customFormat="1">
      <c r="A17" s="112" t="s">
        <v>1111</v>
      </c>
      <c r="B17" s="134">
        <v>20.260000000000002</v>
      </c>
      <c r="C17" s="134">
        <v>26.23</v>
      </c>
      <c r="D17" s="134">
        <v>31.3</v>
      </c>
      <c r="E17" s="134">
        <v>3.88</v>
      </c>
      <c r="F17" s="134">
        <v>2.56</v>
      </c>
      <c r="G17" s="134">
        <v>88.22</v>
      </c>
      <c r="H17" s="134">
        <v>33.31</v>
      </c>
      <c r="I17" s="134">
        <v>7.7</v>
      </c>
      <c r="J17" s="134">
        <v>0.14000000000000001</v>
      </c>
      <c r="K17" s="134">
        <v>157.4</v>
      </c>
      <c r="L17" s="134">
        <v>19.7</v>
      </c>
      <c r="M17" s="134">
        <v>84.69</v>
      </c>
      <c r="N17" s="134">
        <v>0</v>
      </c>
      <c r="O17" s="134">
        <v>0</v>
      </c>
      <c r="P17" s="134">
        <v>0.93</v>
      </c>
      <c r="Q17" s="134">
        <v>4.99</v>
      </c>
    </row>
    <row r="18" spans="1:17" customFormat="1">
      <c r="A18" s="112" t="s">
        <v>1112</v>
      </c>
      <c r="B18" s="134">
        <v>21.36</v>
      </c>
      <c r="C18" s="134">
        <v>26.81</v>
      </c>
      <c r="D18" s="134">
        <v>32.479999999999997</v>
      </c>
      <c r="E18" s="134">
        <v>4.62</v>
      </c>
      <c r="F18" s="134">
        <v>2.38</v>
      </c>
      <c r="G18" s="134">
        <v>88.22</v>
      </c>
      <c r="H18" s="134">
        <v>33.31</v>
      </c>
      <c r="I18" s="134">
        <v>7.88</v>
      </c>
      <c r="J18" s="134">
        <v>0.1</v>
      </c>
      <c r="K18" s="134">
        <v>178.8</v>
      </c>
      <c r="L18" s="134">
        <v>19.62</v>
      </c>
      <c r="M18" s="134">
        <v>89.55</v>
      </c>
      <c r="N18" s="134">
        <v>0</v>
      </c>
      <c r="O18" s="134">
        <v>0</v>
      </c>
      <c r="P18" s="134">
        <v>0.97</v>
      </c>
      <c r="Q18" s="134">
        <v>5.03</v>
      </c>
    </row>
    <row r="19" spans="1:17" customFormat="1">
      <c r="A19" s="112" t="s">
        <v>1113</v>
      </c>
      <c r="B19" s="134">
        <v>21.7</v>
      </c>
      <c r="C19" s="134">
        <v>26.87</v>
      </c>
      <c r="D19" s="134">
        <v>32.79</v>
      </c>
      <c r="E19" s="134">
        <v>4.8</v>
      </c>
      <c r="F19" s="134">
        <v>2.42</v>
      </c>
      <c r="G19" s="134">
        <v>88.5</v>
      </c>
      <c r="H19" s="134">
        <v>33.369999999999997</v>
      </c>
      <c r="I19" s="134">
        <v>8.14</v>
      </c>
      <c r="J19" s="134">
        <v>0.17</v>
      </c>
      <c r="K19" s="134">
        <v>208.38</v>
      </c>
      <c r="L19" s="134">
        <v>19.309999999999999</v>
      </c>
      <c r="M19" s="134">
        <v>91.03</v>
      </c>
      <c r="N19" s="134">
        <v>0</v>
      </c>
      <c r="O19" s="134">
        <v>0</v>
      </c>
      <c r="P19" s="134">
        <v>0.99</v>
      </c>
      <c r="Q19" s="134">
        <v>5.05</v>
      </c>
    </row>
    <row r="20" spans="1:17" customFormat="1">
      <c r="A20" s="112" t="s">
        <v>1114</v>
      </c>
      <c r="B20" s="134">
        <v>21.53</v>
      </c>
      <c r="C20" s="134">
        <v>27.43</v>
      </c>
      <c r="D20" s="134">
        <v>32.94</v>
      </c>
      <c r="E20" s="134">
        <v>5.41</v>
      </c>
      <c r="F20" s="134">
        <v>2.57</v>
      </c>
      <c r="G20" s="134">
        <v>94.58</v>
      </c>
      <c r="H20" s="134">
        <v>34.36</v>
      </c>
      <c r="I20" s="134">
        <v>8.42</v>
      </c>
      <c r="J20" s="134">
        <v>0.24</v>
      </c>
      <c r="K20" s="134">
        <v>160.21</v>
      </c>
      <c r="L20" s="134">
        <v>19.22</v>
      </c>
      <c r="M20" s="134">
        <v>88.2</v>
      </c>
      <c r="N20" s="134">
        <v>0</v>
      </c>
      <c r="O20" s="134">
        <v>0</v>
      </c>
      <c r="P20" s="134">
        <v>1.02</v>
      </c>
      <c r="Q20" s="134">
        <v>5.07</v>
      </c>
    </row>
    <row r="21" spans="1:17" customFormat="1">
      <c r="A21" s="112" t="s">
        <v>1115</v>
      </c>
      <c r="B21" s="134">
        <v>21.01</v>
      </c>
      <c r="C21" s="134">
        <v>27.4</v>
      </c>
      <c r="D21" s="134">
        <v>32.520000000000003</v>
      </c>
      <c r="E21" s="134">
        <v>4.8600000000000003</v>
      </c>
      <c r="F21" s="134">
        <v>2.71</v>
      </c>
      <c r="G21" s="134">
        <v>94.58</v>
      </c>
      <c r="H21" s="134">
        <v>34.36</v>
      </c>
      <c r="I21" s="134">
        <v>8.59</v>
      </c>
      <c r="J21" s="134">
        <v>0.14000000000000001</v>
      </c>
      <c r="K21" s="134">
        <v>164.81</v>
      </c>
      <c r="L21" s="134">
        <v>19.29</v>
      </c>
      <c r="M21" s="134">
        <v>86.98</v>
      </c>
      <c r="N21" s="134">
        <v>0</v>
      </c>
      <c r="O21" s="134">
        <v>0</v>
      </c>
      <c r="P21" s="134">
        <v>1.03</v>
      </c>
      <c r="Q21" s="134">
        <v>5.0599999999999996</v>
      </c>
    </row>
    <row r="22" spans="1:17" customFormat="1">
      <c r="A22" s="112" t="s">
        <v>1116</v>
      </c>
      <c r="B22" s="134">
        <v>20.49</v>
      </c>
      <c r="C22" s="134">
        <v>27.17</v>
      </c>
      <c r="D22" s="134">
        <v>31.97</v>
      </c>
      <c r="E22" s="134">
        <v>5.12</v>
      </c>
      <c r="F22" s="134">
        <v>2.76</v>
      </c>
      <c r="G22" s="134">
        <v>94.58</v>
      </c>
      <c r="H22" s="134">
        <v>34.36</v>
      </c>
      <c r="I22" s="134">
        <v>8.6999999999999993</v>
      </c>
      <c r="J22" s="134">
        <v>0.1</v>
      </c>
      <c r="K22" s="134">
        <v>154.46</v>
      </c>
      <c r="L22" s="134">
        <v>18.96</v>
      </c>
      <c r="M22" s="134">
        <v>88.61</v>
      </c>
      <c r="N22" s="134">
        <v>0</v>
      </c>
      <c r="O22" s="134">
        <v>0</v>
      </c>
      <c r="P22" s="134">
        <v>1.04</v>
      </c>
      <c r="Q22" s="134">
        <v>5.05</v>
      </c>
    </row>
    <row r="23" spans="1:17" customFormat="1">
      <c r="A23" s="112" t="s">
        <v>1117</v>
      </c>
      <c r="B23" s="134">
        <v>19.86</v>
      </c>
      <c r="C23" s="134">
        <v>26.88</v>
      </c>
      <c r="D23" s="134">
        <v>31.32</v>
      </c>
      <c r="E23" s="134">
        <v>4.9400000000000004</v>
      </c>
      <c r="F23" s="134">
        <v>2.75</v>
      </c>
      <c r="G23" s="134">
        <v>94.06</v>
      </c>
      <c r="H23" s="134">
        <v>34.36</v>
      </c>
      <c r="I23" s="134">
        <v>8.77</v>
      </c>
      <c r="J23" s="134">
        <v>0.1</v>
      </c>
      <c r="K23" s="134">
        <v>151.86000000000001</v>
      </c>
      <c r="L23" s="134">
        <v>18.87</v>
      </c>
      <c r="M23" s="134">
        <v>86.01</v>
      </c>
      <c r="N23" s="134">
        <v>0</v>
      </c>
      <c r="O23" s="134">
        <v>0</v>
      </c>
      <c r="P23" s="134">
        <v>1.03</v>
      </c>
      <c r="Q23" s="134">
        <v>5.03</v>
      </c>
    </row>
    <row r="24" spans="1:17" customFormat="1">
      <c r="A24" s="112" t="s">
        <v>1118</v>
      </c>
      <c r="B24" s="134">
        <v>19.28</v>
      </c>
      <c r="C24" s="134">
        <v>26.74</v>
      </c>
      <c r="D24" s="134">
        <v>30.78</v>
      </c>
      <c r="E24" s="134">
        <v>4.7300000000000004</v>
      </c>
      <c r="F24" s="134">
        <v>2.68</v>
      </c>
      <c r="G24" s="134">
        <v>83.01</v>
      </c>
      <c r="H24" s="134">
        <v>34.340000000000003</v>
      </c>
      <c r="I24" s="134">
        <v>8.75</v>
      </c>
      <c r="J24" s="134">
        <v>0.11</v>
      </c>
      <c r="K24" s="134">
        <v>187.65</v>
      </c>
      <c r="L24" s="134">
        <v>18.88</v>
      </c>
      <c r="M24" s="134">
        <v>86.12</v>
      </c>
      <c r="N24" s="134">
        <v>0</v>
      </c>
      <c r="O24" s="134">
        <v>0</v>
      </c>
      <c r="P24" s="134">
        <v>1.03</v>
      </c>
      <c r="Q24" s="134">
        <v>5</v>
      </c>
    </row>
    <row r="25" spans="1:17" customFormat="1">
      <c r="A25" s="112" t="s">
        <v>1119</v>
      </c>
      <c r="B25" s="134">
        <v>18.760000000000002</v>
      </c>
      <c r="C25" s="134">
        <v>26.36</v>
      </c>
      <c r="D25" s="134">
        <v>30.17</v>
      </c>
      <c r="E25" s="134">
        <v>5.13</v>
      </c>
      <c r="F25" s="134">
        <v>2.69</v>
      </c>
      <c r="G25" s="134">
        <v>83.01</v>
      </c>
      <c r="H25" s="134">
        <v>34.340000000000003</v>
      </c>
      <c r="I25" s="134">
        <v>8.75</v>
      </c>
      <c r="J25" s="134">
        <v>0.09</v>
      </c>
      <c r="K25" s="134">
        <v>168.84</v>
      </c>
      <c r="L25" s="134">
        <v>18.850000000000001</v>
      </c>
      <c r="M25" s="134">
        <v>90.66</v>
      </c>
      <c r="N25" s="134">
        <v>0</v>
      </c>
      <c r="O25" s="134">
        <v>0</v>
      </c>
      <c r="P25" s="134">
        <v>1.02</v>
      </c>
      <c r="Q25" s="134">
        <v>4.9800000000000004</v>
      </c>
    </row>
    <row r="26" spans="1:17" customFormat="1">
      <c r="A26" s="112" t="s">
        <v>1120</v>
      </c>
      <c r="B26" s="134">
        <v>18.27</v>
      </c>
      <c r="C26" s="134">
        <v>25.9</v>
      </c>
      <c r="D26" s="134">
        <v>29.54</v>
      </c>
      <c r="E26" s="134">
        <v>4.68</v>
      </c>
      <c r="F26" s="134">
        <v>2.69</v>
      </c>
      <c r="G26" s="134">
        <v>83.01</v>
      </c>
      <c r="H26" s="134">
        <v>34.340000000000003</v>
      </c>
      <c r="I26" s="134">
        <v>8.75</v>
      </c>
      <c r="J26" s="134">
        <v>0.06</v>
      </c>
      <c r="K26" s="134">
        <v>216.33</v>
      </c>
      <c r="L26" s="134">
        <v>18.559999999999999</v>
      </c>
      <c r="M26" s="134">
        <v>91.05</v>
      </c>
      <c r="N26" s="134">
        <v>0</v>
      </c>
      <c r="O26" s="134">
        <v>0</v>
      </c>
      <c r="P26" s="134">
        <v>1.01</v>
      </c>
      <c r="Q26" s="134">
        <v>4.95</v>
      </c>
    </row>
    <row r="27" spans="1:17" customFormat="1">
      <c r="A27" s="112" t="s">
        <v>1121</v>
      </c>
      <c r="B27" s="134">
        <v>17.809999999999999</v>
      </c>
      <c r="C27" s="134">
        <v>25.46</v>
      </c>
      <c r="D27" s="134">
        <v>28.94</v>
      </c>
      <c r="E27" s="134">
        <v>4.88</v>
      </c>
      <c r="F27" s="134">
        <v>2.69</v>
      </c>
      <c r="G27" s="134">
        <v>82.57</v>
      </c>
      <c r="H27" s="134">
        <v>34.08</v>
      </c>
      <c r="I27" s="134">
        <v>8.74</v>
      </c>
      <c r="J27" s="134">
        <v>0.08</v>
      </c>
      <c r="K27" s="134">
        <v>173.26</v>
      </c>
      <c r="L27" s="134">
        <v>18.48</v>
      </c>
      <c r="M27" s="134">
        <v>91.89</v>
      </c>
      <c r="N27" s="134">
        <v>0</v>
      </c>
      <c r="O27" s="134">
        <v>0</v>
      </c>
      <c r="P27" s="134">
        <v>1</v>
      </c>
      <c r="Q27" s="134">
        <v>4.91</v>
      </c>
    </row>
    <row r="28" spans="1:17" customFormat="1">
      <c r="A28" s="112" t="s">
        <v>1122</v>
      </c>
      <c r="B28" s="134">
        <v>17.29</v>
      </c>
      <c r="C28" s="134">
        <v>25.32</v>
      </c>
      <c r="D28" s="134">
        <v>28.45</v>
      </c>
      <c r="E28" s="134">
        <v>5.04</v>
      </c>
      <c r="F28" s="134">
        <v>2.57</v>
      </c>
      <c r="G28" s="134">
        <v>73.12</v>
      </c>
      <c r="H28" s="134">
        <v>30.77</v>
      </c>
      <c r="I28" s="134">
        <v>8.7200000000000006</v>
      </c>
      <c r="J28" s="134">
        <v>0.1</v>
      </c>
      <c r="K28" s="134">
        <v>156.83000000000001</v>
      </c>
      <c r="L28" s="134">
        <v>18.510000000000002</v>
      </c>
      <c r="M28" s="134">
        <v>90.37</v>
      </c>
      <c r="N28" s="134">
        <v>0</v>
      </c>
      <c r="O28" s="134">
        <v>0</v>
      </c>
      <c r="P28" s="134">
        <v>0.99</v>
      </c>
      <c r="Q28" s="134">
        <v>4.92</v>
      </c>
    </row>
    <row r="29" spans="1:17" customFormat="1">
      <c r="A29" s="112" t="s">
        <v>1123</v>
      </c>
      <c r="B29" s="134">
        <v>16.920000000000002</v>
      </c>
      <c r="C29" s="134">
        <v>25.21</v>
      </c>
      <c r="D29" s="134">
        <v>28.09</v>
      </c>
      <c r="E29" s="134">
        <v>4.5</v>
      </c>
      <c r="F29" s="134">
        <v>2.61</v>
      </c>
      <c r="G29" s="134">
        <v>73.12</v>
      </c>
      <c r="H29" s="134">
        <v>30.77</v>
      </c>
      <c r="I29" s="134">
        <v>8.66</v>
      </c>
      <c r="J29" s="134">
        <v>0.1</v>
      </c>
      <c r="K29" s="134">
        <v>195.15</v>
      </c>
      <c r="L29" s="134">
        <v>18.489999999999998</v>
      </c>
      <c r="M29" s="134">
        <v>88.79</v>
      </c>
      <c r="N29" s="134">
        <v>0</v>
      </c>
      <c r="O29" s="134">
        <v>0</v>
      </c>
      <c r="P29" s="134">
        <v>0.99</v>
      </c>
      <c r="Q29" s="134">
        <v>4.91</v>
      </c>
    </row>
    <row r="30" spans="1:17" customFormat="1">
      <c r="A30" s="112" t="s">
        <v>1124</v>
      </c>
      <c r="B30" s="134">
        <v>16.91</v>
      </c>
      <c r="C30" s="134">
        <v>25.15</v>
      </c>
      <c r="D30" s="134">
        <v>28.05</v>
      </c>
      <c r="E30" s="134">
        <v>4.96</v>
      </c>
      <c r="F30" s="134">
        <v>2.4900000000000002</v>
      </c>
      <c r="G30" s="134">
        <v>73.12</v>
      </c>
      <c r="H30" s="134">
        <v>30.77</v>
      </c>
      <c r="I30" s="134">
        <v>8.6199999999999992</v>
      </c>
      <c r="J30" s="134">
        <v>0.13</v>
      </c>
      <c r="K30" s="134">
        <v>184.31</v>
      </c>
      <c r="L30" s="134">
        <v>18.5</v>
      </c>
      <c r="M30" s="134">
        <v>92.52</v>
      </c>
      <c r="N30" s="134">
        <v>0</v>
      </c>
      <c r="O30" s="134">
        <v>0</v>
      </c>
      <c r="P30" s="134">
        <v>0.98</v>
      </c>
      <c r="Q30" s="134">
        <v>4.91</v>
      </c>
    </row>
    <row r="31" spans="1:17" customFormat="1">
      <c r="A31" s="112" t="s">
        <v>1125</v>
      </c>
      <c r="B31" s="134">
        <v>16.600000000000001</v>
      </c>
      <c r="C31" s="134">
        <v>25.02</v>
      </c>
      <c r="D31" s="134">
        <v>27.73</v>
      </c>
      <c r="E31" s="134">
        <v>4.83</v>
      </c>
      <c r="F31" s="134">
        <v>2.52</v>
      </c>
      <c r="G31" s="134">
        <v>73.040000000000006</v>
      </c>
      <c r="H31" s="134">
        <v>30.78</v>
      </c>
      <c r="I31" s="134">
        <v>8.58</v>
      </c>
      <c r="J31" s="134">
        <v>0.09</v>
      </c>
      <c r="K31" s="134">
        <v>168.62</v>
      </c>
      <c r="L31" s="134">
        <v>18.28</v>
      </c>
      <c r="M31" s="134">
        <v>92.1</v>
      </c>
      <c r="N31" s="134">
        <v>0</v>
      </c>
      <c r="O31" s="134">
        <v>0</v>
      </c>
      <c r="P31" s="134">
        <v>0.97</v>
      </c>
      <c r="Q31" s="134">
        <v>4.9000000000000004</v>
      </c>
    </row>
    <row r="32" spans="1:17" customFormat="1">
      <c r="A32" s="112" t="s">
        <v>1126</v>
      </c>
      <c r="B32" s="134">
        <v>16.21</v>
      </c>
      <c r="C32" s="134">
        <v>25.09</v>
      </c>
      <c r="D32" s="134">
        <v>27.46</v>
      </c>
      <c r="E32" s="134">
        <v>4.68</v>
      </c>
      <c r="F32" s="134">
        <v>2.52</v>
      </c>
      <c r="G32" s="134">
        <v>71.680000000000007</v>
      </c>
      <c r="H32" s="134">
        <v>30.96</v>
      </c>
      <c r="I32" s="134">
        <v>8.57</v>
      </c>
      <c r="J32" s="134">
        <v>0.08</v>
      </c>
      <c r="K32" s="134">
        <v>176.21</v>
      </c>
      <c r="L32" s="134">
        <v>18.170000000000002</v>
      </c>
      <c r="M32" s="134">
        <v>92.01</v>
      </c>
      <c r="N32" s="134">
        <v>0</v>
      </c>
      <c r="O32" s="134">
        <v>0</v>
      </c>
      <c r="P32" s="134">
        <v>0.96</v>
      </c>
      <c r="Q32" s="134">
        <v>4.8600000000000003</v>
      </c>
    </row>
    <row r="33" spans="1:17" customFormat="1">
      <c r="A33" s="112" t="s">
        <v>1127</v>
      </c>
      <c r="B33" s="134">
        <v>16.010000000000002</v>
      </c>
      <c r="C33" s="134">
        <v>24.85</v>
      </c>
      <c r="D33" s="134">
        <v>27.18</v>
      </c>
      <c r="E33" s="134">
        <v>4.6100000000000003</v>
      </c>
      <c r="F33" s="134">
        <v>2.44</v>
      </c>
      <c r="G33" s="134">
        <v>71.680000000000007</v>
      </c>
      <c r="H33" s="134">
        <v>30.96</v>
      </c>
      <c r="I33" s="134">
        <v>8.4700000000000006</v>
      </c>
      <c r="J33" s="134">
        <v>7.0000000000000007E-2</v>
      </c>
      <c r="K33" s="134">
        <v>166.59</v>
      </c>
      <c r="L33" s="134">
        <v>18.18</v>
      </c>
      <c r="M33" s="134">
        <v>91.63</v>
      </c>
      <c r="N33" s="134">
        <v>0</v>
      </c>
      <c r="O33" s="134">
        <v>0</v>
      </c>
      <c r="P33" s="134">
        <v>0.96</v>
      </c>
      <c r="Q33" s="134">
        <v>4.8600000000000003</v>
      </c>
    </row>
    <row r="34" spans="1:17" customFormat="1">
      <c r="A34" s="112" t="s">
        <v>1128</v>
      </c>
      <c r="B34" s="134">
        <v>15.61</v>
      </c>
      <c r="C34" s="134">
        <v>24.55</v>
      </c>
      <c r="D34" s="134">
        <v>26.69</v>
      </c>
      <c r="E34" s="134">
        <v>4.93</v>
      </c>
      <c r="F34" s="134">
        <v>2.5499999999999998</v>
      </c>
      <c r="G34" s="134">
        <v>71.680000000000007</v>
      </c>
      <c r="H34" s="134">
        <v>30.96</v>
      </c>
      <c r="I34" s="134">
        <v>8.4700000000000006</v>
      </c>
      <c r="J34" s="134">
        <v>0.11</v>
      </c>
      <c r="K34" s="134">
        <v>175.56</v>
      </c>
      <c r="L34" s="134">
        <v>18.29</v>
      </c>
      <c r="M34" s="134">
        <v>90.05</v>
      </c>
      <c r="N34" s="134">
        <v>1.7</v>
      </c>
      <c r="O34" s="134">
        <v>0</v>
      </c>
      <c r="P34" s="134">
        <v>0.94</v>
      </c>
      <c r="Q34" s="134">
        <v>4.84</v>
      </c>
    </row>
    <row r="35" spans="1:17" customFormat="1">
      <c r="A35" s="112" t="s">
        <v>1129</v>
      </c>
      <c r="B35" s="134">
        <v>15.3</v>
      </c>
      <c r="C35" s="134">
        <v>24.42</v>
      </c>
      <c r="D35" s="134">
        <v>26.38</v>
      </c>
      <c r="E35" s="134">
        <v>4.9800000000000004</v>
      </c>
      <c r="F35" s="134">
        <v>2.4900000000000002</v>
      </c>
      <c r="G35" s="134">
        <v>71.86</v>
      </c>
      <c r="H35" s="134">
        <v>30.97</v>
      </c>
      <c r="I35" s="134">
        <v>8.43</v>
      </c>
      <c r="J35" s="134">
        <v>0.18</v>
      </c>
      <c r="K35" s="134">
        <v>159.63</v>
      </c>
      <c r="L35" s="134">
        <v>18.59</v>
      </c>
      <c r="M35" s="134">
        <v>91.88</v>
      </c>
      <c r="N35" s="134">
        <v>16.399999999999999</v>
      </c>
      <c r="O35" s="134">
        <v>0</v>
      </c>
      <c r="P35" s="134">
        <v>0.94</v>
      </c>
      <c r="Q35" s="134">
        <v>4.8</v>
      </c>
    </row>
    <row r="36" spans="1:17" customFormat="1">
      <c r="A36" s="112" t="s">
        <v>1130</v>
      </c>
      <c r="B36" s="134">
        <v>15.16</v>
      </c>
      <c r="C36" s="134">
        <v>24.4</v>
      </c>
      <c r="D36" s="134">
        <v>26.25</v>
      </c>
      <c r="E36" s="134">
        <v>4.7699999999999996</v>
      </c>
      <c r="F36" s="134">
        <v>2.4900000000000002</v>
      </c>
      <c r="G36" s="134">
        <v>74.95</v>
      </c>
      <c r="H36" s="134">
        <v>31.2</v>
      </c>
      <c r="I36" s="134">
        <v>8.3699999999999992</v>
      </c>
      <c r="J36" s="134">
        <v>0.23</v>
      </c>
      <c r="K36" s="134">
        <v>158.49</v>
      </c>
      <c r="L36" s="134">
        <v>19.16</v>
      </c>
      <c r="M36" s="134">
        <v>89.22</v>
      </c>
      <c r="N36" s="134">
        <v>29.7</v>
      </c>
      <c r="O36" s="134">
        <v>0</v>
      </c>
      <c r="P36" s="134">
        <v>0.93</v>
      </c>
      <c r="Q36" s="134">
        <v>4.8</v>
      </c>
    </row>
    <row r="37" spans="1:17" customFormat="1">
      <c r="A37" s="112" t="s">
        <v>1131</v>
      </c>
      <c r="B37" s="134">
        <v>14.83</v>
      </c>
      <c r="C37" s="134">
        <v>24.41</v>
      </c>
      <c r="D37" s="134">
        <v>26</v>
      </c>
      <c r="E37" s="134">
        <v>5.3</v>
      </c>
      <c r="F37" s="134">
        <v>2.5499999999999998</v>
      </c>
      <c r="G37" s="134">
        <v>74.95</v>
      </c>
      <c r="H37" s="134">
        <v>31.2</v>
      </c>
      <c r="I37" s="134">
        <v>8.34</v>
      </c>
      <c r="J37" s="134">
        <v>0.23</v>
      </c>
      <c r="K37" s="134">
        <v>168.7</v>
      </c>
      <c r="L37" s="134">
        <v>19.940000000000001</v>
      </c>
      <c r="M37" s="134">
        <v>82.78</v>
      </c>
      <c r="N37" s="134">
        <v>44.8</v>
      </c>
      <c r="O37" s="134">
        <v>0</v>
      </c>
      <c r="P37" s="134">
        <v>0.93</v>
      </c>
      <c r="Q37" s="134">
        <v>4.82</v>
      </c>
    </row>
    <row r="38" spans="1:17" customFormat="1">
      <c r="A38" s="112" t="s">
        <v>1132</v>
      </c>
      <c r="B38" s="134">
        <v>14.3</v>
      </c>
      <c r="C38" s="134">
        <v>24.84</v>
      </c>
      <c r="D38" s="134">
        <v>25.8</v>
      </c>
      <c r="E38" s="134">
        <v>4.92</v>
      </c>
      <c r="F38" s="134">
        <v>2.65</v>
      </c>
      <c r="G38" s="134">
        <v>74.95</v>
      </c>
      <c r="H38" s="134">
        <v>31.2</v>
      </c>
      <c r="I38" s="134">
        <v>8.3000000000000007</v>
      </c>
      <c r="J38" s="134">
        <v>0.28000000000000003</v>
      </c>
      <c r="K38" s="134">
        <v>161.56</v>
      </c>
      <c r="L38" s="134">
        <v>20.94</v>
      </c>
      <c r="M38" s="134">
        <v>78.69</v>
      </c>
      <c r="N38" s="134">
        <v>61.6</v>
      </c>
      <c r="O38" s="134">
        <v>0</v>
      </c>
      <c r="P38" s="134">
        <v>0.92</v>
      </c>
      <c r="Q38" s="134">
        <v>4.78</v>
      </c>
    </row>
    <row r="39" spans="1:17" customFormat="1">
      <c r="A39" s="112" t="s">
        <v>1133</v>
      </c>
      <c r="B39" s="134">
        <v>13.73</v>
      </c>
      <c r="C39" s="134">
        <v>25.45</v>
      </c>
      <c r="D39" s="134">
        <v>25.66</v>
      </c>
      <c r="E39" s="134">
        <v>4.62</v>
      </c>
      <c r="F39" s="134">
        <v>2.61</v>
      </c>
      <c r="G39" s="134">
        <v>75.06</v>
      </c>
      <c r="H39" s="134">
        <v>31.08</v>
      </c>
      <c r="I39" s="134">
        <v>8.3000000000000007</v>
      </c>
      <c r="J39" s="134">
        <v>0.28000000000000003</v>
      </c>
      <c r="K39" s="134">
        <v>160.59</v>
      </c>
      <c r="L39" s="134">
        <v>21.84</v>
      </c>
      <c r="M39" s="134">
        <v>74.06</v>
      </c>
      <c r="N39" s="134">
        <v>129.1</v>
      </c>
      <c r="O39" s="134">
        <v>0</v>
      </c>
      <c r="P39" s="134">
        <v>0.92</v>
      </c>
      <c r="Q39" s="134">
        <v>4.7699999999999996</v>
      </c>
    </row>
    <row r="40" spans="1:17" customFormat="1">
      <c r="A40" s="112" t="s">
        <v>1134</v>
      </c>
      <c r="B40" s="134">
        <v>13.31</v>
      </c>
      <c r="C40" s="134">
        <v>25.14</v>
      </c>
      <c r="D40" s="134">
        <v>25.16</v>
      </c>
      <c r="E40" s="134">
        <v>4.82</v>
      </c>
      <c r="F40" s="134">
        <v>2.57</v>
      </c>
      <c r="G40" s="134">
        <v>77.3</v>
      </c>
      <c r="H40" s="134">
        <v>29.08</v>
      </c>
      <c r="I40" s="134">
        <v>8.32</v>
      </c>
      <c r="J40" s="134">
        <v>0.09</v>
      </c>
      <c r="K40" s="134">
        <v>145.47</v>
      </c>
      <c r="L40" s="134">
        <v>22.77</v>
      </c>
      <c r="M40" s="134">
        <v>71.94</v>
      </c>
      <c r="N40" s="134">
        <v>177.6</v>
      </c>
      <c r="O40" s="134">
        <v>0</v>
      </c>
      <c r="P40" s="134">
        <v>0.91</v>
      </c>
      <c r="Q40" s="134">
        <v>4.7300000000000004</v>
      </c>
    </row>
    <row r="41" spans="1:17" customFormat="1">
      <c r="A41" s="112" t="s">
        <v>1135</v>
      </c>
      <c r="B41" s="134">
        <v>13.07</v>
      </c>
      <c r="C41" s="134">
        <v>23.71</v>
      </c>
      <c r="D41" s="134">
        <v>24.22</v>
      </c>
      <c r="E41" s="134">
        <v>4.7</v>
      </c>
      <c r="F41" s="134">
        <v>2.81</v>
      </c>
      <c r="G41" s="134">
        <v>77.3</v>
      </c>
      <c r="H41" s="134">
        <v>29.08</v>
      </c>
      <c r="I41" s="134">
        <v>8.33</v>
      </c>
      <c r="J41" s="134">
        <v>0.09</v>
      </c>
      <c r="K41" s="134">
        <v>220.01</v>
      </c>
      <c r="L41" s="134">
        <v>23.52</v>
      </c>
      <c r="M41" s="134">
        <v>68.22</v>
      </c>
      <c r="N41" s="134">
        <v>215.7</v>
      </c>
      <c r="O41" s="134">
        <v>0</v>
      </c>
      <c r="P41" s="134">
        <v>0.9</v>
      </c>
      <c r="Q41" s="134">
        <v>4.7</v>
      </c>
    </row>
    <row r="42" spans="1:17" customFormat="1">
      <c r="A42" s="112" t="s">
        <v>1136</v>
      </c>
      <c r="B42" s="134">
        <v>12.53</v>
      </c>
      <c r="C42" s="134">
        <v>22.36</v>
      </c>
      <c r="D42" s="134">
        <v>23.08</v>
      </c>
      <c r="E42" s="134">
        <v>4.6100000000000003</v>
      </c>
      <c r="F42" s="134">
        <v>2.9</v>
      </c>
      <c r="G42" s="134">
        <v>77.3</v>
      </c>
      <c r="H42" s="134">
        <v>29.08</v>
      </c>
      <c r="I42" s="134">
        <v>8.3800000000000008</v>
      </c>
      <c r="J42" s="134">
        <v>0.13</v>
      </c>
      <c r="K42" s="134">
        <v>160.38</v>
      </c>
      <c r="L42" s="134">
        <v>24.57</v>
      </c>
      <c r="M42" s="134">
        <v>60.96</v>
      </c>
      <c r="N42" s="134">
        <v>256.7</v>
      </c>
      <c r="O42" s="134">
        <v>0</v>
      </c>
      <c r="P42" s="134">
        <v>0.87</v>
      </c>
      <c r="Q42" s="134">
        <v>4.66</v>
      </c>
    </row>
    <row r="43" spans="1:17" customFormat="1">
      <c r="A43" s="112" t="s">
        <v>1137</v>
      </c>
      <c r="B43" s="134">
        <v>12.16</v>
      </c>
      <c r="C43" s="134">
        <v>22.76</v>
      </c>
      <c r="D43" s="134">
        <v>22.99</v>
      </c>
      <c r="E43" s="134">
        <v>4.16</v>
      </c>
      <c r="F43" s="134">
        <v>2.75</v>
      </c>
      <c r="G43" s="134">
        <v>77.03</v>
      </c>
      <c r="H43" s="134">
        <v>29.28</v>
      </c>
      <c r="I43" s="134">
        <v>8.4600000000000009</v>
      </c>
      <c r="J43" s="134">
        <v>0.12</v>
      </c>
      <c r="K43" s="134">
        <v>182.43</v>
      </c>
      <c r="L43" s="134">
        <v>25.27</v>
      </c>
      <c r="M43" s="134">
        <v>60.97</v>
      </c>
      <c r="N43" s="134">
        <v>291</v>
      </c>
      <c r="O43" s="134">
        <v>0</v>
      </c>
      <c r="P43" s="134">
        <v>0.87</v>
      </c>
      <c r="Q43" s="134">
        <v>4.6100000000000003</v>
      </c>
    </row>
    <row r="44" spans="1:17" customFormat="1">
      <c r="A44" s="112" t="s">
        <v>1138</v>
      </c>
      <c r="B44" s="134">
        <v>11.73</v>
      </c>
      <c r="C44" s="134">
        <v>22.03</v>
      </c>
      <c r="D44" s="134">
        <v>22.26</v>
      </c>
      <c r="E44" s="134">
        <v>4.29</v>
      </c>
      <c r="F44" s="134">
        <v>2.92</v>
      </c>
      <c r="G44" s="134">
        <v>71.260000000000005</v>
      </c>
      <c r="H44" s="134">
        <v>32.35</v>
      </c>
      <c r="I44" s="134">
        <v>8.42</v>
      </c>
      <c r="J44" s="134">
        <v>0.09</v>
      </c>
      <c r="K44" s="134">
        <v>260.26</v>
      </c>
      <c r="L44" s="134">
        <v>25.95</v>
      </c>
      <c r="M44" s="134">
        <v>57.22</v>
      </c>
      <c r="N44" s="134">
        <v>327.9</v>
      </c>
      <c r="O44" s="134">
        <v>0</v>
      </c>
      <c r="P44" s="134">
        <v>0.85</v>
      </c>
      <c r="Q44" s="134">
        <v>4.6100000000000003</v>
      </c>
    </row>
    <row r="45" spans="1:17" customFormat="1">
      <c r="A45" s="112" t="s">
        <v>1139</v>
      </c>
      <c r="B45" s="134">
        <v>11.17</v>
      </c>
      <c r="C45" s="134">
        <v>21.94</v>
      </c>
      <c r="D45" s="134">
        <v>21.77</v>
      </c>
      <c r="E45" s="134">
        <v>3.93</v>
      </c>
      <c r="F45" s="134">
        <v>2.9</v>
      </c>
      <c r="G45" s="134">
        <v>71.260000000000005</v>
      </c>
      <c r="H45" s="134">
        <v>32.35</v>
      </c>
      <c r="I45" s="134">
        <v>8.43</v>
      </c>
      <c r="J45" s="134">
        <v>0.05</v>
      </c>
      <c r="K45" s="134">
        <v>199.64</v>
      </c>
      <c r="L45" s="134">
        <v>26.77</v>
      </c>
      <c r="M45" s="134">
        <v>55.69</v>
      </c>
      <c r="N45" s="134">
        <v>312</v>
      </c>
      <c r="O45" s="134">
        <v>0</v>
      </c>
      <c r="P45" s="134">
        <v>0.85</v>
      </c>
      <c r="Q45" s="134">
        <v>4.59</v>
      </c>
    </row>
    <row r="46" spans="1:17" customFormat="1">
      <c r="A46" s="112" t="s">
        <v>1140</v>
      </c>
      <c r="B46" s="134">
        <v>10.63</v>
      </c>
      <c r="C46" s="134">
        <v>23.31</v>
      </c>
      <c r="D46" s="134">
        <v>22.05</v>
      </c>
      <c r="E46" s="134">
        <v>4.47</v>
      </c>
      <c r="F46" s="134">
        <v>2.86</v>
      </c>
      <c r="G46" s="134">
        <v>71.260000000000005</v>
      </c>
      <c r="H46" s="134">
        <v>32.35</v>
      </c>
      <c r="I46" s="134">
        <v>8.41</v>
      </c>
      <c r="J46" s="134">
        <v>0.16</v>
      </c>
      <c r="K46" s="134">
        <v>193.92</v>
      </c>
      <c r="L46" s="134">
        <v>27.18</v>
      </c>
      <c r="M46" s="134">
        <v>52.69</v>
      </c>
      <c r="N46" s="134">
        <v>258.89999999999998</v>
      </c>
      <c r="O46" s="134">
        <v>0</v>
      </c>
      <c r="P46" s="134">
        <v>0.86</v>
      </c>
      <c r="Q46" s="134">
        <v>4.5599999999999996</v>
      </c>
    </row>
    <row r="47" spans="1:17" customFormat="1">
      <c r="A47" s="112" t="s">
        <v>1141</v>
      </c>
      <c r="B47" s="134">
        <v>10.18</v>
      </c>
      <c r="C47" s="134">
        <v>22.57</v>
      </c>
      <c r="D47" s="134">
        <v>21.31</v>
      </c>
      <c r="E47" s="134">
        <v>4.3</v>
      </c>
      <c r="F47" s="134">
        <v>3.08</v>
      </c>
      <c r="G47" s="134">
        <v>71.239999999999995</v>
      </c>
      <c r="H47" s="134">
        <v>32.340000000000003</v>
      </c>
      <c r="I47" s="134">
        <v>8.3800000000000008</v>
      </c>
      <c r="J47" s="134">
        <v>0.11</v>
      </c>
      <c r="K47" s="134">
        <v>188.94</v>
      </c>
      <c r="L47" s="134">
        <v>27.87</v>
      </c>
      <c r="M47" s="134">
        <v>51.37</v>
      </c>
      <c r="N47" s="134">
        <v>437.6</v>
      </c>
      <c r="O47" s="134">
        <v>0</v>
      </c>
      <c r="P47" s="134">
        <v>0.85</v>
      </c>
      <c r="Q47" s="134">
        <v>4.55</v>
      </c>
    </row>
    <row r="48" spans="1:17" customFormat="1">
      <c r="A48" s="112" t="s">
        <v>1142</v>
      </c>
      <c r="B48" s="134">
        <v>9.57</v>
      </c>
      <c r="C48" s="134">
        <v>21.82</v>
      </c>
      <c r="D48" s="134">
        <v>20.43</v>
      </c>
      <c r="E48" s="134">
        <v>4.17</v>
      </c>
      <c r="F48" s="134">
        <v>3.11</v>
      </c>
      <c r="G48" s="134">
        <v>70.78</v>
      </c>
      <c r="H48" s="134">
        <v>32.17</v>
      </c>
      <c r="I48" s="134">
        <v>8.34</v>
      </c>
      <c r="J48" s="134">
        <v>0.14000000000000001</v>
      </c>
      <c r="K48" s="134">
        <v>198.74</v>
      </c>
      <c r="L48" s="134">
        <v>28.7</v>
      </c>
      <c r="M48" s="134">
        <v>48.13</v>
      </c>
      <c r="N48" s="134">
        <v>474.4</v>
      </c>
      <c r="O48" s="134">
        <v>0</v>
      </c>
      <c r="P48" s="134">
        <v>0.85</v>
      </c>
      <c r="Q48" s="134">
        <v>4.5</v>
      </c>
    </row>
    <row r="49" spans="1:17" customFormat="1">
      <c r="A49" s="112" t="s">
        <v>1143</v>
      </c>
      <c r="B49" s="134">
        <v>8.91</v>
      </c>
      <c r="C49" s="134">
        <v>21.48</v>
      </c>
      <c r="D49" s="134">
        <v>19.72</v>
      </c>
      <c r="E49" s="134">
        <v>4.58</v>
      </c>
      <c r="F49" s="134">
        <v>3.03</v>
      </c>
      <c r="G49" s="134">
        <v>70.78</v>
      </c>
      <c r="H49" s="134">
        <v>32.17</v>
      </c>
      <c r="I49" s="134">
        <v>8.2799999999999994</v>
      </c>
      <c r="J49" s="134">
        <v>0.11</v>
      </c>
      <c r="K49" s="134">
        <v>181.6</v>
      </c>
      <c r="L49" s="134">
        <v>29.06</v>
      </c>
      <c r="M49" s="134">
        <v>44.75</v>
      </c>
      <c r="N49" s="134">
        <v>505.3</v>
      </c>
      <c r="O49" s="134">
        <v>0</v>
      </c>
      <c r="P49" s="134">
        <v>0.84</v>
      </c>
      <c r="Q49" s="134">
        <v>4.4800000000000004</v>
      </c>
    </row>
    <row r="50" spans="1:17" customFormat="1">
      <c r="A50" s="112" t="s">
        <v>1144</v>
      </c>
      <c r="B50" s="134">
        <v>8.3000000000000007</v>
      </c>
      <c r="C50" s="134">
        <v>21.16</v>
      </c>
      <c r="D50" s="134">
        <v>19.059999999999999</v>
      </c>
      <c r="E50" s="134">
        <v>5.46</v>
      </c>
      <c r="F50" s="134">
        <v>3.18</v>
      </c>
      <c r="G50" s="134">
        <v>70.78</v>
      </c>
      <c r="H50" s="134">
        <v>32.17</v>
      </c>
      <c r="I50" s="134">
        <v>8.23</v>
      </c>
      <c r="J50" s="134">
        <v>0.3</v>
      </c>
      <c r="K50" s="134">
        <v>171.94</v>
      </c>
      <c r="L50" s="134">
        <v>29.85</v>
      </c>
      <c r="M50" s="134">
        <v>40.380000000000003</v>
      </c>
      <c r="N50" s="134">
        <v>526.9</v>
      </c>
      <c r="O50" s="134">
        <v>0</v>
      </c>
      <c r="P50" s="134">
        <v>0.83</v>
      </c>
      <c r="Q50" s="134">
        <v>4.45</v>
      </c>
    </row>
    <row r="51" spans="1:17" customFormat="1">
      <c r="A51" s="112" t="s">
        <v>1145</v>
      </c>
      <c r="B51" s="134">
        <v>7.67</v>
      </c>
      <c r="C51" s="134">
        <v>20.82</v>
      </c>
      <c r="D51" s="134">
        <v>18.38</v>
      </c>
      <c r="E51" s="134">
        <v>5.67</v>
      </c>
      <c r="F51" s="134">
        <v>3.28</v>
      </c>
      <c r="G51" s="134">
        <v>70.56</v>
      </c>
      <c r="H51" s="134">
        <v>32.07</v>
      </c>
      <c r="I51" s="134">
        <v>8.18</v>
      </c>
      <c r="J51" s="134">
        <v>0.15</v>
      </c>
      <c r="K51" s="134">
        <v>176.26</v>
      </c>
      <c r="L51" s="134">
        <v>30.12</v>
      </c>
      <c r="M51" s="134">
        <v>42.02</v>
      </c>
      <c r="N51" s="134">
        <v>542.1</v>
      </c>
      <c r="O51" s="134">
        <v>0</v>
      </c>
      <c r="P51" s="134">
        <v>0.81</v>
      </c>
      <c r="Q51" s="134">
        <v>4.4000000000000004</v>
      </c>
    </row>
    <row r="52" spans="1:17" customFormat="1">
      <c r="A52" s="112" t="s">
        <v>1146</v>
      </c>
      <c r="B52" s="134">
        <v>7.1</v>
      </c>
      <c r="C52" s="134">
        <v>20.49</v>
      </c>
      <c r="D52" s="134">
        <v>17.75</v>
      </c>
      <c r="E52" s="134">
        <v>5.4</v>
      </c>
      <c r="F52" s="134">
        <v>3.6</v>
      </c>
      <c r="G52" s="134">
        <v>65.73</v>
      </c>
      <c r="H52" s="134">
        <v>30.5</v>
      </c>
      <c r="I52" s="134">
        <v>8.0299999999999994</v>
      </c>
      <c r="J52" s="134">
        <v>0.1</v>
      </c>
      <c r="K52" s="134">
        <v>235.09</v>
      </c>
      <c r="L52" s="134">
        <v>30.14</v>
      </c>
      <c r="M52" s="134">
        <v>42.37</v>
      </c>
      <c r="N52" s="134">
        <v>517.6</v>
      </c>
      <c r="O52" s="134">
        <v>0</v>
      </c>
      <c r="P52" s="134">
        <v>0.79</v>
      </c>
      <c r="Q52" s="134">
        <v>4.38</v>
      </c>
    </row>
    <row r="53" spans="1:17" customFormat="1">
      <c r="A53" s="112" t="s">
        <v>1147</v>
      </c>
      <c r="B53" s="134">
        <v>6.58</v>
      </c>
      <c r="C53" s="134">
        <v>20.57</v>
      </c>
      <c r="D53" s="134">
        <v>17.37</v>
      </c>
      <c r="E53" s="134">
        <v>5.46</v>
      </c>
      <c r="F53" s="134">
        <v>3.54</v>
      </c>
      <c r="G53" s="134">
        <v>65.73</v>
      </c>
      <c r="H53" s="134">
        <v>30.5</v>
      </c>
      <c r="I53" s="134">
        <v>7.89</v>
      </c>
      <c r="J53" s="134">
        <v>0.08</v>
      </c>
      <c r="K53" s="134">
        <v>7.55</v>
      </c>
      <c r="L53" s="134">
        <v>30.37</v>
      </c>
      <c r="M53" s="134">
        <v>40.94</v>
      </c>
      <c r="N53" s="134">
        <v>571.9</v>
      </c>
      <c r="O53" s="134">
        <v>0</v>
      </c>
      <c r="P53" s="134">
        <v>0.78</v>
      </c>
      <c r="Q53" s="134">
        <v>4.34</v>
      </c>
    </row>
    <row r="54" spans="1:17" customFormat="1">
      <c r="A54" s="112" t="s">
        <v>1148</v>
      </c>
      <c r="B54" s="134">
        <v>6.03</v>
      </c>
      <c r="C54" s="134">
        <v>20.64</v>
      </c>
      <c r="D54" s="134">
        <v>16.97</v>
      </c>
      <c r="E54" s="134">
        <v>5.38</v>
      </c>
      <c r="F54" s="134">
        <v>3.87</v>
      </c>
      <c r="G54" s="134">
        <v>65.73</v>
      </c>
      <c r="H54" s="134">
        <v>30.5</v>
      </c>
      <c r="I54" s="134">
        <v>7.76</v>
      </c>
      <c r="J54" s="134">
        <v>0.17</v>
      </c>
      <c r="K54" s="134">
        <v>81.02</v>
      </c>
      <c r="L54" s="134">
        <v>30.74</v>
      </c>
      <c r="M54" s="134">
        <v>39.57</v>
      </c>
      <c r="N54" s="134">
        <v>581.9</v>
      </c>
      <c r="O54" s="134">
        <v>0</v>
      </c>
      <c r="P54" s="134">
        <v>0.79</v>
      </c>
      <c r="Q54" s="134">
        <v>4.32</v>
      </c>
    </row>
    <row r="55" spans="1:17" customFormat="1">
      <c r="A55" s="112" t="s">
        <v>1149</v>
      </c>
      <c r="B55" s="134">
        <v>5.75</v>
      </c>
      <c r="C55" s="134">
        <v>20.34</v>
      </c>
      <c r="D55" s="134">
        <v>16.59</v>
      </c>
      <c r="E55" s="134">
        <v>6.27</v>
      </c>
      <c r="F55" s="134">
        <v>4.4800000000000004</v>
      </c>
      <c r="G55" s="134">
        <v>65.650000000000006</v>
      </c>
      <c r="H55" s="134">
        <v>30.41</v>
      </c>
      <c r="I55" s="134">
        <v>7.65</v>
      </c>
      <c r="J55" s="134">
        <v>0.21</v>
      </c>
      <c r="K55" s="134">
        <v>144.47999999999999</v>
      </c>
      <c r="L55" s="134">
        <v>30.92</v>
      </c>
      <c r="M55" s="134">
        <v>38.74</v>
      </c>
      <c r="N55" s="134">
        <v>587.20000000000005</v>
      </c>
      <c r="O55" s="134">
        <v>0</v>
      </c>
      <c r="P55" s="134">
        <v>0.78</v>
      </c>
      <c r="Q55" s="134">
        <v>4.32</v>
      </c>
    </row>
    <row r="56" spans="1:17" customFormat="1">
      <c r="A56" s="112" t="s">
        <v>1150</v>
      </c>
      <c r="B56" s="134">
        <v>5.33</v>
      </c>
      <c r="C56" s="134">
        <v>20.09</v>
      </c>
      <c r="D56" s="134">
        <v>16.12</v>
      </c>
      <c r="E56" s="134">
        <v>6.24</v>
      </c>
      <c r="F56" s="134">
        <v>6.38</v>
      </c>
      <c r="G56" s="134">
        <v>63.71</v>
      </c>
      <c r="H56" s="134">
        <v>28.91</v>
      </c>
      <c r="I56" s="134">
        <v>7.53</v>
      </c>
      <c r="J56" s="134">
        <v>0.02</v>
      </c>
      <c r="K56" s="134">
        <v>109.5</v>
      </c>
      <c r="L56" s="134">
        <v>31.44</v>
      </c>
      <c r="M56" s="134">
        <v>38.75</v>
      </c>
      <c r="N56" s="134">
        <v>582.9</v>
      </c>
      <c r="O56" s="134">
        <v>0</v>
      </c>
      <c r="P56" s="134">
        <v>0.77</v>
      </c>
      <c r="Q56" s="134">
        <v>4.29</v>
      </c>
    </row>
    <row r="57" spans="1:17" customFormat="1">
      <c r="A57" s="112" t="s">
        <v>1151</v>
      </c>
      <c r="B57" s="134">
        <v>5.2</v>
      </c>
      <c r="C57" s="134">
        <v>19.510000000000002</v>
      </c>
      <c r="D57" s="134">
        <v>15.71</v>
      </c>
      <c r="E57" s="134">
        <v>6.17</v>
      </c>
      <c r="F57" s="134">
        <v>5.58</v>
      </c>
      <c r="G57" s="134">
        <v>63.71</v>
      </c>
      <c r="H57" s="134">
        <v>28.91</v>
      </c>
      <c r="I57" s="134">
        <v>7.42</v>
      </c>
      <c r="J57" s="134">
        <v>0.28999999999999998</v>
      </c>
      <c r="K57" s="134">
        <v>73.41</v>
      </c>
      <c r="L57" s="134">
        <v>31.27</v>
      </c>
      <c r="M57" s="134">
        <v>36.65</v>
      </c>
      <c r="N57" s="134">
        <v>572</v>
      </c>
      <c r="O57" s="134">
        <v>0</v>
      </c>
      <c r="P57" s="134">
        <v>0.76</v>
      </c>
      <c r="Q57" s="134">
        <v>4.2699999999999996</v>
      </c>
    </row>
    <row r="58" spans="1:17" customFormat="1">
      <c r="A58" s="112" t="s">
        <v>1152</v>
      </c>
      <c r="B58" s="134">
        <v>5.0199999999999996</v>
      </c>
      <c r="C58" s="134">
        <v>19.57</v>
      </c>
      <c r="D58" s="134">
        <v>15.6</v>
      </c>
      <c r="E58" s="134">
        <v>6.38</v>
      </c>
      <c r="F58" s="134">
        <v>5.66</v>
      </c>
      <c r="G58" s="134">
        <v>63.71</v>
      </c>
      <c r="H58" s="134">
        <v>28.91</v>
      </c>
      <c r="I58" s="134">
        <v>7.34</v>
      </c>
      <c r="J58" s="134">
        <v>0.35</v>
      </c>
      <c r="K58" s="134">
        <v>61.15</v>
      </c>
      <c r="L58" s="134">
        <v>31.71</v>
      </c>
      <c r="M58" s="134">
        <v>36.119999999999997</v>
      </c>
      <c r="N58" s="134">
        <v>569</v>
      </c>
      <c r="O58" s="134">
        <v>0</v>
      </c>
      <c r="P58" s="134">
        <v>0.76</v>
      </c>
      <c r="Q58" s="134">
        <v>4.24</v>
      </c>
    </row>
    <row r="59" spans="1:17" customFormat="1">
      <c r="A59" s="112" t="s">
        <v>1153</v>
      </c>
      <c r="B59" s="134">
        <v>4.7699999999999996</v>
      </c>
      <c r="C59" s="134">
        <v>20.100000000000001</v>
      </c>
      <c r="D59" s="134">
        <v>15.68</v>
      </c>
      <c r="E59" s="134">
        <v>6.31</v>
      </c>
      <c r="F59" s="134">
        <v>5.65</v>
      </c>
      <c r="G59" s="134">
        <v>64.25</v>
      </c>
      <c r="H59" s="134">
        <v>28.88</v>
      </c>
      <c r="I59" s="134">
        <v>7.2</v>
      </c>
      <c r="J59" s="134">
        <v>0.31</v>
      </c>
      <c r="K59" s="134">
        <v>53.81</v>
      </c>
      <c r="L59" s="134">
        <v>31.59</v>
      </c>
      <c r="M59" s="134">
        <v>36.94</v>
      </c>
      <c r="N59" s="134">
        <v>417.5</v>
      </c>
      <c r="O59" s="134">
        <v>0</v>
      </c>
      <c r="P59" s="134">
        <v>0.77</v>
      </c>
      <c r="Q59" s="134">
        <v>4.24</v>
      </c>
    </row>
    <row r="60" spans="1:17" customFormat="1">
      <c r="A60" s="112" t="s">
        <v>1154</v>
      </c>
      <c r="B60" s="134">
        <v>4.59</v>
      </c>
      <c r="C60" s="134">
        <v>20.14</v>
      </c>
      <c r="D60" s="134">
        <v>15.56</v>
      </c>
      <c r="E60" s="134">
        <v>6.47</v>
      </c>
      <c r="F60" s="134">
        <v>6.95</v>
      </c>
      <c r="G60" s="134">
        <v>73.349999999999994</v>
      </c>
      <c r="H60" s="134">
        <v>28.39</v>
      </c>
      <c r="I60" s="134">
        <v>7.11</v>
      </c>
      <c r="J60" s="134">
        <v>0.32</v>
      </c>
      <c r="K60" s="134">
        <v>316.86</v>
      </c>
      <c r="L60" s="134">
        <v>31.56</v>
      </c>
      <c r="M60" s="134">
        <v>36.24</v>
      </c>
      <c r="N60" s="134">
        <v>460.3</v>
      </c>
      <c r="O60" s="134">
        <v>0</v>
      </c>
      <c r="P60" s="134">
        <v>0.77</v>
      </c>
      <c r="Q60" s="134">
        <v>4.26</v>
      </c>
    </row>
    <row r="61" spans="1:17" customFormat="1">
      <c r="A61" s="112" t="s">
        <v>1155</v>
      </c>
      <c r="B61" s="134">
        <v>4.3600000000000003</v>
      </c>
      <c r="C61" s="134">
        <v>20.420000000000002</v>
      </c>
      <c r="D61" s="134">
        <v>15.51</v>
      </c>
      <c r="E61" s="134">
        <v>6.42</v>
      </c>
      <c r="F61" s="134">
        <v>6.39</v>
      </c>
      <c r="G61" s="134">
        <v>73.349999999999994</v>
      </c>
      <c r="H61" s="134">
        <v>28.39</v>
      </c>
      <c r="I61" s="134">
        <v>7.03</v>
      </c>
      <c r="J61" s="134">
        <v>0.25</v>
      </c>
      <c r="K61" s="134">
        <v>240.76</v>
      </c>
      <c r="L61" s="134">
        <v>31.77</v>
      </c>
      <c r="M61" s="134">
        <v>35.53</v>
      </c>
      <c r="N61" s="134">
        <v>475.3</v>
      </c>
      <c r="O61" s="134">
        <v>0</v>
      </c>
      <c r="P61" s="134">
        <v>0.76</v>
      </c>
      <c r="Q61" s="134">
        <v>4.2300000000000004</v>
      </c>
    </row>
    <row r="62" spans="1:17" customFormat="1">
      <c r="A62" s="112" t="s">
        <v>1156</v>
      </c>
      <c r="B62" s="134">
        <v>4.28</v>
      </c>
      <c r="C62" s="134">
        <v>20.53</v>
      </c>
      <c r="D62" s="134">
        <v>15.51</v>
      </c>
      <c r="E62" s="134">
        <v>6.25</v>
      </c>
      <c r="F62" s="134">
        <v>6.38</v>
      </c>
      <c r="G62" s="134">
        <v>73.349999999999994</v>
      </c>
      <c r="H62" s="134">
        <v>28.39</v>
      </c>
      <c r="I62" s="134">
        <v>6.88</v>
      </c>
      <c r="J62" s="134">
        <v>0.35</v>
      </c>
      <c r="K62" s="134">
        <v>199.32</v>
      </c>
      <c r="L62" s="134">
        <v>31.98</v>
      </c>
      <c r="M62" s="134">
        <v>32.92</v>
      </c>
      <c r="N62" s="134">
        <v>488.3</v>
      </c>
      <c r="O62" s="134">
        <v>0</v>
      </c>
      <c r="P62" s="134">
        <v>0.75</v>
      </c>
      <c r="Q62" s="134">
        <v>4.22</v>
      </c>
    </row>
    <row r="63" spans="1:17" customFormat="1">
      <c r="A63" s="112" t="s">
        <v>1157</v>
      </c>
      <c r="B63" s="134">
        <v>4.24</v>
      </c>
      <c r="C63" s="134">
        <v>20.41</v>
      </c>
      <c r="D63" s="134">
        <v>15.41</v>
      </c>
      <c r="E63" s="134">
        <v>6.44</v>
      </c>
      <c r="F63" s="134">
        <v>6.21</v>
      </c>
      <c r="G63" s="134">
        <v>73.27</v>
      </c>
      <c r="H63" s="134">
        <v>28.46</v>
      </c>
      <c r="I63" s="134">
        <v>6.73</v>
      </c>
      <c r="J63" s="134">
        <v>0.08</v>
      </c>
      <c r="K63" s="134">
        <v>256.83999999999997</v>
      </c>
      <c r="L63" s="134">
        <v>32.5</v>
      </c>
      <c r="M63" s="134">
        <v>33.49</v>
      </c>
      <c r="N63" s="134">
        <v>490.4</v>
      </c>
      <c r="O63" s="134">
        <v>0</v>
      </c>
      <c r="P63" s="134">
        <v>0.74</v>
      </c>
      <c r="Q63" s="134">
        <v>4.22</v>
      </c>
    </row>
    <row r="64" spans="1:17" customFormat="1">
      <c r="A64" s="112" t="s">
        <v>1158</v>
      </c>
      <c r="B64" s="134">
        <v>4.22</v>
      </c>
      <c r="C64" s="134">
        <v>20.6</v>
      </c>
      <c r="D64" s="134">
        <v>15.5</v>
      </c>
      <c r="E64" s="134">
        <v>8.3699999999999992</v>
      </c>
      <c r="F64" s="134">
        <v>15.53</v>
      </c>
      <c r="G64" s="134">
        <v>71.930000000000007</v>
      </c>
      <c r="H64" s="134">
        <v>29.59</v>
      </c>
      <c r="I64" s="134">
        <v>6.61</v>
      </c>
      <c r="J64" s="134">
        <v>0.45</v>
      </c>
      <c r="K64" s="134">
        <v>39.130000000000003</v>
      </c>
      <c r="L64" s="134">
        <v>32.47</v>
      </c>
      <c r="M64" s="134">
        <v>32.97</v>
      </c>
      <c r="N64" s="134">
        <v>442</v>
      </c>
      <c r="O64" s="134">
        <v>0</v>
      </c>
      <c r="P64" s="134">
        <v>0.72</v>
      </c>
      <c r="Q64" s="134">
        <v>4.22</v>
      </c>
    </row>
    <row r="65" spans="1:17" customFormat="1">
      <c r="A65" s="112" t="s">
        <v>1159</v>
      </c>
      <c r="B65" s="134">
        <v>3.64</v>
      </c>
      <c r="C65" s="134">
        <v>20.010000000000002</v>
      </c>
      <c r="D65" s="134">
        <v>14.72</v>
      </c>
      <c r="E65" s="134">
        <v>16.04</v>
      </c>
      <c r="F65" s="134">
        <v>36.950000000000003</v>
      </c>
      <c r="G65" s="134">
        <v>71.930000000000007</v>
      </c>
      <c r="H65" s="134">
        <v>29.59</v>
      </c>
      <c r="I65" s="134">
        <v>6.47</v>
      </c>
      <c r="J65" s="134">
        <v>0.43</v>
      </c>
      <c r="K65" s="134">
        <v>26.52</v>
      </c>
      <c r="L65" s="134">
        <v>32.200000000000003</v>
      </c>
      <c r="M65" s="134">
        <v>32.89</v>
      </c>
      <c r="N65" s="134">
        <v>382.8</v>
      </c>
      <c r="O65" s="134">
        <v>0</v>
      </c>
      <c r="P65" s="134">
        <v>0.68</v>
      </c>
      <c r="Q65" s="134">
        <v>4.22</v>
      </c>
    </row>
    <row r="66" spans="1:17" customFormat="1">
      <c r="A66" s="112" t="s">
        <v>1160</v>
      </c>
      <c r="B66" s="134">
        <v>3.24</v>
      </c>
      <c r="C66" s="134">
        <v>20.58</v>
      </c>
      <c r="D66" s="134">
        <v>14.71</v>
      </c>
      <c r="E66" s="134">
        <v>18.48</v>
      </c>
      <c r="F66" s="134">
        <v>44.17</v>
      </c>
      <c r="G66" s="134">
        <v>71.930000000000007</v>
      </c>
      <c r="H66" s="134">
        <v>29.59</v>
      </c>
      <c r="I66" s="134">
        <v>6.13</v>
      </c>
      <c r="J66" s="134">
        <v>0.45</v>
      </c>
      <c r="K66" s="134">
        <v>25.83</v>
      </c>
      <c r="L66" s="134">
        <v>31.62</v>
      </c>
      <c r="M66" s="134">
        <v>32.729999999999997</v>
      </c>
      <c r="N66" s="134">
        <v>172.9</v>
      </c>
      <c r="O66" s="134">
        <v>0</v>
      </c>
      <c r="P66" s="134">
        <v>0.7</v>
      </c>
      <c r="Q66" s="134">
        <v>4.22</v>
      </c>
    </row>
    <row r="67" spans="1:17" customFormat="1">
      <c r="A67" s="112" t="s">
        <v>1161</v>
      </c>
      <c r="B67" s="134">
        <v>2.68</v>
      </c>
      <c r="C67" s="134">
        <v>21.75</v>
      </c>
      <c r="D67" s="134">
        <v>14.87</v>
      </c>
      <c r="E67" s="134">
        <v>18.239999999999998</v>
      </c>
      <c r="F67" s="134">
        <v>36.79</v>
      </c>
      <c r="G67" s="151" t="s">
        <v>12</v>
      </c>
      <c r="H67" s="151" t="s">
        <v>12</v>
      </c>
      <c r="I67" s="134">
        <v>5.18</v>
      </c>
      <c r="J67" s="134">
        <v>0.25</v>
      </c>
      <c r="K67" s="134">
        <v>42.34</v>
      </c>
      <c r="L67" s="134">
        <v>31.16</v>
      </c>
      <c r="M67" s="134">
        <v>34.04</v>
      </c>
      <c r="N67" s="134">
        <v>108.3</v>
      </c>
      <c r="O67" s="134">
        <v>0</v>
      </c>
      <c r="P67" s="134">
        <v>0.72</v>
      </c>
      <c r="Q67" s="134">
        <v>4.24</v>
      </c>
    </row>
    <row r="68" spans="1:17" customFormat="1">
      <c r="A68" s="112" t="s">
        <v>1162</v>
      </c>
      <c r="B68" s="134">
        <v>1.98</v>
      </c>
      <c r="C68" s="134">
        <v>22.4</v>
      </c>
      <c r="D68" s="134">
        <v>14.64</v>
      </c>
      <c r="E68" s="134">
        <v>9.66</v>
      </c>
      <c r="F68" s="134">
        <v>11.15</v>
      </c>
      <c r="G68" s="151" t="s">
        <v>12</v>
      </c>
      <c r="H68" s="151" t="s">
        <v>12</v>
      </c>
      <c r="I68" s="134">
        <v>4.84</v>
      </c>
      <c r="J68" s="134">
        <v>0.43</v>
      </c>
      <c r="K68" s="134">
        <v>29.7</v>
      </c>
      <c r="L68" s="134">
        <v>31.07</v>
      </c>
      <c r="M68" s="134">
        <v>34.75</v>
      </c>
      <c r="N68" s="134">
        <v>106</v>
      </c>
      <c r="O68" s="134">
        <v>0</v>
      </c>
      <c r="P68" s="134">
        <v>0.71</v>
      </c>
      <c r="Q68" s="134">
        <v>4.25</v>
      </c>
    </row>
    <row r="69" spans="1:17" customFormat="1">
      <c r="A69" s="112" t="s">
        <v>1163</v>
      </c>
      <c r="B69" s="134">
        <v>1.81</v>
      </c>
      <c r="C69" s="134">
        <v>23.23</v>
      </c>
      <c r="D69" s="134">
        <v>14.94</v>
      </c>
      <c r="E69" s="134">
        <v>9.4499999999999993</v>
      </c>
      <c r="F69" s="134">
        <v>8.35</v>
      </c>
      <c r="G69" s="151" t="s">
        <v>12</v>
      </c>
      <c r="H69" s="151" t="s">
        <v>12</v>
      </c>
      <c r="I69" s="134">
        <v>4.72</v>
      </c>
      <c r="J69" s="134">
        <v>0.44</v>
      </c>
      <c r="K69" s="134">
        <v>66</v>
      </c>
      <c r="L69" s="134">
        <v>30.74</v>
      </c>
      <c r="M69" s="134">
        <v>32.85</v>
      </c>
      <c r="N69" s="134">
        <v>84.4</v>
      </c>
      <c r="O69" s="134">
        <v>0</v>
      </c>
      <c r="P69" s="134">
        <v>0.72</v>
      </c>
      <c r="Q69" s="134">
        <v>4.25</v>
      </c>
    </row>
    <row r="70" spans="1:17" customFormat="1">
      <c r="A70" s="112" t="s">
        <v>1164</v>
      </c>
      <c r="B70" s="134">
        <v>4.7699999999999996</v>
      </c>
      <c r="C70" s="134">
        <v>23.79</v>
      </c>
      <c r="D70" s="134">
        <v>17.600000000000001</v>
      </c>
      <c r="E70" s="134">
        <v>8.85</v>
      </c>
      <c r="F70" s="134">
        <v>11.91</v>
      </c>
      <c r="G70" s="151" t="s">
        <v>12</v>
      </c>
      <c r="H70" s="151" t="s">
        <v>12</v>
      </c>
      <c r="I70" s="134">
        <v>5.07</v>
      </c>
      <c r="J70" s="134">
        <v>0.42</v>
      </c>
      <c r="K70" s="134">
        <v>68.34</v>
      </c>
      <c r="L70" s="134">
        <v>30.73</v>
      </c>
      <c r="M70" s="134">
        <v>32.76</v>
      </c>
      <c r="N70" s="134">
        <v>88.3</v>
      </c>
      <c r="O70" s="134">
        <v>0</v>
      </c>
      <c r="P70" s="134">
        <v>0.71</v>
      </c>
      <c r="Q70" s="134">
        <v>4.26</v>
      </c>
    </row>
    <row r="71" spans="1:17" customFormat="1">
      <c r="A71" s="112" t="s">
        <v>1165</v>
      </c>
      <c r="B71" s="134">
        <v>4.25</v>
      </c>
      <c r="C71" s="134">
        <v>27.84</v>
      </c>
      <c r="D71" s="134">
        <v>19.3</v>
      </c>
      <c r="E71" s="134">
        <v>7.87</v>
      </c>
      <c r="F71" s="134">
        <v>8.83</v>
      </c>
      <c r="G71" s="134">
        <v>59.35</v>
      </c>
      <c r="H71" s="134">
        <v>18.73</v>
      </c>
      <c r="I71" s="134">
        <v>5.12</v>
      </c>
      <c r="J71" s="134">
        <v>0.24</v>
      </c>
      <c r="K71" s="134">
        <v>69.84</v>
      </c>
      <c r="L71" s="134">
        <v>30.5</v>
      </c>
      <c r="M71" s="134">
        <v>35.78</v>
      </c>
      <c r="N71" s="134">
        <v>60.4</v>
      </c>
      <c r="O71" s="134">
        <v>0</v>
      </c>
      <c r="P71" s="134">
        <v>0.71</v>
      </c>
      <c r="Q71" s="134">
        <v>4.26</v>
      </c>
    </row>
    <row r="72" spans="1:17" customFormat="1">
      <c r="A72" s="112" t="s">
        <v>1166</v>
      </c>
      <c r="B72" s="134">
        <v>4.38</v>
      </c>
      <c r="C72" s="134">
        <v>28.92</v>
      </c>
      <c r="D72" s="134">
        <v>19.98</v>
      </c>
      <c r="E72" s="134">
        <v>7.47</v>
      </c>
      <c r="F72" s="134">
        <v>6.14</v>
      </c>
      <c r="G72" s="134">
        <v>67.61</v>
      </c>
      <c r="H72" s="134">
        <v>18.73</v>
      </c>
      <c r="I72" s="134">
        <v>5.01</v>
      </c>
      <c r="J72" s="134">
        <v>0.26</v>
      </c>
      <c r="K72" s="134">
        <v>74.5</v>
      </c>
      <c r="L72" s="134">
        <v>30.19</v>
      </c>
      <c r="M72" s="134">
        <v>36.68</v>
      </c>
      <c r="N72" s="134">
        <v>57.4</v>
      </c>
      <c r="O72" s="134">
        <v>0</v>
      </c>
      <c r="P72" s="134">
        <v>0.71</v>
      </c>
      <c r="Q72" s="134">
        <v>4.29</v>
      </c>
    </row>
    <row r="73" spans="1:17" customFormat="1">
      <c r="A73" s="112" t="s">
        <v>1167</v>
      </c>
      <c r="B73" s="134">
        <v>4.68</v>
      </c>
      <c r="C73" s="134">
        <v>29.19</v>
      </c>
      <c r="D73" s="134">
        <v>20.36</v>
      </c>
      <c r="E73" s="134">
        <v>7.43</v>
      </c>
      <c r="F73" s="134">
        <v>5.3</v>
      </c>
      <c r="G73" s="134">
        <v>67.61</v>
      </c>
      <c r="H73" s="134">
        <v>18.73</v>
      </c>
      <c r="I73" s="134">
        <v>4.92</v>
      </c>
      <c r="J73" s="134">
        <v>0.19</v>
      </c>
      <c r="K73" s="134">
        <v>86.43</v>
      </c>
      <c r="L73" s="134">
        <v>29.96</v>
      </c>
      <c r="M73" s="134">
        <v>39.93</v>
      </c>
      <c r="N73" s="134">
        <v>45</v>
      </c>
      <c r="O73" s="134">
        <v>0</v>
      </c>
      <c r="P73" s="134">
        <v>0.71</v>
      </c>
      <c r="Q73" s="134">
        <v>4.3099999999999996</v>
      </c>
    </row>
    <row r="74" spans="1:17" customFormat="1">
      <c r="A74" s="112" t="s">
        <v>1168</v>
      </c>
      <c r="B74" s="134">
        <v>5.0199999999999996</v>
      </c>
      <c r="C74" s="134">
        <v>29.12</v>
      </c>
      <c r="D74" s="134">
        <v>20.6</v>
      </c>
      <c r="E74" s="134">
        <v>6.73</v>
      </c>
      <c r="F74" s="134">
        <v>4.74</v>
      </c>
      <c r="G74" s="134">
        <v>67.61</v>
      </c>
      <c r="H74" s="134">
        <v>18.73</v>
      </c>
      <c r="I74" s="134">
        <v>4.88</v>
      </c>
      <c r="J74" s="134">
        <v>0.26</v>
      </c>
      <c r="K74" s="134">
        <v>163.43</v>
      </c>
      <c r="L74" s="134">
        <v>29.37</v>
      </c>
      <c r="M74" s="134">
        <v>45.56</v>
      </c>
      <c r="N74" s="134">
        <v>24.5</v>
      </c>
      <c r="O74" s="134">
        <v>0</v>
      </c>
      <c r="P74" s="134">
        <v>0.71</v>
      </c>
      <c r="Q74" s="134">
        <v>4.3</v>
      </c>
    </row>
    <row r="75" spans="1:17" customFormat="1">
      <c r="A75" s="112" t="s">
        <v>1169</v>
      </c>
      <c r="B75" s="134">
        <v>5.22</v>
      </c>
      <c r="C75" s="134">
        <v>29.05</v>
      </c>
      <c r="D75" s="134">
        <v>20.72</v>
      </c>
      <c r="E75" s="134">
        <v>7.1</v>
      </c>
      <c r="F75" s="134">
        <v>4.4400000000000004</v>
      </c>
      <c r="G75" s="134">
        <v>77.47</v>
      </c>
      <c r="H75" s="134">
        <v>23.64</v>
      </c>
      <c r="I75" s="134">
        <v>4.8600000000000003</v>
      </c>
      <c r="J75" s="134">
        <v>0.24</v>
      </c>
      <c r="K75" s="134">
        <v>167.9</v>
      </c>
      <c r="L75" s="134">
        <v>28.6</v>
      </c>
      <c r="M75" s="134">
        <v>47.29</v>
      </c>
      <c r="N75" s="134">
        <v>7.6</v>
      </c>
      <c r="O75" s="134">
        <v>0</v>
      </c>
      <c r="P75" s="134">
        <v>0.71</v>
      </c>
      <c r="Q75" s="134">
        <v>4.3</v>
      </c>
    </row>
    <row r="76" spans="1:17" customFormat="1">
      <c r="A76" s="112" t="s">
        <v>1170</v>
      </c>
      <c r="B76" s="134">
        <v>5.43</v>
      </c>
      <c r="C76" s="134">
        <v>28.73</v>
      </c>
      <c r="D76" s="134">
        <v>20.72</v>
      </c>
      <c r="E76" s="134">
        <v>7.07</v>
      </c>
      <c r="F76" s="134">
        <v>4.45</v>
      </c>
      <c r="G76" s="134">
        <v>78.7</v>
      </c>
      <c r="H76" s="134">
        <v>23.64</v>
      </c>
      <c r="I76" s="134">
        <v>4.8</v>
      </c>
      <c r="J76" s="134">
        <v>0.23</v>
      </c>
      <c r="K76" s="134">
        <v>171.29</v>
      </c>
      <c r="L76" s="134">
        <v>27.9</v>
      </c>
      <c r="M76" s="134">
        <v>50</v>
      </c>
      <c r="N76" s="134">
        <v>2.4</v>
      </c>
      <c r="O76" s="134">
        <v>0</v>
      </c>
      <c r="P76" s="134">
        <v>0.71</v>
      </c>
      <c r="Q76" s="134">
        <v>4.3</v>
      </c>
    </row>
    <row r="77" spans="1:17" customFormat="1">
      <c r="A77" s="112" t="s">
        <v>1171</v>
      </c>
      <c r="B77" s="134">
        <v>5.76</v>
      </c>
      <c r="C77" s="134">
        <v>28.61</v>
      </c>
      <c r="D77" s="134">
        <v>20.92</v>
      </c>
      <c r="E77" s="134">
        <v>7.25</v>
      </c>
      <c r="F77" s="134">
        <v>4.37</v>
      </c>
      <c r="G77" s="134">
        <v>78.7</v>
      </c>
      <c r="H77" s="134">
        <v>23.64</v>
      </c>
      <c r="I77" s="134">
        <v>4.79</v>
      </c>
      <c r="J77" s="134">
        <v>0.2</v>
      </c>
      <c r="K77" s="134">
        <v>169.15</v>
      </c>
      <c r="L77" s="134">
        <v>27.37</v>
      </c>
      <c r="M77" s="134">
        <v>52.65</v>
      </c>
      <c r="N77" s="134">
        <v>0</v>
      </c>
      <c r="O77" s="134">
        <v>0</v>
      </c>
      <c r="P77" s="134">
        <v>0.73</v>
      </c>
      <c r="Q77" s="134">
        <v>4.3</v>
      </c>
    </row>
    <row r="78" spans="1:17" customFormat="1">
      <c r="A78" s="112" t="s">
        <v>1172</v>
      </c>
      <c r="B78" s="134">
        <v>6.08</v>
      </c>
      <c r="C78" s="134">
        <v>28.58</v>
      </c>
      <c r="D78" s="134">
        <v>21.16</v>
      </c>
      <c r="E78" s="134">
        <v>7.35</v>
      </c>
      <c r="F78" s="134">
        <v>4.1399999999999997</v>
      </c>
      <c r="G78" s="134">
        <v>78.7</v>
      </c>
      <c r="H78" s="134">
        <v>23.64</v>
      </c>
      <c r="I78" s="134">
        <v>4.7699999999999996</v>
      </c>
      <c r="J78" s="134">
        <v>0.25</v>
      </c>
      <c r="K78" s="134">
        <v>174.16</v>
      </c>
      <c r="L78" s="134">
        <v>26.86</v>
      </c>
      <c r="M78" s="134">
        <v>58.05</v>
      </c>
      <c r="N78" s="134">
        <v>0</v>
      </c>
      <c r="O78" s="134">
        <v>0</v>
      </c>
      <c r="P78" s="134">
        <v>0.73</v>
      </c>
      <c r="Q78" s="134">
        <v>4.3099999999999996</v>
      </c>
    </row>
    <row r="79" spans="1:17" customFormat="1">
      <c r="A79" s="112" t="s">
        <v>1173</v>
      </c>
      <c r="B79" s="134">
        <v>6.37</v>
      </c>
      <c r="C79" s="134">
        <v>28.5</v>
      </c>
      <c r="D79" s="134">
        <v>21.35</v>
      </c>
      <c r="E79" s="134">
        <v>7.19</v>
      </c>
      <c r="F79" s="134">
        <v>3.93</v>
      </c>
      <c r="G79" s="134">
        <v>88</v>
      </c>
      <c r="H79" s="134">
        <v>27.25</v>
      </c>
      <c r="I79" s="134">
        <v>4.82</v>
      </c>
      <c r="J79" s="134">
        <v>0.24</v>
      </c>
      <c r="K79" s="134">
        <v>172.74</v>
      </c>
      <c r="L79" s="134">
        <v>26.18</v>
      </c>
      <c r="M79" s="134">
        <v>64.53</v>
      </c>
      <c r="N79" s="134">
        <v>0</v>
      </c>
      <c r="O79" s="134">
        <v>0</v>
      </c>
      <c r="P79" s="134">
        <v>0.74</v>
      </c>
      <c r="Q79" s="134">
        <v>4.3099999999999996</v>
      </c>
    </row>
    <row r="80" spans="1:17" customFormat="1">
      <c r="A80" s="112" t="s">
        <v>1174</v>
      </c>
      <c r="B80" s="134">
        <v>6.6</v>
      </c>
      <c r="C80" s="134">
        <v>29.01</v>
      </c>
      <c r="D80" s="134">
        <v>21.8</v>
      </c>
      <c r="E80" s="134">
        <v>7.34</v>
      </c>
      <c r="F80" s="134">
        <v>3.38</v>
      </c>
      <c r="G80" s="134">
        <v>89.16</v>
      </c>
      <c r="H80" s="134">
        <v>27.25</v>
      </c>
      <c r="I80" s="134">
        <v>4.87</v>
      </c>
      <c r="J80" s="134">
        <v>0.2</v>
      </c>
      <c r="K80" s="134">
        <v>173.93</v>
      </c>
      <c r="L80" s="134">
        <v>25.97</v>
      </c>
      <c r="M80" s="134">
        <v>60.09</v>
      </c>
      <c r="N80" s="134">
        <v>0</v>
      </c>
      <c r="O80" s="134">
        <v>0</v>
      </c>
      <c r="P80" s="134">
        <v>0.77</v>
      </c>
      <c r="Q80" s="134">
        <v>4.3</v>
      </c>
    </row>
    <row r="81" spans="1:17" customFormat="1">
      <c r="A81" s="112" t="s">
        <v>1175</v>
      </c>
      <c r="B81" s="134">
        <v>7.05</v>
      </c>
      <c r="C81" s="134">
        <v>26.71</v>
      </c>
      <c r="D81" s="134">
        <v>20.96</v>
      </c>
      <c r="E81" s="134">
        <v>5.46</v>
      </c>
      <c r="F81" s="134">
        <v>3.36</v>
      </c>
      <c r="G81" s="134">
        <v>89.16</v>
      </c>
      <c r="H81" s="134">
        <v>27.25</v>
      </c>
      <c r="I81" s="134">
        <v>5.04</v>
      </c>
      <c r="J81" s="134">
        <v>0.09</v>
      </c>
      <c r="K81" s="134">
        <v>185.42</v>
      </c>
      <c r="L81" s="134">
        <v>25.7</v>
      </c>
      <c r="M81" s="134">
        <v>58.81</v>
      </c>
      <c r="N81" s="134">
        <v>0</v>
      </c>
      <c r="O81" s="134">
        <v>0</v>
      </c>
      <c r="P81" s="134">
        <v>0.75</v>
      </c>
      <c r="Q81" s="134">
        <v>4.32</v>
      </c>
    </row>
    <row r="82" spans="1:17" customFormat="1">
      <c r="A82" s="112" t="s">
        <v>1176</v>
      </c>
      <c r="B82" s="134">
        <v>7.83</v>
      </c>
      <c r="C82" s="134">
        <v>25.14</v>
      </c>
      <c r="D82" s="134">
        <v>20.76</v>
      </c>
      <c r="E82" s="134">
        <v>5.86</v>
      </c>
      <c r="F82" s="134">
        <v>3.15</v>
      </c>
      <c r="G82" s="134">
        <v>89.16</v>
      </c>
      <c r="H82" s="134">
        <v>27.25</v>
      </c>
      <c r="I82" s="134">
        <v>5.23</v>
      </c>
      <c r="J82" s="134">
        <v>0.16</v>
      </c>
      <c r="K82" s="134">
        <v>230.85</v>
      </c>
      <c r="L82" s="134">
        <v>25.17</v>
      </c>
      <c r="M82" s="134">
        <v>62.19</v>
      </c>
      <c r="N82" s="134">
        <v>0</v>
      </c>
      <c r="O82" s="134">
        <v>0</v>
      </c>
      <c r="P82" s="134">
        <v>0.76</v>
      </c>
      <c r="Q82" s="134">
        <v>4.34</v>
      </c>
    </row>
    <row r="83" spans="1:17" customFormat="1">
      <c r="A83" s="112" t="s">
        <v>1177</v>
      </c>
      <c r="B83" s="134">
        <v>8.34</v>
      </c>
      <c r="C83" s="134">
        <v>24.42</v>
      </c>
      <c r="D83" s="134">
        <v>20.8</v>
      </c>
      <c r="E83" s="134">
        <v>5.33</v>
      </c>
      <c r="F83" s="134">
        <v>2.98</v>
      </c>
      <c r="G83" s="134">
        <v>98.37</v>
      </c>
      <c r="H83" s="134">
        <v>29.88</v>
      </c>
      <c r="I83" s="134">
        <v>5.4</v>
      </c>
      <c r="J83" s="134">
        <v>0.16</v>
      </c>
      <c r="K83" s="134">
        <v>176.95</v>
      </c>
      <c r="L83" s="134">
        <v>24.86</v>
      </c>
      <c r="M83" s="134">
        <v>64.510000000000005</v>
      </c>
      <c r="N83" s="134">
        <v>0</v>
      </c>
      <c r="O83" s="134">
        <v>0</v>
      </c>
      <c r="P83" s="134">
        <v>0.75</v>
      </c>
      <c r="Q83" s="134">
        <v>4.3600000000000003</v>
      </c>
    </row>
    <row r="84" spans="1:17" customFormat="1">
      <c r="A84" s="112" t="s">
        <v>1178</v>
      </c>
      <c r="B84" s="134">
        <v>8.51</v>
      </c>
      <c r="C84" s="134">
        <v>23.79</v>
      </c>
      <c r="D84" s="134">
        <v>20.6</v>
      </c>
      <c r="E84" s="134">
        <v>5.03</v>
      </c>
      <c r="F84" s="134">
        <v>2.94</v>
      </c>
      <c r="G84" s="134">
        <v>99.65</v>
      </c>
      <c r="H84" s="134">
        <v>29.88</v>
      </c>
      <c r="I84" s="134">
        <v>5.57</v>
      </c>
      <c r="J84" s="134">
        <v>0.2</v>
      </c>
      <c r="K84" s="134">
        <v>174.59</v>
      </c>
      <c r="L84" s="134">
        <v>24.69</v>
      </c>
      <c r="M84" s="134">
        <v>68.17</v>
      </c>
      <c r="N84" s="134">
        <v>0</v>
      </c>
      <c r="O84" s="134">
        <v>0</v>
      </c>
      <c r="P84" s="134">
        <v>0.75</v>
      </c>
      <c r="Q84" s="134">
        <v>4.34</v>
      </c>
    </row>
    <row r="85" spans="1:17" customFormat="1">
      <c r="A85" s="112" t="s">
        <v>1179</v>
      </c>
      <c r="B85" s="134">
        <v>8.5</v>
      </c>
      <c r="C85" s="134">
        <v>24.67</v>
      </c>
      <c r="D85" s="134">
        <v>21.06</v>
      </c>
      <c r="E85" s="134">
        <v>5.14</v>
      </c>
      <c r="F85" s="134">
        <v>2.73</v>
      </c>
      <c r="G85" s="134">
        <v>99.65</v>
      </c>
      <c r="H85" s="134">
        <v>29.88</v>
      </c>
      <c r="I85" s="134">
        <v>5.7</v>
      </c>
      <c r="J85" s="134">
        <v>0.12</v>
      </c>
      <c r="K85" s="134">
        <v>183.31</v>
      </c>
      <c r="L85" s="134">
        <v>24.49</v>
      </c>
      <c r="M85" s="134">
        <v>69.39</v>
      </c>
      <c r="N85" s="134">
        <v>0</v>
      </c>
      <c r="O85" s="134">
        <v>0</v>
      </c>
      <c r="P85" s="134">
        <v>0.76</v>
      </c>
      <c r="Q85" s="134">
        <v>4.33</v>
      </c>
    </row>
    <row r="86" spans="1:17" customFormat="1">
      <c r="A86" s="112" t="s">
        <v>1180</v>
      </c>
      <c r="B86" s="134">
        <v>8.73</v>
      </c>
      <c r="C86" s="134">
        <v>23.12</v>
      </c>
      <c r="D86" s="134">
        <v>20.43</v>
      </c>
      <c r="E86" s="134">
        <v>5.57</v>
      </c>
      <c r="F86" s="134">
        <v>2.95</v>
      </c>
      <c r="G86" s="134">
        <v>99.65</v>
      </c>
      <c r="H86" s="134">
        <v>29.88</v>
      </c>
      <c r="I86" s="134">
        <v>5.75</v>
      </c>
      <c r="J86" s="134">
        <v>0.13</v>
      </c>
      <c r="K86" s="134">
        <v>214.88</v>
      </c>
      <c r="L86" s="134">
        <v>24.14</v>
      </c>
      <c r="M86" s="134">
        <v>71.260000000000005</v>
      </c>
      <c r="N86" s="134">
        <v>0</v>
      </c>
      <c r="O86" s="134">
        <v>0</v>
      </c>
      <c r="P86" s="134">
        <v>0.75</v>
      </c>
      <c r="Q86" s="134">
        <v>4.3600000000000003</v>
      </c>
    </row>
    <row r="87" spans="1:17" customFormat="1">
      <c r="A87" s="112" t="s">
        <v>1181</v>
      </c>
      <c r="B87" s="134">
        <v>8.81</v>
      </c>
      <c r="C87" s="134">
        <v>23.27</v>
      </c>
      <c r="D87" s="134">
        <v>20.57</v>
      </c>
      <c r="E87" s="134">
        <v>4.9800000000000004</v>
      </c>
      <c r="F87" s="134">
        <v>2.84</v>
      </c>
      <c r="G87" s="134">
        <v>101.59</v>
      </c>
      <c r="H87" s="134">
        <v>33.25</v>
      </c>
      <c r="I87" s="134">
        <v>5.85</v>
      </c>
      <c r="J87" s="134">
        <v>0.11</v>
      </c>
      <c r="K87" s="134">
        <v>201.66</v>
      </c>
      <c r="L87" s="134">
        <v>23.71</v>
      </c>
      <c r="M87" s="134">
        <v>74.040000000000006</v>
      </c>
      <c r="N87" s="134">
        <v>0</v>
      </c>
      <c r="O87" s="134">
        <v>0</v>
      </c>
      <c r="P87" s="134">
        <v>0.76</v>
      </c>
      <c r="Q87" s="134">
        <v>4.37</v>
      </c>
    </row>
    <row r="88" spans="1:17" customFormat="1">
      <c r="A88" s="112" t="s">
        <v>1182</v>
      </c>
      <c r="B88" s="134">
        <v>9.0500000000000007</v>
      </c>
      <c r="C88" s="134">
        <v>23.79</v>
      </c>
      <c r="D88" s="134">
        <v>21.04</v>
      </c>
      <c r="E88" s="134">
        <v>5.4</v>
      </c>
      <c r="F88" s="134">
        <v>2.61</v>
      </c>
      <c r="G88" s="134">
        <v>101.83</v>
      </c>
      <c r="H88" s="134">
        <v>33.25</v>
      </c>
      <c r="I88" s="134">
        <v>5.9</v>
      </c>
      <c r="J88" s="134">
        <v>0.11</v>
      </c>
      <c r="K88" s="134">
        <v>181.56</v>
      </c>
      <c r="L88" s="134">
        <v>23.49</v>
      </c>
      <c r="M88" s="134">
        <v>72.510000000000005</v>
      </c>
      <c r="N88" s="134">
        <v>0</v>
      </c>
      <c r="O88" s="134">
        <v>0</v>
      </c>
      <c r="P88" s="134">
        <v>0.77</v>
      </c>
      <c r="Q88" s="134">
        <v>4.34</v>
      </c>
    </row>
    <row r="89" spans="1:17" customFormat="1">
      <c r="A89" s="112" t="s">
        <v>1183</v>
      </c>
      <c r="B89" s="134">
        <v>9.35</v>
      </c>
      <c r="C89" s="134">
        <v>22.53</v>
      </c>
      <c r="D89" s="134">
        <v>20.62</v>
      </c>
      <c r="E89" s="134">
        <v>5.85</v>
      </c>
      <c r="F89" s="134">
        <v>2.74</v>
      </c>
      <c r="G89" s="134">
        <v>101.83</v>
      </c>
      <c r="H89" s="134">
        <v>33.25</v>
      </c>
      <c r="I89" s="134">
        <v>5.96</v>
      </c>
      <c r="J89" s="134">
        <v>0.14000000000000001</v>
      </c>
      <c r="K89" s="134">
        <v>173.88</v>
      </c>
      <c r="L89" s="134">
        <v>23.45</v>
      </c>
      <c r="M89" s="134">
        <v>71.8</v>
      </c>
      <c r="N89" s="134">
        <v>0</v>
      </c>
      <c r="O89" s="134">
        <v>0</v>
      </c>
      <c r="P89" s="134">
        <v>0.77</v>
      </c>
      <c r="Q89" s="134">
        <v>4.3600000000000003</v>
      </c>
    </row>
    <row r="90" spans="1:17" customFormat="1">
      <c r="A90" s="112" t="s">
        <v>1184</v>
      </c>
      <c r="B90" s="134">
        <v>9.5</v>
      </c>
      <c r="C90" s="134">
        <v>23.3</v>
      </c>
      <c r="D90" s="134">
        <v>21.14</v>
      </c>
      <c r="E90" s="134">
        <v>5.28</v>
      </c>
      <c r="F90" s="134">
        <v>2.61</v>
      </c>
      <c r="G90" s="134">
        <v>101.83</v>
      </c>
      <c r="H90" s="134">
        <v>33.25</v>
      </c>
      <c r="I90" s="134">
        <v>6.03</v>
      </c>
      <c r="J90" s="134">
        <v>0.12</v>
      </c>
      <c r="K90" s="134">
        <v>171.26</v>
      </c>
      <c r="L90" s="134">
        <v>23.26</v>
      </c>
      <c r="M90" s="134">
        <v>76.83</v>
      </c>
      <c r="N90" s="134">
        <v>0</v>
      </c>
      <c r="O90" s="134">
        <v>0</v>
      </c>
      <c r="P90" s="134">
        <v>0.78</v>
      </c>
      <c r="Q90" s="134">
        <v>4.37</v>
      </c>
    </row>
    <row r="91" spans="1:17" customFormat="1">
      <c r="A91" s="112" t="s">
        <v>1185</v>
      </c>
      <c r="B91" s="134">
        <v>9.77</v>
      </c>
      <c r="C91" s="134">
        <v>21.68</v>
      </c>
      <c r="D91" s="134">
        <v>20.51</v>
      </c>
      <c r="E91" s="134">
        <v>5.0999999999999996</v>
      </c>
      <c r="F91" s="134">
        <v>2.79</v>
      </c>
      <c r="G91" s="134">
        <v>92.3</v>
      </c>
      <c r="H91" s="134">
        <v>31.64</v>
      </c>
      <c r="I91" s="134">
        <v>6.03</v>
      </c>
      <c r="J91" s="134">
        <v>0.15</v>
      </c>
      <c r="K91" s="134">
        <v>169.48</v>
      </c>
      <c r="L91" s="134">
        <v>23.05</v>
      </c>
      <c r="M91" s="134">
        <v>81.23</v>
      </c>
      <c r="N91" s="134">
        <v>0</v>
      </c>
      <c r="O91" s="134">
        <v>0</v>
      </c>
      <c r="P91" s="134">
        <v>0.77</v>
      </c>
      <c r="Q91" s="134">
        <v>4.3899999999999997</v>
      </c>
    </row>
    <row r="92" spans="1:17" customFormat="1">
      <c r="A92" s="112" t="s">
        <v>1186</v>
      </c>
      <c r="B92" s="134">
        <v>9.9499999999999993</v>
      </c>
      <c r="C92" s="134">
        <v>23.25</v>
      </c>
      <c r="D92" s="134">
        <v>21.48</v>
      </c>
      <c r="E92" s="134">
        <v>5.55</v>
      </c>
      <c r="F92" s="134">
        <v>2.5499999999999998</v>
      </c>
      <c r="G92" s="134">
        <v>91.11</v>
      </c>
      <c r="H92" s="134">
        <v>31.64</v>
      </c>
      <c r="I92" s="134">
        <v>6.1</v>
      </c>
      <c r="J92" s="134">
        <v>0.13</v>
      </c>
      <c r="K92" s="134">
        <v>170.3</v>
      </c>
      <c r="L92" s="134">
        <v>22.91</v>
      </c>
      <c r="M92" s="134">
        <v>81.599999999999994</v>
      </c>
      <c r="N92" s="134">
        <v>0</v>
      </c>
      <c r="O92" s="134">
        <v>0</v>
      </c>
      <c r="P92" s="134">
        <v>0.78</v>
      </c>
      <c r="Q92" s="134">
        <v>4.42</v>
      </c>
    </row>
    <row r="93" spans="1:17" customFormat="1">
      <c r="A93" s="112" t="s">
        <v>1187</v>
      </c>
      <c r="B93" s="134">
        <v>10.37</v>
      </c>
      <c r="C93" s="134">
        <v>21.67</v>
      </c>
      <c r="D93" s="134">
        <v>20.99</v>
      </c>
      <c r="E93" s="134">
        <v>5.38</v>
      </c>
      <c r="F93" s="134">
        <v>2.7</v>
      </c>
      <c r="G93" s="134">
        <v>91.11</v>
      </c>
      <c r="H93" s="134">
        <v>31.64</v>
      </c>
      <c r="I93" s="134">
        <v>6.13</v>
      </c>
      <c r="J93" s="134">
        <v>0.12</v>
      </c>
      <c r="K93" s="134">
        <v>197.13</v>
      </c>
      <c r="L93" s="134">
        <v>22.68</v>
      </c>
      <c r="M93" s="134">
        <v>81.7</v>
      </c>
      <c r="N93" s="134">
        <v>0</v>
      </c>
      <c r="O93" s="134">
        <v>0</v>
      </c>
      <c r="P93" s="134">
        <v>0.77</v>
      </c>
      <c r="Q93" s="134">
        <v>4.4400000000000004</v>
      </c>
    </row>
    <row r="94" spans="1:17" customFormat="1">
      <c r="A94" s="112" t="s">
        <v>1188</v>
      </c>
      <c r="B94" s="134">
        <v>10.5</v>
      </c>
      <c r="C94" s="134">
        <v>22.61</v>
      </c>
      <c r="D94" s="134">
        <v>21.59</v>
      </c>
      <c r="E94" s="134">
        <v>5.48</v>
      </c>
      <c r="F94" s="134">
        <v>2.65</v>
      </c>
      <c r="G94" s="134">
        <v>91.11</v>
      </c>
      <c r="H94" s="134">
        <v>31.64</v>
      </c>
      <c r="I94" s="134">
        <v>6.21</v>
      </c>
      <c r="J94" s="134">
        <v>0.09</v>
      </c>
      <c r="K94" s="134">
        <v>198.26</v>
      </c>
      <c r="L94" s="134">
        <v>22.33</v>
      </c>
      <c r="M94" s="134">
        <v>81.62</v>
      </c>
      <c r="N94" s="134">
        <v>0</v>
      </c>
      <c r="O94" s="134">
        <v>0</v>
      </c>
      <c r="P94" s="134">
        <v>0.79</v>
      </c>
      <c r="Q94" s="134">
        <v>4.42</v>
      </c>
    </row>
    <row r="95" spans="1:17" customFormat="1">
      <c r="A95" s="112" t="s">
        <v>1189</v>
      </c>
      <c r="B95" s="134">
        <v>10.78</v>
      </c>
      <c r="C95" s="134">
        <v>21.8</v>
      </c>
      <c r="D95" s="134">
        <v>21.39</v>
      </c>
      <c r="E95" s="134">
        <v>6</v>
      </c>
      <c r="F95" s="134">
        <v>2.76</v>
      </c>
      <c r="G95" s="134">
        <v>93.72</v>
      </c>
      <c r="H95" s="134">
        <v>32.369999999999997</v>
      </c>
      <c r="I95" s="134">
        <v>6.26</v>
      </c>
      <c r="J95" s="134">
        <v>0.11</v>
      </c>
      <c r="K95" s="134">
        <v>201.67</v>
      </c>
      <c r="L95" s="134">
        <v>22.2</v>
      </c>
      <c r="M95" s="134">
        <v>78.52</v>
      </c>
      <c r="N95" s="134">
        <v>0</v>
      </c>
      <c r="O95" s="134">
        <v>0</v>
      </c>
      <c r="P95" s="134">
        <v>0.78</v>
      </c>
      <c r="Q95" s="134">
        <v>4.43</v>
      </c>
    </row>
    <row r="96" spans="1:17" customFormat="1">
      <c r="A96" s="112" t="s">
        <v>1190</v>
      </c>
      <c r="B96" s="134">
        <v>11.04</v>
      </c>
      <c r="C96" s="134">
        <v>22.73</v>
      </c>
      <c r="D96" s="134">
        <v>22.08</v>
      </c>
      <c r="E96" s="134">
        <v>5.62</v>
      </c>
      <c r="F96" s="134">
        <v>2.46</v>
      </c>
      <c r="G96" s="134">
        <v>94.04</v>
      </c>
      <c r="H96" s="134">
        <v>32.369999999999997</v>
      </c>
      <c r="I96" s="134">
        <v>6.33</v>
      </c>
      <c r="J96" s="134">
        <v>0.11</v>
      </c>
      <c r="K96" s="134">
        <v>225.8</v>
      </c>
      <c r="L96" s="134">
        <v>21.96</v>
      </c>
      <c r="M96" s="134">
        <v>84.45</v>
      </c>
      <c r="N96" s="134">
        <v>0</v>
      </c>
      <c r="O96" s="134">
        <v>0</v>
      </c>
      <c r="P96" s="134">
        <v>0.81</v>
      </c>
      <c r="Q96" s="134">
        <v>4.4400000000000004</v>
      </c>
    </row>
    <row r="97" spans="1:22" customFormat="1">
      <c r="A97" s="112" t="s">
        <v>1191</v>
      </c>
      <c r="B97" s="134">
        <v>11.19</v>
      </c>
      <c r="C97" s="134">
        <v>21.57</v>
      </c>
      <c r="D97" s="134">
        <v>21.59</v>
      </c>
      <c r="E97" s="134">
        <v>5.13</v>
      </c>
      <c r="F97" s="134">
        <v>2.74</v>
      </c>
      <c r="G97" s="134">
        <v>94.04</v>
      </c>
      <c r="H97" s="134">
        <v>32.369999999999997</v>
      </c>
      <c r="I97" s="134">
        <v>6.35</v>
      </c>
      <c r="J97" s="134">
        <v>0.11</v>
      </c>
      <c r="K97" s="134">
        <v>240.08</v>
      </c>
      <c r="L97" s="134">
        <v>21.79</v>
      </c>
      <c r="M97" s="134">
        <v>85.15</v>
      </c>
      <c r="N97" s="134">
        <v>0</v>
      </c>
      <c r="O97" s="134">
        <v>0</v>
      </c>
      <c r="P97" s="134">
        <v>0.8</v>
      </c>
      <c r="Q97" s="134">
        <v>4.4400000000000004</v>
      </c>
    </row>
    <row r="98" spans="1:22" customFormat="1">
      <c r="A98" s="112" t="s">
        <v>1192</v>
      </c>
      <c r="B98" s="134">
        <v>11.5</v>
      </c>
      <c r="C98" s="134">
        <v>21.96</v>
      </c>
      <c r="D98" s="134">
        <v>22.05</v>
      </c>
      <c r="E98" s="134">
        <v>5.48</v>
      </c>
      <c r="F98" s="134">
        <v>2.59</v>
      </c>
      <c r="G98" s="134">
        <v>94.04</v>
      </c>
      <c r="H98" s="134">
        <v>32.369999999999997</v>
      </c>
      <c r="I98" s="134">
        <v>6.42</v>
      </c>
      <c r="J98" s="134">
        <v>0.09</v>
      </c>
      <c r="K98" s="134">
        <v>234.43</v>
      </c>
      <c r="L98" s="134">
        <v>21.72</v>
      </c>
      <c r="M98" s="134">
        <v>85.25</v>
      </c>
      <c r="N98" s="134">
        <v>0</v>
      </c>
      <c r="O98" s="134">
        <v>0</v>
      </c>
      <c r="P98" s="134">
        <v>0.82</v>
      </c>
      <c r="Q98" s="134">
        <v>4.47</v>
      </c>
    </row>
    <row r="99" spans="1:22" customFormat="1">
      <c r="A99" s="112" t="s">
        <v>1193</v>
      </c>
      <c r="B99" s="134">
        <v>11.62</v>
      </c>
      <c r="C99" s="134">
        <v>22.63</v>
      </c>
      <c r="D99" s="134">
        <v>22.49</v>
      </c>
      <c r="E99" s="134">
        <v>6.13</v>
      </c>
      <c r="F99" s="134">
        <v>2.41</v>
      </c>
      <c r="G99" s="134">
        <v>86.23</v>
      </c>
      <c r="H99" s="134">
        <v>32.549999999999997</v>
      </c>
      <c r="I99" s="134">
        <v>6.45</v>
      </c>
      <c r="J99" s="134">
        <v>0.1</v>
      </c>
      <c r="K99" s="134">
        <v>173.49</v>
      </c>
      <c r="L99" s="134">
        <v>21.69</v>
      </c>
      <c r="M99" s="134">
        <v>86.88</v>
      </c>
      <c r="N99" s="134">
        <v>0</v>
      </c>
      <c r="O99" s="134">
        <v>0</v>
      </c>
      <c r="P99" s="134">
        <v>0.84</v>
      </c>
      <c r="Q99" s="134">
        <v>4.4800000000000004</v>
      </c>
    </row>
    <row r="100" spans="1:22" customFormat="1">
      <c r="A100" s="112" t="s">
        <v>1194</v>
      </c>
      <c r="B100" s="134">
        <v>11.6</v>
      </c>
      <c r="C100" s="134">
        <v>22.66</v>
      </c>
      <c r="D100" s="134">
        <v>22.5</v>
      </c>
      <c r="E100" s="134">
        <v>6.02</v>
      </c>
      <c r="F100" s="134">
        <v>2.5299999999999998</v>
      </c>
      <c r="G100" s="134">
        <v>85.25</v>
      </c>
      <c r="H100" s="134">
        <v>32.549999999999997</v>
      </c>
      <c r="I100" s="134">
        <v>6.55</v>
      </c>
      <c r="J100" s="134">
        <v>0.13</v>
      </c>
      <c r="K100" s="134">
        <v>166.84</v>
      </c>
      <c r="L100" s="134">
        <v>21.6</v>
      </c>
      <c r="M100" s="134">
        <v>85.96</v>
      </c>
      <c r="N100" s="134">
        <v>0</v>
      </c>
      <c r="O100" s="134">
        <v>0</v>
      </c>
      <c r="P100" s="134">
        <v>0.87</v>
      </c>
      <c r="Q100" s="134">
        <v>4.49</v>
      </c>
    </row>
    <row r="101" spans="1:22" customFormat="1">
      <c r="A101" s="112" t="s">
        <v>1195</v>
      </c>
      <c r="B101" s="134">
        <v>11.48</v>
      </c>
      <c r="C101" s="134">
        <v>23.02</v>
      </c>
      <c r="D101" s="134">
        <v>22.58</v>
      </c>
      <c r="E101" s="134">
        <v>6.19</v>
      </c>
      <c r="F101" s="134">
        <v>2.5499999999999998</v>
      </c>
      <c r="G101" s="134">
        <v>85.25</v>
      </c>
      <c r="H101" s="134">
        <v>32.549999999999997</v>
      </c>
      <c r="I101" s="134">
        <v>6.65</v>
      </c>
      <c r="J101" s="134">
        <v>0.11</v>
      </c>
      <c r="K101" s="134">
        <v>179.61</v>
      </c>
      <c r="L101" s="134">
        <v>21.48</v>
      </c>
      <c r="M101" s="134">
        <v>85.58</v>
      </c>
      <c r="N101" s="134">
        <v>0</v>
      </c>
      <c r="O101" s="134">
        <v>0</v>
      </c>
      <c r="P101" s="134">
        <v>0.9</v>
      </c>
      <c r="Q101" s="134">
        <v>4.4800000000000004</v>
      </c>
    </row>
    <row r="102" spans="1:22" customFormat="1">
      <c r="A102" s="112" t="s">
        <v>1196</v>
      </c>
      <c r="B102" s="134">
        <v>11.3</v>
      </c>
      <c r="C102" s="134">
        <v>23.5</v>
      </c>
      <c r="D102" s="134">
        <v>22.69</v>
      </c>
      <c r="E102" s="134">
        <v>6.32</v>
      </c>
      <c r="F102" s="134">
        <v>2.66</v>
      </c>
      <c r="G102" s="134">
        <v>85.25</v>
      </c>
      <c r="H102" s="134">
        <v>32.549999999999997</v>
      </c>
      <c r="I102" s="134">
        <v>6.8</v>
      </c>
      <c r="J102" s="134">
        <v>0.16</v>
      </c>
      <c r="K102" s="134">
        <v>232.68</v>
      </c>
      <c r="L102" s="134">
        <v>21.32</v>
      </c>
      <c r="M102" s="134">
        <v>86.69</v>
      </c>
      <c r="N102" s="134">
        <v>0</v>
      </c>
      <c r="O102" s="134">
        <v>0</v>
      </c>
      <c r="P102" s="134">
        <v>0.92</v>
      </c>
      <c r="Q102" s="134">
        <v>4.49</v>
      </c>
    </row>
    <row r="103" spans="1:22" customFormat="1">
      <c r="A103" s="112" t="s">
        <v>1197</v>
      </c>
      <c r="B103" s="134">
        <v>11.26</v>
      </c>
      <c r="C103" s="134">
        <v>23.77</v>
      </c>
      <c r="D103" s="134">
        <v>22.8</v>
      </c>
      <c r="E103" s="134">
        <v>6.84</v>
      </c>
      <c r="F103" s="134">
        <v>2.62</v>
      </c>
      <c r="G103" s="134">
        <v>81.89</v>
      </c>
      <c r="H103" s="134">
        <v>33.020000000000003</v>
      </c>
      <c r="I103" s="134">
        <v>6.98</v>
      </c>
      <c r="J103" s="134">
        <v>0.12</v>
      </c>
      <c r="K103" s="134">
        <v>224.78</v>
      </c>
      <c r="L103" s="134">
        <v>21.08</v>
      </c>
      <c r="M103" s="134">
        <v>87.42</v>
      </c>
      <c r="N103" s="134">
        <v>0</v>
      </c>
      <c r="O103" s="134">
        <v>0</v>
      </c>
      <c r="P103" s="134">
        <v>0.94</v>
      </c>
      <c r="Q103" s="134">
        <v>4.5</v>
      </c>
    </row>
    <row r="104" spans="1:22" customFormat="1">
      <c r="A104" s="112" t="s">
        <v>1198</v>
      </c>
      <c r="B104" s="134">
        <v>11.3</v>
      </c>
      <c r="C104" s="134">
        <v>23.94</v>
      </c>
      <c r="D104" s="134">
        <v>22.92</v>
      </c>
      <c r="E104" s="134">
        <v>7.03</v>
      </c>
      <c r="F104" s="134">
        <v>2.7</v>
      </c>
      <c r="G104" s="134">
        <v>81.47</v>
      </c>
      <c r="H104" s="134">
        <v>33.020000000000003</v>
      </c>
      <c r="I104" s="134">
        <v>7.18</v>
      </c>
      <c r="J104" s="134">
        <v>0.09</v>
      </c>
      <c r="K104" s="134">
        <v>237.44</v>
      </c>
      <c r="L104" s="134">
        <v>20.99</v>
      </c>
      <c r="M104" s="134">
        <v>86.11</v>
      </c>
      <c r="N104" s="134">
        <v>0</v>
      </c>
      <c r="O104" s="134">
        <v>0</v>
      </c>
      <c r="P104" s="134">
        <v>0.96</v>
      </c>
      <c r="Q104" s="134">
        <v>4.5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1.81</v>
      </c>
      <c r="C106" s="183">
        <f>MIN(C9:C104)</f>
        <v>19.510000000000002</v>
      </c>
      <c r="D106" s="183">
        <f t="shared" ref="D106:Q106" si="0">MIN(D9:D104)</f>
        <v>14.64</v>
      </c>
      <c r="E106" s="183">
        <f t="shared" si="0"/>
        <v>3.88</v>
      </c>
      <c r="F106" s="183">
        <f t="shared" si="0"/>
        <v>2.37</v>
      </c>
      <c r="G106" s="183">
        <f t="shared" si="0"/>
        <v>59.35</v>
      </c>
      <c r="H106" s="183">
        <f t="shared" si="0"/>
        <v>18.73</v>
      </c>
      <c r="I106" s="183">
        <f t="shared" si="0"/>
        <v>4.72</v>
      </c>
      <c r="J106" s="183">
        <f t="shared" si="0"/>
        <v>0.02</v>
      </c>
      <c r="K106" s="183">
        <f t="shared" si="0"/>
        <v>7.55</v>
      </c>
      <c r="L106" s="183">
        <f t="shared" si="0"/>
        <v>18.170000000000002</v>
      </c>
      <c r="M106" s="183">
        <f t="shared" si="0"/>
        <v>32.729999999999997</v>
      </c>
      <c r="N106" s="183">
        <f t="shared" si="0"/>
        <v>0</v>
      </c>
      <c r="O106" s="183">
        <f t="shared" si="0"/>
        <v>0</v>
      </c>
      <c r="P106" s="183">
        <f t="shared" si="0"/>
        <v>0.68</v>
      </c>
      <c r="Q106" s="183">
        <f t="shared" si="0"/>
        <v>4.22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21.7</v>
      </c>
      <c r="C107" s="184">
        <f t="shared" ref="C107:Q107" si="1">MAX(C9:C104)</f>
        <v>29.19</v>
      </c>
      <c r="D107" s="184">
        <f t="shared" si="1"/>
        <v>32.94</v>
      </c>
      <c r="E107" s="184">
        <f t="shared" si="1"/>
        <v>18.48</v>
      </c>
      <c r="F107" s="184">
        <f t="shared" si="1"/>
        <v>44.17</v>
      </c>
      <c r="G107" s="184">
        <f t="shared" si="1"/>
        <v>101.83</v>
      </c>
      <c r="H107" s="184">
        <f t="shared" si="1"/>
        <v>34.36</v>
      </c>
      <c r="I107" s="184">
        <f t="shared" si="1"/>
        <v>8.77</v>
      </c>
      <c r="J107" s="184">
        <f t="shared" si="1"/>
        <v>0.45</v>
      </c>
      <c r="K107" s="184">
        <f t="shared" si="1"/>
        <v>316.86</v>
      </c>
      <c r="L107" s="184">
        <f t="shared" si="1"/>
        <v>32.5</v>
      </c>
      <c r="M107" s="184">
        <f t="shared" si="1"/>
        <v>92.52</v>
      </c>
      <c r="N107" s="184">
        <f t="shared" si="1"/>
        <v>587.20000000000005</v>
      </c>
      <c r="O107" s="184">
        <f t="shared" si="1"/>
        <v>0</v>
      </c>
      <c r="P107" s="184">
        <f t="shared" si="1"/>
        <v>1.04</v>
      </c>
      <c r="Q107" s="184">
        <f t="shared" si="1"/>
        <v>5.07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10.732916666666666</v>
      </c>
      <c r="C108" s="183">
        <f t="shared" ref="C108:Q108" si="2">AVERAGE(C9:C104)</f>
        <v>23.916979166666668</v>
      </c>
      <c r="D108" s="183">
        <f t="shared" si="2"/>
        <v>22.453958333333329</v>
      </c>
      <c r="E108" s="183">
        <f t="shared" si="2"/>
        <v>6.0730208333333371</v>
      </c>
      <c r="F108" s="183">
        <f t="shared" si="2"/>
        <v>4.7882291666666665</v>
      </c>
      <c r="G108" s="183">
        <f t="shared" si="2"/>
        <v>80.914456521739126</v>
      </c>
      <c r="H108" s="183">
        <f t="shared" si="2"/>
        <v>30.346413043478275</v>
      </c>
      <c r="I108" s="183">
        <f t="shared" si="2"/>
        <v>7.0267708333333339</v>
      </c>
      <c r="J108" s="183">
        <f t="shared" si="2"/>
        <v>0.16968749999999991</v>
      </c>
      <c r="K108" s="183">
        <f t="shared" si="2"/>
        <v>167.17031250000002</v>
      </c>
      <c r="L108" s="183">
        <f t="shared" si="2"/>
        <v>24.48041666666666</v>
      </c>
      <c r="M108" s="183">
        <f t="shared" si="2"/>
        <v>66.319270833333334</v>
      </c>
      <c r="N108" s="183">
        <f t="shared" si="2"/>
        <v>130.26770833333327</v>
      </c>
      <c r="O108" s="183">
        <f t="shared" si="2"/>
        <v>0</v>
      </c>
      <c r="P108" s="183">
        <f t="shared" si="2"/>
        <v>0.83697916666666694</v>
      </c>
      <c r="Q108" s="183">
        <f t="shared" si="2"/>
        <v>4.5384375000000023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5.2528516399073348</v>
      </c>
      <c r="C109" s="183">
        <f t="shared" ref="C109:Q109" si="3">STDEV(C9:C104)</f>
        <v>2.6304924973298185</v>
      </c>
      <c r="D109" s="183">
        <f t="shared" si="3"/>
        <v>4.9051713804850943</v>
      </c>
      <c r="E109" s="183">
        <f t="shared" si="3"/>
        <v>2.373527740811864</v>
      </c>
      <c r="F109" s="183">
        <f t="shared" si="3"/>
        <v>6.6241219469437942</v>
      </c>
      <c r="G109" s="183">
        <f t="shared" si="3"/>
        <v>11.01339078687662</v>
      </c>
      <c r="H109" s="183">
        <f t="shared" si="3"/>
        <v>3.4534386690234946</v>
      </c>
      <c r="I109" s="183">
        <f t="shared" si="3"/>
        <v>1.322377042173168</v>
      </c>
      <c r="J109" s="183">
        <f t="shared" si="3"/>
        <v>9.9402987617920588E-2</v>
      </c>
      <c r="K109" s="183">
        <f t="shared" si="3"/>
        <v>58.21720932857037</v>
      </c>
      <c r="L109" s="183">
        <f t="shared" si="3"/>
        <v>4.7627035481666979</v>
      </c>
      <c r="M109" s="183">
        <f t="shared" si="3"/>
        <v>21.163153294286207</v>
      </c>
      <c r="N109" s="183">
        <f t="shared" si="3"/>
        <v>203.07849791322812</v>
      </c>
      <c r="O109" s="183">
        <f t="shared" si="3"/>
        <v>0</v>
      </c>
      <c r="P109" s="183">
        <f t="shared" si="3"/>
        <v>0.10007491711256773</v>
      </c>
      <c r="Q109" s="183">
        <f t="shared" si="3"/>
        <v>0.26662146683814014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11/11/2023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1199</v>
      </c>
      <c r="B9" s="134">
        <v>8.89</v>
      </c>
      <c r="C9" s="134">
        <v>24.95</v>
      </c>
      <c r="D9" s="134">
        <v>21.52</v>
      </c>
      <c r="E9" s="134">
        <v>7.53</v>
      </c>
      <c r="F9" s="134">
        <v>2.5299999999999998</v>
      </c>
      <c r="G9" s="134">
        <v>81.47</v>
      </c>
      <c r="H9" s="134">
        <v>33.020000000000003</v>
      </c>
      <c r="I9" s="134">
        <v>7.35</v>
      </c>
      <c r="J9" s="134">
        <v>0.09</v>
      </c>
      <c r="K9" s="134">
        <v>222.51</v>
      </c>
      <c r="L9" s="134">
        <v>21.04</v>
      </c>
      <c r="M9" s="134">
        <v>84.19</v>
      </c>
      <c r="N9" s="134">
        <v>0</v>
      </c>
      <c r="O9" s="134">
        <v>0</v>
      </c>
      <c r="P9" s="134">
        <v>0.99</v>
      </c>
      <c r="Q9" s="134">
        <v>4.4800000000000004</v>
      </c>
    </row>
    <row r="10" spans="1:21" customFormat="1">
      <c r="A10" s="112" t="s">
        <v>1200</v>
      </c>
      <c r="B10" s="134">
        <v>8.81</v>
      </c>
      <c r="C10" s="134">
        <v>24.86</v>
      </c>
      <c r="D10" s="134">
        <v>21.4</v>
      </c>
      <c r="E10" s="134">
        <v>7.32</v>
      </c>
      <c r="F10" s="134">
        <v>2.78</v>
      </c>
      <c r="G10" s="134">
        <v>81.47</v>
      </c>
      <c r="H10" s="134">
        <v>33.020000000000003</v>
      </c>
      <c r="I10" s="134">
        <v>7.57</v>
      </c>
      <c r="J10" s="134">
        <v>0.08</v>
      </c>
      <c r="K10" s="134">
        <v>235.2</v>
      </c>
      <c r="L10" s="134">
        <v>21.13</v>
      </c>
      <c r="M10" s="134">
        <v>82.14</v>
      </c>
      <c r="N10" s="134">
        <v>0</v>
      </c>
      <c r="O10" s="134">
        <v>0</v>
      </c>
      <c r="P10" s="134">
        <v>1.01</v>
      </c>
      <c r="Q10" s="134">
        <v>4.5</v>
      </c>
    </row>
    <row r="11" spans="1:21" customFormat="1">
      <c r="A11" s="112" t="s">
        <v>1201</v>
      </c>
      <c r="B11" s="134">
        <v>8.67</v>
      </c>
      <c r="C11" s="134">
        <v>25.19</v>
      </c>
      <c r="D11" s="134">
        <v>21.46</v>
      </c>
      <c r="E11" s="134">
        <v>7.53</v>
      </c>
      <c r="F11" s="134">
        <v>2.74</v>
      </c>
      <c r="G11" s="134">
        <v>83.61</v>
      </c>
      <c r="H11" s="134">
        <v>37.450000000000003</v>
      </c>
      <c r="I11" s="134">
        <v>7.85</v>
      </c>
      <c r="J11" s="134">
        <v>0.09</v>
      </c>
      <c r="K11" s="134">
        <v>184.46</v>
      </c>
      <c r="L11" s="134">
        <v>20.97</v>
      </c>
      <c r="M11" s="134">
        <v>81.319999999999993</v>
      </c>
      <c r="N11" s="134">
        <v>0</v>
      </c>
      <c r="O11" s="134">
        <v>0</v>
      </c>
      <c r="P11" s="134">
        <v>1.03</v>
      </c>
      <c r="Q11" s="134">
        <v>4.5</v>
      </c>
    </row>
    <row r="12" spans="1:21" customFormat="1">
      <c r="A12" s="112" t="s">
        <v>1202</v>
      </c>
      <c r="B12" s="134">
        <v>8.44</v>
      </c>
      <c r="C12" s="134">
        <v>25.39</v>
      </c>
      <c r="D12" s="134">
        <v>21.39</v>
      </c>
      <c r="E12" s="134">
        <v>7.11</v>
      </c>
      <c r="F12" s="134">
        <v>2.81</v>
      </c>
      <c r="G12" s="134">
        <v>83.87</v>
      </c>
      <c r="H12" s="134">
        <v>37.450000000000003</v>
      </c>
      <c r="I12" s="134">
        <v>8.11</v>
      </c>
      <c r="J12" s="134">
        <v>0.18</v>
      </c>
      <c r="K12" s="134">
        <v>156.79</v>
      </c>
      <c r="L12" s="134">
        <v>21.12</v>
      </c>
      <c r="M12" s="134">
        <v>82.07</v>
      </c>
      <c r="N12" s="134">
        <v>0</v>
      </c>
      <c r="O12" s="134">
        <v>0</v>
      </c>
      <c r="P12" s="134">
        <v>1.03</v>
      </c>
      <c r="Q12" s="134">
        <v>4.49</v>
      </c>
    </row>
    <row r="13" spans="1:21" customFormat="1">
      <c r="A13" s="112" t="s">
        <v>1203</v>
      </c>
      <c r="B13" s="134">
        <v>8.75</v>
      </c>
      <c r="C13" s="134">
        <v>25.9</v>
      </c>
      <c r="D13" s="134">
        <v>21.9</v>
      </c>
      <c r="E13" s="134">
        <v>7.62</v>
      </c>
      <c r="F13" s="134">
        <v>2.74</v>
      </c>
      <c r="G13" s="134">
        <v>83.87</v>
      </c>
      <c r="H13" s="134">
        <v>37.450000000000003</v>
      </c>
      <c r="I13" s="134">
        <v>8.4</v>
      </c>
      <c r="J13" s="134">
        <v>0.16</v>
      </c>
      <c r="K13" s="134">
        <v>160.88</v>
      </c>
      <c r="L13" s="134">
        <v>21.24</v>
      </c>
      <c r="M13" s="134">
        <v>81.790000000000006</v>
      </c>
      <c r="N13" s="134">
        <v>0</v>
      </c>
      <c r="O13" s="134">
        <v>0</v>
      </c>
      <c r="P13" s="134">
        <v>1.05</v>
      </c>
      <c r="Q13" s="134">
        <v>4.49</v>
      </c>
    </row>
    <row r="14" spans="1:21" customFormat="1">
      <c r="A14" s="112" t="s">
        <v>1204</v>
      </c>
      <c r="B14" s="134">
        <v>9.58</v>
      </c>
      <c r="C14" s="134">
        <v>26.73</v>
      </c>
      <c r="D14" s="134">
        <v>23</v>
      </c>
      <c r="E14" s="134">
        <v>7.51</v>
      </c>
      <c r="F14" s="134">
        <v>2.4300000000000002</v>
      </c>
      <c r="G14" s="134">
        <v>83.87</v>
      </c>
      <c r="H14" s="134">
        <v>37.450000000000003</v>
      </c>
      <c r="I14" s="134">
        <v>8.58</v>
      </c>
      <c r="J14" s="134">
        <v>0.14000000000000001</v>
      </c>
      <c r="K14" s="134">
        <v>166.75</v>
      </c>
      <c r="L14" s="134">
        <v>21.04</v>
      </c>
      <c r="M14" s="134">
        <v>81.72</v>
      </c>
      <c r="N14" s="134">
        <v>0</v>
      </c>
      <c r="O14" s="134">
        <v>0</v>
      </c>
      <c r="P14" s="134">
        <v>1.06</v>
      </c>
      <c r="Q14" s="134">
        <v>4.54</v>
      </c>
    </row>
    <row r="15" spans="1:21" customFormat="1">
      <c r="A15" s="112" t="s">
        <v>1205</v>
      </c>
      <c r="B15" s="134">
        <v>9.86</v>
      </c>
      <c r="C15" s="134">
        <v>27.07</v>
      </c>
      <c r="D15" s="134">
        <v>23.4</v>
      </c>
      <c r="E15" s="134">
        <v>7.32</v>
      </c>
      <c r="F15" s="134">
        <v>2.52</v>
      </c>
      <c r="G15" s="134">
        <v>89.98</v>
      </c>
      <c r="H15" s="134">
        <v>40.85</v>
      </c>
      <c r="I15" s="134">
        <v>8.81</v>
      </c>
      <c r="J15" s="134">
        <v>0.11</v>
      </c>
      <c r="K15" s="134">
        <v>171.02</v>
      </c>
      <c r="L15" s="134">
        <v>20.83</v>
      </c>
      <c r="M15" s="134">
        <v>84.61</v>
      </c>
      <c r="N15" s="134">
        <v>0</v>
      </c>
      <c r="O15" s="134">
        <v>0</v>
      </c>
      <c r="P15" s="134">
        <v>1.05</v>
      </c>
      <c r="Q15" s="134">
        <v>4.5599999999999996</v>
      </c>
    </row>
    <row r="16" spans="1:21" customFormat="1">
      <c r="A16" s="112" t="s">
        <v>1206</v>
      </c>
      <c r="B16" s="134">
        <v>9.57</v>
      </c>
      <c r="C16" s="134">
        <v>26.78</v>
      </c>
      <c r="D16" s="134">
        <v>23.01</v>
      </c>
      <c r="E16" s="134">
        <v>7.39</v>
      </c>
      <c r="F16" s="134">
        <v>2.75</v>
      </c>
      <c r="G16" s="134">
        <v>90.83</v>
      </c>
      <c r="H16" s="134">
        <v>40.85</v>
      </c>
      <c r="I16" s="134">
        <v>8.8699999999999992</v>
      </c>
      <c r="J16" s="134">
        <v>0.11</v>
      </c>
      <c r="K16" s="134">
        <v>240.4</v>
      </c>
      <c r="L16" s="134">
        <v>20.66</v>
      </c>
      <c r="M16" s="134">
        <v>88.59</v>
      </c>
      <c r="N16" s="134">
        <v>0</v>
      </c>
      <c r="O16" s="134">
        <v>0</v>
      </c>
      <c r="P16" s="134">
        <v>1.03</v>
      </c>
      <c r="Q16" s="134">
        <v>4.53</v>
      </c>
    </row>
    <row r="17" spans="1:17" customFormat="1">
      <c r="A17" s="112" t="s">
        <v>1207</v>
      </c>
      <c r="B17" s="134">
        <v>9.33</v>
      </c>
      <c r="C17" s="134">
        <v>26.26</v>
      </c>
      <c r="D17" s="134">
        <v>22.56</v>
      </c>
      <c r="E17" s="134">
        <v>5.34</v>
      </c>
      <c r="F17" s="134">
        <v>2.6</v>
      </c>
      <c r="G17" s="134">
        <v>90.83</v>
      </c>
      <c r="H17" s="134">
        <v>40.85</v>
      </c>
      <c r="I17" s="134">
        <v>8.89</v>
      </c>
      <c r="J17" s="134">
        <v>0.13</v>
      </c>
      <c r="K17" s="134">
        <v>164.53</v>
      </c>
      <c r="L17" s="134">
        <v>20.49</v>
      </c>
      <c r="M17" s="134">
        <v>89.6</v>
      </c>
      <c r="N17" s="134">
        <v>0</v>
      </c>
      <c r="O17" s="134">
        <v>0</v>
      </c>
      <c r="P17" s="134">
        <v>1.05</v>
      </c>
      <c r="Q17" s="134">
        <v>4.53</v>
      </c>
    </row>
    <row r="18" spans="1:17" customFormat="1">
      <c r="A18" s="112" t="s">
        <v>1208</v>
      </c>
      <c r="B18" s="134">
        <v>9.09</v>
      </c>
      <c r="C18" s="134">
        <v>25.86</v>
      </c>
      <c r="D18" s="134">
        <v>22.15</v>
      </c>
      <c r="E18" s="134">
        <v>6.46</v>
      </c>
      <c r="F18" s="134">
        <v>2.69</v>
      </c>
      <c r="G18" s="134">
        <v>90.83</v>
      </c>
      <c r="H18" s="134">
        <v>40.85</v>
      </c>
      <c r="I18" s="134">
        <v>8.9</v>
      </c>
      <c r="J18" s="134">
        <v>0.11</v>
      </c>
      <c r="K18" s="134">
        <v>174.45</v>
      </c>
      <c r="L18" s="134">
        <v>20.47</v>
      </c>
      <c r="M18" s="134">
        <v>84.72</v>
      </c>
      <c r="N18" s="134">
        <v>0</v>
      </c>
      <c r="O18" s="134">
        <v>0</v>
      </c>
      <c r="P18" s="134">
        <v>1.03</v>
      </c>
      <c r="Q18" s="134">
        <v>4.5199999999999996</v>
      </c>
    </row>
    <row r="19" spans="1:17" customFormat="1">
      <c r="A19" s="112" t="s">
        <v>1209</v>
      </c>
      <c r="B19" s="134">
        <v>8.91</v>
      </c>
      <c r="C19" s="134">
        <v>25.22</v>
      </c>
      <c r="D19" s="134">
        <v>21.68</v>
      </c>
      <c r="E19" s="134">
        <v>5.71</v>
      </c>
      <c r="F19" s="134">
        <v>2.68</v>
      </c>
      <c r="G19" s="134">
        <v>82.62</v>
      </c>
      <c r="H19" s="134">
        <v>39.880000000000003</v>
      </c>
      <c r="I19" s="134">
        <v>8.92</v>
      </c>
      <c r="J19" s="134">
        <v>0.08</v>
      </c>
      <c r="K19" s="134">
        <v>151.22999999999999</v>
      </c>
      <c r="L19" s="134">
        <v>20.39</v>
      </c>
      <c r="M19" s="134">
        <v>86.71</v>
      </c>
      <c r="N19" s="134">
        <v>0</v>
      </c>
      <c r="O19" s="134">
        <v>0</v>
      </c>
      <c r="P19" s="134">
        <v>1.02</v>
      </c>
      <c r="Q19" s="134">
        <v>4.49</v>
      </c>
    </row>
    <row r="20" spans="1:17" customFormat="1">
      <c r="A20" s="112" t="s">
        <v>1210</v>
      </c>
      <c r="B20" s="134">
        <v>9.5399999999999991</v>
      </c>
      <c r="C20" s="134">
        <v>25.42</v>
      </c>
      <c r="D20" s="134">
        <v>22.28</v>
      </c>
      <c r="E20" s="134">
        <v>6.3</v>
      </c>
      <c r="F20" s="134">
        <v>2.58</v>
      </c>
      <c r="G20" s="134">
        <v>81.47</v>
      </c>
      <c r="H20" s="134">
        <v>39.880000000000003</v>
      </c>
      <c r="I20" s="134">
        <v>8.9</v>
      </c>
      <c r="J20" s="134">
        <v>0.11</v>
      </c>
      <c r="K20" s="134">
        <v>143.05000000000001</v>
      </c>
      <c r="L20" s="134">
        <v>20.45</v>
      </c>
      <c r="M20" s="134">
        <v>85.59</v>
      </c>
      <c r="N20" s="134">
        <v>0</v>
      </c>
      <c r="O20" s="134">
        <v>0</v>
      </c>
      <c r="P20" s="134">
        <v>1</v>
      </c>
      <c r="Q20" s="134">
        <v>4.5199999999999996</v>
      </c>
    </row>
    <row r="21" spans="1:17" customFormat="1">
      <c r="A21" s="112" t="s">
        <v>1211</v>
      </c>
      <c r="B21" s="134">
        <v>11.34</v>
      </c>
      <c r="C21" s="134">
        <v>26.18</v>
      </c>
      <c r="D21" s="134">
        <v>24.12</v>
      </c>
      <c r="E21" s="134">
        <v>6.45</v>
      </c>
      <c r="F21" s="134">
        <v>2.6</v>
      </c>
      <c r="G21" s="134">
        <v>81.47</v>
      </c>
      <c r="H21" s="134">
        <v>39.880000000000003</v>
      </c>
      <c r="I21" s="134">
        <v>8.89</v>
      </c>
      <c r="J21" s="134">
        <v>0.21</v>
      </c>
      <c r="K21" s="134">
        <v>156.25</v>
      </c>
      <c r="L21" s="134">
        <v>20.57</v>
      </c>
      <c r="M21" s="134">
        <v>85.49</v>
      </c>
      <c r="N21" s="134">
        <v>0</v>
      </c>
      <c r="O21" s="134">
        <v>0</v>
      </c>
      <c r="P21" s="134">
        <v>1.02</v>
      </c>
      <c r="Q21" s="134">
        <v>4.6100000000000003</v>
      </c>
    </row>
    <row r="22" spans="1:17" customFormat="1">
      <c r="A22" s="112" t="s">
        <v>1212</v>
      </c>
      <c r="B22" s="134">
        <v>12.55</v>
      </c>
      <c r="C22" s="134">
        <v>26.79</v>
      </c>
      <c r="D22" s="134">
        <v>25.41</v>
      </c>
      <c r="E22" s="134">
        <v>6.27</v>
      </c>
      <c r="F22" s="134">
        <v>2.41</v>
      </c>
      <c r="G22" s="134">
        <v>81.47</v>
      </c>
      <c r="H22" s="134">
        <v>39.880000000000003</v>
      </c>
      <c r="I22" s="134">
        <v>8.92</v>
      </c>
      <c r="J22" s="134">
        <v>0.13</v>
      </c>
      <c r="K22" s="134">
        <v>215.79</v>
      </c>
      <c r="L22" s="134">
        <v>20.29</v>
      </c>
      <c r="M22" s="134">
        <v>90.09</v>
      </c>
      <c r="N22" s="134">
        <v>0</v>
      </c>
      <c r="O22" s="134">
        <v>0</v>
      </c>
      <c r="P22" s="134">
        <v>1.03</v>
      </c>
      <c r="Q22" s="134">
        <v>4.6500000000000004</v>
      </c>
    </row>
    <row r="23" spans="1:17" customFormat="1">
      <c r="A23" s="112" t="s">
        <v>1213</v>
      </c>
      <c r="B23" s="134">
        <v>12.85</v>
      </c>
      <c r="C23" s="134">
        <v>26.66</v>
      </c>
      <c r="D23" s="134">
        <v>25.58</v>
      </c>
      <c r="E23" s="134">
        <v>6.31</v>
      </c>
      <c r="F23" s="134">
        <v>2.5099999999999998</v>
      </c>
      <c r="G23" s="134">
        <v>87.61</v>
      </c>
      <c r="H23" s="134">
        <v>38.93</v>
      </c>
      <c r="I23" s="134">
        <v>8.92</v>
      </c>
      <c r="J23" s="134">
        <v>0.03</v>
      </c>
      <c r="K23" s="134">
        <v>223.45</v>
      </c>
      <c r="L23" s="134">
        <v>19.82</v>
      </c>
      <c r="M23" s="134">
        <v>94</v>
      </c>
      <c r="N23" s="134">
        <v>0</v>
      </c>
      <c r="O23" s="134">
        <v>0</v>
      </c>
      <c r="P23" s="134">
        <v>1.03</v>
      </c>
      <c r="Q23" s="134">
        <v>4.67</v>
      </c>
    </row>
    <row r="24" spans="1:17" customFormat="1">
      <c r="A24" s="112" t="s">
        <v>1214</v>
      </c>
      <c r="B24" s="134">
        <v>13.46</v>
      </c>
      <c r="C24" s="134">
        <v>25.16</v>
      </c>
      <c r="D24" s="134">
        <v>25.29</v>
      </c>
      <c r="E24" s="134">
        <v>5.86</v>
      </c>
      <c r="F24" s="134">
        <v>2.8</v>
      </c>
      <c r="G24" s="134">
        <v>88.46</v>
      </c>
      <c r="H24" s="134">
        <v>38.93</v>
      </c>
      <c r="I24" s="134">
        <v>9</v>
      </c>
      <c r="J24" s="134">
        <v>0.08</v>
      </c>
      <c r="K24" s="134">
        <v>180.97</v>
      </c>
      <c r="L24" s="134">
        <v>19.79</v>
      </c>
      <c r="M24" s="134">
        <v>91.3</v>
      </c>
      <c r="N24" s="134">
        <v>0</v>
      </c>
      <c r="O24" s="134">
        <v>0</v>
      </c>
      <c r="P24" s="134">
        <v>1.02</v>
      </c>
      <c r="Q24" s="134">
        <v>4.7</v>
      </c>
    </row>
    <row r="25" spans="1:17" customFormat="1">
      <c r="A25" s="112" t="s">
        <v>1215</v>
      </c>
      <c r="B25" s="134">
        <v>14.99</v>
      </c>
      <c r="C25" s="134">
        <v>23.51</v>
      </c>
      <c r="D25" s="134">
        <v>25.66</v>
      </c>
      <c r="E25" s="134">
        <v>5.42</v>
      </c>
      <c r="F25" s="134">
        <v>2.92</v>
      </c>
      <c r="G25" s="134">
        <v>88.46</v>
      </c>
      <c r="H25" s="134">
        <v>38.93</v>
      </c>
      <c r="I25" s="134">
        <v>9.0299999999999994</v>
      </c>
      <c r="J25" s="134">
        <v>0.08</v>
      </c>
      <c r="K25" s="134">
        <v>198.59</v>
      </c>
      <c r="L25" s="134">
        <v>19.760000000000002</v>
      </c>
      <c r="M25" s="134">
        <v>91.49</v>
      </c>
      <c r="N25" s="134">
        <v>0</v>
      </c>
      <c r="O25" s="134">
        <v>0</v>
      </c>
      <c r="P25" s="134">
        <v>1</v>
      </c>
      <c r="Q25" s="134">
        <v>4.74</v>
      </c>
    </row>
    <row r="26" spans="1:17" customFormat="1">
      <c r="A26" s="112" t="s">
        <v>1216</v>
      </c>
      <c r="B26" s="134">
        <v>16.23</v>
      </c>
      <c r="C26" s="134">
        <v>22.65</v>
      </c>
      <c r="D26" s="134">
        <v>26.2</v>
      </c>
      <c r="E26" s="134">
        <v>4.68</v>
      </c>
      <c r="F26" s="134">
        <v>2.77</v>
      </c>
      <c r="G26" s="134">
        <v>88.46</v>
      </c>
      <c r="H26" s="134">
        <v>38.93</v>
      </c>
      <c r="I26" s="134">
        <v>9.07</v>
      </c>
      <c r="J26" s="134">
        <v>0.08</v>
      </c>
      <c r="K26" s="134">
        <v>143.63</v>
      </c>
      <c r="L26" s="134">
        <v>19.73</v>
      </c>
      <c r="M26" s="134">
        <v>92.5</v>
      </c>
      <c r="N26" s="134">
        <v>0</v>
      </c>
      <c r="O26" s="134">
        <v>0</v>
      </c>
      <c r="P26" s="134">
        <v>0.97</v>
      </c>
      <c r="Q26" s="134">
        <v>4.7699999999999996</v>
      </c>
    </row>
    <row r="27" spans="1:17" customFormat="1">
      <c r="A27" s="112" t="s">
        <v>1217</v>
      </c>
      <c r="B27" s="134">
        <v>17.28</v>
      </c>
      <c r="C27" s="134">
        <v>22.61</v>
      </c>
      <c r="D27" s="134">
        <v>27.02</v>
      </c>
      <c r="E27" s="134">
        <v>4.88</v>
      </c>
      <c r="F27" s="134">
        <v>2.65</v>
      </c>
      <c r="G27" s="134">
        <v>87.94</v>
      </c>
      <c r="H27" s="134">
        <v>38.799999999999997</v>
      </c>
      <c r="I27" s="134">
        <v>9.19</v>
      </c>
      <c r="J27" s="134">
        <v>0.05</v>
      </c>
      <c r="K27" s="134">
        <v>147.1</v>
      </c>
      <c r="L27" s="134">
        <v>19.559999999999999</v>
      </c>
      <c r="M27" s="134">
        <v>92.3</v>
      </c>
      <c r="N27" s="134">
        <v>0</v>
      </c>
      <c r="O27" s="134">
        <v>0</v>
      </c>
      <c r="P27" s="134">
        <v>0.98</v>
      </c>
      <c r="Q27" s="134">
        <v>4.78</v>
      </c>
    </row>
    <row r="28" spans="1:17" customFormat="1">
      <c r="A28" s="112" t="s">
        <v>1218</v>
      </c>
      <c r="B28" s="134">
        <v>19.559999999999999</v>
      </c>
      <c r="C28" s="134">
        <v>22.92</v>
      </c>
      <c r="D28" s="134">
        <v>29.01</v>
      </c>
      <c r="E28" s="134">
        <v>4.9800000000000004</v>
      </c>
      <c r="F28" s="134">
        <v>2.4300000000000002</v>
      </c>
      <c r="G28" s="134">
        <v>87.87</v>
      </c>
      <c r="H28" s="134">
        <v>38.799999999999997</v>
      </c>
      <c r="I28" s="134">
        <v>9.25</v>
      </c>
      <c r="J28" s="134">
        <v>0.09</v>
      </c>
      <c r="K28" s="134">
        <v>158.80000000000001</v>
      </c>
      <c r="L28" s="134">
        <v>19.739999999999998</v>
      </c>
      <c r="M28" s="134">
        <v>90.32</v>
      </c>
      <c r="N28" s="134">
        <v>0</v>
      </c>
      <c r="O28" s="134">
        <v>0</v>
      </c>
      <c r="P28" s="134">
        <v>1</v>
      </c>
      <c r="Q28" s="134">
        <v>4.8499999999999996</v>
      </c>
    </row>
    <row r="29" spans="1:17" customFormat="1">
      <c r="A29" s="112" t="s">
        <v>1219</v>
      </c>
      <c r="B29" s="134">
        <v>21.46</v>
      </c>
      <c r="C29" s="134">
        <v>24.47</v>
      </c>
      <c r="D29" s="134">
        <v>31.34</v>
      </c>
      <c r="E29" s="134">
        <v>5.33</v>
      </c>
      <c r="F29" s="134">
        <v>2.36</v>
      </c>
      <c r="G29" s="134">
        <v>87.87</v>
      </c>
      <c r="H29" s="134">
        <v>38.799999999999997</v>
      </c>
      <c r="I29" s="134">
        <v>9.3800000000000008</v>
      </c>
      <c r="J29" s="134">
        <v>0.12</v>
      </c>
      <c r="K29" s="134">
        <v>162.93</v>
      </c>
      <c r="L29" s="134">
        <v>19.79</v>
      </c>
      <c r="M29" s="134">
        <v>91.89</v>
      </c>
      <c r="N29" s="134">
        <v>0</v>
      </c>
      <c r="O29" s="134">
        <v>0</v>
      </c>
      <c r="P29" s="134">
        <v>1.03</v>
      </c>
      <c r="Q29" s="134">
        <v>4.93</v>
      </c>
    </row>
    <row r="30" spans="1:17" customFormat="1">
      <c r="A30" s="112" t="s">
        <v>1220</v>
      </c>
      <c r="B30" s="134">
        <v>22.64</v>
      </c>
      <c r="C30" s="134">
        <v>25.37</v>
      </c>
      <c r="D30" s="134">
        <v>32.76</v>
      </c>
      <c r="E30" s="134">
        <v>5.74</v>
      </c>
      <c r="F30" s="134">
        <v>2.37</v>
      </c>
      <c r="G30" s="134">
        <v>87.87</v>
      </c>
      <c r="H30" s="134">
        <v>38.799999999999997</v>
      </c>
      <c r="I30" s="134">
        <v>9.6199999999999992</v>
      </c>
      <c r="J30" s="134">
        <v>0.1</v>
      </c>
      <c r="K30" s="134">
        <v>170.98</v>
      </c>
      <c r="L30" s="134">
        <v>19.7</v>
      </c>
      <c r="M30" s="134">
        <v>91.6</v>
      </c>
      <c r="N30" s="134">
        <v>0</v>
      </c>
      <c r="O30" s="134">
        <v>0</v>
      </c>
      <c r="P30" s="134">
        <v>1.06</v>
      </c>
      <c r="Q30" s="134">
        <v>4.9800000000000004</v>
      </c>
    </row>
    <row r="31" spans="1:17" customFormat="1">
      <c r="A31" s="112" t="s">
        <v>1221</v>
      </c>
      <c r="B31" s="134">
        <v>23.51</v>
      </c>
      <c r="C31" s="134">
        <v>25.1</v>
      </c>
      <c r="D31" s="134">
        <v>33.32</v>
      </c>
      <c r="E31" s="134">
        <v>5.75</v>
      </c>
      <c r="F31" s="134">
        <v>2.36</v>
      </c>
      <c r="G31" s="134">
        <v>95.95</v>
      </c>
      <c r="H31" s="134">
        <v>43.56</v>
      </c>
      <c r="I31" s="134">
        <v>9.84</v>
      </c>
      <c r="J31" s="134">
        <v>0.18</v>
      </c>
      <c r="K31" s="134">
        <v>154.76</v>
      </c>
      <c r="L31" s="134">
        <v>19.68</v>
      </c>
      <c r="M31" s="134">
        <v>91.69</v>
      </c>
      <c r="N31" s="134">
        <v>0</v>
      </c>
      <c r="O31" s="134">
        <v>0</v>
      </c>
      <c r="P31" s="134">
        <v>1.07</v>
      </c>
      <c r="Q31" s="134">
        <v>5.04</v>
      </c>
    </row>
    <row r="32" spans="1:17" customFormat="1">
      <c r="A32" s="112" t="s">
        <v>1222</v>
      </c>
      <c r="B32" s="134">
        <v>24.49</v>
      </c>
      <c r="C32" s="134">
        <v>24.68</v>
      </c>
      <c r="D32" s="134">
        <v>33.880000000000003</v>
      </c>
      <c r="E32" s="134">
        <v>5.52</v>
      </c>
      <c r="F32" s="134">
        <v>2.6</v>
      </c>
      <c r="G32" s="134">
        <v>97.07</v>
      </c>
      <c r="H32" s="134">
        <v>43.56</v>
      </c>
      <c r="I32" s="134">
        <v>10.07</v>
      </c>
      <c r="J32" s="134">
        <v>0.19</v>
      </c>
      <c r="K32" s="134">
        <v>186.33</v>
      </c>
      <c r="L32" s="134">
        <v>19.52</v>
      </c>
      <c r="M32" s="134">
        <v>92.27</v>
      </c>
      <c r="N32" s="134">
        <v>0</v>
      </c>
      <c r="O32" s="134">
        <v>0</v>
      </c>
      <c r="P32" s="134">
        <v>1.08</v>
      </c>
      <c r="Q32" s="134">
        <v>5.09</v>
      </c>
    </row>
    <row r="33" spans="1:17" customFormat="1">
      <c r="A33" s="112" t="s">
        <v>1223</v>
      </c>
      <c r="B33" s="134">
        <v>24.89</v>
      </c>
      <c r="C33" s="134">
        <v>25.14</v>
      </c>
      <c r="D33" s="134">
        <v>34.450000000000003</v>
      </c>
      <c r="E33" s="134">
        <v>5.57</v>
      </c>
      <c r="F33" s="134">
        <v>2.52</v>
      </c>
      <c r="G33" s="134">
        <v>97.07</v>
      </c>
      <c r="H33" s="134">
        <v>43.56</v>
      </c>
      <c r="I33" s="134">
        <v>10.31</v>
      </c>
      <c r="J33" s="134">
        <v>0.18</v>
      </c>
      <c r="K33" s="134">
        <v>208.28</v>
      </c>
      <c r="L33" s="134">
        <v>19.239999999999998</v>
      </c>
      <c r="M33" s="134">
        <v>93.62</v>
      </c>
      <c r="N33" s="134">
        <v>0</v>
      </c>
      <c r="O33" s="134">
        <v>0</v>
      </c>
      <c r="P33" s="134">
        <v>1.0900000000000001</v>
      </c>
      <c r="Q33" s="134">
        <v>5.1100000000000003</v>
      </c>
    </row>
    <row r="34" spans="1:17" customFormat="1">
      <c r="A34" s="112" t="s">
        <v>1224</v>
      </c>
      <c r="B34" s="134">
        <v>24.83</v>
      </c>
      <c r="C34" s="134">
        <v>24.94</v>
      </c>
      <c r="D34" s="134">
        <v>34.29</v>
      </c>
      <c r="E34" s="134">
        <v>5.74</v>
      </c>
      <c r="F34" s="134">
        <v>2.52</v>
      </c>
      <c r="G34" s="134">
        <v>97.07</v>
      </c>
      <c r="H34" s="134">
        <v>43.56</v>
      </c>
      <c r="I34" s="134">
        <v>10.53</v>
      </c>
      <c r="J34" s="134">
        <v>0.25</v>
      </c>
      <c r="K34" s="134">
        <v>167.91</v>
      </c>
      <c r="L34" s="134">
        <v>19.350000000000001</v>
      </c>
      <c r="M34" s="134">
        <v>93.11</v>
      </c>
      <c r="N34" s="134">
        <v>3</v>
      </c>
      <c r="O34" s="134">
        <v>0</v>
      </c>
      <c r="P34" s="134">
        <v>1.0900000000000001</v>
      </c>
      <c r="Q34" s="134">
        <v>5.12</v>
      </c>
    </row>
    <row r="35" spans="1:17" customFormat="1">
      <c r="A35" s="112" t="s">
        <v>1225</v>
      </c>
      <c r="B35" s="134">
        <v>24.68</v>
      </c>
      <c r="C35" s="134">
        <v>24.2</v>
      </c>
      <c r="D35" s="134">
        <v>33.78</v>
      </c>
      <c r="E35" s="134">
        <v>5.53</v>
      </c>
      <c r="F35" s="134">
        <v>2.69</v>
      </c>
      <c r="G35" s="134">
        <v>101.03</v>
      </c>
      <c r="H35" s="134">
        <v>46.41</v>
      </c>
      <c r="I35" s="134">
        <v>10.73</v>
      </c>
      <c r="J35" s="134">
        <v>0.15</v>
      </c>
      <c r="K35" s="134">
        <v>170.97</v>
      </c>
      <c r="L35" s="134">
        <v>19.489999999999998</v>
      </c>
      <c r="M35" s="134">
        <v>90.43</v>
      </c>
      <c r="N35" s="134">
        <v>13.4</v>
      </c>
      <c r="O35" s="134">
        <v>0</v>
      </c>
      <c r="P35" s="134">
        <v>1.08</v>
      </c>
      <c r="Q35" s="134">
        <v>5.12</v>
      </c>
    </row>
    <row r="36" spans="1:17" customFormat="1">
      <c r="A36" s="112" t="s">
        <v>1226</v>
      </c>
      <c r="B36" s="134">
        <v>24.43</v>
      </c>
      <c r="C36" s="134">
        <v>24.96</v>
      </c>
      <c r="D36" s="134">
        <v>33.979999999999997</v>
      </c>
      <c r="E36" s="134">
        <v>5.41</v>
      </c>
      <c r="F36" s="134">
        <v>2.46</v>
      </c>
      <c r="G36" s="134">
        <v>101.58</v>
      </c>
      <c r="H36" s="134">
        <v>46.41</v>
      </c>
      <c r="I36" s="134">
        <v>10.85</v>
      </c>
      <c r="J36" s="134">
        <v>0.15</v>
      </c>
      <c r="K36" s="134">
        <v>171.94</v>
      </c>
      <c r="L36" s="134">
        <v>19.82</v>
      </c>
      <c r="M36" s="134">
        <v>88.74</v>
      </c>
      <c r="N36" s="134">
        <v>26.1</v>
      </c>
      <c r="O36" s="134">
        <v>0</v>
      </c>
      <c r="P36" s="134">
        <v>1.1000000000000001</v>
      </c>
      <c r="Q36" s="134">
        <v>5.09</v>
      </c>
    </row>
    <row r="37" spans="1:17" customFormat="1">
      <c r="A37" s="112" t="s">
        <v>1227</v>
      </c>
      <c r="B37" s="134">
        <v>24.25</v>
      </c>
      <c r="C37" s="134">
        <v>24.65</v>
      </c>
      <c r="D37" s="134">
        <v>33.68</v>
      </c>
      <c r="E37" s="134">
        <v>5.6</v>
      </c>
      <c r="F37" s="134">
        <v>2.56</v>
      </c>
      <c r="G37" s="134">
        <v>101.58</v>
      </c>
      <c r="H37" s="134">
        <v>46.41</v>
      </c>
      <c r="I37" s="134">
        <v>10.91</v>
      </c>
      <c r="J37" s="134">
        <v>0.18</v>
      </c>
      <c r="K37" s="134">
        <v>171.65</v>
      </c>
      <c r="L37" s="134">
        <v>20.49</v>
      </c>
      <c r="M37" s="134">
        <v>86.9</v>
      </c>
      <c r="N37" s="134">
        <v>40.200000000000003</v>
      </c>
      <c r="O37" s="134">
        <v>0</v>
      </c>
      <c r="P37" s="134">
        <v>1.1000000000000001</v>
      </c>
      <c r="Q37" s="134">
        <v>5.0999999999999996</v>
      </c>
    </row>
    <row r="38" spans="1:17" customFormat="1">
      <c r="A38" s="112" t="s">
        <v>1228</v>
      </c>
      <c r="B38" s="134">
        <v>23.97</v>
      </c>
      <c r="C38" s="134">
        <v>25.18</v>
      </c>
      <c r="D38" s="134">
        <v>33.729999999999997</v>
      </c>
      <c r="E38" s="134">
        <v>5.76</v>
      </c>
      <c r="F38" s="134">
        <v>2.57</v>
      </c>
      <c r="G38" s="134">
        <v>101.58</v>
      </c>
      <c r="H38" s="134">
        <v>46.41</v>
      </c>
      <c r="I38" s="134">
        <v>11.01</v>
      </c>
      <c r="J38" s="134">
        <v>0.14000000000000001</v>
      </c>
      <c r="K38" s="134">
        <v>172.44</v>
      </c>
      <c r="L38" s="134">
        <v>21.15</v>
      </c>
      <c r="M38" s="134">
        <v>86.6</v>
      </c>
      <c r="N38" s="134">
        <v>54.9</v>
      </c>
      <c r="O38" s="134">
        <v>0</v>
      </c>
      <c r="P38" s="134">
        <v>1.1200000000000001</v>
      </c>
      <c r="Q38" s="134">
        <v>5.07</v>
      </c>
    </row>
    <row r="39" spans="1:17" customFormat="1">
      <c r="A39" s="112" t="s">
        <v>1229</v>
      </c>
      <c r="B39" s="134">
        <v>23.69</v>
      </c>
      <c r="C39" s="134">
        <v>24.65</v>
      </c>
      <c r="D39" s="134">
        <v>33.229999999999997</v>
      </c>
      <c r="E39" s="134">
        <v>5.73</v>
      </c>
      <c r="F39" s="134">
        <v>2.76</v>
      </c>
      <c r="G39" s="134">
        <v>111.45</v>
      </c>
      <c r="H39" s="134">
        <v>47.25</v>
      </c>
      <c r="I39" s="134">
        <v>11.11</v>
      </c>
      <c r="J39" s="134">
        <v>0.21</v>
      </c>
      <c r="K39" s="134">
        <v>264.24</v>
      </c>
      <c r="L39" s="134">
        <v>21.74</v>
      </c>
      <c r="M39" s="134">
        <v>83.67</v>
      </c>
      <c r="N39" s="134">
        <v>104.2</v>
      </c>
      <c r="O39" s="134">
        <v>0</v>
      </c>
      <c r="P39" s="134">
        <v>1.1100000000000001</v>
      </c>
      <c r="Q39" s="134">
        <v>5.0999999999999996</v>
      </c>
    </row>
    <row r="40" spans="1:17" customFormat="1">
      <c r="A40" s="112" t="s">
        <v>1230</v>
      </c>
      <c r="B40" s="134">
        <v>23.61</v>
      </c>
      <c r="C40" s="134">
        <v>25.5</v>
      </c>
      <c r="D40" s="134">
        <v>33.61</v>
      </c>
      <c r="E40" s="134">
        <v>5.81</v>
      </c>
      <c r="F40" s="134">
        <v>2.61</v>
      </c>
      <c r="G40" s="134">
        <v>112.83</v>
      </c>
      <c r="H40" s="134">
        <v>47.25</v>
      </c>
      <c r="I40" s="134">
        <v>11.25</v>
      </c>
      <c r="J40" s="134">
        <v>0.17</v>
      </c>
      <c r="K40" s="134">
        <v>153.06</v>
      </c>
      <c r="L40" s="134">
        <v>22.88</v>
      </c>
      <c r="M40" s="134">
        <v>79.150000000000006</v>
      </c>
      <c r="N40" s="134">
        <v>151.6</v>
      </c>
      <c r="O40" s="134">
        <v>0</v>
      </c>
      <c r="P40" s="134">
        <v>1.1299999999999999</v>
      </c>
      <c r="Q40" s="134">
        <v>5.09</v>
      </c>
    </row>
    <row r="41" spans="1:17" customFormat="1">
      <c r="A41" s="112" t="s">
        <v>1231</v>
      </c>
      <c r="B41" s="134">
        <v>23.71</v>
      </c>
      <c r="C41" s="134">
        <v>24.25</v>
      </c>
      <c r="D41" s="134">
        <v>33.04</v>
      </c>
      <c r="E41" s="134">
        <v>5.33</v>
      </c>
      <c r="F41" s="134">
        <v>2.74</v>
      </c>
      <c r="G41" s="134">
        <v>112.83</v>
      </c>
      <c r="H41" s="134">
        <v>47.25</v>
      </c>
      <c r="I41" s="134">
        <v>11.35</v>
      </c>
      <c r="J41" s="134">
        <v>0.11</v>
      </c>
      <c r="K41" s="134">
        <v>200.25</v>
      </c>
      <c r="L41" s="134">
        <v>23.8</v>
      </c>
      <c r="M41" s="134">
        <v>74.64</v>
      </c>
      <c r="N41" s="134">
        <v>187.7</v>
      </c>
      <c r="O41" s="134">
        <v>0</v>
      </c>
      <c r="P41" s="134">
        <v>1.1299999999999999</v>
      </c>
      <c r="Q41" s="134">
        <v>5.09</v>
      </c>
    </row>
    <row r="42" spans="1:17" customFormat="1">
      <c r="A42" s="112" t="s">
        <v>1232</v>
      </c>
      <c r="B42" s="134">
        <v>23.28</v>
      </c>
      <c r="C42" s="134">
        <v>25.47</v>
      </c>
      <c r="D42" s="134">
        <v>33.32</v>
      </c>
      <c r="E42" s="134">
        <v>5.64</v>
      </c>
      <c r="F42" s="134">
        <v>2.5299999999999998</v>
      </c>
      <c r="G42" s="134">
        <v>112.83</v>
      </c>
      <c r="H42" s="134">
        <v>47.25</v>
      </c>
      <c r="I42" s="134">
        <v>11.49</v>
      </c>
      <c r="J42" s="134">
        <v>0.26</v>
      </c>
      <c r="K42" s="134">
        <v>149.16</v>
      </c>
      <c r="L42" s="134">
        <v>25.17</v>
      </c>
      <c r="M42" s="134">
        <v>68.739999999999995</v>
      </c>
      <c r="N42" s="134">
        <v>222.3</v>
      </c>
      <c r="O42" s="134">
        <v>0</v>
      </c>
      <c r="P42" s="134">
        <v>1.1399999999999999</v>
      </c>
      <c r="Q42" s="134">
        <v>5.07</v>
      </c>
    </row>
    <row r="43" spans="1:17" customFormat="1">
      <c r="A43" s="112" t="s">
        <v>1233</v>
      </c>
      <c r="B43" s="134">
        <v>21.58</v>
      </c>
      <c r="C43" s="134">
        <v>26.28</v>
      </c>
      <c r="D43" s="134">
        <v>32.39</v>
      </c>
      <c r="E43" s="134">
        <v>5.82</v>
      </c>
      <c r="F43" s="134">
        <v>2.74</v>
      </c>
      <c r="G43" s="134">
        <v>123.2</v>
      </c>
      <c r="H43" s="134">
        <v>52.43</v>
      </c>
      <c r="I43" s="134">
        <v>11.59</v>
      </c>
      <c r="J43" s="134">
        <v>0.14000000000000001</v>
      </c>
      <c r="K43" s="134">
        <v>167.77</v>
      </c>
      <c r="L43" s="134">
        <v>25.99</v>
      </c>
      <c r="M43" s="134">
        <v>65.239999999999995</v>
      </c>
      <c r="N43" s="134">
        <v>257.89999999999998</v>
      </c>
      <c r="O43" s="134">
        <v>0</v>
      </c>
      <c r="P43" s="134">
        <v>1.1499999999999999</v>
      </c>
      <c r="Q43" s="134">
        <v>5.03</v>
      </c>
    </row>
    <row r="44" spans="1:17" customFormat="1">
      <c r="A44" s="112" t="s">
        <v>1234</v>
      </c>
      <c r="B44" s="134">
        <v>19.25</v>
      </c>
      <c r="C44" s="134">
        <v>27.58</v>
      </c>
      <c r="D44" s="134">
        <v>31.2</v>
      </c>
      <c r="E44" s="134">
        <v>5.8</v>
      </c>
      <c r="F44" s="134">
        <v>2.85</v>
      </c>
      <c r="G44" s="134">
        <v>124.65</v>
      </c>
      <c r="H44" s="134">
        <v>52.43</v>
      </c>
      <c r="I44" s="134">
        <v>11.68</v>
      </c>
      <c r="J44" s="134">
        <v>0.16</v>
      </c>
      <c r="K44" s="134">
        <v>256.24</v>
      </c>
      <c r="L44" s="134">
        <v>26.65</v>
      </c>
      <c r="M44" s="134">
        <v>61.88</v>
      </c>
      <c r="N44" s="134">
        <v>287.8</v>
      </c>
      <c r="O44" s="134">
        <v>0</v>
      </c>
      <c r="P44" s="134">
        <v>1.17</v>
      </c>
      <c r="Q44" s="134">
        <v>4.9400000000000004</v>
      </c>
    </row>
    <row r="45" spans="1:17" customFormat="1">
      <c r="A45" s="112" t="s">
        <v>1235</v>
      </c>
      <c r="B45" s="134">
        <v>16.62</v>
      </c>
      <c r="C45" s="134">
        <v>28.8</v>
      </c>
      <c r="D45" s="134">
        <v>29.73</v>
      </c>
      <c r="E45" s="134">
        <v>6.79</v>
      </c>
      <c r="F45" s="134">
        <v>2.9</v>
      </c>
      <c r="G45" s="134">
        <v>124.65</v>
      </c>
      <c r="H45" s="134">
        <v>52.43</v>
      </c>
      <c r="I45" s="134">
        <v>11.8</v>
      </c>
      <c r="J45" s="134">
        <v>0.14000000000000001</v>
      </c>
      <c r="K45" s="134">
        <v>211.43</v>
      </c>
      <c r="L45" s="134">
        <v>26.97</v>
      </c>
      <c r="M45" s="134">
        <v>61.08</v>
      </c>
      <c r="N45" s="134">
        <v>239.5</v>
      </c>
      <c r="O45" s="134">
        <v>0</v>
      </c>
      <c r="P45" s="134">
        <v>1.19</v>
      </c>
      <c r="Q45" s="134">
        <v>4.8600000000000003</v>
      </c>
    </row>
    <row r="46" spans="1:17" customFormat="1">
      <c r="A46" s="112" t="s">
        <v>1236</v>
      </c>
      <c r="B46" s="134">
        <v>14</v>
      </c>
      <c r="C46" s="134">
        <v>29.9</v>
      </c>
      <c r="D46" s="134">
        <v>28.2</v>
      </c>
      <c r="E46" s="134">
        <v>6.37</v>
      </c>
      <c r="F46" s="134">
        <v>3.01</v>
      </c>
      <c r="G46" s="134">
        <v>124.65</v>
      </c>
      <c r="H46" s="134">
        <v>52.43</v>
      </c>
      <c r="I46" s="134">
        <v>11.88</v>
      </c>
      <c r="J46" s="134">
        <v>0.14000000000000001</v>
      </c>
      <c r="K46" s="134">
        <v>231.71</v>
      </c>
      <c r="L46" s="134">
        <v>27.87</v>
      </c>
      <c r="M46" s="134">
        <v>55.34</v>
      </c>
      <c r="N46" s="134">
        <v>245.6</v>
      </c>
      <c r="O46" s="134">
        <v>0</v>
      </c>
      <c r="P46" s="134">
        <v>1.2</v>
      </c>
      <c r="Q46" s="134">
        <v>4.75</v>
      </c>
    </row>
    <row r="47" spans="1:17" customFormat="1">
      <c r="A47" s="112" t="s">
        <v>1237</v>
      </c>
      <c r="B47" s="134">
        <v>11.52</v>
      </c>
      <c r="C47" s="134">
        <v>30.42</v>
      </c>
      <c r="D47" s="134">
        <v>26.48</v>
      </c>
      <c r="E47" s="134">
        <v>6.62</v>
      </c>
      <c r="F47" s="134">
        <v>3.6</v>
      </c>
      <c r="G47" s="134">
        <v>125.07</v>
      </c>
      <c r="H47" s="134">
        <v>53.71</v>
      </c>
      <c r="I47" s="134">
        <v>11.94</v>
      </c>
      <c r="J47" s="134">
        <v>0.2</v>
      </c>
      <c r="K47" s="134">
        <v>294.39999999999998</v>
      </c>
      <c r="L47" s="134">
        <v>28.33</v>
      </c>
      <c r="M47" s="134">
        <v>50.2</v>
      </c>
      <c r="N47" s="134">
        <v>385.8</v>
      </c>
      <c r="O47" s="134">
        <v>0</v>
      </c>
      <c r="P47" s="134">
        <v>1.2</v>
      </c>
      <c r="Q47" s="134">
        <v>4.67</v>
      </c>
    </row>
    <row r="48" spans="1:17" customFormat="1">
      <c r="A48" s="112" t="s">
        <v>1238</v>
      </c>
      <c r="B48" s="134">
        <v>9.2200000000000006</v>
      </c>
      <c r="C48" s="134">
        <v>30.33</v>
      </c>
      <c r="D48" s="134">
        <v>24.59</v>
      </c>
      <c r="E48" s="134">
        <v>6.92</v>
      </c>
      <c r="F48" s="134">
        <v>4.03</v>
      </c>
      <c r="G48" s="134">
        <v>125.13</v>
      </c>
      <c r="H48" s="134">
        <v>53.71</v>
      </c>
      <c r="I48" s="134">
        <v>11.95</v>
      </c>
      <c r="J48" s="134">
        <v>0.13</v>
      </c>
      <c r="K48" s="134">
        <v>187.05</v>
      </c>
      <c r="L48" s="134">
        <v>29.06</v>
      </c>
      <c r="M48" s="134">
        <v>48.84</v>
      </c>
      <c r="N48" s="134">
        <v>416.2</v>
      </c>
      <c r="O48" s="134">
        <v>0</v>
      </c>
      <c r="P48" s="134">
        <v>1.18</v>
      </c>
      <c r="Q48" s="134">
        <v>4.55</v>
      </c>
    </row>
    <row r="49" spans="1:17" customFormat="1">
      <c r="A49" s="112" t="s">
        <v>1239</v>
      </c>
      <c r="B49" s="134">
        <v>7.41</v>
      </c>
      <c r="C49" s="134">
        <v>29.68</v>
      </c>
      <c r="D49" s="134">
        <v>22.8</v>
      </c>
      <c r="E49" s="134">
        <v>6.93</v>
      </c>
      <c r="F49" s="134">
        <v>4.55</v>
      </c>
      <c r="G49" s="134">
        <v>125.13</v>
      </c>
      <c r="H49" s="134">
        <v>53.71</v>
      </c>
      <c r="I49" s="134">
        <v>11.86</v>
      </c>
      <c r="J49" s="134">
        <v>0.14000000000000001</v>
      </c>
      <c r="K49" s="134">
        <v>226.83</v>
      </c>
      <c r="L49" s="134">
        <v>29.64</v>
      </c>
      <c r="M49" s="134">
        <v>47.85</v>
      </c>
      <c r="N49" s="134">
        <v>440.6</v>
      </c>
      <c r="O49" s="134">
        <v>0</v>
      </c>
      <c r="P49" s="134">
        <v>1.1599999999999999</v>
      </c>
      <c r="Q49" s="134">
        <v>4.45</v>
      </c>
    </row>
    <row r="50" spans="1:17" customFormat="1">
      <c r="A50" s="112" t="s">
        <v>1240</v>
      </c>
      <c r="B50" s="134">
        <v>6.16</v>
      </c>
      <c r="C50" s="134">
        <v>28.61</v>
      </c>
      <c r="D50" s="134">
        <v>21.24</v>
      </c>
      <c r="E50" s="134">
        <v>8.31</v>
      </c>
      <c r="F50" s="134">
        <v>5.24</v>
      </c>
      <c r="G50" s="134">
        <v>125.13</v>
      </c>
      <c r="H50" s="134">
        <v>53.71</v>
      </c>
      <c r="I50" s="134">
        <v>11.55</v>
      </c>
      <c r="J50" s="134">
        <v>0.2</v>
      </c>
      <c r="K50" s="134">
        <v>183.96</v>
      </c>
      <c r="L50" s="134">
        <v>30.4</v>
      </c>
      <c r="M50" s="134">
        <v>44.5</v>
      </c>
      <c r="N50" s="134">
        <v>464.9</v>
      </c>
      <c r="O50" s="134">
        <v>0</v>
      </c>
      <c r="P50" s="134">
        <v>1.1399999999999999</v>
      </c>
      <c r="Q50" s="134">
        <v>4.37</v>
      </c>
    </row>
    <row r="51" spans="1:17" customFormat="1">
      <c r="A51" s="112" t="s">
        <v>1241</v>
      </c>
      <c r="B51" s="134">
        <v>5.3</v>
      </c>
      <c r="C51" s="134">
        <v>27.62</v>
      </c>
      <c r="D51" s="134">
        <v>20.03</v>
      </c>
      <c r="E51" s="134">
        <v>8.77</v>
      </c>
      <c r="F51" s="134">
        <v>5.63</v>
      </c>
      <c r="G51" s="134">
        <v>117.5</v>
      </c>
      <c r="H51" s="134">
        <v>51.08</v>
      </c>
      <c r="I51" s="134">
        <v>11.35</v>
      </c>
      <c r="J51" s="134">
        <v>0.08</v>
      </c>
      <c r="K51" s="134">
        <v>209.82</v>
      </c>
      <c r="L51" s="134">
        <v>30.51</v>
      </c>
      <c r="M51" s="134">
        <v>43.97</v>
      </c>
      <c r="N51" s="134">
        <v>479</v>
      </c>
      <c r="O51" s="134">
        <v>0</v>
      </c>
      <c r="P51" s="134">
        <v>1.1200000000000001</v>
      </c>
      <c r="Q51" s="134">
        <v>4.33</v>
      </c>
    </row>
    <row r="52" spans="1:17" customFormat="1">
      <c r="A52" s="112" t="s">
        <v>1242</v>
      </c>
      <c r="B52" s="134">
        <v>4.8600000000000003</v>
      </c>
      <c r="C52" s="134">
        <v>26.55</v>
      </c>
      <c r="D52" s="134">
        <v>19.12</v>
      </c>
      <c r="E52" s="134">
        <v>7.98</v>
      </c>
      <c r="F52" s="134">
        <v>6.2</v>
      </c>
      <c r="G52" s="134">
        <v>116.44</v>
      </c>
      <c r="H52" s="134">
        <v>51.08</v>
      </c>
      <c r="I52" s="134">
        <v>11.04</v>
      </c>
      <c r="J52" s="134">
        <v>0.17</v>
      </c>
      <c r="K52" s="134">
        <v>155.94999999999999</v>
      </c>
      <c r="L52" s="134">
        <v>31.28</v>
      </c>
      <c r="M52" s="134">
        <v>42.9</v>
      </c>
      <c r="N52" s="134">
        <v>463.8</v>
      </c>
      <c r="O52" s="134">
        <v>0</v>
      </c>
      <c r="P52" s="134">
        <v>1.0900000000000001</v>
      </c>
      <c r="Q52" s="134">
        <v>4.32</v>
      </c>
    </row>
    <row r="53" spans="1:17" customFormat="1">
      <c r="A53" s="112" t="s">
        <v>1243</v>
      </c>
      <c r="B53" s="134">
        <v>4.74</v>
      </c>
      <c r="C53" s="134">
        <v>25.41</v>
      </c>
      <c r="D53" s="134">
        <v>18.43</v>
      </c>
      <c r="E53" s="134">
        <v>7.96</v>
      </c>
      <c r="F53" s="134">
        <v>6.94</v>
      </c>
      <c r="G53" s="134">
        <v>116.44</v>
      </c>
      <c r="H53" s="134">
        <v>51.08</v>
      </c>
      <c r="I53" s="134">
        <v>10.83</v>
      </c>
      <c r="J53" s="134">
        <v>0.27</v>
      </c>
      <c r="K53" s="134">
        <v>239.21</v>
      </c>
      <c r="L53" s="134">
        <v>31.25</v>
      </c>
      <c r="M53" s="134">
        <v>42.45</v>
      </c>
      <c r="N53" s="134">
        <v>487.2</v>
      </c>
      <c r="O53" s="134">
        <v>0</v>
      </c>
      <c r="P53" s="134">
        <v>1.08</v>
      </c>
      <c r="Q53" s="134">
        <v>4.3</v>
      </c>
    </row>
    <row r="54" spans="1:17" customFormat="1">
      <c r="A54" s="112" t="s">
        <v>1244</v>
      </c>
      <c r="B54" s="134">
        <v>4.68</v>
      </c>
      <c r="C54" s="134">
        <v>24.72</v>
      </c>
      <c r="D54" s="134">
        <v>18.02</v>
      </c>
      <c r="E54" s="134">
        <v>7.91</v>
      </c>
      <c r="F54" s="134">
        <v>7.76</v>
      </c>
      <c r="G54" s="134">
        <v>116.44</v>
      </c>
      <c r="H54" s="134">
        <v>51.08</v>
      </c>
      <c r="I54" s="134">
        <v>10.55</v>
      </c>
      <c r="J54" s="134">
        <v>0.32</v>
      </c>
      <c r="K54" s="134">
        <v>176.55</v>
      </c>
      <c r="L54" s="134">
        <v>31.5</v>
      </c>
      <c r="M54" s="134">
        <v>41.83</v>
      </c>
      <c r="N54" s="134">
        <v>504.5</v>
      </c>
      <c r="O54" s="134">
        <v>0</v>
      </c>
      <c r="P54" s="134">
        <v>1.08</v>
      </c>
      <c r="Q54" s="134">
        <v>4.2699999999999996</v>
      </c>
    </row>
    <row r="55" spans="1:17" customFormat="1">
      <c r="A55" s="112" t="s">
        <v>1245</v>
      </c>
      <c r="B55" s="134">
        <v>4.62</v>
      </c>
      <c r="C55" s="134">
        <v>24.27</v>
      </c>
      <c r="D55" s="134">
        <v>17.73</v>
      </c>
      <c r="E55" s="134">
        <v>8.4499999999999993</v>
      </c>
      <c r="F55" s="134">
        <v>8.5500000000000007</v>
      </c>
      <c r="G55" s="134">
        <v>112.71</v>
      </c>
      <c r="H55" s="134">
        <v>49.72</v>
      </c>
      <c r="I55" s="134">
        <v>10.38</v>
      </c>
      <c r="J55" s="134">
        <v>0.15</v>
      </c>
      <c r="K55" s="134">
        <v>237.74</v>
      </c>
      <c r="L55" s="134">
        <v>31.58</v>
      </c>
      <c r="M55" s="134">
        <v>42.38</v>
      </c>
      <c r="N55" s="134">
        <v>484.2</v>
      </c>
      <c r="O55" s="134">
        <v>0</v>
      </c>
      <c r="P55" s="134">
        <v>1.08</v>
      </c>
      <c r="Q55" s="134">
        <v>4.2699999999999996</v>
      </c>
    </row>
    <row r="56" spans="1:17" customFormat="1">
      <c r="A56" s="112" t="s">
        <v>1246</v>
      </c>
      <c r="B56" s="134">
        <v>4.57</v>
      </c>
      <c r="C56" s="134">
        <v>23.95</v>
      </c>
      <c r="D56" s="134">
        <v>17.53</v>
      </c>
      <c r="E56" s="134">
        <v>8.94</v>
      </c>
      <c r="F56" s="134">
        <v>8.6199999999999992</v>
      </c>
      <c r="G56" s="134">
        <v>112.25</v>
      </c>
      <c r="H56" s="134">
        <v>49.72</v>
      </c>
      <c r="I56" s="134">
        <v>10.32</v>
      </c>
      <c r="J56" s="134">
        <v>0.14000000000000001</v>
      </c>
      <c r="K56" s="134">
        <v>309.20999999999998</v>
      </c>
      <c r="L56" s="134">
        <v>31.64</v>
      </c>
      <c r="M56" s="134">
        <v>40.450000000000003</v>
      </c>
      <c r="N56" s="134">
        <v>478.3</v>
      </c>
      <c r="O56" s="134">
        <v>0</v>
      </c>
      <c r="P56" s="134">
        <v>1.0900000000000001</v>
      </c>
      <c r="Q56" s="134">
        <v>4.26</v>
      </c>
    </row>
    <row r="57" spans="1:17" customFormat="1">
      <c r="A57" s="112" t="s">
        <v>1247</v>
      </c>
      <c r="B57" s="134">
        <v>4.49</v>
      </c>
      <c r="C57" s="134">
        <v>24.08</v>
      </c>
      <c r="D57" s="134">
        <v>17.54</v>
      </c>
      <c r="E57" s="134">
        <v>9.09</v>
      </c>
      <c r="F57" s="134">
        <v>9</v>
      </c>
      <c r="G57" s="134">
        <v>112.25</v>
      </c>
      <c r="H57" s="134">
        <v>49.72</v>
      </c>
      <c r="I57" s="134">
        <v>10.27</v>
      </c>
      <c r="J57" s="134">
        <v>0.09</v>
      </c>
      <c r="K57" s="134">
        <v>227.47</v>
      </c>
      <c r="L57" s="134">
        <v>32.01</v>
      </c>
      <c r="M57" s="134">
        <v>38.65</v>
      </c>
      <c r="N57" s="134">
        <v>438.7</v>
      </c>
      <c r="O57" s="134">
        <v>0</v>
      </c>
      <c r="P57" s="134">
        <v>1.1000000000000001</v>
      </c>
      <c r="Q57" s="134">
        <v>4.2699999999999996</v>
      </c>
    </row>
    <row r="58" spans="1:17" customFormat="1">
      <c r="A58" s="112" t="s">
        <v>1248</v>
      </c>
      <c r="B58" s="134">
        <v>4.53</v>
      </c>
      <c r="C58" s="134">
        <v>24.25</v>
      </c>
      <c r="D58" s="134">
        <v>17.649999999999999</v>
      </c>
      <c r="E58" s="134">
        <v>9.18</v>
      </c>
      <c r="F58" s="134">
        <v>8.7799999999999994</v>
      </c>
      <c r="G58" s="134">
        <v>112.25</v>
      </c>
      <c r="H58" s="134">
        <v>49.72</v>
      </c>
      <c r="I58" s="134">
        <v>10.37</v>
      </c>
      <c r="J58" s="134">
        <v>0.15</v>
      </c>
      <c r="K58" s="134">
        <v>11.26</v>
      </c>
      <c r="L58" s="134">
        <v>31.64</v>
      </c>
      <c r="M58" s="134">
        <v>39.79</v>
      </c>
      <c r="N58" s="134">
        <v>405.6</v>
      </c>
      <c r="O58" s="134">
        <v>0</v>
      </c>
      <c r="P58" s="134">
        <v>1.1200000000000001</v>
      </c>
      <c r="Q58" s="134">
        <v>4.2699999999999996</v>
      </c>
    </row>
    <row r="59" spans="1:17" customFormat="1">
      <c r="A59" s="112" t="s">
        <v>1249</v>
      </c>
      <c r="B59" s="134">
        <v>4.5599999999999996</v>
      </c>
      <c r="C59" s="134">
        <v>24.63</v>
      </c>
      <c r="D59" s="134">
        <v>17.87</v>
      </c>
      <c r="E59" s="134">
        <v>8.86</v>
      </c>
      <c r="F59" s="134">
        <v>8.56</v>
      </c>
      <c r="G59" s="134">
        <v>116.92</v>
      </c>
      <c r="H59" s="134">
        <v>50.67</v>
      </c>
      <c r="I59" s="134">
        <v>10.42</v>
      </c>
      <c r="J59" s="134">
        <v>0.26</v>
      </c>
      <c r="K59" s="134">
        <v>316.23</v>
      </c>
      <c r="L59" s="134">
        <v>31.67</v>
      </c>
      <c r="M59" s="134">
        <v>38.6</v>
      </c>
      <c r="N59" s="134">
        <v>383.2</v>
      </c>
      <c r="O59" s="134">
        <v>0</v>
      </c>
      <c r="P59" s="134">
        <v>1.1100000000000001</v>
      </c>
      <c r="Q59" s="134">
        <v>4.2699999999999996</v>
      </c>
    </row>
    <row r="60" spans="1:17" customFormat="1">
      <c r="A60" s="112" t="s">
        <v>1250</v>
      </c>
      <c r="B60" s="134">
        <v>4.6100000000000003</v>
      </c>
      <c r="C60" s="134">
        <v>24.65</v>
      </c>
      <c r="D60" s="134">
        <v>17.93</v>
      </c>
      <c r="E60" s="134">
        <v>9.0399999999999991</v>
      </c>
      <c r="F60" s="134">
        <v>8.4600000000000009</v>
      </c>
      <c r="G60" s="134">
        <v>117.5</v>
      </c>
      <c r="H60" s="134">
        <v>50.67</v>
      </c>
      <c r="I60" s="134">
        <v>10.42</v>
      </c>
      <c r="J60" s="134">
        <v>0.32</v>
      </c>
      <c r="K60" s="134">
        <v>181.14</v>
      </c>
      <c r="L60" s="134">
        <v>31.98</v>
      </c>
      <c r="M60" s="134">
        <v>37.94</v>
      </c>
      <c r="N60" s="134">
        <v>349.4</v>
      </c>
      <c r="O60" s="134">
        <v>0</v>
      </c>
      <c r="P60" s="134">
        <v>1.1100000000000001</v>
      </c>
      <c r="Q60" s="134">
        <v>4.28</v>
      </c>
    </row>
    <row r="61" spans="1:17" customFormat="1">
      <c r="A61" s="112" t="s">
        <v>1251</v>
      </c>
      <c r="B61" s="134">
        <v>4.68</v>
      </c>
      <c r="C61" s="134">
        <v>24.26</v>
      </c>
      <c r="D61" s="134">
        <v>17.78</v>
      </c>
      <c r="E61" s="134">
        <v>9.4</v>
      </c>
      <c r="F61" s="134">
        <v>8.4499999999999993</v>
      </c>
      <c r="G61" s="134">
        <v>117.5</v>
      </c>
      <c r="H61" s="134">
        <v>50.67</v>
      </c>
      <c r="I61" s="134">
        <v>10.34</v>
      </c>
      <c r="J61" s="134">
        <v>0.2</v>
      </c>
      <c r="K61" s="134">
        <v>184.95</v>
      </c>
      <c r="L61" s="134">
        <v>32.340000000000003</v>
      </c>
      <c r="M61" s="134">
        <v>37.67</v>
      </c>
      <c r="N61" s="134">
        <v>334.7</v>
      </c>
      <c r="O61" s="134">
        <v>0</v>
      </c>
      <c r="P61" s="134">
        <v>1.0900000000000001</v>
      </c>
      <c r="Q61" s="134">
        <v>4.26</v>
      </c>
    </row>
    <row r="62" spans="1:17" customFormat="1">
      <c r="A62" s="112" t="s">
        <v>1252</v>
      </c>
      <c r="B62" s="134">
        <v>4.6399999999999997</v>
      </c>
      <c r="C62" s="134">
        <v>24.07</v>
      </c>
      <c r="D62" s="134">
        <v>17.649999999999999</v>
      </c>
      <c r="E62" s="134">
        <v>9.25</v>
      </c>
      <c r="F62" s="134">
        <v>8.5299999999999994</v>
      </c>
      <c r="G62" s="134">
        <v>117.5</v>
      </c>
      <c r="H62" s="134">
        <v>50.67</v>
      </c>
      <c r="I62" s="134">
        <v>10.17</v>
      </c>
      <c r="J62" s="134">
        <v>0.13</v>
      </c>
      <c r="K62" s="134">
        <v>27.78</v>
      </c>
      <c r="L62" s="134">
        <v>31.95</v>
      </c>
      <c r="M62" s="134">
        <v>39.57</v>
      </c>
      <c r="N62" s="134">
        <v>317.5</v>
      </c>
      <c r="O62" s="134">
        <v>0</v>
      </c>
      <c r="P62" s="134">
        <v>1.0900000000000001</v>
      </c>
      <c r="Q62" s="134">
        <v>4.25</v>
      </c>
    </row>
    <row r="63" spans="1:17" customFormat="1">
      <c r="A63" s="112" t="s">
        <v>1253</v>
      </c>
      <c r="B63" s="134">
        <v>4.68</v>
      </c>
      <c r="C63" s="134">
        <v>24.31</v>
      </c>
      <c r="D63" s="134">
        <v>17.8</v>
      </c>
      <c r="E63" s="134">
        <v>9.9499999999999993</v>
      </c>
      <c r="F63" s="134">
        <v>7.97</v>
      </c>
      <c r="G63" s="134">
        <v>121.48</v>
      </c>
      <c r="H63" s="134">
        <v>54.21</v>
      </c>
      <c r="I63" s="134">
        <v>9.99</v>
      </c>
      <c r="J63" s="134">
        <v>0.19</v>
      </c>
      <c r="K63" s="134">
        <v>189.46</v>
      </c>
      <c r="L63" s="134">
        <v>31.78</v>
      </c>
      <c r="M63" s="134">
        <v>41.42</v>
      </c>
      <c r="N63" s="134">
        <v>292.89999999999998</v>
      </c>
      <c r="O63" s="134">
        <v>0</v>
      </c>
      <c r="P63" s="134">
        <v>1.0900000000000001</v>
      </c>
      <c r="Q63" s="134">
        <v>4.2699999999999996</v>
      </c>
    </row>
    <row r="64" spans="1:17" customFormat="1">
      <c r="A64" s="112" t="s">
        <v>1254</v>
      </c>
      <c r="B64" s="134">
        <v>4.79</v>
      </c>
      <c r="C64" s="134">
        <v>22.88</v>
      </c>
      <c r="D64" s="134">
        <v>17.149999999999999</v>
      </c>
      <c r="E64" s="134">
        <v>9.3699999999999992</v>
      </c>
      <c r="F64" s="134">
        <v>7.05</v>
      </c>
      <c r="G64" s="134">
        <v>121.98</v>
      </c>
      <c r="H64" s="134">
        <v>54.21</v>
      </c>
      <c r="I64" s="134">
        <v>9.84</v>
      </c>
      <c r="J64" s="134">
        <v>0.09</v>
      </c>
      <c r="K64" s="134">
        <v>235.58</v>
      </c>
      <c r="L64" s="134">
        <v>31.71</v>
      </c>
      <c r="M64" s="134">
        <v>40.799999999999997</v>
      </c>
      <c r="N64" s="134">
        <v>268.5</v>
      </c>
      <c r="O64" s="134">
        <v>0</v>
      </c>
      <c r="P64" s="134">
        <v>1.08</v>
      </c>
      <c r="Q64" s="134">
        <v>4.24</v>
      </c>
    </row>
    <row r="65" spans="1:17" customFormat="1">
      <c r="A65" s="112" t="s">
        <v>1255</v>
      </c>
      <c r="B65" s="134">
        <v>4.9000000000000004</v>
      </c>
      <c r="C65" s="134">
        <v>21.59</v>
      </c>
      <c r="D65" s="134">
        <v>16.559999999999999</v>
      </c>
      <c r="E65" s="134">
        <v>9.02</v>
      </c>
      <c r="F65" s="134">
        <v>7.55</v>
      </c>
      <c r="G65" s="134">
        <v>121.98</v>
      </c>
      <c r="H65" s="134">
        <v>54.21</v>
      </c>
      <c r="I65" s="134">
        <v>9.7799999999999994</v>
      </c>
      <c r="J65" s="134">
        <v>0.14000000000000001</v>
      </c>
      <c r="K65" s="134">
        <v>136.21</v>
      </c>
      <c r="L65" s="134">
        <v>31.66</v>
      </c>
      <c r="M65" s="134">
        <v>40.200000000000003</v>
      </c>
      <c r="N65" s="134">
        <v>223.4</v>
      </c>
      <c r="O65" s="134">
        <v>0</v>
      </c>
      <c r="P65" s="134">
        <v>0.93</v>
      </c>
      <c r="Q65" s="134">
        <v>4.21</v>
      </c>
    </row>
    <row r="66" spans="1:17" customFormat="1">
      <c r="A66" s="112" t="s">
        <v>1256</v>
      </c>
      <c r="B66" s="134">
        <v>4.8099999999999996</v>
      </c>
      <c r="C66" s="134">
        <v>20.68</v>
      </c>
      <c r="D66" s="134">
        <v>16.010000000000002</v>
      </c>
      <c r="E66" s="134">
        <v>9.77</v>
      </c>
      <c r="F66" s="134">
        <v>10.130000000000001</v>
      </c>
      <c r="G66" s="134">
        <v>121.98</v>
      </c>
      <c r="H66" s="134">
        <v>54.21</v>
      </c>
      <c r="I66" s="134">
        <v>9.73</v>
      </c>
      <c r="J66" s="134">
        <v>0.25</v>
      </c>
      <c r="K66" s="134">
        <v>151.56</v>
      </c>
      <c r="L66" s="134">
        <v>31.34</v>
      </c>
      <c r="M66" s="134">
        <v>43.5</v>
      </c>
      <c r="N66" s="134">
        <v>149.19999999999999</v>
      </c>
      <c r="O66" s="134">
        <v>0</v>
      </c>
      <c r="P66" s="134">
        <v>0.99</v>
      </c>
      <c r="Q66" s="134">
        <v>4.21</v>
      </c>
    </row>
    <row r="67" spans="1:17" customFormat="1">
      <c r="A67" s="112" t="s">
        <v>1257</v>
      </c>
      <c r="B67" s="134">
        <v>4.68</v>
      </c>
      <c r="C67" s="134">
        <v>19.489999999999998</v>
      </c>
      <c r="D67" s="134">
        <v>15.29</v>
      </c>
      <c r="E67" s="134">
        <v>13.56</v>
      </c>
      <c r="F67" s="134">
        <v>16.09</v>
      </c>
      <c r="G67" s="134">
        <v>119.71</v>
      </c>
      <c r="H67" s="134">
        <v>50.78</v>
      </c>
      <c r="I67" s="134">
        <v>9.67</v>
      </c>
      <c r="J67" s="134">
        <v>0.24</v>
      </c>
      <c r="K67" s="134">
        <v>169.5</v>
      </c>
      <c r="L67" s="134">
        <v>30.98</v>
      </c>
      <c r="M67" s="134">
        <v>44.57</v>
      </c>
      <c r="N67" s="134">
        <v>122.7</v>
      </c>
      <c r="O67" s="134">
        <v>0</v>
      </c>
      <c r="P67" s="134">
        <v>0.97</v>
      </c>
      <c r="Q67" s="134">
        <v>4.2</v>
      </c>
    </row>
    <row r="68" spans="1:17" customFormat="1">
      <c r="A68" s="112" t="s">
        <v>1258</v>
      </c>
      <c r="B68" s="134">
        <v>4.83</v>
      </c>
      <c r="C68" s="134">
        <v>18.95</v>
      </c>
      <c r="D68" s="134">
        <v>15.13</v>
      </c>
      <c r="E68" s="134">
        <v>9.89</v>
      </c>
      <c r="F68" s="134">
        <v>10.15</v>
      </c>
      <c r="G68" s="134">
        <v>119.39</v>
      </c>
      <c r="H68" s="134">
        <v>50.78</v>
      </c>
      <c r="I68" s="134">
        <v>9.6</v>
      </c>
      <c r="J68" s="134">
        <v>0.22</v>
      </c>
      <c r="K68" s="134">
        <v>171.39</v>
      </c>
      <c r="L68" s="134">
        <v>30.7</v>
      </c>
      <c r="M68" s="134">
        <v>43.78</v>
      </c>
      <c r="N68" s="134">
        <v>108.5</v>
      </c>
      <c r="O68" s="134">
        <v>0</v>
      </c>
      <c r="P68" s="134">
        <v>0.95</v>
      </c>
      <c r="Q68" s="134">
        <v>4.18</v>
      </c>
    </row>
    <row r="69" spans="1:17" customFormat="1">
      <c r="A69" s="112" t="s">
        <v>1259</v>
      </c>
      <c r="B69" s="134">
        <v>4.84</v>
      </c>
      <c r="C69" s="134">
        <v>18.43</v>
      </c>
      <c r="D69" s="134">
        <v>14.86</v>
      </c>
      <c r="E69" s="134">
        <v>11.13</v>
      </c>
      <c r="F69" s="134">
        <v>12.09</v>
      </c>
      <c r="G69" s="134">
        <v>119.39</v>
      </c>
      <c r="H69" s="134">
        <v>50.78</v>
      </c>
      <c r="I69" s="134">
        <v>9.34</v>
      </c>
      <c r="J69" s="134">
        <v>0.25</v>
      </c>
      <c r="K69" s="134">
        <v>167.61</v>
      </c>
      <c r="L69" s="134">
        <v>30.58</v>
      </c>
      <c r="M69" s="134">
        <v>42.8</v>
      </c>
      <c r="N69" s="134">
        <v>92.5</v>
      </c>
      <c r="O69" s="134">
        <v>0</v>
      </c>
      <c r="P69" s="134">
        <v>0.95</v>
      </c>
      <c r="Q69" s="134">
        <v>4.17</v>
      </c>
    </row>
    <row r="70" spans="1:17" customFormat="1">
      <c r="A70" s="112" t="s">
        <v>1260</v>
      </c>
      <c r="B70" s="134">
        <v>4.7699999999999996</v>
      </c>
      <c r="C70" s="134">
        <v>18.11</v>
      </c>
      <c r="D70" s="134">
        <v>14.64</v>
      </c>
      <c r="E70" s="134">
        <v>11.11</v>
      </c>
      <c r="F70" s="134">
        <v>13.77</v>
      </c>
      <c r="G70" s="134">
        <v>119.39</v>
      </c>
      <c r="H70" s="134">
        <v>50.78</v>
      </c>
      <c r="I70" s="134">
        <v>9.36</v>
      </c>
      <c r="J70" s="134">
        <v>0.3</v>
      </c>
      <c r="K70" s="134">
        <v>166.77</v>
      </c>
      <c r="L70" s="134">
        <v>30.25</v>
      </c>
      <c r="M70" s="134">
        <v>45</v>
      </c>
      <c r="N70" s="134">
        <v>78</v>
      </c>
      <c r="O70" s="134">
        <v>0</v>
      </c>
      <c r="P70" s="134">
        <v>0.93</v>
      </c>
      <c r="Q70" s="134">
        <v>4.16</v>
      </c>
    </row>
    <row r="71" spans="1:17" customFormat="1">
      <c r="A71" s="112" t="s">
        <v>1261</v>
      </c>
      <c r="B71" s="134">
        <v>4.7</v>
      </c>
      <c r="C71" s="134">
        <v>17.760000000000002</v>
      </c>
      <c r="D71" s="134">
        <v>14.4</v>
      </c>
      <c r="E71" s="134">
        <v>13.26</v>
      </c>
      <c r="F71" s="134">
        <v>15.83</v>
      </c>
      <c r="G71" s="134">
        <v>106.78</v>
      </c>
      <c r="H71" s="134">
        <v>47.38</v>
      </c>
      <c r="I71" s="134">
        <v>9.1999999999999993</v>
      </c>
      <c r="J71" s="134">
        <v>0.23</v>
      </c>
      <c r="K71" s="134">
        <v>165.94</v>
      </c>
      <c r="L71" s="134">
        <v>29.89</v>
      </c>
      <c r="M71" s="134">
        <v>46.39</v>
      </c>
      <c r="N71" s="134">
        <v>63.1</v>
      </c>
      <c r="O71" s="134">
        <v>0</v>
      </c>
      <c r="P71" s="134">
        <v>0.92</v>
      </c>
      <c r="Q71" s="134">
        <v>4.16</v>
      </c>
    </row>
    <row r="72" spans="1:17" customFormat="1">
      <c r="A72" s="112" t="s">
        <v>1262</v>
      </c>
      <c r="B72" s="134">
        <v>4.58</v>
      </c>
      <c r="C72" s="134">
        <v>17.79</v>
      </c>
      <c r="D72" s="134">
        <v>14.32</v>
      </c>
      <c r="E72" s="134">
        <v>14.28</v>
      </c>
      <c r="F72" s="134">
        <v>17.84</v>
      </c>
      <c r="G72" s="134">
        <v>105.21</v>
      </c>
      <c r="H72" s="134">
        <v>47.38</v>
      </c>
      <c r="I72" s="134">
        <v>9.1300000000000008</v>
      </c>
      <c r="J72" s="134">
        <v>0.2</v>
      </c>
      <c r="K72" s="134">
        <v>170.49</v>
      </c>
      <c r="L72" s="134">
        <v>29.69</v>
      </c>
      <c r="M72" s="134">
        <v>46.36</v>
      </c>
      <c r="N72" s="134">
        <v>48.5</v>
      </c>
      <c r="O72" s="134">
        <v>0</v>
      </c>
      <c r="P72" s="134">
        <v>0.91</v>
      </c>
      <c r="Q72" s="134">
        <v>4.17</v>
      </c>
    </row>
    <row r="73" spans="1:17" customFormat="1">
      <c r="A73" s="112" t="s">
        <v>1263</v>
      </c>
      <c r="B73" s="134">
        <v>4.6100000000000003</v>
      </c>
      <c r="C73" s="134">
        <v>17.399999999999999</v>
      </c>
      <c r="D73" s="134">
        <v>14.14</v>
      </c>
      <c r="E73" s="134">
        <v>13.19</v>
      </c>
      <c r="F73" s="134">
        <v>16.97</v>
      </c>
      <c r="G73" s="134">
        <v>105.21</v>
      </c>
      <c r="H73" s="134">
        <v>47.38</v>
      </c>
      <c r="I73" s="134">
        <v>8.9700000000000006</v>
      </c>
      <c r="J73" s="134">
        <v>0.25</v>
      </c>
      <c r="K73" s="134">
        <v>166.93</v>
      </c>
      <c r="L73" s="134">
        <v>29.35</v>
      </c>
      <c r="M73" s="134">
        <v>49.28</v>
      </c>
      <c r="N73" s="134">
        <v>35.700000000000003</v>
      </c>
      <c r="O73" s="134">
        <v>0</v>
      </c>
      <c r="P73" s="134">
        <v>0.9</v>
      </c>
      <c r="Q73" s="134">
        <v>4.1500000000000004</v>
      </c>
    </row>
    <row r="74" spans="1:17" customFormat="1">
      <c r="A74" s="112" t="s">
        <v>1264</v>
      </c>
      <c r="B74" s="134">
        <v>4.6500000000000004</v>
      </c>
      <c r="C74" s="134">
        <v>17.64</v>
      </c>
      <c r="D74" s="134">
        <v>14.3</v>
      </c>
      <c r="E74" s="134">
        <v>14.17</v>
      </c>
      <c r="F74" s="134">
        <v>12.36</v>
      </c>
      <c r="G74" s="134">
        <v>105.21</v>
      </c>
      <c r="H74" s="134">
        <v>47.38</v>
      </c>
      <c r="I74" s="134">
        <v>8.8699999999999992</v>
      </c>
      <c r="J74" s="134">
        <v>0.26</v>
      </c>
      <c r="K74" s="134">
        <v>174.11</v>
      </c>
      <c r="L74" s="134">
        <v>28.91</v>
      </c>
      <c r="M74" s="134">
        <v>51.39</v>
      </c>
      <c r="N74" s="134">
        <v>22.7</v>
      </c>
      <c r="O74" s="134">
        <v>0</v>
      </c>
      <c r="P74" s="134">
        <v>0.91</v>
      </c>
      <c r="Q74" s="134">
        <v>4.1500000000000004</v>
      </c>
    </row>
    <row r="75" spans="1:17" customFormat="1">
      <c r="A75" s="112" t="s">
        <v>1265</v>
      </c>
      <c r="B75" s="134">
        <v>4.7699999999999996</v>
      </c>
      <c r="C75" s="134">
        <v>19.350000000000001</v>
      </c>
      <c r="D75" s="134">
        <v>15.29</v>
      </c>
      <c r="E75" s="134">
        <v>20.260000000000002</v>
      </c>
      <c r="F75" s="134">
        <v>12.41</v>
      </c>
      <c r="G75" s="134">
        <v>109.57</v>
      </c>
      <c r="H75" s="134">
        <v>49.42</v>
      </c>
      <c r="I75" s="134">
        <v>8.77</v>
      </c>
      <c r="J75" s="134">
        <v>0.15</v>
      </c>
      <c r="K75" s="134">
        <v>123.43</v>
      </c>
      <c r="L75" s="134">
        <v>28.55</v>
      </c>
      <c r="M75" s="134">
        <v>53.36</v>
      </c>
      <c r="N75" s="134">
        <v>10.8</v>
      </c>
      <c r="O75" s="134">
        <v>0</v>
      </c>
      <c r="P75" s="134">
        <v>0.93</v>
      </c>
      <c r="Q75" s="134">
        <v>4.16</v>
      </c>
    </row>
    <row r="76" spans="1:17" customFormat="1">
      <c r="A76" s="112" t="s">
        <v>1266</v>
      </c>
      <c r="B76" s="134">
        <v>4.9800000000000004</v>
      </c>
      <c r="C76" s="134">
        <v>20</v>
      </c>
      <c r="D76" s="134">
        <v>15.79</v>
      </c>
      <c r="E76" s="134">
        <v>12.75</v>
      </c>
      <c r="F76" s="134">
        <v>8.2799999999999994</v>
      </c>
      <c r="G76" s="134">
        <v>110.12</v>
      </c>
      <c r="H76" s="134">
        <v>49.42</v>
      </c>
      <c r="I76" s="134">
        <v>8.83</v>
      </c>
      <c r="J76" s="134">
        <v>0.18</v>
      </c>
      <c r="K76" s="134">
        <v>141.97</v>
      </c>
      <c r="L76" s="134">
        <v>27.99</v>
      </c>
      <c r="M76" s="134">
        <v>57.19</v>
      </c>
      <c r="N76" s="134">
        <v>1.9</v>
      </c>
      <c r="O76" s="134">
        <v>0</v>
      </c>
      <c r="P76" s="134">
        <v>0.94</v>
      </c>
      <c r="Q76" s="134">
        <v>4.17</v>
      </c>
    </row>
    <row r="77" spans="1:17" customFormat="1">
      <c r="A77" s="112" t="s">
        <v>1267</v>
      </c>
      <c r="B77" s="134">
        <v>5.08</v>
      </c>
      <c r="C77" s="134">
        <v>20</v>
      </c>
      <c r="D77" s="134">
        <v>15.87</v>
      </c>
      <c r="E77" s="134">
        <v>10.17</v>
      </c>
      <c r="F77" s="134">
        <v>6.15</v>
      </c>
      <c r="G77" s="134">
        <v>110.12</v>
      </c>
      <c r="H77" s="134">
        <v>49.42</v>
      </c>
      <c r="I77" s="134">
        <v>8.9</v>
      </c>
      <c r="J77" s="134">
        <v>0.26</v>
      </c>
      <c r="K77" s="134">
        <v>170.91</v>
      </c>
      <c r="L77" s="134">
        <v>27.24</v>
      </c>
      <c r="M77" s="134">
        <v>61.35</v>
      </c>
      <c r="N77" s="134">
        <v>0</v>
      </c>
      <c r="O77" s="134">
        <v>0</v>
      </c>
      <c r="P77" s="134">
        <v>0.94</v>
      </c>
      <c r="Q77" s="134">
        <v>4.1900000000000004</v>
      </c>
    </row>
    <row r="78" spans="1:17" customFormat="1">
      <c r="A78" s="112" t="s">
        <v>1268</v>
      </c>
      <c r="B78" s="134">
        <v>6.1</v>
      </c>
      <c r="C78" s="134">
        <v>23.54</v>
      </c>
      <c r="D78" s="134">
        <v>18.55</v>
      </c>
      <c r="E78" s="134">
        <v>8.93</v>
      </c>
      <c r="F78" s="134">
        <v>4.05</v>
      </c>
      <c r="G78" s="134">
        <v>110.12</v>
      </c>
      <c r="H78" s="134">
        <v>49.42</v>
      </c>
      <c r="I78" s="134">
        <v>8.98</v>
      </c>
      <c r="J78" s="134">
        <v>0.16</v>
      </c>
      <c r="K78" s="134">
        <v>164.89</v>
      </c>
      <c r="L78" s="134">
        <v>26.76</v>
      </c>
      <c r="M78" s="134">
        <v>64.12</v>
      </c>
      <c r="N78" s="134">
        <v>0</v>
      </c>
      <c r="O78" s="134">
        <v>0</v>
      </c>
      <c r="P78" s="134">
        <v>0.98</v>
      </c>
      <c r="Q78" s="134">
        <v>4.2</v>
      </c>
    </row>
    <row r="79" spans="1:17" customFormat="1">
      <c r="A79" s="112" t="s">
        <v>1269</v>
      </c>
      <c r="B79" s="134">
        <v>5.99</v>
      </c>
      <c r="C79" s="134">
        <v>22.34</v>
      </c>
      <c r="D79" s="134">
        <v>17.829999999999998</v>
      </c>
      <c r="E79" s="134">
        <v>7.75</v>
      </c>
      <c r="F79" s="134">
        <v>3.12</v>
      </c>
      <c r="G79" s="134">
        <v>120.82</v>
      </c>
      <c r="H79" s="134">
        <v>51.61</v>
      </c>
      <c r="I79" s="134">
        <v>9.09</v>
      </c>
      <c r="J79" s="134">
        <v>0.21</v>
      </c>
      <c r="K79" s="134">
        <v>172.58</v>
      </c>
      <c r="L79" s="134">
        <v>26.03</v>
      </c>
      <c r="M79" s="134">
        <v>70.89</v>
      </c>
      <c r="N79" s="134">
        <v>0</v>
      </c>
      <c r="O79" s="134">
        <v>0</v>
      </c>
      <c r="P79" s="134">
        <v>0.98</v>
      </c>
      <c r="Q79" s="134">
        <v>4.22</v>
      </c>
    </row>
    <row r="80" spans="1:17" customFormat="1">
      <c r="A80" s="112" t="s">
        <v>1270</v>
      </c>
      <c r="B80" s="134">
        <v>6.05</v>
      </c>
      <c r="C80" s="134">
        <v>20.75</v>
      </c>
      <c r="D80" s="134">
        <v>17.04</v>
      </c>
      <c r="E80" s="134">
        <v>7.41</v>
      </c>
      <c r="F80" s="134">
        <v>3.03</v>
      </c>
      <c r="G80" s="134">
        <v>122.31</v>
      </c>
      <c r="H80" s="134">
        <v>51.61</v>
      </c>
      <c r="I80" s="134">
        <v>9.19</v>
      </c>
      <c r="J80" s="134">
        <v>0.27</v>
      </c>
      <c r="K80" s="134">
        <v>169.71</v>
      </c>
      <c r="L80" s="134">
        <v>25.59</v>
      </c>
      <c r="M80" s="134">
        <v>73.599999999999994</v>
      </c>
      <c r="N80" s="134">
        <v>0</v>
      </c>
      <c r="O80" s="134">
        <v>0</v>
      </c>
      <c r="P80" s="134">
        <v>0.98</v>
      </c>
      <c r="Q80" s="134">
        <v>4.24</v>
      </c>
    </row>
    <row r="81" spans="1:17" customFormat="1">
      <c r="A81" s="112" t="s">
        <v>1271</v>
      </c>
      <c r="B81" s="134">
        <v>6.22</v>
      </c>
      <c r="C81" s="134">
        <v>21.95</v>
      </c>
      <c r="D81" s="134">
        <v>17.8</v>
      </c>
      <c r="E81" s="134">
        <v>6.42</v>
      </c>
      <c r="F81" s="134">
        <v>2.98</v>
      </c>
      <c r="G81" s="134">
        <v>122.31</v>
      </c>
      <c r="H81" s="134">
        <v>51.61</v>
      </c>
      <c r="I81" s="134">
        <v>9.25</v>
      </c>
      <c r="J81" s="134">
        <v>0.16</v>
      </c>
      <c r="K81" s="134">
        <v>127.67</v>
      </c>
      <c r="L81" s="134">
        <v>25.45</v>
      </c>
      <c r="M81" s="134">
        <v>69.760000000000005</v>
      </c>
      <c r="N81" s="134">
        <v>0</v>
      </c>
      <c r="O81" s="134">
        <v>0</v>
      </c>
      <c r="P81" s="134">
        <v>1</v>
      </c>
      <c r="Q81" s="134">
        <v>4.28</v>
      </c>
    </row>
    <row r="82" spans="1:17" customFormat="1">
      <c r="A82" s="112" t="s">
        <v>1272</v>
      </c>
      <c r="B82" s="134">
        <v>6.96</v>
      </c>
      <c r="C82" s="134">
        <v>23.3</v>
      </c>
      <c r="D82" s="134">
        <v>19.11</v>
      </c>
      <c r="E82" s="134">
        <v>8</v>
      </c>
      <c r="F82" s="134">
        <v>2.77</v>
      </c>
      <c r="G82" s="134">
        <v>122.31</v>
      </c>
      <c r="H82" s="134">
        <v>51.61</v>
      </c>
      <c r="I82" s="134">
        <v>9.3000000000000007</v>
      </c>
      <c r="J82" s="134">
        <v>0.22</v>
      </c>
      <c r="K82" s="134">
        <v>172.62</v>
      </c>
      <c r="L82" s="134">
        <v>25.41</v>
      </c>
      <c r="M82" s="134">
        <v>69.349999999999994</v>
      </c>
      <c r="N82" s="134">
        <v>0</v>
      </c>
      <c r="O82" s="134">
        <v>0</v>
      </c>
      <c r="P82" s="134">
        <v>1.05</v>
      </c>
      <c r="Q82" s="134">
        <v>4.3</v>
      </c>
    </row>
    <row r="83" spans="1:17" customFormat="1">
      <c r="A83" s="112" t="s">
        <v>1273</v>
      </c>
      <c r="B83" s="134">
        <v>7.51</v>
      </c>
      <c r="C83" s="134">
        <v>25.27</v>
      </c>
      <c r="D83" s="134">
        <v>20.58</v>
      </c>
      <c r="E83" s="134">
        <v>8.9700000000000006</v>
      </c>
      <c r="F83" s="134">
        <v>2.93</v>
      </c>
      <c r="G83" s="134">
        <v>134.16</v>
      </c>
      <c r="H83" s="134">
        <v>53.33</v>
      </c>
      <c r="I83" s="134">
        <v>9.36</v>
      </c>
      <c r="J83" s="134">
        <v>0.14000000000000001</v>
      </c>
      <c r="K83" s="134">
        <v>192.77</v>
      </c>
      <c r="L83" s="134">
        <v>24.9</v>
      </c>
      <c r="M83" s="134">
        <v>73.319999999999993</v>
      </c>
      <c r="N83" s="134">
        <v>0</v>
      </c>
      <c r="O83" s="134">
        <v>0</v>
      </c>
      <c r="P83" s="134">
        <v>1.1200000000000001</v>
      </c>
      <c r="Q83" s="134">
        <v>4.34</v>
      </c>
    </row>
    <row r="84" spans="1:17" customFormat="1">
      <c r="A84" s="112" t="s">
        <v>1274</v>
      </c>
      <c r="B84" s="134">
        <v>7.31</v>
      </c>
      <c r="C84" s="134">
        <v>25.39</v>
      </c>
      <c r="D84" s="134">
        <v>20.48</v>
      </c>
      <c r="E84" s="134">
        <v>9.36</v>
      </c>
      <c r="F84" s="134">
        <v>3.27</v>
      </c>
      <c r="G84" s="134">
        <v>135.63999999999999</v>
      </c>
      <c r="H84" s="134">
        <v>53.33</v>
      </c>
      <c r="I84" s="134">
        <v>9.6</v>
      </c>
      <c r="J84" s="134">
        <v>0.1</v>
      </c>
      <c r="K84" s="134">
        <v>214.71</v>
      </c>
      <c r="L84" s="134">
        <v>24.49</v>
      </c>
      <c r="M84" s="134">
        <v>73.62</v>
      </c>
      <c r="N84" s="134">
        <v>0</v>
      </c>
      <c r="O84" s="134">
        <v>0</v>
      </c>
      <c r="P84" s="134">
        <v>1.1499999999999999</v>
      </c>
      <c r="Q84" s="134">
        <v>4.34</v>
      </c>
    </row>
    <row r="85" spans="1:17" customFormat="1">
      <c r="A85" s="112" t="s">
        <v>1275</v>
      </c>
      <c r="B85" s="134">
        <v>6.74</v>
      </c>
      <c r="C85" s="134">
        <v>25.25</v>
      </c>
      <c r="D85" s="134">
        <v>19.940000000000001</v>
      </c>
      <c r="E85" s="134">
        <v>8.8800000000000008</v>
      </c>
      <c r="F85" s="134">
        <v>3.57</v>
      </c>
      <c r="G85" s="134">
        <v>135.63999999999999</v>
      </c>
      <c r="H85" s="134">
        <v>53.33</v>
      </c>
      <c r="I85" s="134">
        <v>9.81</v>
      </c>
      <c r="J85" s="134">
        <v>0.1</v>
      </c>
      <c r="K85" s="134">
        <v>225.82</v>
      </c>
      <c r="L85" s="134">
        <v>24.17</v>
      </c>
      <c r="M85" s="134">
        <v>73.98</v>
      </c>
      <c r="N85" s="134">
        <v>0</v>
      </c>
      <c r="O85" s="134">
        <v>0</v>
      </c>
      <c r="P85" s="134">
        <v>1.1399999999999999</v>
      </c>
      <c r="Q85" s="134">
        <v>4.32</v>
      </c>
    </row>
    <row r="86" spans="1:17" customFormat="1">
      <c r="A86" s="112" t="s">
        <v>1276</v>
      </c>
      <c r="B86" s="134">
        <v>6.21</v>
      </c>
      <c r="C86" s="134">
        <v>25.07</v>
      </c>
      <c r="D86" s="134">
        <v>19.43</v>
      </c>
      <c r="E86" s="134">
        <v>9.0399999999999991</v>
      </c>
      <c r="F86" s="134">
        <v>3.72</v>
      </c>
      <c r="G86" s="134">
        <v>135.63999999999999</v>
      </c>
      <c r="H86" s="134">
        <v>53.33</v>
      </c>
      <c r="I86" s="134">
        <v>9.82</v>
      </c>
      <c r="J86" s="134">
        <v>0.11</v>
      </c>
      <c r="K86" s="134">
        <v>207.94</v>
      </c>
      <c r="L86" s="134">
        <v>23.98</v>
      </c>
      <c r="M86" s="134">
        <v>74</v>
      </c>
      <c r="N86" s="134">
        <v>0</v>
      </c>
      <c r="O86" s="134">
        <v>0</v>
      </c>
      <c r="P86" s="134">
        <v>1.1200000000000001</v>
      </c>
      <c r="Q86" s="134">
        <v>4.3099999999999996</v>
      </c>
    </row>
    <row r="87" spans="1:17" customFormat="1">
      <c r="A87" s="112" t="s">
        <v>1277</v>
      </c>
      <c r="B87" s="134">
        <v>5.96</v>
      </c>
      <c r="C87" s="134">
        <v>24.46</v>
      </c>
      <c r="D87" s="134">
        <v>18.91</v>
      </c>
      <c r="E87" s="134">
        <v>8.83</v>
      </c>
      <c r="F87" s="134">
        <v>3.88</v>
      </c>
      <c r="G87" s="134">
        <v>117.72</v>
      </c>
      <c r="H87" s="134">
        <v>50.93</v>
      </c>
      <c r="I87" s="134">
        <v>9.65</v>
      </c>
      <c r="J87" s="134">
        <v>0.11</v>
      </c>
      <c r="K87" s="134">
        <v>176.9</v>
      </c>
      <c r="L87" s="134">
        <v>23.82</v>
      </c>
      <c r="M87" s="134">
        <v>75.11</v>
      </c>
      <c r="N87" s="134">
        <v>0</v>
      </c>
      <c r="O87" s="134">
        <v>0</v>
      </c>
      <c r="P87" s="134">
        <v>1.0900000000000001</v>
      </c>
      <c r="Q87" s="134">
        <v>4.28</v>
      </c>
    </row>
    <row r="88" spans="1:17" customFormat="1">
      <c r="A88" s="112" t="s">
        <v>1278</v>
      </c>
      <c r="B88" s="134">
        <v>5.76</v>
      </c>
      <c r="C88" s="134">
        <v>24.22</v>
      </c>
      <c r="D88" s="134">
        <v>18.62</v>
      </c>
      <c r="E88" s="134">
        <v>8.3699999999999992</v>
      </c>
      <c r="F88" s="134">
        <v>3.86</v>
      </c>
      <c r="G88" s="134">
        <v>115.48</v>
      </c>
      <c r="H88" s="134">
        <v>50.93</v>
      </c>
      <c r="I88" s="134">
        <v>9.44</v>
      </c>
      <c r="J88" s="134">
        <v>0.1</v>
      </c>
      <c r="K88" s="134">
        <v>215.53</v>
      </c>
      <c r="L88" s="134">
        <v>23.54</v>
      </c>
      <c r="M88" s="134">
        <v>77.930000000000007</v>
      </c>
      <c r="N88" s="134">
        <v>0</v>
      </c>
      <c r="O88" s="134">
        <v>0</v>
      </c>
      <c r="P88" s="134">
        <v>1.07</v>
      </c>
      <c r="Q88" s="134">
        <v>4.32</v>
      </c>
    </row>
    <row r="89" spans="1:17" customFormat="1">
      <c r="A89" s="112" t="s">
        <v>1279</v>
      </c>
      <c r="B89" s="134">
        <v>5.65</v>
      </c>
      <c r="C89" s="134">
        <v>23.83</v>
      </c>
      <c r="D89" s="134">
        <v>18.329999999999998</v>
      </c>
      <c r="E89" s="134">
        <v>8.59</v>
      </c>
      <c r="F89" s="134">
        <v>3.8</v>
      </c>
      <c r="G89" s="134">
        <v>115.48</v>
      </c>
      <c r="H89" s="134">
        <v>50.93</v>
      </c>
      <c r="I89" s="134">
        <v>9.1999999999999993</v>
      </c>
      <c r="J89" s="134">
        <v>0.15</v>
      </c>
      <c r="K89" s="134">
        <v>170.26</v>
      </c>
      <c r="L89" s="134">
        <v>23.48</v>
      </c>
      <c r="M89" s="134">
        <v>76.47</v>
      </c>
      <c r="N89" s="134">
        <v>0</v>
      </c>
      <c r="O89" s="134">
        <v>0</v>
      </c>
      <c r="P89" s="134">
        <v>1.05</v>
      </c>
      <c r="Q89" s="134">
        <v>4.32</v>
      </c>
    </row>
    <row r="90" spans="1:17" customFormat="1">
      <c r="A90" s="112" t="s">
        <v>1280</v>
      </c>
      <c r="B90" s="134">
        <v>5.63</v>
      </c>
      <c r="C90" s="134">
        <v>23.64</v>
      </c>
      <c r="D90" s="134">
        <v>18.21</v>
      </c>
      <c r="E90" s="134">
        <v>8.01</v>
      </c>
      <c r="F90" s="134">
        <v>3.71</v>
      </c>
      <c r="G90" s="134">
        <v>115.48</v>
      </c>
      <c r="H90" s="134">
        <v>50.93</v>
      </c>
      <c r="I90" s="134">
        <v>9</v>
      </c>
      <c r="J90" s="134">
        <v>0.17</v>
      </c>
      <c r="K90" s="134">
        <v>166.73</v>
      </c>
      <c r="L90" s="134">
        <v>23.43</v>
      </c>
      <c r="M90" s="134">
        <v>75.739999999999995</v>
      </c>
      <c r="N90" s="134">
        <v>0</v>
      </c>
      <c r="O90" s="134">
        <v>0</v>
      </c>
      <c r="P90" s="134">
        <v>1.03</v>
      </c>
      <c r="Q90" s="134">
        <v>4.2699999999999996</v>
      </c>
    </row>
    <row r="91" spans="1:17" customFormat="1">
      <c r="A91" s="112" t="s">
        <v>1281</v>
      </c>
      <c r="B91" s="134">
        <v>5.68</v>
      </c>
      <c r="C91" s="134">
        <v>23.27</v>
      </c>
      <c r="D91" s="134">
        <v>18.07</v>
      </c>
      <c r="E91" s="134">
        <v>8.35</v>
      </c>
      <c r="F91" s="134">
        <v>3.66</v>
      </c>
      <c r="G91" s="134">
        <v>98.61</v>
      </c>
      <c r="H91" s="134">
        <v>47.26</v>
      </c>
      <c r="I91" s="134">
        <v>8.7899999999999991</v>
      </c>
      <c r="J91" s="134">
        <v>0.14000000000000001</v>
      </c>
      <c r="K91" s="134">
        <v>193.34</v>
      </c>
      <c r="L91" s="134">
        <v>23.34</v>
      </c>
      <c r="M91" s="134">
        <v>78.87</v>
      </c>
      <c r="N91" s="134">
        <v>0</v>
      </c>
      <c r="O91" s="134">
        <v>0</v>
      </c>
      <c r="P91" s="134">
        <v>1.01</v>
      </c>
      <c r="Q91" s="134">
        <v>4.2699999999999996</v>
      </c>
    </row>
    <row r="92" spans="1:17" customFormat="1">
      <c r="A92" s="112" t="s">
        <v>1282</v>
      </c>
      <c r="B92" s="134">
        <v>5.65</v>
      </c>
      <c r="C92" s="134">
        <v>23.06</v>
      </c>
      <c r="D92" s="134">
        <v>17.93</v>
      </c>
      <c r="E92" s="134">
        <v>8.25</v>
      </c>
      <c r="F92" s="134">
        <v>3.58</v>
      </c>
      <c r="G92" s="134">
        <v>96.51</v>
      </c>
      <c r="H92" s="134">
        <v>47.26</v>
      </c>
      <c r="I92" s="134">
        <v>8.64</v>
      </c>
      <c r="J92" s="134">
        <v>0.12</v>
      </c>
      <c r="K92" s="134">
        <v>184.14</v>
      </c>
      <c r="L92" s="134">
        <v>23.01</v>
      </c>
      <c r="M92" s="134">
        <v>81.84</v>
      </c>
      <c r="N92" s="134">
        <v>0</v>
      </c>
      <c r="O92" s="134">
        <v>0</v>
      </c>
      <c r="P92" s="134">
        <v>1</v>
      </c>
      <c r="Q92" s="134">
        <v>4.29</v>
      </c>
    </row>
    <row r="93" spans="1:17" customFormat="1">
      <c r="A93" s="112" t="s">
        <v>1283</v>
      </c>
      <c r="B93" s="134">
        <v>5.71</v>
      </c>
      <c r="C93" s="134">
        <v>22.99</v>
      </c>
      <c r="D93" s="134">
        <v>17.940000000000001</v>
      </c>
      <c r="E93" s="134">
        <v>8.66</v>
      </c>
      <c r="F93" s="134">
        <v>3.37</v>
      </c>
      <c r="G93" s="134">
        <v>96.51</v>
      </c>
      <c r="H93" s="134">
        <v>47.26</v>
      </c>
      <c r="I93" s="134">
        <v>8.5</v>
      </c>
      <c r="J93" s="134">
        <v>0.14000000000000001</v>
      </c>
      <c r="K93" s="134">
        <v>160.62</v>
      </c>
      <c r="L93" s="134">
        <v>22.81</v>
      </c>
      <c r="M93" s="134">
        <v>81.239999999999995</v>
      </c>
      <c r="N93" s="134">
        <v>0</v>
      </c>
      <c r="O93" s="134">
        <v>0</v>
      </c>
      <c r="P93" s="134">
        <v>0.99</v>
      </c>
      <c r="Q93" s="134">
        <v>4.3</v>
      </c>
    </row>
    <row r="94" spans="1:17" customFormat="1">
      <c r="A94" s="112" t="s">
        <v>1284</v>
      </c>
      <c r="B94" s="134">
        <v>5.78</v>
      </c>
      <c r="C94" s="134">
        <v>22.62</v>
      </c>
      <c r="D94" s="134">
        <v>17.8</v>
      </c>
      <c r="E94" s="134">
        <v>8.16</v>
      </c>
      <c r="F94" s="134">
        <v>3.4</v>
      </c>
      <c r="G94" s="134">
        <v>96.51</v>
      </c>
      <c r="H94" s="134">
        <v>47.26</v>
      </c>
      <c r="I94" s="134">
        <v>8.34</v>
      </c>
      <c r="J94" s="134">
        <v>0.13</v>
      </c>
      <c r="K94" s="134">
        <v>215.95</v>
      </c>
      <c r="L94" s="134">
        <v>22.79</v>
      </c>
      <c r="M94" s="134">
        <v>78.959999999999994</v>
      </c>
      <c r="N94" s="134">
        <v>0</v>
      </c>
      <c r="O94" s="134">
        <v>0</v>
      </c>
      <c r="P94" s="134">
        <v>0.98</v>
      </c>
      <c r="Q94" s="134">
        <v>4.2699999999999996</v>
      </c>
    </row>
    <row r="95" spans="1:17" customFormat="1">
      <c r="A95" s="112" t="s">
        <v>1285</v>
      </c>
      <c r="B95" s="134">
        <v>5.74</v>
      </c>
      <c r="C95" s="134">
        <v>22.61</v>
      </c>
      <c r="D95" s="134">
        <v>17.77</v>
      </c>
      <c r="E95" s="134">
        <v>8.2899999999999991</v>
      </c>
      <c r="F95" s="134">
        <v>3.45</v>
      </c>
      <c r="G95" s="134">
        <v>86.6</v>
      </c>
      <c r="H95" s="134">
        <v>43.76</v>
      </c>
      <c r="I95" s="134">
        <v>8.24</v>
      </c>
      <c r="J95" s="134">
        <v>0.11</v>
      </c>
      <c r="K95" s="134">
        <v>212.21</v>
      </c>
      <c r="L95" s="134">
        <v>22.58</v>
      </c>
      <c r="M95" s="134">
        <v>81.739999999999995</v>
      </c>
      <c r="N95" s="134">
        <v>0</v>
      </c>
      <c r="O95" s="134">
        <v>0</v>
      </c>
      <c r="P95" s="134">
        <v>0.96</v>
      </c>
      <c r="Q95" s="134">
        <v>4.3</v>
      </c>
    </row>
    <row r="96" spans="1:17" customFormat="1">
      <c r="A96" s="112" t="s">
        <v>1286</v>
      </c>
      <c r="B96" s="134">
        <v>5.8</v>
      </c>
      <c r="C96" s="134">
        <v>22.39</v>
      </c>
      <c r="D96" s="134">
        <v>17.7</v>
      </c>
      <c r="E96" s="134">
        <v>8.31</v>
      </c>
      <c r="F96" s="134">
        <v>3.34</v>
      </c>
      <c r="G96" s="134">
        <v>85.22</v>
      </c>
      <c r="H96" s="134">
        <v>43.76</v>
      </c>
      <c r="I96" s="134">
        <v>8.08</v>
      </c>
      <c r="J96" s="134">
        <v>0.11</v>
      </c>
      <c r="K96" s="134">
        <v>210.3</v>
      </c>
      <c r="L96" s="134">
        <v>22.4</v>
      </c>
      <c r="M96" s="134">
        <v>82.15</v>
      </c>
      <c r="N96" s="134">
        <v>0</v>
      </c>
      <c r="O96" s="134">
        <v>0</v>
      </c>
      <c r="P96" s="134">
        <v>0.95</v>
      </c>
      <c r="Q96" s="134">
        <v>4.3099999999999996</v>
      </c>
    </row>
    <row r="97" spans="1:22" customFormat="1">
      <c r="A97" s="112" t="s">
        <v>1287</v>
      </c>
      <c r="B97" s="134">
        <v>5.89</v>
      </c>
      <c r="C97" s="134">
        <v>22.4</v>
      </c>
      <c r="D97" s="134">
        <v>17.78</v>
      </c>
      <c r="E97" s="134">
        <v>8.18</v>
      </c>
      <c r="F97" s="134">
        <v>3.16</v>
      </c>
      <c r="G97" s="134">
        <v>85.22</v>
      </c>
      <c r="H97" s="134">
        <v>43.76</v>
      </c>
      <c r="I97" s="134">
        <v>7.91</v>
      </c>
      <c r="J97" s="134">
        <v>0.19</v>
      </c>
      <c r="K97" s="134">
        <v>163.19999999999999</v>
      </c>
      <c r="L97" s="134">
        <v>22.36</v>
      </c>
      <c r="M97" s="134">
        <v>82.8</v>
      </c>
      <c r="N97" s="134">
        <v>0</v>
      </c>
      <c r="O97" s="134">
        <v>0</v>
      </c>
      <c r="P97" s="134">
        <v>0.95</v>
      </c>
      <c r="Q97" s="134">
        <v>4.3</v>
      </c>
    </row>
    <row r="98" spans="1:22" customFormat="1">
      <c r="A98" s="112" t="s">
        <v>1288</v>
      </c>
      <c r="B98" s="134">
        <v>5.91</v>
      </c>
      <c r="C98" s="134">
        <v>22.34</v>
      </c>
      <c r="D98" s="134">
        <v>17.760000000000002</v>
      </c>
      <c r="E98" s="134">
        <v>8.6</v>
      </c>
      <c r="F98" s="134">
        <v>3.21</v>
      </c>
      <c r="G98" s="134">
        <v>85.22</v>
      </c>
      <c r="H98" s="134">
        <v>43.76</v>
      </c>
      <c r="I98" s="134">
        <v>7.81</v>
      </c>
      <c r="J98" s="134">
        <v>0.17</v>
      </c>
      <c r="K98" s="134">
        <v>184.73</v>
      </c>
      <c r="L98" s="134">
        <v>22.34</v>
      </c>
      <c r="M98" s="134">
        <v>89.23</v>
      </c>
      <c r="N98" s="134">
        <v>0</v>
      </c>
      <c r="O98" s="134">
        <v>0</v>
      </c>
      <c r="P98" s="134">
        <v>0.94</v>
      </c>
      <c r="Q98" s="134">
        <v>4.3099999999999996</v>
      </c>
    </row>
    <row r="99" spans="1:22" customFormat="1">
      <c r="A99" s="112" t="s">
        <v>1289</v>
      </c>
      <c r="B99" s="134">
        <v>6.03</v>
      </c>
      <c r="C99" s="134">
        <v>22.23</v>
      </c>
      <c r="D99" s="134">
        <v>17.8</v>
      </c>
      <c r="E99" s="134">
        <v>8.19</v>
      </c>
      <c r="F99" s="134">
        <v>2.91</v>
      </c>
      <c r="G99" s="134">
        <v>81.09</v>
      </c>
      <c r="H99" s="134">
        <v>42.12</v>
      </c>
      <c r="I99" s="134">
        <v>7.81</v>
      </c>
      <c r="J99" s="134">
        <v>0.15</v>
      </c>
      <c r="K99" s="134">
        <v>213.16</v>
      </c>
      <c r="L99" s="134">
        <v>22.18</v>
      </c>
      <c r="M99" s="134">
        <v>90.92</v>
      </c>
      <c r="N99" s="134">
        <v>0</v>
      </c>
      <c r="O99" s="134">
        <v>0</v>
      </c>
      <c r="P99" s="134">
        <v>0.94</v>
      </c>
      <c r="Q99" s="134">
        <v>4.33</v>
      </c>
    </row>
    <row r="100" spans="1:22" customFormat="1">
      <c r="A100" s="112" t="s">
        <v>1290</v>
      </c>
      <c r="B100" s="134">
        <v>6.21</v>
      </c>
      <c r="C100" s="134">
        <v>22.34</v>
      </c>
      <c r="D100" s="134">
        <v>18.010000000000002</v>
      </c>
      <c r="E100" s="134">
        <v>8.56</v>
      </c>
      <c r="F100" s="134">
        <v>2.84</v>
      </c>
      <c r="G100" s="134">
        <v>80.58</v>
      </c>
      <c r="H100" s="134">
        <v>42.12</v>
      </c>
      <c r="I100" s="134">
        <v>7.84</v>
      </c>
      <c r="J100" s="134">
        <v>0.1</v>
      </c>
      <c r="K100" s="134">
        <v>203.36</v>
      </c>
      <c r="L100" s="134">
        <v>21.99</v>
      </c>
      <c r="M100" s="134">
        <v>88.01</v>
      </c>
      <c r="N100" s="134">
        <v>0</v>
      </c>
      <c r="O100" s="134">
        <v>0</v>
      </c>
      <c r="P100" s="134">
        <v>0.95</v>
      </c>
      <c r="Q100" s="134">
        <v>4.33</v>
      </c>
    </row>
    <row r="101" spans="1:22" customFormat="1">
      <c r="A101" s="112" t="s">
        <v>1291</v>
      </c>
      <c r="B101" s="134">
        <v>6.21</v>
      </c>
      <c r="C101" s="134">
        <v>22.56</v>
      </c>
      <c r="D101" s="134">
        <v>18.12</v>
      </c>
      <c r="E101" s="134">
        <v>8.84</v>
      </c>
      <c r="F101" s="134">
        <v>2.8</v>
      </c>
      <c r="G101" s="134">
        <v>80.58</v>
      </c>
      <c r="H101" s="134">
        <v>42.12</v>
      </c>
      <c r="I101" s="134">
        <v>7.88</v>
      </c>
      <c r="J101" s="134">
        <v>0.11</v>
      </c>
      <c r="K101" s="134">
        <v>209.74</v>
      </c>
      <c r="L101" s="134">
        <v>21.92</v>
      </c>
      <c r="M101" s="134">
        <v>86.97</v>
      </c>
      <c r="N101" s="134">
        <v>0</v>
      </c>
      <c r="O101" s="134">
        <v>0</v>
      </c>
      <c r="P101" s="134">
        <v>0.95</v>
      </c>
      <c r="Q101" s="134">
        <v>4.34</v>
      </c>
    </row>
    <row r="102" spans="1:22" customFormat="1">
      <c r="A102" s="112" t="s">
        <v>1292</v>
      </c>
      <c r="B102" s="134">
        <v>6.44</v>
      </c>
      <c r="C102" s="134">
        <v>22.52</v>
      </c>
      <c r="D102" s="134">
        <v>18.28</v>
      </c>
      <c r="E102" s="134">
        <v>8.66</v>
      </c>
      <c r="F102" s="134">
        <v>2.81</v>
      </c>
      <c r="G102" s="134">
        <v>80.58</v>
      </c>
      <c r="H102" s="134">
        <v>42.12</v>
      </c>
      <c r="I102" s="134">
        <v>7.96</v>
      </c>
      <c r="J102" s="134">
        <v>0.19</v>
      </c>
      <c r="K102" s="134">
        <v>165.42</v>
      </c>
      <c r="L102" s="134">
        <v>21.93</v>
      </c>
      <c r="M102" s="134">
        <v>89.58</v>
      </c>
      <c r="N102" s="134">
        <v>0</v>
      </c>
      <c r="O102" s="134">
        <v>0</v>
      </c>
      <c r="P102" s="134">
        <v>0.97</v>
      </c>
      <c r="Q102" s="134">
        <v>4.33</v>
      </c>
    </row>
    <row r="103" spans="1:22" customFormat="1">
      <c r="A103" s="112" t="s">
        <v>1293</v>
      </c>
      <c r="B103" s="134">
        <v>6.62</v>
      </c>
      <c r="C103" s="134">
        <v>22.54</v>
      </c>
      <c r="D103" s="134">
        <v>18.43</v>
      </c>
      <c r="E103" s="134">
        <v>8.48</v>
      </c>
      <c r="F103" s="134">
        <v>2.75</v>
      </c>
      <c r="G103" s="134">
        <v>82.54</v>
      </c>
      <c r="H103" s="134">
        <v>44.35</v>
      </c>
      <c r="I103" s="134">
        <v>8.0500000000000007</v>
      </c>
      <c r="J103" s="134">
        <v>0.15</v>
      </c>
      <c r="K103" s="134">
        <v>159.13</v>
      </c>
      <c r="L103" s="134">
        <v>21.89</v>
      </c>
      <c r="M103" s="134">
        <v>90.32</v>
      </c>
      <c r="N103" s="134">
        <v>0</v>
      </c>
      <c r="O103" s="134">
        <v>0</v>
      </c>
      <c r="P103" s="134">
        <v>0.97</v>
      </c>
      <c r="Q103" s="134">
        <v>4.3600000000000003</v>
      </c>
    </row>
    <row r="104" spans="1:22" customFormat="1">
      <c r="A104" s="112" t="s">
        <v>1294</v>
      </c>
      <c r="B104" s="134">
        <v>6.91</v>
      </c>
      <c r="C104" s="134">
        <v>20.239999999999998</v>
      </c>
      <c r="D104" s="134">
        <v>17.47</v>
      </c>
      <c r="E104" s="134">
        <v>7.85</v>
      </c>
      <c r="F104" s="134">
        <v>3.02</v>
      </c>
      <c r="G104" s="134">
        <v>82.79</v>
      </c>
      <c r="H104" s="134">
        <v>44.35</v>
      </c>
      <c r="I104" s="134">
        <v>8.2100000000000009</v>
      </c>
      <c r="J104" s="134">
        <v>0.13</v>
      </c>
      <c r="K104" s="134">
        <v>190.15</v>
      </c>
      <c r="L104" s="134">
        <v>21.88</v>
      </c>
      <c r="M104" s="134">
        <v>88.46</v>
      </c>
      <c r="N104" s="134">
        <v>0</v>
      </c>
      <c r="O104" s="134">
        <v>0</v>
      </c>
      <c r="P104" s="134">
        <v>0.95</v>
      </c>
      <c r="Q104" s="134">
        <v>4.3499999999999996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4.49</v>
      </c>
      <c r="C106" s="183">
        <f>MIN(C9:C104)</f>
        <v>17.399999999999999</v>
      </c>
      <c r="D106" s="183">
        <f t="shared" ref="D106:Q106" si="0">MIN(D9:D104)</f>
        <v>14.14</v>
      </c>
      <c r="E106" s="183">
        <f t="shared" si="0"/>
        <v>4.68</v>
      </c>
      <c r="F106" s="183">
        <f t="shared" si="0"/>
        <v>2.36</v>
      </c>
      <c r="G106" s="183">
        <f t="shared" si="0"/>
        <v>80.58</v>
      </c>
      <c r="H106" s="183">
        <f t="shared" si="0"/>
        <v>33.020000000000003</v>
      </c>
      <c r="I106" s="183">
        <f t="shared" si="0"/>
        <v>7.35</v>
      </c>
      <c r="J106" s="183">
        <f t="shared" si="0"/>
        <v>0.03</v>
      </c>
      <c r="K106" s="183">
        <f t="shared" si="0"/>
        <v>11.26</v>
      </c>
      <c r="L106" s="183">
        <f t="shared" si="0"/>
        <v>19.239999999999998</v>
      </c>
      <c r="M106" s="183">
        <f t="shared" si="0"/>
        <v>37.67</v>
      </c>
      <c r="N106" s="183">
        <f t="shared" si="0"/>
        <v>0</v>
      </c>
      <c r="O106" s="183">
        <f t="shared" si="0"/>
        <v>0</v>
      </c>
      <c r="P106" s="183">
        <f t="shared" si="0"/>
        <v>0.9</v>
      </c>
      <c r="Q106" s="183">
        <f t="shared" si="0"/>
        <v>4.1500000000000004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24.89</v>
      </c>
      <c r="C107" s="184">
        <f t="shared" ref="C107:Q107" si="1">MAX(C9:C104)</f>
        <v>30.42</v>
      </c>
      <c r="D107" s="184">
        <f t="shared" si="1"/>
        <v>34.450000000000003</v>
      </c>
      <c r="E107" s="184">
        <f t="shared" si="1"/>
        <v>20.260000000000002</v>
      </c>
      <c r="F107" s="184">
        <f t="shared" si="1"/>
        <v>17.84</v>
      </c>
      <c r="G107" s="184">
        <f t="shared" si="1"/>
        <v>135.63999999999999</v>
      </c>
      <c r="H107" s="184">
        <f t="shared" si="1"/>
        <v>54.21</v>
      </c>
      <c r="I107" s="184">
        <f t="shared" si="1"/>
        <v>11.95</v>
      </c>
      <c r="J107" s="184">
        <f t="shared" si="1"/>
        <v>0.32</v>
      </c>
      <c r="K107" s="184">
        <f t="shared" si="1"/>
        <v>316.23</v>
      </c>
      <c r="L107" s="184">
        <f t="shared" si="1"/>
        <v>32.340000000000003</v>
      </c>
      <c r="M107" s="184">
        <f t="shared" si="1"/>
        <v>94</v>
      </c>
      <c r="N107" s="184">
        <f t="shared" si="1"/>
        <v>504.5</v>
      </c>
      <c r="O107" s="184">
        <f t="shared" si="1"/>
        <v>0</v>
      </c>
      <c r="P107" s="184">
        <f t="shared" si="1"/>
        <v>1.2</v>
      </c>
      <c r="Q107" s="184">
        <f t="shared" si="1"/>
        <v>5.12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10.015833333333331</v>
      </c>
      <c r="C108" s="183">
        <f t="shared" ref="C108:Q108" si="2">AVERAGE(C9:C104)</f>
        <v>23.981562499999999</v>
      </c>
      <c r="D108" s="183">
        <f t="shared" si="2"/>
        <v>21.912499999999994</v>
      </c>
      <c r="E108" s="183">
        <f t="shared" si="2"/>
        <v>8.0485416666666634</v>
      </c>
      <c r="F108" s="183">
        <f t="shared" si="2"/>
        <v>4.964791666666664</v>
      </c>
      <c r="G108" s="183">
        <f t="shared" si="2"/>
        <v>104.76635416666664</v>
      </c>
      <c r="H108" s="183">
        <f t="shared" si="2"/>
        <v>46.676041666666691</v>
      </c>
      <c r="I108" s="183">
        <f t="shared" si="2"/>
        <v>9.5657291666666691</v>
      </c>
      <c r="J108" s="183">
        <f t="shared" si="2"/>
        <v>0.15843750000000001</v>
      </c>
      <c r="K108" s="183">
        <f t="shared" si="2"/>
        <v>184.19677083333329</v>
      </c>
      <c r="L108" s="183">
        <f t="shared" si="2"/>
        <v>24.89854166666667</v>
      </c>
      <c r="M108" s="183">
        <f t="shared" si="2"/>
        <v>70.011354166666663</v>
      </c>
      <c r="N108" s="183">
        <f t="shared" si="2"/>
        <v>106.10625</v>
      </c>
      <c r="O108" s="183">
        <f t="shared" si="2"/>
        <v>0</v>
      </c>
      <c r="P108" s="183">
        <f t="shared" si="2"/>
        <v>1.040520833333334</v>
      </c>
      <c r="Q108" s="183">
        <f t="shared" si="2"/>
        <v>4.4876041666666664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6.7952179263557637</v>
      </c>
      <c r="C109" s="183">
        <f t="shared" ref="C109:Q109" si="3">STDEV(C9:C104)</f>
        <v>2.7704733884396515</v>
      </c>
      <c r="D109" s="183">
        <f t="shared" si="3"/>
        <v>6.1073963786801695</v>
      </c>
      <c r="E109" s="183">
        <f t="shared" si="3"/>
        <v>2.4366110974775825</v>
      </c>
      <c r="F109" s="183">
        <f t="shared" si="3"/>
        <v>3.6800197308300229</v>
      </c>
      <c r="G109" s="183">
        <f t="shared" si="3"/>
        <v>16.456377366895513</v>
      </c>
      <c r="H109" s="183">
        <f t="shared" si="3"/>
        <v>5.5001729119548157</v>
      </c>
      <c r="I109" s="183">
        <f t="shared" si="3"/>
        <v>1.1641339629835892</v>
      </c>
      <c r="J109" s="183">
        <f t="shared" si="3"/>
        <v>6.1066454310900173E-2</v>
      </c>
      <c r="K109" s="183">
        <f t="shared" si="3"/>
        <v>43.446944184101262</v>
      </c>
      <c r="L109" s="183">
        <f t="shared" si="3"/>
        <v>4.4124791883610177</v>
      </c>
      <c r="M109" s="183">
        <f t="shared" si="3"/>
        <v>19.377583501496257</v>
      </c>
      <c r="N109" s="183">
        <f t="shared" si="3"/>
        <v>164.17753600583535</v>
      </c>
      <c r="O109" s="183">
        <f t="shared" si="3"/>
        <v>0</v>
      </c>
      <c r="P109" s="183">
        <f t="shared" si="3"/>
        <v>7.6038353088098892E-2</v>
      </c>
      <c r="Q109" s="183">
        <f t="shared" si="3"/>
        <v>0.30694331652831752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12/11/2023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1295</v>
      </c>
      <c r="B9" s="134">
        <v>6.45</v>
      </c>
      <c r="C9" s="134">
        <v>18.16</v>
      </c>
      <c r="D9" s="134">
        <v>16.010000000000002</v>
      </c>
      <c r="E9" s="134">
        <v>7.23</v>
      </c>
      <c r="F9" s="134">
        <v>2.97</v>
      </c>
      <c r="G9" s="134">
        <v>82.79</v>
      </c>
      <c r="H9" s="134">
        <v>44.35</v>
      </c>
      <c r="I9" s="134">
        <v>8.35</v>
      </c>
      <c r="J9" s="134">
        <v>0.17</v>
      </c>
      <c r="K9" s="134">
        <v>226.54</v>
      </c>
      <c r="L9" s="134">
        <v>21.45</v>
      </c>
      <c r="M9" s="134">
        <v>90.99</v>
      </c>
      <c r="N9" s="134">
        <v>0</v>
      </c>
      <c r="O9" s="134">
        <v>0</v>
      </c>
      <c r="P9" s="134">
        <v>0.94</v>
      </c>
      <c r="Q9" s="134">
        <v>4.3499999999999996</v>
      </c>
    </row>
    <row r="10" spans="1:21" customFormat="1">
      <c r="A10" s="112" t="s">
        <v>1296</v>
      </c>
      <c r="B10" s="134">
        <v>6.48</v>
      </c>
      <c r="C10" s="134">
        <v>18.25</v>
      </c>
      <c r="D10" s="134">
        <v>16.079999999999998</v>
      </c>
      <c r="E10" s="134">
        <v>7.02</v>
      </c>
      <c r="F10" s="134">
        <v>2.88</v>
      </c>
      <c r="G10" s="134">
        <v>82.79</v>
      </c>
      <c r="H10" s="134">
        <v>44.35</v>
      </c>
      <c r="I10" s="134">
        <v>8.44</v>
      </c>
      <c r="J10" s="134">
        <v>0.15</v>
      </c>
      <c r="K10" s="134">
        <v>222.29</v>
      </c>
      <c r="L10" s="134">
        <v>21.16</v>
      </c>
      <c r="M10" s="134">
        <v>89.33</v>
      </c>
      <c r="N10" s="134">
        <v>0</v>
      </c>
      <c r="O10" s="134">
        <v>0</v>
      </c>
      <c r="P10" s="134">
        <v>0.94</v>
      </c>
      <c r="Q10" s="134">
        <v>4.34</v>
      </c>
    </row>
    <row r="11" spans="1:21" customFormat="1">
      <c r="A11" s="112" t="s">
        <v>1297</v>
      </c>
      <c r="B11" s="134">
        <v>6.73</v>
      </c>
      <c r="C11" s="134">
        <v>18.04</v>
      </c>
      <c r="D11" s="134">
        <v>16.18</v>
      </c>
      <c r="E11" s="134">
        <v>6.71</v>
      </c>
      <c r="F11" s="134">
        <v>2.84</v>
      </c>
      <c r="G11" s="134">
        <v>84.94</v>
      </c>
      <c r="H11" s="134">
        <v>44.8</v>
      </c>
      <c r="I11" s="134">
        <v>8.5399999999999991</v>
      </c>
      <c r="J11" s="134">
        <v>0.11</v>
      </c>
      <c r="K11" s="134">
        <v>210.8</v>
      </c>
      <c r="L11" s="134">
        <v>21.06</v>
      </c>
      <c r="M11" s="134">
        <v>91.33</v>
      </c>
      <c r="N11" s="134">
        <v>0</v>
      </c>
      <c r="O11" s="134">
        <v>0</v>
      </c>
      <c r="P11" s="134">
        <v>0.94</v>
      </c>
      <c r="Q11" s="134">
        <v>4.32</v>
      </c>
    </row>
    <row r="12" spans="1:21" customFormat="1">
      <c r="A12" s="112" t="s">
        <v>1298</v>
      </c>
      <c r="B12" s="134">
        <v>6.98</v>
      </c>
      <c r="C12" s="134">
        <v>19.559999999999999</v>
      </c>
      <c r="D12" s="134">
        <v>17.170000000000002</v>
      </c>
      <c r="E12" s="134">
        <v>7.29</v>
      </c>
      <c r="F12" s="134">
        <v>2.5</v>
      </c>
      <c r="G12" s="134">
        <v>85.21</v>
      </c>
      <c r="H12" s="134">
        <v>44.8</v>
      </c>
      <c r="I12" s="134">
        <v>8.65</v>
      </c>
      <c r="J12" s="134">
        <v>0.08</v>
      </c>
      <c r="K12" s="134">
        <v>171.35</v>
      </c>
      <c r="L12" s="134">
        <v>20.97</v>
      </c>
      <c r="M12" s="134">
        <v>89.77</v>
      </c>
      <c r="N12" s="134">
        <v>0</v>
      </c>
      <c r="O12" s="134">
        <v>0</v>
      </c>
      <c r="P12" s="134">
        <v>0.96</v>
      </c>
      <c r="Q12" s="134">
        <v>4.33</v>
      </c>
    </row>
    <row r="13" spans="1:21" customFormat="1">
      <c r="A13" s="112" t="s">
        <v>1299</v>
      </c>
      <c r="B13" s="134">
        <v>7.32</v>
      </c>
      <c r="C13" s="134">
        <v>19.91</v>
      </c>
      <c r="D13" s="134">
        <v>17.62</v>
      </c>
      <c r="E13" s="134">
        <v>7.49</v>
      </c>
      <c r="F13" s="134">
        <v>2.59</v>
      </c>
      <c r="G13" s="134">
        <v>85.21</v>
      </c>
      <c r="H13" s="134">
        <v>44.8</v>
      </c>
      <c r="I13" s="134">
        <v>8.69</v>
      </c>
      <c r="J13" s="134">
        <v>0.09</v>
      </c>
      <c r="K13" s="134">
        <v>170.07</v>
      </c>
      <c r="L13" s="134">
        <v>21.07</v>
      </c>
      <c r="M13" s="134">
        <v>88.74</v>
      </c>
      <c r="N13" s="134">
        <v>0</v>
      </c>
      <c r="O13" s="134">
        <v>0</v>
      </c>
      <c r="P13" s="134">
        <v>0.96</v>
      </c>
      <c r="Q13" s="134">
        <v>4.3600000000000003</v>
      </c>
    </row>
    <row r="14" spans="1:21" customFormat="1">
      <c r="A14" s="112" t="s">
        <v>1300</v>
      </c>
      <c r="B14" s="134">
        <v>7.65</v>
      </c>
      <c r="C14" s="134">
        <v>20</v>
      </c>
      <c r="D14" s="134">
        <v>17.93</v>
      </c>
      <c r="E14" s="134">
        <v>6.91</v>
      </c>
      <c r="F14" s="134">
        <v>2.62</v>
      </c>
      <c r="G14" s="134">
        <v>85.21</v>
      </c>
      <c r="H14" s="134">
        <v>44.8</v>
      </c>
      <c r="I14" s="134">
        <v>8.7799999999999994</v>
      </c>
      <c r="J14" s="134">
        <v>0.14000000000000001</v>
      </c>
      <c r="K14" s="134">
        <v>175.91</v>
      </c>
      <c r="L14" s="134">
        <v>21</v>
      </c>
      <c r="M14" s="134">
        <v>89.95</v>
      </c>
      <c r="N14" s="134">
        <v>0</v>
      </c>
      <c r="O14" s="134">
        <v>0</v>
      </c>
      <c r="P14" s="134">
        <v>0.97</v>
      </c>
      <c r="Q14" s="134">
        <v>4.3600000000000003</v>
      </c>
    </row>
    <row r="15" spans="1:21" customFormat="1">
      <c r="A15" s="112" t="s">
        <v>1301</v>
      </c>
      <c r="B15" s="134">
        <v>7.82</v>
      </c>
      <c r="C15" s="134">
        <v>19.350000000000001</v>
      </c>
      <c r="D15" s="134">
        <v>17.739999999999998</v>
      </c>
      <c r="E15" s="134">
        <v>6.52</v>
      </c>
      <c r="F15" s="134">
        <v>2.74</v>
      </c>
      <c r="G15" s="134">
        <v>88.16</v>
      </c>
      <c r="H15" s="134">
        <v>47.71</v>
      </c>
      <c r="I15" s="134">
        <v>8.89</v>
      </c>
      <c r="J15" s="134">
        <v>0.03</v>
      </c>
      <c r="K15" s="134">
        <v>107.99</v>
      </c>
      <c r="L15" s="134">
        <v>20.87</v>
      </c>
      <c r="M15" s="134">
        <v>89.5</v>
      </c>
      <c r="N15" s="134">
        <v>0</v>
      </c>
      <c r="O15" s="134">
        <v>0</v>
      </c>
      <c r="P15" s="134">
        <v>0.96</v>
      </c>
      <c r="Q15" s="134">
        <v>4.3899999999999997</v>
      </c>
    </row>
    <row r="16" spans="1:21" customFormat="1">
      <c r="A16" s="112" t="s">
        <v>1302</v>
      </c>
      <c r="B16" s="134">
        <v>8.1199999999999992</v>
      </c>
      <c r="C16" s="134">
        <v>20.51</v>
      </c>
      <c r="D16" s="134">
        <v>18.579999999999998</v>
      </c>
      <c r="E16" s="134">
        <v>6.73</v>
      </c>
      <c r="F16" s="134">
        <v>2.48</v>
      </c>
      <c r="G16" s="134">
        <v>88.57</v>
      </c>
      <c r="H16" s="134">
        <v>47.71</v>
      </c>
      <c r="I16" s="134">
        <v>8.94</v>
      </c>
      <c r="J16" s="134">
        <v>0.05</v>
      </c>
      <c r="K16" s="134">
        <v>186.64</v>
      </c>
      <c r="L16" s="134">
        <v>20.74</v>
      </c>
      <c r="M16" s="134">
        <v>87.32</v>
      </c>
      <c r="N16" s="134">
        <v>0</v>
      </c>
      <c r="O16" s="134">
        <v>0</v>
      </c>
      <c r="P16" s="134">
        <v>0.98</v>
      </c>
      <c r="Q16" s="134">
        <v>4.3899999999999997</v>
      </c>
    </row>
    <row r="17" spans="1:17" customFormat="1">
      <c r="A17" s="112" t="s">
        <v>1303</v>
      </c>
      <c r="B17" s="134">
        <v>8.75</v>
      </c>
      <c r="C17" s="134">
        <v>20.2</v>
      </c>
      <c r="D17" s="134">
        <v>18.920000000000002</v>
      </c>
      <c r="E17" s="134">
        <v>3.78</v>
      </c>
      <c r="F17" s="134">
        <v>2.4</v>
      </c>
      <c r="G17" s="134">
        <v>88.57</v>
      </c>
      <c r="H17" s="134">
        <v>47.71</v>
      </c>
      <c r="I17" s="134">
        <v>8.9499999999999993</v>
      </c>
      <c r="J17" s="134">
        <v>0.09</v>
      </c>
      <c r="K17" s="134">
        <v>176.74</v>
      </c>
      <c r="L17" s="134">
        <v>20.8</v>
      </c>
      <c r="M17" s="134">
        <v>87.37</v>
      </c>
      <c r="N17" s="134">
        <v>0</v>
      </c>
      <c r="O17" s="134">
        <v>0</v>
      </c>
      <c r="P17" s="134">
        <v>0.97</v>
      </c>
      <c r="Q17" s="134">
        <v>4.42</v>
      </c>
    </row>
    <row r="18" spans="1:17" customFormat="1">
      <c r="A18" s="112" t="s">
        <v>1304</v>
      </c>
      <c r="B18" s="134">
        <v>9.27</v>
      </c>
      <c r="C18" s="134">
        <v>20.6</v>
      </c>
      <c r="D18" s="134">
        <v>19.55</v>
      </c>
      <c r="E18" s="134">
        <v>4.32</v>
      </c>
      <c r="F18" s="134">
        <v>2.6</v>
      </c>
      <c r="G18" s="134">
        <v>88.57</v>
      </c>
      <c r="H18" s="134">
        <v>47.71</v>
      </c>
      <c r="I18" s="134">
        <v>9.01</v>
      </c>
      <c r="J18" s="134">
        <v>0.16</v>
      </c>
      <c r="K18" s="134">
        <v>244.09</v>
      </c>
      <c r="L18" s="134">
        <v>20.62</v>
      </c>
      <c r="M18" s="134">
        <v>89.58</v>
      </c>
      <c r="N18" s="134">
        <v>0</v>
      </c>
      <c r="O18" s="134">
        <v>0</v>
      </c>
      <c r="P18" s="134">
        <v>0.97</v>
      </c>
      <c r="Q18" s="134">
        <v>4.46</v>
      </c>
    </row>
    <row r="19" spans="1:17" customFormat="1">
      <c r="A19" s="112" t="s">
        <v>1305</v>
      </c>
      <c r="B19" s="134">
        <v>9.48</v>
      </c>
      <c r="C19" s="134">
        <v>20.92</v>
      </c>
      <c r="D19" s="134">
        <v>19.88</v>
      </c>
      <c r="E19" s="134">
        <v>4.62</v>
      </c>
      <c r="F19" s="134">
        <v>2.73</v>
      </c>
      <c r="G19" s="134">
        <v>86.84</v>
      </c>
      <c r="H19" s="134">
        <v>45.32</v>
      </c>
      <c r="I19" s="134">
        <v>9.06</v>
      </c>
      <c r="J19" s="134">
        <v>0.09</v>
      </c>
      <c r="K19" s="134">
        <v>221.24</v>
      </c>
      <c r="L19" s="134">
        <v>20.39</v>
      </c>
      <c r="M19" s="134">
        <v>92.9</v>
      </c>
      <c r="N19" s="134">
        <v>0</v>
      </c>
      <c r="O19" s="134">
        <v>0</v>
      </c>
      <c r="P19" s="134">
        <v>0.97</v>
      </c>
      <c r="Q19" s="134">
        <v>4.49</v>
      </c>
    </row>
    <row r="20" spans="1:17" customFormat="1">
      <c r="A20" s="112" t="s">
        <v>1306</v>
      </c>
      <c r="B20" s="134">
        <v>9.8000000000000007</v>
      </c>
      <c r="C20" s="134">
        <v>21.44</v>
      </c>
      <c r="D20" s="134">
        <v>20.41</v>
      </c>
      <c r="E20" s="134">
        <v>4.6900000000000004</v>
      </c>
      <c r="F20" s="134">
        <v>2.57</v>
      </c>
      <c r="G20" s="134">
        <v>86.6</v>
      </c>
      <c r="H20" s="134">
        <v>45.32</v>
      </c>
      <c r="I20" s="134">
        <v>9.1300000000000008</v>
      </c>
      <c r="J20" s="134">
        <v>0.13</v>
      </c>
      <c r="K20" s="134">
        <v>147.63</v>
      </c>
      <c r="L20" s="134">
        <v>20.32</v>
      </c>
      <c r="M20" s="134">
        <v>93.69</v>
      </c>
      <c r="N20" s="134">
        <v>0</v>
      </c>
      <c r="O20" s="134">
        <v>0</v>
      </c>
      <c r="P20" s="134">
        <v>0.98</v>
      </c>
      <c r="Q20" s="134">
        <v>4.4800000000000004</v>
      </c>
    </row>
    <row r="21" spans="1:17" customFormat="1">
      <c r="A21" s="112" t="s">
        <v>1307</v>
      </c>
      <c r="B21" s="134">
        <v>10.06</v>
      </c>
      <c r="C21" s="134">
        <v>20.32</v>
      </c>
      <c r="D21" s="134">
        <v>20.03</v>
      </c>
      <c r="E21" s="134">
        <v>5.22</v>
      </c>
      <c r="F21" s="134">
        <v>2.72</v>
      </c>
      <c r="G21" s="134">
        <v>86.6</v>
      </c>
      <c r="H21" s="134">
        <v>45.32</v>
      </c>
      <c r="I21" s="134">
        <v>9.17</v>
      </c>
      <c r="J21" s="134">
        <v>0.11</v>
      </c>
      <c r="K21" s="134">
        <v>224.35</v>
      </c>
      <c r="L21" s="134">
        <v>20.27</v>
      </c>
      <c r="M21" s="134">
        <v>94.48</v>
      </c>
      <c r="N21" s="134">
        <v>0</v>
      </c>
      <c r="O21" s="134">
        <v>0</v>
      </c>
      <c r="P21" s="134">
        <v>0.97</v>
      </c>
      <c r="Q21" s="134">
        <v>4.49</v>
      </c>
    </row>
    <row r="22" spans="1:17" customFormat="1">
      <c r="A22" s="112" t="s">
        <v>1308</v>
      </c>
      <c r="B22" s="134">
        <v>10.07</v>
      </c>
      <c r="C22" s="134">
        <v>20.81</v>
      </c>
      <c r="D22" s="134">
        <v>20.3</v>
      </c>
      <c r="E22" s="134">
        <v>4.09</v>
      </c>
      <c r="F22" s="134">
        <v>2.63</v>
      </c>
      <c r="G22" s="134">
        <v>86.6</v>
      </c>
      <c r="H22" s="134">
        <v>45.32</v>
      </c>
      <c r="I22" s="134">
        <v>9.2100000000000009</v>
      </c>
      <c r="J22" s="134">
        <v>0.09</v>
      </c>
      <c r="K22" s="134">
        <v>231.04</v>
      </c>
      <c r="L22" s="134">
        <v>20.14</v>
      </c>
      <c r="M22" s="134">
        <v>93.55</v>
      </c>
      <c r="N22" s="134">
        <v>0</v>
      </c>
      <c r="O22" s="134">
        <v>0</v>
      </c>
      <c r="P22" s="134">
        <v>0.97</v>
      </c>
      <c r="Q22" s="134">
        <v>4.51</v>
      </c>
    </row>
    <row r="23" spans="1:17" customFormat="1">
      <c r="A23" s="112" t="s">
        <v>1309</v>
      </c>
      <c r="B23" s="134">
        <v>10.199999999999999</v>
      </c>
      <c r="C23" s="134">
        <v>20.56</v>
      </c>
      <c r="D23" s="134">
        <v>20.27</v>
      </c>
      <c r="E23" s="134">
        <v>4.66</v>
      </c>
      <c r="F23" s="134">
        <v>2.58</v>
      </c>
      <c r="G23" s="134">
        <v>81.709999999999994</v>
      </c>
      <c r="H23" s="134">
        <v>43.59</v>
      </c>
      <c r="I23" s="134">
        <v>9.2200000000000006</v>
      </c>
      <c r="J23" s="134">
        <v>0.37</v>
      </c>
      <c r="K23" s="134">
        <v>165.39</v>
      </c>
      <c r="L23" s="134">
        <v>20.11</v>
      </c>
      <c r="M23" s="134">
        <v>91.66</v>
      </c>
      <c r="N23" s="134">
        <v>0</v>
      </c>
      <c r="O23" s="134">
        <v>0</v>
      </c>
      <c r="P23" s="134">
        <v>0.96</v>
      </c>
      <c r="Q23" s="134">
        <v>4.54</v>
      </c>
    </row>
    <row r="24" spans="1:17" customFormat="1">
      <c r="A24" s="112" t="s">
        <v>1310</v>
      </c>
      <c r="B24" s="134">
        <v>10.15</v>
      </c>
      <c r="C24" s="134">
        <v>21.03</v>
      </c>
      <c r="D24" s="134">
        <v>20.47</v>
      </c>
      <c r="E24" s="134">
        <v>4.5999999999999996</v>
      </c>
      <c r="F24" s="134">
        <v>2.79</v>
      </c>
      <c r="G24" s="134">
        <v>81.03</v>
      </c>
      <c r="H24" s="134">
        <v>43.59</v>
      </c>
      <c r="I24" s="134">
        <v>9.25</v>
      </c>
      <c r="J24" s="134">
        <v>0.14000000000000001</v>
      </c>
      <c r="K24" s="134">
        <v>164.91</v>
      </c>
      <c r="L24" s="134">
        <v>20.03</v>
      </c>
      <c r="M24" s="134">
        <v>89.57</v>
      </c>
      <c r="N24" s="134">
        <v>0</v>
      </c>
      <c r="O24" s="134">
        <v>0</v>
      </c>
      <c r="P24" s="134">
        <v>0.96</v>
      </c>
      <c r="Q24" s="134">
        <v>4.5199999999999996</v>
      </c>
    </row>
    <row r="25" spans="1:17" customFormat="1">
      <c r="A25" s="112" t="s">
        <v>1311</v>
      </c>
      <c r="B25" s="134">
        <v>10.1</v>
      </c>
      <c r="C25" s="134">
        <v>20.79</v>
      </c>
      <c r="D25" s="134">
        <v>20.32</v>
      </c>
      <c r="E25" s="134">
        <v>4.5199999999999996</v>
      </c>
      <c r="F25" s="134">
        <v>2.73</v>
      </c>
      <c r="G25" s="134">
        <v>81.03</v>
      </c>
      <c r="H25" s="134">
        <v>43.59</v>
      </c>
      <c r="I25" s="134">
        <v>9.25</v>
      </c>
      <c r="J25" s="134">
        <v>0.19</v>
      </c>
      <c r="K25" s="134">
        <v>190.77</v>
      </c>
      <c r="L25" s="134">
        <v>19.920000000000002</v>
      </c>
      <c r="M25" s="134">
        <v>91.26</v>
      </c>
      <c r="N25" s="134">
        <v>0</v>
      </c>
      <c r="O25" s="134">
        <v>0</v>
      </c>
      <c r="P25" s="134">
        <v>0.95</v>
      </c>
      <c r="Q25" s="134">
        <v>4.53</v>
      </c>
    </row>
    <row r="26" spans="1:17" customFormat="1">
      <c r="A26" s="112" t="s">
        <v>1312</v>
      </c>
      <c r="B26" s="134">
        <v>9.8000000000000007</v>
      </c>
      <c r="C26" s="134">
        <v>21.64</v>
      </c>
      <c r="D26" s="134">
        <v>20.52</v>
      </c>
      <c r="E26" s="134">
        <v>5.26</v>
      </c>
      <c r="F26" s="134">
        <v>2.5499999999999998</v>
      </c>
      <c r="G26" s="134">
        <v>81.03</v>
      </c>
      <c r="H26" s="134">
        <v>43.59</v>
      </c>
      <c r="I26" s="134">
        <v>9.2200000000000006</v>
      </c>
      <c r="J26" s="134">
        <v>0.24</v>
      </c>
      <c r="K26" s="134">
        <v>178.18</v>
      </c>
      <c r="L26" s="134">
        <v>19.989999999999998</v>
      </c>
      <c r="M26" s="134">
        <v>89.2</v>
      </c>
      <c r="N26" s="134">
        <v>0</v>
      </c>
      <c r="O26" s="134">
        <v>0</v>
      </c>
      <c r="P26" s="134">
        <v>0.95</v>
      </c>
      <c r="Q26" s="134">
        <v>4.4800000000000004</v>
      </c>
    </row>
    <row r="27" spans="1:17" customFormat="1">
      <c r="A27" s="112" t="s">
        <v>1313</v>
      </c>
      <c r="B27" s="134">
        <v>9.18</v>
      </c>
      <c r="C27" s="134">
        <v>21.74</v>
      </c>
      <c r="D27" s="134">
        <v>20.07</v>
      </c>
      <c r="E27" s="134">
        <v>5.57</v>
      </c>
      <c r="F27" s="134">
        <v>2.66</v>
      </c>
      <c r="G27" s="134">
        <v>75.11</v>
      </c>
      <c r="H27" s="134">
        <v>41.11</v>
      </c>
      <c r="I27" s="134">
        <v>9.1999999999999993</v>
      </c>
      <c r="J27" s="134">
        <v>0.08</v>
      </c>
      <c r="K27" s="134">
        <v>191.49</v>
      </c>
      <c r="L27" s="134">
        <v>19.71</v>
      </c>
      <c r="M27" s="134">
        <v>91.64</v>
      </c>
      <c r="N27" s="134">
        <v>0</v>
      </c>
      <c r="O27" s="134">
        <v>0</v>
      </c>
      <c r="P27" s="134">
        <v>0.95</v>
      </c>
      <c r="Q27" s="134">
        <v>4.46</v>
      </c>
    </row>
    <row r="28" spans="1:17" customFormat="1">
      <c r="A28" s="112" t="s">
        <v>1314</v>
      </c>
      <c r="B28" s="134">
        <v>8.7100000000000009</v>
      </c>
      <c r="C28" s="134">
        <v>21.75</v>
      </c>
      <c r="D28" s="134">
        <v>19.7</v>
      </c>
      <c r="E28" s="134">
        <v>5.6</v>
      </c>
      <c r="F28" s="134">
        <v>2.74</v>
      </c>
      <c r="G28" s="134">
        <v>74.290000000000006</v>
      </c>
      <c r="H28" s="134">
        <v>41.11</v>
      </c>
      <c r="I28" s="134">
        <v>9.08</v>
      </c>
      <c r="J28" s="134">
        <v>0.08</v>
      </c>
      <c r="K28" s="134">
        <v>206.08</v>
      </c>
      <c r="L28" s="134">
        <v>19.66</v>
      </c>
      <c r="M28" s="134">
        <v>94.59</v>
      </c>
      <c r="N28" s="134">
        <v>0</v>
      </c>
      <c r="O28" s="134">
        <v>0</v>
      </c>
      <c r="P28" s="134">
        <v>0.94</v>
      </c>
      <c r="Q28" s="134">
        <v>4.49</v>
      </c>
    </row>
    <row r="29" spans="1:17" customFormat="1">
      <c r="A29" s="112" t="s">
        <v>1315</v>
      </c>
      <c r="B29" s="134">
        <v>8.36</v>
      </c>
      <c r="C29" s="134">
        <v>21.6</v>
      </c>
      <c r="D29" s="134">
        <v>19.34</v>
      </c>
      <c r="E29" s="134">
        <v>5.38</v>
      </c>
      <c r="F29" s="134">
        <v>2.8</v>
      </c>
      <c r="G29" s="134">
        <v>74.290000000000006</v>
      </c>
      <c r="H29" s="134">
        <v>41.11</v>
      </c>
      <c r="I29" s="134">
        <v>8.9700000000000006</v>
      </c>
      <c r="J29" s="134">
        <v>0.12</v>
      </c>
      <c r="K29" s="134">
        <v>225.65</v>
      </c>
      <c r="L29" s="134">
        <v>19.36</v>
      </c>
      <c r="M29" s="134">
        <v>96.43</v>
      </c>
      <c r="N29" s="134">
        <v>0</v>
      </c>
      <c r="O29" s="134">
        <v>0</v>
      </c>
      <c r="P29" s="134">
        <v>0.93</v>
      </c>
      <c r="Q29" s="134">
        <v>4.4800000000000004</v>
      </c>
    </row>
    <row r="30" spans="1:17" customFormat="1">
      <c r="A30" s="112" t="s">
        <v>1316</v>
      </c>
      <c r="B30" s="134">
        <v>8.35</v>
      </c>
      <c r="C30" s="134">
        <v>21.6</v>
      </c>
      <c r="D30" s="134">
        <v>19.34</v>
      </c>
      <c r="E30" s="134">
        <v>5.47</v>
      </c>
      <c r="F30" s="134">
        <v>2.68</v>
      </c>
      <c r="G30" s="134">
        <v>74.290000000000006</v>
      </c>
      <c r="H30" s="134">
        <v>41.11</v>
      </c>
      <c r="I30" s="134">
        <v>8.86</v>
      </c>
      <c r="J30" s="134">
        <v>0.08</v>
      </c>
      <c r="K30" s="134">
        <v>174.46</v>
      </c>
      <c r="L30" s="134">
        <v>19.36</v>
      </c>
      <c r="M30" s="134">
        <v>97.73</v>
      </c>
      <c r="N30" s="134">
        <v>0</v>
      </c>
      <c r="O30" s="134">
        <v>0</v>
      </c>
      <c r="P30" s="134">
        <v>0.92</v>
      </c>
      <c r="Q30" s="134">
        <v>4.47</v>
      </c>
    </row>
    <row r="31" spans="1:17" customFormat="1">
      <c r="A31" s="112" t="s">
        <v>1317</v>
      </c>
      <c r="B31" s="134">
        <v>8.16</v>
      </c>
      <c r="C31" s="134">
        <v>21.43</v>
      </c>
      <c r="D31" s="134">
        <v>19.09</v>
      </c>
      <c r="E31" s="134">
        <v>5.55</v>
      </c>
      <c r="F31" s="134">
        <v>2.63</v>
      </c>
      <c r="G31" s="134">
        <v>74.3</v>
      </c>
      <c r="H31" s="134">
        <v>41.67</v>
      </c>
      <c r="I31" s="134">
        <v>8.7899999999999991</v>
      </c>
      <c r="J31" s="134">
        <v>0.12</v>
      </c>
      <c r="K31" s="134">
        <v>145.46</v>
      </c>
      <c r="L31" s="134">
        <v>19.420000000000002</v>
      </c>
      <c r="M31" s="134">
        <v>97</v>
      </c>
      <c r="N31" s="134">
        <v>0</v>
      </c>
      <c r="O31" s="134">
        <v>0</v>
      </c>
      <c r="P31" s="134">
        <v>0.91</v>
      </c>
      <c r="Q31" s="134">
        <v>4.45</v>
      </c>
    </row>
    <row r="32" spans="1:17" customFormat="1">
      <c r="A32" s="112" t="s">
        <v>1318</v>
      </c>
      <c r="B32" s="134">
        <v>8.06</v>
      </c>
      <c r="C32" s="134">
        <v>21.06</v>
      </c>
      <c r="D32" s="134">
        <v>18.82</v>
      </c>
      <c r="E32" s="134">
        <v>5.9</v>
      </c>
      <c r="F32" s="134">
        <v>2.78</v>
      </c>
      <c r="G32" s="134">
        <v>74.31</v>
      </c>
      <c r="H32" s="134">
        <v>41.67</v>
      </c>
      <c r="I32" s="134">
        <v>8.69</v>
      </c>
      <c r="J32" s="134">
        <v>0.1</v>
      </c>
      <c r="K32" s="134">
        <v>178.65</v>
      </c>
      <c r="L32" s="134">
        <v>19.399999999999999</v>
      </c>
      <c r="M32" s="134">
        <v>96.05</v>
      </c>
      <c r="N32" s="134">
        <v>0</v>
      </c>
      <c r="O32" s="134">
        <v>0</v>
      </c>
      <c r="P32" s="134">
        <v>0.9</v>
      </c>
      <c r="Q32" s="134">
        <v>4.46</v>
      </c>
    </row>
    <row r="33" spans="1:17" customFormat="1">
      <c r="A33" s="112" t="s">
        <v>1319</v>
      </c>
      <c r="B33" s="134">
        <v>8.0399999999999991</v>
      </c>
      <c r="C33" s="134">
        <v>20.82</v>
      </c>
      <c r="D33" s="134">
        <v>18.670000000000002</v>
      </c>
      <c r="E33" s="134">
        <v>5.59</v>
      </c>
      <c r="F33" s="134">
        <v>2.6</v>
      </c>
      <c r="G33" s="134">
        <v>74.31</v>
      </c>
      <c r="H33" s="134">
        <v>41.67</v>
      </c>
      <c r="I33" s="134">
        <v>8.6300000000000008</v>
      </c>
      <c r="J33" s="134">
        <v>0.08</v>
      </c>
      <c r="K33" s="134">
        <v>242.03</v>
      </c>
      <c r="L33" s="134">
        <v>19.34</v>
      </c>
      <c r="M33" s="134">
        <v>97.12</v>
      </c>
      <c r="N33" s="134">
        <v>0</v>
      </c>
      <c r="O33" s="134">
        <v>0</v>
      </c>
      <c r="P33" s="134">
        <v>0.89</v>
      </c>
      <c r="Q33" s="134">
        <v>4.46</v>
      </c>
    </row>
    <row r="34" spans="1:17" customFormat="1">
      <c r="A34" s="112" t="s">
        <v>1320</v>
      </c>
      <c r="B34" s="134">
        <v>8.58</v>
      </c>
      <c r="C34" s="134">
        <v>21.29</v>
      </c>
      <c r="D34" s="134">
        <v>19.350000000000001</v>
      </c>
      <c r="E34" s="134">
        <v>5.8</v>
      </c>
      <c r="F34" s="134">
        <v>2.6</v>
      </c>
      <c r="G34" s="134">
        <v>74.31</v>
      </c>
      <c r="H34" s="134">
        <v>41.67</v>
      </c>
      <c r="I34" s="134">
        <v>8.58</v>
      </c>
      <c r="J34" s="134">
        <v>0.08</v>
      </c>
      <c r="K34" s="134">
        <v>283.89</v>
      </c>
      <c r="L34" s="134">
        <v>19.440000000000001</v>
      </c>
      <c r="M34" s="134">
        <v>93.58</v>
      </c>
      <c r="N34" s="134">
        <v>5.3</v>
      </c>
      <c r="O34" s="134">
        <v>0</v>
      </c>
      <c r="P34" s="134">
        <v>0.9</v>
      </c>
      <c r="Q34" s="134">
        <v>4.4800000000000004</v>
      </c>
    </row>
    <row r="35" spans="1:17" customFormat="1">
      <c r="A35" s="112" t="s">
        <v>1321</v>
      </c>
      <c r="B35" s="134">
        <v>11.03</v>
      </c>
      <c r="C35" s="134">
        <v>22.88</v>
      </c>
      <c r="D35" s="134">
        <v>22.15</v>
      </c>
      <c r="E35" s="134">
        <v>6.53</v>
      </c>
      <c r="F35" s="134">
        <v>2.65</v>
      </c>
      <c r="G35" s="134">
        <v>72.61</v>
      </c>
      <c r="H35" s="134">
        <v>41.39</v>
      </c>
      <c r="I35" s="134">
        <v>8.5399999999999991</v>
      </c>
      <c r="J35" s="134">
        <v>0.1</v>
      </c>
      <c r="K35" s="134">
        <v>117.16</v>
      </c>
      <c r="L35" s="134">
        <v>20.03</v>
      </c>
      <c r="M35" s="134">
        <v>90.34</v>
      </c>
      <c r="N35" s="134">
        <v>14.9</v>
      </c>
      <c r="O35" s="134">
        <v>0</v>
      </c>
      <c r="P35" s="134">
        <v>0.92</v>
      </c>
      <c r="Q35" s="134">
        <v>4.5599999999999996</v>
      </c>
    </row>
    <row r="36" spans="1:17" customFormat="1">
      <c r="A36" s="112" t="s">
        <v>1322</v>
      </c>
      <c r="B36" s="134">
        <v>13.37</v>
      </c>
      <c r="C36" s="134">
        <v>24.45</v>
      </c>
      <c r="D36" s="134">
        <v>24.84</v>
      </c>
      <c r="E36" s="134">
        <v>6.98</v>
      </c>
      <c r="F36" s="134">
        <v>2.46</v>
      </c>
      <c r="G36" s="134">
        <v>72.38</v>
      </c>
      <c r="H36" s="134">
        <v>41.39</v>
      </c>
      <c r="I36" s="134">
        <v>8.67</v>
      </c>
      <c r="J36" s="134">
        <v>0.16</v>
      </c>
      <c r="K36" s="134">
        <v>64.81</v>
      </c>
      <c r="L36" s="134">
        <v>20.68</v>
      </c>
      <c r="M36" s="134">
        <v>86.91</v>
      </c>
      <c r="N36" s="134">
        <v>26.7</v>
      </c>
      <c r="O36" s="134">
        <v>0</v>
      </c>
      <c r="P36" s="134">
        <v>0.97</v>
      </c>
      <c r="Q36" s="134">
        <v>4.67</v>
      </c>
    </row>
    <row r="37" spans="1:17" customFormat="1">
      <c r="A37" s="112" t="s">
        <v>1323</v>
      </c>
      <c r="B37" s="134">
        <v>14.94</v>
      </c>
      <c r="C37" s="134">
        <v>25.65</v>
      </c>
      <c r="D37" s="134">
        <v>26.73</v>
      </c>
      <c r="E37" s="134">
        <v>7.93</v>
      </c>
      <c r="F37" s="134">
        <v>2.46</v>
      </c>
      <c r="G37" s="134">
        <v>72.38</v>
      </c>
      <c r="H37" s="134">
        <v>41.39</v>
      </c>
      <c r="I37" s="134">
        <v>8.92</v>
      </c>
      <c r="J37" s="134">
        <v>0.09</v>
      </c>
      <c r="K37" s="134">
        <v>42.12</v>
      </c>
      <c r="L37" s="134">
        <v>21.14</v>
      </c>
      <c r="M37" s="134">
        <v>83.67</v>
      </c>
      <c r="N37" s="134">
        <v>40.4</v>
      </c>
      <c r="O37" s="134">
        <v>0</v>
      </c>
      <c r="P37" s="134">
        <v>1.02</v>
      </c>
      <c r="Q37" s="134">
        <v>4.7300000000000004</v>
      </c>
    </row>
    <row r="38" spans="1:17" customFormat="1">
      <c r="A38" s="112" t="s">
        <v>1324</v>
      </c>
      <c r="B38" s="134">
        <v>14.97</v>
      </c>
      <c r="C38" s="134">
        <v>26.75</v>
      </c>
      <c r="D38" s="134">
        <v>27.33</v>
      </c>
      <c r="E38" s="134">
        <v>7.81</v>
      </c>
      <c r="F38" s="134">
        <v>2.5099999999999998</v>
      </c>
      <c r="G38" s="134">
        <v>72.38</v>
      </c>
      <c r="H38" s="134">
        <v>41.39</v>
      </c>
      <c r="I38" s="134">
        <v>9.5</v>
      </c>
      <c r="J38" s="134">
        <v>0.21</v>
      </c>
      <c r="K38" s="134">
        <v>49.5</v>
      </c>
      <c r="L38" s="134">
        <v>21.54</v>
      </c>
      <c r="M38" s="134">
        <v>81.569999999999993</v>
      </c>
      <c r="N38" s="134">
        <v>54.6</v>
      </c>
      <c r="O38" s="134">
        <v>0</v>
      </c>
      <c r="P38" s="134">
        <v>1.07</v>
      </c>
      <c r="Q38" s="134">
        <v>4.78</v>
      </c>
    </row>
    <row r="39" spans="1:17" customFormat="1">
      <c r="A39" s="112" t="s">
        <v>1325</v>
      </c>
      <c r="B39" s="134">
        <v>14.79</v>
      </c>
      <c r="C39" s="134">
        <v>27.56</v>
      </c>
      <c r="D39" s="134">
        <v>27.61</v>
      </c>
      <c r="E39" s="134">
        <v>7.95</v>
      </c>
      <c r="F39" s="134">
        <v>2.5</v>
      </c>
      <c r="G39" s="134">
        <v>94.86</v>
      </c>
      <c r="H39" s="134">
        <v>50.02</v>
      </c>
      <c r="I39" s="134">
        <v>10.34</v>
      </c>
      <c r="J39" s="134">
        <v>0.34</v>
      </c>
      <c r="K39" s="134">
        <v>34.020000000000003</v>
      </c>
      <c r="L39" s="134">
        <v>21.9</v>
      </c>
      <c r="M39" s="134">
        <v>80.72</v>
      </c>
      <c r="N39" s="134">
        <v>96.7</v>
      </c>
      <c r="O39" s="134">
        <v>0</v>
      </c>
      <c r="P39" s="134">
        <v>1.08</v>
      </c>
      <c r="Q39" s="134">
        <v>4.7699999999999996</v>
      </c>
    </row>
    <row r="40" spans="1:17" customFormat="1">
      <c r="A40" s="112" t="s">
        <v>1326</v>
      </c>
      <c r="B40" s="134">
        <v>14.79</v>
      </c>
      <c r="C40" s="134">
        <v>28.51</v>
      </c>
      <c r="D40" s="134">
        <v>28.1</v>
      </c>
      <c r="E40" s="134">
        <v>7.94</v>
      </c>
      <c r="F40" s="134">
        <v>2.66</v>
      </c>
      <c r="G40" s="134">
        <v>97.99</v>
      </c>
      <c r="H40" s="134">
        <v>50.02</v>
      </c>
      <c r="I40" s="134">
        <v>10.88</v>
      </c>
      <c r="J40" s="134">
        <v>0.22</v>
      </c>
      <c r="K40" s="134">
        <v>21.04</v>
      </c>
      <c r="L40" s="134">
        <v>22.54</v>
      </c>
      <c r="M40" s="134">
        <v>78.55</v>
      </c>
      <c r="N40" s="134">
        <v>144.6</v>
      </c>
      <c r="O40" s="134">
        <v>0</v>
      </c>
      <c r="P40" s="134">
        <v>1.1100000000000001</v>
      </c>
      <c r="Q40" s="134">
        <v>4.78</v>
      </c>
    </row>
    <row r="41" spans="1:17" customFormat="1">
      <c r="A41" s="112" t="s">
        <v>1327</v>
      </c>
      <c r="B41" s="134">
        <v>15.21</v>
      </c>
      <c r="C41" s="134">
        <v>29.55</v>
      </c>
      <c r="D41" s="134">
        <v>28.99</v>
      </c>
      <c r="E41" s="134">
        <v>7.88</v>
      </c>
      <c r="F41" s="134">
        <v>2.68</v>
      </c>
      <c r="G41" s="134">
        <v>97.99</v>
      </c>
      <c r="H41" s="134">
        <v>50.02</v>
      </c>
      <c r="I41" s="134">
        <v>11.11</v>
      </c>
      <c r="J41" s="134">
        <v>0.42</v>
      </c>
      <c r="K41" s="134">
        <v>34.200000000000003</v>
      </c>
      <c r="L41" s="134">
        <v>23.15</v>
      </c>
      <c r="M41" s="134">
        <v>75.38</v>
      </c>
      <c r="N41" s="134">
        <v>190.8</v>
      </c>
      <c r="O41" s="134">
        <v>0</v>
      </c>
      <c r="P41" s="134">
        <v>1.19</v>
      </c>
      <c r="Q41" s="134">
        <v>4.8099999999999996</v>
      </c>
    </row>
    <row r="42" spans="1:17" customFormat="1">
      <c r="A42" s="112" t="s">
        <v>1328</v>
      </c>
      <c r="B42" s="134">
        <v>15.82</v>
      </c>
      <c r="C42" s="134">
        <v>30.39</v>
      </c>
      <c r="D42" s="134">
        <v>29.92</v>
      </c>
      <c r="E42" s="134">
        <v>7.97</v>
      </c>
      <c r="F42" s="134">
        <v>2.75</v>
      </c>
      <c r="G42" s="134">
        <v>97.99</v>
      </c>
      <c r="H42" s="134">
        <v>50.02</v>
      </c>
      <c r="I42" s="134">
        <v>11.53</v>
      </c>
      <c r="J42" s="134">
        <v>0.13</v>
      </c>
      <c r="K42" s="134">
        <v>124.57</v>
      </c>
      <c r="L42" s="134">
        <v>24.51</v>
      </c>
      <c r="M42" s="134">
        <v>71.25</v>
      </c>
      <c r="N42" s="134">
        <v>229</v>
      </c>
      <c r="O42" s="134">
        <v>0</v>
      </c>
      <c r="P42" s="134">
        <v>1.29</v>
      </c>
      <c r="Q42" s="134">
        <v>4.84</v>
      </c>
    </row>
    <row r="43" spans="1:17" customFormat="1">
      <c r="A43" s="112" t="s">
        <v>1329</v>
      </c>
      <c r="B43" s="134">
        <v>16.09</v>
      </c>
      <c r="C43" s="134">
        <v>31.07</v>
      </c>
      <c r="D43" s="134">
        <v>30.49</v>
      </c>
      <c r="E43" s="134">
        <v>8.44</v>
      </c>
      <c r="F43" s="134">
        <v>2.66</v>
      </c>
      <c r="G43" s="134">
        <v>127.63</v>
      </c>
      <c r="H43" s="134">
        <v>58.11</v>
      </c>
      <c r="I43" s="134">
        <v>11.96</v>
      </c>
      <c r="J43" s="134">
        <v>0.23</v>
      </c>
      <c r="K43" s="134">
        <v>154.41999999999999</v>
      </c>
      <c r="L43" s="134">
        <v>26.3</v>
      </c>
      <c r="M43" s="134">
        <v>63.58</v>
      </c>
      <c r="N43" s="134">
        <v>262.7</v>
      </c>
      <c r="O43" s="134">
        <v>0</v>
      </c>
      <c r="P43" s="134">
        <v>1.37</v>
      </c>
      <c r="Q43" s="134">
        <v>4.87</v>
      </c>
    </row>
    <row r="44" spans="1:17" customFormat="1">
      <c r="A44" s="112" t="s">
        <v>1330</v>
      </c>
      <c r="B44" s="134">
        <v>15.45</v>
      </c>
      <c r="C44" s="134">
        <v>31.34</v>
      </c>
      <c r="D44" s="134">
        <v>30.12</v>
      </c>
      <c r="E44" s="134">
        <v>7.74</v>
      </c>
      <c r="F44" s="134">
        <v>2.82</v>
      </c>
      <c r="G44" s="134">
        <v>131.75</v>
      </c>
      <c r="H44" s="134">
        <v>58.11</v>
      </c>
      <c r="I44" s="134">
        <v>12.13</v>
      </c>
      <c r="J44" s="134">
        <v>0.31</v>
      </c>
      <c r="K44" s="134">
        <v>163.91</v>
      </c>
      <c r="L44" s="134">
        <v>27.08</v>
      </c>
      <c r="M44" s="134">
        <v>61.51</v>
      </c>
      <c r="N44" s="134">
        <v>294.2</v>
      </c>
      <c r="O44" s="134">
        <v>0</v>
      </c>
      <c r="P44" s="134">
        <v>1.41</v>
      </c>
      <c r="Q44" s="134">
        <v>4.83</v>
      </c>
    </row>
    <row r="45" spans="1:17" customFormat="1">
      <c r="A45" s="112" t="s">
        <v>1331</v>
      </c>
      <c r="B45" s="134">
        <v>14.26</v>
      </c>
      <c r="C45" s="134">
        <v>31.63</v>
      </c>
      <c r="D45" s="134">
        <v>29.32</v>
      </c>
      <c r="E45" s="134">
        <v>7.86</v>
      </c>
      <c r="F45" s="134">
        <v>2.91</v>
      </c>
      <c r="G45" s="134">
        <v>131.75</v>
      </c>
      <c r="H45" s="134">
        <v>58.11</v>
      </c>
      <c r="I45" s="134">
        <v>12.21</v>
      </c>
      <c r="J45" s="134">
        <v>0.13</v>
      </c>
      <c r="K45" s="134">
        <v>174.05</v>
      </c>
      <c r="L45" s="134">
        <v>28.06</v>
      </c>
      <c r="M45" s="134">
        <v>57.01</v>
      </c>
      <c r="N45" s="134">
        <v>287.8</v>
      </c>
      <c r="O45" s="134">
        <v>0</v>
      </c>
      <c r="P45" s="134">
        <v>1.46</v>
      </c>
      <c r="Q45" s="134">
        <v>4.79</v>
      </c>
    </row>
    <row r="46" spans="1:17" customFormat="1">
      <c r="A46" s="112" t="s">
        <v>1332</v>
      </c>
      <c r="B46" s="134">
        <v>12.84</v>
      </c>
      <c r="C46" s="134">
        <v>31.96</v>
      </c>
      <c r="D46" s="134">
        <v>28.34</v>
      </c>
      <c r="E46" s="134">
        <v>7.56</v>
      </c>
      <c r="F46" s="134">
        <v>2.9</v>
      </c>
      <c r="G46" s="134">
        <v>131.75</v>
      </c>
      <c r="H46" s="134">
        <v>58.11</v>
      </c>
      <c r="I46" s="134">
        <v>12.16</v>
      </c>
      <c r="J46" s="134">
        <v>0.32</v>
      </c>
      <c r="K46" s="134">
        <v>155.05000000000001</v>
      </c>
      <c r="L46" s="134">
        <v>28.8</v>
      </c>
      <c r="M46" s="134">
        <v>53.98</v>
      </c>
      <c r="N46" s="134">
        <v>254.2</v>
      </c>
      <c r="O46" s="134">
        <v>0</v>
      </c>
      <c r="P46" s="134">
        <v>1.48</v>
      </c>
      <c r="Q46" s="134">
        <v>4.7300000000000004</v>
      </c>
    </row>
    <row r="47" spans="1:17" customFormat="1">
      <c r="A47" s="112" t="s">
        <v>1333</v>
      </c>
      <c r="B47" s="134">
        <v>12.21</v>
      </c>
      <c r="C47" s="134">
        <v>29.81</v>
      </c>
      <c r="D47" s="134">
        <v>26.72</v>
      </c>
      <c r="E47" s="134">
        <v>6.68</v>
      </c>
      <c r="F47" s="134">
        <v>3.13</v>
      </c>
      <c r="G47" s="134">
        <v>143.47</v>
      </c>
      <c r="H47" s="134">
        <v>56.89</v>
      </c>
      <c r="I47" s="134">
        <v>12.06</v>
      </c>
      <c r="J47" s="134">
        <v>0.14000000000000001</v>
      </c>
      <c r="K47" s="134">
        <v>11.6</v>
      </c>
      <c r="L47" s="134">
        <v>29.18</v>
      </c>
      <c r="M47" s="134">
        <v>52.82</v>
      </c>
      <c r="N47" s="134">
        <v>409.4</v>
      </c>
      <c r="O47" s="134">
        <v>0</v>
      </c>
      <c r="P47" s="134">
        <v>1.47</v>
      </c>
      <c r="Q47" s="134">
        <v>4.6900000000000004</v>
      </c>
    </row>
    <row r="48" spans="1:17" customFormat="1">
      <c r="A48" s="112" t="s">
        <v>1334</v>
      </c>
      <c r="B48" s="134">
        <v>11.75</v>
      </c>
      <c r="C48" s="134">
        <v>27.64</v>
      </c>
      <c r="D48" s="134">
        <v>25.21</v>
      </c>
      <c r="E48" s="134">
        <v>5.67</v>
      </c>
      <c r="F48" s="134">
        <v>3.21</v>
      </c>
      <c r="G48" s="134">
        <v>145.1</v>
      </c>
      <c r="H48" s="134">
        <v>56.89</v>
      </c>
      <c r="I48" s="134">
        <v>12.01</v>
      </c>
      <c r="J48" s="134">
        <v>0.28000000000000003</v>
      </c>
      <c r="K48" s="134">
        <v>263.04000000000002</v>
      </c>
      <c r="L48" s="134">
        <v>29.32</v>
      </c>
      <c r="M48" s="134">
        <v>52.01</v>
      </c>
      <c r="N48" s="134">
        <v>439.5</v>
      </c>
      <c r="O48" s="134">
        <v>0</v>
      </c>
      <c r="P48" s="134">
        <v>1.44</v>
      </c>
      <c r="Q48" s="134">
        <v>4.67</v>
      </c>
    </row>
    <row r="49" spans="1:17" customFormat="1">
      <c r="A49" s="112" t="s">
        <v>1335</v>
      </c>
      <c r="B49" s="134">
        <v>11.07</v>
      </c>
      <c r="C49" s="134">
        <v>26.55</v>
      </c>
      <c r="D49" s="134">
        <v>24.1</v>
      </c>
      <c r="E49" s="134">
        <v>6.42</v>
      </c>
      <c r="F49" s="134">
        <v>3.29</v>
      </c>
      <c r="G49" s="134">
        <v>145.1</v>
      </c>
      <c r="H49" s="134">
        <v>56.89</v>
      </c>
      <c r="I49" s="134">
        <v>12.05</v>
      </c>
      <c r="J49" s="134">
        <v>0.28000000000000003</v>
      </c>
      <c r="K49" s="134">
        <v>32.93</v>
      </c>
      <c r="L49" s="134">
        <v>29.66</v>
      </c>
      <c r="M49" s="134">
        <v>47.15</v>
      </c>
      <c r="N49" s="134">
        <v>461.8</v>
      </c>
      <c r="O49" s="134">
        <v>0</v>
      </c>
      <c r="P49" s="134">
        <v>1.41</v>
      </c>
      <c r="Q49" s="134">
        <v>4.59</v>
      </c>
    </row>
    <row r="50" spans="1:17" customFormat="1">
      <c r="A50" s="112" t="s">
        <v>1336</v>
      </c>
      <c r="B50" s="134">
        <v>10.26</v>
      </c>
      <c r="C50" s="134">
        <v>25.98</v>
      </c>
      <c r="D50" s="134">
        <v>23.15</v>
      </c>
      <c r="E50" s="134">
        <v>7.5</v>
      </c>
      <c r="F50" s="134">
        <v>3.36</v>
      </c>
      <c r="G50" s="134">
        <v>145.1</v>
      </c>
      <c r="H50" s="134">
        <v>56.89</v>
      </c>
      <c r="I50" s="134">
        <v>11.94</v>
      </c>
      <c r="J50" s="134">
        <v>0.31</v>
      </c>
      <c r="K50" s="134">
        <v>291.08999999999997</v>
      </c>
      <c r="L50" s="134">
        <v>30.18</v>
      </c>
      <c r="M50" s="134">
        <v>45.48</v>
      </c>
      <c r="N50" s="134">
        <v>487.3</v>
      </c>
      <c r="O50" s="134">
        <v>0</v>
      </c>
      <c r="P50" s="134">
        <v>1.37</v>
      </c>
      <c r="Q50" s="134">
        <v>4.5199999999999996</v>
      </c>
    </row>
    <row r="51" spans="1:17" customFormat="1">
      <c r="A51" s="112" t="s">
        <v>1337</v>
      </c>
      <c r="B51" s="134">
        <v>9.4700000000000006</v>
      </c>
      <c r="C51" s="134">
        <v>25.37</v>
      </c>
      <c r="D51" s="134">
        <v>22.2</v>
      </c>
      <c r="E51" s="134">
        <v>9.09</v>
      </c>
      <c r="F51" s="134">
        <v>5.18</v>
      </c>
      <c r="G51" s="134">
        <v>122.86</v>
      </c>
      <c r="H51" s="134">
        <v>49.72</v>
      </c>
      <c r="I51" s="134">
        <v>11.79</v>
      </c>
      <c r="J51" s="134">
        <v>0.5</v>
      </c>
      <c r="K51" s="134">
        <v>281.41000000000003</v>
      </c>
      <c r="L51" s="134">
        <v>30.23</v>
      </c>
      <c r="M51" s="134">
        <v>43.68</v>
      </c>
      <c r="N51" s="134">
        <v>493.4</v>
      </c>
      <c r="O51" s="134">
        <v>0</v>
      </c>
      <c r="P51" s="134">
        <v>1.35</v>
      </c>
      <c r="Q51" s="134">
        <v>4.49</v>
      </c>
    </row>
    <row r="52" spans="1:17" customFormat="1">
      <c r="A52" s="112" t="s">
        <v>1338</v>
      </c>
      <c r="B52" s="134">
        <v>8.5500000000000007</v>
      </c>
      <c r="C52" s="134">
        <v>25.23</v>
      </c>
      <c r="D52" s="134">
        <v>21.39</v>
      </c>
      <c r="E52" s="134">
        <v>10.119999999999999</v>
      </c>
      <c r="F52" s="134">
        <v>4.9400000000000004</v>
      </c>
      <c r="G52" s="134">
        <v>120.08</v>
      </c>
      <c r="H52" s="134">
        <v>49.72</v>
      </c>
      <c r="I52" s="134">
        <v>11.62</v>
      </c>
      <c r="J52" s="134">
        <v>0.39</v>
      </c>
      <c r="K52" s="134">
        <v>19.29</v>
      </c>
      <c r="L52" s="134">
        <v>30.7</v>
      </c>
      <c r="M52" s="134">
        <v>41.39</v>
      </c>
      <c r="N52" s="134">
        <v>466.8</v>
      </c>
      <c r="O52" s="134">
        <v>0</v>
      </c>
      <c r="P52" s="134">
        <v>1.33</v>
      </c>
      <c r="Q52" s="134">
        <v>4.45</v>
      </c>
    </row>
    <row r="53" spans="1:17" customFormat="1">
      <c r="A53" s="112" t="s">
        <v>1339</v>
      </c>
      <c r="B53" s="134">
        <v>8.0299999999999994</v>
      </c>
      <c r="C53" s="134">
        <v>24.98</v>
      </c>
      <c r="D53" s="134">
        <v>20.85</v>
      </c>
      <c r="E53" s="134">
        <v>11.05</v>
      </c>
      <c r="F53" s="134">
        <v>5.01</v>
      </c>
      <c r="G53" s="134">
        <v>120.08</v>
      </c>
      <c r="H53" s="134">
        <v>49.72</v>
      </c>
      <c r="I53" s="134">
        <v>11.42</v>
      </c>
      <c r="J53" s="134">
        <v>0.19</v>
      </c>
      <c r="K53" s="134">
        <v>7.98</v>
      </c>
      <c r="L53" s="134">
        <v>31.05</v>
      </c>
      <c r="M53" s="134">
        <v>41.57</v>
      </c>
      <c r="N53" s="134">
        <v>515.70000000000005</v>
      </c>
      <c r="O53" s="134">
        <v>0</v>
      </c>
      <c r="P53" s="134">
        <v>1.32</v>
      </c>
      <c r="Q53" s="134">
        <v>4.3899999999999997</v>
      </c>
    </row>
    <row r="54" spans="1:17" customFormat="1">
      <c r="A54" s="112" t="s">
        <v>1340</v>
      </c>
      <c r="B54" s="134">
        <v>7.64</v>
      </c>
      <c r="C54" s="134">
        <v>24.95</v>
      </c>
      <c r="D54" s="134">
        <v>20.51</v>
      </c>
      <c r="E54" s="134">
        <v>9.82</v>
      </c>
      <c r="F54" s="134">
        <v>4.95</v>
      </c>
      <c r="G54" s="134">
        <v>120.08</v>
      </c>
      <c r="H54" s="134">
        <v>49.72</v>
      </c>
      <c r="I54" s="134">
        <v>11.15</v>
      </c>
      <c r="J54" s="134">
        <v>0.23</v>
      </c>
      <c r="K54" s="134">
        <v>347.7</v>
      </c>
      <c r="L54" s="134">
        <v>31.34</v>
      </c>
      <c r="M54" s="134">
        <v>42.04</v>
      </c>
      <c r="N54" s="134">
        <v>478.7</v>
      </c>
      <c r="O54" s="134">
        <v>0</v>
      </c>
      <c r="P54" s="134">
        <v>1.31</v>
      </c>
      <c r="Q54" s="134">
        <v>4.38</v>
      </c>
    </row>
    <row r="55" spans="1:17" customFormat="1">
      <c r="A55" s="112" t="s">
        <v>1341</v>
      </c>
      <c r="B55" s="134">
        <v>7.14</v>
      </c>
      <c r="C55" s="134">
        <v>24.82</v>
      </c>
      <c r="D55" s="134">
        <v>20.05</v>
      </c>
      <c r="E55" s="134">
        <v>10.73</v>
      </c>
      <c r="F55" s="134">
        <v>6.15</v>
      </c>
      <c r="G55" s="134">
        <v>121.89</v>
      </c>
      <c r="H55" s="134">
        <v>51.2</v>
      </c>
      <c r="I55" s="134">
        <v>11.05</v>
      </c>
      <c r="J55" s="134">
        <v>0.15</v>
      </c>
      <c r="K55" s="134">
        <v>338.32</v>
      </c>
      <c r="L55" s="134">
        <v>31.49</v>
      </c>
      <c r="M55" s="134">
        <v>40.53</v>
      </c>
      <c r="N55" s="134">
        <v>513.6</v>
      </c>
      <c r="O55" s="134">
        <v>0</v>
      </c>
      <c r="P55" s="134">
        <v>1.3</v>
      </c>
      <c r="Q55" s="134">
        <v>4.3499999999999996</v>
      </c>
    </row>
    <row r="56" spans="1:17" customFormat="1">
      <c r="A56" s="112" t="s">
        <v>1342</v>
      </c>
      <c r="B56" s="134">
        <v>6.8</v>
      </c>
      <c r="C56" s="134">
        <v>24.29</v>
      </c>
      <c r="D56" s="134">
        <v>19.5</v>
      </c>
      <c r="E56" s="134">
        <v>10.53</v>
      </c>
      <c r="F56" s="134">
        <v>5.0199999999999996</v>
      </c>
      <c r="G56" s="134">
        <v>122.14</v>
      </c>
      <c r="H56" s="134">
        <v>51.2</v>
      </c>
      <c r="I56" s="134">
        <v>10.95</v>
      </c>
      <c r="J56" s="134">
        <v>0.17</v>
      </c>
      <c r="K56" s="134">
        <v>11.07</v>
      </c>
      <c r="L56" s="134">
        <v>31.43</v>
      </c>
      <c r="M56" s="134">
        <v>38.909999999999997</v>
      </c>
      <c r="N56" s="134">
        <v>508.1</v>
      </c>
      <c r="O56" s="134">
        <v>0</v>
      </c>
      <c r="P56" s="134">
        <v>1.28</v>
      </c>
      <c r="Q56" s="134">
        <v>4.33</v>
      </c>
    </row>
    <row r="57" spans="1:17" customFormat="1">
      <c r="A57" s="112" t="s">
        <v>1343</v>
      </c>
      <c r="B57" s="134">
        <v>6.42</v>
      </c>
      <c r="C57" s="134">
        <v>23.88</v>
      </c>
      <c r="D57" s="134">
        <v>18.97</v>
      </c>
      <c r="E57" s="134">
        <v>7.85</v>
      </c>
      <c r="F57" s="134">
        <v>4.55</v>
      </c>
      <c r="G57" s="134">
        <v>122.14</v>
      </c>
      <c r="H57" s="134">
        <v>51.2</v>
      </c>
      <c r="I57" s="134">
        <v>10.8</v>
      </c>
      <c r="J57" s="134">
        <v>0.12</v>
      </c>
      <c r="K57" s="134">
        <v>201.55</v>
      </c>
      <c r="L57" s="134">
        <v>31.91</v>
      </c>
      <c r="M57" s="134">
        <v>38.57</v>
      </c>
      <c r="N57" s="134">
        <v>463.1</v>
      </c>
      <c r="O57" s="134">
        <v>0</v>
      </c>
      <c r="P57" s="134">
        <v>1.27</v>
      </c>
      <c r="Q57" s="134">
        <v>4.33</v>
      </c>
    </row>
    <row r="58" spans="1:17" customFormat="1">
      <c r="A58" s="112" t="s">
        <v>1344</v>
      </c>
      <c r="B58" s="134">
        <v>6.09</v>
      </c>
      <c r="C58" s="134">
        <v>23.48</v>
      </c>
      <c r="D58" s="134">
        <v>18.510000000000002</v>
      </c>
      <c r="E58" s="134">
        <v>13.38</v>
      </c>
      <c r="F58" s="134">
        <v>7.23</v>
      </c>
      <c r="G58" s="134">
        <v>122.14</v>
      </c>
      <c r="H58" s="134">
        <v>51.2</v>
      </c>
      <c r="I58" s="134">
        <v>10.65</v>
      </c>
      <c r="J58" s="134">
        <v>0.47</v>
      </c>
      <c r="K58" s="134">
        <v>31.33</v>
      </c>
      <c r="L58" s="134">
        <v>31.54</v>
      </c>
      <c r="M58" s="134">
        <v>40.299999999999997</v>
      </c>
      <c r="N58" s="134">
        <v>356.7</v>
      </c>
      <c r="O58" s="134">
        <v>0</v>
      </c>
      <c r="P58" s="134">
        <v>1.24</v>
      </c>
      <c r="Q58" s="134">
        <v>4.3099999999999996</v>
      </c>
    </row>
    <row r="59" spans="1:17" customFormat="1">
      <c r="A59" s="112" t="s">
        <v>1345</v>
      </c>
      <c r="B59" s="134">
        <v>5.96</v>
      </c>
      <c r="C59" s="134">
        <v>23.35</v>
      </c>
      <c r="D59" s="134">
        <v>18.329999999999998</v>
      </c>
      <c r="E59" s="134">
        <v>13.15</v>
      </c>
      <c r="F59" s="134">
        <v>8.2799999999999994</v>
      </c>
      <c r="G59" s="134">
        <v>114.71</v>
      </c>
      <c r="H59" s="134">
        <v>49.67</v>
      </c>
      <c r="I59" s="134">
        <v>10.5</v>
      </c>
      <c r="J59" s="134">
        <v>0.49</v>
      </c>
      <c r="K59" s="134">
        <v>29.27</v>
      </c>
      <c r="L59" s="134">
        <v>31.06</v>
      </c>
      <c r="M59" s="134">
        <v>39.450000000000003</v>
      </c>
      <c r="N59" s="134">
        <v>283.89999999999998</v>
      </c>
      <c r="O59" s="134">
        <v>0</v>
      </c>
      <c r="P59" s="134">
        <v>1.22</v>
      </c>
      <c r="Q59" s="134">
        <v>4.29</v>
      </c>
    </row>
    <row r="60" spans="1:17" customFormat="1">
      <c r="A60" s="112" t="s">
        <v>1346</v>
      </c>
      <c r="B60" s="134">
        <v>5.94</v>
      </c>
      <c r="C60" s="134">
        <v>23.07</v>
      </c>
      <c r="D60" s="134">
        <v>18.170000000000002</v>
      </c>
      <c r="E60" s="134">
        <v>12.07</v>
      </c>
      <c r="F60" s="134">
        <v>6.94</v>
      </c>
      <c r="G60" s="134">
        <v>113.68</v>
      </c>
      <c r="H60" s="134">
        <v>49.67</v>
      </c>
      <c r="I60" s="134">
        <v>10.34</v>
      </c>
      <c r="J60" s="134">
        <v>0.57999999999999996</v>
      </c>
      <c r="K60" s="134">
        <v>40.75</v>
      </c>
      <c r="L60" s="134">
        <v>31.19</v>
      </c>
      <c r="M60" s="134">
        <v>36.07</v>
      </c>
      <c r="N60" s="134">
        <v>385.6</v>
      </c>
      <c r="O60" s="134">
        <v>0</v>
      </c>
      <c r="P60" s="134">
        <v>1.2</v>
      </c>
      <c r="Q60" s="134">
        <v>4.28</v>
      </c>
    </row>
    <row r="61" spans="1:17" customFormat="1">
      <c r="A61" s="112" t="s">
        <v>1347</v>
      </c>
      <c r="B61" s="134">
        <v>5.65</v>
      </c>
      <c r="C61" s="134">
        <v>22.3</v>
      </c>
      <c r="D61" s="134">
        <v>17.53</v>
      </c>
      <c r="E61" s="134">
        <v>9.3800000000000008</v>
      </c>
      <c r="F61" s="134">
        <v>6.37</v>
      </c>
      <c r="G61" s="134">
        <v>113.68</v>
      </c>
      <c r="H61" s="134">
        <v>49.67</v>
      </c>
      <c r="I61" s="134">
        <v>10.11</v>
      </c>
      <c r="J61" s="134">
        <v>0.6</v>
      </c>
      <c r="K61" s="134">
        <v>50.45</v>
      </c>
      <c r="L61" s="134">
        <v>31.52</v>
      </c>
      <c r="M61" s="134">
        <v>35.76</v>
      </c>
      <c r="N61" s="134">
        <v>404.4</v>
      </c>
      <c r="O61" s="134">
        <v>0</v>
      </c>
      <c r="P61" s="134">
        <v>1.18</v>
      </c>
      <c r="Q61" s="134">
        <v>4.2699999999999996</v>
      </c>
    </row>
    <row r="62" spans="1:17" customFormat="1">
      <c r="A62" s="112" t="s">
        <v>1348</v>
      </c>
      <c r="B62" s="134">
        <v>5.6</v>
      </c>
      <c r="C62" s="134">
        <v>21.67</v>
      </c>
      <c r="D62" s="134">
        <v>17.16</v>
      </c>
      <c r="E62" s="134">
        <v>10.52</v>
      </c>
      <c r="F62" s="134">
        <v>9.0500000000000007</v>
      </c>
      <c r="G62" s="134">
        <v>113.68</v>
      </c>
      <c r="H62" s="134">
        <v>49.67</v>
      </c>
      <c r="I62" s="134">
        <v>9.86</v>
      </c>
      <c r="J62" s="134">
        <v>0.53</v>
      </c>
      <c r="K62" s="134">
        <v>37.11</v>
      </c>
      <c r="L62" s="134">
        <v>31.54</v>
      </c>
      <c r="M62" s="134">
        <v>35.770000000000003</v>
      </c>
      <c r="N62" s="134">
        <v>403.9</v>
      </c>
      <c r="O62" s="134">
        <v>0</v>
      </c>
      <c r="P62" s="134">
        <v>1.1499999999999999</v>
      </c>
      <c r="Q62" s="134">
        <v>4.28</v>
      </c>
    </row>
    <row r="63" spans="1:17" customFormat="1">
      <c r="A63" s="112" t="s">
        <v>1349</v>
      </c>
      <c r="B63" s="134">
        <v>5.5</v>
      </c>
      <c r="C63" s="134">
        <v>21.21</v>
      </c>
      <c r="D63" s="134">
        <v>16.850000000000001</v>
      </c>
      <c r="E63" s="134">
        <v>10.72</v>
      </c>
      <c r="F63" s="134">
        <v>8.39</v>
      </c>
      <c r="G63" s="134">
        <v>95.64</v>
      </c>
      <c r="H63" s="134">
        <v>41.1</v>
      </c>
      <c r="I63" s="134">
        <v>9.76</v>
      </c>
      <c r="J63" s="134">
        <v>0.34</v>
      </c>
      <c r="K63" s="134">
        <v>34.659999999999997</v>
      </c>
      <c r="L63" s="134">
        <v>31.76</v>
      </c>
      <c r="M63" s="134">
        <v>34.74</v>
      </c>
      <c r="N63" s="134">
        <v>381</v>
      </c>
      <c r="O63" s="134">
        <v>0</v>
      </c>
      <c r="P63" s="134">
        <v>1.1200000000000001</v>
      </c>
      <c r="Q63" s="134">
        <v>4.26</v>
      </c>
    </row>
    <row r="64" spans="1:17" customFormat="1">
      <c r="A64" s="112" t="s">
        <v>1350</v>
      </c>
      <c r="B64" s="134">
        <v>5.51</v>
      </c>
      <c r="C64" s="134">
        <v>21.08</v>
      </c>
      <c r="D64" s="134">
        <v>16.78</v>
      </c>
      <c r="E64" s="134">
        <v>8.7100000000000009</v>
      </c>
      <c r="F64" s="134">
        <v>6.13</v>
      </c>
      <c r="G64" s="134">
        <v>93.13</v>
      </c>
      <c r="H64" s="134">
        <v>41.1</v>
      </c>
      <c r="I64" s="134">
        <v>9.4700000000000006</v>
      </c>
      <c r="J64" s="134">
        <v>0.41</v>
      </c>
      <c r="K64" s="134">
        <v>38.71</v>
      </c>
      <c r="L64" s="134">
        <v>31.88</v>
      </c>
      <c r="M64" s="134">
        <v>33.9</v>
      </c>
      <c r="N64" s="134">
        <v>379.5</v>
      </c>
      <c r="O64" s="134">
        <v>0</v>
      </c>
      <c r="P64" s="134">
        <v>1.1000000000000001</v>
      </c>
      <c r="Q64" s="134">
        <v>4.25</v>
      </c>
    </row>
    <row r="65" spans="1:17" customFormat="1">
      <c r="A65" s="112" t="s">
        <v>1351</v>
      </c>
      <c r="B65" s="134">
        <v>5.45</v>
      </c>
      <c r="C65" s="134">
        <v>21.19</v>
      </c>
      <c r="D65" s="134">
        <v>16.79</v>
      </c>
      <c r="E65" s="134">
        <v>7.88</v>
      </c>
      <c r="F65" s="134">
        <v>5.66</v>
      </c>
      <c r="G65" s="134">
        <v>93.13</v>
      </c>
      <c r="H65" s="134">
        <v>41.1</v>
      </c>
      <c r="I65" s="134">
        <v>9.32</v>
      </c>
      <c r="J65" s="134">
        <v>0.62</v>
      </c>
      <c r="K65" s="134">
        <v>36.57</v>
      </c>
      <c r="L65" s="134">
        <v>31.6</v>
      </c>
      <c r="M65" s="134">
        <v>33.04</v>
      </c>
      <c r="N65" s="134">
        <v>293.5</v>
      </c>
      <c r="O65" s="134">
        <v>0</v>
      </c>
      <c r="P65" s="134">
        <v>1.06</v>
      </c>
      <c r="Q65" s="134">
        <v>4.24</v>
      </c>
    </row>
    <row r="66" spans="1:17" customFormat="1">
      <c r="A66" s="112" t="s">
        <v>1352</v>
      </c>
      <c r="B66" s="134">
        <v>4.99</v>
      </c>
      <c r="C66" s="134">
        <v>21.97</v>
      </c>
      <c r="D66" s="134">
        <v>16.829999999999998</v>
      </c>
      <c r="E66" s="134">
        <v>7</v>
      </c>
      <c r="F66" s="134">
        <v>5.24</v>
      </c>
      <c r="G66" s="134">
        <v>93.13</v>
      </c>
      <c r="H66" s="134">
        <v>41.1</v>
      </c>
      <c r="I66" s="134">
        <v>9.2200000000000006</v>
      </c>
      <c r="J66" s="134">
        <v>0.43</v>
      </c>
      <c r="K66" s="134">
        <v>38.17</v>
      </c>
      <c r="L66" s="134">
        <v>31.31</v>
      </c>
      <c r="M66" s="134">
        <v>33.01</v>
      </c>
      <c r="N66" s="134">
        <v>163.6</v>
      </c>
      <c r="O66" s="134">
        <v>0</v>
      </c>
      <c r="P66" s="134">
        <v>1.05</v>
      </c>
      <c r="Q66" s="134">
        <v>4.2300000000000004</v>
      </c>
    </row>
    <row r="67" spans="1:17" customFormat="1">
      <c r="A67" s="112" t="s">
        <v>1353</v>
      </c>
      <c r="B67" s="134">
        <v>4.55</v>
      </c>
      <c r="C67" s="134">
        <v>22.43</v>
      </c>
      <c r="D67" s="134">
        <v>16.72</v>
      </c>
      <c r="E67" s="134">
        <v>7.95</v>
      </c>
      <c r="F67" s="134">
        <v>6.84</v>
      </c>
      <c r="G67" s="134">
        <v>84.76</v>
      </c>
      <c r="H67" s="134">
        <v>32.58</v>
      </c>
      <c r="I67" s="134">
        <v>9.02</v>
      </c>
      <c r="J67" s="134">
        <v>0.59</v>
      </c>
      <c r="K67" s="134">
        <v>23.32</v>
      </c>
      <c r="L67" s="134">
        <v>31.01</v>
      </c>
      <c r="M67" s="134">
        <v>33.22</v>
      </c>
      <c r="N67" s="134">
        <v>111.4</v>
      </c>
      <c r="O67" s="134">
        <v>0</v>
      </c>
      <c r="P67" s="134">
        <v>1.02</v>
      </c>
      <c r="Q67" s="134">
        <v>4.2</v>
      </c>
    </row>
    <row r="68" spans="1:17" customFormat="1">
      <c r="A68" s="112" t="s">
        <v>1354</v>
      </c>
      <c r="B68" s="134">
        <v>4.4000000000000004</v>
      </c>
      <c r="C68" s="134">
        <v>22.61</v>
      </c>
      <c r="D68" s="134">
        <v>16.690000000000001</v>
      </c>
      <c r="E68" s="134">
        <v>7.65</v>
      </c>
      <c r="F68" s="134">
        <v>7.82</v>
      </c>
      <c r="G68" s="134">
        <v>83.59</v>
      </c>
      <c r="H68" s="134">
        <v>32.58</v>
      </c>
      <c r="I68" s="134">
        <v>8.7100000000000009</v>
      </c>
      <c r="J68" s="134">
        <v>0.48</v>
      </c>
      <c r="K68" s="134">
        <v>30.03</v>
      </c>
      <c r="L68" s="134">
        <v>30.71</v>
      </c>
      <c r="M68" s="134">
        <v>33.4</v>
      </c>
      <c r="N68" s="134">
        <v>97.7</v>
      </c>
      <c r="O68" s="134">
        <v>0</v>
      </c>
      <c r="P68" s="134">
        <v>0.99</v>
      </c>
      <c r="Q68" s="134">
        <v>4.21</v>
      </c>
    </row>
    <row r="69" spans="1:17" customFormat="1">
      <c r="A69" s="112" t="s">
        <v>1355</v>
      </c>
      <c r="B69" s="134">
        <v>4.28</v>
      </c>
      <c r="C69" s="134">
        <v>22.96</v>
      </c>
      <c r="D69" s="134">
        <v>16.78</v>
      </c>
      <c r="E69" s="134">
        <v>8.11</v>
      </c>
      <c r="F69" s="134">
        <v>6.37</v>
      </c>
      <c r="G69" s="134">
        <v>83.59</v>
      </c>
      <c r="H69" s="134">
        <v>32.58</v>
      </c>
      <c r="I69" s="134">
        <v>8.3800000000000008</v>
      </c>
      <c r="J69" s="134">
        <v>0.44</v>
      </c>
      <c r="K69" s="134">
        <v>43.87</v>
      </c>
      <c r="L69" s="134">
        <v>30.58</v>
      </c>
      <c r="M69" s="134">
        <v>33.770000000000003</v>
      </c>
      <c r="N69" s="134">
        <v>84.5</v>
      </c>
      <c r="O69" s="134">
        <v>0</v>
      </c>
      <c r="P69" s="134">
        <v>0.97</v>
      </c>
      <c r="Q69" s="134">
        <v>4.2</v>
      </c>
    </row>
    <row r="70" spans="1:17" customFormat="1">
      <c r="A70" s="112" t="s">
        <v>1356</v>
      </c>
      <c r="B70" s="134">
        <v>4.32</v>
      </c>
      <c r="C70" s="134">
        <v>23.08</v>
      </c>
      <c r="D70" s="134">
        <v>16.88</v>
      </c>
      <c r="E70" s="134">
        <v>7.59</v>
      </c>
      <c r="F70" s="134">
        <v>6</v>
      </c>
      <c r="G70" s="134">
        <v>83.59</v>
      </c>
      <c r="H70" s="134">
        <v>32.58</v>
      </c>
      <c r="I70" s="134">
        <v>8.14</v>
      </c>
      <c r="J70" s="134">
        <v>0.42</v>
      </c>
      <c r="K70" s="134">
        <v>30.98</v>
      </c>
      <c r="L70" s="134">
        <v>30.47</v>
      </c>
      <c r="M70" s="134">
        <v>34.29</v>
      </c>
      <c r="N70" s="134">
        <v>79.2</v>
      </c>
      <c r="O70" s="134">
        <v>0</v>
      </c>
      <c r="P70" s="134">
        <v>0.94</v>
      </c>
      <c r="Q70" s="134">
        <v>4.1900000000000004</v>
      </c>
    </row>
    <row r="71" spans="1:17" customFormat="1">
      <c r="A71" s="112" t="s">
        <v>1357</v>
      </c>
      <c r="B71" s="134">
        <v>4.2699999999999996</v>
      </c>
      <c r="C71" s="134">
        <v>23.37</v>
      </c>
      <c r="D71" s="134">
        <v>16.989999999999998</v>
      </c>
      <c r="E71" s="134">
        <v>7.21</v>
      </c>
      <c r="F71" s="134">
        <v>5.47</v>
      </c>
      <c r="G71" s="134">
        <v>72.53</v>
      </c>
      <c r="H71" s="134">
        <v>29.5</v>
      </c>
      <c r="I71" s="134">
        <v>7.95</v>
      </c>
      <c r="J71" s="134">
        <v>0.43</v>
      </c>
      <c r="K71" s="134">
        <v>45.44</v>
      </c>
      <c r="L71" s="134">
        <v>30.31</v>
      </c>
      <c r="M71" s="134">
        <v>33.99</v>
      </c>
      <c r="N71" s="134">
        <v>66</v>
      </c>
      <c r="O71" s="134">
        <v>0</v>
      </c>
      <c r="P71" s="134">
        <v>0.94</v>
      </c>
      <c r="Q71" s="134">
        <v>4.22</v>
      </c>
    </row>
    <row r="72" spans="1:17" customFormat="1">
      <c r="A72" s="112" t="s">
        <v>1358</v>
      </c>
      <c r="B72" s="134">
        <v>4.38</v>
      </c>
      <c r="C72" s="134">
        <v>23.3</v>
      </c>
      <c r="D72" s="134">
        <v>17.04</v>
      </c>
      <c r="E72" s="134">
        <v>7.61</v>
      </c>
      <c r="F72" s="134">
        <v>5.29</v>
      </c>
      <c r="G72" s="134">
        <v>71.150000000000006</v>
      </c>
      <c r="H72" s="134">
        <v>29.5</v>
      </c>
      <c r="I72" s="134">
        <v>7.67</v>
      </c>
      <c r="J72" s="134">
        <v>0.39</v>
      </c>
      <c r="K72" s="134">
        <v>40.61</v>
      </c>
      <c r="L72" s="134">
        <v>30.01</v>
      </c>
      <c r="M72" s="134">
        <v>34.31</v>
      </c>
      <c r="N72" s="134">
        <v>51.8</v>
      </c>
      <c r="O72" s="134">
        <v>0</v>
      </c>
      <c r="P72" s="134">
        <v>0.92</v>
      </c>
      <c r="Q72" s="134">
        <v>4.22</v>
      </c>
    </row>
    <row r="73" spans="1:17" customFormat="1">
      <c r="A73" s="112" t="s">
        <v>1359</v>
      </c>
      <c r="B73" s="134">
        <v>4.4800000000000004</v>
      </c>
      <c r="C73" s="134">
        <v>23.87</v>
      </c>
      <c r="D73" s="134">
        <v>17.41</v>
      </c>
      <c r="E73" s="134">
        <v>6.74</v>
      </c>
      <c r="F73" s="134">
        <v>4.79</v>
      </c>
      <c r="G73" s="134">
        <v>71.150000000000006</v>
      </c>
      <c r="H73" s="134">
        <v>29.5</v>
      </c>
      <c r="I73" s="134">
        <v>7.43</v>
      </c>
      <c r="J73" s="134">
        <v>0.25</v>
      </c>
      <c r="K73" s="134">
        <v>36.08</v>
      </c>
      <c r="L73" s="134">
        <v>29.61</v>
      </c>
      <c r="M73" s="134">
        <v>36.35</v>
      </c>
      <c r="N73" s="134">
        <v>34.299999999999997</v>
      </c>
      <c r="O73" s="134">
        <v>0</v>
      </c>
      <c r="P73" s="134">
        <v>0.9</v>
      </c>
      <c r="Q73" s="134">
        <v>4.21</v>
      </c>
    </row>
    <row r="74" spans="1:17" customFormat="1">
      <c r="A74" s="112" t="s">
        <v>1360</v>
      </c>
      <c r="B74" s="134">
        <v>4.57</v>
      </c>
      <c r="C74" s="134">
        <v>24.21</v>
      </c>
      <c r="D74" s="134">
        <v>17.670000000000002</v>
      </c>
      <c r="E74" s="134">
        <v>7.08</v>
      </c>
      <c r="F74" s="134">
        <v>4.2300000000000004</v>
      </c>
      <c r="G74" s="134">
        <v>71.150000000000006</v>
      </c>
      <c r="H74" s="134">
        <v>29.5</v>
      </c>
      <c r="I74" s="134">
        <v>7.21</v>
      </c>
      <c r="J74" s="134">
        <v>0.15</v>
      </c>
      <c r="K74" s="134">
        <v>45.62</v>
      </c>
      <c r="L74" s="134">
        <v>29.18</v>
      </c>
      <c r="M74" s="134">
        <v>39.19</v>
      </c>
      <c r="N74" s="134">
        <v>27.6</v>
      </c>
      <c r="O74" s="134">
        <v>0</v>
      </c>
      <c r="P74" s="134">
        <v>0.9</v>
      </c>
      <c r="Q74" s="134">
        <v>4.22</v>
      </c>
    </row>
    <row r="75" spans="1:17" customFormat="1">
      <c r="A75" s="112" t="s">
        <v>1361</v>
      </c>
      <c r="B75" s="134">
        <v>4.7300000000000004</v>
      </c>
      <c r="C75" s="134">
        <v>24.64</v>
      </c>
      <c r="D75" s="134">
        <v>18.02</v>
      </c>
      <c r="E75" s="134">
        <v>7.25</v>
      </c>
      <c r="F75" s="134">
        <v>3.82</v>
      </c>
      <c r="G75" s="134">
        <v>71.84</v>
      </c>
      <c r="H75" s="134">
        <v>27.08</v>
      </c>
      <c r="I75" s="134">
        <v>7.05</v>
      </c>
      <c r="J75" s="134">
        <v>0.11</v>
      </c>
      <c r="K75" s="134">
        <v>33.86</v>
      </c>
      <c r="L75" s="134">
        <v>28.75</v>
      </c>
      <c r="M75" s="134">
        <v>40.25</v>
      </c>
      <c r="N75" s="134">
        <v>14.8</v>
      </c>
      <c r="O75" s="134">
        <v>0</v>
      </c>
      <c r="P75" s="134">
        <v>0.9</v>
      </c>
      <c r="Q75" s="134">
        <v>4.22</v>
      </c>
    </row>
    <row r="76" spans="1:17" customFormat="1">
      <c r="A76" s="112" t="s">
        <v>1362</v>
      </c>
      <c r="B76" s="134">
        <v>5.1100000000000003</v>
      </c>
      <c r="C76" s="134">
        <v>25.32</v>
      </c>
      <c r="D76" s="134">
        <v>18.68</v>
      </c>
      <c r="E76" s="134">
        <v>7.46</v>
      </c>
      <c r="F76" s="134">
        <v>3.49</v>
      </c>
      <c r="G76" s="134">
        <v>71.92</v>
      </c>
      <c r="H76" s="134">
        <v>27.08</v>
      </c>
      <c r="I76" s="134">
        <v>6.95</v>
      </c>
      <c r="J76" s="134">
        <v>0.08</v>
      </c>
      <c r="K76" s="134">
        <v>165.55</v>
      </c>
      <c r="L76" s="134">
        <v>28.11</v>
      </c>
      <c r="M76" s="134">
        <v>43.75</v>
      </c>
      <c r="N76" s="134">
        <v>2.2000000000000002</v>
      </c>
      <c r="O76" s="134">
        <v>0</v>
      </c>
      <c r="P76" s="134">
        <v>0.91</v>
      </c>
      <c r="Q76" s="134">
        <v>4.24</v>
      </c>
    </row>
    <row r="77" spans="1:17" customFormat="1">
      <c r="A77" s="112" t="s">
        <v>1363</v>
      </c>
      <c r="B77" s="134">
        <v>5.28</v>
      </c>
      <c r="C77" s="134">
        <v>25.76</v>
      </c>
      <c r="D77" s="134">
        <v>19.05</v>
      </c>
      <c r="E77" s="134">
        <v>6.93</v>
      </c>
      <c r="F77" s="134">
        <v>3.36</v>
      </c>
      <c r="G77" s="134">
        <v>71.92</v>
      </c>
      <c r="H77" s="134">
        <v>27.08</v>
      </c>
      <c r="I77" s="134">
        <v>6.98</v>
      </c>
      <c r="J77" s="134">
        <v>0.08</v>
      </c>
      <c r="K77" s="134">
        <v>225.88</v>
      </c>
      <c r="L77" s="134">
        <v>27.51</v>
      </c>
      <c r="M77" s="134">
        <v>44.26</v>
      </c>
      <c r="N77" s="134">
        <v>0</v>
      </c>
      <c r="O77" s="134">
        <v>0</v>
      </c>
      <c r="P77" s="134">
        <v>0.91</v>
      </c>
      <c r="Q77" s="134">
        <v>4.26</v>
      </c>
    </row>
    <row r="78" spans="1:17" customFormat="1">
      <c r="A78" s="112" t="s">
        <v>1364</v>
      </c>
      <c r="B78" s="134">
        <v>5.4</v>
      </c>
      <c r="C78" s="134">
        <v>25.51</v>
      </c>
      <c r="D78" s="134">
        <v>19.010000000000002</v>
      </c>
      <c r="E78" s="134">
        <v>7.14</v>
      </c>
      <c r="F78" s="134">
        <v>3.44</v>
      </c>
      <c r="G78" s="134">
        <v>71.92</v>
      </c>
      <c r="H78" s="134">
        <v>27.08</v>
      </c>
      <c r="I78" s="134">
        <v>6.96</v>
      </c>
      <c r="J78" s="134">
        <v>0.15</v>
      </c>
      <c r="K78" s="134">
        <v>167.57</v>
      </c>
      <c r="L78" s="134">
        <v>26.9</v>
      </c>
      <c r="M78" s="134">
        <v>48.69</v>
      </c>
      <c r="N78" s="134">
        <v>0</v>
      </c>
      <c r="O78" s="134">
        <v>0</v>
      </c>
      <c r="P78" s="134">
        <v>0.9</v>
      </c>
      <c r="Q78" s="134">
        <v>4.28</v>
      </c>
    </row>
    <row r="79" spans="1:17" customFormat="1">
      <c r="A79" s="112" t="s">
        <v>1365</v>
      </c>
      <c r="B79" s="134">
        <v>5.29</v>
      </c>
      <c r="C79" s="134">
        <v>25.56</v>
      </c>
      <c r="D79" s="134">
        <v>18.940000000000001</v>
      </c>
      <c r="E79" s="134">
        <v>6.74</v>
      </c>
      <c r="F79" s="134">
        <v>3.48</v>
      </c>
      <c r="G79" s="134">
        <v>72.540000000000006</v>
      </c>
      <c r="H79" s="134">
        <v>30.47</v>
      </c>
      <c r="I79" s="134">
        <v>6.88</v>
      </c>
      <c r="J79" s="134">
        <v>0.15</v>
      </c>
      <c r="K79" s="134">
        <v>166.25</v>
      </c>
      <c r="L79" s="134">
        <v>26.07</v>
      </c>
      <c r="M79" s="134">
        <v>52.21</v>
      </c>
      <c r="N79" s="134">
        <v>0</v>
      </c>
      <c r="O79" s="134">
        <v>0</v>
      </c>
      <c r="P79" s="134">
        <v>0.91</v>
      </c>
      <c r="Q79" s="134">
        <v>4.29</v>
      </c>
    </row>
    <row r="80" spans="1:17" customFormat="1">
      <c r="A80" s="112" t="s">
        <v>1366</v>
      </c>
      <c r="B80" s="134">
        <v>5.42</v>
      </c>
      <c r="C80" s="134">
        <v>25.54</v>
      </c>
      <c r="D80" s="134">
        <v>19.04</v>
      </c>
      <c r="E80" s="134">
        <v>6.95</v>
      </c>
      <c r="F80" s="134">
        <v>3.2</v>
      </c>
      <c r="G80" s="134">
        <v>72.63</v>
      </c>
      <c r="H80" s="134">
        <v>30.47</v>
      </c>
      <c r="I80" s="134">
        <v>6.81</v>
      </c>
      <c r="J80" s="134">
        <v>0.28000000000000003</v>
      </c>
      <c r="K80" s="134">
        <v>161.96</v>
      </c>
      <c r="L80" s="134">
        <v>25.41</v>
      </c>
      <c r="M80" s="134">
        <v>63.34</v>
      </c>
      <c r="N80" s="134">
        <v>0</v>
      </c>
      <c r="O80" s="134">
        <v>0</v>
      </c>
      <c r="P80" s="134">
        <v>0.94</v>
      </c>
      <c r="Q80" s="134">
        <v>4.29</v>
      </c>
    </row>
    <row r="81" spans="1:17" customFormat="1">
      <c r="A81" s="112" t="s">
        <v>1367</v>
      </c>
      <c r="B81" s="134">
        <v>5.63</v>
      </c>
      <c r="C81" s="134">
        <v>25.5</v>
      </c>
      <c r="D81" s="134">
        <v>19.190000000000001</v>
      </c>
      <c r="E81" s="134">
        <v>3.92</v>
      </c>
      <c r="F81" s="134">
        <v>3.04</v>
      </c>
      <c r="G81" s="134">
        <v>72.63</v>
      </c>
      <c r="H81" s="134">
        <v>30.47</v>
      </c>
      <c r="I81" s="134">
        <v>6.91</v>
      </c>
      <c r="J81" s="134">
        <v>0.22</v>
      </c>
      <c r="K81" s="134">
        <v>159.32</v>
      </c>
      <c r="L81" s="134">
        <v>24.81</v>
      </c>
      <c r="M81" s="134">
        <v>64.31</v>
      </c>
      <c r="N81" s="134">
        <v>0</v>
      </c>
      <c r="O81" s="134">
        <v>0</v>
      </c>
      <c r="P81" s="134">
        <v>0.95</v>
      </c>
      <c r="Q81" s="134">
        <v>4.29</v>
      </c>
    </row>
    <row r="82" spans="1:17" customFormat="1">
      <c r="A82" s="112" t="s">
        <v>1368</v>
      </c>
      <c r="B82" s="134">
        <v>6.01</v>
      </c>
      <c r="C82" s="134">
        <v>25.72</v>
      </c>
      <c r="D82" s="134">
        <v>19.61</v>
      </c>
      <c r="E82" s="134">
        <v>5.23</v>
      </c>
      <c r="F82" s="134">
        <v>2.76</v>
      </c>
      <c r="G82" s="134">
        <v>72.63</v>
      </c>
      <c r="H82" s="134">
        <v>30.47</v>
      </c>
      <c r="I82" s="134">
        <v>7.14</v>
      </c>
      <c r="J82" s="134">
        <v>0.21</v>
      </c>
      <c r="K82" s="134">
        <v>166.28</v>
      </c>
      <c r="L82" s="134">
        <v>24.62</v>
      </c>
      <c r="M82" s="134">
        <v>63.62</v>
      </c>
      <c r="N82" s="134">
        <v>0</v>
      </c>
      <c r="O82" s="134">
        <v>0</v>
      </c>
      <c r="P82" s="134">
        <v>0.98</v>
      </c>
      <c r="Q82" s="134">
        <v>4.3</v>
      </c>
    </row>
    <row r="83" spans="1:17" customFormat="1">
      <c r="A83" s="112" t="s">
        <v>1369</v>
      </c>
      <c r="B83" s="134">
        <v>6.36</v>
      </c>
      <c r="C83" s="134">
        <v>26</v>
      </c>
      <c r="D83" s="134">
        <v>20.04</v>
      </c>
      <c r="E83" s="134">
        <v>5.03</v>
      </c>
      <c r="F83" s="134">
        <v>2.77</v>
      </c>
      <c r="G83" s="134">
        <v>78.599999999999994</v>
      </c>
      <c r="H83" s="134">
        <v>32.340000000000003</v>
      </c>
      <c r="I83" s="134">
        <v>7.32</v>
      </c>
      <c r="J83" s="134">
        <v>0.23</v>
      </c>
      <c r="K83" s="134">
        <v>179.09</v>
      </c>
      <c r="L83" s="134">
        <v>24.13</v>
      </c>
      <c r="M83" s="134">
        <v>67.209999999999994</v>
      </c>
      <c r="N83" s="134">
        <v>0</v>
      </c>
      <c r="O83" s="134">
        <v>0</v>
      </c>
      <c r="P83" s="134">
        <v>1</v>
      </c>
      <c r="Q83" s="134">
        <v>4.32</v>
      </c>
    </row>
    <row r="84" spans="1:17" customFormat="1">
      <c r="A84" s="112" t="s">
        <v>1370</v>
      </c>
      <c r="B84" s="134">
        <v>6.48</v>
      </c>
      <c r="C84" s="134">
        <v>25.63</v>
      </c>
      <c r="D84" s="134">
        <v>19.940000000000001</v>
      </c>
      <c r="E84" s="134">
        <v>5.24</v>
      </c>
      <c r="F84" s="134">
        <v>2.85</v>
      </c>
      <c r="G84" s="134">
        <v>79.34</v>
      </c>
      <c r="H84" s="134">
        <v>32.340000000000003</v>
      </c>
      <c r="I84" s="134">
        <v>7.64</v>
      </c>
      <c r="J84" s="134">
        <v>0.14000000000000001</v>
      </c>
      <c r="K84" s="134">
        <v>218.37</v>
      </c>
      <c r="L84" s="134">
        <v>23.45</v>
      </c>
      <c r="M84" s="134">
        <v>69.67</v>
      </c>
      <c r="N84" s="134">
        <v>0</v>
      </c>
      <c r="O84" s="134">
        <v>0</v>
      </c>
      <c r="P84" s="134">
        <v>0.99</v>
      </c>
      <c r="Q84" s="134">
        <v>4.3099999999999996</v>
      </c>
    </row>
    <row r="85" spans="1:17" customFormat="1">
      <c r="A85" s="112" t="s">
        <v>1371</v>
      </c>
      <c r="B85" s="134">
        <v>6.37</v>
      </c>
      <c r="C85" s="134">
        <v>25.16</v>
      </c>
      <c r="D85" s="134">
        <v>19.61</v>
      </c>
      <c r="E85" s="134">
        <v>5.2</v>
      </c>
      <c r="F85" s="134">
        <v>2.92</v>
      </c>
      <c r="G85" s="134">
        <v>79.34</v>
      </c>
      <c r="H85" s="134">
        <v>32.340000000000003</v>
      </c>
      <c r="I85" s="134">
        <v>7.87</v>
      </c>
      <c r="J85" s="134">
        <v>0.14000000000000001</v>
      </c>
      <c r="K85" s="134">
        <v>183.92</v>
      </c>
      <c r="L85" s="134">
        <v>23.13</v>
      </c>
      <c r="M85" s="134">
        <v>72.819999999999993</v>
      </c>
      <c r="N85" s="134">
        <v>0</v>
      </c>
      <c r="O85" s="134">
        <v>0</v>
      </c>
      <c r="P85" s="134">
        <v>0.97</v>
      </c>
      <c r="Q85" s="134">
        <v>4.33</v>
      </c>
    </row>
    <row r="86" spans="1:17" customFormat="1">
      <c r="A86" s="112" t="s">
        <v>1372</v>
      </c>
      <c r="B86" s="134">
        <v>6.47</v>
      </c>
      <c r="C86" s="134">
        <v>24.38</v>
      </c>
      <c r="D86" s="134">
        <v>19.28</v>
      </c>
      <c r="E86" s="134">
        <v>4.57</v>
      </c>
      <c r="F86" s="134">
        <v>2.95</v>
      </c>
      <c r="G86" s="134">
        <v>79.34</v>
      </c>
      <c r="H86" s="134">
        <v>32.340000000000003</v>
      </c>
      <c r="I86" s="134">
        <v>7.86</v>
      </c>
      <c r="J86" s="134">
        <v>0.12</v>
      </c>
      <c r="K86" s="134">
        <v>135.15</v>
      </c>
      <c r="L86" s="134">
        <v>22.86</v>
      </c>
      <c r="M86" s="134">
        <v>75.84</v>
      </c>
      <c r="N86" s="134">
        <v>0</v>
      </c>
      <c r="O86" s="134">
        <v>0</v>
      </c>
      <c r="P86" s="134">
        <v>0.97</v>
      </c>
      <c r="Q86" s="134">
        <v>4.3499999999999996</v>
      </c>
    </row>
    <row r="87" spans="1:17" customFormat="1">
      <c r="A87" s="112" t="s">
        <v>1373</v>
      </c>
      <c r="B87" s="134">
        <v>6.77</v>
      </c>
      <c r="C87" s="134">
        <v>22.05</v>
      </c>
      <c r="D87" s="134">
        <v>18.3</v>
      </c>
      <c r="E87" s="134">
        <v>3.84</v>
      </c>
      <c r="F87" s="134">
        <v>3.02</v>
      </c>
      <c r="G87" s="134">
        <v>76.41</v>
      </c>
      <c r="H87" s="134">
        <v>34.96</v>
      </c>
      <c r="I87" s="134">
        <v>7.75</v>
      </c>
      <c r="J87" s="134">
        <v>0.17</v>
      </c>
      <c r="K87" s="134">
        <v>132.16999999999999</v>
      </c>
      <c r="L87" s="134">
        <v>22.88</v>
      </c>
      <c r="M87" s="134">
        <v>71.33</v>
      </c>
      <c r="N87" s="134">
        <v>0</v>
      </c>
      <c r="O87" s="134">
        <v>0</v>
      </c>
      <c r="P87" s="134">
        <v>0.94</v>
      </c>
      <c r="Q87" s="134">
        <v>4.3499999999999996</v>
      </c>
    </row>
    <row r="88" spans="1:17" customFormat="1">
      <c r="A88" s="112" t="s">
        <v>1374</v>
      </c>
      <c r="B88" s="134">
        <v>7.14</v>
      </c>
      <c r="C88" s="134">
        <v>20.93</v>
      </c>
      <c r="D88" s="134">
        <v>18.010000000000002</v>
      </c>
      <c r="E88" s="134">
        <v>3.77</v>
      </c>
      <c r="F88" s="134">
        <v>2.89</v>
      </c>
      <c r="G88" s="134">
        <v>76.040000000000006</v>
      </c>
      <c r="H88" s="134">
        <v>34.96</v>
      </c>
      <c r="I88" s="134">
        <v>7.69</v>
      </c>
      <c r="J88" s="134">
        <v>0.15</v>
      </c>
      <c r="K88" s="134">
        <v>182.41</v>
      </c>
      <c r="L88" s="134">
        <v>22.82</v>
      </c>
      <c r="M88" s="134">
        <v>75.47</v>
      </c>
      <c r="N88" s="134">
        <v>0</v>
      </c>
      <c r="O88" s="134">
        <v>0</v>
      </c>
      <c r="P88" s="134">
        <v>0.91</v>
      </c>
      <c r="Q88" s="134">
        <v>4.33</v>
      </c>
    </row>
    <row r="89" spans="1:17" customFormat="1">
      <c r="A89" s="112" t="s">
        <v>1375</v>
      </c>
      <c r="B89" s="134">
        <v>7.52</v>
      </c>
      <c r="C89" s="134">
        <v>20.96</v>
      </c>
      <c r="D89" s="134">
        <v>18.329999999999998</v>
      </c>
      <c r="E89" s="134">
        <v>3.61</v>
      </c>
      <c r="F89" s="134">
        <v>2.68</v>
      </c>
      <c r="G89" s="134">
        <v>76.040000000000006</v>
      </c>
      <c r="H89" s="134">
        <v>34.96</v>
      </c>
      <c r="I89" s="134">
        <v>7.65</v>
      </c>
      <c r="J89" s="134">
        <v>0.12</v>
      </c>
      <c r="K89" s="134">
        <v>154.43</v>
      </c>
      <c r="L89" s="134">
        <v>22.58</v>
      </c>
      <c r="M89" s="134">
        <v>76.38</v>
      </c>
      <c r="N89" s="134">
        <v>0</v>
      </c>
      <c r="O89" s="134">
        <v>0</v>
      </c>
      <c r="P89" s="134">
        <v>0.9</v>
      </c>
      <c r="Q89" s="134">
        <v>4.33</v>
      </c>
    </row>
    <row r="90" spans="1:17" customFormat="1">
      <c r="A90" s="112" t="s">
        <v>1376</v>
      </c>
      <c r="B90" s="134">
        <v>7.71</v>
      </c>
      <c r="C90" s="134">
        <v>19.98</v>
      </c>
      <c r="D90" s="134">
        <v>17.97</v>
      </c>
      <c r="E90" s="134">
        <v>3.49</v>
      </c>
      <c r="F90" s="134">
        <v>2.86</v>
      </c>
      <c r="G90" s="134">
        <v>76.040000000000006</v>
      </c>
      <c r="H90" s="134">
        <v>34.96</v>
      </c>
      <c r="I90" s="134">
        <v>7.61</v>
      </c>
      <c r="J90" s="134">
        <v>7.0000000000000007E-2</v>
      </c>
      <c r="K90" s="134">
        <v>148.66</v>
      </c>
      <c r="L90" s="134">
        <v>22.64</v>
      </c>
      <c r="M90" s="134">
        <v>71.7</v>
      </c>
      <c r="N90" s="134">
        <v>0</v>
      </c>
      <c r="O90" s="134">
        <v>0</v>
      </c>
      <c r="P90" s="134">
        <v>0.89</v>
      </c>
      <c r="Q90" s="134">
        <v>4.3600000000000003</v>
      </c>
    </row>
    <row r="91" spans="1:17" customFormat="1">
      <c r="A91" s="112" t="s">
        <v>1377</v>
      </c>
      <c r="B91" s="134">
        <v>7.99</v>
      </c>
      <c r="C91" s="134">
        <v>21.33</v>
      </c>
      <c r="D91" s="134">
        <v>18.91</v>
      </c>
      <c r="E91" s="134">
        <v>3.62</v>
      </c>
      <c r="F91" s="134">
        <v>2.4900000000000002</v>
      </c>
      <c r="G91" s="134">
        <v>90.14</v>
      </c>
      <c r="H91" s="134">
        <v>39.9</v>
      </c>
      <c r="I91" s="134">
        <v>7.65</v>
      </c>
      <c r="J91" s="134">
        <v>0.1</v>
      </c>
      <c r="K91" s="134">
        <v>228.63</v>
      </c>
      <c r="L91" s="134">
        <v>22.5</v>
      </c>
      <c r="M91" s="134">
        <v>73.319999999999993</v>
      </c>
      <c r="N91" s="134">
        <v>0</v>
      </c>
      <c r="O91" s="134">
        <v>0</v>
      </c>
      <c r="P91" s="134">
        <v>0.9</v>
      </c>
      <c r="Q91" s="134">
        <v>4.38</v>
      </c>
    </row>
    <row r="92" spans="1:17" customFormat="1">
      <c r="A92" s="112" t="s">
        <v>1378</v>
      </c>
      <c r="B92" s="134">
        <v>8.6199999999999992</v>
      </c>
      <c r="C92" s="134">
        <v>21.05</v>
      </c>
      <c r="D92" s="134">
        <v>19.27</v>
      </c>
      <c r="E92" s="134">
        <v>4.3499999999999996</v>
      </c>
      <c r="F92" s="134">
        <v>2.69</v>
      </c>
      <c r="G92" s="134">
        <v>92.1</v>
      </c>
      <c r="H92" s="134">
        <v>39.9</v>
      </c>
      <c r="I92" s="134">
        <v>7.65</v>
      </c>
      <c r="J92" s="134">
        <v>0.09</v>
      </c>
      <c r="K92" s="134">
        <v>150.08000000000001</v>
      </c>
      <c r="L92" s="134">
        <v>22.39</v>
      </c>
      <c r="M92" s="134">
        <v>72.83</v>
      </c>
      <c r="N92" s="134">
        <v>0</v>
      </c>
      <c r="O92" s="134">
        <v>0</v>
      </c>
      <c r="P92" s="134">
        <v>0.9</v>
      </c>
      <c r="Q92" s="134">
        <v>4.3899999999999997</v>
      </c>
    </row>
    <row r="93" spans="1:17" customFormat="1">
      <c r="A93" s="112" t="s">
        <v>1379</v>
      </c>
      <c r="B93" s="134">
        <v>9.67</v>
      </c>
      <c r="C93" s="134">
        <v>22.15</v>
      </c>
      <c r="D93" s="134">
        <v>20.68</v>
      </c>
      <c r="E93" s="134">
        <v>4.18</v>
      </c>
      <c r="F93" s="134">
        <v>2.5499999999999998</v>
      </c>
      <c r="G93" s="134">
        <v>92.1</v>
      </c>
      <c r="H93" s="134">
        <v>39.9</v>
      </c>
      <c r="I93" s="134">
        <v>7.68</v>
      </c>
      <c r="J93" s="134">
        <v>0.22</v>
      </c>
      <c r="K93" s="134">
        <v>181.44</v>
      </c>
      <c r="L93" s="134">
        <v>22.22</v>
      </c>
      <c r="M93" s="134">
        <v>76.540000000000006</v>
      </c>
      <c r="N93" s="134">
        <v>0</v>
      </c>
      <c r="O93" s="134">
        <v>0</v>
      </c>
      <c r="P93" s="134">
        <v>0.92</v>
      </c>
      <c r="Q93" s="134">
        <v>4.45</v>
      </c>
    </row>
    <row r="94" spans="1:17" customFormat="1">
      <c r="A94" s="112" t="s">
        <v>1380</v>
      </c>
      <c r="B94" s="134">
        <v>10.31</v>
      </c>
      <c r="C94" s="134">
        <v>21.46</v>
      </c>
      <c r="D94" s="134">
        <v>20.84</v>
      </c>
      <c r="E94" s="134">
        <v>4.33</v>
      </c>
      <c r="F94" s="134">
        <v>2.74</v>
      </c>
      <c r="G94" s="134">
        <v>92.1</v>
      </c>
      <c r="H94" s="134">
        <v>39.9</v>
      </c>
      <c r="I94" s="134">
        <v>7.74</v>
      </c>
      <c r="J94" s="134">
        <v>0.24</v>
      </c>
      <c r="K94" s="134">
        <v>197.57</v>
      </c>
      <c r="L94" s="134">
        <v>22.02</v>
      </c>
      <c r="M94" s="134">
        <v>79.510000000000005</v>
      </c>
      <c r="N94" s="134">
        <v>0</v>
      </c>
      <c r="O94" s="134">
        <v>0</v>
      </c>
      <c r="P94" s="134">
        <v>0.92</v>
      </c>
      <c r="Q94" s="134">
        <v>4.46</v>
      </c>
    </row>
    <row r="95" spans="1:17" customFormat="1">
      <c r="A95" s="112" t="s">
        <v>1381</v>
      </c>
      <c r="B95" s="134">
        <v>10.6</v>
      </c>
      <c r="C95" s="134">
        <v>22.6</v>
      </c>
      <c r="D95" s="134">
        <v>21.66</v>
      </c>
      <c r="E95" s="134">
        <v>4.3899999999999997</v>
      </c>
      <c r="F95" s="134">
        <v>2.57</v>
      </c>
      <c r="G95" s="134">
        <v>122.74</v>
      </c>
      <c r="H95" s="134">
        <v>60.9</v>
      </c>
      <c r="I95" s="134">
        <v>7.86</v>
      </c>
      <c r="J95" s="134">
        <v>7.0000000000000007E-2</v>
      </c>
      <c r="K95" s="134">
        <v>225.63</v>
      </c>
      <c r="L95" s="134">
        <v>21.79</v>
      </c>
      <c r="M95" s="134">
        <v>76.459999999999994</v>
      </c>
      <c r="N95" s="134">
        <v>0</v>
      </c>
      <c r="O95" s="134">
        <v>0</v>
      </c>
      <c r="P95" s="134">
        <v>0.92</v>
      </c>
      <c r="Q95" s="134">
        <v>4.47</v>
      </c>
    </row>
    <row r="96" spans="1:17" customFormat="1">
      <c r="A96" s="112" t="s">
        <v>1382</v>
      </c>
      <c r="B96" s="134">
        <v>11.33</v>
      </c>
      <c r="C96" s="134">
        <v>22.66</v>
      </c>
      <c r="D96" s="134">
        <v>22.28</v>
      </c>
      <c r="E96" s="134">
        <v>4.5599999999999996</v>
      </c>
      <c r="F96" s="134">
        <v>2.61</v>
      </c>
      <c r="G96" s="134">
        <v>126.57</v>
      </c>
      <c r="H96" s="134">
        <v>60.9</v>
      </c>
      <c r="I96" s="134">
        <v>7.91</v>
      </c>
      <c r="J96" s="134">
        <v>0.05</v>
      </c>
      <c r="K96" s="134">
        <v>161.79</v>
      </c>
      <c r="L96" s="134">
        <v>21.76</v>
      </c>
      <c r="M96" s="134">
        <v>75.38</v>
      </c>
      <c r="N96" s="134">
        <v>0</v>
      </c>
      <c r="O96" s="134">
        <v>0</v>
      </c>
      <c r="P96" s="134">
        <v>0.94</v>
      </c>
      <c r="Q96" s="134">
        <v>4.49</v>
      </c>
    </row>
    <row r="97" spans="1:22" customFormat="1">
      <c r="A97" s="112" t="s">
        <v>1383</v>
      </c>
      <c r="B97" s="134">
        <v>12.63</v>
      </c>
      <c r="C97" s="134">
        <v>22.76</v>
      </c>
      <c r="D97" s="134">
        <v>23.37</v>
      </c>
      <c r="E97" s="134">
        <v>4.74</v>
      </c>
      <c r="F97" s="134">
        <v>2.48</v>
      </c>
      <c r="G97" s="134">
        <v>126.57</v>
      </c>
      <c r="H97" s="134">
        <v>60.9</v>
      </c>
      <c r="I97" s="134">
        <v>8.01</v>
      </c>
      <c r="J97" s="134">
        <v>0.14000000000000001</v>
      </c>
      <c r="K97" s="134">
        <v>247.13</v>
      </c>
      <c r="L97" s="134">
        <v>21.76</v>
      </c>
      <c r="M97" s="134">
        <v>75.099999999999994</v>
      </c>
      <c r="N97" s="134">
        <v>0</v>
      </c>
      <c r="O97" s="134">
        <v>0</v>
      </c>
      <c r="P97" s="134">
        <v>0.95</v>
      </c>
      <c r="Q97" s="134">
        <v>4.5599999999999996</v>
      </c>
    </row>
    <row r="98" spans="1:22" customFormat="1">
      <c r="A98" s="112" t="s">
        <v>1384</v>
      </c>
      <c r="B98" s="134">
        <v>13.93</v>
      </c>
      <c r="C98" s="134">
        <v>23.45</v>
      </c>
      <c r="D98" s="134">
        <v>24.78</v>
      </c>
      <c r="E98" s="134">
        <v>4.59</v>
      </c>
      <c r="F98" s="134">
        <v>2.5499999999999998</v>
      </c>
      <c r="G98" s="134">
        <v>126.57</v>
      </c>
      <c r="H98" s="134">
        <v>60.9</v>
      </c>
      <c r="I98" s="134">
        <v>8.15</v>
      </c>
      <c r="J98" s="134">
        <v>0.12</v>
      </c>
      <c r="K98" s="134">
        <v>121.44</v>
      </c>
      <c r="L98" s="134">
        <v>21.77</v>
      </c>
      <c r="M98" s="134">
        <v>75.2</v>
      </c>
      <c r="N98" s="134">
        <v>0</v>
      </c>
      <c r="O98" s="134">
        <v>0</v>
      </c>
      <c r="P98" s="134">
        <v>0.96</v>
      </c>
      <c r="Q98" s="134">
        <v>4.62</v>
      </c>
    </row>
    <row r="99" spans="1:22" customFormat="1">
      <c r="A99" s="112" t="s">
        <v>1385</v>
      </c>
      <c r="B99" s="134">
        <v>15.35</v>
      </c>
      <c r="C99" s="134">
        <v>24.04</v>
      </c>
      <c r="D99" s="134">
        <v>26.22</v>
      </c>
      <c r="E99" s="134">
        <v>5.15</v>
      </c>
      <c r="F99" s="134">
        <v>2.6</v>
      </c>
      <c r="G99" s="134">
        <v>229.65</v>
      </c>
      <c r="H99" s="151" t="s">
        <v>12</v>
      </c>
      <c r="I99" s="134">
        <v>8.2799999999999994</v>
      </c>
      <c r="J99" s="134">
        <v>0.14000000000000001</v>
      </c>
      <c r="K99" s="134">
        <v>85.09</v>
      </c>
      <c r="L99" s="134">
        <v>21.82</v>
      </c>
      <c r="M99" s="134">
        <v>73.67</v>
      </c>
      <c r="N99" s="134">
        <v>0</v>
      </c>
      <c r="O99" s="134">
        <v>0</v>
      </c>
      <c r="P99" s="134">
        <v>0.98</v>
      </c>
      <c r="Q99" s="134">
        <v>4.7</v>
      </c>
    </row>
    <row r="100" spans="1:22" customFormat="1">
      <c r="A100" s="112" t="s">
        <v>1386</v>
      </c>
      <c r="B100" s="134">
        <v>17.010000000000002</v>
      </c>
      <c r="C100" s="134">
        <v>25.65</v>
      </c>
      <c r="D100" s="134">
        <v>28.39</v>
      </c>
      <c r="E100" s="134">
        <v>6.2</v>
      </c>
      <c r="F100" s="134">
        <v>2.42</v>
      </c>
      <c r="G100" s="134">
        <v>242.53</v>
      </c>
      <c r="H100" s="151" t="s">
        <v>12</v>
      </c>
      <c r="I100" s="134">
        <v>8.4600000000000009</v>
      </c>
      <c r="J100" s="134">
        <v>0.09</v>
      </c>
      <c r="K100" s="134">
        <v>149.72</v>
      </c>
      <c r="L100" s="134">
        <v>22.07</v>
      </c>
      <c r="M100" s="134">
        <v>71.23</v>
      </c>
      <c r="N100" s="134">
        <v>0</v>
      </c>
      <c r="O100" s="134">
        <v>0</v>
      </c>
      <c r="P100" s="134">
        <v>1</v>
      </c>
      <c r="Q100" s="134">
        <v>4.76</v>
      </c>
    </row>
    <row r="101" spans="1:22" customFormat="1">
      <c r="A101" s="112" t="s">
        <v>1387</v>
      </c>
      <c r="B101" s="134">
        <v>18.809999999999999</v>
      </c>
      <c r="C101" s="134">
        <v>25.76</v>
      </c>
      <c r="D101" s="134">
        <v>29.9</v>
      </c>
      <c r="E101" s="134">
        <v>7.08</v>
      </c>
      <c r="F101" s="134">
        <v>2.5099999999999998</v>
      </c>
      <c r="G101" s="134">
        <v>242.53</v>
      </c>
      <c r="H101" s="151" t="s">
        <v>12</v>
      </c>
      <c r="I101" s="134">
        <v>8.57</v>
      </c>
      <c r="J101" s="134">
        <v>0.13</v>
      </c>
      <c r="K101" s="134">
        <v>156.91999999999999</v>
      </c>
      <c r="L101" s="134">
        <v>21.97</v>
      </c>
      <c r="M101" s="134">
        <v>72.64</v>
      </c>
      <c r="N101" s="134">
        <v>0</v>
      </c>
      <c r="O101" s="134">
        <v>0</v>
      </c>
      <c r="P101" s="134">
        <v>1.02</v>
      </c>
      <c r="Q101" s="134">
        <v>4.83</v>
      </c>
    </row>
    <row r="102" spans="1:22" customFormat="1">
      <c r="A102" s="112" t="s">
        <v>1388</v>
      </c>
      <c r="B102" s="134">
        <v>20.53</v>
      </c>
      <c r="C102" s="134">
        <v>26.53</v>
      </c>
      <c r="D102" s="134">
        <v>31.68</v>
      </c>
      <c r="E102" s="134">
        <v>7.5</v>
      </c>
      <c r="F102" s="134">
        <v>2.46</v>
      </c>
      <c r="G102" s="134">
        <v>242.53</v>
      </c>
      <c r="H102" s="151" t="s">
        <v>12</v>
      </c>
      <c r="I102" s="134">
        <v>8.77</v>
      </c>
      <c r="J102" s="134">
        <v>0.11</v>
      </c>
      <c r="K102" s="134">
        <v>155.97999999999999</v>
      </c>
      <c r="L102" s="134">
        <v>21.76</v>
      </c>
      <c r="M102" s="134">
        <v>75.11</v>
      </c>
      <c r="N102" s="134">
        <v>0</v>
      </c>
      <c r="O102" s="134">
        <v>0</v>
      </c>
      <c r="P102" s="134">
        <v>1.04</v>
      </c>
      <c r="Q102" s="134">
        <v>4.9000000000000004</v>
      </c>
    </row>
    <row r="103" spans="1:22" customFormat="1">
      <c r="A103" s="112" t="s">
        <v>1389</v>
      </c>
      <c r="B103" s="134">
        <v>21.97</v>
      </c>
      <c r="C103" s="134">
        <v>25.65</v>
      </c>
      <c r="D103" s="134">
        <v>32.369999999999997</v>
      </c>
      <c r="E103" s="134">
        <v>7.91</v>
      </c>
      <c r="F103" s="134">
        <v>2.66</v>
      </c>
      <c r="G103" s="134">
        <v>242.53</v>
      </c>
      <c r="H103" s="151" t="s">
        <v>12</v>
      </c>
      <c r="I103" s="134">
        <v>8.9499999999999993</v>
      </c>
      <c r="J103" s="134">
        <v>0.12</v>
      </c>
      <c r="K103" s="134">
        <v>129.58000000000001</v>
      </c>
      <c r="L103" s="134">
        <v>21.48</v>
      </c>
      <c r="M103" s="134">
        <v>77.81</v>
      </c>
      <c r="N103" s="134">
        <v>0</v>
      </c>
      <c r="O103" s="134">
        <v>0</v>
      </c>
      <c r="P103" s="134">
        <v>1.05</v>
      </c>
      <c r="Q103" s="134">
        <v>4.95</v>
      </c>
    </row>
    <row r="104" spans="1:22" customFormat="1">
      <c r="A104" s="112" t="s">
        <v>1390</v>
      </c>
      <c r="B104" s="134">
        <v>23.37</v>
      </c>
      <c r="C104" s="134">
        <v>26.8</v>
      </c>
      <c r="D104" s="134">
        <v>34.090000000000003</v>
      </c>
      <c r="E104" s="134">
        <v>8.15</v>
      </c>
      <c r="F104" s="134">
        <v>2.44</v>
      </c>
      <c r="G104" s="151" t="s">
        <v>12</v>
      </c>
      <c r="H104" s="151" t="s">
        <v>12</v>
      </c>
      <c r="I104" s="134">
        <v>9.16</v>
      </c>
      <c r="J104" s="134">
        <v>0.11</v>
      </c>
      <c r="K104" s="134">
        <v>129.56</v>
      </c>
      <c r="L104" s="134">
        <v>21.33</v>
      </c>
      <c r="M104" s="134">
        <v>76.569999999999993</v>
      </c>
      <c r="N104" s="134">
        <v>0</v>
      </c>
      <c r="O104" s="134">
        <v>0</v>
      </c>
      <c r="P104" s="134">
        <v>1.07</v>
      </c>
      <c r="Q104" s="134">
        <v>5.0199999999999996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4.2699999999999996</v>
      </c>
      <c r="C106" s="183">
        <f>MIN(C9:C104)</f>
        <v>18.04</v>
      </c>
      <c r="D106" s="183">
        <f t="shared" ref="D106:Q106" si="0">MIN(D9:D104)</f>
        <v>16.010000000000002</v>
      </c>
      <c r="E106" s="183">
        <f t="shared" si="0"/>
        <v>3.49</v>
      </c>
      <c r="F106" s="183">
        <f t="shared" si="0"/>
        <v>2.4</v>
      </c>
      <c r="G106" s="183">
        <f t="shared" si="0"/>
        <v>71.150000000000006</v>
      </c>
      <c r="H106" s="183">
        <f t="shared" si="0"/>
        <v>27.08</v>
      </c>
      <c r="I106" s="183">
        <f t="shared" si="0"/>
        <v>6.81</v>
      </c>
      <c r="J106" s="183">
        <f t="shared" si="0"/>
        <v>0.03</v>
      </c>
      <c r="K106" s="183">
        <f t="shared" si="0"/>
        <v>7.98</v>
      </c>
      <c r="L106" s="183">
        <f t="shared" si="0"/>
        <v>19.34</v>
      </c>
      <c r="M106" s="183">
        <f t="shared" si="0"/>
        <v>33.01</v>
      </c>
      <c r="N106" s="183">
        <f t="shared" si="0"/>
        <v>0</v>
      </c>
      <c r="O106" s="183">
        <f t="shared" si="0"/>
        <v>0</v>
      </c>
      <c r="P106" s="183">
        <f t="shared" si="0"/>
        <v>0.89</v>
      </c>
      <c r="Q106" s="183">
        <f t="shared" si="0"/>
        <v>4.1900000000000004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23.37</v>
      </c>
      <c r="C107" s="184">
        <f t="shared" ref="C107:Q107" si="1">MAX(C9:C104)</f>
        <v>31.96</v>
      </c>
      <c r="D107" s="184">
        <f t="shared" si="1"/>
        <v>34.090000000000003</v>
      </c>
      <c r="E107" s="184">
        <f t="shared" si="1"/>
        <v>13.38</v>
      </c>
      <c r="F107" s="184">
        <f t="shared" si="1"/>
        <v>9.0500000000000007</v>
      </c>
      <c r="G107" s="184">
        <f t="shared" si="1"/>
        <v>242.53</v>
      </c>
      <c r="H107" s="184">
        <f t="shared" si="1"/>
        <v>60.9</v>
      </c>
      <c r="I107" s="184">
        <f t="shared" si="1"/>
        <v>12.21</v>
      </c>
      <c r="J107" s="184">
        <f t="shared" si="1"/>
        <v>0.62</v>
      </c>
      <c r="K107" s="184">
        <f t="shared" si="1"/>
        <v>347.7</v>
      </c>
      <c r="L107" s="184">
        <f t="shared" si="1"/>
        <v>31.91</v>
      </c>
      <c r="M107" s="184">
        <f t="shared" si="1"/>
        <v>97.73</v>
      </c>
      <c r="N107" s="184">
        <f t="shared" si="1"/>
        <v>515.70000000000005</v>
      </c>
      <c r="O107" s="184">
        <f t="shared" si="1"/>
        <v>0</v>
      </c>
      <c r="P107" s="184">
        <f t="shared" si="1"/>
        <v>1.48</v>
      </c>
      <c r="Q107" s="184">
        <f t="shared" si="1"/>
        <v>5.0199999999999996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9.1804166666666642</v>
      </c>
      <c r="C108" s="183">
        <f t="shared" ref="C108:Q108" si="2">AVERAGE(C9:C104)</f>
        <v>23.58645833333334</v>
      </c>
      <c r="D108" s="183">
        <f t="shared" si="2"/>
        <v>21.036875000000002</v>
      </c>
      <c r="E108" s="183">
        <f t="shared" si="2"/>
        <v>6.7754166666666675</v>
      </c>
      <c r="F108" s="183">
        <f t="shared" si="2"/>
        <v>3.5995833333333347</v>
      </c>
      <c r="G108" s="183">
        <f t="shared" si="2"/>
        <v>101.03621052631586</v>
      </c>
      <c r="H108" s="183">
        <f t="shared" si="2"/>
        <v>43.209111111111106</v>
      </c>
      <c r="I108" s="183">
        <f t="shared" si="2"/>
        <v>9.0832291666666674</v>
      </c>
      <c r="J108" s="183">
        <f t="shared" si="2"/>
        <v>0.21208333333333329</v>
      </c>
      <c r="K108" s="183">
        <f t="shared" si="2"/>
        <v>141.02989583333331</v>
      </c>
      <c r="L108" s="183">
        <f t="shared" si="2"/>
        <v>24.764687499999997</v>
      </c>
      <c r="M108" s="183">
        <f t="shared" si="2"/>
        <v>66.830520833333352</v>
      </c>
      <c r="N108" s="183">
        <f t="shared" si="2"/>
        <v>112.09270833333335</v>
      </c>
      <c r="O108" s="183">
        <f t="shared" si="2"/>
        <v>0</v>
      </c>
      <c r="P108" s="183">
        <f t="shared" si="2"/>
        <v>1.0447916666666666</v>
      </c>
      <c r="Q108" s="183">
        <f t="shared" si="2"/>
        <v>4.4559375000000001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4.1482820582848152</v>
      </c>
      <c r="C109" s="183">
        <f t="shared" ref="C109:Q109" si="3">STDEV(C9:C104)</f>
        <v>3.0751338795559175</v>
      </c>
      <c r="D109" s="183">
        <f t="shared" si="3"/>
        <v>4.3311800537376195</v>
      </c>
      <c r="E109" s="183">
        <f t="shared" si="3"/>
        <v>2.1260608084914945</v>
      </c>
      <c r="F109" s="183">
        <f t="shared" si="3"/>
        <v>1.5983589720425029</v>
      </c>
      <c r="G109" s="183">
        <f t="shared" si="3"/>
        <v>39.167927043582061</v>
      </c>
      <c r="H109" s="183">
        <f t="shared" si="3"/>
        <v>9.1911239112287593</v>
      </c>
      <c r="I109" s="183">
        <f t="shared" si="3"/>
        <v>1.4835238949642273</v>
      </c>
      <c r="J109" s="183">
        <f t="shared" si="3"/>
        <v>0.14704755168359782</v>
      </c>
      <c r="K109" s="183">
        <f t="shared" si="3"/>
        <v>82.579938681380867</v>
      </c>
      <c r="L109" s="183">
        <f t="shared" si="3"/>
        <v>4.4336108494627409</v>
      </c>
      <c r="M109" s="183">
        <f t="shared" si="3"/>
        <v>21.910783856347031</v>
      </c>
      <c r="N109" s="183">
        <f t="shared" si="3"/>
        <v>173.37747941219055</v>
      </c>
      <c r="O109" s="183">
        <f t="shared" si="3"/>
        <v>0</v>
      </c>
      <c r="P109" s="183">
        <f t="shared" si="3"/>
        <v>0.16523016907311502</v>
      </c>
      <c r="Q109" s="183">
        <f t="shared" si="3"/>
        <v>0.20034485072124561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13/11/2023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1391</v>
      </c>
      <c r="B9" s="134">
        <v>26.37</v>
      </c>
      <c r="C9" s="134">
        <v>27.11</v>
      </c>
      <c r="D9" s="134">
        <v>36.659999999999997</v>
      </c>
      <c r="E9" s="134">
        <v>9.42</v>
      </c>
      <c r="F9" s="134">
        <v>2.62</v>
      </c>
      <c r="G9" s="167" t="s">
        <v>14</v>
      </c>
      <c r="H9" s="167" t="s">
        <v>14</v>
      </c>
      <c r="I9" s="134">
        <v>9.34</v>
      </c>
      <c r="J9" s="134">
        <v>0.18</v>
      </c>
      <c r="K9" s="134">
        <v>157.47</v>
      </c>
      <c r="L9" s="134">
        <v>21.19</v>
      </c>
      <c r="M9" s="134">
        <v>77.28</v>
      </c>
      <c r="N9" s="134">
        <v>0</v>
      </c>
      <c r="O9" s="134">
        <v>0</v>
      </c>
      <c r="P9" s="134">
        <v>1.1000000000000001</v>
      </c>
      <c r="Q9" s="134">
        <v>5.0999999999999996</v>
      </c>
    </row>
    <row r="10" spans="1:21" customFormat="1">
      <c r="A10" s="112" t="s">
        <v>1392</v>
      </c>
      <c r="B10" s="134">
        <v>27.7</v>
      </c>
      <c r="C10" s="134">
        <v>28.02</v>
      </c>
      <c r="D10" s="134">
        <v>38.200000000000003</v>
      </c>
      <c r="E10" s="134">
        <v>11.1</v>
      </c>
      <c r="F10" s="134">
        <v>2.77</v>
      </c>
      <c r="G10" s="167" t="s">
        <v>14</v>
      </c>
      <c r="H10" s="167" t="s">
        <v>14</v>
      </c>
      <c r="I10" s="134">
        <v>9.5500000000000007</v>
      </c>
      <c r="J10" s="134">
        <v>0.16</v>
      </c>
      <c r="K10" s="134">
        <v>161.08000000000001</v>
      </c>
      <c r="L10" s="134">
        <v>21.08</v>
      </c>
      <c r="M10" s="134">
        <v>83.25</v>
      </c>
      <c r="N10" s="134">
        <v>0</v>
      </c>
      <c r="O10" s="134">
        <v>0</v>
      </c>
      <c r="P10" s="134">
        <v>1.1299999999999999</v>
      </c>
      <c r="Q10" s="134">
        <v>5.15</v>
      </c>
    </row>
    <row r="11" spans="1:21" customFormat="1">
      <c r="A11" s="112" t="s">
        <v>1393</v>
      </c>
      <c r="B11" s="134">
        <v>28.15</v>
      </c>
      <c r="C11" s="134">
        <v>28.69</v>
      </c>
      <c r="D11" s="134">
        <v>38.909999999999997</v>
      </c>
      <c r="E11" s="134">
        <v>11.74</v>
      </c>
      <c r="F11" s="134">
        <v>2.68</v>
      </c>
      <c r="G11" s="167" t="s">
        <v>14</v>
      </c>
      <c r="H11" s="167" t="s">
        <v>14</v>
      </c>
      <c r="I11" s="134">
        <v>9.85</v>
      </c>
      <c r="J11" s="134">
        <v>0.24</v>
      </c>
      <c r="K11" s="134">
        <v>251.1</v>
      </c>
      <c r="L11" s="134">
        <v>20.82</v>
      </c>
      <c r="M11" s="134">
        <v>85.3</v>
      </c>
      <c r="N11" s="134">
        <v>0</v>
      </c>
      <c r="O11" s="134">
        <v>0</v>
      </c>
      <c r="P11" s="134">
        <v>1.1499999999999999</v>
      </c>
      <c r="Q11" s="134">
        <v>5.19</v>
      </c>
    </row>
    <row r="12" spans="1:21" customFormat="1">
      <c r="A12" s="112" t="s">
        <v>1394</v>
      </c>
      <c r="B12" s="134">
        <v>28</v>
      </c>
      <c r="C12" s="134">
        <v>29.04</v>
      </c>
      <c r="D12" s="134">
        <v>38.97</v>
      </c>
      <c r="E12" s="134">
        <v>12.2</v>
      </c>
      <c r="F12" s="134">
        <v>2.72</v>
      </c>
      <c r="G12" s="167" t="s">
        <v>14</v>
      </c>
      <c r="H12" s="167" t="s">
        <v>14</v>
      </c>
      <c r="I12" s="134">
        <v>10.039999999999999</v>
      </c>
      <c r="J12" s="134">
        <v>0.13</v>
      </c>
      <c r="K12" s="134">
        <v>208.89</v>
      </c>
      <c r="L12" s="134">
        <v>20.18</v>
      </c>
      <c r="M12" s="134">
        <v>84.79</v>
      </c>
      <c r="N12" s="134">
        <v>0</v>
      </c>
      <c r="O12" s="134">
        <v>0</v>
      </c>
      <c r="P12" s="134">
        <v>1.1599999999999999</v>
      </c>
      <c r="Q12" s="134">
        <v>5.21</v>
      </c>
    </row>
    <row r="13" spans="1:21" customFormat="1">
      <c r="A13" s="112" t="s">
        <v>1395</v>
      </c>
      <c r="B13" s="134">
        <v>26.98</v>
      </c>
      <c r="C13" s="134">
        <v>29.09</v>
      </c>
      <c r="D13" s="134">
        <v>38.18</v>
      </c>
      <c r="E13" s="134">
        <v>11.9</v>
      </c>
      <c r="F13" s="134">
        <v>2.65</v>
      </c>
      <c r="G13" s="167" t="s">
        <v>14</v>
      </c>
      <c r="H13" s="167" t="s">
        <v>14</v>
      </c>
      <c r="I13" s="134">
        <v>10.210000000000001</v>
      </c>
      <c r="J13" s="134">
        <v>0.1</v>
      </c>
      <c r="K13" s="134">
        <v>163.71</v>
      </c>
      <c r="L13" s="134">
        <v>20.12</v>
      </c>
      <c r="M13" s="134">
        <v>85.47</v>
      </c>
      <c r="N13" s="134">
        <v>0</v>
      </c>
      <c r="O13" s="134">
        <v>0</v>
      </c>
      <c r="P13" s="134">
        <v>1.1499999999999999</v>
      </c>
      <c r="Q13" s="134">
        <v>5.2</v>
      </c>
    </row>
    <row r="14" spans="1:21" customFormat="1">
      <c r="A14" s="112" t="s">
        <v>1396</v>
      </c>
      <c r="B14" s="134">
        <v>25.67</v>
      </c>
      <c r="C14" s="134">
        <v>28.83</v>
      </c>
      <c r="D14" s="134">
        <v>37</v>
      </c>
      <c r="E14" s="134">
        <v>11.59</v>
      </c>
      <c r="F14" s="134">
        <v>2.77</v>
      </c>
      <c r="G14" s="167" t="s">
        <v>14</v>
      </c>
      <c r="H14" s="167" t="s">
        <v>14</v>
      </c>
      <c r="I14" s="134">
        <v>10.28</v>
      </c>
      <c r="J14" s="134">
        <v>0.1</v>
      </c>
      <c r="K14" s="134">
        <v>233.28</v>
      </c>
      <c r="L14" s="134">
        <v>19.98</v>
      </c>
      <c r="M14" s="134">
        <v>88</v>
      </c>
      <c r="N14" s="134">
        <v>0</v>
      </c>
      <c r="O14" s="134">
        <v>0</v>
      </c>
      <c r="P14" s="134">
        <v>1.1499999999999999</v>
      </c>
      <c r="Q14" s="134">
        <v>5.17</v>
      </c>
    </row>
    <row r="15" spans="1:21" customFormat="1">
      <c r="A15" s="112" t="s">
        <v>1397</v>
      </c>
      <c r="B15" s="134">
        <v>24.87</v>
      </c>
      <c r="C15" s="134">
        <v>29.06</v>
      </c>
      <c r="D15" s="134">
        <v>36.479999999999997</v>
      </c>
      <c r="E15" s="134">
        <v>11.46</v>
      </c>
      <c r="F15" s="134">
        <v>2.54</v>
      </c>
      <c r="G15" s="167" t="s">
        <v>14</v>
      </c>
      <c r="H15" s="167" t="s">
        <v>14</v>
      </c>
      <c r="I15" s="134">
        <v>10.37</v>
      </c>
      <c r="J15" s="134">
        <v>0.08</v>
      </c>
      <c r="K15" s="134">
        <v>166.05</v>
      </c>
      <c r="L15" s="134">
        <v>20.02</v>
      </c>
      <c r="M15" s="134">
        <v>86.36</v>
      </c>
      <c r="N15" s="134">
        <v>0</v>
      </c>
      <c r="O15" s="134">
        <v>0</v>
      </c>
      <c r="P15" s="134">
        <v>1.1399999999999999</v>
      </c>
      <c r="Q15" s="134">
        <v>5.14</v>
      </c>
    </row>
    <row r="16" spans="1:21" customFormat="1">
      <c r="A16" s="112" t="s">
        <v>1398</v>
      </c>
      <c r="B16" s="134">
        <v>25.71</v>
      </c>
      <c r="C16" s="134">
        <v>29.41</v>
      </c>
      <c r="D16" s="134">
        <v>37.340000000000003</v>
      </c>
      <c r="E16" s="134">
        <v>11.32</v>
      </c>
      <c r="F16" s="134">
        <v>2.4900000000000002</v>
      </c>
      <c r="G16" s="167" t="s">
        <v>14</v>
      </c>
      <c r="H16" s="167" t="s">
        <v>14</v>
      </c>
      <c r="I16" s="134">
        <v>10.27</v>
      </c>
      <c r="J16" s="134">
        <v>0.15</v>
      </c>
      <c r="K16" s="134">
        <v>149.6</v>
      </c>
      <c r="L16" s="134">
        <v>20.149999999999999</v>
      </c>
      <c r="M16" s="134">
        <v>84.96</v>
      </c>
      <c r="N16" s="134">
        <v>0</v>
      </c>
      <c r="O16" s="134">
        <v>0</v>
      </c>
      <c r="P16" s="134">
        <v>1.1599999999999999</v>
      </c>
      <c r="Q16" s="134">
        <v>5.13</v>
      </c>
    </row>
    <row r="17" spans="1:17" customFormat="1">
      <c r="A17" s="112" t="s">
        <v>1399</v>
      </c>
      <c r="B17" s="134">
        <v>26.55</v>
      </c>
      <c r="C17" s="134">
        <v>29.53</v>
      </c>
      <c r="D17" s="134">
        <v>38.07</v>
      </c>
      <c r="E17" s="134">
        <v>8.91</v>
      </c>
      <c r="F17" s="134">
        <v>2.58</v>
      </c>
      <c r="G17" s="167" t="s">
        <v>14</v>
      </c>
      <c r="H17" s="167" t="s">
        <v>14</v>
      </c>
      <c r="I17" s="134">
        <v>10.29</v>
      </c>
      <c r="J17" s="134">
        <v>0.08</v>
      </c>
      <c r="K17" s="134">
        <v>127.52</v>
      </c>
      <c r="L17" s="134">
        <v>20.04</v>
      </c>
      <c r="M17" s="134">
        <v>87.51</v>
      </c>
      <c r="N17" s="134">
        <v>0</v>
      </c>
      <c r="O17" s="134">
        <v>0</v>
      </c>
      <c r="P17" s="134">
        <v>1.17</v>
      </c>
      <c r="Q17" s="134">
        <v>5.17</v>
      </c>
    </row>
    <row r="18" spans="1:17" customFormat="1">
      <c r="A18" s="112" t="s">
        <v>1400</v>
      </c>
      <c r="B18" s="134">
        <v>26.55</v>
      </c>
      <c r="C18" s="134">
        <v>29.75</v>
      </c>
      <c r="D18" s="134">
        <v>38.18</v>
      </c>
      <c r="E18" s="134">
        <v>9.76</v>
      </c>
      <c r="F18" s="134">
        <v>2.64</v>
      </c>
      <c r="G18" s="167" t="s">
        <v>14</v>
      </c>
      <c r="H18" s="167" t="s">
        <v>14</v>
      </c>
      <c r="I18" s="134">
        <v>10.37</v>
      </c>
      <c r="J18" s="134">
        <v>0.17</v>
      </c>
      <c r="K18" s="134">
        <v>227.87</v>
      </c>
      <c r="L18" s="134">
        <v>20</v>
      </c>
      <c r="M18" s="134">
        <v>87.79</v>
      </c>
      <c r="N18" s="134">
        <v>0</v>
      </c>
      <c r="O18" s="134">
        <v>0</v>
      </c>
      <c r="P18" s="134">
        <v>1.17</v>
      </c>
      <c r="Q18" s="134">
        <v>5.18</v>
      </c>
    </row>
    <row r="19" spans="1:17" customFormat="1">
      <c r="A19" s="112" t="s">
        <v>1401</v>
      </c>
      <c r="B19" s="134">
        <v>25.84</v>
      </c>
      <c r="C19" s="134">
        <v>29.68</v>
      </c>
      <c r="D19" s="134">
        <v>37.58</v>
      </c>
      <c r="E19" s="134">
        <v>9.9</v>
      </c>
      <c r="F19" s="134">
        <v>2.5</v>
      </c>
      <c r="G19" s="167" t="s">
        <v>14</v>
      </c>
      <c r="H19" s="167" t="s">
        <v>14</v>
      </c>
      <c r="I19" s="134">
        <v>10.38</v>
      </c>
      <c r="J19" s="134">
        <v>0.13</v>
      </c>
      <c r="K19" s="134">
        <v>238.74</v>
      </c>
      <c r="L19" s="134">
        <v>19.75</v>
      </c>
      <c r="M19" s="134">
        <v>92.09</v>
      </c>
      <c r="N19" s="134">
        <v>0</v>
      </c>
      <c r="O19" s="134">
        <v>0</v>
      </c>
      <c r="P19" s="134">
        <v>1.17</v>
      </c>
      <c r="Q19" s="134">
        <v>5.15</v>
      </c>
    </row>
    <row r="20" spans="1:17" customFormat="1">
      <c r="A20" s="112" t="s">
        <v>1402</v>
      </c>
      <c r="B20" s="134">
        <v>24.77</v>
      </c>
      <c r="C20" s="134">
        <v>29.36</v>
      </c>
      <c r="D20" s="134">
        <v>36.549999999999997</v>
      </c>
      <c r="E20" s="134">
        <v>9.3000000000000007</v>
      </c>
      <c r="F20" s="134">
        <v>2.65</v>
      </c>
      <c r="G20" s="167" t="s">
        <v>14</v>
      </c>
      <c r="H20" s="167" t="s">
        <v>14</v>
      </c>
      <c r="I20" s="134">
        <v>10.4</v>
      </c>
      <c r="J20" s="134">
        <v>0.11</v>
      </c>
      <c r="K20" s="134">
        <v>224.25</v>
      </c>
      <c r="L20" s="134">
        <v>19.440000000000001</v>
      </c>
      <c r="M20" s="134">
        <v>91.84</v>
      </c>
      <c r="N20" s="134">
        <v>0</v>
      </c>
      <c r="O20" s="134">
        <v>0</v>
      </c>
      <c r="P20" s="134">
        <v>1.1599999999999999</v>
      </c>
      <c r="Q20" s="134">
        <v>5.12</v>
      </c>
    </row>
    <row r="21" spans="1:17" customFormat="1">
      <c r="A21" s="112" t="s">
        <v>1403</v>
      </c>
      <c r="B21" s="134">
        <v>23.54</v>
      </c>
      <c r="C21" s="134">
        <v>28.88</v>
      </c>
      <c r="D21" s="134">
        <v>35.32</v>
      </c>
      <c r="E21" s="134">
        <v>8.9499999999999993</v>
      </c>
      <c r="F21" s="134">
        <v>2.58</v>
      </c>
      <c r="G21" s="167" t="s">
        <v>14</v>
      </c>
      <c r="H21" s="167" t="s">
        <v>14</v>
      </c>
      <c r="I21" s="134">
        <v>10.35</v>
      </c>
      <c r="J21" s="134">
        <v>0.09</v>
      </c>
      <c r="K21" s="134">
        <v>150.71</v>
      </c>
      <c r="L21" s="134">
        <v>19.45</v>
      </c>
      <c r="M21" s="134">
        <v>92.66</v>
      </c>
      <c r="N21" s="134">
        <v>0</v>
      </c>
      <c r="O21" s="134">
        <v>0</v>
      </c>
      <c r="P21" s="134">
        <v>1.1499999999999999</v>
      </c>
      <c r="Q21" s="134">
        <v>5.09</v>
      </c>
    </row>
    <row r="22" spans="1:17" customFormat="1">
      <c r="A22" s="112" t="s">
        <v>1404</v>
      </c>
      <c r="B22" s="134">
        <v>22.95</v>
      </c>
      <c r="C22" s="134">
        <v>28.41</v>
      </c>
      <c r="D22" s="134">
        <v>34.6</v>
      </c>
      <c r="E22" s="134">
        <v>8.31</v>
      </c>
      <c r="F22" s="134">
        <v>2.62</v>
      </c>
      <c r="G22" s="167" t="s">
        <v>14</v>
      </c>
      <c r="H22" s="167" t="s">
        <v>14</v>
      </c>
      <c r="I22" s="134">
        <v>10.34</v>
      </c>
      <c r="J22" s="134">
        <v>7.0000000000000007E-2</v>
      </c>
      <c r="K22" s="134">
        <v>103.15</v>
      </c>
      <c r="L22" s="134">
        <v>19.45</v>
      </c>
      <c r="M22" s="134">
        <v>90.4</v>
      </c>
      <c r="N22" s="134">
        <v>0</v>
      </c>
      <c r="O22" s="134">
        <v>0</v>
      </c>
      <c r="P22" s="134">
        <v>1.1499999999999999</v>
      </c>
      <c r="Q22" s="134">
        <v>5.0599999999999996</v>
      </c>
    </row>
    <row r="23" spans="1:17" customFormat="1">
      <c r="A23" s="112" t="s">
        <v>1405</v>
      </c>
      <c r="B23" s="134">
        <v>25.1</v>
      </c>
      <c r="C23" s="134">
        <v>28.51</v>
      </c>
      <c r="D23" s="134">
        <v>36.369999999999997</v>
      </c>
      <c r="E23" s="134">
        <v>8.5500000000000007</v>
      </c>
      <c r="F23" s="134">
        <v>2.6</v>
      </c>
      <c r="G23" s="134">
        <v>215.24</v>
      </c>
      <c r="H23" s="134">
        <v>143.24</v>
      </c>
      <c r="I23" s="134">
        <v>10.31</v>
      </c>
      <c r="J23" s="134">
        <v>0.08</v>
      </c>
      <c r="K23" s="134">
        <v>118.85</v>
      </c>
      <c r="L23" s="134">
        <v>19.7</v>
      </c>
      <c r="M23" s="134">
        <v>86.32</v>
      </c>
      <c r="N23" s="134">
        <v>0</v>
      </c>
      <c r="O23" s="134">
        <v>0</v>
      </c>
      <c r="P23" s="134">
        <v>1.1599999999999999</v>
      </c>
      <c r="Q23" s="134">
        <v>5.0999999999999996</v>
      </c>
    </row>
    <row r="24" spans="1:17" customFormat="1">
      <c r="A24" s="112" t="s">
        <v>1406</v>
      </c>
      <c r="B24" s="134">
        <v>26.65</v>
      </c>
      <c r="C24" s="134">
        <v>28.89</v>
      </c>
      <c r="D24" s="134">
        <v>37.82</v>
      </c>
      <c r="E24" s="134">
        <v>8.0399999999999991</v>
      </c>
      <c r="F24" s="134">
        <v>2.5299999999999998</v>
      </c>
      <c r="G24" s="134">
        <v>215.24</v>
      </c>
      <c r="H24" s="134">
        <v>143.24</v>
      </c>
      <c r="I24" s="134">
        <v>10.27</v>
      </c>
      <c r="J24" s="134">
        <v>0.12</v>
      </c>
      <c r="K24" s="134">
        <v>77.67</v>
      </c>
      <c r="L24" s="134">
        <v>19.68</v>
      </c>
      <c r="M24" s="134">
        <v>83.31</v>
      </c>
      <c r="N24" s="134">
        <v>0</v>
      </c>
      <c r="O24" s="134">
        <v>0</v>
      </c>
      <c r="P24" s="134">
        <v>1.1599999999999999</v>
      </c>
      <c r="Q24" s="134">
        <v>5.16</v>
      </c>
    </row>
    <row r="25" spans="1:17" customFormat="1">
      <c r="A25" s="112" t="s">
        <v>1407</v>
      </c>
      <c r="B25" s="134">
        <v>26.7</v>
      </c>
      <c r="C25" s="134">
        <v>28.84</v>
      </c>
      <c r="D25" s="134">
        <v>37.840000000000003</v>
      </c>
      <c r="E25" s="134">
        <v>7.18</v>
      </c>
      <c r="F25" s="134">
        <v>2.48</v>
      </c>
      <c r="G25" s="134">
        <v>215.24</v>
      </c>
      <c r="H25" s="134">
        <v>143.24</v>
      </c>
      <c r="I25" s="134">
        <v>10.27</v>
      </c>
      <c r="J25" s="134">
        <v>7.0000000000000007E-2</v>
      </c>
      <c r="K25" s="134">
        <v>69.290000000000006</v>
      </c>
      <c r="L25" s="134">
        <v>19.649999999999999</v>
      </c>
      <c r="M25" s="134">
        <v>82.61</v>
      </c>
      <c r="N25" s="134">
        <v>0</v>
      </c>
      <c r="O25" s="134">
        <v>0</v>
      </c>
      <c r="P25" s="134">
        <v>1.1599999999999999</v>
      </c>
      <c r="Q25" s="134">
        <v>5.19</v>
      </c>
    </row>
    <row r="26" spans="1:17" customFormat="1">
      <c r="A26" s="112" t="s">
        <v>1408</v>
      </c>
      <c r="B26" s="134">
        <v>26.41</v>
      </c>
      <c r="C26" s="134">
        <v>28.51</v>
      </c>
      <c r="D26" s="134">
        <v>37.43</v>
      </c>
      <c r="E26" s="134">
        <v>7.39</v>
      </c>
      <c r="F26" s="134">
        <v>2.56</v>
      </c>
      <c r="G26" s="134">
        <v>215.24</v>
      </c>
      <c r="H26" s="134">
        <v>143.24</v>
      </c>
      <c r="I26" s="134">
        <v>10.28</v>
      </c>
      <c r="J26" s="134">
        <v>0.15</v>
      </c>
      <c r="K26" s="134">
        <v>34.229999999999997</v>
      </c>
      <c r="L26" s="134">
        <v>19.61</v>
      </c>
      <c r="M26" s="134">
        <v>82.5</v>
      </c>
      <c r="N26" s="134">
        <v>0</v>
      </c>
      <c r="O26" s="134">
        <v>0</v>
      </c>
      <c r="P26" s="134">
        <v>1.17</v>
      </c>
      <c r="Q26" s="134">
        <v>5.16</v>
      </c>
    </row>
    <row r="27" spans="1:17" customFormat="1">
      <c r="A27" s="112" t="s">
        <v>1409</v>
      </c>
      <c r="B27" s="134">
        <v>25.73</v>
      </c>
      <c r="C27" s="134">
        <v>28.5</v>
      </c>
      <c r="D27" s="134">
        <v>36.880000000000003</v>
      </c>
      <c r="E27" s="134">
        <v>6.65</v>
      </c>
      <c r="F27" s="134">
        <v>2.65</v>
      </c>
      <c r="G27" s="134">
        <v>172.57</v>
      </c>
      <c r="H27" s="134">
        <v>83.71</v>
      </c>
      <c r="I27" s="134">
        <v>10.26</v>
      </c>
      <c r="J27" s="134">
        <v>0.1</v>
      </c>
      <c r="K27" s="134">
        <v>57.75</v>
      </c>
      <c r="L27" s="134">
        <v>19.45</v>
      </c>
      <c r="M27" s="134">
        <v>84.87</v>
      </c>
      <c r="N27" s="134">
        <v>0</v>
      </c>
      <c r="O27" s="134">
        <v>0</v>
      </c>
      <c r="P27" s="134">
        <v>1.17</v>
      </c>
      <c r="Q27" s="134">
        <v>5.16</v>
      </c>
    </row>
    <row r="28" spans="1:17" customFormat="1">
      <c r="A28" s="112" t="s">
        <v>1410</v>
      </c>
      <c r="B28" s="134">
        <v>25.22</v>
      </c>
      <c r="C28" s="134">
        <v>27.97</v>
      </c>
      <c r="D28" s="134">
        <v>36.19</v>
      </c>
      <c r="E28" s="134">
        <v>5.87</v>
      </c>
      <c r="F28" s="134">
        <v>2.63</v>
      </c>
      <c r="G28" s="134">
        <v>166.62</v>
      </c>
      <c r="H28" s="134">
        <v>83.71</v>
      </c>
      <c r="I28" s="134">
        <v>10.220000000000001</v>
      </c>
      <c r="J28" s="134">
        <v>0.03</v>
      </c>
      <c r="K28" s="134">
        <v>98.82</v>
      </c>
      <c r="L28" s="134">
        <v>19.18</v>
      </c>
      <c r="M28" s="134">
        <v>86.24</v>
      </c>
      <c r="N28" s="134">
        <v>0</v>
      </c>
      <c r="O28" s="134">
        <v>0</v>
      </c>
      <c r="P28" s="134">
        <v>1.17</v>
      </c>
      <c r="Q28" s="134">
        <v>5.14</v>
      </c>
    </row>
    <row r="29" spans="1:17" customFormat="1">
      <c r="A29" s="112" t="s">
        <v>1411</v>
      </c>
      <c r="B29" s="134">
        <v>24.97</v>
      </c>
      <c r="C29" s="134">
        <v>28.12</v>
      </c>
      <c r="D29" s="134">
        <v>36.07</v>
      </c>
      <c r="E29" s="134">
        <v>5.71</v>
      </c>
      <c r="F29" s="134">
        <v>2.5499999999999998</v>
      </c>
      <c r="G29" s="134">
        <v>166.62</v>
      </c>
      <c r="H29" s="134">
        <v>83.71</v>
      </c>
      <c r="I29" s="134">
        <v>10.15</v>
      </c>
      <c r="J29" s="134">
        <v>0.12</v>
      </c>
      <c r="K29" s="134">
        <v>66.680000000000007</v>
      </c>
      <c r="L29" s="134">
        <v>19.36</v>
      </c>
      <c r="M29" s="134">
        <v>84.86</v>
      </c>
      <c r="N29" s="134">
        <v>0</v>
      </c>
      <c r="O29" s="134">
        <v>0</v>
      </c>
      <c r="P29" s="134">
        <v>1.17</v>
      </c>
      <c r="Q29" s="134">
        <v>5.12</v>
      </c>
    </row>
    <row r="30" spans="1:17" customFormat="1">
      <c r="A30" s="112" t="s">
        <v>1412</v>
      </c>
      <c r="B30" s="134">
        <v>25.18</v>
      </c>
      <c r="C30" s="134">
        <v>26.52</v>
      </c>
      <c r="D30" s="134">
        <v>35.4</v>
      </c>
      <c r="E30" s="134">
        <v>5.21</v>
      </c>
      <c r="F30" s="134">
        <v>2.86</v>
      </c>
      <c r="G30" s="134">
        <v>166.62</v>
      </c>
      <c r="H30" s="134">
        <v>83.71</v>
      </c>
      <c r="I30" s="134">
        <v>10.14</v>
      </c>
      <c r="J30" s="134">
        <v>0.12</v>
      </c>
      <c r="K30" s="134">
        <v>29.19</v>
      </c>
      <c r="L30" s="134">
        <v>19.47</v>
      </c>
      <c r="M30" s="134">
        <v>84.59</v>
      </c>
      <c r="N30" s="134">
        <v>0</v>
      </c>
      <c r="O30" s="134">
        <v>0</v>
      </c>
      <c r="P30" s="134">
        <v>1.1499999999999999</v>
      </c>
      <c r="Q30" s="134">
        <v>5.1100000000000003</v>
      </c>
    </row>
    <row r="31" spans="1:17" customFormat="1">
      <c r="A31" s="112" t="s">
        <v>1413</v>
      </c>
      <c r="B31" s="134">
        <v>25.39</v>
      </c>
      <c r="C31" s="134">
        <v>24.28</v>
      </c>
      <c r="D31" s="134">
        <v>34.4</v>
      </c>
      <c r="E31" s="134">
        <v>4.16</v>
      </c>
      <c r="F31" s="134">
        <v>3.03</v>
      </c>
      <c r="G31" s="134">
        <v>142.13</v>
      </c>
      <c r="H31" s="134">
        <v>49.78</v>
      </c>
      <c r="I31" s="134">
        <v>10.09</v>
      </c>
      <c r="J31" s="134">
        <v>0.1</v>
      </c>
      <c r="K31" s="134">
        <v>18.36</v>
      </c>
      <c r="L31" s="134">
        <v>19.399999999999999</v>
      </c>
      <c r="M31" s="134">
        <v>84.87</v>
      </c>
      <c r="N31" s="134">
        <v>0</v>
      </c>
      <c r="O31" s="134">
        <v>0</v>
      </c>
      <c r="P31" s="134">
        <v>1.1100000000000001</v>
      </c>
      <c r="Q31" s="134">
        <v>5.12</v>
      </c>
    </row>
    <row r="32" spans="1:17" customFormat="1">
      <c r="A32" s="112" t="s">
        <v>1414</v>
      </c>
      <c r="B32" s="134">
        <v>25.56</v>
      </c>
      <c r="C32" s="134">
        <v>24.47</v>
      </c>
      <c r="D32" s="134">
        <v>34.64</v>
      </c>
      <c r="E32" s="134">
        <v>3.49</v>
      </c>
      <c r="F32" s="134">
        <v>2.58</v>
      </c>
      <c r="G32" s="134">
        <v>138.72</v>
      </c>
      <c r="H32" s="134">
        <v>49.78</v>
      </c>
      <c r="I32" s="134">
        <v>10.06</v>
      </c>
      <c r="J32" s="134">
        <v>0.08</v>
      </c>
      <c r="K32" s="134">
        <v>168.13</v>
      </c>
      <c r="L32" s="134">
        <v>19.21</v>
      </c>
      <c r="M32" s="134">
        <v>86.68</v>
      </c>
      <c r="N32" s="134">
        <v>0</v>
      </c>
      <c r="O32" s="134">
        <v>0</v>
      </c>
      <c r="P32" s="134">
        <v>1.1000000000000001</v>
      </c>
      <c r="Q32" s="134">
        <v>5.08</v>
      </c>
    </row>
    <row r="33" spans="1:17" customFormat="1">
      <c r="A33" s="112" t="s">
        <v>1415</v>
      </c>
      <c r="B33" s="134">
        <v>25.5</v>
      </c>
      <c r="C33" s="134">
        <v>24.23</v>
      </c>
      <c r="D33" s="134">
        <v>34.450000000000003</v>
      </c>
      <c r="E33" s="134">
        <v>3.3</v>
      </c>
      <c r="F33" s="134">
        <v>2.67</v>
      </c>
      <c r="G33" s="134">
        <v>138.72</v>
      </c>
      <c r="H33" s="134">
        <v>49.78</v>
      </c>
      <c r="I33" s="134">
        <v>10</v>
      </c>
      <c r="J33" s="134">
        <v>0.1</v>
      </c>
      <c r="K33" s="134">
        <v>140.72</v>
      </c>
      <c r="L33" s="134">
        <v>19.010000000000002</v>
      </c>
      <c r="M33" s="134">
        <v>88.67</v>
      </c>
      <c r="N33" s="134">
        <v>0</v>
      </c>
      <c r="O33" s="134">
        <v>0</v>
      </c>
      <c r="P33" s="134">
        <v>1.08</v>
      </c>
      <c r="Q33" s="134">
        <v>5.07</v>
      </c>
    </row>
    <row r="34" spans="1:17" customFormat="1">
      <c r="A34" s="112" t="s">
        <v>1416</v>
      </c>
      <c r="B34" s="134">
        <v>25.3</v>
      </c>
      <c r="C34" s="134">
        <v>24.99</v>
      </c>
      <c r="D34" s="134">
        <v>34.69</v>
      </c>
      <c r="E34" s="134">
        <v>3.35</v>
      </c>
      <c r="F34" s="134">
        <v>2.52</v>
      </c>
      <c r="G34" s="134">
        <v>138.72</v>
      </c>
      <c r="H34" s="134">
        <v>49.78</v>
      </c>
      <c r="I34" s="134">
        <v>9.9</v>
      </c>
      <c r="J34" s="134">
        <v>0.06</v>
      </c>
      <c r="K34" s="134">
        <v>104.73</v>
      </c>
      <c r="L34" s="134">
        <v>19.02</v>
      </c>
      <c r="M34" s="134">
        <v>89.04</v>
      </c>
      <c r="N34" s="134">
        <v>2.8</v>
      </c>
      <c r="O34" s="134">
        <v>0</v>
      </c>
      <c r="P34" s="134">
        <v>1.08</v>
      </c>
      <c r="Q34" s="134">
        <v>5.09</v>
      </c>
    </row>
    <row r="35" spans="1:17" customFormat="1">
      <c r="A35" s="112" t="s">
        <v>1417</v>
      </c>
      <c r="B35" s="134">
        <v>25.15</v>
      </c>
      <c r="C35" s="134">
        <v>24.68</v>
      </c>
      <c r="D35" s="134">
        <v>34.409999999999997</v>
      </c>
      <c r="E35" s="134">
        <v>3.41</v>
      </c>
      <c r="F35" s="134">
        <v>2.57</v>
      </c>
      <c r="G35" s="134">
        <v>93.52</v>
      </c>
      <c r="H35" s="134">
        <v>46.81</v>
      </c>
      <c r="I35" s="134">
        <v>9.77</v>
      </c>
      <c r="J35" s="134">
        <v>0.15</v>
      </c>
      <c r="K35" s="134">
        <v>40.35</v>
      </c>
      <c r="L35" s="134">
        <v>19.239999999999998</v>
      </c>
      <c r="M35" s="134">
        <v>87.64</v>
      </c>
      <c r="N35" s="134">
        <v>12.7</v>
      </c>
      <c r="O35" s="134">
        <v>0</v>
      </c>
      <c r="P35" s="134">
        <v>1.07</v>
      </c>
      <c r="Q35" s="134">
        <v>5.07</v>
      </c>
    </row>
    <row r="36" spans="1:17" customFormat="1">
      <c r="A36" s="112" t="s">
        <v>1418</v>
      </c>
      <c r="B36" s="134">
        <v>25</v>
      </c>
      <c r="C36" s="134">
        <v>25.53</v>
      </c>
      <c r="D36" s="134">
        <v>34.74</v>
      </c>
      <c r="E36" s="134">
        <v>3.67</v>
      </c>
      <c r="F36" s="134">
        <v>2.5099999999999998</v>
      </c>
      <c r="G36" s="134">
        <v>87.23</v>
      </c>
      <c r="H36" s="134">
        <v>46.81</v>
      </c>
      <c r="I36" s="134">
        <v>9.69</v>
      </c>
      <c r="J36" s="134">
        <v>0.13</v>
      </c>
      <c r="K36" s="134">
        <v>50.78</v>
      </c>
      <c r="L36" s="134">
        <v>19.649999999999999</v>
      </c>
      <c r="M36" s="134">
        <v>85.44</v>
      </c>
      <c r="N36" s="134">
        <v>25.7</v>
      </c>
      <c r="O36" s="134">
        <v>0</v>
      </c>
      <c r="P36" s="134">
        <v>1.06</v>
      </c>
      <c r="Q36" s="134">
        <v>5.05</v>
      </c>
    </row>
    <row r="37" spans="1:17" customFormat="1">
      <c r="A37" s="112" t="s">
        <v>1419</v>
      </c>
      <c r="B37" s="134">
        <v>24.93</v>
      </c>
      <c r="C37" s="134">
        <v>25.39</v>
      </c>
      <c r="D37" s="134">
        <v>34.61</v>
      </c>
      <c r="E37" s="134">
        <v>3.83</v>
      </c>
      <c r="F37" s="134">
        <v>2.57</v>
      </c>
      <c r="G37" s="134">
        <v>87.23</v>
      </c>
      <c r="H37" s="134">
        <v>46.81</v>
      </c>
      <c r="I37" s="134">
        <v>9.59</v>
      </c>
      <c r="J37" s="134">
        <v>0.2</v>
      </c>
      <c r="K37" s="134">
        <v>47.67</v>
      </c>
      <c r="L37" s="134">
        <v>20.079999999999998</v>
      </c>
      <c r="M37" s="134">
        <v>83.8</v>
      </c>
      <c r="N37" s="134">
        <v>40.200000000000003</v>
      </c>
      <c r="O37" s="134">
        <v>0</v>
      </c>
      <c r="P37" s="134">
        <v>1.06</v>
      </c>
      <c r="Q37" s="134">
        <v>5.0199999999999996</v>
      </c>
    </row>
    <row r="38" spans="1:17" customFormat="1">
      <c r="A38" s="112" t="s">
        <v>1420</v>
      </c>
      <c r="B38" s="134">
        <v>24.75</v>
      </c>
      <c r="C38" s="134">
        <v>24.86</v>
      </c>
      <c r="D38" s="134">
        <v>34.18</v>
      </c>
      <c r="E38" s="134">
        <v>3.72</v>
      </c>
      <c r="F38" s="134">
        <v>2.63</v>
      </c>
      <c r="G38" s="134">
        <v>87.23</v>
      </c>
      <c r="H38" s="134">
        <v>46.81</v>
      </c>
      <c r="I38" s="134">
        <v>9.56</v>
      </c>
      <c r="J38" s="134">
        <v>0.41</v>
      </c>
      <c r="K38" s="134">
        <v>47.53</v>
      </c>
      <c r="L38" s="134">
        <v>20.46</v>
      </c>
      <c r="M38" s="134">
        <v>81.78</v>
      </c>
      <c r="N38" s="134">
        <v>56</v>
      </c>
      <c r="O38" s="134">
        <v>0</v>
      </c>
      <c r="P38" s="134">
        <v>1.03</v>
      </c>
      <c r="Q38" s="134">
        <v>5.04</v>
      </c>
    </row>
    <row r="39" spans="1:17" customFormat="1">
      <c r="A39" s="112" t="s">
        <v>1421</v>
      </c>
      <c r="B39" s="134">
        <v>24.18</v>
      </c>
      <c r="C39" s="134">
        <v>25.33</v>
      </c>
      <c r="D39" s="134">
        <v>33.979999999999997</v>
      </c>
      <c r="E39" s="134">
        <v>3.32</v>
      </c>
      <c r="F39" s="134">
        <v>2.4700000000000002</v>
      </c>
      <c r="G39" s="134">
        <v>83.71</v>
      </c>
      <c r="H39" s="134">
        <v>49.32</v>
      </c>
      <c r="I39" s="134">
        <v>9.56</v>
      </c>
      <c r="J39" s="134">
        <v>0.43</v>
      </c>
      <c r="K39" s="134">
        <v>45.31</v>
      </c>
      <c r="L39" s="134">
        <v>20.8</v>
      </c>
      <c r="M39" s="134">
        <v>80.760000000000005</v>
      </c>
      <c r="N39" s="134">
        <v>93.8</v>
      </c>
      <c r="O39" s="134">
        <v>0</v>
      </c>
      <c r="P39" s="134">
        <v>1.03</v>
      </c>
      <c r="Q39" s="134">
        <v>5.0199999999999996</v>
      </c>
    </row>
    <row r="40" spans="1:17" customFormat="1">
      <c r="A40" s="112" t="s">
        <v>1422</v>
      </c>
      <c r="B40" s="134">
        <v>23.64</v>
      </c>
      <c r="C40" s="134">
        <v>25.3</v>
      </c>
      <c r="D40" s="134">
        <v>33.53</v>
      </c>
      <c r="E40" s="134">
        <v>3.48</v>
      </c>
      <c r="F40" s="134">
        <v>2.4900000000000002</v>
      </c>
      <c r="G40" s="134">
        <v>83.23</v>
      </c>
      <c r="H40" s="134">
        <v>49.32</v>
      </c>
      <c r="I40" s="134">
        <v>9.48</v>
      </c>
      <c r="J40" s="134">
        <v>0.56000000000000005</v>
      </c>
      <c r="K40" s="134">
        <v>41.84</v>
      </c>
      <c r="L40" s="134">
        <v>21.29</v>
      </c>
      <c r="M40" s="134">
        <v>80.010000000000005</v>
      </c>
      <c r="N40" s="134">
        <v>139.30000000000001</v>
      </c>
      <c r="O40" s="134">
        <v>0</v>
      </c>
      <c r="P40" s="134">
        <v>1.03</v>
      </c>
      <c r="Q40" s="134">
        <v>4.99</v>
      </c>
    </row>
    <row r="41" spans="1:17" customFormat="1">
      <c r="A41" s="112" t="s">
        <v>1423</v>
      </c>
      <c r="B41" s="134">
        <v>22.95</v>
      </c>
      <c r="C41" s="134">
        <v>24.83</v>
      </c>
      <c r="D41" s="134">
        <v>32.72</v>
      </c>
      <c r="E41" s="134">
        <v>3.43</v>
      </c>
      <c r="F41" s="134">
        <v>2.5299999999999998</v>
      </c>
      <c r="G41" s="134">
        <v>83.23</v>
      </c>
      <c r="H41" s="134">
        <v>49.32</v>
      </c>
      <c r="I41" s="134">
        <v>9.4499999999999993</v>
      </c>
      <c r="J41" s="134">
        <v>0.62</v>
      </c>
      <c r="K41" s="134">
        <v>38.79</v>
      </c>
      <c r="L41" s="134">
        <v>21.86</v>
      </c>
      <c r="M41" s="134">
        <v>79</v>
      </c>
      <c r="N41" s="134">
        <v>173.7</v>
      </c>
      <c r="O41" s="134">
        <v>0</v>
      </c>
      <c r="P41" s="134">
        <v>1.02</v>
      </c>
      <c r="Q41" s="134">
        <v>4.99</v>
      </c>
    </row>
    <row r="42" spans="1:17" customFormat="1">
      <c r="A42" s="112" t="s">
        <v>1424</v>
      </c>
      <c r="B42" s="134">
        <v>22.37</v>
      </c>
      <c r="C42" s="134">
        <v>24.26</v>
      </c>
      <c r="D42" s="134">
        <v>31.97</v>
      </c>
      <c r="E42" s="134">
        <v>3.39</v>
      </c>
      <c r="F42" s="134">
        <v>2.79</v>
      </c>
      <c r="G42" s="134">
        <v>83.23</v>
      </c>
      <c r="H42" s="134">
        <v>49.32</v>
      </c>
      <c r="I42" s="134">
        <v>9.3699999999999992</v>
      </c>
      <c r="J42" s="134">
        <v>0.5</v>
      </c>
      <c r="K42" s="134">
        <v>36.340000000000003</v>
      </c>
      <c r="L42" s="134">
        <v>22.74</v>
      </c>
      <c r="M42" s="134">
        <v>76.62</v>
      </c>
      <c r="N42" s="134">
        <v>208.6</v>
      </c>
      <c r="O42" s="134">
        <v>0</v>
      </c>
      <c r="P42" s="134">
        <v>1</v>
      </c>
      <c r="Q42" s="134">
        <v>4.97</v>
      </c>
    </row>
    <row r="43" spans="1:17" customFormat="1">
      <c r="A43" s="112" t="s">
        <v>1425</v>
      </c>
      <c r="B43" s="134">
        <v>21.88</v>
      </c>
      <c r="C43" s="134">
        <v>23.7</v>
      </c>
      <c r="D43" s="134">
        <v>31.28</v>
      </c>
      <c r="E43" s="134">
        <v>3.2</v>
      </c>
      <c r="F43" s="134">
        <v>2.72</v>
      </c>
      <c r="G43" s="134">
        <v>94.13</v>
      </c>
      <c r="H43" s="134">
        <v>40.049999999999997</v>
      </c>
      <c r="I43" s="134">
        <v>9.32</v>
      </c>
      <c r="J43" s="134">
        <v>0.57999999999999996</v>
      </c>
      <c r="K43" s="134">
        <v>35.25</v>
      </c>
      <c r="L43" s="134">
        <v>23.54</v>
      </c>
      <c r="M43" s="134">
        <v>73.540000000000006</v>
      </c>
      <c r="N43" s="134">
        <v>239.2</v>
      </c>
      <c r="O43" s="134">
        <v>0</v>
      </c>
      <c r="P43" s="134">
        <v>1</v>
      </c>
      <c r="Q43" s="134">
        <v>4.97</v>
      </c>
    </row>
    <row r="44" spans="1:17" customFormat="1">
      <c r="A44" s="112" t="s">
        <v>1426</v>
      </c>
      <c r="B44" s="134">
        <v>21.35</v>
      </c>
      <c r="C44" s="134">
        <v>25.23</v>
      </c>
      <c r="D44" s="134">
        <v>31.65</v>
      </c>
      <c r="E44" s="134">
        <v>2.88</v>
      </c>
      <c r="F44" s="134">
        <v>2.68</v>
      </c>
      <c r="G44" s="134">
        <v>95.65</v>
      </c>
      <c r="H44" s="134">
        <v>40.049999999999997</v>
      </c>
      <c r="I44" s="134">
        <v>9.27</v>
      </c>
      <c r="J44" s="134">
        <v>0.48</v>
      </c>
      <c r="K44" s="134">
        <v>35.130000000000003</v>
      </c>
      <c r="L44" s="134">
        <v>24.07</v>
      </c>
      <c r="M44" s="134">
        <v>72.08</v>
      </c>
      <c r="N44" s="134">
        <v>267.89999999999998</v>
      </c>
      <c r="O44" s="134">
        <v>0</v>
      </c>
      <c r="P44" s="134">
        <v>1.01</v>
      </c>
      <c r="Q44" s="134">
        <v>4.92</v>
      </c>
    </row>
    <row r="45" spans="1:17" customFormat="1">
      <c r="A45" s="112" t="s">
        <v>1427</v>
      </c>
      <c r="B45" s="134">
        <v>20.82</v>
      </c>
      <c r="C45" s="134">
        <v>23.52</v>
      </c>
      <c r="D45" s="134">
        <v>30.34</v>
      </c>
      <c r="E45" s="134">
        <v>2.74</v>
      </c>
      <c r="F45" s="134">
        <v>2.93</v>
      </c>
      <c r="G45" s="134">
        <v>95.65</v>
      </c>
      <c r="H45" s="134">
        <v>40.049999999999997</v>
      </c>
      <c r="I45" s="134">
        <v>9.1999999999999993</v>
      </c>
      <c r="J45" s="134">
        <v>0.71</v>
      </c>
      <c r="K45" s="134">
        <v>33.18</v>
      </c>
      <c r="L45" s="134">
        <v>24.54</v>
      </c>
      <c r="M45" s="134">
        <v>70.569999999999993</v>
      </c>
      <c r="N45" s="134">
        <v>268.5</v>
      </c>
      <c r="O45" s="134">
        <v>0</v>
      </c>
      <c r="P45" s="134">
        <v>0.98</v>
      </c>
      <c r="Q45" s="134">
        <v>4.9000000000000004</v>
      </c>
    </row>
    <row r="46" spans="1:17" customFormat="1">
      <c r="A46" s="112" t="s">
        <v>1428</v>
      </c>
      <c r="B46" s="134">
        <v>19.920000000000002</v>
      </c>
      <c r="C46" s="134">
        <v>23.28</v>
      </c>
      <c r="D46" s="134">
        <v>29.49</v>
      </c>
      <c r="E46" s="134">
        <v>3.2</v>
      </c>
      <c r="F46" s="134">
        <v>2.92</v>
      </c>
      <c r="G46" s="134">
        <v>95.65</v>
      </c>
      <c r="H46" s="134">
        <v>40.049999999999997</v>
      </c>
      <c r="I46" s="134">
        <v>9.18</v>
      </c>
      <c r="J46" s="134">
        <v>0.66</v>
      </c>
      <c r="K46" s="134">
        <v>29.64</v>
      </c>
      <c r="L46" s="134">
        <v>25.04</v>
      </c>
      <c r="M46" s="134">
        <v>69.47</v>
      </c>
      <c r="N46" s="134">
        <v>247.1</v>
      </c>
      <c r="O46" s="134">
        <v>0</v>
      </c>
      <c r="P46" s="134">
        <v>0.99</v>
      </c>
      <c r="Q46" s="134">
        <v>4.87</v>
      </c>
    </row>
    <row r="47" spans="1:17" customFormat="1">
      <c r="A47" s="112" t="s">
        <v>1429</v>
      </c>
      <c r="B47" s="134">
        <v>18.98</v>
      </c>
      <c r="C47" s="134">
        <v>24.45</v>
      </c>
      <c r="D47" s="134">
        <v>29.35</v>
      </c>
      <c r="E47" s="134">
        <v>3.2</v>
      </c>
      <c r="F47" s="134">
        <v>2.74</v>
      </c>
      <c r="G47" s="134">
        <v>93.42</v>
      </c>
      <c r="H47" s="134">
        <v>43.27</v>
      </c>
      <c r="I47" s="134">
        <v>9.11</v>
      </c>
      <c r="J47" s="134">
        <v>0.51</v>
      </c>
      <c r="K47" s="134">
        <v>49.5</v>
      </c>
      <c r="L47" s="134">
        <v>25.94</v>
      </c>
      <c r="M47" s="134">
        <v>66.84</v>
      </c>
      <c r="N47" s="134">
        <v>360.9</v>
      </c>
      <c r="O47" s="134">
        <v>0</v>
      </c>
      <c r="P47" s="134">
        <v>0.99</v>
      </c>
      <c r="Q47" s="134">
        <v>4.8600000000000003</v>
      </c>
    </row>
    <row r="48" spans="1:17" customFormat="1">
      <c r="A48" s="112" t="s">
        <v>1430</v>
      </c>
      <c r="B48" s="134">
        <v>17.91</v>
      </c>
      <c r="C48" s="134">
        <v>23.7</v>
      </c>
      <c r="D48" s="134">
        <v>28.09</v>
      </c>
      <c r="E48" s="134">
        <v>3.58</v>
      </c>
      <c r="F48" s="134">
        <v>2.99</v>
      </c>
      <c r="G48" s="134">
        <v>93.11</v>
      </c>
      <c r="H48" s="134">
        <v>43.27</v>
      </c>
      <c r="I48" s="134">
        <v>9.08</v>
      </c>
      <c r="J48" s="134">
        <v>0.61</v>
      </c>
      <c r="K48" s="134">
        <v>37.01</v>
      </c>
      <c r="L48" s="134">
        <v>26.38</v>
      </c>
      <c r="M48" s="134">
        <v>66.069999999999993</v>
      </c>
      <c r="N48" s="134">
        <v>387.8</v>
      </c>
      <c r="O48" s="134">
        <v>0</v>
      </c>
      <c r="P48" s="134">
        <v>0.97</v>
      </c>
      <c r="Q48" s="134">
        <v>4.8</v>
      </c>
    </row>
    <row r="49" spans="1:17" customFormat="1">
      <c r="A49" s="112" t="s">
        <v>1431</v>
      </c>
      <c r="B49" s="134">
        <v>15.48</v>
      </c>
      <c r="C49" s="134">
        <v>24.48</v>
      </c>
      <c r="D49" s="134">
        <v>26.55</v>
      </c>
      <c r="E49" s="134">
        <v>5.72</v>
      </c>
      <c r="F49" s="134">
        <v>3.31</v>
      </c>
      <c r="G49" s="134">
        <v>93.11</v>
      </c>
      <c r="H49" s="134">
        <v>43.27</v>
      </c>
      <c r="I49" s="134">
        <v>9.0500000000000007</v>
      </c>
      <c r="J49" s="134">
        <v>0.51</v>
      </c>
      <c r="K49" s="134">
        <v>42.67</v>
      </c>
      <c r="L49" s="134">
        <v>27.08</v>
      </c>
      <c r="M49" s="134">
        <v>62.88</v>
      </c>
      <c r="N49" s="134">
        <v>423.5</v>
      </c>
      <c r="O49" s="134">
        <v>0</v>
      </c>
      <c r="P49" s="134">
        <v>0.98</v>
      </c>
      <c r="Q49" s="134">
        <v>4.7300000000000004</v>
      </c>
    </row>
    <row r="50" spans="1:17" customFormat="1">
      <c r="A50" s="112" t="s">
        <v>1432</v>
      </c>
      <c r="B50" s="134">
        <v>12.51</v>
      </c>
      <c r="C50" s="134">
        <v>25.5</v>
      </c>
      <c r="D50" s="134">
        <v>24.7</v>
      </c>
      <c r="E50" s="134">
        <v>7.33</v>
      </c>
      <c r="F50" s="134">
        <v>3.45</v>
      </c>
      <c r="G50" s="134">
        <v>93.11</v>
      </c>
      <c r="H50" s="134">
        <v>43.27</v>
      </c>
      <c r="I50" s="134">
        <v>8.92</v>
      </c>
      <c r="J50" s="134">
        <v>0.36</v>
      </c>
      <c r="K50" s="134">
        <v>56.76</v>
      </c>
      <c r="L50" s="134">
        <v>27.58</v>
      </c>
      <c r="M50" s="134">
        <v>61.2</v>
      </c>
      <c r="N50" s="134">
        <v>442.6</v>
      </c>
      <c r="O50" s="134">
        <v>0</v>
      </c>
      <c r="P50" s="134">
        <v>0.97</v>
      </c>
      <c r="Q50" s="134">
        <v>4.6500000000000004</v>
      </c>
    </row>
    <row r="51" spans="1:17" customFormat="1">
      <c r="A51" s="112" t="s">
        <v>1433</v>
      </c>
      <c r="B51" s="134">
        <v>9.94</v>
      </c>
      <c r="C51" s="134">
        <v>26.38</v>
      </c>
      <c r="D51" s="134">
        <v>23.11</v>
      </c>
      <c r="E51" s="134">
        <v>7.44</v>
      </c>
      <c r="F51" s="134">
        <v>3.81</v>
      </c>
      <c r="G51" s="134">
        <v>94.38</v>
      </c>
      <c r="H51" s="134">
        <v>46.86</v>
      </c>
      <c r="I51" s="134">
        <v>8.7100000000000009</v>
      </c>
      <c r="J51" s="134">
        <v>0.38</v>
      </c>
      <c r="K51" s="134">
        <v>53.65</v>
      </c>
      <c r="L51" s="134">
        <v>27.97</v>
      </c>
      <c r="M51" s="134">
        <v>60.46</v>
      </c>
      <c r="N51" s="134">
        <v>460.7</v>
      </c>
      <c r="O51" s="134">
        <v>0</v>
      </c>
      <c r="P51" s="134">
        <v>0.96</v>
      </c>
      <c r="Q51" s="134">
        <v>4.54</v>
      </c>
    </row>
    <row r="52" spans="1:17" customFormat="1">
      <c r="A52" s="112" t="s">
        <v>1434</v>
      </c>
      <c r="B52" s="134">
        <v>8.1</v>
      </c>
      <c r="C52" s="134">
        <v>26.46</v>
      </c>
      <c r="D52" s="134">
        <v>21.68</v>
      </c>
      <c r="E52" s="134">
        <v>7.45</v>
      </c>
      <c r="F52" s="134">
        <v>3.93</v>
      </c>
      <c r="G52" s="134">
        <v>94.56</v>
      </c>
      <c r="H52" s="134">
        <v>46.86</v>
      </c>
      <c r="I52" s="134">
        <v>8.49</v>
      </c>
      <c r="J52" s="134">
        <v>0.28000000000000003</v>
      </c>
      <c r="K52" s="134">
        <v>70.23</v>
      </c>
      <c r="L52" s="134">
        <v>28.41</v>
      </c>
      <c r="M52" s="134">
        <v>58.98</v>
      </c>
      <c r="N52" s="134">
        <v>452</v>
      </c>
      <c r="O52" s="134">
        <v>0</v>
      </c>
      <c r="P52" s="134">
        <v>0.95</v>
      </c>
      <c r="Q52" s="134">
        <v>4.46</v>
      </c>
    </row>
    <row r="53" spans="1:17" customFormat="1">
      <c r="A53" s="112" t="s">
        <v>1435</v>
      </c>
      <c r="B53" s="134">
        <v>6.73</v>
      </c>
      <c r="C53" s="134">
        <v>26.07</v>
      </c>
      <c r="D53" s="134">
        <v>20.37</v>
      </c>
      <c r="E53" s="134">
        <v>7.87</v>
      </c>
      <c r="F53" s="134">
        <v>4.43</v>
      </c>
      <c r="G53" s="134">
        <v>94.56</v>
      </c>
      <c r="H53" s="134">
        <v>46.86</v>
      </c>
      <c r="I53" s="134">
        <v>8.42</v>
      </c>
      <c r="J53" s="134">
        <v>0.28000000000000003</v>
      </c>
      <c r="K53" s="134">
        <v>159.87</v>
      </c>
      <c r="L53" s="134">
        <v>29.26</v>
      </c>
      <c r="M53" s="134">
        <v>55.5</v>
      </c>
      <c r="N53" s="134">
        <v>485.6</v>
      </c>
      <c r="O53" s="134">
        <v>0</v>
      </c>
      <c r="P53" s="134">
        <v>0.94</v>
      </c>
      <c r="Q53" s="134">
        <v>4.4000000000000004</v>
      </c>
    </row>
    <row r="54" spans="1:17" customFormat="1">
      <c r="A54" s="112" t="s">
        <v>1436</v>
      </c>
      <c r="B54" s="134">
        <v>5.75</v>
      </c>
      <c r="C54" s="134">
        <v>25.3</v>
      </c>
      <c r="D54" s="134">
        <v>19.18</v>
      </c>
      <c r="E54" s="134">
        <v>7.73</v>
      </c>
      <c r="F54" s="134">
        <v>4.8899999999999997</v>
      </c>
      <c r="G54" s="134">
        <v>94.56</v>
      </c>
      <c r="H54" s="134">
        <v>46.86</v>
      </c>
      <c r="I54" s="134">
        <v>8.34</v>
      </c>
      <c r="J54" s="134">
        <v>0.31</v>
      </c>
      <c r="K54" s="134">
        <v>31.83</v>
      </c>
      <c r="L54" s="134">
        <v>29.32</v>
      </c>
      <c r="M54" s="134">
        <v>55.99</v>
      </c>
      <c r="N54" s="134">
        <v>486.8</v>
      </c>
      <c r="O54" s="134">
        <v>0</v>
      </c>
      <c r="P54" s="134">
        <v>0.92</v>
      </c>
      <c r="Q54" s="134">
        <v>4.32</v>
      </c>
    </row>
    <row r="55" spans="1:17" customFormat="1">
      <c r="A55" s="112" t="s">
        <v>1437</v>
      </c>
      <c r="B55" s="134">
        <v>5.22</v>
      </c>
      <c r="C55" s="134">
        <v>24.81</v>
      </c>
      <c r="D55" s="134">
        <v>18.489999999999998</v>
      </c>
      <c r="E55" s="134">
        <v>8.18</v>
      </c>
      <c r="F55" s="134">
        <v>5.26</v>
      </c>
      <c r="G55" s="134">
        <v>87.59</v>
      </c>
      <c r="H55" s="134">
        <v>45.1</v>
      </c>
      <c r="I55" s="134">
        <v>8.17</v>
      </c>
      <c r="J55" s="134">
        <v>0.35</v>
      </c>
      <c r="K55" s="134">
        <v>338.61</v>
      </c>
      <c r="L55" s="134">
        <v>29.33</v>
      </c>
      <c r="M55" s="134">
        <v>54.61</v>
      </c>
      <c r="N55" s="134">
        <v>482.8</v>
      </c>
      <c r="O55" s="134">
        <v>0</v>
      </c>
      <c r="P55" s="134">
        <v>0.9</v>
      </c>
      <c r="Q55" s="134">
        <v>4.28</v>
      </c>
    </row>
    <row r="56" spans="1:17" customFormat="1">
      <c r="A56" s="112" t="s">
        <v>1438</v>
      </c>
      <c r="B56" s="134">
        <v>4.88</v>
      </c>
      <c r="C56" s="134">
        <v>24.37</v>
      </c>
      <c r="D56" s="134">
        <v>18</v>
      </c>
      <c r="E56" s="134">
        <v>8.11</v>
      </c>
      <c r="F56" s="134">
        <v>5.53</v>
      </c>
      <c r="G56" s="134">
        <v>86.62</v>
      </c>
      <c r="H56" s="134">
        <v>45.1</v>
      </c>
      <c r="I56" s="134">
        <v>7.96</v>
      </c>
      <c r="J56" s="134">
        <v>0.53</v>
      </c>
      <c r="K56" s="134">
        <v>4.7699999999999996</v>
      </c>
      <c r="L56" s="134">
        <v>29.53</v>
      </c>
      <c r="M56" s="134">
        <v>53.24</v>
      </c>
      <c r="N56" s="134">
        <v>480.8</v>
      </c>
      <c r="O56" s="134">
        <v>0</v>
      </c>
      <c r="P56" s="134">
        <v>0.89</v>
      </c>
      <c r="Q56" s="134">
        <v>4.2699999999999996</v>
      </c>
    </row>
    <row r="57" spans="1:17" customFormat="1">
      <c r="A57" s="112" t="s">
        <v>1439</v>
      </c>
      <c r="B57" s="134">
        <v>4.7699999999999996</v>
      </c>
      <c r="C57" s="134">
        <v>23.99</v>
      </c>
      <c r="D57" s="134">
        <v>17.71</v>
      </c>
      <c r="E57" s="134">
        <v>8.35</v>
      </c>
      <c r="F57" s="134">
        <v>5.72</v>
      </c>
      <c r="G57" s="134">
        <v>86.62</v>
      </c>
      <c r="H57" s="134">
        <v>45.1</v>
      </c>
      <c r="I57" s="134">
        <v>7.74</v>
      </c>
      <c r="J57" s="134">
        <v>0.25</v>
      </c>
      <c r="K57" s="134">
        <v>336.89</v>
      </c>
      <c r="L57" s="134">
        <v>29.96</v>
      </c>
      <c r="M57" s="134">
        <v>50.81</v>
      </c>
      <c r="N57" s="134">
        <v>458.9</v>
      </c>
      <c r="O57" s="134">
        <v>0</v>
      </c>
      <c r="P57" s="134">
        <v>0.88</v>
      </c>
      <c r="Q57" s="134">
        <v>4.2699999999999996</v>
      </c>
    </row>
    <row r="58" spans="1:17" customFormat="1">
      <c r="A58" s="112" t="s">
        <v>1440</v>
      </c>
      <c r="B58" s="134">
        <v>4.6900000000000004</v>
      </c>
      <c r="C58" s="134">
        <v>23.55</v>
      </c>
      <c r="D58" s="134">
        <v>17.420000000000002</v>
      </c>
      <c r="E58" s="134">
        <v>8.16</v>
      </c>
      <c r="F58" s="134">
        <v>5.97</v>
      </c>
      <c r="G58" s="134">
        <v>86.62</v>
      </c>
      <c r="H58" s="134">
        <v>45.1</v>
      </c>
      <c r="I58" s="134">
        <v>7.56</v>
      </c>
      <c r="J58" s="134">
        <v>0.24</v>
      </c>
      <c r="K58" s="134">
        <v>64.83</v>
      </c>
      <c r="L58" s="134">
        <v>30.3</v>
      </c>
      <c r="M58" s="134">
        <v>49.02</v>
      </c>
      <c r="N58" s="134">
        <v>425.2</v>
      </c>
      <c r="O58" s="134">
        <v>0</v>
      </c>
      <c r="P58" s="134">
        <v>0.86</v>
      </c>
      <c r="Q58" s="134">
        <v>4.26</v>
      </c>
    </row>
    <row r="59" spans="1:17" customFormat="1">
      <c r="A59" s="112" t="s">
        <v>1441</v>
      </c>
      <c r="B59" s="134">
        <v>4.5</v>
      </c>
      <c r="C59" s="134">
        <v>23.5</v>
      </c>
      <c r="D59" s="134">
        <v>17.239999999999998</v>
      </c>
      <c r="E59" s="134">
        <v>8.1</v>
      </c>
      <c r="F59" s="134">
        <v>6.04</v>
      </c>
      <c r="G59" s="134">
        <v>80.83</v>
      </c>
      <c r="H59" s="134">
        <v>40.17</v>
      </c>
      <c r="I59" s="134">
        <v>7.37</v>
      </c>
      <c r="J59" s="134">
        <v>0.47</v>
      </c>
      <c r="K59" s="134">
        <v>299.22000000000003</v>
      </c>
      <c r="L59" s="134">
        <v>30.29</v>
      </c>
      <c r="M59" s="134">
        <v>44.89</v>
      </c>
      <c r="N59" s="134">
        <v>469</v>
      </c>
      <c r="O59" s="134">
        <v>0</v>
      </c>
      <c r="P59" s="134">
        <v>0.85</v>
      </c>
      <c r="Q59" s="134">
        <v>4.25</v>
      </c>
    </row>
    <row r="60" spans="1:17" customFormat="1">
      <c r="A60" s="112" t="s">
        <v>1442</v>
      </c>
      <c r="B60" s="134">
        <v>4.55</v>
      </c>
      <c r="C60" s="134">
        <v>22.96</v>
      </c>
      <c r="D60" s="134">
        <v>17</v>
      </c>
      <c r="E60" s="134">
        <v>8.19</v>
      </c>
      <c r="F60" s="134">
        <v>6.17</v>
      </c>
      <c r="G60" s="134">
        <v>80.11</v>
      </c>
      <c r="H60" s="134">
        <v>40.17</v>
      </c>
      <c r="I60" s="134">
        <v>7.16</v>
      </c>
      <c r="J60" s="134">
        <v>0.47</v>
      </c>
      <c r="K60" s="134">
        <v>296.45999999999998</v>
      </c>
      <c r="L60" s="134">
        <v>30.37</v>
      </c>
      <c r="M60" s="134">
        <v>40.92</v>
      </c>
      <c r="N60" s="134">
        <v>374.3</v>
      </c>
      <c r="O60" s="134">
        <v>0</v>
      </c>
      <c r="P60" s="134">
        <v>0.82</v>
      </c>
      <c r="Q60" s="134">
        <v>4.24</v>
      </c>
    </row>
    <row r="61" spans="1:17" customFormat="1">
      <c r="A61" s="112" t="s">
        <v>1443</v>
      </c>
      <c r="B61" s="134">
        <v>4.5599999999999996</v>
      </c>
      <c r="C61" s="134">
        <v>22.31</v>
      </c>
      <c r="D61" s="134">
        <v>16.66</v>
      </c>
      <c r="E61" s="134">
        <v>7.74</v>
      </c>
      <c r="F61" s="134">
        <v>6.11</v>
      </c>
      <c r="G61" s="134">
        <v>80.11</v>
      </c>
      <c r="H61" s="134">
        <v>40.17</v>
      </c>
      <c r="I61" s="134">
        <v>6.98</v>
      </c>
      <c r="J61" s="134">
        <v>0.13</v>
      </c>
      <c r="K61" s="134">
        <v>152.66999999999999</v>
      </c>
      <c r="L61" s="134">
        <v>30.7</v>
      </c>
      <c r="M61" s="134">
        <v>41.77</v>
      </c>
      <c r="N61" s="134">
        <v>380.1</v>
      </c>
      <c r="O61" s="134">
        <v>0</v>
      </c>
      <c r="P61" s="134">
        <v>0.8</v>
      </c>
      <c r="Q61" s="134">
        <v>4.2300000000000004</v>
      </c>
    </row>
    <row r="62" spans="1:17" customFormat="1">
      <c r="A62" s="112" t="s">
        <v>1444</v>
      </c>
      <c r="B62" s="134">
        <v>4.68</v>
      </c>
      <c r="C62" s="134">
        <v>21.84</v>
      </c>
      <c r="D62" s="134">
        <v>16.510000000000002</v>
      </c>
      <c r="E62" s="134">
        <v>7.97</v>
      </c>
      <c r="F62" s="134">
        <v>5.96</v>
      </c>
      <c r="G62" s="134">
        <v>80.11</v>
      </c>
      <c r="H62" s="134">
        <v>40.17</v>
      </c>
      <c r="I62" s="134">
        <v>6.74</v>
      </c>
      <c r="J62" s="134">
        <v>0.36</v>
      </c>
      <c r="K62" s="134">
        <v>5.3</v>
      </c>
      <c r="L62" s="134">
        <v>30.68</v>
      </c>
      <c r="M62" s="134">
        <v>41.59</v>
      </c>
      <c r="N62" s="134">
        <v>285.7</v>
      </c>
      <c r="O62" s="134">
        <v>0</v>
      </c>
      <c r="P62" s="134">
        <v>0.79</v>
      </c>
      <c r="Q62" s="134">
        <v>4.24</v>
      </c>
    </row>
    <row r="63" spans="1:17" customFormat="1">
      <c r="A63" s="112" t="s">
        <v>1445</v>
      </c>
      <c r="B63" s="134">
        <v>4.59</v>
      </c>
      <c r="C63" s="134">
        <v>22.25</v>
      </c>
      <c r="D63" s="134">
        <v>16.66</v>
      </c>
      <c r="E63" s="134">
        <v>7.24</v>
      </c>
      <c r="F63" s="134">
        <v>5.89</v>
      </c>
      <c r="G63" s="134">
        <v>64.27</v>
      </c>
      <c r="H63" s="134">
        <v>25.33</v>
      </c>
      <c r="I63" s="134">
        <v>5.94</v>
      </c>
      <c r="J63" s="134">
        <v>0.27</v>
      </c>
      <c r="K63" s="134">
        <v>337.01</v>
      </c>
      <c r="L63" s="134">
        <v>30.27</v>
      </c>
      <c r="M63" s="134">
        <v>42.08</v>
      </c>
      <c r="N63" s="134">
        <v>257.2</v>
      </c>
      <c r="O63" s="134">
        <v>0</v>
      </c>
      <c r="P63" s="134">
        <v>0.77</v>
      </c>
      <c r="Q63" s="134">
        <v>4.25</v>
      </c>
    </row>
    <row r="64" spans="1:17" customFormat="1">
      <c r="A64" s="112" t="s">
        <v>1446</v>
      </c>
      <c r="B64" s="134">
        <v>4.72</v>
      </c>
      <c r="C64" s="134">
        <v>22.19</v>
      </c>
      <c r="D64" s="134">
        <v>16.73</v>
      </c>
      <c r="E64" s="134">
        <v>7.85</v>
      </c>
      <c r="F64" s="134">
        <v>5.82</v>
      </c>
      <c r="G64" s="134">
        <v>62.06</v>
      </c>
      <c r="H64" s="134">
        <v>25.33</v>
      </c>
      <c r="I64" s="134">
        <v>6.34</v>
      </c>
      <c r="J64" s="134">
        <v>0.28999999999999998</v>
      </c>
      <c r="K64" s="134">
        <v>20.97</v>
      </c>
      <c r="L64" s="134">
        <v>30.25</v>
      </c>
      <c r="M64" s="134">
        <v>37.6</v>
      </c>
      <c r="N64" s="134">
        <v>277.60000000000002</v>
      </c>
      <c r="O64" s="134">
        <v>0</v>
      </c>
      <c r="P64" s="134">
        <v>0.75</v>
      </c>
      <c r="Q64" s="134">
        <v>4.24</v>
      </c>
    </row>
    <row r="65" spans="1:17" customFormat="1">
      <c r="A65" s="112" t="s">
        <v>1447</v>
      </c>
      <c r="B65" s="134">
        <v>4.6900000000000004</v>
      </c>
      <c r="C65" s="134">
        <v>21.99</v>
      </c>
      <c r="D65" s="134">
        <v>16.600000000000001</v>
      </c>
      <c r="E65" s="134">
        <v>7.75</v>
      </c>
      <c r="F65" s="134">
        <v>5.9</v>
      </c>
      <c r="G65" s="134">
        <v>62.06</v>
      </c>
      <c r="H65" s="134">
        <v>25.33</v>
      </c>
      <c r="I65" s="134">
        <v>5.61</v>
      </c>
      <c r="J65" s="134">
        <v>0.47</v>
      </c>
      <c r="K65" s="134">
        <v>287.33</v>
      </c>
      <c r="L65" s="134">
        <v>30.16</v>
      </c>
      <c r="M65" s="134">
        <v>34.31</v>
      </c>
      <c r="N65" s="134">
        <v>233.3</v>
      </c>
      <c r="O65" s="134">
        <v>0</v>
      </c>
      <c r="P65" s="134">
        <v>0.73</v>
      </c>
      <c r="Q65" s="134">
        <v>4.25</v>
      </c>
    </row>
    <row r="66" spans="1:17" customFormat="1">
      <c r="A66" s="112" t="s">
        <v>1448</v>
      </c>
      <c r="B66" s="134">
        <v>4.6399999999999997</v>
      </c>
      <c r="C66" s="134">
        <v>21.56</v>
      </c>
      <c r="D66" s="134">
        <v>16.34</v>
      </c>
      <c r="E66" s="134">
        <v>7.64</v>
      </c>
      <c r="F66" s="134">
        <v>6.06</v>
      </c>
      <c r="G66" s="134">
        <v>62.06</v>
      </c>
      <c r="H66" s="134">
        <v>25.33</v>
      </c>
      <c r="I66" s="134">
        <v>5.99</v>
      </c>
      <c r="J66" s="134">
        <v>0.2</v>
      </c>
      <c r="K66" s="134">
        <v>336.62</v>
      </c>
      <c r="L66" s="134">
        <v>30.09</v>
      </c>
      <c r="M66" s="134">
        <v>36.14</v>
      </c>
      <c r="N66" s="134">
        <v>169.3</v>
      </c>
      <c r="O66" s="134">
        <v>0</v>
      </c>
      <c r="P66" s="134">
        <v>0.76</v>
      </c>
      <c r="Q66" s="134">
        <v>4.24</v>
      </c>
    </row>
    <row r="67" spans="1:17" customFormat="1">
      <c r="A67" s="112" t="s">
        <v>1449</v>
      </c>
      <c r="B67" s="134">
        <v>4.71</v>
      </c>
      <c r="C67" s="134">
        <v>21.36</v>
      </c>
      <c r="D67" s="134">
        <v>16.29</v>
      </c>
      <c r="E67" s="134">
        <v>7.62</v>
      </c>
      <c r="F67" s="134">
        <v>6</v>
      </c>
      <c r="G67" s="134">
        <v>53.95</v>
      </c>
      <c r="H67" s="134">
        <v>24.49</v>
      </c>
      <c r="I67" s="134">
        <v>5.27</v>
      </c>
      <c r="J67" s="134">
        <v>0.22</v>
      </c>
      <c r="K67" s="134">
        <v>21.62</v>
      </c>
      <c r="L67" s="134">
        <v>29.99</v>
      </c>
      <c r="M67" s="134">
        <v>36.06</v>
      </c>
      <c r="N67" s="134">
        <v>131</v>
      </c>
      <c r="O67" s="134">
        <v>0</v>
      </c>
      <c r="P67" s="134">
        <v>0.74</v>
      </c>
      <c r="Q67" s="134">
        <v>4.2300000000000004</v>
      </c>
    </row>
    <row r="68" spans="1:17" customFormat="1">
      <c r="A68" s="112" t="s">
        <v>1450</v>
      </c>
      <c r="B68" s="134">
        <v>4.7</v>
      </c>
      <c r="C68" s="134">
        <v>21.35</v>
      </c>
      <c r="D68" s="134">
        <v>16.27</v>
      </c>
      <c r="E68" s="134">
        <v>7.73</v>
      </c>
      <c r="F68" s="134">
        <v>6.03</v>
      </c>
      <c r="G68" s="134">
        <v>52.82</v>
      </c>
      <c r="H68" s="134">
        <v>24.49</v>
      </c>
      <c r="I68" s="134">
        <v>5.6</v>
      </c>
      <c r="J68" s="134">
        <v>0.33</v>
      </c>
      <c r="K68" s="134">
        <v>1.29</v>
      </c>
      <c r="L68" s="134">
        <v>29.72</v>
      </c>
      <c r="M68" s="134">
        <v>37.18</v>
      </c>
      <c r="N68" s="134">
        <v>103.8</v>
      </c>
      <c r="O68" s="134">
        <v>0</v>
      </c>
      <c r="P68" s="134">
        <v>0.73</v>
      </c>
      <c r="Q68" s="134">
        <v>4.2</v>
      </c>
    </row>
    <row r="69" spans="1:17" customFormat="1">
      <c r="A69" s="112" t="s">
        <v>1451</v>
      </c>
      <c r="B69" s="134">
        <v>4.8099999999999996</v>
      </c>
      <c r="C69" s="134">
        <v>21.34</v>
      </c>
      <c r="D69" s="134">
        <v>16.36</v>
      </c>
      <c r="E69" s="134">
        <v>7.88</v>
      </c>
      <c r="F69" s="134">
        <v>5.96</v>
      </c>
      <c r="G69" s="134">
        <v>52.82</v>
      </c>
      <c r="H69" s="134">
        <v>24.49</v>
      </c>
      <c r="I69" s="134">
        <v>5.46</v>
      </c>
      <c r="J69" s="134">
        <v>0.19</v>
      </c>
      <c r="K69" s="134">
        <v>23.49</v>
      </c>
      <c r="L69" s="134">
        <v>29.45</v>
      </c>
      <c r="M69" s="134">
        <v>38.659999999999997</v>
      </c>
      <c r="N69" s="134">
        <v>108.4</v>
      </c>
      <c r="O69" s="134">
        <v>0</v>
      </c>
      <c r="P69" s="134">
        <v>0.74</v>
      </c>
      <c r="Q69" s="134">
        <v>4.21</v>
      </c>
    </row>
    <row r="70" spans="1:17" customFormat="1">
      <c r="A70" s="112" t="s">
        <v>1452</v>
      </c>
      <c r="B70" s="134">
        <v>4.91</v>
      </c>
      <c r="C70" s="134">
        <v>19.79</v>
      </c>
      <c r="D70" s="134">
        <v>15.63</v>
      </c>
      <c r="E70" s="134">
        <v>7.11</v>
      </c>
      <c r="F70" s="134">
        <v>5.31</v>
      </c>
      <c r="G70" s="134">
        <v>52.82</v>
      </c>
      <c r="H70" s="134">
        <v>24.49</v>
      </c>
      <c r="I70" s="134">
        <v>4.83</v>
      </c>
      <c r="J70" s="134">
        <v>0.11</v>
      </c>
      <c r="K70" s="134">
        <v>355.66</v>
      </c>
      <c r="L70" s="134">
        <v>29.4</v>
      </c>
      <c r="M70" s="134">
        <v>40.14</v>
      </c>
      <c r="N70" s="134">
        <v>78.900000000000006</v>
      </c>
      <c r="O70" s="134">
        <v>0</v>
      </c>
      <c r="P70" s="134">
        <v>0.73</v>
      </c>
      <c r="Q70" s="134">
        <v>4.2</v>
      </c>
    </row>
    <row r="71" spans="1:17" customFormat="1">
      <c r="A71" s="112" t="s">
        <v>1453</v>
      </c>
      <c r="B71" s="134">
        <v>5.17</v>
      </c>
      <c r="C71" s="134">
        <v>18.440000000000001</v>
      </c>
      <c r="D71" s="134">
        <v>15.13</v>
      </c>
      <c r="E71" s="134">
        <v>7.49</v>
      </c>
      <c r="F71" s="134">
        <v>6.38</v>
      </c>
      <c r="G71" s="134">
        <v>64.42</v>
      </c>
      <c r="H71" s="134">
        <v>22.87</v>
      </c>
      <c r="I71" s="134">
        <v>5.29</v>
      </c>
      <c r="J71" s="134">
        <v>0.15</v>
      </c>
      <c r="K71" s="134">
        <v>13.33</v>
      </c>
      <c r="L71" s="134">
        <v>29.07</v>
      </c>
      <c r="M71" s="134">
        <v>42.68</v>
      </c>
      <c r="N71" s="134">
        <v>73.900000000000006</v>
      </c>
      <c r="O71" s="134">
        <v>0</v>
      </c>
      <c r="P71" s="134">
        <v>0.72</v>
      </c>
      <c r="Q71" s="134">
        <v>4.21</v>
      </c>
    </row>
    <row r="72" spans="1:17" customFormat="1">
      <c r="A72" s="112" t="s">
        <v>1454</v>
      </c>
      <c r="B72" s="134">
        <v>5.28</v>
      </c>
      <c r="C72" s="134">
        <v>18.32</v>
      </c>
      <c r="D72" s="134">
        <v>15.16</v>
      </c>
      <c r="E72" s="134">
        <v>7.13</v>
      </c>
      <c r="F72" s="134">
        <v>4.99</v>
      </c>
      <c r="G72" s="134">
        <v>65.87</v>
      </c>
      <c r="H72" s="134">
        <v>22.87</v>
      </c>
      <c r="I72" s="134">
        <v>5.29</v>
      </c>
      <c r="J72" s="134">
        <v>0.22</v>
      </c>
      <c r="K72" s="134">
        <v>32.869999999999997</v>
      </c>
      <c r="L72" s="134">
        <v>28.82</v>
      </c>
      <c r="M72" s="134">
        <v>44.19</v>
      </c>
      <c r="N72" s="134">
        <v>55.9</v>
      </c>
      <c r="O72" s="134">
        <v>0</v>
      </c>
      <c r="P72" s="134">
        <v>0.72</v>
      </c>
      <c r="Q72" s="134">
        <v>4.2</v>
      </c>
    </row>
    <row r="73" spans="1:17" customFormat="1">
      <c r="A73" s="112" t="s">
        <v>1455</v>
      </c>
      <c r="B73" s="134">
        <v>5.41</v>
      </c>
      <c r="C73" s="134">
        <v>18.32</v>
      </c>
      <c r="D73" s="134">
        <v>15.26</v>
      </c>
      <c r="E73" s="134">
        <v>8.6999999999999993</v>
      </c>
      <c r="F73" s="134">
        <v>6.09</v>
      </c>
      <c r="G73" s="134">
        <v>65.87</v>
      </c>
      <c r="H73" s="134">
        <v>22.87</v>
      </c>
      <c r="I73" s="134">
        <v>5.31</v>
      </c>
      <c r="J73" s="134">
        <v>0.27</v>
      </c>
      <c r="K73" s="134">
        <v>33.89</v>
      </c>
      <c r="L73" s="134">
        <v>28.39</v>
      </c>
      <c r="M73" s="134">
        <v>46.98</v>
      </c>
      <c r="N73" s="134">
        <v>40.5</v>
      </c>
      <c r="O73" s="134">
        <v>0</v>
      </c>
      <c r="P73" s="134">
        <v>0.72</v>
      </c>
      <c r="Q73" s="134">
        <v>4.1900000000000004</v>
      </c>
    </row>
    <row r="74" spans="1:17" customFormat="1">
      <c r="A74" s="112" t="s">
        <v>1456</v>
      </c>
      <c r="B74" s="134">
        <v>5.55</v>
      </c>
      <c r="C74" s="134">
        <v>18.25</v>
      </c>
      <c r="D74" s="134">
        <v>15.34</v>
      </c>
      <c r="E74" s="134">
        <v>7.66</v>
      </c>
      <c r="F74" s="134">
        <v>5.43</v>
      </c>
      <c r="G74" s="134">
        <v>65.87</v>
      </c>
      <c r="H74" s="134">
        <v>22.87</v>
      </c>
      <c r="I74" s="134">
        <v>5.31</v>
      </c>
      <c r="J74" s="134">
        <v>0.16</v>
      </c>
      <c r="K74" s="134">
        <v>38.44</v>
      </c>
      <c r="L74" s="134">
        <v>28.06</v>
      </c>
      <c r="M74" s="134">
        <v>47.96</v>
      </c>
      <c r="N74" s="134">
        <v>24</v>
      </c>
      <c r="O74" s="134">
        <v>0</v>
      </c>
      <c r="P74" s="134">
        <v>0.72</v>
      </c>
      <c r="Q74" s="134">
        <v>4.2</v>
      </c>
    </row>
    <row r="75" spans="1:17" customFormat="1">
      <c r="A75" s="112" t="s">
        <v>1457</v>
      </c>
      <c r="B75" s="134">
        <v>5.72</v>
      </c>
      <c r="C75" s="134">
        <v>18.559999999999999</v>
      </c>
      <c r="D75" s="134">
        <v>15.63</v>
      </c>
      <c r="E75" s="134">
        <v>6.76</v>
      </c>
      <c r="F75" s="134">
        <v>4.26</v>
      </c>
      <c r="G75" s="134">
        <v>75.680000000000007</v>
      </c>
      <c r="H75" s="134">
        <v>30.85</v>
      </c>
      <c r="I75" s="134">
        <v>5.32</v>
      </c>
      <c r="J75" s="134">
        <v>7.0000000000000007E-2</v>
      </c>
      <c r="K75" s="134">
        <v>100.47</v>
      </c>
      <c r="L75" s="134">
        <v>27.57</v>
      </c>
      <c r="M75" s="134">
        <v>52.31</v>
      </c>
      <c r="N75" s="134">
        <v>10.5</v>
      </c>
      <c r="O75" s="134">
        <v>0</v>
      </c>
      <c r="P75" s="134">
        <v>0.73</v>
      </c>
      <c r="Q75" s="134">
        <v>4.21</v>
      </c>
    </row>
    <row r="76" spans="1:17" customFormat="1">
      <c r="A76" s="112" t="s">
        <v>1458</v>
      </c>
      <c r="B76" s="134">
        <v>5.98</v>
      </c>
      <c r="C76" s="134">
        <v>18.57</v>
      </c>
      <c r="D76" s="134">
        <v>15.85</v>
      </c>
      <c r="E76" s="134">
        <v>6.33</v>
      </c>
      <c r="F76" s="134">
        <v>3.46</v>
      </c>
      <c r="G76" s="134">
        <v>77.05</v>
      </c>
      <c r="H76" s="134">
        <v>30.85</v>
      </c>
      <c r="I76" s="134">
        <v>5.37</v>
      </c>
      <c r="J76" s="134">
        <v>0.14000000000000001</v>
      </c>
      <c r="K76" s="134">
        <v>45.11</v>
      </c>
      <c r="L76" s="134">
        <v>27.16</v>
      </c>
      <c r="M76" s="134">
        <v>51.58</v>
      </c>
      <c r="N76" s="134">
        <v>1.5</v>
      </c>
      <c r="O76" s="134">
        <v>0</v>
      </c>
      <c r="P76" s="134">
        <v>0.72</v>
      </c>
      <c r="Q76" s="134">
        <v>4.22</v>
      </c>
    </row>
    <row r="77" spans="1:17" customFormat="1">
      <c r="A77" s="112" t="s">
        <v>1459</v>
      </c>
      <c r="B77" s="134">
        <v>6.2</v>
      </c>
      <c r="C77" s="134">
        <v>18.71</v>
      </c>
      <c r="D77" s="134">
        <v>16.100000000000001</v>
      </c>
      <c r="E77" s="134">
        <v>6.12</v>
      </c>
      <c r="F77" s="134">
        <v>3.11</v>
      </c>
      <c r="G77" s="134">
        <v>77.05</v>
      </c>
      <c r="H77" s="134">
        <v>30.85</v>
      </c>
      <c r="I77" s="134">
        <v>5.41</v>
      </c>
      <c r="J77" s="134">
        <v>0.2</v>
      </c>
      <c r="K77" s="134">
        <v>167.42</v>
      </c>
      <c r="L77" s="134">
        <v>26.32</v>
      </c>
      <c r="M77" s="134">
        <v>58.69</v>
      </c>
      <c r="N77" s="134">
        <v>0</v>
      </c>
      <c r="O77" s="134">
        <v>0</v>
      </c>
      <c r="P77" s="134">
        <v>0.73</v>
      </c>
      <c r="Q77" s="134">
        <v>4.22</v>
      </c>
    </row>
    <row r="78" spans="1:17" customFormat="1">
      <c r="A78" s="112" t="s">
        <v>1460</v>
      </c>
      <c r="B78" s="134">
        <v>6.48</v>
      </c>
      <c r="C78" s="134">
        <v>19.82</v>
      </c>
      <c r="D78" s="134">
        <v>16.899999999999999</v>
      </c>
      <c r="E78" s="134">
        <v>5.79</v>
      </c>
      <c r="F78" s="134">
        <v>2.92</v>
      </c>
      <c r="G78" s="134">
        <v>77.05</v>
      </c>
      <c r="H78" s="134">
        <v>30.85</v>
      </c>
      <c r="I78" s="134">
        <v>5.47</v>
      </c>
      <c r="J78" s="134">
        <v>0.11</v>
      </c>
      <c r="K78" s="134">
        <v>149.63999999999999</v>
      </c>
      <c r="L78" s="134">
        <v>25.57</v>
      </c>
      <c r="M78" s="134">
        <v>60.32</v>
      </c>
      <c r="N78" s="134">
        <v>0</v>
      </c>
      <c r="O78" s="134">
        <v>0</v>
      </c>
      <c r="P78" s="134">
        <v>0.74</v>
      </c>
      <c r="Q78" s="134">
        <v>4.2300000000000004</v>
      </c>
    </row>
    <row r="79" spans="1:17" customFormat="1">
      <c r="A79" s="112" t="s">
        <v>1461</v>
      </c>
      <c r="B79" s="134">
        <v>6.8</v>
      </c>
      <c r="C79" s="134">
        <v>20.03</v>
      </c>
      <c r="D79" s="134">
        <v>17.27</v>
      </c>
      <c r="E79" s="134">
        <v>5.36</v>
      </c>
      <c r="F79" s="134">
        <v>2.91</v>
      </c>
      <c r="G79" s="134">
        <v>86.25</v>
      </c>
      <c r="H79" s="134">
        <v>39.409999999999997</v>
      </c>
      <c r="I79" s="134">
        <v>5.46</v>
      </c>
      <c r="J79" s="134">
        <v>0.11</v>
      </c>
      <c r="K79" s="134">
        <v>161.47999999999999</v>
      </c>
      <c r="L79" s="134">
        <v>25.34</v>
      </c>
      <c r="M79" s="134">
        <v>60.9</v>
      </c>
      <c r="N79" s="134">
        <v>0</v>
      </c>
      <c r="O79" s="134">
        <v>0</v>
      </c>
      <c r="P79" s="134">
        <v>0.76</v>
      </c>
      <c r="Q79" s="134">
        <v>4.25</v>
      </c>
    </row>
    <row r="80" spans="1:17" customFormat="1">
      <c r="A80" s="112" t="s">
        <v>1462</v>
      </c>
      <c r="B80" s="134">
        <v>7.06</v>
      </c>
      <c r="C80" s="134">
        <v>19.98</v>
      </c>
      <c r="D80" s="134">
        <v>17.45</v>
      </c>
      <c r="E80" s="134">
        <v>5.59</v>
      </c>
      <c r="F80" s="134">
        <v>2.92</v>
      </c>
      <c r="G80" s="134">
        <v>87.53</v>
      </c>
      <c r="H80" s="134">
        <v>39.409999999999997</v>
      </c>
      <c r="I80" s="134">
        <v>5.55</v>
      </c>
      <c r="J80" s="134">
        <v>0.08</v>
      </c>
      <c r="K80" s="134">
        <v>141.62</v>
      </c>
      <c r="L80" s="134">
        <v>25.14</v>
      </c>
      <c r="M80" s="134">
        <v>61.37</v>
      </c>
      <c r="N80" s="134">
        <v>0</v>
      </c>
      <c r="O80" s="134">
        <v>0</v>
      </c>
      <c r="P80" s="134">
        <v>0.78</v>
      </c>
      <c r="Q80" s="134">
        <v>4.29</v>
      </c>
    </row>
    <row r="81" spans="1:17" customFormat="1">
      <c r="A81" s="112" t="s">
        <v>1463</v>
      </c>
      <c r="B81" s="134">
        <v>7.44</v>
      </c>
      <c r="C81" s="134">
        <v>21.56</v>
      </c>
      <c r="D81" s="134">
        <v>18.579999999999998</v>
      </c>
      <c r="E81" s="134">
        <v>4.18</v>
      </c>
      <c r="F81" s="134">
        <v>2.69</v>
      </c>
      <c r="G81" s="134">
        <v>87.53</v>
      </c>
      <c r="H81" s="134">
        <v>39.409999999999997</v>
      </c>
      <c r="I81" s="134">
        <v>5.62</v>
      </c>
      <c r="J81" s="134">
        <v>0.05</v>
      </c>
      <c r="K81" s="134">
        <v>98.1</v>
      </c>
      <c r="L81" s="134">
        <v>24.91</v>
      </c>
      <c r="M81" s="134">
        <v>63.66</v>
      </c>
      <c r="N81" s="134">
        <v>0</v>
      </c>
      <c r="O81" s="134">
        <v>0</v>
      </c>
      <c r="P81" s="134">
        <v>0.81</v>
      </c>
      <c r="Q81" s="134">
        <v>4.29</v>
      </c>
    </row>
    <row r="82" spans="1:17" customFormat="1">
      <c r="A82" s="112" t="s">
        <v>1464</v>
      </c>
      <c r="B82" s="134">
        <v>7.85</v>
      </c>
      <c r="C82" s="134">
        <v>21.26</v>
      </c>
      <c r="D82" s="134">
        <v>18.760000000000002</v>
      </c>
      <c r="E82" s="134">
        <v>4.5199999999999996</v>
      </c>
      <c r="F82" s="134">
        <v>2.88</v>
      </c>
      <c r="G82" s="134">
        <v>87.53</v>
      </c>
      <c r="H82" s="134">
        <v>39.409999999999997</v>
      </c>
      <c r="I82" s="134">
        <v>5.65</v>
      </c>
      <c r="J82" s="134">
        <v>0.09</v>
      </c>
      <c r="K82" s="134">
        <v>135.54</v>
      </c>
      <c r="L82" s="134">
        <v>24.82</v>
      </c>
      <c r="M82" s="134">
        <v>64.44</v>
      </c>
      <c r="N82" s="134">
        <v>0</v>
      </c>
      <c r="O82" s="134">
        <v>0</v>
      </c>
      <c r="P82" s="134">
        <v>0.83</v>
      </c>
      <c r="Q82" s="134">
        <v>4.32</v>
      </c>
    </row>
    <row r="83" spans="1:17" customFormat="1">
      <c r="A83" s="112" t="s">
        <v>1465</v>
      </c>
      <c r="B83" s="134">
        <v>8.34</v>
      </c>
      <c r="C83" s="134">
        <v>22.15</v>
      </c>
      <c r="D83" s="134">
        <v>19.61</v>
      </c>
      <c r="E83" s="134">
        <v>4.6900000000000004</v>
      </c>
      <c r="F83" s="134">
        <v>2.64</v>
      </c>
      <c r="G83" s="134">
        <v>112.66</v>
      </c>
      <c r="H83" s="134">
        <v>49.33</v>
      </c>
      <c r="I83" s="134">
        <v>5.81</v>
      </c>
      <c r="J83" s="134">
        <v>0.1</v>
      </c>
      <c r="K83" s="134">
        <v>144.46</v>
      </c>
      <c r="L83" s="134">
        <v>24.49</v>
      </c>
      <c r="M83" s="134">
        <v>66.650000000000006</v>
      </c>
      <c r="N83" s="134">
        <v>0</v>
      </c>
      <c r="O83" s="134">
        <v>0</v>
      </c>
      <c r="P83" s="134">
        <v>0.86</v>
      </c>
      <c r="Q83" s="134">
        <v>4.3499999999999996</v>
      </c>
    </row>
    <row r="84" spans="1:17" customFormat="1">
      <c r="A84" s="112" t="s">
        <v>1466</v>
      </c>
      <c r="B84" s="134">
        <v>8.74</v>
      </c>
      <c r="C84" s="134">
        <v>22.74</v>
      </c>
      <c r="D84" s="134">
        <v>20.25</v>
      </c>
      <c r="E84" s="134">
        <v>5.29</v>
      </c>
      <c r="F84" s="134">
        <v>2.54</v>
      </c>
      <c r="G84" s="134">
        <v>116.16</v>
      </c>
      <c r="H84" s="134">
        <v>49.33</v>
      </c>
      <c r="I84" s="134">
        <v>5.96</v>
      </c>
      <c r="J84" s="134">
        <v>0.13</v>
      </c>
      <c r="K84" s="134">
        <v>48.12</v>
      </c>
      <c r="L84" s="134">
        <v>24.57</v>
      </c>
      <c r="M84" s="134">
        <v>62.67</v>
      </c>
      <c r="N84" s="134">
        <v>0</v>
      </c>
      <c r="O84" s="134">
        <v>0</v>
      </c>
      <c r="P84" s="134">
        <v>0.9</v>
      </c>
      <c r="Q84" s="134">
        <v>4.3600000000000003</v>
      </c>
    </row>
    <row r="85" spans="1:17" customFormat="1">
      <c r="A85" s="112" t="s">
        <v>1467</v>
      </c>
      <c r="B85" s="134">
        <v>9.23</v>
      </c>
      <c r="C85" s="134">
        <v>21.78</v>
      </c>
      <c r="D85" s="134">
        <v>20.13</v>
      </c>
      <c r="E85" s="134">
        <v>5.15</v>
      </c>
      <c r="F85" s="134">
        <v>2.79</v>
      </c>
      <c r="G85" s="134">
        <v>116.16</v>
      </c>
      <c r="H85" s="134">
        <v>49.33</v>
      </c>
      <c r="I85" s="134">
        <v>6.14</v>
      </c>
      <c r="J85" s="134">
        <v>0.13</v>
      </c>
      <c r="K85" s="134">
        <v>149.49</v>
      </c>
      <c r="L85" s="134">
        <v>24.42</v>
      </c>
      <c r="M85" s="134">
        <v>65.040000000000006</v>
      </c>
      <c r="N85" s="134">
        <v>0</v>
      </c>
      <c r="O85" s="134">
        <v>0</v>
      </c>
      <c r="P85" s="134">
        <v>0.9</v>
      </c>
      <c r="Q85" s="134">
        <v>4.38</v>
      </c>
    </row>
    <row r="86" spans="1:17" customFormat="1">
      <c r="A86" s="112" t="s">
        <v>1468</v>
      </c>
      <c r="B86" s="134">
        <v>9.58</v>
      </c>
      <c r="C86" s="134">
        <v>23</v>
      </c>
      <c r="D86" s="134">
        <v>21.05</v>
      </c>
      <c r="E86" s="134">
        <v>4.8899999999999997</v>
      </c>
      <c r="F86" s="134">
        <v>2.68</v>
      </c>
      <c r="G86" s="134">
        <v>116.16</v>
      </c>
      <c r="H86" s="134">
        <v>49.33</v>
      </c>
      <c r="I86" s="134">
        <v>6.34</v>
      </c>
      <c r="J86" s="134">
        <v>0.17</v>
      </c>
      <c r="K86" s="134">
        <v>171.98</v>
      </c>
      <c r="L86" s="134">
        <v>23.95</v>
      </c>
      <c r="M86" s="134">
        <v>69.28</v>
      </c>
      <c r="N86" s="134">
        <v>0</v>
      </c>
      <c r="O86" s="134">
        <v>0</v>
      </c>
      <c r="P86" s="134">
        <v>0.92</v>
      </c>
      <c r="Q86" s="134">
        <v>4.42</v>
      </c>
    </row>
    <row r="87" spans="1:17" customFormat="1">
      <c r="A87" s="112" t="s">
        <v>1469</v>
      </c>
      <c r="B87" s="134">
        <v>9.7200000000000006</v>
      </c>
      <c r="C87" s="134">
        <v>22.67</v>
      </c>
      <c r="D87" s="134">
        <v>20.99</v>
      </c>
      <c r="E87" s="134">
        <v>5.09</v>
      </c>
      <c r="F87" s="134">
        <v>2.77</v>
      </c>
      <c r="G87" s="134">
        <v>147.54</v>
      </c>
      <c r="H87" s="134">
        <v>78.61</v>
      </c>
      <c r="I87" s="134">
        <v>6.5</v>
      </c>
      <c r="J87" s="134">
        <v>7.0000000000000007E-2</v>
      </c>
      <c r="K87" s="134">
        <v>139.88999999999999</v>
      </c>
      <c r="L87" s="134">
        <v>23.82</v>
      </c>
      <c r="M87" s="134">
        <v>68.05</v>
      </c>
      <c r="N87" s="134">
        <v>0</v>
      </c>
      <c r="O87" s="134">
        <v>0</v>
      </c>
      <c r="P87" s="134">
        <v>0.93</v>
      </c>
      <c r="Q87" s="134">
        <v>4.45</v>
      </c>
    </row>
    <row r="88" spans="1:17" customFormat="1">
      <c r="A88" s="112" t="s">
        <v>1470</v>
      </c>
      <c r="B88" s="134">
        <v>9.75</v>
      </c>
      <c r="C88" s="134">
        <v>23.96</v>
      </c>
      <c r="D88" s="134">
        <v>21.69</v>
      </c>
      <c r="E88" s="134">
        <v>5.96</v>
      </c>
      <c r="F88" s="134">
        <v>2.61</v>
      </c>
      <c r="G88" s="134">
        <v>151.46</v>
      </c>
      <c r="H88" s="134">
        <v>78.61</v>
      </c>
      <c r="I88" s="134">
        <v>6.68</v>
      </c>
      <c r="J88" s="134">
        <v>0.12</v>
      </c>
      <c r="K88" s="134">
        <v>155.62</v>
      </c>
      <c r="L88" s="134">
        <v>23.83</v>
      </c>
      <c r="M88" s="134">
        <v>68.86</v>
      </c>
      <c r="N88" s="134">
        <v>0</v>
      </c>
      <c r="O88" s="134">
        <v>0</v>
      </c>
      <c r="P88" s="134">
        <v>0.96</v>
      </c>
      <c r="Q88" s="134">
        <v>4.4400000000000004</v>
      </c>
    </row>
    <row r="89" spans="1:17" customFormat="1">
      <c r="A89" s="112" t="s">
        <v>1471</v>
      </c>
      <c r="B89" s="134">
        <v>9.26</v>
      </c>
      <c r="C89" s="134">
        <v>25.03</v>
      </c>
      <c r="D89" s="134">
        <v>21.85</v>
      </c>
      <c r="E89" s="134">
        <v>6.23</v>
      </c>
      <c r="F89" s="134">
        <v>2.83</v>
      </c>
      <c r="G89" s="134">
        <v>151.46</v>
      </c>
      <c r="H89" s="134">
        <v>78.61</v>
      </c>
      <c r="I89" s="134">
        <v>6.78</v>
      </c>
      <c r="J89" s="134">
        <v>0.12</v>
      </c>
      <c r="K89" s="134">
        <v>156.68</v>
      </c>
      <c r="L89" s="134">
        <v>23.73</v>
      </c>
      <c r="M89" s="134">
        <v>69.52</v>
      </c>
      <c r="N89" s="134">
        <v>0</v>
      </c>
      <c r="O89" s="134">
        <v>0</v>
      </c>
      <c r="P89" s="134">
        <v>0.99</v>
      </c>
      <c r="Q89" s="134">
        <v>4.43</v>
      </c>
    </row>
    <row r="90" spans="1:17" customFormat="1">
      <c r="A90" s="112" t="s">
        <v>1472</v>
      </c>
      <c r="B90" s="134">
        <v>8.84</v>
      </c>
      <c r="C90" s="134">
        <v>26.12</v>
      </c>
      <c r="D90" s="134">
        <v>22.08</v>
      </c>
      <c r="E90" s="134">
        <v>6.66</v>
      </c>
      <c r="F90" s="134">
        <v>2.86</v>
      </c>
      <c r="G90" s="134">
        <v>151.46</v>
      </c>
      <c r="H90" s="134">
        <v>78.61</v>
      </c>
      <c r="I90" s="134">
        <v>6.95</v>
      </c>
      <c r="J90" s="134">
        <v>0.13</v>
      </c>
      <c r="K90" s="134">
        <v>135.86000000000001</v>
      </c>
      <c r="L90" s="134">
        <v>23.91</v>
      </c>
      <c r="M90" s="134">
        <v>67.23</v>
      </c>
      <c r="N90" s="134">
        <v>0</v>
      </c>
      <c r="O90" s="134">
        <v>0</v>
      </c>
      <c r="P90" s="134">
        <v>1.02</v>
      </c>
      <c r="Q90" s="134">
        <v>4.3899999999999997</v>
      </c>
    </row>
    <row r="91" spans="1:17" customFormat="1">
      <c r="A91" s="112" t="s">
        <v>1473</v>
      </c>
      <c r="B91" s="134">
        <v>8.59</v>
      </c>
      <c r="C91" s="134">
        <v>26.78</v>
      </c>
      <c r="D91" s="134">
        <v>22.23</v>
      </c>
      <c r="E91" s="134">
        <v>6.86</v>
      </c>
      <c r="F91" s="134">
        <v>2.84</v>
      </c>
      <c r="G91" s="134">
        <v>145</v>
      </c>
      <c r="H91" s="134">
        <v>76.11</v>
      </c>
      <c r="I91" s="134">
        <v>7.07</v>
      </c>
      <c r="J91" s="134">
        <v>0.15</v>
      </c>
      <c r="K91" s="134">
        <v>109.83</v>
      </c>
      <c r="L91" s="134">
        <v>23.97</v>
      </c>
      <c r="M91" s="134">
        <v>65.16</v>
      </c>
      <c r="N91" s="134">
        <v>0</v>
      </c>
      <c r="O91" s="134">
        <v>0</v>
      </c>
      <c r="P91" s="134">
        <v>1.04</v>
      </c>
      <c r="Q91" s="134">
        <v>4.41</v>
      </c>
    </row>
    <row r="92" spans="1:17" customFormat="1">
      <c r="A92" s="112" t="s">
        <v>1474</v>
      </c>
      <c r="B92" s="134">
        <v>8.2899999999999991</v>
      </c>
      <c r="C92" s="134">
        <v>27.31</v>
      </c>
      <c r="D92" s="134">
        <v>22.27</v>
      </c>
      <c r="E92" s="134">
        <v>6.81</v>
      </c>
      <c r="F92" s="134">
        <v>2.99</v>
      </c>
      <c r="G92" s="134">
        <v>144.19</v>
      </c>
      <c r="H92" s="134">
        <v>76.11</v>
      </c>
      <c r="I92" s="134">
        <v>7.32</v>
      </c>
      <c r="J92" s="134">
        <v>0.16</v>
      </c>
      <c r="K92" s="134">
        <v>147.97</v>
      </c>
      <c r="L92" s="134">
        <v>24.04</v>
      </c>
      <c r="M92" s="134">
        <v>64.86</v>
      </c>
      <c r="N92" s="134">
        <v>0</v>
      </c>
      <c r="O92" s="134">
        <v>0</v>
      </c>
      <c r="P92" s="134">
        <v>1.03</v>
      </c>
      <c r="Q92" s="134">
        <v>4.42</v>
      </c>
    </row>
    <row r="93" spans="1:17" customFormat="1">
      <c r="A93" s="112" t="s">
        <v>1475</v>
      </c>
      <c r="B93" s="134">
        <v>7.86</v>
      </c>
      <c r="C93" s="134">
        <v>27.56</v>
      </c>
      <c r="D93" s="134">
        <v>22.06</v>
      </c>
      <c r="E93" s="134">
        <v>6.16</v>
      </c>
      <c r="F93" s="134">
        <v>3.16</v>
      </c>
      <c r="G93" s="134">
        <v>144.19</v>
      </c>
      <c r="H93" s="134">
        <v>76.11</v>
      </c>
      <c r="I93" s="134">
        <v>7.42</v>
      </c>
      <c r="J93" s="134">
        <v>0.11</v>
      </c>
      <c r="K93" s="134">
        <v>133.08000000000001</v>
      </c>
      <c r="L93" s="134">
        <v>24.02</v>
      </c>
      <c r="M93" s="134">
        <v>64.7</v>
      </c>
      <c r="N93" s="134">
        <v>0</v>
      </c>
      <c r="O93" s="134">
        <v>0</v>
      </c>
      <c r="P93" s="134">
        <v>1.04</v>
      </c>
      <c r="Q93" s="134">
        <v>4.3899999999999997</v>
      </c>
    </row>
    <row r="94" spans="1:17" customFormat="1">
      <c r="A94" s="112" t="s">
        <v>1476</v>
      </c>
      <c r="B94" s="134">
        <v>7.41</v>
      </c>
      <c r="C94" s="134">
        <v>27.65</v>
      </c>
      <c r="D94" s="134">
        <v>21.74</v>
      </c>
      <c r="E94" s="134">
        <v>6.45</v>
      </c>
      <c r="F94" s="134">
        <v>3.3</v>
      </c>
      <c r="G94" s="134">
        <v>144.19</v>
      </c>
      <c r="H94" s="134">
        <v>76.11</v>
      </c>
      <c r="I94" s="134">
        <v>7.48</v>
      </c>
      <c r="J94" s="134">
        <v>0.21</v>
      </c>
      <c r="K94" s="134">
        <v>184.33</v>
      </c>
      <c r="L94" s="134">
        <v>23.46</v>
      </c>
      <c r="M94" s="134">
        <v>71.430000000000007</v>
      </c>
      <c r="N94" s="134">
        <v>0</v>
      </c>
      <c r="O94" s="134">
        <v>0</v>
      </c>
      <c r="P94" s="134">
        <v>1.03</v>
      </c>
      <c r="Q94" s="134">
        <v>4.4000000000000004</v>
      </c>
    </row>
    <row r="95" spans="1:17" customFormat="1">
      <c r="A95" s="112" t="s">
        <v>1477</v>
      </c>
      <c r="B95" s="134">
        <v>7.03</v>
      </c>
      <c r="C95" s="134">
        <v>26.94</v>
      </c>
      <c r="D95" s="134">
        <v>21.07</v>
      </c>
      <c r="E95" s="134">
        <v>6.58</v>
      </c>
      <c r="F95" s="134">
        <v>3.32</v>
      </c>
      <c r="G95" s="134">
        <v>129.62</v>
      </c>
      <c r="H95" s="134">
        <v>70.760000000000005</v>
      </c>
      <c r="I95" s="134">
        <v>7.5</v>
      </c>
      <c r="J95" s="134">
        <v>0.13</v>
      </c>
      <c r="K95" s="134">
        <v>230.3</v>
      </c>
      <c r="L95" s="134">
        <v>22.49</v>
      </c>
      <c r="M95" s="134">
        <v>75.900000000000006</v>
      </c>
      <c r="N95" s="134">
        <v>0</v>
      </c>
      <c r="O95" s="134">
        <v>0</v>
      </c>
      <c r="P95" s="134">
        <v>1.01</v>
      </c>
      <c r="Q95" s="134">
        <v>4.3899999999999997</v>
      </c>
    </row>
    <row r="96" spans="1:17" customFormat="1">
      <c r="A96" s="112" t="s">
        <v>1478</v>
      </c>
      <c r="B96" s="134">
        <v>7.15</v>
      </c>
      <c r="C96" s="134">
        <v>27.01</v>
      </c>
      <c r="D96" s="134">
        <v>21.2</v>
      </c>
      <c r="E96" s="134">
        <v>6.86</v>
      </c>
      <c r="F96" s="134">
        <v>3.02</v>
      </c>
      <c r="G96" s="134">
        <v>127.59</v>
      </c>
      <c r="H96" s="134">
        <v>70.760000000000005</v>
      </c>
      <c r="I96" s="134">
        <v>7.55</v>
      </c>
      <c r="J96" s="134">
        <v>0.1</v>
      </c>
      <c r="K96" s="134">
        <v>175.22</v>
      </c>
      <c r="L96" s="134">
        <v>22.25</v>
      </c>
      <c r="M96" s="134">
        <v>75.53</v>
      </c>
      <c r="N96" s="134">
        <v>0</v>
      </c>
      <c r="O96" s="134">
        <v>0</v>
      </c>
      <c r="P96" s="134">
        <v>1.01</v>
      </c>
      <c r="Q96" s="134">
        <v>4.3899999999999997</v>
      </c>
    </row>
    <row r="97" spans="1:22" customFormat="1">
      <c r="A97" s="112" t="s">
        <v>1479</v>
      </c>
      <c r="B97" s="134">
        <v>9.11</v>
      </c>
      <c r="C97" s="134">
        <v>28.72</v>
      </c>
      <c r="D97" s="134">
        <v>23.66</v>
      </c>
      <c r="E97" s="134">
        <v>7</v>
      </c>
      <c r="F97" s="134">
        <v>2.54</v>
      </c>
      <c r="G97" s="134">
        <v>127.59</v>
      </c>
      <c r="H97" s="134">
        <v>70.760000000000005</v>
      </c>
      <c r="I97" s="134">
        <v>7.5</v>
      </c>
      <c r="J97" s="134">
        <v>0.11</v>
      </c>
      <c r="K97" s="134">
        <v>166.4</v>
      </c>
      <c r="L97" s="134">
        <v>22.3</v>
      </c>
      <c r="M97" s="134">
        <v>75.099999999999994</v>
      </c>
      <c r="N97" s="134">
        <v>0</v>
      </c>
      <c r="O97" s="134">
        <v>0</v>
      </c>
      <c r="P97" s="134">
        <v>1.03</v>
      </c>
      <c r="Q97" s="134">
        <v>4.47</v>
      </c>
    </row>
    <row r="98" spans="1:22" customFormat="1">
      <c r="A98" s="112" t="s">
        <v>1480</v>
      </c>
      <c r="B98" s="134">
        <v>11.35</v>
      </c>
      <c r="C98" s="134">
        <v>30.62</v>
      </c>
      <c r="D98" s="134">
        <v>26.45</v>
      </c>
      <c r="E98" s="134">
        <v>7.17</v>
      </c>
      <c r="F98" s="134">
        <v>2.5099999999999998</v>
      </c>
      <c r="G98" s="134">
        <v>127.59</v>
      </c>
      <c r="H98" s="134">
        <v>70.760000000000005</v>
      </c>
      <c r="I98" s="134">
        <v>7.51</v>
      </c>
      <c r="J98" s="134">
        <v>0.14000000000000001</v>
      </c>
      <c r="K98" s="134">
        <v>205.56</v>
      </c>
      <c r="L98" s="134">
        <v>22.12</v>
      </c>
      <c r="M98" s="134">
        <v>75.61</v>
      </c>
      <c r="N98" s="134">
        <v>0</v>
      </c>
      <c r="O98" s="134">
        <v>0</v>
      </c>
      <c r="P98" s="134">
        <v>1.07</v>
      </c>
      <c r="Q98" s="134">
        <v>4.55</v>
      </c>
    </row>
    <row r="99" spans="1:22" customFormat="1">
      <c r="A99" s="112" t="s">
        <v>1481</v>
      </c>
      <c r="B99" s="134">
        <v>12.56</v>
      </c>
      <c r="C99" s="134">
        <v>31.73</v>
      </c>
      <c r="D99" s="134">
        <v>28</v>
      </c>
      <c r="E99" s="134">
        <v>7.24</v>
      </c>
      <c r="F99" s="134">
        <v>2.57</v>
      </c>
      <c r="G99" s="134">
        <v>126.31</v>
      </c>
      <c r="H99" s="134">
        <v>60.23</v>
      </c>
      <c r="I99" s="134">
        <v>7.65</v>
      </c>
      <c r="J99" s="134">
        <v>0.14000000000000001</v>
      </c>
      <c r="K99" s="134">
        <v>176.46</v>
      </c>
      <c r="L99" s="134">
        <v>21.87</v>
      </c>
      <c r="M99" s="134">
        <v>78</v>
      </c>
      <c r="N99" s="134">
        <v>0</v>
      </c>
      <c r="O99" s="134">
        <v>0</v>
      </c>
      <c r="P99" s="134">
        <v>1.0900000000000001</v>
      </c>
      <c r="Q99" s="134">
        <v>4.6100000000000003</v>
      </c>
    </row>
    <row r="100" spans="1:22" customFormat="1">
      <c r="A100" s="112" t="s">
        <v>1482</v>
      </c>
      <c r="B100" s="134">
        <v>12.57</v>
      </c>
      <c r="C100" s="134">
        <v>32.020000000000003</v>
      </c>
      <c r="D100" s="134">
        <v>28.16</v>
      </c>
      <c r="E100" s="134">
        <v>6.95</v>
      </c>
      <c r="F100" s="134">
        <v>2.57</v>
      </c>
      <c r="G100" s="134">
        <v>126.13</v>
      </c>
      <c r="H100" s="134">
        <v>60.23</v>
      </c>
      <c r="I100" s="134">
        <v>7.77</v>
      </c>
      <c r="J100" s="134">
        <v>0.12</v>
      </c>
      <c r="K100" s="134">
        <v>194.51</v>
      </c>
      <c r="L100" s="134">
        <v>21.69</v>
      </c>
      <c r="M100" s="134">
        <v>83.19</v>
      </c>
      <c r="N100" s="134">
        <v>0</v>
      </c>
      <c r="O100" s="134">
        <v>0</v>
      </c>
      <c r="P100" s="134">
        <v>1.08</v>
      </c>
      <c r="Q100" s="134">
        <v>4.62</v>
      </c>
    </row>
    <row r="101" spans="1:22" customFormat="1">
      <c r="A101" s="112" t="s">
        <v>1483</v>
      </c>
      <c r="B101" s="134">
        <v>12.09</v>
      </c>
      <c r="C101" s="134">
        <v>31.06</v>
      </c>
      <c r="D101" s="134">
        <v>27.27</v>
      </c>
      <c r="E101" s="134">
        <v>6.69</v>
      </c>
      <c r="F101" s="134">
        <v>2.73</v>
      </c>
      <c r="G101" s="134">
        <v>126.13</v>
      </c>
      <c r="H101" s="134">
        <v>60.23</v>
      </c>
      <c r="I101" s="134">
        <v>7.9</v>
      </c>
      <c r="J101" s="134">
        <v>0.13</v>
      </c>
      <c r="K101" s="134">
        <v>210.34</v>
      </c>
      <c r="L101" s="134">
        <v>21.38</v>
      </c>
      <c r="M101" s="134">
        <v>82.54</v>
      </c>
      <c r="N101" s="134">
        <v>0</v>
      </c>
      <c r="O101" s="134">
        <v>0</v>
      </c>
      <c r="P101" s="134">
        <v>1.07</v>
      </c>
      <c r="Q101" s="134">
        <v>4.6399999999999997</v>
      </c>
    </row>
    <row r="102" spans="1:22" customFormat="1">
      <c r="A102" s="112" t="s">
        <v>1484</v>
      </c>
      <c r="B102" s="134">
        <v>11.26</v>
      </c>
      <c r="C102" s="134">
        <v>29.83</v>
      </c>
      <c r="D102" s="134">
        <v>25.97</v>
      </c>
      <c r="E102" s="134">
        <v>6.7</v>
      </c>
      <c r="F102" s="134">
        <v>2.82</v>
      </c>
      <c r="G102" s="134">
        <v>126.13</v>
      </c>
      <c r="H102" s="134">
        <v>60.23</v>
      </c>
      <c r="I102" s="134">
        <v>7.95</v>
      </c>
      <c r="J102" s="134">
        <v>0.13</v>
      </c>
      <c r="K102" s="134">
        <v>194.07</v>
      </c>
      <c r="L102" s="134">
        <v>21.26</v>
      </c>
      <c r="M102" s="134">
        <v>82.55</v>
      </c>
      <c r="N102" s="134">
        <v>0</v>
      </c>
      <c r="O102" s="134">
        <v>0</v>
      </c>
      <c r="P102" s="134">
        <v>1.05</v>
      </c>
      <c r="Q102" s="134">
        <v>4.6100000000000003</v>
      </c>
    </row>
    <row r="103" spans="1:22" customFormat="1">
      <c r="A103" s="112" t="s">
        <v>1485</v>
      </c>
      <c r="B103" s="134">
        <v>10.130000000000001</v>
      </c>
      <c r="C103" s="134">
        <v>28.86</v>
      </c>
      <c r="D103" s="134">
        <v>24.55</v>
      </c>
      <c r="E103" s="134">
        <v>6.54</v>
      </c>
      <c r="F103" s="134">
        <v>3.07</v>
      </c>
      <c r="G103" s="134">
        <v>107.58</v>
      </c>
      <c r="H103" s="134">
        <v>56.81</v>
      </c>
      <c r="I103" s="134">
        <v>7.88</v>
      </c>
      <c r="J103" s="134">
        <v>0.23</v>
      </c>
      <c r="K103" s="134">
        <v>197.34</v>
      </c>
      <c r="L103" s="134">
        <v>21.26</v>
      </c>
      <c r="M103" s="134">
        <v>79.680000000000007</v>
      </c>
      <c r="N103" s="134">
        <v>0</v>
      </c>
      <c r="O103" s="134">
        <v>0</v>
      </c>
      <c r="P103" s="134">
        <v>1.02</v>
      </c>
      <c r="Q103" s="134">
        <v>4.54</v>
      </c>
    </row>
    <row r="104" spans="1:22" customFormat="1">
      <c r="A104" s="112" t="s">
        <v>1486</v>
      </c>
      <c r="B104" s="134">
        <v>9.14</v>
      </c>
      <c r="C104" s="134">
        <v>27.52</v>
      </c>
      <c r="D104" s="134">
        <v>23.06</v>
      </c>
      <c r="E104" s="134">
        <v>6.25</v>
      </c>
      <c r="F104" s="134">
        <v>3.2</v>
      </c>
      <c r="G104" s="134">
        <v>105.27</v>
      </c>
      <c r="H104" s="134">
        <v>56.81</v>
      </c>
      <c r="I104" s="134">
        <v>7.72</v>
      </c>
      <c r="J104" s="134">
        <v>0.18</v>
      </c>
      <c r="K104" s="134">
        <v>175.74</v>
      </c>
      <c r="L104" s="134">
        <v>21.55</v>
      </c>
      <c r="M104" s="134">
        <v>76.790000000000006</v>
      </c>
      <c r="N104" s="134">
        <v>0</v>
      </c>
      <c r="O104" s="134">
        <v>0</v>
      </c>
      <c r="P104" s="134">
        <v>0.99</v>
      </c>
      <c r="Q104" s="134">
        <v>4.49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4.5</v>
      </c>
      <c r="C106" s="183">
        <f>MIN(C9:C104)</f>
        <v>18.25</v>
      </c>
      <c r="D106" s="183">
        <f t="shared" ref="D106:Q106" si="0">MIN(D9:D104)</f>
        <v>15.13</v>
      </c>
      <c r="E106" s="183">
        <f t="shared" si="0"/>
        <v>2.74</v>
      </c>
      <c r="F106" s="183">
        <f t="shared" si="0"/>
        <v>2.4700000000000002</v>
      </c>
      <c r="G106" s="183">
        <f t="shared" si="0"/>
        <v>52.82</v>
      </c>
      <c r="H106" s="183">
        <f t="shared" si="0"/>
        <v>22.87</v>
      </c>
      <c r="I106" s="183">
        <f t="shared" si="0"/>
        <v>4.83</v>
      </c>
      <c r="J106" s="183">
        <f t="shared" si="0"/>
        <v>0.03</v>
      </c>
      <c r="K106" s="183">
        <f t="shared" si="0"/>
        <v>1.29</v>
      </c>
      <c r="L106" s="183">
        <f t="shared" si="0"/>
        <v>19.010000000000002</v>
      </c>
      <c r="M106" s="183">
        <f t="shared" si="0"/>
        <v>34.31</v>
      </c>
      <c r="N106" s="183">
        <f t="shared" si="0"/>
        <v>0</v>
      </c>
      <c r="O106" s="183">
        <f t="shared" si="0"/>
        <v>0</v>
      </c>
      <c r="P106" s="183">
        <f t="shared" si="0"/>
        <v>0.72</v>
      </c>
      <c r="Q106" s="183">
        <f t="shared" si="0"/>
        <v>4.1900000000000004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28.15</v>
      </c>
      <c r="C107" s="184">
        <f t="shared" ref="C107:Q107" si="1">MAX(C9:C104)</f>
        <v>32.020000000000003</v>
      </c>
      <c r="D107" s="184">
        <f t="shared" si="1"/>
        <v>38.97</v>
      </c>
      <c r="E107" s="184">
        <f t="shared" si="1"/>
        <v>12.2</v>
      </c>
      <c r="F107" s="184">
        <f t="shared" si="1"/>
        <v>6.38</v>
      </c>
      <c r="G107" s="184">
        <f t="shared" si="1"/>
        <v>215.24</v>
      </c>
      <c r="H107" s="184">
        <f t="shared" si="1"/>
        <v>143.24</v>
      </c>
      <c r="I107" s="184">
        <f t="shared" si="1"/>
        <v>10.4</v>
      </c>
      <c r="J107" s="184">
        <f t="shared" si="1"/>
        <v>0.71</v>
      </c>
      <c r="K107" s="184">
        <f t="shared" si="1"/>
        <v>355.66</v>
      </c>
      <c r="L107" s="184">
        <f t="shared" si="1"/>
        <v>30.7</v>
      </c>
      <c r="M107" s="184">
        <f t="shared" si="1"/>
        <v>92.66</v>
      </c>
      <c r="N107" s="184">
        <f t="shared" si="1"/>
        <v>486.8</v>
      </c>
      <c r="O107" s="184">
        <f t="shared" si="1"/>
        <v>0</v>
      </c>
      <c r="P107" s="184">
        <f t="shared" si="1"/>
        <v>1.17</v>
      </c>
      <c r="Q107" s="184">
        <f t="shared" si="1"/>
        <v>5.21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14.606874999999997</v>
      </c>
      <c r="C108" s="183">
        <f t="shared" ref="C108:Q108" si="2">AVERAGE(C9:C104)</f>
        <v>25.093541666666663</v>
      </c>
      <c r="D108" s="183">
        <f t="shared" si="2"/>
        <v>26.17531249999999</v>
      </c>
      <c r="E108" s="183">
        <f t="shared" si="2"/>
        <v>6.7168750000000026</v>
      </c>
      <c r="F108" s="183">
        <f t="shared" si="2"/>
        <v>3.4787500000000002</v>
      </c>
      <c r="G108" s="183">
        <f t="shared" si="2"/>
        <v>107.70634146341459</v>
      </c>
      <c r="H108" s="183">
        <f t="shared" si="2"/>
        <v>53.400243902439001</v>
      </c>
      <c r="I108" s="183">
        <f t="shared" si="2"/>
        <v>8.0697916666666671</v>
      </c>
      <c r="J108" s="183">
        <f t="shared" si="2"/>
        <v>0.22010416666666663</v>
      </c>
      <c r="K108" s="183">
        <f t="shared" si="2"/>
        <v>126.40697916666664</v>
      </c>
      <c r="L108" s="183">
        <f t="shared" si="2"/>
        <v>24.038541666666674</v>
      </c>
      <c r="M108" s="183">
        <f t="shared" si="2"/>
        <v>68.680520833333318</v>
      </c>
      <c r="N108" s="183">
        <f t="shared" si="2"/>
        <v>106.22916666666664</v>
      </c>
      <c r="O108" s="183">
        <f t="shared" si="2"/>
        <v>0</v>
      </c>
      <c r="P108" s="183">
        <f t="shared" si="2"/>
        <v>0.97406250000000005</v>
      </c>
      <c r="Q108" s="183">
        <f t="shared" si="2"/>
        <v>4.6559375000000021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8.8813935976761123</v>
      </c>
      <c r="C109" s="183">
        <f t="shared" ref="C109:Q109" si="3">STDEV(C9:C104)</f>
        <v>3.4727316653174487</v>
      </c>
      <c r="D109" s="183">
        <f t="shared" si="3"/>
        <v>8.2891300988736507</v>
      </c>
      <c r="E109" s="183">
        <f t="shared" si="3"/>
        <v>2.2672693116564053</v>
      </c>
      <c r="F109" s="183">
        <f t="shared" si="3"/>
        <v>1.2882433980547217</v>
      </c>
      <c r="G109" s="183">
        <f t="shared" si="3"/>
        <v>39.187297561245273</v>
      </c>
      <c r="H109" s="183">
        <f t="shared" si="3"/>
        <v>26.678087044142455</v>
      </c>
      <c r="I109" s="183">
        <f t="shared" si="3"/>
        <v>1.8014210642926143</v>
      </c>
      <c r="J109" s="183">
        <f t="shared" si="3"/>
        <v>0.1616200534174726</v>
      </c>
      <c r="K109" s="183">
        <f t="shared" si="3"/>
        <v>89.647162541996593</v>
      </c>
      <c r="L109" s="183">
        <f t="shared" si="3"/>
        <v>3.897320531411415</v>
      </c>
      <c r="M109" s="183">
        <f t="shared" si="3"/>
        <v>16.629647739396244</v>
      </c>
      <c r="N109" s="183">
        <f t="shared" si="3"/>
        <v>164.04233530381674</v>
      </c>
      <c r="O109" s="183">
        <f t="shared" si="3"/>
        <v>0</v>
      </c>
      <c r="P109" s="183">
        <f t="shared" si="3"/>
        <v>0.14955075269479312</v>
      </c>
      <c r="Q109" s="183">
        <f t="shared" si="3"/>
        <v>0.37834703681029636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14/11/2023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1487</v>
      </c>
      <c r="B9" s="134">
        <v>8.25</v>
      </c>
      <c r="C9" s="134">
        <v>26.22</v>
      </c>
      <c r="D9" s="134">
        <v>21.66</v>
      </c>
      <c r="E9" s="134">
        <v>6.22</v>
      </c>
      <c r="F9" s="134">
        <v>3.33</v>
      </c>
      <c r="G9" s="134">
        <v>105.27</v>
      </c>
      <c r="H9" s="134">
        <v>56.81</v>
      </c>
      <c r="I9" s="134">
        <v>7.53</v>
      </c>
      <c r="J9" s="134">
        <v>0.14000000000000001</v>
      </c>
      <c r="K9" s="134">
        <v>202.12</v>
      </c>
      <c r="L9" s="134">
        <v>21.42</v>
      </c>
      <c r="M9" s="134">
        <v>79.03</v>
      </c>
      <c r="N9" s="134">
        <v>0</v>
      </c>
      <c r="O9" s="134">
        <v>0</v>
      </c>
      <c r="P9" s="134">
        <v>0.96</v>
      </c>
      <c r="Q9" s="134">
        <v>4.45</v>
      </c>
    </row>
    <row r="10" spans="1:21" customFormat="1">
      <c r="A10" s="112" t="s">
        <v>1488</v>
      </c>
      <c r="B10" s="134">
        <v>7.72</v>
      </c>
      <c r="C10" s="134">
        <v>25.64</v>
      </c>
      <c r="D10" s="134">
        <v>20.94</v>
      </c>
      <c r="E10" s="134">
        <v>5.98</v>
      </c>
      <c r="F10" s="134">
        <v>3.43</v>
      </c>
      <c r="G10" s="134">
        <v>105.27</v>
      </c>
      <c r="H10" s="134">
        <v>56.81</v>
      </c>
      <c r="I10" s="134">
        <v>7.3</v>
      </c>
      <c r="J10" s="134">
        <v>0.09</v>
      </c>
      <c r="K10" s="134">
        <v>252.91</v>
      </c>
      <c r="L10" s="134">
        <v>21.12</v>
      </c>
      <c r="M10" s="134">
        <v>82.61</v>
      </c>
      <c r="N10" s="134">
        <v>0</v>
      </c>
      <c r="O10" s="134">
        <v>0</v>
      </c>
      <c r="P10" s="134">
        <v>0.93</v>
      </c>
      <c r="Q10" s="134">
        <v>4.4000000000000004</v>
      </c>
    </row>
    <row r="11" spans="1:21" customFormat="1">
      <c r="A11" s="112" t="s">
        <v>1489</v>
      </c>
      <c r="B11" s="134">
        <v>7.06</v>
      </c>
      <c r="C11" s="134">
        <v>24.82</v>
      </c>
      <c r="D11" s="134">
        <v>19.989999999999998</v>
      </c>
      <c r="E11" s="134">
        <v>6.3</v>
      </c>
      <c r="F11" s="134">
        <v>3.51</v>
      </c>
      <c r="G11" s="134">
        <v>82.11</v>
      </c>
      <c r="H11" s="134">
        <v>42.23</v>
      </c>
      <c r="I11" s="134">
        <v>7.11</v>
      </c>
      <c r="J11" s="134">
        <v>0.04</v>
      </c>
      <c r="K11" s="134">
        <v>139.33000000000001</v>
      </c>
      <c r="L11" s="134">
        <v>20.91</v>
      </c>
      <c r="M11" s="134">
        <v>84.64</v>
      </c>
      <c r="N11" s="134">
        <v>0</v>
      </c>
      <c r="O11" s="134">
        <v>0</v>
      </c>
      <c r="P11" s="134">
        <v>0.91</v>
      </c>
      <c r="Q11" s="134">
        <v>4.34</v>
      </c>
    </row>
    <row r="12" spans="1:21" customFormat="1">
      <c r="A12" s="112" t="s">
        <v>1490</v>
      </c>
      <c r="B12" s="134">
        <v>6.61</v>
      </c>
      <c r="C12" s="134">
        <v>24.37</v>
      </c>
      <c r="D12" s="134">
        <v>19.39</v>
      </c>
      <c r="E12" s="134">
        <v>5.93</v>
      </c>
      <c r="F12" s="134">
        <v>3.55</v>
      </c>
      <c r="G12" s="134">
        <v>79.22</v>
      </c>
      <c r="H12" s="134">
        <v>42.23</v>
      </c>
      <c r="I12" s="134">
        <v>6.89</v>
      </c>
      <c r="J12" s="134">
        <v>0.19</v>
      </c>
      <c r="K12" s="134">
        <v>157.31</v>
      </c>
      <c r="L12" s="134">
        <v>21</v>
      </c>
      <c r="M12" s="134">
        <v>80.56</v>
      </c>
      <c r="N12" s="134">
        <v>0</v>
      </c>
      <c r="O12" s="134">
        <v>0</v>
      </c>
      <c r="P12" s="134">
        <v>0.89</v>
      </c>
      <c r="Q12" s="134">
        <v>4.32</v>
      </c>
    </row>
    <row r="13" spans="1:21" customFormat="1">
      <c r="A13" s="112" t="s">
        <v>1491</v>
      </c>
      <c r="B13" s="134">
        <v>6.32</v>
      </c>
      <c r="C13" s="134">
        <v>23.29</v>
      </c>
      <c r="D13" s="134">
        <v>18.579999999999998</v>
      </c>
      <c r="E13" s="134">
        <v>5.36</v>
      </c>
      <c r="F13" s="134">
        <v>3.44</v>
      </c>
      <c r="G13" s="134">
        <v>79.22</v>
      </c>
      <c r="H13" s="134">
        <v>42.23</v>
      </c>
      <c r="I13" s="134">
        <v>6.72</v>
      </c>
      <c r="J13" s="134">
        <v>0.1</v>
      </c>
      <c r="K13" s="134">
        <v>142.77000000000001</v>
      </c>
      <c r="L13" s="134">
        <v>21.17</v>
      </c>
      <c r="M13" s="134">
        <v>77.709999999999994</v>
      </c>
      <c r="N13" s="134">
        <v>0</v>
      </c>
      <c r="O13" s="134">
        <v>0</v>
      </c>
      <c r="P13" s="134">
        <v>0.86</v>
      </c>
      <c r="Q13" s="134">
        <v>4.29</v>
      </c>
    </row>
    <row r="14" spans="1:21" customFormat="1">
      <c r="A14" s="112" t="s">
        <v>1492</v>
      </c>
      <c r="B14" s="134">
        <v>6.42</v>
      </c>
      <c r="C14" s="134">
        <v>20.67</v>
      </c>
      <c r="D14" s="134">
        <v>17.3</v>
      </c>
      <c r="E14" s="134">
        <v>4.72</v>
      </c>
      <c r="F14" s="134">
        <v>3.46</v>
      </c>
      <c r="G14" s="134">
        <v>79.22</v>
      </c>
      <c r="H14" s="134">
        <v>42.23</v>
      </c>
      <c r="I14" s="134">
        <v>6.56</v>
      </c>
      <c r="J14" s="134">
        <v>0.06</v>
      </c>
      <c r="K14" s="134">
        <v>128.74</v>
      </c>
      <c r="L14" s="134">
        <v>20.91</v>
      </c>
      <c r="M14" s="134">
        <v>79.180000000000007</v>
      </c>
      <c r="N14" s="134">
        <v>0</v>
      </c>
      <c r="O14" s="134">
        <v>0</v>
      </c>
      <c r="P14" s="134">
        <v>0.83</v>
      </c>
      <c r="Q14" s="134">
        <v>4.3</v>
      </c>
    </row>
    <row r="15" spans="1:21" customFormat="1">
      <c r="A15" s="112" t="s">
        <v>1493</v>
      </c>
      <c r="B15" s="134">
        <v>6.52</v>
      </c>
      <c r="C15" s="134">
        <v>19.62</v>
      </c>
      <c r="D15" s="134">
        <v>16.829999999999998</v>
      </c>
      <c r="E15" s="134">
        <v>4.3600000000000003</v>
      </c>
      <c r="F15" s="134">
        <v>3.14</v>
      </c>
      <c r="G15" s="134">
        <v>68.42</v>
      </c>
      <c r="H15" s="134">
        <v>36.299999999999997</v>
      </c>
      <c r="I15" s="134">
        <v>6.52</v>
      </c>
      <c r="J15" s="134">
        <v>0.06</v>
      </c>
      <c r="K15" s="134">
        <v>122.76</v>
      </c>
      <c r="L15" s="134">
        <v>20.65</v>
      </c>
      <c r="M15" s="134">
        <v>79.92</v>
      </c>
      <c r="N15" s="134">
        <v>0</v>
      </c>
      <c r="O15" s="134">
        <v>0</v>
      </c>
      <c r="P15" s="134">
        <v>0.81</v>
      </c>
      <c r="Q15" s="134">
        <v>4.29</v>
      </c>
    </row>
    <row r="16" spans="1:21" customFormat="1">
      <c r="A16" s="112" t="s">
        <v>1494</v>
      </c>
      <c r="B16" s="134">
        <v>6.73</v>
      </c>
      <c r="C16" s="134">
        <v>20.59</v>
      </c>
      <c r="D16" s="134">
        <v>17.5</v>
      </c>
      <c r="E16" s="134">
        <v>4.41</v>
      </c>
      <c r="F16" s="134">
        <v>2.92</v>
      </c>
      <c r="G16" s="134">
        <v>66.91</v>
      </c>
      <c r="H16" s="134">
        <v>36.299999999999997</v>
      </c>
      <c r="I16" s="134">
        <v>6.47</v>
      </c>
      <c r="J16" s="134">
        <v>0.05</v>
      </c>
      <c r="K16" s="134">
        <v>300.81</v>
      </c>
      <c r="L16" s="134">
        <v>20.5</v>
      </c>
      <c r="M16" s="134">
        <v>80.739999999999995</v>
      </c>
      <c r="N16" s="134">
        <v>0</v>
      </c>
      <c r="O16" s="134">
        <v>0</v>
      </c>
      <c r="P16" s="134">
        <v>0.8</v>
      </c>
      <c r="Q16" s="134">
        <v>4.28</v>
      </c>
    </row>
    <row r="17" spans="1:17" customFormat="1">
      <c r="A17" s="112" t="s">
        <v>1495</v>
      </c>
      <c r="B17" s="134">
        <v>7.05</v>
      </c>
      <c r="C17" s="134">
        <v>20.79</v>
      </c>
      <c r="D17" s="134">
        <v>17.87</v>
      </c>
      <c r="E17" s="134">
        <v>4.6500000000000004</v>
      </c>
      <c r="F17" s="134">
        <v>2.85</v>
      </c>
      <c r="G17" s="134">
        <v>66.91</v>
      </c>
      <c r="H17" s="134">
        <v>36.299999999999997</v>
      </c>
      <c r="I17" s="134">
        <v>6.39</v>
      </c>
      <c r="J17" s="134">
        <v>0.13</v>
      </c>
      <c r="K17" s="134">
        <v>320.02</v>
      </c>
      <c r="L17" s="134">
        <v>20.48</v>
      </c>
      <c r="M17" s="134">
        <v>80.44</v>
      </c>
      <c r="N17" s="134">
        <v>0</v>
      </c>
      <c r="O17" s="134">
        <v>0</v>
      </c>
      <c r="P17" s="134">
        <v>0.8</v>
      </c>
      <c r="Q17" s="134">
        <v>4.2699999999999996</v>
      </c>
    </row>
    <row r="18" spans="1:17" customFormat="1">
      <c r="A18" s="112" t="s">
        <v>1496</v>
      </c>
      <c r="B18" s="134">
        <v>7.33</v>
      </c>
      <c r="C18" s="134">
        <v>20.079999999999998</v>
      </c>
      <c r="D18" s="134">
        <v>17.72</v>
      </c>
      <c r="E18" s="134">
        <v>6.01</v>
      </c>
      <c r="F18" s="134">
        <v>2.86</v>
      </c>
      <c r="G18" s="134">
        <v>66.91</v>
      </c>
      <c r="H18" s="134">
        <v>36.299999999999997</v>
      </c>
      <c r="I18" s="134">
        <v>6.42</v>
      </c>
      <c r="J18" s="134">
        <v>0.04</v>
      </c>
      <c r="K18" s="134">
        <v>176.5</v>
      </c>
      <c r="L18" s="134">
        <v>20.43</v>
      </c>
      <c r="M18" s="134">
        <v>80.989999999999995</v>
      </c>
      <c r="N18" s="134">
        <v>0</v>
      </c>
      <c r="O18" s="134">
        <v>0</v>
      </c>
      <c r="P18" s="134">
        <v>0.79</v>
      </c>
      <c r="Q18" s="134">
        <v>4.29</v>
      </c>
    </row>
    <row r="19" spans="1:17" customFormat="1">
      <c r="A19" s="112" t="s">
        <v>1497</v>
      </c>
      <c r="B19" s="134">
        <v>7.5</v>
      </c>
      <c r="C19" s="134">
        <v>21.33</v>
      </c>
      <c r="D19" s="134">
        <v>18.510000000000002</v>
      </c>
      <c r="E19" s="134">
        <v>5.38</v>
      </c>
      <c r="F19" s="134">
        <v>2.67</v>
      </c>
      <c r="G19" s="134">
        <v>77.599999999999994</v>
      </c>
      <c r="H19" s="134">
        <v>41.03</v>
      </c>
      <c r="I19" s="134">
        <v>6.41</v>
      </c>
      <c r="J19" s="134">
        <v>0.06</v>
      </c>
      <c r="K19" s="134">
        <v>111.27</v>
      </c>
      <c r="L19" s="134">
        <v>20.3</v>
      </c>
      <c r="M19" s="134">
        <v>82.49</v>
      </c>
      <c r="N19" s="134">
        <v>0</v>
      </c>
      <c r="O19" s="134">
        <v>0</v>
      </c>
      <c r="P19" s="134">
        <v>0.8</v>
      </c>
      <c r="Q19" s="134">
        <v>4.3099999999999996</v>
      </c>
    </row>
    <row r="20" spans="1:17" customFormat="1">
      <c r="A20" s="112" t="s">
        <v>1498</v>
      </c>
      <c r="B20" s="134">
        <v>7.93</v>
      </c>
      <c r="C20" s="134">
        <v>21.61</v>
      </c>
      <c r="D20" s="134">
        <v>19</v>
      </c>
      <c r="E20" s="134">
        <v>5.85</v>
      </c>
      <c r="F20" s="134">
        <v>2.74</v>
      </c>
      <c r="G20" s="134">
        <v>79.08</v>
      </c>
      <c r="H20" s="134">
        <v>41.03</v>
      </c>
      <c r="I20" s="134">
        <v>6.39</v>
      </c>
      <c r="J20" s="134">
        <v>0.08</v>
      </c>
      <c r="K20" s="134">
        <v>81.91</v>
      </c>
      <c r="L20" s="134">
        <v>20.170000000000002</v>
      </c>
      <c r="M20" s="134">
        <v>83.47</v>
      </c>
      <c r="N20" s="134">
        <v>0</v>
      </c>
      <c r="O20" s="134">
        <v>0</v>
      </c>
      <c r="P20" s="134">
        <v>0.79</v>
      </c>
      <c r="Q20" s="134">
        <v>4.3</v>
      </c>
    </row>
    <row r="21" spans="1:17" customFormat="1">
      <c r="A21" s="112" t="s">
        <v>1499</v>
      </c>
      <c r="B21" s="134">
        <v>8.35</v>
      </c>
      <c r="C21" s="134">
        <v>21.61</v>
      </c>
      <c r="D21" s="134">
        <v>19.34</v>
      </c>
      <c r="E21" s="134">
        <v>5.49</v>
      </c>
      <c r="F21" s="134">
        <v>2.79</v>
      </c>
      <c r="G21" s="134">
        <v>79.08</v>
      </c>
      <c r="H21" s="134">
        <v>41.03</v>
      </c>
      <c r="I21" s="134">
        <v>6.38</v>
      </c>
      <c r="J21" s="134">
        <v>7.0000000000000007E-2</v>
      </c>
      <c r="K21" s="134">
        <v>67.239999999999995</v>
      </c>
      <c r="L21" s="134">
        <v>20.07</v>
      </c>
      <c r="M21" s="134">
        <v>84.23</v>
      </c>
      <c r="N21" s="134">
        <v>0</v>
      </c>
      <c r="O21" s="134">
        <v>0</v>
      </c>
      <c r="P21" s="134">
        <v>0.8</v>
      </c>
      <c r="Q21" s="134">
        <v>4.33</v>
      </c>
    </row>
    <row r="22" spans="1:17" customFormat="1">
      <c r="A22" s="112" t="s">
        <v>1500</v>
      </c>
      <c r="B22" s="134">
        <v>8.93</v>
      </c>
      <c r="C22" s="134">
        <v>21.47</v>
      </c>
      <c r="D22" s="134">
        <v>19.73</v>
      </c>
      <c r="E22" s="134">
        <v>5.67</v>
      </c>
      <c r="F22" s="134">
        <v>2.69</v>
      </c>
      <c r="G22" s="134">
        <v>79.08</v>
      </c>
      <c r="H22" s="134">
        <v>41.03</v>
      </c>
      <c r="I22" s="134">
        <v>6.4</v>
      </c>
      <c r="J22" s="134">
        <v>0.12</v>
      </c>
      <c r="K22" s="134">
        <v>49.8</v>
      </c>
      <c r="L22" s="134">
        <v>19.97</v>
      </c>
      <c r="M22" s="134">
        <v>84.21</v>
      </c>
      <c r="N22" s="134">
        <v>0</v>
      </c>
      <c r="O22" s="134">
        <v>0</v>
      </c>
      <c r="P22" s="134">
        <v>0.8</v>
      </c>
      <c r="Q22" s="134">
        <v>4.3600000000000003</v>
      </c>
    </row>
    <row r="23" spans="1:17" customFormat="1">
      <c r="A23" s="112" t="s">
        <v>1501</v>
      </c>
      <c r="B23" s="134">
        <v>9.49</v>
      </c>
      <c r="C23" s="134">
        <v>21.85</v>
      </c>
      <c r="D23" s="134">
        <v>20.38</v>
      </c>
      <c r="E23" s="134">
        <v>5.42</v>
      </c>
      <c r="F23" s="134">
        <v>2.5299999999999998</v>
      </c>
      <c r="G23" s="134">
        <v>79.13</v>
      </c>
      <c r="H23" s="134">
        <v>39.07</v>
      </c>
      <c r="I23" s="134">
        <v>6.43</v>
      </c>
      <c r="J23" s="134">
        <v>0.27</v>
      </c>
      <c r="K23" s="134">
        <v>32.520000000000003</v>
      </c>
      <c r="L23" s="134">
        <v>19.97</v>
      </c>
      <c r="M23" s="134">
        <v>84.3</v>
      </c>
      <c r="N23" s="134">
        <v>0</v>
      </c>
      <c r="O23" s="134">
        <v>0</v>
      </c>
      <c r="P23" s="134">
        <v>0.8</v>
      </c>
      <c r="Q23" s="134">
        <v>4.38</v>
      </c>
    </row>
    <row r="24" spans="1:17" customFormat="1">
      <c r="A24" s="112" t="s">
        <v>1502</v>
      </c>
      <c r="B24" s="134">
        <v>9.92</v>
      </c>
      <c r="C24" s="134">
        <v>22.32</v>
      </c>
      <c r="D24" s="134">
        <v>20.97</v>
      </c>
      <c r="E24" s="134">
        <v>5.71</v>
      </c>
      <c r="F24" s="134">
        <v>2.65</v>
      </c>
      <c r="G24" s="134">
        <v>79.14</v>
      </c>
      <c r="H24" s="134">
        <v>39.07</v>
      </c>
      <c r="I24" s="134">
        <v>6.45</v>
      </c>
      <c r="J24" s="134">
        <v>0.37</v>
      </c>
      <c r="K24" s="134">
        <v>28.83</v>
      </c>
      <c r="L24" s="134">
        <v>19.88</v>
      </c>
      <c r="M24" s="134">
        <v>84.67</v>
      </c>
      <c r="N24" s="134">
        <v>0</v>
      </c>
      <c r="O24" s="134">
        <v>0</v>
      </c>
      <c r="P24" s="134">
        <v>0.79</v>
      </c>
      <c r="Q24" s="134">
        <v>4.38</v>
      </c>
    </row>
    <row r="25" spans="1:17" customFormat="1">
      <c r="A25" s="112" t="s">
        <v>1503</v>
      </c>
      <c r="B25" s="134">
        <v>10.31</v>
      </c>
      <c r="C25" s="134">
        <v>22.36</v>
      </c>
      <c r="D25" s="134">
        <v>21.3</v>
      </c>
      <c r="E25" s="134">
        <v>5.63</v>
      </c>
      <c r="F25" s="134">
        <v>2.62</v>
      </c>
      <c r="G25" s="134">
        <v>79.14</v>
      </c>
      <c r="H25" s="134">
        <v>39.07</v>
      </c>
      <c r="I25" s="134">
        <v>6.44</v>
      </c>
      <c r="J25" s="134">
        <v>0.31</v>
      </c>
      <c r="K25" s="134">
        <v>30.99</v>
      </c>
      <c r="L25" s="134">
        <v>19.809999999999999</v>
      </c>
      <c r="M25" s="134">
        <v>84.68</v>
      </c>
      <c r="N25" s="134">
        <v>0</v>
      </c>
      <c r="O25" s="134">
        <v>0</v>
      </c>
      <c r="P25" s="134">
        <v>0.79</v>
      </c>
      <c r="Q25" s="134">
        <v>4.42</v>
      </c>
    </row>
    <row r="26" spans="1:17" customFormat="1">
      <c r="A26" s="112" t="s">
        <v>1504</v>
      </c>
      <c r="B26" s="134">
        <v>10.47</v>
      </c>
      <c r="C26" s="134">
        <v>22.61</v>
      </c>
      <c r="D26" s="134">
        <v>21.56</v>
      </c>
      <c r="E26" s="134">
        <v>5.32</v>
      </c>
      <c r="F26" s="134">
        <v>2.61</v>
      </c>
      <c r="G26" s="134">
        <v>79.14</v>
      </c>
      <c r="H26" s="134">
        <v>39.07</v>
      </c>
      <c r="I26" s="134">
        <v>6.45</v>
      </c>
      <c r="J26" s="134">
        <v>0.35</v>
      </c>
      <c r="K26" s="134">
        <v>29.48</v>
      </c>
      <c r="L26" s="134">
        <v>19.739999999999998</v>
      </c>
      <c r="M26" s="134">
        <v>83.44</v>
      </c>
      <c r="N26" s="134">
        <v>0</v>
      </c>
      <c r="O26" s="134">
        <v>0</v>
      </c>
      <c r="P26" s="134">
        <v>0.81</v>
      </c>
      <c r="Q26" s="134">
        <v>4.43</v>
      </c>
    </row>
    <row r="27" spans="1:17" customFormat="1">
      <c r="A27" s="112" t="s">
        <v>1505</v>
      </c>
      <c r="B27" s="134">
        <v>10.7</v>
      </c>
      <c r="C27" s="134">
        <v>22.32</v>
      </c>
      <c r="D27" s="134">
        <v>21.59</v>
      </c>
      <c r="E27" s="134">
        <v>5.85</v>
      </c>
      <c r="F27" s="134">
        <v>2.8</v>
      </c>
      <c r="G27" s="134">
        <v>86.92</v>
      </c>
      <c r="H27" s="134">
        <v>39.06</v>
      </c>
      <c r="I27" s="134">
        <v>6.49</v>
      </c>
      <c r="J27" s="134">
        <v>0.18</v>
      </c>
      <c r="K27" s="134">
        <v>21.76</v>
      </c>
      <c r="L27" s="134">
        <v>19.600000000000001</v>
      </c>
      <c r="M27" s="134">
        <v>83.91</v>
      </c>
      <c r="N27" s="134">
        <v>0</v>
      </c>
      <c r="O27" s="134">
        <v>0</v>
      </c>
      <c r="P27" s="134">
        <v>0.8</v>
      </c>
      <c r="Q27" s="134">
        <v>4.45</v>
      </c>
    </row>
    <row r="28" spans="1:17" customFormat="1">
      <c r="A28" s="112" t="s">
        <v>1506</v>
      </c>
      <c r="B28" s="134">
        <v>10.98</v>
      </c>
      <c r="C28" s="134">
        <v>22.98</v>
      </c>
      <c r="D28" s="134">
        <v>22.17</v>
      </c>
      <c r="E28" s="134">
        <v>5.96</v>
      </c>
      <c r="F28" s="134">
        <v>2.66</v>
      </c>
      <c r="G28" s="134">
        <v>88</v>
      </c>
      <c r="H28" s="134">
        <v>39.06</v>
      </c>
      <c r="I28" s="134">
        <v>6.55</v>
      </c>
      <c r="J28" s="134">
        <v>0.09</v>
      </c>
      <c r="K28" s="134">
        <v>79.42</v>
      </c>
      <c r="L28" s="134">
        <v>19.37</v>
      </c>
      <c r="M28" s="134">
        <v>85.37</v>
      </c>
      <c r="N28" s="134">
        <v>0</v>
      </c>
      <c r="O28" s="134">
        <v>0</v>
      </c>
      <c r="P28" s="134">
        <v>0.81</v>
      </c>
      <c r="Q28" s="134">
        <v>4.4800000000000004</v>
      </c>
    </row>
    <row r="29" spans="1:17" customFormat="1">
      <c r="A29" s="112" t="s">
        <v>1507</v>
      </c>
      <c r="B29" s="134">
        <v>11.24</v>
      </c>
      <c r="C29" s="134">
        <v>22.11</v>
      </c>
      <c r="D29" s="134">
        <v>21.92</v>
      </c>
      <c r="E29" s="134">
        <v>5.96</v>
      </c>
      <c r="F29" s="134">
        <v>2.67</v>
      </c>
      <c r="G29" s="134">
        <v>88</v>
      </c>
      <c r="H29" s="134">
        <v>39.06</v>
      </c>
      <c r="I29" s="134">
        <v>6.59</v>
      </c>
      <c r="J29" s="134">
        <v>7.0000000000000007E-2</v>
      </c>
      <c r="K29" s="134">
        <v>202.58</v>
      </c>
      <c r="L29" s="134">
        <v>19.29</v>
      </c>
      <c r="M29" s="134">
        <v>86.69</v>
      </c>
      <c r="N29" s="134">
        <v>0</v>
      </c>
      <c r="O29" s="134">
        <v>0</v>
      </c>
      <c r="P29" s="134">
        <v>0.8</v>
      </c>
      <c r="Q29" s="134">
        <v>4.49</v>
      </c>
    </row>
    <row r="30" spans="1:17" customFormat="1">
      <c r="A30" s="112" t="s">
        <v>1508</v>
      </c>
      <c r="B30" s="134">
        <v>11.48</v>
      </c>
      <c r="C30" s="134">
        <v>22.71</v>
      </c>
      <c r="D30" s="134">
        <v>22.42</v>
      </c>
      <c r="E30" s="134">
        <v>5.84</v>
      </c>
      <c r="F30" s="134">
        <v>2.64</v>
      </c>
      <c r="G30" s="134">
        <v>88</v>
      </c>
      <c r="H30" s="134">
        <v>39.06</v>
      </c>
      <c r="I30" s="134">
        <v>6.69</v>
      </c>
      <c r="J30" s="134">
        <v>0.13</v>
      </c>
      <c r="K30" s="134">
        <v>141.5</v>
      </c>
      <c r="L30" s="134">
        <v>19.14</v>
      </c>
      <c r="M30" s="134">
        <v>87.81</v>
      </c>
      <c r="N30" s="134">
        <v>0</v>
      </c>
      <c r="O30" s="134">
        <v>0</v>
      </c>
      <c r="P30" s="134">
        <v>0.81</v>
      </c>
      <c r="Q30" s="134">
        <v>4.51</v>
      </c>
    </row>
    <row r="31" spans="1:17" customFormat="1">
      <c r="A31" s="112" t="s">
        <v>1509</v>
      </c>
      <c r="B31" s="134">
        <v>11.66</v>
      </c>
      <c r="C31" s="134">
        <v>23.18</v>
      </c>
      <c r="D31" s="134">
        <v>22.81</v>
      </c>
      <c r="E31" s="134">
        <v>6.02</v>
      </c>
      <c r="F31" s="134">
        <v>2.4900000000000002</v>
      </c>
      <c r="G31" s="134">
        <v>89.2</v>
      </c>
      <c r="H31" s="134">
        <v>45.8</v>
      </c>
      <c r="I31" s="134">
        <v>6.7</v>
      </c>
      <c r="J31" s="134">
        <v>0.09</v>
      </c>
      <c r="K31" s="134">
        <v>6.95</v>
      </c>
      <c r="L31" s="134">
        <v>18.829999999999998</v>
      </c>
      <c r="M31" s="134">
        <v>89.94</v>
      </c>
      <c r="N31" s="134">
        <v>0</v>
      </c>
      <c r="O31" s="134">
        <v>0</v>
      </c>
      <c r="P31" s="134">
        <v>0.82</v>
      </c>
      <c r="Q31" s="134">
        <v>4.5199999999999996</v>
      </c>
    </row>
    <row r="32" spans="1:17" customFormat="1">
      <c r="A32" s="112" t="s">
        <v>1510</v>
      </c>
      <c r="B32" s="134">
        <v>11.86</v>
      </c>
      <c r="C32" s="134">
        <v>24.38</v>
      </c>
      <c r="D32" s="134">
        <v>23.6</v>
      </c>
      <c r="E32" s="134">
        <v>5.96</v>
      </c>
      <c r="F32" s="134">
        <v>2.36</v>
      </c>
      <c r="G32" s="134">
        <v>89.37</v>
      </c>
      <c r="H32" s="134">
        <v>45.8</v>
      </c>
      <c r="I32" s="134">
        <v>6.78</v>
      </c>
      <c r="J32" s="134">
        <v>0.13</v>
      </c>
      <c r="K32" s="134">
        <v>28.23</v>
      </c>
      <c r="L32" s="134">
        <v>18.93</v>
      </c>
      <c r="M32" s="134">
        <v>89</v>
      </c>
      <c r="N32" s="134">
        <v>0</v>
      </c>
      <c r="O32" s="134">
        <v>0</v>
      </c>
      <c r="P32" s="134">
        <v>0.84</v>
      </c>
      <c r="Q32" s="134">
        <v>4.5199999999999996</v>
      </c>
    </row>
    <row r="33" spans="1:17" customFormat="1">
      <c r="A33" s="112" t="s">
        <v>1511</v>
      </c>
      <c r="B33" s="134">
        <v>11.91</v>
      </c>
      <c r="C33" s="134">
        <v>24.87</v>
      </c>
      <c r="D33" s="134">
        <v>23.89</v>
      </c>
      <c r="E33" s="134">
        <v>6.52</v>
      </c>
      <c r="F33" s="134">
        <v>2.56</v>
      </c>
      <c r="G33" s="134">
        <v>89.37</v>
      </c>
      <c r="H33" s="134">
        <v>45.8</v>
      </c>
      <c r="I33" s="134">
        <v>6.81</v>
      </c>
      <c r="J33" s="134">
        <v>0.09</v>
      </c>
      <c r="K33" s="134">
        <v>130.56</v>
      </c>
      <c r="L33" s="134">
        <v>19.04</v>
      </c>
      <c r="M33" s="134">
        <v>89.91</v>
      </c>
      <c r="N33" s="134">
        <v>0</v>
      </c>
      <c r="O33" s="134">
        <v>0</v>
      </c>
      <c r="P33" s="134">
        <v>0.85</v>
      </c>
      <c r="Q33" s="134">
        <v>4.5199999999999996</v>
      </c>
    </row>
    <row r="34" spans="1:17" customFormat="1">
      <c r="A34" s="112" t="s">
        <v>1512</v>
      </c>
      <c r="B34" s="134">
        <v>11.58</v>
      </c>
      <c r="C34" s="134">
        <v>25.08</v>
      </c>
      <c r="D34" s="134">
        <v>23.74</v>
      </c>
      <c r="E34" s="134">
        <v>6.57</v>
      </c>
      <c r="F34" s="134">
        <v>2.77</v>
      </c>
      <c r="G34" s="134">
        <v>89.37</v>
      </c>
      <c r="H34" s="134">
        <v>45.8</v>
      </c>
      <c r="I34" s="134">
        <v>6.83</v>
      </c>
      <c r="J34" s="134">
        <v>7.0000000000000007E-2</v>
      </c>
      <c r="K34" s="134">
        <v>111.38</v>
      </c>
      <c r="L34" s="134">
        <v>19.149999999999999</v>
      </c>
      <c r="M34" s="134">
        <v>89.23</v>
      </c>
      <c r="N34" s="134">
        <v>2.2999999999999998</v>
      </c>
      <c r="O34" s="134">
        <v>0</v>
      </c>
      <c r="P34" s="134">
        <v>0.87</v>
      </c>
      <c r="Q34" s="134">
        <v>4.54</v>
      </c>
    </row>
    <row r="35" spans="1:17" customFormat="1">
      <c r="A35" s="112" t="s">
        <v>1513</v>
      </c>
      <c r="B35" s="134">
        <v>11.25</v>
      </c>
      <c r="C35" s="134">
        <v>25.53</v>
      </c>
      <c r="D35" s="134">
        <v>23.71</v>
      </c>
      <c r="E35" s="134">
        <v>6.58</v>
      </c>
      <c r="F35" s="134">
        <v>2.82</v>
      </c>
      <c r="G35" s="134">
        <v>95.51</v>
      </c>
      <c r="H35" s="134">
        <v>42.92</v>
      </c>
      <c r="I35" s="134">
        <v>6.85</v>
      </c>
      <c r="J35" s="134">
        <v>0.23</v>
      </c>
      <c r="K35" s="134">
        <v>52.52</v>
      </c>
      <c r="L35" s="134">
        <v>19.309999999999999</v>
      </c>
      <c r="M35" s="134">
        <v>87.84</v>
      </c>
      <c r="N35" s="134">
        <v>16.399999999999999</v>
      </c>
      <c r="O35" s="134">
        <v>0</v>
      </c>
      <c r="P35" s="134">
        <v>0.87</v>
      </c>
      <c r="Q35" s="134">
        <v>4.5199999999999996</v>
      </c>
    </row>
    <row r="36" spans="1:17" customFormat="1">
      <c r="A36" s="112" t="s">
        <v>1514</v>
      </c>
      <c r="B36" s="134">
        <v>11.3</v>
      </c>
      <c r="C36" s="134">
        <v>25.72</v>
      </c>
      <c r="D36" s="134">
        <v>23.85</v>
      </c>
      <c r="E36" s="134">
        <v>7.38</v>
      </c>
      <c r="F36" s="134">
        <v>2.84</v>
      </c>
      <c r="G36" s="134">
        <v>96.37</v>
      </c>
      <c r="H36" s="134">
        <v>42.92</v>
      </c>
      <c r="I36" s="134">
        <v>6.87</v>
      </c>
      <c r="J36" s="134">
        <v>0.28000000000000003</v>
      </c>
      <c r="K36" s="134">
        <v>23.65</v>
      </c>
      <c r="L36" s="134">
        <v>19.559999999999999</v>
      </c>
      <c r="M36" s="134">
        <v>87.14</v>
      </c>
      <c r="N36" s="134">
        <v>19.600000000000001</v>
      </c>
      <c r="O36" s="134">
        <v>0</v>
      </c>
      <c r="P36" s="134">
        <v>0.88</v>
      </c>
      <c r="Q36" s="134">
        <v>4.53</v>
      </c>
    </row>
    <row r="37" spans="1:17" customFormat="1">
      <c r="A37" s="112" t="s">
        <v>1515</v>
      </c>
      <c r="B37" s="134">
        <v>11.67</v>
      </c>
      <c r="C37" s="134">
        <v>26.1</v>
      </c>
      <c r="D37" s="134">
        <v>24.35</v>
      </c>
      <c r="E37" s="134">
        <v>7.22</v>
      </c>
      <c r="F37" s="134">
        <v>2.75</v>
      </c>
      <c r="G37" s="134">
        <v>96.37</v>
      </c>
      <c r="H37" s="134">
        <v>42.92</v>
      </c>
      <c r="I37" s="134">
        <v>6.9</v>
      </c>
      <c r="J37" s="134">
        <v>0.34</v>
      </c>
      <c r="K37" s="134">
        <v>29.68</v>
      </c>
      <c r="L37" s="134">
        <v>19.63</v>
      </c>
      <c r="M37" s="134">
        <v>87.54</v>
      </c>
      <c r="N37" s="134">
        <v>23.8</v>
      </c>
      <c r="O37" s="134">
        <v>0</v>
      </c>
      <c r="P37" s="134">
        <v>0.89</v>
      </c>
      <c r="Q37" s="134">
        <v>4.54</v>
      </c>
    </row>
    <row r="38" spans="1:17" customFormat="1">
      <c r="A38" s="112" t="s">
        <v>1516</v>
      </c>
      <c r="B38" s="134">
        <v>11.61</v>
      </c>
      <c r="C38" s="134">
        <v>26.41</v>
      </c>
      <c r="D38" s="134">
        <v>24.46</v>
      </c>
      <c r="E38" s="134">
        <v>6.99</v>
      </c>
      <c r="F38" s="134">
        <v>2.85</v>
      </c>
      <c r="G38" s="134">
        <v>96.37</v>
      </c>
      <c r="H38" s="134">
        <v>42.92</v>
      </c>
      <c r="I38" s="134">
        <v>6.97</v>
      </c>
      <c r="J38" s="134">
        <v>0.35</v>
      </c>
      <c r="K38" s="134">
        <v>41.31</v>
      </c>
      <c r="L38" s="134">
        <v>19.79</v>
      </c>
      <c r="M38" s="134">
        <v>87.71</v>
      </c>
      <c r="N38" s="134">
        <v>46.8</v>
      </c>
      <c r="O38" s="134">
        <v>0</v>
      </c>
      <c r="P38" s="134">
        <v>0.89</v>
      </c>
      <c r="Q38" s="134">
        <v>4.53</v>
      </c>
    </row>
    <row r="39" spans="1:17" customFormat="1">
      <c r="A39" s="112" t="s">
        <v>1517</v>
      </c>
      <c r="B39" s="134">
        <v>11.23</v>
      </c>
      <c r="C39" s="134">
        <v>26.69</v>
      </c>
      <c r="D39" s="134">
        <v>24.3</v>
      </c>
      <c r="E39" s="134">
        <v>7.04</v>
      </c>
      <c r="F39" s="134">
        <v>2.8</v>
      </c>
      <c r="G39" s="134">
        <v>96.16</v>
      </c>
      <c r="H39" s="134">
        <v>48.54</v>
      </c>
      <c r="I39" s="134">
        <v>7.04</v>
      </c>
      <c r="J39" s="134">
        <v>0.4</v>
      </c>
      <c r="K39" s="134">
        <v>53.2</v>
      </c>
      <c r="L39" s="134">
        <v>20.32</v>
      </c>
      <c r="M39" s="134">
        <v>85.66</v>
      </c>
      <c r="N39" s="134">
        <v>98.1</v>
      </c>
      <c r="O39" s="134">
        <v>0</v>
      </c>
      <c r="P39" s="134">
        <v>0.9</v>
      </c>
      <c r="Q39" s="134">
        <v>4.53</v>
      </c>
    </row>
    <row r="40" spans="1:17" customFormat="1">
      <c r="A40" s="112" t="s">
        <v>1518</v>
      </c>
      <c r="B40" s="134">
        <v>10.78</v>
      </c>
      <c r="C40" s="134">
        <v>26.19</v>
      </c>
      <c r="D40" s="134">
        <v>23.68</v>
      </c>
      <c r="E40" s="134">
        <v>7.27</v>
      </c>
      <c r="F40" s="134">
        <v>2.88</v>
      </c>
      <c r="G40" s="134">
        <v>96.14</v>
      </c>
      <c r="H40" s="134">
        <v>48.54</v>
      </c>
      <c r="I40" s="134">
        <v>7.04</v>
      </c>
      <c r="J40" s="134">
        <v>0.5</v>
      </c>
      <c r="K40" s="134">
        <v>41.19</v>
      </c>
      <c r="L40" s="134">
        <v>20.94</v>
      </c>
      <c r="M40" s="134">
        <v>83.91</v>
      </c>
      <c r="N40" s="134">
        <v>141.6</v>
      </c>
      <c r="O40" s="134">
        <v>0</v>
      </c>
      <c r="P40" s="134">
        <v>0.91</v>
      </c>
      <c r="Q40" s="134">
        <v>4.5199999999999996</v>
      </c>
    </row>
    <row r="41" spans="1:17" customFormat="1">
      <c r="A41" s="112" t="s">
        <v>1519</v>
      </c>
      <c r="B41" s="134">
        <v>10.16</v>
      </c>
      <c r="C41" s="134">
        <v>26.09</v>
      </c>
      <c r="D41" s="134">
        <v>23.13</v>
      </c>
      <c r="E41" s="134">
        <v>7.07</v>
      </c>
      <c r="F41" s="134">
        <v>2.94</v>
      </c>
      <c r="G41" s="134">
        <v>96.14</v>
      </c>
      <c r="H41" s="134">
        <v>48.54</v>
      </c>
      <c r="I41" s="134">
        <v>7.06</v>
      </c>
      <c r="J41" s="134">
        <v>0.34</v>
      </c>
      <c r="K41" s="134">
        <v>61.63</v>
      </c>
      <c r="L41" s="134">
        <v>21.87</v>
      </c>
      <c r="M41" s="134">
        <v>80.7</v>
      </c>
      <c r="N41" s="134">
        <v>147.6</v>
      </c>
      <c r="O41" s="134">
        <v>0</v>
      </c>
      <c r="P41" s="134">
        <v>0.91</v>
      </c>
      <c r="Q41" s="134">
        <v>4.51</v>
      </c>
    </row>
    <row r="42" spans="1:17" customFormat="1">
      <c r="A42" s="112" t="s">
        <v>1520</v>
      </c>
      <c r="B42" s="134">
        <v>9.39</v>
      </c>
      <c r="C42" s="134">
        <v>25.67</v>
      </c>
      <c r="D42" s="134">
        <v>22.29</v>
      </c>
      <c r="E42" s="134">
        <v>7.34</v>
      </c>
      <c r="F42" s="134">
        <v>3.06</v>
      </c>
      <c r="G42" s="134">
        <v>96.14</v>
      </c>
      <c r="H42" s="134">
        <v>48.54</v>
      </c>
      <c r="I42" s="134">
        <v>7.11</v>
      </c>
      <c r="J42" s="134">
        <v>0.24</v>
      </c>
      <c r="K42" s="134">
        <v>93.05</v>
      </c>
      <c r="L42" s="134">
        <v>22.72</v>
      </c>
      <c r="M42" s="134">
        <v>78.34</v>
      </c>
      <c r="N42" s="134">
        <v>201.4</v>
      </c>
      <c r="O42" s="134">
        <v>0</v>
      </c>
      <c r="P42" s="134">
        <v>0.92</v>
      </c>
      <c r="Q42" s="134">
        <v>4.46</v>
      </c>
    </row>
    <row r="43" spans="1:17" customFormat="1">
      <c r="A43" s="112" t="s">
        <v>1521</v>
      </c>
      <c r="B43" s="134">
        <v>8.5500000000000007</v>
      </c>
      <c r="C43" s="134">
        <v>25.5</v>
      </c>
      <c r="D43" s="134">
        <v>21.53</v>
      </c>
      <c r="E43" s="134">
        <v>7.31</v>
      </c>
      <c r="F43" s="134">
        <v>3.34</v>
      </c>
      <c r="G43" s="134">
        <v>97.2</v>
      </c>
      <c r="H43" s="134">
        <v>47.19</v>
      </c>
      <c r="I43" s="134">
        <v>7.13</v>
      </c>
      <c r="J43" s="134">
        <v>0.27</v>
      </c>
      <c r="K43" s="134">
        <v>87.72</v>
      </c>
      <c r="L43" s="134">
        <v>24.09</v>
      </c>
      <c r="M43" s="134">
        <v>73.2</v>
      </c>
      <c r="N43" s="134">
        <v>242.7</v>
      </c>
      <c r="O43" s="134">
        <v>0</v>
      </c>
      <c r="P43" s="134">
        <v>0.91</v>
      </c>
      <c r="Q43" s="134">
        <v>4.41</v>
      </c>
    </row>
    <row r="44" spans="1:17" customFormat="1">
      <c r="A44" s="112" t="s">
        <v>1522</v>
      </c>
      <c r="B44" s="134">
        <v>7.69</v>
      </c>
      <c r="C44" s="134">
        <v>25.28</v>
      </c>
      <c r="D44" s="134">
        <v>20.72</v>
      </c>
      <c r="E44" s="134">
        <v>7.53</v>
      </c>
      <c r="F44" s="134">
        <v>3.68</v>
      </c>
      <c r="G44" s="134">
        <v>97.35</v>
      </c>
      <c r="H44" s="134">
        <v>47.19</v>
      </c>
      <c r="I44" s="134">
        <v>7.09</v>
      </c>
      <c r="J44" s="134">
        <v>0.56999999999999995</v>
      </c>
      <c r="K44" s="134">
        <v>37.32</v>
      </c>
      <c r="L44" s="134">
        <v>24.44</v>
      </c>
      <c r="M44" s="134">
        <v>72.739999999999995</v>
      </c>
      <c r="N44" s="134">
        <v>266.2</v>
      </c>
      <c r="O44" s="134">
        <v>0</v>
      </c>
      <c r="P44" s="134">
        <v>0.92</v>
      </c>
      <c r="Q44" s="134">
        <v>4.3899999999999997</v>
      </c>
    </row>
    <row r="45" spans="1:17" customFormat="1">
      <c r="A45" s="112" t="s">
        <v>1523</v>
      </c>
      <c r="B45" s="134">
        <v>6.82</v>
      </c>
      <c r="C45" s="134">
        <v>25.16</v>
      </c>
      <c r="D45" s="134">
        <v>19.96</v>
      </c>
      <c r="E45" s="134">
        <v>7.34</v>
      </c>
      <c r="F45" s="134">
        <v>3.74</v>
      </c>
      <c r="G45" s="134">
        <v>97.35</v>
      </c>
      <c r="H45" s="134">
        <v>47.19</v>
      </c>
      <c r="I45" s="134">
        <v>7.1</v>
      </c>
      <c r="J45" s="134">
        <v>0.34</v>
      </c>
      <c r="K45" s="134">
        <v>58.7</v>
      </c>
      <c r="L45" s="134">
        <v>25.34</v>
      </c>
      <c r="M45" s="134">
        <v>69.11</v>
      </c>
      <c r="N45" s="134">
        <v>271.5</v>
      </c>
      <c r="O45" s="134">
        <v>0</v>
      </c>
      <c r="P45" s="134">
        <v>0.91</v>
      </c>
      <c r="Q45" s="134">
        <v>4.3499999999999996</v>
      </c>
    </row>
    <row r="46" spans="1:17" customFormat="1">
      <c r="A46" s="112" t="s">
        <v>1524</v>
      </c>
      <c r="B46" s="134">
        <v>6.27</v>
      </c>
      <c r="C46" s="134">
        <v>24.62</v>
      </c>
      <c r="D46" s="134">
        <v>19.239999999999998</v>
      </c>
      <c r="E46" s="134">
        <v>8.1999999999999993</v>
      </c>
      <c r="F46" s="134">
        <v>4.24</v>
      </c>
      <c r="G46" s="134">
        <v>97.35</v>
      </c>
      <c r="H46" s="134">
        <v>47.19</v>
      </c>
      <c r="I46" s="134">
        <v>7.05</v>
      </c>
      <c r="J46" s="134">
        <v>0.46</v>
      </c>
      <c r="K46" s="134">
        <v>58.96</v>
      </c>
      <c r="L46" s="134">
        <v>25.76</v>
      </c>
      <c r="M46" s="134">
        <v>67.36</v>
      </c>
      <c r="N46" s="134">
        <v>254.7</v>
      </c>
      <c r="O46" s="134">
        <v>0</v>
      </c>
      <c r="P46" s="134">
        <v>0.91</v>
      </c>
      <c r="Q46" s="134">
        <v>4.32</v>
      </c>
    </row>
    <row r="47" spans="1:17" customFormat="1">
      <c r="A47" s="112" t="s">
        <v>1525</v>
      </c>
      <c r="B47" s="134">
        <v>5.78</v>
      </c>
      <c r="C47" s="134">
        <v>24.35</v>
      </c>
      <c r="D47" s="134">
        <v>18.71</v>
      </c>
      <c r="E47" s="134">
        <v>7.58</v>
      </c>
      <c r="F47" s="134">
        <v>4.53</v>
      </c>
      <c r="G47" s="134">
        <v>94.83</v>
      </c>
      <c r="H47" s="134">
        <v>46.17</v>
      </c>
      <c r="I47" s="134">
        <v>7</v>
      </c>
      <c r="J47" s="134">
        <v>0.7</v>
      </c>
      <c r="K47" s="134">
        <v>42.37</v>
      </c>
      <c r="L47" s="134">
        <v>26.18</v>
      </c>
      <c r="M47" s="134">
        <v>66.260000000000005</v>
      </c>
      <c r="N47" s="134">
        <v>347.2</v>
      </c>
      <c r="O47" s="134">
        <v>0</v>
      </c>
      <c r="P47" s="134">
        <v>0.91</v>
      </c>
      <c r="Q47" s="134">
        <v>4.29</v>
      </c>
    </row>
    <row r="48" spans="1:17" customFormat="1">
      <c r="A48" s="112" t="s">
        <v>1526</v>
      </c>
      <c r="B48" s="134">
        <v>5.42</v>
      </c>
      <c r="C48" s="134">
        <v>24.33</v>
      </c>
      <c r="D48" s="134">
        <v>18.41</v>
      </c>
      <c r="E48" s="134">
        <v>8.1300000000000008</v>
      </c>
      <c r="F48" s="134">
        <v>4.62</v>
      </c>
      <c r="G48" s="134">
        <v>94.48</v>
      </c>
      <c r="H48" s="134">
        <v>46.17</v>
      </c>
      <c r="I48" s="134">
        <v>6.89</v>
      </c>
      <c r="J48" s="134">
        <v>0.53</v>
      </c>
      <c r="K48" s="134">
        <v>48.48</v>
      </c>
      <c r="L48" s="134">
        <v>26.74</v>
      </c>
      <c r="M48" s="134">
        <v>63.68</v>
      </c>
      <c r="N48" s="134">
        <v>376.4</v>
      </c>
      <c r="O48" s="134">
        <v>0</v>
      </c>
      <c r="P48" s="134">
        <v>0.9</v>
      </c>
      <c r="Q48" s="134">
        <v>4.28</v>
      </c>
    </row>
    <row r="49" spans="1:17" customFormat="1">
      <c r="A49" s="112" t="s">
        <v>1527</v>
      </c>
      <c r="B49" s="134">
        <v>5.35</v>
      </c>
      <c r="C49" s="134">
        <v>23.94</v>
      </c>
      <c r="D49" s="134">
        <v>18.14</v>
      </c>
      <c r="E49" s="134">
        <v>5.54</v>
      </c>
      <c r="F49" s="134">
        <v>5.09</v>
      </c>
      <c r="G49" s="134">
        <v>94.48</v>
      </c>
      <c r="H49" s="134">
        <v>46.17</v>
      </c>
      <c r="I49" s="134">
        <v>6.77</v>
      </c>
      <c r="J49" s="134">
        <v>0.5</v>
      </c>
      <c r="K49" s="134">
        <v>61.07</v>
      </c>
      <c r="L49" s="134">
        <v>26.83</v>
      </c>
      <c r="M49" s="134">
        <v>62.38</v>
      </c>
      <c r="N49" s="134">
        <v>349.9</v>
      </c>
      <c r="O49" s="134">
        <v>0</v>
      </c>
      <c r="P49" s="134">
        <v>0.9</v>
      </c>
      <c r="Q49" s="134">
        <v>4.26</v>
      </c>
    </row>
    <row r="50" spans="1:17" customFormat="1">
      <c r="A50" s="112" t="s">
        <v>1528</v>
      </c>
      <c r="B50" s="134">
        <v>5.1100000000000003</v>
      </c>
      <c r="C50" s="134">
        <v>23.57</v>
      </c>
      <c r="D50" s="134">
        <v>17.77</v>
      </c>
      <c r="E50" s="134">
        <v>6.64</v>
      </c>
      <c r="F50" s="134">
        <v>5.31</v>
      </c>
      <c r="G50" s="134">
        <v>94.48</v>
      </c>
      <c r="H50" s="134">
        <v>46.17</v>
      </c>
      <c r="I50" s="134">
        <v>6.7</v>
      </c>
      <c r="J50" s="134">
        <v>0.45</v>
      </c>
      <c r="K50" s="134">
        <v>43.24</v>
      </c>
      <c r="L50" s="134">
        <v>27.46</v>
      </c>
      <c r="M50" s="134">
        <v>61.72</v>
      </c>
      <c r="N50" s="134">
        <v>418.8</v>
      </c>
      <c r="O50" s="134">
        <v>0</v>
      </c>
      <c r="P50" s="134">
        <v>0.89</v>
      </c>
      <c r="Q50" s="134">
        <v>4.2300000000000004</v>
      </c>
    </row>
    <row r="51" spans="1:17" customFormat="1">
      <c r="A51" s="112" t="s">
        <v>1529</v>
      </c>
      <c r="B51" s="134">
        <v>5.0199999999999996</v>
      </c>
      <c r="C51" s="134">
        <v>23.21</v>
      </c>
      <c r="D51" s="134">
        <v>17.5</v>
      </c>
      <c r="E51" s="134">
        <v>5.95</v>
      </c>
      <c r="F51" s="134">
        <v>5.46</v>
      </c>
      <c r="G51" s="134">
        <v>92.33</v>
      </c>
      <c r="H51" s="134">
        <v>43.54</v>
      </c>
      <c r="I51" s="134">
        <v>6.58</v>
      </c>
      <c r="J51" s="134">
        <v>0.56000000000000005</v>
      </c>
      <c r="K51" s="134">
        <v>31.49</v>
      </c>
      <c r="L51" s="134">
        <v>27.53</v>
      </c>
      <c r="M51" s="134">
        <v>62.28</v>
      </c>
      <c r="N51" s="134">
        <v>428.6</v>
      </c>
      <c r="O51" s="134">
        <v>0</v>
      </c>
      <c r="P51" s="134">
        <v>0.88</v>
      </c>
      <c r="Q51" s="134">
        <v>4.2300000000000004</v>
      </c>
    </row>
    <row r="52" spans="1:17" customFormat="1">
      <c r="A52" s="112" t="s">
        <v>1530</v>
      </c>
      <c r="B52" s="134">
        <v>4.96</v>
      </c>
      <c r="C52" s="134">
        <v>23.67</v>
      </c>
      <c r="D52" s="134">
        <v>17.7</v>
      </c>
      <c r="E52" s="134">
        <v>6.73</v>
      </c>
      <c r="F52" s="134">
        <v>4.9800000000000004</v>
      </c>
      <c r="G52" s="134">
        <v>92.07</v>
      </c>
      <c r="H52" s="134">
        <v>43.54</v>
      </c>
      <c r="I52" s="134">
        <v>6.44</v>
      </c>
      <c r="J52" s="134">
        <v>0.34</v>
      </c>
      <c r="K52" s="134">
        <v>42.22</v>
      </c>
      <c r="L52" s="134">
        <v>28.17</v>
      </c>
      <c r="M52" s="134">
        <v>60.24</v>
      </c>
      <c r="N52" s="134">
        <v>436.4</v>
      </c>
      <c r="O52" s="134">
        <v>0</v>
      </c>
      <c r="P52" s="134">
        <v>0.9</v>
      </c>
      <c r="Q52" s="134">
        <v>4.25</v>
      </c>
    </row>
    <row r="53" spans="1:17" customFormat="1">
      <c r="A53" s="112" t="s">
        <v>1531</v>
      </c>
      <c r="B53" s="134">
        <v>5.13</v>
      </c>
      <c r="C53" s="134">
        <v>21.73</v>
      </c>
      <c r="D53" s="134">
        <v>16.82</v>
      </c>
      <c r="E53" s="134">
        <v>5.7</v>
      </c>
      <c r="F53" s="134">
        <v>4.7</v>
      </c>
      <c r="G53" s="134">
        <v>92.07</v>
      </c>
      <c r="H53" s="134">
        <v>43.54</v>
      </c>
      <c r="I53" s="134">
        <v>6.4</v>
      </c>
      <c r="J53" s="134">
        <v>0.51</v>
      </c>
      <c r="K53" s="134">
        <v>40.61</v>
      </c>
      <c r="L53" s="134">
        <v>28.14</v>
      </c>
      <c r="M53" s="134">
        <v>59.58</v>
      </c>
      <c r="N53" s="134">
        <v>462.3</v>
      </c>
      <c r="O53" s="134">
        <v>0</v>
      </c>
      <c r="P53" s="134">
        <v>0.88</v>
      </c>
      <c r="Q53" s="134">
        <v>4.25</v>
      </c>
    </row>
    <row r="54" spans="1:17" customFormat="1">
      <c r="A54" s="112" t="s">
        <v>1532</v>
      </c>
      <c r="B54" s="134">
        <v>5.22</v>
      </c>
      <c r="C54" s="134">
        <v>20.05</v>
      </c>
      <c r="D54" s="134">
        <v>16.010000000000002</v>
      </c>
      <c r="E54" s="134">
        <v>5.52</v>
      </c>
      <c r="F54" s="134">
        <v>4.79</v>
      </c>
      <c r="G54" s="134">
        <v>92.07</v>
      </c>
      <c r="H54" s="134">
        <v>43.54</v>
      </c>
      <c r="I54" s="134">
        <v>6.46</v>
      </c>
      <c r="J54" s="134">
        <v>0.44</v>
      </c>
      <c r="K54" s="134">
        <v>33.520000000000003</v>
      </c>
      <c r="L54" s="134">
        <v>28.41</v>
      </c>
      <c r="M54" s="134">
        <v>56.43</v>
      </c>
      <c r="N54" s="134">
        <v>435.1</v>
      </c>
      <c r="O54" s="134">
        <v>0</v>
      </c>
      <c r="P54" s="134">
        <v>0.87</v>
      </c>
      <c r="Q54" s="134">
        <v>4.2300000000000004</v>
      </c>
    </row>
    <row r="55" spans="1:17" customFormat="1">
      <c r="A55" s="112" t="s">
        <v>1533</v>
      </c>
      <c r="B55" s="134">
        <v>5.34</v>
      </c>
      <c r="C55" s="134">
        <v>19.170000000000002</v>
      </c>
      <c r="D55" s="134">
        <v>15.65</v>
      </c>
      <c r="E55" s="134">
        <v>5.12</v>
      </c>
      <c r="F55" s="134">
        <v>4.53</v>
      </c>
      <c r="G55" s="134">
        <v>91.3</v>
      </c>
      <c r="H55" s="134">
        <v>46.04</v>
      </c>
      <c r="I55" s="134">
        <v>6.48</v>
      </c>
      <c r="J55" s="134">
        <v>0.28000000000000003</v>
      </c>
      <c r="K55" s="134">
        <v>52.72</v>
      </c>
      <c r="L55" s="134">
        <v>28.89</v>
      </c>
      <c r="M55" s="134">
        <v>53.18</v>
      </c>
      <c r="N55" s="134">
        <v>471.6</v>
      </c>
      <c r="O55" s="134">
        <v>0</v>
      </c>
      <c r="P55" s="134">
        <v>0.86</v>
      </c>
      <c r="Q55" s="134">
        <v>4.22</v>
      </c>
    </row>
    <row r="56" spans="1:17" customFormat="1">
      <c r="A56" s="112" t="s">
        <v>1534</v>
      </c>
      <c r="B56" s="134">
        <v>5.45</v>
      </c>
      <c r="C56" s="134">
        <v>18.5</v>
      </c>
      <c r="D56" s="134">
        <v>15.39</v>
      </c>
      <c r="E56" s="134">
        <v>4.46</v>
      </c>
      <c r="F56" s="134">
        <v>4.47</v>
      </c>
      <c r="G56" s="134">
        <v>91.19</v>
      </c>
      <c r="H56" s="134">
        <v>46.04</v>
      </c>
      <c r="I56" s="134">
        <v>6.54</v>
      </c>
      <c r="J56" s="134">
        <v>0.23</v>
      </c>
      <c r="K56" s="134">
        <v>52.58</v>
      </c>
      <c r="L56" s="134">
        <v>29.22</v>
      </c>
      <c r="M56" s="134">
        <v>46.71</v>
      </c>
      <c r="N56" s="134">
        <v>511.6</v>
      </c>
      <c r="O56" s="134">
        <v>0</v>
      </c>
      <c r="P56" s="134">
        <v>0.84</v>
      </c>
      <c r="Q56" s="134">
        <v>4.1900000000000004</v>
      </c>
    </row>
    <row r="57" spans="1:17" customFormat="1">
      <c r="A57" s="112" t="s">
        <v>1535</v>
      </c>
      <c r="B57" s="134">
        <v>5.36</v>
      </c>
      <c r="C57" s="134">
        <v>18.34</v>
      </c>
      <c r="D57" s="134">
        <v>15.24</v>
      </c>
      <c r="E57" s="134">
        <v>4.47</v>
      </c>
      <c r="F57" s="134">
        <v>4.43</v>
      </c>
      <c r="G57" s="134">
        <v>91.19</v>
      </c>
      <c r="H57" s="134">
        <v>46.04</v>
      </c>
      <c r="I57" s="134">
        <v>6.57</v>
      </c>
      <c r="J57" s="134">
        <v>0.37</v>
      </c>
      <c r="K57" s="134">
        <v>32.44</v>
      </c>
      <c r="L57" s="134">
        <v>29.89</v>
      </c>
      <c r="M57" s="134">
        <v>41.6</v>
      </c>
      <c r="N57" s="134">
        <v>541.1</v>
      </c>
      <c r="O57" s="134">
        <v>0</v>
      </c>
      <c r="P57" s="134">
        <v>0.83</v>
      </c>
      <c r="Q57" s="134">
        <v>4.18</v>
      </c>
    </row>
    <row r="58" spans="1:17" customFormat="1">
      <c r="A58" s="112" t="s">
        <v>1536</v>
      </c>
      <c r="B58" s="134">
        <v>5.26</v>
      </c>
      <c r="C58" s="134">
        <v>18.32</v>
      </c>
      <c r="D58" s="134">
        <v>15.14</v>
      </c>
      <c r="E58" s="134">
        <v>4.6900000000000004</v>
      </c>
      <c r="F58" s="134">
        <v>4.41</v>
      </c>
      <c r="G58" s="134">
        <v>91.19</v>
      </c>
      <c r="H58" s="134">
        <v>46.04</v>
      </c>
      <c r="I58" s="134">
        <v>6.51</v>
      </c>
      <c r="J58" s="134">
        <v>0.17</v>
      </c>
      <c r="K58" s="134">
        <v>62.78</v>
      </c>
      <c r="L58" s="134">
        <v>30.22</v>
      </c>
      <c r="M58" s="134">
        <v>38.29</v>
      </c>
      <c r="N58" s="134">
        <v>372.6</v>
      </c>
      <c r="O58" s="134">
        <v>0</v>
      </c>
      <c r="P58" s="134">
        <v>0.82</v>
      </c>
      <c r="Q58" s="134">
        <v>4.18</v>
      </c>
    </row>
    <row r="59" spans="1:17" customFormat="1">
      <c r="A59" s="112" t="s">
        <v>1537</v>
      </c>
      <c r="B59" s="134">
        <v>5.35</v>
      </c>
      <c r="C59" s="134">
        <v>17.78</v>
      </c>
      <c r="D59" s="134">
        <v>14.93</v>
      </c>
      <c r="E59" s="134">
        <v>4.79</v>
      </c>
      <c r="F59" s="134">
        <v>4.92</v>
      </c>
      <c r="G59" s="134">
        <v>75.260000000000005</v>
      </c>
      <c r="H59" s="134">
        <v>39.119999999999997</v>
      </c>
      <c r="I59" s="134">
        <v>6.46</v>
      </c>
      <c r="J59" s="134">
        <v>0.46</v>
      </c>
      <c r="K59" s="134">
        <v>27.89</v>
      </c>
      <c r="L59" s="134">
        <v>29.56</v>
      </c>
      <c r="M59" s="134">
        <v>39.229999999999997</v>
      </c>
      <c r="N59" s="134">
        <v>328.7</v>
      </c>
      <c r="O59" s="134">
        <v>0</v>
      </c>
      <c r="P59" s="134">
        <v>0.81</v>
      </c>
      <c r="Q59" s="134">
        <v>4.18</v>
      </c>
    </row>
    <row r="60" spans="1:17" customFormat="1">
      <c r="A60" s="112" t="s">
        <v>1538</v>
      </c>
      <c r="B60" s="134">
        <v>5.31</v>
      </c>
      <c r="C60" s="134">
        <v>17.86</v>
      </c>
      <c r="D60" s="134">
        <v>14.94</v>
      </c>
      <c r="E60" s="134">
        <v>5.3</v>
      </c>
      <c r="F60" s="134">
        <v>5.52</v>
      </c>
      <c r="G60" s="134">
        <v>73.040000000000006</v>
      </c>
      <c r="H60" s="134">
        <v>39.119999999999997</v>
      </c>
      <c r="I60" s="134">
        <v>6.37</v>
      </c>
      <c r="J60" s="134">
        <v>0.51</v>
      </c>
      <c r="K60" s="134">
        <v>28.04</v>
      </c>
      <c r="L60" s="134">
        <v>29.79</v>
      </c>
      <c r="M60" s="134">
        <v>38.68</v>
      </c>
      <c r="N60" s="134">
        <v>440.2</v>
      </c>
      <c r="O60" s="134">
        <v>0</v>
      </c>
      <c r="P60" s="134">
        <v>0.81</v>
      </c>
      <c r="Q60" s="134">
        <v>4.17</v>
      </c>
    </row>
    <row r="61" spans="1:17" customFormat="1">
      <c r="A61" s="112" t="s">
        <v>1539</v>
      </c>
      <c r="B61" s="134">
        <v>5.4</v>
      </c>
      <c r="C61" s="134">
        <v>17.54</v>
      </c>
      <c r="D61" s="134">
        <v>14.85</v>
      </c>
      <c r="E61" s="134">
        <v>4.5199999999999996</v>
      </c>
      <c r="F61" s="134">
        <v>5.17</v>
      </c>
      <c r="G61" s="134">
        <v>73.040000000000006</v>
      </c>
      <c r="H61" s="134">
        <v>39.119999999999997</v>
      </c>
      <c r="I61" s="134">
        <v>6.28</v>
      </c>
      <c r="J61" s="134">
        <v>0.22</v>
      </c>
      <c r="K61" s="134">
        <v>50.02</v>
      </c>
      <c r="L61" s="134">
        <v>29.86</v>
      </c>
      <c r="M61" s="134">
        <v>39.729999999999997</v>
      </c>
      <c r="N61" s="134">
        <v>308</v>
      </c>
      <c r="O61" s="134">
        <v>0</v>
      </c>
      <c r="P61" s="134">
        <v>0.8</v>
      </c>
      <c r="Q61" s="134">
        <v>4.1500000000000004</v>
      </c>
    </row>
    <row r="62" spans="1:17" customFormat="1">
      <c r="A62" s="112" t="s">
        <v>1540</v>
      </c>
      <c r="B62" s="134">
        <v>5.3</v>
      </c>
      <c r="C62" s="134">
        <v>17.510000000000002</v>
      </c>
      <c r="D62" s="134">
        <v>14.75</v>
      </c>
      <c r="E62" s="134">
        <v>4.71</v>
      </c>
      <c r="F62" s="134">
        <v>5.43</v>
      </c>
      <c r="G62" s="134">
        <v>73.040000000000006</v>
      </c>
      <c r="H62" s="134">
        <v>39.119999999999997</v>
      </c>
      <c r="I62" s="134">
        <v>6.2</v>
      </c>
      <c r="J62" s="134">
        <v>0.35</v>
      </c>
      <c r="K62" s="134">
        <v>36.630000000000003</v>
      </c>
      <c r="L62" s="134">
        <v>29.55</v>
      </c>
      <c r="M62" s="134">
        <v>40.72</v>
      </c>
      <c r="N62" s="134">
        <v>353</v>
      </c>
      <c r="O62" s="134">
        <v>0</v>
      </c>
      <c r="P62" s="134">
        <v>0.79</v>
      </c>
      <c r="Q62" s="134">
        <v>4.1399999999999997</v>
      </c>
    </row>
    <row r="63" spans="1:17" customFormat="1">
      <c r="A63" s="112" t="s">
        <v>1541</v>
      </c>
      <c r="B63" s="134">
        <v>5.23</v>
      </c>
      <c r="C63" s="134">
        <v>17.399999999999999</v>
      </c>
      <c r="D63" s="134">
        <v>14.64</v>
      </c>
      <c r="E63" s="134">
        <v>5.65</v>
      </c>
      <c r="F63" s="134">
        <v>6.54</v>
      </c>
      <c r="G63" s="134">
        <v>71.58</v>
      </c>
      <c r="H63" s="134">
        <v>38.659999999999997</v>
      </c>
      <c r="I63" s="134">
        <v>6.15</v>
      </c>
      <c r="J63" s="134">
        <v>0.08</v>
      </c>
      <c r="K63" s="134">
        <v>101.05</v>
      </c>
      <c r="L63" s="134">
        <v>30</v>
      </c>
      <c r="M63" s="134">
        <v>39.57</v>
      </c>
      <c r="N63" s="134">
        <v>321.7</v>
      </c>
      <c r="O63" s="134">
        <v>0</v>
      </c>
      <c r="P63" s="134">
        <v>0.78</v>
      </c>
      <c r="Q63" s="134">
        <v>4.1399999999999997</v>
      </c>
    </row>
    <row r="64" spans="1:17" customFormat="1">
      <c r="A64" s="112" t="s">
        <v>1542</v>
      </c>
      <c r="B64" s="134">
        <v>5.19</v>
      </c>
      <c r="C64" s="134">
        <v>17.21</v>
      </c>
      <c r="D64" s="134">
        <v>14.51</v>
      </c>
      <c r="E64" s="134">
        <v>5.34</v>
      </c>
      <c r="F64" s="134">
        <v>6.13</v>
      </c>
      <c r="G64" s="134">
        <v>71.37</v>
      </c>
      <c r="H64" s="134">
        <v>38.659999999999997</v>
      </c>
      <c r="I64" s="134">
        <v>6.04</v>
      </c>
      <c r="J64" s="134">
        <v>0.52</v>
      </c>
      <c r="K64" s="134">
        <v>31.97</v>
      </c>
      <c r="L64" s="134">
        <v>29.61</v>
      </c>
      <c r="M64" s="134">
        <v>41.91</v>
      </c>
      <c r="N64" s="134">
        <v>293.2</v>
      </c>
      <c r="O64" s="134">
        <v>0</v>
      </c>
      <c r="P64" s="134">
        <v>0.77</v>
      </c>
      <c r="Q64" s="134">
        <v>4.1399999999999997</v>
      </c>
    </row>
    <row r="65" spans="1:17" customFormat="1">
      <c r="A65" s="112" t="s">
        <v>1543</v>
      </c>
      <c r="B65" s="134">
        <v>5.28</v>
      </c>
      <c r="C65" s="134">
        <v>17.13</v>
      </c>
      <c r="D65" s="134">
        <v>14.54</v>
      </c>
      <c r="E65" s="134">
        <v>5.28</v>
      </c>
      <c r="F65" s="134">
        <v>6.72</v>
      </c>
      <c r="G65" s="134">
        <v>71.37</v>
      </c>
      <c r="H65" s="134">
        <v>38.659999999999997</v>
      </c>
      <c r="I65" s="134">
        <v>6.01</v>
      </c>
      <c r="J65" s="134">
        <v>0.26</v>
      </c>
      <c r="K65" s="134">
        <v>37</v>
      </c>
      <c r="L65" s="134">
        <v>29.22</v>
      </c>
      <c r="M65" s="134">
        <v>43.57</v>
      </c>
      <c r="N65" s="134">
        <v>149.5</v>
      </c>
      <c r="O65" s="134">
        <v>0</v>
      </c>
      <c r="P65" s="134">
        <v>0.74</v>
      </c>
      <c r="Q65" s="134">
        <v>4.1399999999999997</v>
      </c>
    </row>
    <row r="66" spans="1:17" customFormat="1">
      <c r="A66" s="112" t="s">
        <v>1544</v>
      </c>
      <c r="B66" s="134">
        <v>5.36</v>
      </c>
      <c r="C66" s="134">
        <v>17.11</v>
      </c>
      <c r="D66" s="134">
        <v>14.59</v>
      </c>
      <c r="E66" s="134">
        <v>6.9</v>
      </c>
      <c r="F66" s="134">
        <v>7.7</v>
      </c>
      <c r="G66" s="134">
        <v>71.37</v>
      </c>
      <c r="H66" s="134">
        <v>38.659999999999997</v>
      </c>
      <c r="I66" s="134">
        <v>5.91</v>
      </c>
      <c r="J66" s="134">
        <v>0.51</v>
      </c>
      <c r="K66" s="134">
        <v>27.04</v>
      </c>
      <c r="L66" s="134">
        <v>29.08</v>
      </c>
      <c r="M66" s="134">
        <v>42.35</v>
      </c>
      <c r="N66" s="134">
        <v>173.6</v>
      </c>
      <c r="O66" s="134">
        <v>0</v>
      </c>
      <c r="P66" s="134">
        <v>0.76</v>
      </c>
      <c r="Q66" s="134">
        <v>4.1399999999999997</v>
      </c>
    </row>
    <row r="67" spans="1:17" customFormat="1">
      <c r="A67" s="112" t="s">
        <v>1545</v>
      </c>
      <c r="B67" s="134">
        <v>5.24</v>
      </c>
      <c r="C67" s="134">
        <v>17.12</v>
      </c>
      <c r="D67" s="134">
        <v>14.5</v>
      </c>
      <c r="E67" s="134">
        <v>10.25</v>
      </c>
      <c r="F67" s="134">
        <v>10.38</v>
      </c>
      <c r="G67" s="134">
        <v>72.959999999999994</v>
      </c>
      <c r="H67" s="134">
        <v>40.49</v>
      </c>
      <c r="I67" s="134">
        <v>5.91</v>
      </c>
      <c r="J67" s="134">
        <v>0.46</v>
      </c>
      <c r="K67" s="134">
        <v>28.8</v>
      </c>
      <c r="L67" s="134">
        <v>28.95</v>
      </c>
      <c r="M67" s="134">
        <v>42.37</v>
      </c>
      <c r="N67" s="134">
        <v>149.1</v>
      </c>
      <c r="O67" s="134">
        <v>0</v>
      </c>
      <c r="P67" s="134">
        <v>0.75</v>
      </c>
      <c r="Q67" s="134">
        <v>4.1500000000000004</v>
      </c>
    </row>
    <row r="68" spans="1:17" customFormat="1">
      <c r="A68" s="112" t="s">
        <v>1546</v>
      </c>
      <c r="B68" s="134">
        <v>5.23</v>
      </c>
      <c r="C68" s="134">
        <v>17.12</v>
      </c>
      <c r="D68" s="134">
        <v>14.49</v>
      </c>
      <c r="E68" s="134">
        <v>9.76</v>
      </c>
      <c r="F68" s="134">
        <v>8.7799999999999994</v>
      </c>
      <c r="G68" s="134">
        <v>73.180000000000007</v>
      </c>
      <c r="H68" s="134">
        <v>40.49</v>
      </c>
      <c r="I68" s="134">
        <v>5.77</v>
      </c>
      <c r="J68" s="134">
        <v>0.51</v>
      </c>
      <c r="K68" s="134">
        <v>36.78</v>
      </c>
      <c r="L68" s="134">
        <v>28.59</v>
      </c>
      <c r="M68" s="134">
        <v>42.9</v>
      </c>
      <c r="N68" s="134">
        <v>86.9</v>
      </c>
      <c r="O68" s="134">
        <v>0</v>
      </c>
      <c r="P68" s="134">
        <v>0.75</v>
      </c>
      <c r="Q68" s="134">
        <v>4.17</v>
      </c>
    </row>
    <row r="69" spans="1:17" customFormat="1">
      <c r="A69" s="112" t="s">
        <v>1547</v>
      </c>
      <c r="B69" s="134">
        <v>5.37</v>
      </c>
      <c r="C69" s="134">
        <v>17.46</v>
      </c>
      <c r="D69" s="134">
        <v>14.78</v>
      </c>
      <c r="E69" s="134">
        <v>8.39</v>
      </c>
      <c r="F69" s="134">
        <v>8.64</v>
      </c>
      <c r="G69" s="134">
        <v>73.180000000000007</v>
      </c>
      <c r="H69" s="134">
        <v>40.49</v>
      </c>
      <c r="I69" s="134">
        <v>5.68</v>
      </c>
      <c r="J69" s="134">
        <v>0.52</v>
      </c>
      <c r="K69" s="134">
        <v>26.04</v>
      </c>
      <c r="L69" s="134">
        <v>28.48</v>
      </c>
      <c r="M69" s="134">
        <v>43.9</v>
      </c>
      <c r="N69" s="134">
        <v>111.6</v>
      </c>
      <c r="O69" s="134">
        <v>0</v>
      </c>
      <c r="P69" s="134">
        <v>0.75</v>
      </c>
      <c r="Q69" s="134">
        <v>4.1500000000000004</v>
      </c>
    </row>
    <row r="70" spans="1:17" customFormat="1">
      <c r="A70" s="112" t="s">
        <v>1548</v>
      </c>
      <c r="B70" s="134">
        <v>5.21</v>
      </c>
      <c r="C70" s="134">
        <v>17.739999999999998</v>
      </c>
      <c r="D70" s="134">
        <v>14.79</v>
      </c>
      <c r="E70" s="134">
        <v>9.6300000000000008</v>
      </c>
      <c r="F70" s="134">
        <v>9.81</v>
      </c>
      <c r="G70" s="134">
        <v>73.180000000000007</v>
      </c>
      <c r="H70" s="134">
        <v>40.49</v>
      </c>
      <c r="I70" s="134">
        <v>5.69</v>
      </c>
      <c r="J70" s="134">
        <v>0.37</v>
      </c>
      <c r="K70" s="134">
        <v>27.26</v>
      </c>
      <c r="L70" s="134">
        <v>28.41</v>
      </c>
      <c r="M70" s="134">
        <v>43.97</v>
      </c>
      <c r="N70" s="134">
        <v>86.9</v>
      </c>
      <c r="O70" s="134">
        <v>0</v>
      </c>
      <c r="P70" s="134">
        <v>0.75</v>
      </c>
      <c r="Q70" s="134">
        <v>4.1500000000000004</v>
      </c>
    </row>
    <row r="71" spans="1:17" customFormat="1">
      <c r="A71" s="112" t="s">
        <v>1549</v>
      </c>
      <c r="B71" s="134">
        <v>5.23</v>
      </c>
      <c r="C71" s="134">
        <v>18.260000000000002</v>
      </c>
      <c r="D71" s="134">
        <v>15.08</v>
      </c>
      <c r="E71" s="134">
        <v>7.35</v>
      </c>
      <c r="F71" s="134">
        <v>5.85</v>
      </c>
      <c r="G71" s="134">
        <v>74.510000000000005</v>
      </c>
      <c r="H71" s="134">
        <v>35.94</v>
      </c>
      <c r="I71" s="134">
        <v>5.65</v>
      </c>
      <c r="J71" s="134">
        <v>0.39</v>
      </c>
      <c r="K71" s="134">
        <v>32.700000000000003</v>
      </c>
      <c r="L71" s="134">
        <v>28.25</v>
      </c>
      <c r="M71" s="134">
        <v>45.45</v>
      </c>
      <c r="N71" s="134">
        <v>75.900000000000006</v>
      </c>
      <c r="O71" s="134">
        <v>0</v>
      </c>
      <c r="P71" s="134">
        <v>0.75</v>
      </c>
      <c r="Q71" s="134">
        <v>4.17</v>
      </c>
    </row>
    <row r="72" spans="1:17" customFormat="1">
      <c r="A72" s="112" t="s">
        <v>1550</v>
      </c>
      <c r="B72" s="134">
        <v>5.0199999999999996</v>
      </c>
      <c r="C72" s="134">
        <v>19.440000000000001</v>
      </c>
      <c r="D72" s="134">
        <v>15.53</v>
      </c>
      <c r="E72" s="134">
        <v>6.33</v>
      </c>
      <c r="F72" s="134">
        <v>5.75</v>
      </c>
      <c r="G72" s="134">
        <v>74.67</v>
      </c>
      <c r="H72" s="134">
        <v>35.94</v>
      </c>
      <c r="I72" s="134">
        <v>5.6</v>
      </c>
      <c r="J72" s="134">
        <v>0.33</v>
      </c>
      <c r="K72" s="134">
        <v>43.01</v>
      </c>
      <c r="L72" s="134">
        <v>28.29</v>
      </c>
      <c r="M72" s="134">
        <v>44.69</v>
      </c>
      <c r="N72" s="134">
        <v>82.1</v>
      </c>
      <c r="O72" s="134">
        <v>0</v>
      </c>
      <c r="P72" s="134">
        <v>0.77</v>
      </c>
      <c r="Q72" s="134">
        <v>4.1500000000000004</v>
      </c>
    </row>
    <row r="73" spans="1:17" customFormat="1">
      <c r="A73" s="112" t="s">
        <v>1551</v>
      </c>
      <c r="B73" s="134">
        <v>4.93</v>
      </c>
      <c r="C73" s="134">
        <v>20.55</v>
      </c>
      <c r="D73" s="134">
        <v>16.04</v>
      </c>
      <c r="E73" s="134">
        <v>6.2</v>
      </c>
      <c r="F73" s="134">
        <v>5.85</v>
      </c>
      <c r="G73" s="134">
        <v>74.67</v>
      </c>
      <c r="H73" s="134">
        <v>35.94</v>
      </c>
      <c r="I73" s="134">
        <v>5.67</v>
      </c>
      <c r="J73" s="134">
        <v>0.32</v>
      </c>
      <c r="K73" s="134">
        <v>32.82</v>
      </c>
      <c r="L73" s="134">
        <v>28.18</v>
      </c>
      <c r="M73" s="134">
        <v>45.38</v>
      </c>
      <c r="N73" s="134">
        <v>55.8</v>
      </c>
      <c r="O73" s="134">
        <v>0</v>
      </c>
      <c r="P73" s="134">
        <v>0.79</v>
      </c>
      <c r="Q73" s="134">
        <v>4.1500000000000004</v>
      </c>
    </row>
    <row r="74" spans="1:17" customFormat="1">
      <c r="A74" s="112" t="s">
        <v>1552</v>
      </c>
      <c r="B74" s="134">
        <v>5</v>
      </c>
      <c r="C74" s="134">
        <v>22.25</v>
      </c>
      <c r="D74" s="134">
        <v>16.989999999999998</v>
      </c>
      <c r="E74" s="134">
        <v>6.31</v>
      </c>
      <c r="F74" s="134">
        <v>5.37</v>
      </c>
      <c r="G74" s="134">
        <v>74.67</v>
      </c>
      <c r="H74" s="134">
        <v>35.94</v>
      </c>
      <c r="I74" s="134">
        <v>5.58</v>
      </c>
      <c r="J74" s="134">
        <v>0.33</v>
      </c>
      <c r="K74" s="134">
        <v>39.06</v>
      </c>
      <c r="L74" s="134">
        <v>27.74</v>
      </c>
      <c r="M74" s="134">
        <v>46.77</v>
      </c>
      <c r="N74" s="134">
        <v>23.4</v>
      </c>
      <c r="O74" s="134">
        <v>0</v>
      </c>
      <c r="P74" s="134">
        <v>0.79</v>
      </c>
      <c r="Q74" s="134">
        <v>4.17</v>
      </c>
    </row>
    <row r="75" spans="1:17" customFormat="1">
      <c r="A75" s="112" t="s">
        <v>1553</v>
      </c>
      <c r="B75" s="134">
        <v>5.07</v>
      </c>
      <c r="C75" s="134">
        <v>23.13</v>
      </c>
      <c r="D75" s="134">
        <v>17.510000000000002</v>
      </c>
      <c r="E75" s="134">
        <v>6.48</v>
      </c>
      <c r="F75" s="134">
        <v>5.15</v>
      </c>
      <c r="G75" s="134">
        <v>77.97</v>
      </c>
      <c r="H75" s="134">
        <v>43.03</v>
      </c>
      <c r="I75" s="134">
        <v>5.5</v>
      </c>
      <c r="J75" s="134">
        <v>0.14000000000000001</v>
      </c>
      <c r="K75" s="134">
        <v>48.97</v>
      </c>
      <c r="L75" s="134">
        <v>27.26</v>
      </c>
      <c r="M75" s="134">
        <v>49.39</v>
      </c>
      <c r="N75" s="134">
        <v>9.4</v>
      </c>
      <c r="O75" s="134">
        <v>0</v>
      </c>
      <c r="P75" s="134">
        <v>0.82</v>
      </c>
      <c r="Q75" s="134">
        <v>4.18</v>
      </c>
    </row>
    <row r="76" spans="1:17" customFormat="1">
      <c r="A76" s="112" t="s">
        <v>1554</v>
      </c>
      <c r="B76" s="134">
        <v>5.08</v>
      </c>
      <c r="C76" s="134">
        <v>24.03</v>
      </c>
      <c r="D76" s="134">
        <v>17.98</v>
      </c>
      <c r="E76" s="134">
        <v>6.48</v>
      </c>
      <c r="F76" s="134">
        <v>4.76</v>
      </c>
      <c r="G76" s="134">
        <v>78.38</v>
      </c>
      <c r="H76" s="134">
        <v>43.03</v>
      </c>
      <c r="I76" s="134">
        <v>5.43</v>
      </c>
      <c r="J76" s="134">
        <v>0.09</v>
      </c>
      <c r="K76" s="134">
        <v>123.41</v>
      </c>
      <c r="L76" s="134">
        <v>26.68</v>
      </c>
      <c r="M76" s="134">
        <v>54.14</v>
      </c>
      <c r="N76" s="134">
        <v>2.4</v>
      </c>
      <c r="O76" s="134">
        <v>0</v>
      </c>
      <c r="P76" s="134">
        <v>0.83</v>
      </c>
      <c r="Q76" s="134">
        <v>4.2300000000000004</v>
      </c>
    </row>
    <row r="77" spans="1:17" customFormat="1">
      <c r="A77" s="112" t="s">
        <v>1555</v>
      </c>
      <c r="B77" s="134">
        <v>5.16</v>
      </c>
      <c r="C77" s="134">
        <v>24.79</v>
      </c>
      <c r="D77" s="134">
        <v>18.440000000000001</v>
      </c>
      <c r="E77" s="134">
        <v>6.06</v>
      </c>
      <c r="F77" s="134">
        <v>4.2699999999999996</v>
      </c>
      <c r="G77" s="134">
        <v>78.38</v>
      </c>
      <c r="H77" s="134">
        <v>43.03</v>
      </c>
      <c r="I77" s="134">
        <v>5.43</v>
      </c>
      <c r="J77" s="134">
        <v>0.15</v>
      </c>
      <c r="K77" s="134">
        <v>147.85</v>
      </c>
      <c r="L77" s="134">
        <v>26.12</v>
      </c>
      <c r="M77" s="134">
        <v>57.1</v>
      </c>
      <c r="N77" s="134">
        <v>0</v>
      </c>
      <c r="O77" s="134">
        <v>0</v>
      </c>
      <c r="P77" s="134">
        <v>0.84</v>
      </c>
      <c r="Q77" s="134">
        <v>4.22</v>
      </c>
    </row>
    <row r="78" spans="1:17" customFormat="1">
      <c r="A78" s="112" t="s">
        <v>1556</v>
      </c>
      <c r="B78" s="134">
        <v>5.29</v>
      </c>
      <c r="C78" s="134">
        <v>25.82</v>
      </c>
      <c r="D78" s="134">
        <v>19.09</v>
      </c>
      <c r="E78" s="134">
        <v>6.11</v>
      </c>
      <c r="F78" s="134">
        <v>3.81</v>
      </c>
      <c r="G78" s="134">
        <v>78.38</v>
      </c>
      <c r="H78" s="134">
        <v>43.03</v>
      </c>
      <c r="I78" s="134">
        <v>5.44</v>
      </c>
      <c r="J78" s="134">
        <v>0.15</v>
      </c>
      <c r="K78" s="134">
        <v>134.37</v>
      </c>
      <c r="L78" s="134">
        <v>25.6</v>
      </c>
      <c r="M78" s="134">
        <v>59.87</v>
      </c>
      <c r="N78" s="134">
        <v>0</v>
      </c>
      <c r="O78" s="134">
        <v>0</v>
      </c>
      <c r="P78" s="134">
        <v>0.87</v>
      </c>
      <c r="Q78" s="134">
        <v>4.22</v>
      </c>
    </row>
    <row r="79" spans="1:17" customFormat="1">
      <c r="A79" s="112" t="s">
        <v>1557</v>
      </c>
      <c r="B79" s="134">
        <v>5.41</v>
      </c>
      <c r="C79" s="134">
        <v>26.35</v>
      </c>
      <c r="D79" s="134">
        <v>19.46</v>
      </c>
      <c r="E79" s="134">
        <v>6.47</v>
      </c>
      <c r="F79" s="134">
        <v>3.75</v>
      </c>
      <c r="G79" s="134">
        <v>87.78</v>
      </c>
      <c r="H79" s="134">
        <v>45.7</v>
      </c>
      <c r="I79" s="134">
        <v>5.51</v>
      </c>
      <c r="J79" s="134">
        <v>0.14000000000000001</v>
      </c>
      <c r="K79" s="134">
        <v>128.65</v>
      </c>
      <c r="L79" s="134">
        <v>25.18</v>
      </c>
      <c r="M79" s="134">
        <v>60.8</v>
      </c>
      <c r="N79" s="134">
        <v>0</v>
      </c>
      <c r="O79" s="134">
        <v>0</v>
      </c>
      <c r="P79" s="134">
        <v>0.88</v>
      </c>
      <c r="Q79" s="134">
        <v>4.2300000000000004</v>
      </c>
    </row>
    <row r="80" spans="1:17" customFormat="1">
      <c r="A80" s="112" t="s">
        <v>1558</v>
      </c>
      <c r="B80" s="134">
        <v>5.65</v>
      </c>
      <c r="C80" s="134">
        <v>26.13</v>
      </c>
      <c r="D80" s="134">
        <v>19.54</v>
      </c>
      <c r="E80" s="134">
        <v>6.46</v>
      </c>
      <c r="F80" s="134">
        <v>3.66</v>
      </c>
      <c r="G80" s="134">
        <v>89.09</v>
      </c>
      <c r="H80" s="134">
        <v>45.7</v>
      </c>
      <c r="I80" s="134">
        <v>5.6</v>
      </c>
      <c r="J80" s="134">
        <v>0.25</v>
      </c>
      <c r="K80" s="134">
        <v>168.61</v>
      </c>
      <c r="L80" s="134">
        <v>25.16</v>
      </c>
      <c r="M80" s="134">
        <v>62.96</v>
      </c>
      <c r="N80" s="134">
        <v>0</v>
      </c>
      <c r="O80" s="134">
        <v>0</v>
      </c>
      <c r="P80" s="134">
        <v>0.89</v>
      </c>
      <c r="Q80" s="134">
        <v>4.2300000000000004</v>
      </c>
    </row>
    <row r="81" spans="1:17" customFormat="1">
      <c r="A81" s="112" t="s">
        <v>1559</v>
      </c>
      <c r="B81" s="134">
        <v>5.72</v>
      </c>
      <c r="C81" s="134">
        <v>26.26</v>
      </c>
      <c r="D81" s="134">
        <v>19.66</v>
      </c>
      <c r="E81" s="134">
        <v>5.96</v>
      </c>
      <c r="F81" s="134">
        <v>3.7</v>
      </c>
      <c r="G81" s="134">
        <v>89.09</v>
      </c>
      <c r="H81" s="134">
        <v>45.7</v>
      </c>
      <c r="I81" s="134">
        <v>5.7</v>
      </c>
      <c r="J81" s="134">
        <v>0.2</v>
      </c>
      <c r="K81" s="134">
        <v>164.58</v>
      </c>
      <c r="L81" s="134">
        <v>24.91</v>
      </c>
      <c r="M81" s="134">
        <v>64.22</v>
      </c>
      <c r="N81" s="134">
        <v>0</v>
      </c>
      <c r="O81" s="134">
        <v>0</v>
      </c>
      <c r="P81" s="134">
        <v>0.9</v>
      </c>
      <c r="Q81" s="134">
        <v>4.2699999999999996</v>
      </c>
    </row>
    <row r="82" spans="1:17" customFormat="1">
      <c r="A82" s="112" t="s">
        <v>1560</v>
      </c>
      <c r="B82" s="134">
        <v>5.69</v>
      </c>
      <c r="C82" s="134">
        <v>26.79</v>
      </c>
      <c r="D82" s="134">
        <v>19.91</v>
      </c>
      <c r="E82" s="134">
        <v>7.16</v>
      </c>
      <c r="F82" s="134">
        <v>3.43</v>
      </c>
      <c r="G82" s="134">
        <v>89.09</v>
      </c>
      <c r="H82" s="134">
        <v>45.7</v>
      </c>
      <c r="I82" s="134">
        <v>5.85</v>
      </c>
      <c r="J82" s="134">
        <v>0.12</v>
      </c>
      <c r="K82" s="134">
        <v>161.71</v>
      </c>
      <c r="L82" s="134">
        <v>24.73</v>
      </c>
      <c r="M82" s="134">
        <v>65.92</v>
      </c>
      <c r="N82" s="134">
        <v>0</v>
      </c>
      <c r="O82" s="134">
        <v>0</v>
      </c>
      <c r="P82" s="134">
        <v>0.91</v>
      </c>
      <c r="Q82" s="134">
        <v>4.28</v>
      </c>
    </row>
    <row r="83" spans="1:17" customFormat="1">
      <c r="A83" s="112" t="s">
        <v>1561</v>
      </c>
      <c r="B83" s="134">
        <v>5.73</v>
      </c>
      <c r="C83" s="134">
        <v>26.99</v>
      </c>
      <c r="D83" s="134">
        <v>20.05</v>
      </c>
      <c r="E83" s="134">
        <v>6.81</v>
      </c>
      <c r="F83" s="134">
        <v>3.43</v>
      </c>
      <c r="G83" s="134">
        <v>93.8</v>
      </c>
      <c r="H83" s="134">
        <v>47.35</v>
      </c>
      <c r="I83" s="134">
        <v>5.95</v>
      </c>
      <c r="J83" s="134">
        <v>0.06</v>
      </c>
      <c r="K83" s="134">
        <v>83.39</v>
      </c>
      <c r="L83" s="134">
        <v>24.56</v>
      </c>
      <c r="M83" s="134">
        <v>63.48</v>
      </c>
      <c r="N83" s="134">
        <v>0</v>
      </c>
      <c r="O83" s="134">
        <v>0</v>
      </c>
      <c r="P83" s="134">
        <v>0.93</v>
      </c>
      <c r="Q83" s="134">
        <v>4.28</v>
      </c>
    </row>
    <row r="84" spans="1:17" customFormat="1">
      <c r="A84" s="112" t="s">
        <v>1562</v>
      </c>
      <c r="B84" s="134">
        <v>6</v>
      </c>
      <c r="C84" s="134">
        <v>27.6</v>
      </c>
      <c r="D84" s="134">
        <v>20.58</v>
      </c>
      <c r="E84" s="134">
        <v>6.62</v>
      </c>
      <c r="F84" s="134">
        <v>3.24</v>
      </c>
      <c r="G84" s="134">
        <v>94.39</v>
      </c>
      <c r="H84" s="134">
        <v>47.35</v>
      </c>
      <c r="I84" s="134">
        <v>6.09</v>
      </c>
      <c r="J84" s="134">
        <v>0.11</v>
      </c>
      <c r="K84" s="134">
        <v>168.44</v>
      </c>
      <c r="L84" s="134">
        <v>24.33</v>
      </c>
      <c r="M84" s="134">
        <v>66.17</v>
      </c>
      <c r="N84" s="134">
        <v>0</v>
      </c>
      <c r="O84" s="134">
        <v>0</v>
      </c>
      <c r="P84" s="134">
        <v>0.95</v>
      </c>
      <c r="Q84" s="134">
        <v>4.29</v>
      </c>
    </row>
    <row r="85" spans="1:17" customFormat="1">
      <c r="A85" s="112" t="s">
        <v>1563</v>
      </c>
      <c r="B85" s="134">
        <v>6.07</v>
      </c>
      <c r="C85" s="134">
        <v>28.25</v>
      </c>
      <c r="D85" s="134">
        <v>20.98</v>
      </c>
      <c r="E85" s="134">
        <v>6.85</v>
      </c>
      <c r="F85" s="134">
        <v>3.23</v>
      </c>
      <c r="G85" s="134">
        <v>94.39</v>
      </c>
      <c r="H85" s="134">
        <v>47.35</v>
      </c>
      <c r="I85" s="134">
        <v>6.22</v>
      </c>
      <c r="J85" s="134">
        <v>0.14000000000000001</v>
      </c>
      <c r="K85" s="134">
        <v>172.21</v>
      </c>
      <c r="L85" s="134">
        <v>24</v>
      </c>
      <c r="M85" s="134">
        <v>70.2</v>
      </c>
      <c r="N85" s="134">
        <v>0</v>
      </c>
      <c r="O85" s="134">
        <v>0</v>
      </c>
      <c r="P85" s="134">
        <v>0.97</v>
      </c>
      <c r="Q85" s="134">
        <v>4.3</v>
      </c>
    </row>
    <row r="86" spans="1:17" customFormat="1">
      <c r="A86" s="112" t="s">
        <v>1564</v>
      </c>
      <c r="B86" s="134">
        <v>6.47</v>
      </c>
      <c r="C86" s="134">
        <v>28.15</v>
      </c>
      <c r="D86" s="134">
        <v>21.25</v>
      </c>
      <c r="E86" s="134">
        <v>6.87</v>
      </c>
      <c r="F86" s="134">
        <v>2.86</v>
      </c>
      <c r="G86" s="134">
        <v>94.39</v>
      </c>
      <c r="H86" s="134">
        <v>47.35</v>
      </c>
      <c r="I86" s="134">
        <v>6.4</v>
      </c>
      <c r="J86" s="134">
        <v>0.05</v>
      </c>
      <c r="K86" s="134">
        <v>94.48</v>
      </c>
      <c r="L86" s="134">
        <v>23.87</v>
      </c>
      <c r="M86" s="134">
        <v>69.959999999999994</v>
      </c>
      <c r="N86" s="134">
        <v>0</v>
      </c>
      <c r="O86" s="134">
        <v>0</v>
      </c>
      <c r="P86" s="134">
        <v>0.98</v>
      </c>
      <c r="Q86" s="134">
        <v>4.3099999999999996</v>
      </c>
    </row>
    <row r="87" spans="1:17" customFormat="1">
      <c r="A87" s="112" t="s">
        <v>1565</v>
      </c>
      <c r="B87" s="134">
        <v>6.82</v>
      </c>
      <c r="C87" s="134">
        <v>28.87</v>
      </c>
      <c r="D87" s="134">
        <v>21.91</v>
      </c>
      <c r="E87" s="134">
        <v>6.81</v>
      </c>
      <c r="F87" s="134">
        <v>2.74</v>
      </c>
      <c r="G87" s="134">
        <v>109.35</v>
      </c>
      <c r="H87" s="134">
        <v>54.57</v>
      </c>
      <c r="I87" s="134">
        <v>6.61</v>
      </c>
      <c r="J87" s="134">
        <v>0.08</v>
      </c>
      <c r="K87" s="134">
        <v>113.31</v>
      </c>
      <c r="L87" s="134">
        <v>24.05</v>
      </c>
      <c r="M87" s="134">
        <v>68.41</v>
      </c>
      <c r="N87" s="134">
        <v>0</v>
      </c>
      <c r="O87" s="134">
        <v>0</v>
      </c>
      <c r="P87" s="134">
        <v>1.02</v>
      </c>
      <c r="Q87" s="134">
        <v>4.34</v>
      </c>
    </row>
    <row r="88" spans="1:17" customFormat="1">
      <c r="A88" s="112" t="s">
        <v>1566</v>
      </c>
      <c r="B88" s="134">
        <v>7.32</v>
      </c>
      <c r="C88" s="134">
        <v>29.35</v>
      </c>
      <c r="D88" s="134">
        <v>22.55</v>
      </c>
      <c r="E88" s="134">
        <v>6.76</v>
      </c>
      <c r="F88" s="134">
        <v>2.68</v>
      </c>
      <c r="G88" s="134">
        <v>111.22</v>
      </c>
      <c r="H88" s="134">
        <v>54.57</v>
      </c>
      <c r="I88" s="134">
        <v>6.84</v>
      </c>
      <c r="J88" s="134">
        <v>0.06</v>
      </c>
      <c r="K88" s="134">
        <v>135.37</v>
      </c>
      <c r="L88" s="134">
        <v>24.01</v>
      </c>
      <c r="M88" s="134">
        <v>69.42</v>
      </c>
      <c r="N88" s="134">
        <v>0</v>
      </c>
      <c r="O88" s="134">
        <v>0</v>
      </c>
      <c r="P88" s="134">
        <v>1.04</v>
      </c>
      <c r="Q88" s="134">
        <v>4.38</v>
      </c>
    </row>
    <row r="89" spans="1:17" customFormat="1">
      <c r="A89" s="112" t="s">
        <v>1567</v>
      </c>
      <c r="B89" s="134">
        <v>7.57</v>
      </c>
      <c r="C89" s="134">
        <v>29.77</v>
      </c>
      <c r="D89" s="134">
        <v>22.97</v>
      </c>
      <c r="E89" s="134">
        <v>7.1</v>
      </c>
      <c r="F89" s="134">
        <v>2.76</v>
      </c>
      <c r="G89" s="134">
        <v>111.22</v>
      </c>
      <c r="H89" s="134">
        <v>54.57</v>
      </c>
      <c r="I89" s="134">
        <v>7</v>
      </c>
      <c r="J89" s="134">
        <v>0.1</v>
      </c>
      <c r="K89" s="134">
        <v>38.840000000000003</v>
      </c>
      <c r="L89" s="134">
        <v>23.84</v>
      </c>
      <c r="M89" s="134">
        <v>68.81</v>
      </c>
      <c r="N89" s="134">
        <v>0</v>
      </c>
      <c r="O89" s="134">
        <v>0</v>
      </c>
      <c r="P89" s="134">
        <v>1.06</v>
      </c>
      <c r="Q89" s="134">
        <v>4.38</v>
      </c>
    </row>
    <row r="90" spans="1:17" customFormat="1">
      <c r="A90" s="112" t="s">
        <v>1568</v>
      </c>
      <c r="B90" s="134">
        <v>7.94</v>
      </c>
      <c r="C90" s="134">
        <v>29.87</v>
      </c>
      <c r="D90" s="134">
        <v>23.33</v>
      </c>
      <c r="E90" s="134">
        <v>7.03</v>
      </c>
      <c r="F90" s="134">
        <v>2.64</v>
      </c>
      <c r="G90" s="134">
        <v>111.22</v>
      </c>
      <c r="H90" s="134">
        <v>54.57</v>
      </c>
      <c r="I90" s="134">
        <v>7.17</v>
      </c>
      <c r="J90" s="134">
        <v>0.13</v>
      </c>
      <c r="K90" s="134">
        <v>123.15</v>
      </c>
      <c r="L90" s="134">
        <v>23.78</v>
      </c>
      <c r="M90" s="134">
        <v>68.2</v>
      </c>
      <c r="N90" s="134">
        <v>0</v>
      </c>
      <c r="O90" s="134">
        <v>0</v>
      </c>
      <c r="P90" s="134">
        <v>1.07</v>
      </c>
      <c r="Q90" s="134">
        <v>4.41</v>
      </c>
    </row>
    <row r="91" spans="1:17" customFormat="1">
      <c r="A91" s="112" t="s">
        <v>1569</v>
      </c>
      <c r="B91" s="134">
        <v>8.2799999999999994</v>
      </c>
      <c r="C91" s="134">
        <v>30.49</v>
      </c>
      <c r="D91" s="134">
        <v>23.92</v>
      </c>
      <c r="E91" s="134">
        <v>7.12</v>
      </c>
      <c r="F91" s="134">
        <v>2.59</v>
      </c>
      <c r="G91" s="134">
        <v>121.35</v>
      </c>
      <c r="H91" s="134">
        <v>59.13</v>
      </c>
      <c r="I91" s="134">
        <v>7.23</v>
      </c>
      <c r="J91" s="134">
        <v>0.17</v>
      </c>
      <c r="K91" s="134">
        <v>168.84</v>
      </c>
      <c r="L91" s="134">
        <v>23.47</v>
      </c>
      <c r="M91" s="134">
        <v>70.599999999999994</v>
      </c>
      <c r="N91" s="134">
        <v>0</v>
      </c>
      <c r="O91" s="134">
        <v>0</v>
      </c>
      <c r="P91" s="134">
        <v>1.08</v>
      </c>
      <c r="Q91" s="134">
        <v>4.42</v>
      </c>
    </row>
    <row r="92" spans="1:17" customFormat="1">
      <c r="A92" s="112" t="s">
        <v>1570</v>
      </c>
      <c r="B92" s="134">
        <v>8.5500000000000007</v>
      </c>
      <c r="C92" s="134">
        <v>29.83</v>
      </c>
      <c r="D92" s="134">
        <v>23.79</v>
      </c>
      <c r="E92" s="134">
        <v>6.63</v>
      </c>
      <c r="F92" s="134">
        <v>2.75</v>
      </c>
      <c r="G92" s="134">
        <v>122.62</v>
      </c>
      <c r="H92" s="134">
        <v>59.13</v>
      </c>
      <c r="I92" s="134">
        <v>7.29</v>
      </c>
      <c r="J92" s="134">
        <v>0.19</v>
      </c>
      <c r="K92" s="134">
        <v>188.89</v>
      </c>
      <c r="L92" s="134">
        <v>22.6</v>
      </c>
      <c r="M92" s="134">
        <v>77.650000000000006</v>
      </c>
      <c r="N92" s="134">
        <v>0</v>
      </c>
      <c r="O92" s="134">
        <v>0</v>
      </c>
      <c r="P92" s="134">
        <v>1.07</v>
      </c>
      <c r="Q92" s="134">
        <v>4.43</v>
      </c>
    </row>
    <row r="93" spans="1:17" customFormat="1">
      <c r="A93" s="112" t="s">
        <v>1571</v>
      </c>
      <c r="B93" s="134">
        <v>8.6300000000000008</v>
      </c>
      <c r="C93" s="134">
        <v>27.04</v>
      </c>
      <c r="D93" s="134">
        <v>22.4</v>
      </c>
      <c r="E93" s="134">
        <v>5.86</v>
      </c>
      <c r="F93" s="134">
        <v>3.15</v>
      </c>
      <c r="G93" s="134">
        <v>122.62</v>
      </c>
      <c r="H93" s="134">
        <v>59.13</v>
      </c>
      <c r="I93" s="134">
        <v>7.33</v>
      </c>
      <c r="J93" s="134">
        <v>0.11</v>
      </c>
      <c r="K93" s="134">
        <v>225.89</v>
      </c>
      <c r="L93" s="134">
        <v>22.1</v>
      </c>
      <c r="M93" s="134">
        <v>78.77</v>
      </c>
      <c r="N93" s="134">
        <v>0</v>
      </c>
      <c r="O93" s="134">
        <v>0</v>
      </c>
      <c r="P93" s="134">
        <v>1.05</v>
      </c>
      <c r="Q93" s="134">
        <v>4.42</v>
      </c>
    </row>
    <row r="94" spans="1:17" customFormat="1">
      <c r="A94" s="112" t="s">
        <v>1572</v>
      </c>
      <c r="B94" s="134">
        <v>8.7899999999999991</v>
      </c>
      <c r="C94" s="134">
        <v>25.13</v>
      </c>
      <c r="D94" s="134">
        <v>21.53</v>
      </c>
      <c r="E94" s="134">
        <v>5.0599999999999996</v>
      </c>
      <c r="F94" s="134">
        <v>3</v>
      </c>
      <c r="G94" s="134">
        <v>122.62</v>
      </c>
      <c r="H94" s="134">
        <v>59.13</v>
      </c>
      <c r="I94" s="134">
        <v>7.38</v>
      </c>
      <c r="J94" s="134">
        <v>0.08</v>
      </c>
      <c r="K94" s="134">
        <v>151.9</v>
      </c>
      <c r="L94" s="134">
        <v>21.98</v>
      </c>
      <c r="M94" s="134">
        <v>79.2</v>
      </c>
      <c r="N94" s="134">
        <v>0</v>
      </c>
      <c r="O94" s="134">
        <v>0</v>
      </c>
      <c r="P94" s="134">
        <v>1.02</v>
      </c>
      <c r="Q94" s="134">
        <v>4.42</v>
      </c>
    </row>
    <row r="95" spans="1:17" customFormat="1">
      <c r="A95" s="112" t="s">
        <v>1573</v>
      </c>
      <c r="B95" s="134">
        <v>9.4700000000000006</v>
      </c>
      <c r="C95" s="134">
        <v>25.43</v>
      </c>
      <c r="D95" s="134">
        <v>22.23</v>
      </c>
      <c r="E95" s="134">
        <v>4.8899999999999997</v>
      </c>
      <c r="F95" s="134">
        <v>2.72</v>
      </c>
      <c r="G95" s="134">
        <v>122.15</v>
      </c>
      <c r="H95" s="134">
        <v>61.51</v>
      </c>
      <c r="I95" s="134">
        <v>7.37</v>
      </c>
      <c r="J95" s="134">
        <v>0.14000000000000001</v>
      </c>
      <c r="K95" s="134">
        <v>193.16</v>
      </c>
      <c r="L95" s="134">
        <v>21.85</v>
      </c>
      <c r="M95" s="134">
        <v>78.959999999999994</v>
      </c>
      <c r="N95" s="134">
        <v>0</v>
      </c>
      <c r="O95" s="134">
        <v>0</v>
      </c>
      <c r="P95" s="134">
        <v>1.04</v>
      </c>
      <c r="Q95" s="134">
        <v>4.42</v>
      </c>
    </row>
    <row r="96" spans="1:17" customFormat="1">
      <c r="A96" s="112" t="s">
        <v>1574</v>
      </c>
      <c r="B96" s="134">
        <v>10.16</v>
      </c>
      <c r="C96" s="134">
        <v>25.2</v>
      </c>
      <c r="D96" s="134">
        <v>22.66</v>
      </c>
      <c r="E96" s="134">
        <v>4.8600000000000003</v>
      </c>
      <c r="F96" s="134">
        <v>2.64</v>
      </c>
      <c r="G96" s="134">
        <v>122.09</v>
      </c>
      <c r="H96" s="134">
        <v>61.51</v>
      </c>
      <c r="I96" s="134">
        <v>7.36</v>
      </c>
      <c r="J96" s="134">
        <v>0.09</v>
      </c>
      <c r="K96" s="134">
        <v>197.17</v>
      </c>
      <c r="L96" s="134">
        <v>21.68</v>
      </c>
      <c r="M96" s="134">
        <v>81.7</v>
      </c>
      <c r="N96" s="134">
        <v>0</v>
      </c>
      <c r="O96" s="134">
        <v>0</v>
      </c>
      <c r="P96" s="134">
        <v>1.04</v>
      </c>
      <c r="Q96" s="134">
        <v>4.4400000000000004</v>
      </c>
    </row>
    <row r="97" spans="1:22" customFormat="1">
      <c r="A97" s="112" t="s">
        <v>1575</v>
      </c>
      <c r="B97" s="134">
        <v>12.09</v>
      </c>
      <c r="C97" s="134">
        <v>26</v>
      </c>
      <c r="D97" s="134">
        <v>24.63</v>
      </c>
      <c r="E97" s="134">
        <v>5.27</v>
      </c>
      <c r="F97" s="134">
        <v>2.6</v>
      </c>
      <c r="G97" s="134">
        <v>122.09</v>
      </c>
      <c r="H97" s="134">
        <v>61.51</v>
      </c>
      <c r="I97" s="134">
        <v>7.43</v>
      </c>
      <c r="J97" s="134">
        <v>0.06</v>
      </c>
      <c r="K97" s="134">
        <v>181.21</v>
      </c>
      <c r="L97" s="134">
        <v>21.61</v>
      </c>
      <c r="M97" s="134">
        <v>79.930000000000007</v>
      </c>
      <c r="N97" s="134">
        <v>0</v>
      </c>
      <c r="O97" s="134">
        <v>0</v>
      </c>
      <c r="P97" s="134">
        <v>1.05</v>
      </c>
      <c r="Q97" s="134">
        <v>4.5</v>
      </c>
    </row>
    <row r="98" spans="1:22" customFormat="1">
      <c r="A98" s="112" t="s">
        <v>1576</v>
      </c>
      <c r="B98" s="134">
        <v>14.53</v>
      </c>
      <c r="C98" s="134">
        <v>26.22</v>
      </c>
      <c r="D98" s="134">
        <v>26.7</v>
      </c>
      <c r="E98" s="134">
        <v>4.9400000000000004</v>
      </c>
      <c r="F98" s="134">
        <v>2.73</v>
      </c>
      <c r="G98" s="134">
        <v>122.09</v>
      </c>
      <c r="H98" s="134">
        <v>61.51</v>
      </c>
      <c r="I98" s="134">
        <v>7.48</v>
      </c>
      <c r="J98" s="134">
        <v>0.15</v>
      </c>
      <c r="K98" s="134">
        <v>172.42</v>
      </c>
      <c r="L98" s="134">
        <v>21.45</v>
      </c>
      <c r="M98" s="134">
        <v>80.59</v>
      </c>
      <c r="N98" s="134">
        <v>0</v>
      </c>
      <c r="O98" s="134">
        <v>0</v>
      </c>
      <c r="P98" s="134">
        <v>1.06</v>
      </c>
      <c r="Q98" s="134">
        <v>4.5999999999999996</v>
      </c>
    </row>
    <row r="99" spans="1:22" customFormat="1">
      <c r="A99" s="112" t="s">
        <v>1577</v>
      </c>
      <c r="B99" s="134">
        <v>16.28</v>
      </c>
      <c r="C99" s="134">
        <v>27.66</v>
      </c>
      <c r="D99" s="134">
        <v>28.86</v>
      </c>
      <c r="E99" s="134">
        <v>5.35</v>
      </c>
      <c r="F99" s="134">
        <v>2.78</v>
      </c>
      <c r="G99" s="134">
        <v>130.31</v>
      </c>
      <c r="H99" s="134">
        <v>68.28</v>
      </c>
      <c r="I99" s="134">
        <v>7.54</v>
      </c>
      <c r="J99" s="134">
        <v>0.14000000000000001</v>
      </c>
      <c r="K99" s="134">
        <v>202.46</v>
      </c>
      <c r="L99" s="134">
        <v>21.27</v>
      </c>
      <c r="M99" s="134">
        <v>81.64</v>
      </c>
      <c r="N99" s="134">
        <v>0</v>
      </c>
      <c r="O99" s="134">
        <v>0</v>
      </c>
      <c r="P99" s="134">
        <v>1.06</v>
      </c>
      <c r="Q99" s="134">
        <v>4.66</v>
      </c>
    </row>
    <row r="100" spans="1:22" customFormat="1">
      <c r="A100" s="112" t="s">
        <v>1578</v>
      </c>
      <c r="B100" s="134">
        <v>17.28</v>
      </c>
      <c r="C100" s="134">
        <v>27.96</v>
      </c>
      <c r="D100" s="134">
        <v>29.82</v>
      </c>
      <c r="E100" s="134">
        <v>5.08</v>
      </c>
      <c r="F100" s="134">
        <v>2.63</v>
      </c>
      <c r="G100" s="134">
        <v>131.33000000000001</v>
      </c>
      <c r="H100" s="134">
        <v>68.28</v>
      </c>
      <c r="I100" s="134">
        <v>7.57</v>
      </c>
      <c r="J100" s="134">
        <v>0.15</v>
      </c>
      <c r="K100" s="134">
        <v>197.92</v>
      </c>
      <c r="L100" s="134">
        <v>21.07</v>
      </c>
      <c r="M100" s="134">
        <v>87.21</v>
      </c>
      <c r="N100" s="134">
        <v>0</v>
      </c>
      <c r="O100" s="134">
        <v>0</v>
      </c>
      <c r="P100" s="134">
        <v>1.08</v>
      </c>
      <c r="Q100" s="134">
        <v>4.72</v>
      </c>
    </row>
    <row r="101" spans="1:22" customFormat="1">
      <c r="A101" s="112" t="s">
        <v>1579</v>
      </c>
      <c r="B101" s="134">
        <v>17.36</v>
      </c>
      <c r="C101" s="134">
        <v>27.52</v>
      </c>
      <c r="D101" s="134">
        <v>29.65</v>
      </c>
      <c r="E101" s="134">
        <v>4.53</v>
      </c>
      <c r="F101" s="134">
        <v>2.69</v>
      </c>
      <c r="G101" s="134">
        <v>131.33000000000001</v>
      </c>
      <c r="H101" s="134">
        <v>68.28</v>
      </c>
      <c r="I101" s="134">
        <v>7.62</v>
      </c>
      <c r="J101" s="134">
        <v>0.11</v>
      </c>
      <c r="K101" s="134">
        <v>162.57</v>
      </c>
      <c r="L101" s="134">
        <v>20.8</v>
      </c>
      <c r="M101" s="134">
        <v>86.29</v>
      </c>
      <c r="N101" s="134">
        <v>0</v>
      </c>
      <c r="O101" s="134">
        <v>0</v>
      </c>
      <c r="P101" s="134">
        <v>1.06</v>
      </c>
      <c r="Q101" s="134">
        <v>4.7300000000000004</v>
      </c>
    </row>
    <row r="102" spans="1:22" customFormat="1">
      <c r="A102" s="112" t="s">
        <v>1580</v>
      </c>
      <c r="B102" s="134">
        <v>17.86</v>
      </c>
      <c r="C102" s="134">
        <v>27.58</v>
      </c>
      <c r="D102" s="134">
        <v>30.08</v>
      </c>
      <c r="E102" s="134">
        <v>4.7699999999999996</v>
      </c>
      <c r="F102" s="134">
        <v>2.65</v>
      </c>
      <c r="G102" s="134">
        <v>131.33000000000001</v>
      </c>
      <c r="H102" s="134">
        <v>68.28</v>
      </c>
      <c r="I102" s="134">
        <v>7.65</v>
      </c>
      <c r="J102" s="134">
        <v>0.1</v>
      </c>
      <c r="K102" s="134">
        <v>200.01</v>
      </c>
      <c r="L102" s="134">
        <v>20.69</v>
      </c>
      <c r="M102" s="134">
        <v>84.09</v>
      </c>
      <c r="N102" s="134">
        <v>0</v>
      </c>
      <c r="O102" s="134">
        <v>0</v>
      </c>
      <c r="P102" s="134">
        <v>1.08</v>
      </c>
      <c r="Q102" s="134">
        <v>4.76</v>
      </c>
    </row>
    <row r="103" spans="1:22" customFormat="1">
      <c r="A103" s="112" t="s">
        <v>1581</v>
      </c>
      <c r="B103" s="134">
        <v>19.7</v>
      </c>
      <c r="C103" s="134">
        <v>27.36</v>
      </c>
      <c r="D103" s="134">
        <v>31.45</v>
      </c>
      <c r="E103" s="134">
        <v>5.37</v>
      </c>
      <c r="F103" s="134">
        <v>2.75</v>
      </c>
      <c r="G103" s="134">
        <v>120.33</v>
      </c>
      <c r="H103" s="134">
        <v>60.86</v>
      </c>
      <c r="I103" s="134">
        <v>7.62</v>
      </c>
      <c r="J103" s="134">
        <v>0.1</v>
      </c>
      <c r="K103" s="134">
        <v>154.44999999999999</v>
      </c>
      <c r="L103" s="134">
        <v>20.57</v>
      </c>
      <c r="M103" s="134">
        <v>84.39</v>
      </c>
      <c r="N103" s="134">
        <v>0</v>
      </c>
      <c r="O103" s="134">
        <v>0</v>
      </c>
      <c r="P103" s="134">
        <v>1.07</v>
      </c>
      <c r="Q103" s="134">
        <v>4.82</v>
      </c>
    </row>
    <row r="104" spans="1:22" customFormat="1">
      <c r="A104" s="112" t="s">
        <v>1582</v>
      </c>
      <c r="B104" s="134">
        <v>20.93</v>
      </c>
      <c r="C104" s="134">
        <v>28.35</v>
      </c>
      <c r="D104" s="134">
        <v>32.950000000000003</v>
      </c>
      <c r="E104" s="134">
        <v>5.0599999999999996</v>
      </c>
      <c r="F104" s="134">
        <v>2.5299999999999998</v>
      </c>
      <c r="G104" s="134">
        <v>118.8</v>
      </c>
      <c r="H104" s="134">
        <v>60.86</v>
      </c>
      <c r="I104" s="134">
        <v>7.62</v>
      </c>
      <c r="J104" s="134">
        <v>0.1</v>
      </c>
      <c r="K104" s="134">
        <v>202.69</v>
      </c>
      <c r="L104" s="134">
        <v>20.46</v>
      </c>
      <c r="M104" s="134">
        <v>84.57</v>
      </c>
      <c r="N104" s="134">
        <v>0</v>
      </c>
      <c r="O104" s="134">
        <v>0</v>
      </c>
      <c r="P104" s="134">
        <v>1.06</v>
      </c>
      <c r="Q104" s="134">
        <v>4.8499999999999996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4.93</v>
      </c>
      <c r="C106" s="183">
        <f>MIN(C9:C104)</f>
        <v>17.11</v>
      </c>
      <c r="D106" s="183">
        <f t="shared" ref="D106:Q106" si="0">MIN(D9:D104)</f>
        <v>14.49</v>
      </c>
      <c r="E106" s="183">
        <f t="shared" si="0"/>
        <v>4.3600000000000003</v>
      </c>
      <c r="F106" s="183">
        <f t="shared" si="0"/>
        <v>2.36</v>
      </c>
      <c r="G106" s="183">
        <f t="shared" si="0"/>
        <v>66.91</v>
      </c>
      <c r="H106" s="183">
        <f t="shared" si="0"/>
        <v>35.94</v>
      </c>
      <c r="I106" s="183">
        <f t="shared" si="0"/>
        <v>5.43</v>
      </c>
      <c r="J106" s="183">
        <f t="shared" si="0"/>
        <v>0.04</v>
      </c>
      <c r="K106" s="183">
        <f t="shared" si="0"/>
        <v>6.95</v>
      </c>
      <c r="L106" s="183">
        <f t="shared" si="0"/>
        <v>18.829999999999998</v>
      </c>
      <c r="M106" s="183">
        <f t="shared" si="0"/>
        <v>38.29</v>
      </c>
      <c r="N106" s="183">
        <f t="shared" si="0"/>
        <v>0</v>
      </c>
      <c r="O106" s="183">
        <f t="shared" si="0"/>
        <v>0</v>
      </c>
      <c r="P106" s="183">
        <f t="shared" si="0"/>
        <v>0.74</v>
      </c>
      <c r="Q106" s="183">
        <f t="shared" si="0"/>
        <v>4.1399999999999997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20.93</v>
      </c>
      <c r="C107" s="184">
        <f t="shared" ref="C107:Q107" si="1">MAX(C9:C104)</f>
        <v>30.49</v>
      </c>
      <c r="D107" s="184">
        <f t="shared" si="1"/>
        <v>32.950000000000003</v>
      </c>
      <c r="E107" s="184">
        <f t="shared" si="1"/>
        <v>10.25</v>
      </c>
      <c r="F107" s="184">
        <f t="shared" si="1"/>
        <v>10.38</v>
      </c>
      <c r="G107" s="184">
        <f t="shared" si="1"/>
        <v>131.33000000000001</v>
      </c>
      <c r="H107" s="184">
        <f t="shared" si="1"/>
        <v>68.28</v>
      </c>
      <c r="I107" s="184">
        <f t="shared" si="1"/>
        <v>7.65</v>
      </c>
      <c r="J107" s="184">
        <f t="shared" si="1"/>
        <v>0.7</v>
      </c>
      <c r="K107" s="184">
        <f t="shared" si="1"/>
        <v>320.02</v>
      </c>
      <c r="L107" s="184">
        <f t="shared" si="1"/>
        <v>30.22</v>
      </c>
      <c r="M107" s="184">
        <f t="shared" si="1"/>
        <v>89.94</v>
      </c>
      <c r="N107" s="184">
        <f t="shared" si="1"/>
        <v>541.1</v>
      </c>
      <c r="O107" s="184">
        <f t="shared" si="1"/>
        <v>0</v>
      </c>
      <c r="P107" s="184">
        <f t="shared" si="1"/>
        <v>1.08</v>
      </c>
      <c r="Q107" s="184">
        <f t="shared" si="1"/>
        <v>4.8499999999999996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8.1769791666666674</v>
      </c>
      <c r="C108" s="183">
        <f t="shared" ref="C108:Q108" si="2">AVERAGE(C9:C104)</f>
        <v>23.546041666666657</v>
      </c>
      <c r="D108" s="183">
        <f t="shared" si="2"/>
        <v>20.210833333333333</v>
      </c>
      <c r="E108" s="183">
        <f t="shared" si="2"/>
        <v>6.1710416666666665</v>
      </c>
      <c r="F108" s="183">
        <f t="shared" si="2"/>
        <v>3.8841666666666659</v>
      </c>
      <c r="G108" s="183">
        <f t="shared" si="2"/>
        <v>91.765625000000014</v>
      </c>
      <c r="H108" s="183">
        <f t="shared" si="2"/>
        <v>46.271041666666655</v>
      </c>
      <c r="I108" s="183">
        <f t="shared" si="2"/>
        <v>6.5880208333333323</v>
      </c>
      <c r="J108" s="183">
        <f t="shared" si="2"/>
        <v>0.23520833333333327</v>
      </c>
      <c r="K108" s="183">
        <f t="shared" si="2"/>
        <v>98.887187499999996</v>
      </c>
      <c r="L108" s="183">
        <f t="shared" si="2"/>
        <v>23.818124999999998</v>
      </c>
      <c r="M108" s="183">
        <f t="shared" si="2"/>
        <v>69.256250000000009</v>
      </c>
      <c r="N108" s="183">
        <f t="shared" si="2"/>
        <v>103.496875</v>
      </c>
      <c r="O108" s="183">
        <f t="shared" si="2"/>
        <v>0</v>
      </c>
      <c r="P108" s="183">
        <f t="shared" si="2"/>
        <v>0.88541666666666663</v>
      </c>
      <c r="Q108" s="183">
        <f t="shared" si="2"/>
        <v>4.351770833333334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3.5507259805615909</v>
      </c>
      <c r="C109" s="183">
        <f t="shared" ref="C109:Q109" si="3">STDEV(C9:C104)</f>
        <v>3.6477149239856037</v>
      </c>
      <c r="D109" s="183">
        <f t="shared" si="3"/>
        <v>4.1095241539538012</v>
      </c>
      <c r="E109" s="183">
        <f t="shared" si="3"/>
        <v>1.1594749076213393</v>
      </c>
      <c r="F109" s="183">
        <f t="shared" si="3"/>
        <v>1.6504950878714311</v>
      </c>
      <c r="G109" s="183">
        <f t="shared" si="3"/>
        <v>17.158983273308518</v>
      </c>
      <c r="H109" s="183">
        <f t="shared" si="3"/>
        <v>8.3251062871884471</v>
      </c>
      <c r="I109" s="183">
        <f t="shared" si="3"/>
        <v>0.59915839183708752</v>
      </c>
      <c r="J109" s="183">
        <f t="shared" si="3"/>
        <v>0.16336577730045687</v>
      </c>
      <c r="K109" s="183">
        <f t="shared" si="3"/>
        <v>70.555921109326647</v>
      </c>
      <c r="L109" s="183">
        <f t="shared" si="3"/>
        <v>3.6632158183185108</v>
      </c>
      <c r="M109" s="183">
        <f t="shared" si="3"/>
        <v>16.427961288768103</v>
      </c>
      <c r="N109" s="183">
        <f t="shared" si="3"/>
        <v>159.53026141118508</v>
      </c>
      <c r="O109" s="183">
        <f t="shared" si="3"/>
        <v>0</v>
      </c>
      <c r="P109" s="183">
        <f t="shared" si="3"/>
        <v>9.8951521002821202E-2</v>
      </c>
      <c r="Q109" s="183">
        <f t="shared" si="3"/>
        <v>0.16400253394491954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15/11/2023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1583</v>
      </c>
      <c r="B9" s="134">
        <v>20.59</v>
      </c>
      <c r="C9" s="134">
        <v>28.13</v>
      </c>
      <c r="D9" s="134">
        <v>32.56</v>
      </c>
      <c r="E9" s="134">
        <v>5.17</v>
      </c>
      <c r="F9" s="134">
        <v>2.58</v>
      </c>
      <c r="G9" s="134">
        <v>118.8</v>
      </c>
      <c r="H9" s="134">
        <v>60.86</v>
      </c>
      <c r="I9" s="134">
        <v>7.59</v>
      </c>
      <c r="J9" s="134">
        <v>0.08</v>
      </c>
      <c r="K9" s="134">
        <v>152.03</v>
      </c>
      <c r="L9" s="134">
        <v>20.43</v>
      </c>
      <c r="M9" s="134">
        <v>86.01</v>
      </c>
      <c r="N9" s="134">
        <v>0</v>
      </c>
      <c r="O9" s="134">
        <v>0</v>
      </c>
      <c r="P9" s="134">
        <v>1.06</v>
      </c>
      <c r="Q9" s="134">
        <v>4.87</v>
      </c>
    </row>
    <row r="10" spans="1:21" customFormat="1">
      <c r="A10" s="112" t="s">
        <v>1584</v>
      </c>
      <c r="B10" s="134">
        <v>20.27</v>
      </c>
      <c r="C10" s="134">
        <v>27.47</v>
      </c>
      <c r="D10" s="134">
        <v>31.96</v>
      </c>
      <c r="E10" s="134">
        <v>4.6399999999999997</v>
      </c>
      <c r="F10" s="134">
        <v>2.66</v>
      </c>
      <c r="G10" s="134">
        <v>118.8</v>
      </c>
      <c r="H10" s="134">
        <v>60.86</v>
      </c>
      <c r="I10" s="134">
        <v>7.6</v>
      </c>
      <c r="J10" s="134">
        <v>0.1</v>
      </c>
      <c r="K10" s="134">
        <v>159.26</v>
      </c>
      <c r="L10" s="134">
        <v>20.32</v>
      </c>
      <c r="M10" s="134">
        <v>83.18</v>
      </c>
      <c r="N10" s="134">
        <v>0</v>
      </c>
      <c r="O10" s="134">
        <v>0</v>
      </c>
      <c r="P10" s="134">
        <v>1.04</v>
      </c>
      <c r="Q10" s="134">
        <v>4.8899999999999997</v>
      </c>
    </row>
    <row r="11" spans="1:21" customFormat="1">
      <c r="A11" s="112" t="s">
        <v>1585</v>
      </c>
      <c r="B11" s="134">
        <v>19.54</v>
      </c>
      <c r="C11" s="134">
        <v>26.41</v>
      </c>
      <c r="D11" s="134">
        <v>30.82</v>
      </c>
      <c r="E11" s="134">
        <v>4.7</v>
      </c>
      <c r="F11" s="134">
        <v>2.75</v>
      </c>
      <c r="G11" s="134">
        <v>101.03</v>
      </c>
      <c r="H11" s="134">
        <v>57.46</v>
      </c>
      <c r="I11" s="134">
        <v>7.52</v>
      </c>
      <c r="J11" s="134">
        <v>0.09</v>
      </c>
      <c r="K11" s="134">
        <v>194.31</v>
      </c>
      <c r="L11" s="134">
        <v>20.39</v>
      </c>
      <c r="M11" s="134">
        <v>83.39</v>
      </c>
      <c r="N11" s="134">
        <v>0</v>
      </c>
      <c r="O11" s="134">
        <v>0</v>
      </c>
      <c r="P11" s="134">
        <v>1.02</v>
      </c>
      <c r="Q11" s="134">
        <v>4.84</v>
      </c>
    </row>
    <row r="12" spans="1:21" customFormat="1">
      <c r="A12" s="112" t="s">
        <v>1586</v>
      </c>
      <c r="B12" s="134">
        <v>18.72</v>
      </c>
      <c r="C12" s="134">
        <v>26.44</v>
      </c>
      <c r="D12" s="134">
        <v>30.18</v>
      </c>
      <c r="E12" s="134">
        <v>4.9800000000000004</v>
      </c>
      <c r="F12" s="134">
        <v>2.66</v>
      </c>
      <c r="G12" s="134">
        <v>98.8</v>
      </c>
      <c r="H12" s="134">
        <v>57.46</v>
      </c>
      <c r="I12" s="134">
        <v>7.46</v>
      </c>
      <c r="J12" s="134">
        <v>0.11</v>
      </c>
      <c r="K12" s="134">
        <v>146.55000000000001</v>
      </c>
      <c r="L12" s="134">
        <v>20.28</v>
      </c>
      <c r="M12" s="134">
        <v>83.07</v>
      </c>
      <c r="N12" s="134">
        <v>0</v>
      </c>
      <c r="O12" s="134">
        <v>0</v>
      </c>
      <c r="P12" s="134">
        <v>1.01</v>
      </c>
      <c r="Q12" s="134">
        <v>4.82</v>
      </c>
    </row>
    <row r="13" spans="1:21" customFormat="1">
      <c r="A13" s="112" t="s">
        <v>1587</v>
      </c>
      <c r="B13" s="134">
        <v>17.63</v>
      </c>
      <c r="C13" s="134">
        <v>26</v>
      </c>
      <c r="D13" s="134">
        <v>29.07</v>
      </c>
      <c r="E13" s="134">
        <v>4.6900000000000004</v>
      </c>
      <c r="F13" s="134">
        <v>2.74</v>
      </c>
      <c r="G13" s="134">
        <v>98.8</v>
      </c>
      <c r="H13" s="134">
        <v>57.46</v>
      </c>
      <c r="I13" s="134">
        <v>7.41</v>
      </c>
      <c r="J13" s="134">
        <v>0.12</v>
      </c>
      <c r="K13" s="134">
        <v>89.06</v>
      </c>
      <c r="L13" s="134">
        <v>20.149999999999999</v>
      </c>
      <c r="M13" s="134">
        <v>84.11</v>
      </c>
      <c r="N13" s="134">
        <v>0</v>
      </c>
      <c r="O13" s="134">
        <v>0</v>
      </c>
      <c r="P13" s="134">
        <v>1</v>
      </c>
      <c r="Q13" s="134">
        <v>4.8099999999999996</v>
      </c>
    </row>
    <row r="14" spans="1:21" customFormat="1">
      <c r="A14" s="112" t="s">
        <v>1588</v>
      </c>
      <c r="B14" s="134">
        <v>16.690000000000001</v>
      </c>
      <c r="C14" s="134">
        <v>25.43</v>
      </c>
      <c r="D14" s="134">
        <v>28.02</v>
      </c>
      <c r="E14" s="134">
        <v>5.12</v>
      </c>
      <c r="F14" s="134">
        <v>2.71</v>
      </c>
      <c r="G14" s="134">
        <v>98.8</v>
      </c>
      <c r="H14" s="134">
        <v>57.46</v>
      </c>
      <c r="I14" s="134">
        <v>7.33</v>
      </c>
      <c r="J14" s="134">
        <v>0.15</v>
      </c>
      <c r="K14" s="134">
        <v>130.79</v>
      </c>
      <c r="L14" s="134">
        <v>20.12</v>
      </c>
      <c r="M14" s="134">
        <v>84.47</v>
      </c>
      <c r="N14" s="134">
        <v>0</v>
      </c>
      <c r="O14" s="134">
        <v>0</v>
      </c>
      <c r="P14" s="134">
        <v>0.98</v>
      </c>
      <c r="Q14" s="134">
        <v>4.76</v>
      </c>
    </row>
    <row r="15" spans="1:21" customFormat="1">
      <c r="A15" s="112" t="s">
        <v>1589</v>
      </c>
      <c r="B15" s="134">
        <v>15.24</v>
      </c>
      <c r="C15" s="134">
        <v>24.6</v>
      </c>
      <c r="D15" s="134">
        <v>26.42</v>
      </c>
      <c r="E15" s="134">
        <v>5.57</v>
      </c>
      <c r="F15" s="134">
        <v>3.04</v>
      </c>
      <c r="G15" s="134">
        <v>91.02</v>
      </c>
      <c r="H15" s="134">
        <v>50.22</v>
      </c>
      <c r="I15" s="134">
        <v>7.28</v>
      </c>
      <c r="J15" s="134">
        <v>0.11</v>
      </c>
      <c r="K15" s="134">
        <v>159.69999999999999</v>
      </c>
      <c r="L15" s="134">
        <v>20.3</v>
      </c>
      <c r="M15" s="134">
        <v>84.89</v>
      </c>
      <c r="N15" s="134">
        <v>0</v>
      </c>
      <c r="O15" s="134">
        <v>0</v>
      </c>
      <c r="P15" s="134">
        <v>0.96</v>
      </c>
      <c r="Q15" s="134">
        <v>4.6900000000000004</v>
      </c>
    </row>
    <row r="16" spans="1:21" customFormat="1">
      <c r="A16" s="112" t="s">
        <v>1590</v>
      </c>
      <c r="B16" s="134">
        <v>13.15</v>
      </c>
      <c r="C16" s="134">
        <v>24.78</v>
      </c>
      <c r="D16" s="134">
        <v>24.84</v>
      </c>
      <c r="E16" s="134">
        <v>5.05</v>
      </c>
      <c r="F16" s="134">
        <v>3.26</v>
      </c>
      <c r="G16" s="134">
        <v>89.93</v>
      </c>
      <c r="H16" s="134">
        <v>50.22</v>
      </c>
      <c r="I16" s="134">
        <v>7.15</v>
      </c>
      <c r="J16" s="134">
        <v>0.15</v>
      </c>
      <c r="K16" s="134">
        <v>159.46</v>
      </c>
      <c r="L16" s="134">
        <v>20.49</v>
      </c>
      <c r="M16" s="134">
        <v>85.02</v>
      </c>
      <c r="N16" s="134">
        <v>0</v>
      </c>
      <c r="O16" s="134">
        <v>0</v>
      </c>
      <c r="P16" s="134">
        <v>0.97</v>
      </c>
      <c r="Q16" s="134">
        <v>4.59</v>
      </c>
    </row>
    <row r="17" spans="1:17" customFormat="1">
      <c r="A17" s="112" t="s">
        <v>1591</v>
      </c>
      <c r="B17" s="134">
        <v>11.05</v>
      </c>
      <c r="C17" s="134">
        <v>25.08</v>
      </c>
      <c r="D17" s="134">
        <v>23.32</v>
      </c>
      <c r="E17" s="134">
        <v>4.8600000000000003</v>
      </c>
      <c r="F17" s="134">
        <v>3.52</v>
      </c>
      <c r="G17" s="134">
        <v>89.93</v>
      </c>
      <c r="H17" s="134">
        <v>50.22</v>
      </c>
      <c r="I17" s="134">
        <v>7.01</v>
      </c>
      <c r="J17" s="134">
        <v>0.1</v>
      </c>
      <c r="K17" s="134">
        <v>107.51</v>
      </c>
      <c r="L17" s="134">
        <v>20.420000000000002</v>
      </c>
      <c r="M17" s="134">
        <v>85.65</v>
      </c>
      <c r="N17" s="134">
        <v>0</v>
      </c>
      <c r="O17" s="134">
        <v>0</v>
      </c>
      <c r="P17" s="134">
        <v>0.95</v>
      </c>
      <c r="Q17" s="134">
        <v>4.51</v>
      </c>
    </row>
    <row r="18" spans="1:17" customFormat="1">
      <c r="A18" s="112" t="s">
        <v>1592</v>
      </c>
      <c r="B18" s="134">
        <v>9.4600000000000009</v>
      </c>
      <c r="C18" s="134">
        <v>24.82</v>
      </c>
      <c r="D18" s="134">
        <v>21.9</v>
      </c>
      <c r="E18" s="134">
        <v>6.3</v>
      </c>
      <c r="F18" s="134">
        <v>3.47</v>
      </c>
      <c r="G18" s="134">
        <v>89.93</v>
      </c>
      <c r="H18" s="134">
        <v>50.22</v>
      </c>
      <c r="I18" s="134">
        <v>6.86</v>
      </c>
      <c r="J18" s="134">
        <v>0.09</v>
      </c>
      <c r="K18" s="134">
        <v>107.15</v>
      </c>
      <c r="L18" s="134">
        <v>20.37</v>
      </c>
      <c r="M18" s="134">
        <v>85.78</v>
      </c>
      <c r="N18" s="134">
        <v>0</v>
      </c>
      <c r="O18" s="134">
        <v>0</v>
      </c>
      <c r="P18" s="134">
        <v>0.94</v>
      </c>
      <c r="Q18" s="134">
        <v>4.4400000000000004</v>
      </c>
    </row>
    <row r="19" spans="1:17" customFormat="1">
      <c r="A19" s="112" t="s">
        <v>1593</v>
      </c>
      <c r="B19" s="134">
        <v>8.34</v>
      </c>
      <c r="C19" s="134">
        <v>24.53</v>
      </c>
      <c r="D19" s="134">
        <v>20.86</v>
      </c>
      <c r="E19" s="134">
        <v>6.45</v>
      </c>
      <c r="F19" s="134">
        <v>3.57</v>
      </c>
      <c r="G19" s="134">
        <v>82.94</v>
      </c>
      <c r="H19" s="134">
        <v>49.29</v>
      </c>
      <c r="I19" s="134">
        <v>6.71</v>
      </c>
      <c r="J19" s="134">
        <v>0.14000000000000001</v>
      </c>
      <c r="K19" s="134">
        <v>103.3</v>
      </c>
      <c r="L19" s="134">
        <v>20.13</v>
      </c>
      <c r="M19" s="134">
        <v>86.94</v>
      </c>
      <c r="N19" s="134">
        <v>0</v>
      </c>
      <c r="O19" s="134">
        <v>0</v>
      </c>
      <c r="P19" s="134">
        <v>0.92</v>
      </c>
      <c r="Q19" s="134">
        <v>4.41</v>
      </c>
    </row>
    <row r="20" spans="1:17" customFormat="1">
      <c r="A20" s="112" t="s">
        <v>1594</v>
      </c>
      <c r="B20" s="134">
        <v>7.54</v>
      </c>
      <c r="C20" s="134">
        <v>24.04</v>
      </c>
      <c r="D20" s="134">
        <v>19.96</v>
      </c>
      <c r="E20" s="134">
        <v>6.8</v>
      </c>
      <c r="F20" s="134">
        <v>3.53</v>
      </c>
      <c r="G20" s="134">
        <v>81.97</v>
      </c>
      <c r="H20" s="134">
        <v>49.29</v>
      </c>
      <c r="I20" s="134">
        <v>6.57</v>
      </c>
      <c r="J20" s="134">
        <v>0.09</v>
      </c>
      <c r="K20" s="134">
        <v>177.32</v>
      </c>
      <c r="L20" s="134">
        <v>19.93</v>
      </c>
      <c r="M20" s="134">
        <v>88.38</v>
      </c>
      <c r="N20" s="134">
        <v>0</v>
      </c>
      <c r="O20" s="134">
        <v>0</v>
      </c>
      <c r="P20" s="134">
        <v>0.91</v>
      </c>
      <c r="Q20" s="134">
        <v>4.37</v>
      </c>
    </row>
    <row r="21" spans="1:17" customFormat="1">
      <c r="A21" s="112" t="s">
        <v>1595</v>
      </c>
      <c r="B21" s="134">
        <v>7</v>
      </c>
      <c r="C21" s="134">
        <v>23.39</v>
      </c>
      <c r="D21" s="134">
        <v>19.190000000000001</v>
      </c>
      <c r="E21" s="134">
        <v>6.44</v>
      </c>
      <c r="F21" s="134">
        <v>3.55</v>
      </c>
      <c r="G21" s="134">
        <v>81.97</v>
      </c>
      <c r="H21" s="134">
        <v>49.29</v>
      </c>
      <c r="I21" s="134">
        <v>6.47</v>
      </c>
      <c r="J21" s="134">
        <v>7.0000000000000007E-2</v>
      </c>
      <c r="K21" s="134">
        <v>185.81</v>
      </c>
      <c r="L21" s="134">
        <v>19.7</v>
      </c>
      <c r="M21" s="134">
        <v>90.08</v>
      </c>
      <c r="N21" s="134">
        <v>0</v>
      </c>
      <c r="O21" s="134">
        <v>0</v>
      </c>
      <c r="P21" s="134">
        <v>0.9</v>
      </c>
      <c r="Q21" s="134">
        <v>4.33</v>
      </c>
    </row>
    <row r="22" spans="1:17" customFormat="1">
      <c r="A22" s="112" t="s">
        <v>1596</v>
      </c>
      <c r="B22" s="134">
        <v>6.44</v>
      </c>
      <c r="C22" s="134">
        <v>22.98</v>
      </c>
      <c r="D22" s="134">
        <v>18.52</v>
      </c>
      <c r="E22" s="134">
        <v>6.26</v>
      </c>
      <c r="F22" s="134">
        <v>3.56</v>
      </c>
      <c r="G22" s="134">
        <v>81.97</v>
      </c>
      <c r="H22" s="134">
        <v>49.29</v>
      </c>
      <c r="I22" s="134">
        <v>6.38</v>
      </c>
      <c r="J22" s="134">
        <v>0.06</v>
      </c>
      <c r="K22" s="134">
        <v>124.21</v>
      </c>
      <c r="L22" s="134">
        <v>19.53</v>
      </c>
      <c r="M22" s="134">
        <v>90.79</v>
      </c>
      <c r="N22" s="134">
        <v>0</v>
      </c>
      <c r="O22" s="134">
        <v>0</v>
      </c>
      <c r="P22" s="134">
        <v>0.89</v>
      </c>
      <c r="Q22" s="134">
        <v>4.32</v>
      </c>
    </row>
    <row r="23" spans="1:17" customFormat="1">
      <c r="A23" s="112" t="s">
        <v>1597</v>
      </c>
      <c r="B23" s="134">
        <v>6.12</v>
      </c>
      <c r="C23" s="134">
        <v>22.58</v>
      </c>
      <c r="D23" s="134">
        <v>18.05</v>
      </c>
      <c r="E23" s="134">
        <v>6.56</v>
      </c>
      <c r="F23" s="134">
        <v>3.41</v>
      </c>
      <c r="G23" s="134">
        <v>77.13</v>
      </c>
      <c r="H23" s="134">
        <v>46.42</v>
      </c>
      <c r="I23" s="134">
        <v>6.27</v>
      </c>
      <c r="J23" s="134">
        <v>0.12</v>
      </c>
      <c r="K23" s="134">
        <v>100.88</v>
      </c>
      <c r="L23" s="134">
        <v>19.47</v>
      </c>
      <c r="M23" s="134">
        <v>90.76</v>
      </c>
      <c r="N23" s="134">
        <v>0</v>
      </c>
      <c r="O23" s="134">
        <v>0</v>
      </c>
      <c r="P23" s="134">
        <v>0.87</v>
      </c>
      <c r="Q23" s="134">
        <v>4.3</v>
      </c>
    </row>
    <row r="24" spans="1:17" customFormat="1">
      <c r="A24" s="112" t="s">
        <v>1598</v>
      </c>
      <c r="B24" s="134">
        <v>5.91</v>
      </c>
      <c r="C24" s="134">
        <v>22.19</v>
      </c>
      <c r="D24" s="134">
        <v>17.68</v>
      </c>
      <c r="E24" s="134">
        <v>6.77</v>
      </c>
      <c r="F24" s="134">
        <v>3.5</v>
      </c>
      <c r="G24" s="134">
        <v>76.45</v>
      </c>
      <c r="H24" s="134">
        <v>46.42</v>
      </c>
      <c r="I24" s="134">
        <v>6.18</v>
      </c>
      <c r="J24" s="134">
        <v>0.05</v>
      </c>
      <c r="K24" s="134">
        <v>226.44</v>
      </c>
      <c r="L24" s="134">
        <v>19.41</v>
      </c>
      <c r="M24" s="134">
        <v>91.18</v>
      </c>
      <c r="N24" s="134">
        <v>0</v>
      </c>
      <c r="O24" s="134">
        <v>0</v>
      </c>
      <c r="P24" s="134">
        <v>0.86</v>
      </c>
      <c r="Q24" s="134">
        <v>4.29</v>
      </c>
    </row>
    <row r="25" spans="1:17" customFormat="1">
      <c r="A25" s="112" t="s">
        <v>1599</v>
      </c>
      <c r="B25" s="134">
        <v>5.64</v>
      </c>
      <c r="C25" s="134">
        <v>21.9</v>
      </c>
      <c r="D25" s="134">
        <v>17.32</v>
      </c>
      <c r="E25" s="134">
        <v>7.3</v>
      </c>
      <c r="F25" s="134">
        <v>3.51</v>
      </c>
      <c r="G25" s="134">
        <v>76.45</v>
      </c>
      <c r="H25" s="134">
        <v>46.42</v>
      </c>
      <c r="I25" s="134">
        <v>6.14</v>
      </c>
      <c r="J25" s="134">
        <v>0.16</v>
      </c>
      <c r="K25" s="134">
        <v>256.14</v>
      </c>
      <c r="L25" s="134">
        <v>19.23</v>
      </c>
      <c r="M25" s="134">
        <v>92.71</v>
      </c>
      <c r="N25" s="134">
        <v>0</v>
      </c>
      <c r="O25" s="134">
        <v>0</v>
      </c>
      <c r="P25" s="134">
        <v>0.85</v>
      </c>
      <c r="Q25" s="134">
        <v>4.26</v>
      </c>
    </row>
    <row r="26" spans="1:17" customFormat="1">
      <c r="A26" s="112" t="s">
        <v>1600</v>
      </c>
      <c r="B26" s="134">
        <v>5.65</v>
      </c>
      <c r="C26" s="134">
        <v>21.41</v>
      </c>
      <c r="D26" s="134">
        <v>17.07</v>
      </c>
      <c r="E26" s="134">
        <v>6.97</v>
      </c>
      <c r="F26" s="134">
        <v>3.37</v>
      </c>
      <c r="G26" s="134">
        <v>76.45</v>
      </c>
      <c r="H26" s="134">
        <v>46.42</v>
      </c>
      <c r="I26" s="134">
        <v>6.04</v>
      </c>
      <c r="J26" s="134">
        <v>0.16</v>
      </c>
      <c r="K26" s="134">
        <v>251.68</v>
      </c>
      <c r="L26" s="134">
        <v>19.010000000000002</v>
      </c>
      <c r="M26" s="134">
        <v>94.04</v>
      </c>
      <c r="N26" s="134">
        <v>0</v>
      </c>
      <c r="O26" s="134">
        <v>0</v>
      </c>
      <c r="P26" s="134">
        <v>0.84</v>
      </c>
      <c r="Q26" s="134">
        <v>4.28</v>
      </c>
    </row>
    <row r="27" spans="1:17" customFormat="1">
      <c r="A27" s="112" t="s">
        <v>1601</v>
      </c>
      <c r="B27" s="134">
        <v>5.56</v>
      </c>
      <c r="C27" s="134">
        <v>21.22</v>
      </c>
      <c r="D27" s="134">
        <v>16.899999999999999</v>
      </c>
      <c r="E27" s="134">
        <v>6.94</v>
      </c>
      <c r="F27" s="134">
        <v>3.39</v>
      </c>
      <c r="G27" s="134">
        <v>66.23</v>
      </c>
      <c r="H27" s="134">
        <v>44.26</v>
      </c>
      <c r="I27" s="134">
        <v>6.04</v>
      </c>
      <c r="J27" s="134">
        <v>0.12</v>
      </c>
      <c r="K27" s="134">
        <v>245.48</v>
      </c>
      <c r="L27" s="134">
        <v>18.829999999999998</v>
      </c>
      <c r="M27" s="134">
        <v>96.02</v>
      </c>
      <c r="N27" s="134">
        <v>0</v>
      </c>
      <c r="O27" s="134">
        <v>0</v>
      </c>
      <c r="P27" s="134">
        <v>0.84</v>
      </c>
      <c r="Q27" s="134">
        <v>4.3</v>
      </c>
    </row>
    <row r="28" spans="1:17" customFormat="1">
      <c r="A28" s="112" t="s">
        <v>1602</v>
      </c>
      <c r="B28" s="134">
        <v>5.61</v>
      </c>
      <c r="C28" s="134">
        <v>21.09</v>
      </c>
      <c r="D28" s="134">
        <v>16.86</v>
      </c>
      <c r="E28" s="134">
        <v>7.38</v>
      </c>
      <c r="F28" s="134">
        <v>3.31</v>
      </c>
      <c r="G28" s="134">
        <v>64.81</v>
      </c>
      <c r="H28" s="134">
        <v>44.26</v>
      </c>
      <c r="I28" s="134">
        <v>5.93</v>
      </c>
      <c r="J28" s="134">
        <v>0.09</v>
      </c>
      <c r="K28" s="134">
        <v>336.87</v>
      </c>
      <c r="L28" s="134">
        <v>18.77</v>
      </c>
      <c r="M28" s="134">
        <v>95.79</v>
      </c>
      <c r="N28" s="134">
        <v>0</v>
      </c>
      <c r="O28" s="134">
        <v>0</v>
      </c>
      <c r="P28" s="134">
        <v>0.83</v>
      </c>
      <c r="Q28" s="134">
        <v>4.26</v>
      </c>
    </row>
    <row r="29" spans="1:17" customFormat="1">
      <c r="A29" s="112" t="s">
        <v>1603</v>
      </c>
      <c r="B29" s="134">
        <v>5.9</v>
      </c>
      <c r="C29" s="134">
        <v>21.47</v>
      </c>
      <c r="D29" s="134">
        <v>17.309999999999999</v>
      </c>
      <c r="E29" s="134">
        <v>7.45</v>
      </c>
      <c r="F29" s="134">
        <v>3.11</v>
      </c>
      <c r="G29" s="134">
        <v>64.81</v>
      </c>
      <c r="H29" s="134">
        <v>44.26</v>
      </c>
      <c r="I29" s="134">
        <v>5.91</v>
      </c>
      <c r="J29" s="134">
        <v>0.33</v>
      </c>
      <c r="K29" s="134">
        <v>20.99</v>
      </c>
      <c r="L29" s="134">
        <v>18.8</v>
      </c>
      <c r="M29" s="134">
        <v>99.28</v>
      </c>
      <c r="N29" s="134">
        <v>0</v>
      </c>
      <c r="O29" s="134">
        <v>0</v>
      </c>
      <c r="P29" s="134">
        <v>0.83</v>
      </c>
      <c r="Q29" s="134">
        <v>4.2699999999999996</v>
      </c>
    </row>
    <row r="30" spans="1:17" customFormat="1">
      <c r="A30" s="112" t="s">
        <v>1604</v>
      </c>
      <c r="B30" s="134">
        <v>6.26</v>
      </c>
      <c r="C30" s="134">
        <v>21.87</v>
      </c>
      <c r="D30" s="134">
        <v>17.8</v>
      </c>
      <c r="E30" s="134">
        <v>7.13</v>
      </c>
      <c r="F30" s="134">
        <v>2.97</v>
      </c>
      <c r="G30" s="134">
        <v>64.81</v>
      </c>
      <c r="H30" s="134">
        <v>44.26</v>
      </c>
      <c r="I30" s="134">
        <v>5.92</v>
      </c>
      <c r="J30" s="134">
        <v>0.63</v>
      </c>
      <c r="K30" s="134">
        <v>34.94</v>
      </c>
      <c r="L30" s="134">
        <v>18.79</v>
      </c>
      <c r="M30" s="134">
        <v>97.93</v>
      </c>
      <c r="N30" s="134">
        <v>0</v>
      </c>
      <c r="O30" s="134">
        <v>0</v>
      </c>
      <c r="P30" s="134">
        <v>0.82</v>
      </c>
      <c r="Q30" s="134">
        <v>4.28</v>
      </c>
    </row>
    <row r="31" spans="1:17" customFormat="1">
      <c r="A31" s="112" t="s">
        <v>1605</v>
      </c>
      <c r="B31" s="134">
        <v>6.5</v>
      </c>
      <c r="C31" s="134">
        <v>22.42</v>
      </c>
      <c r="D31" s="134">
        <v>18.27</v>
      </c>
      <c r="E31" s="134">
        <v>7.3</v>
      </c>
      <c r="F31" s="134">
        <v>3.01</v>
      </c>
      <c r="G31" s="134">
        <v>67.2</v>
      </c>
      <c r="H31" s="134">
        <v>41.46</v>
      </c>
      <c r="I31" s="134">
        <v>5.86</v>
      </c>
      <c r="J31" s="134">
        <v>0.31</v>
      </c>
      <c r="K31" s="134">
        <v>37.020000000000003</v>
      </c>
      <c r="L31" s="134">
        <v>18.760000000000002</v>
      </c>
      <c r="M31" s="134">
        <v>97.14</v>
      </c>
      <c r="N31" s="134">
        <v>0</v>
      </c>
      <c r="O31" s="134">
        <v>0</v>
      </c>
      <c r="P31" s="134">
        <v>0.83</v>
      </c>
      <c r="Q31" s="134">
        <v>4.3099999999999996</v>
      </c>
    </row>
    <row r="32" spans="1:17" customFormat="1">
      <c r="A32" s="112" t="s">
        <v>1606</v>
      </c>
      <c r="B32" s="134">
        <v>6.94</v>
      </c>
      <c r="C32" s="134">
        <v>22.72</v>
      </c>
      <c r="D32" s="134">
        <v>18.78</v>
      </c>
      <c r="E32" s="134">
        <v>7.03</v>
      </c>
      <c r="F32" s="134">
        <v>2.98</v>
      </c>
      <c r="G32" s="134">
        <v>67.53</v>
      </c>
      <c r="H32" s="134">
        <v>41.46</v>
      </c>
      <c r="I32" s="134">
        <v>5.87</v>
      </c>
      <c r="J32" s="134">
        <v>0.26</v>
      </c>
      <c r="K32" s="134">
        <v>38.29</v>
      </c>
      <c r="L32" s="134">
        <v>18.68</v>
      </c>
      <c r="M32" s="134">
        <v>95.92</v>
      </c>
      <c r="N32" s="134">
        <v>0</v>
      </c>
      <c r="O32" s="134">
        <v>0</v>
      </c>
      <c r="P32" s="134">
        <v>0.83</v>
      </c>
      <c r="Q32" s="134">
        <v>4.33</v>
      </c>
    </row>
    <row r="33" spans="1:17" customFormat="1">
      <c r="A33" s="112" t="s">
        <v>1607</v>
      </c>
      <c r="B33" s="134">
        <v>7.33</v>
      </c>
      <c r="C33" s="134">
        <v>23.45</v>
      </c>
      <c r="D33" s="134">
        <v>19.48</v>
      </c>
      <c r="E33" s="134">
        <v>6.99</v>
      </c>
      <c r="F33" s="134">
        <v>2.89</v>
      </c>
      <c r="G33" s="134">
        <v>67.53</v>
      </c>
      <c r="H33" s="134">
        <v>41.46</v>
      </c>
      <c r="I33" s="134">
        <v>5.86</v>
      </c>
      <c r="J33" s="134">
        <v>0.28000000000000003</v>
      </c>
      <c r="K33" s="134">
        <v>43.04</v>
      </c>
      <c r="L33" s="134">
        <v>18.64</v>
      </c>
      <c r="M33" s="134">
        <v>97.98</v>
      </c>
      <c r="N33" s="134">
        <v>0</v>
      </c>
      <c r="O33" s="134">
        <v>0</v>
      </c>
      <c r="P33" s="134">
        <v>0.83</v>
      </c>
      <c r="Q33" s="134">
        <v>4.34</v>
      </c>
    </row>
    <row r="34" spans="1:17" customFormat="1">
      <c r="A34" s="112" t="s">
        <v>1608</v>
      </c>
      <c r="B34" s="134">
        <v>7.68</v>
      </c>
      <c r="C34" s="134">
        <v>23.64</v>
      </c>
      <c r="D34" s="134">
        <v>19.86</v>
      </c>
      <c r="E34" s="134">
        <v>6.9</v>
      </c>
      <c r="F34" s="134">
        <v>2.91</v>
      </c>
      <c r="G34" s="134">
        <v>67.53</v>
      </c>
      <c r="H34" s="134">
        <v>41.46</v>
      </c>
      <c r="I34" s="134">
        <v>5.86</v>
      </c>
      <c r="J34" s="134">
        <v>0.31</v>
      </c>
      <c r="K34" s="134">
        <v>42.19</v>
      </c>
      <c r="L34" s="134">
        <v>18.690000000000001</v>
      </c>
      <c r="M34" s="134">
        <v>97.75</v>
      </c>
      <c r="N34" s="134">
        <v>1.9</v>
      </c>
      <c r="O34" s="134">
        <v>0</v>
      </c>
      <c r="P34" s="134">
        <v>0.84</v>
      </c>
      <c r="Q34" s="134">
        <v>4.38</v>
      </c>
    </row>
    <row r="35" spans="1:17" customFormat="1">
      <c r="A35" s="112" t="s">
        <v>1609</v>
      </c>
      <c r="B35" s="134">
        <v>7.82</v>
      </c>
      <c r="C35" s="134">
        <v>24.4</v>
      </c>
      <c r="D35" s="134">
        <v>20.37</v>
      </c>
      <c r="E35" s="134">
        <v>7.31</v>
      </c>
      <c r="F35" s="134">
        <v>2.86</v>
      </c>
      <c r="G35" s="134">
        <v>69.569999999999993</v>
      </c>
      <c r="H35" s="134">
        <v>41.9</v>
      </c>
      <c r="I35" s="134">
        <v>5.92</v>
      </c>
      <c r="J35" s="134">
        <v>0.43</v>
      </c>
      <c r="K35" s="134">
        <v>36.82</v>
      </c>
      <c r="L35" s="134">
        <v>18.77</v>
      </c>
      <c r="M35" s="134">
        <v>96.83</v>
      </c>
      <c r="N35" s="134">
        <v>12</v>
      </c>
      <c r="O35" s="134">
        <v>0</v>
      </c>
      <c r="P35" s="134">
        <v>0.85</v>
      </c>
      <c r="Q35" s="134">
        <v>4.38</v>
      </c>
    </row>
    <row r="36" spans="1:17" customFormat="1">
      <c r="A36" s="112" t="s">
        <v>1610</v>
      </c>
      <c r="B36" s="134">
        <v>8.11</v>
      </c>
      <c r="C36" s="134">
        <v>23.15</v>
      </c>
      <c r="D36" s="134">
        <v>19.95</v>
      </c>
      <c r="E36" s="134">
        <v>6.41</v>
      </c>
      <c r="F36" s="134">
        <v>3.08</v>
      </c>
      <c r="G36" s="134">
        <v>69.849999999999994</v>
      </c>
      <c r="H36" s="134">
        <v>41.9</v>
      </c>
      <c r="I36" s="134">
        <v>5.96</v>
      </c>
      <c r="J36" s="134">
        <v>0.39</v>
      </c>
      <c r="K36" s="134">
        <v>39.200000000000003</v>
      </c>
      <c r="L36" s="134">
        <v>18.989999999999998</v>
      </c>
      <c r="M36" s="134">
        <v>94.29</v>
      </c>
      <c r="N36" s="134">
        <v>23.3</v>
      </c>
      <c r="O36" s="134">
        <v>0</v>
      </c>
      <c r="P36" s="134">
        <v>0.85</v>
      </c>
      <c r="Q36" s="134">
        <v>4.3899999999999997</v>
      </c>
    </row>
    <row r="37" spans="1:17" customFormat="1">
      <c r="A37" s="112" t="s">
        <v>1611</v>
      </c>
      <c r="B37" s="134">
        <v>8.4600000000000009</v>
      </c>
      <c r="C37" s="134">
        <v>21.65</v>
      </c>
      <c r="D37" s="134">
        <v>19.440000000000001</v>
      </c>
      <c r="E37" s="134">
        <v>6.19</v>
      </c>
      <c r="F37" s="134">
        <v>3.25</v>
      </c>
      <c r="G37" s="134">
        <v>69.849999999999994</v>
      </c>
      <c r="H37" s="134">
        <v>41.9</v>
      </c>
      <c r="I37" s="134">
        <v>6.05</v>
      </c>
      <c r="J37" s="134">
        <v>0.42</v>
      </c>
      <c r="K37" s="134">
        <v>32.630000000000003</v>
      </c>
      <c r="L37" s="134">
        <v>19.28</v>
      </c>
      <c r="M37" s="134">
        <v>93.21</v>
      </c>
      <c r="N37" s="134">
        <v>38.9</v>
      </c>
      <c r="O37" s="134">
        <v>0</v>
      </c>
      <c r="P37" s="134">
        <v>0.81</v>
      </c>
      <c r="Q37" s="134">
        <v>4.41</v>
      </c>
    </row>
    <row r="38" spans="1:17" customFormat="1">
      <c r="A38" s="112" t="s">
        <v>1612</v>
      </c>
      <c r="B38" s="134">
        <v>8.68</v>
      </c>
      <c r="C38" s="134">
        <v>22.13</v>
      </c>
      <c r="D38" s="134">
        <v>19.87</v>
      </c>
      <c r="E38" s="134">
        <v>5.92</v>
      </c>
      <c r="F38" s="134">
        <v>2.89</v>
      </c>
      <c r="G38" s="134">
        <v>69.849999999999994</v>
      </c>
      <c r="H38" s="134">
        <v>41.9</v>
      </c>
      <c r="I38" s="134">
        <v>6.08</v>
      </c>
      <c r="J38" s="134">
        <v>0.41</v>
      </c>
      <c r="K38" s="134">
        <v>34.99</v>
      </c>
      <c r="L38" s="134">
        <v>19.68</v>
      </c>
      <c r="M38" s="134">
        <v>90.83</v>
      </c>
      <c r="N38" s="134">
        <v>55.3</v>
      </c>
      <c r="O38" s="134">
        <v>0</v>
      </c>
      <c r="P38" s="134">
        <v>0.83</v>
      </c>
      <c r="Q38" s="134">
        <v>4.37</v>
      </c>
    </row>
    <row r="39" spans="1:17" customFormat="1">
      <c r="A39" s="112" t="s">
        <v>1613</v>
      </c>
      <c r="B39" s="134">
        <v>8.91</v>
      </c>
      <c r="C39" s="134">
        <v>21.91</v>
      </c>
      <c r="D39" s="134">
        <v>19.940000000000001</v>
      </c>
      <c r="E39" s="134">
        <v>5.54</v>
      </c>
      <c r="F39" s="134">
        <v>2.72</v>
      </c>
      <c r="G39" s="134">
        <v>73.94</v>
      </c>
      <c r="H39" s="134">
        <v>40.64</v>
      </c>
      <c r="I39" s="134">
        <v>6.13</v>
      </c>
      <c r="J39" s="134">
        <v>0.47</v>
      </c>
      <c r="K39" s="134">
        <v>39.07</v>
      </c>
      <c r="L39" s="134">
        <v>20.18</v>
      </c>
      <c r="M39" s="134">
        <v>88.83</v>
      </c>
      <c r="N39" s="134">
        <v>89.6</v>
      </c>
      <c r="O39" s="134">
        <v>0</v>
      </c>
      <c r="P39" s="134">
        <v>0.83</v>
      </c>
      <c r="Q39" s="134">
        <v>4.38</v>
      </c>
    </row>
    <row r="40" spans="1:17" customFormat="1">
      <c r="A40" s="112" t="s">
        <v>1614</v>
      </c>
      <c r="B40" s="134">
        <v>9.19</v>
      </c>
      <c r="C40" s="134">
        <v>22.5</v>
      </c>
      <c r="D40" s="134">
        <v>20.48</v>
      </c>
      <c r="E40" s="134">
        <v>5.38</v>
      </c>
      <c r="F40" s="134">
        <v>2.56</v>
      </c>
      <c r="G40" s="134">
        <v>74.45</v>
      </c>
      <c r="H40" s="134">
        <v>40.64</v>
      </c>
      <c r="I40" s="134">
        <v>6.23</v>
      </c>
      <c r="J40" s="134">
        <v>0.48</v>
      </c>
      <c r="K40" s="134">
        <v>37.96</v>
      </c>
      <c r="L40" s="134">
        <v>20.89</v>
      </c>
      <c r="M40" s="134">
        <v>86.07</v>
      </c>
      <c r="N40" s="134">
        <v>133.6</v>
      </c>
      <c r="O40" s="134">
        <v>0</v>
      </c>
      <c r="P40" s="134">
        <v>0.85</v>
      </c>
      <c r="Q40" s="134">
        <v>4.38</v>
      </c>
    </row>
    <row r="41" spans="1:17" customFormat="1">
      <c r="A41" s="112" t="s">
        <v>1615</v>
      </c>
      <c r="B41" s="134">
        <v>9.4600000000000009</v>
      </c>
      <c r="C41" s="134">
        <v>22.39</v>
      </c>
      <c r="D41" s="134">
        <v>20.64</v>
      </c>
      <c r="E41" s="134">
        <v>5.31</v>
      </c>
      <c r="F41" s="134">
        <v>2.69</v>
      </c>
      <c r="G41" s="134">
        <v>74.45</v>
      </c>
      <c r="H41" s="134">
        <v>40.64</v>
      </c>
      <c r="I41" s="134">
        <v>6.24</v>
      </c>
      <c r="J41" s="134">
        <v>0.55000000000000004</v>
      </c>
      <c r="K41" s="134">
        <v>47.86</v>
      </c>
      <c r="L41" s="134">
        <v>21.51</v>
      </c>
      <c r="M41" s="134">
        <v>83.02</v>
      </c>
      <c r="N41" s="134">
        <v>164.9</v>
      </c>
      <c r="O41" s="134">
        <v>0</v>
      </c>
      <c r="P41" s="134">
        <v>0.85</v>
      </c>
      <c r="Q41" s="134">
        <v>4.37</v>
      </c>
    </row>
    <row r="42" spans="1:17" customFormat="1">
      <c r="A42" s="112" t="s">
        <v>1616</v>
      </c>
      <c r="B42" s="134">
        <v>9.6300000000000008</v>
      </c>
      <c r="C42" s="134">
        <v>21.58</v>
      </c>
      <c r="D42" s="134">
        <v>20.350000000000001</v>
      </c>
      <c r="E42" s="134">
        <v>5.71</v>
      </c>
      <c r="F42" s="134">
        <v>2.8</v>
      </c>
      <c r="G42" s="134">
        <v>74.45</v>
      </c>
      <c r="H42" s="134">
        <v>40.64</v>
      </c>
      <c r="I42" s="134">
        <v>6.34</v>
      </c>
      <c r="J42" s="134">
        <v>0.73</v>
      </c>
      <c r="K42" s="134">
        <v>39.15</v>
      </c>
      <c r="L42" s="134">
        <v>22.16</v>
      </c>
      <c r="M42" s="134">
        <v>80.81</v>
      </c>
      <c r="N42" s="134">
        <v>199.4</v>
      </c>
      <c r="O42" s="134">
        <v>0</v>
      </c>
      <c r="P42" s="134">
        <v>0.85</v>
      </c>
      <c r="Q42" s="134">
        <v>4.38</v>
      </c>
    </row>
    <row r="43" spans="1:17" customFormat="1">
      <c r="A43" s="112" t="s">
        <v>1617</v>
      </c>
      <c r="B43" s="134">
        <v>9.52</v>
      </c>
      <c r="C43" s="134">
        <v>21.25</v>
      </c>
      <c r="D43" s="134">
        <v>20.09</v>
      </c>
      <c r="E43" s="134">
        <v>5.64</v>
      </c>
      <c r="F43" s="134">
        <v>2.76</v>
      </c>
      <c r="G43" s="134">
        <v>86.55</v>
      </c>
      <c r="H43" s="134">
        <v>44.52</v>
      </c>
      <c r="I43" s="134">
        <v>6.39</v>
      </c>
      <c r="J43" s="134">
        <v>0.73</v>
      </c>
      <c r="K43" s="134">
        <v>43.73</v>
      </c>
      <c r="L43" s="134">
        <v>22.54</v>
      </c>
      <c r="M43" s="134">
        <v>79.510000000000005</v>
      </c>
      <c r="N43" s="134">
        <v>228.3</v>
      </c>
      <c r="O43" s="134">
        <v>0</v>
      </c>
      <c r="P43" s="134">
        <v>0.86</v>
      </c>
      <c r="Q43" s="134">
        <v>4.42</v>
      </c>
    </row>
    <row r="44" spans="1:17" customFormat="1">
      <c r="A44" s="112" t="s">
        <v>1618</v>
      </c>
      <c r="B44" s="134">
        <v>9.56</v>
      </c>
      <c r="C44" s="134">
        <v>22.71</v>
      </c>
      <c r="D44" s="134">
        <v>20.88</v>
      </c>
      <c r="E44" s="134">
        <v>5.56</v>
      </c>
      <c r="F44" s="134">
        <v>2.68</v>
      </c>
      <c r="G44" s="134">
        <v>88.24</v>
      </c>
      <c r="H44" s="134">
        <v>44.52</v>
      </c>
      <c r="I44" s="134">
        <v>6.42</v>
      </c>
      <c r="J44" s="134">
        <v>0.57999999999999996</v>
      </c>
      <c r="K44" s="134">
        <v>47.01</v>
      </c>
      <c r="L44" s="134">
        <v>23.27</v>
      </c>
      <c r="M44" s="134">
        <v>76.87</v>
      </c>
      <c r="N44" s="134">
        <v>250</v>
      </c>
      <c r="O44" s="134">
        <v>0</v>
      </c>
      <c r="P44" s="134">
        <v>0.87</v>
      </c>
      <c r="Q44" s="134">
        <v>4.4000000000000004</v>
      </c>
    </row>
    <row r="45" spans="1:17" customFormat="1">
      <c r="A45" s="112" t="s">
        <v>1619</v>
      </c>
      <c r="B45" s="134">
        <v>9.5399999999999991</v>
      </c>
      <c r="C45" s="134">
        <v>21.58</v>
      </c>
      <c r="D45" s="134">
        <v>20.27</v>
      </c>
      <c r="E45" s="134">
        <v>5.66</v>
      </c>
      <c r="F45" s="134">
        <v>3.05</v>
      </c>
      <c r="G45" s="134">
        <v>88.24</v>
      </c>
      <c r="H45" s="134">
        <v>44.52</v>
      </c>
      <c r="I45" s="134">
        <v>6.46</v>
      </c>
      <c r="J45" s="134">
        <v>0.68</v>
      </c>
      <c r="K45" s="134">
        <v>37.72</v>
      </c>
      <c r="L45" s="134">
        <v>23.8</v>
      </c>
      <c r="M45" s="134">
        <v>74.69</v>
      </c>
      <c r="N45" s="134">
        <v>251.6</v>
      </c>
      <c r="O45" s="134">
        <v>0</v>
      </c>
      <c r="P45" s="134">
        <v>0.87</v>
      </c>
      <c r="Q45" s="134">
        <v>4.4000000000000004</v>
      </c>
    </row>
    <row r="46" spans="1:17" customFormat="1">
      <c r="A46" s="112" t="s">
        <v>1620</v>
      </c>
      <c r="B46" s="134">
        <v>9.5399999999999991</v>
      </c>
      <c r="C46" s="134">
        <v>21.92</v>
      </c>
      <c r="D46" s="134">
        <v>20.45</v>
      </c>
      <c r="E46" s="134">
        <v>5.63</v>
      </c>
      <c r="F46" s="134">
        <v>2.98</v>
      </c>
      <c r="G46" s="134">
        <v>88.24</v>
      </c>
      <c r="H46" s="134">
        <v>44.52</v>
      </c>
      <c r="I46" s="134">
        <v>6.53</v>
      </c>
      <c r="J46" s="134">
        <v>0.6</v>
      </c>
      <c r="K46" s="134">
        <v>39.78</v>
      </c>
      <c r="L46" s="134">
        <v>24.38</v>
      </c>
      <c r="M46" s="134">
        <v>72.25</v>
      </c>
      <c r="N46" s="134">
        <v>243.6</v>
      </c>
      <c r="O46" s="134">
        <v>0</v>
      </c>
      <c r="P46" s="134">
        <v>0.87</v>
      </c>
      <c r="Q46" s="134">
        <v>4.4000000000000004</v>
      </c>
    </row>
    <row r="47" spans="1:17" customFormat="1">
      <c r="A47" s="112" t="s">
        <v>1621</v>
      </c>
      <c r="B47" s="134">
        <v>9.81</v>
      </c>
      <c r="C47" s="134">
        <v>22.97</v>
      </c>
      <c r="D47" s="134">
        <v>21.22</v>
      </c>
      <c r="E47" s="134">
        <v>6.23</v>
      </c>
      <c r="F47" s="134">
        <v>2.76</v>
      </c>
      <c r="G47" s="134">
        <v>93.55</v>
      </c>
      <c r="H47" s="134">
        <v>47.36</v>
      </c>
      <c r="I47" s="134">
        <v>6.56</v>
      </c>
      <c r="J47" s="134">
        <v>0.55000000000000004</v>
      </c>
      <c r="K47" s="134">
        <v>54.12</v>
      </c>
      <c r="L47" s="134">
        <v>24.95</v>
      </c>
      <c r="M47" s="134">
        <v>69.069999999999993</v>
      </c>
      <c r="N47" s="134">
        <v>351.3</v>
      </c>
      <c r="O47" s="134">
        <v>0</v>
      </c>
      <c r="P47" s="134">
        <v>0.89</v>
      </c>
      <c r="Q47" s="134">
        <v>4.41</v>
      </c>
    </row>
    <row r="48" spans="1:17" customFormat="1">
      <c r="A48" s="112" t="s">
        <v>1622</v>
      </c>
      <c r="B48" s="134">
        <v>9.82</v>
      </c>
      <c r="C48" s="134">
        <v>22.26</v>
      </c>
      <c r="D48" s="134">
        <v>20.86</v>
      </c>
      <c r="E48" s="134">
        <v>6.02</v>
      </c>
      <c r="F48" s="134">
        <v>3.36</v>
      </c>
      <c r="G48" s="134">
        <v>94.21</v>
      </c>
      <c r="H48" s="134">
        <v>47.36</v>
      </c>
      <c r="I48" s="134">
        <v>6.61</v>
      </c>
      <c r="J48" s="134">
        <v>0.84</v>
      </c>
      <c r="K48" s="134">
        <v>44.03</v>
      </c>
      <c r="L48" s="134">
        <v>25.12</v>
      </c>
      <c r="M48" s="134">
        <v>67.760000000000005</v>
      </c>
      <c r="N48" s="134">
        <v>378.8</v>
      </c>
      <c r="O48" s="134">
        <v>0</v>
      </c>
      <c r="P48" s="134">
        <v>0.89</v>
      </c>
      <c r="Q48" s="134">
        <v>4.41</v>
      </c>
    </row>
    <row r="49" spans="1:17" customFormat="1">
      <c r="A49" s="112" t="s">
        <v>1623</v>
      </c>
      <c r="B49" s="134">
        <v>9.61</v>
      </c>
      <c r="C49" s="134">
        <v>23.28</v>
      </c>
      <c r="D49" s="134">
        <v>21.22</v>
      </c>
      <c r="E49" s="134">
        <v>4.9000000000000004</v>
      </c>
      <c r="F49" s="134">
        <v>3.55</v>
      </c>
      <c r="G49" s="134">
        <v>94.21</v>
      </c>
      <c r="H49" s="134">
        <v>47.36</v>
      </c>
      <c r="I49" s="134">
        <v>6.64</v>
      </c>
      <c r="J49" s="134">
        <v>0.7</v>
      </c>
      <c r="K49" s="134">
        <v>36.86</v>
      </c>
      <c r="L49" s="134">
        <v>25.56</v>
      </c>
      <c r="M49" s="134">
        <v>65.39</v>
      </c>
      <c r="N49" s="134">
        <v>401.3</v>
      </c>
      <c r="O49" s="134">
        <v>0</v>
      </c>
      <c r="P49" s="134">
        <v>0.91</v>
      </c>
      <c r="Q49" s="134">
        <v>4.41</v>
      </c>
    </row>
    <row r="50" spans="1:17" customFormat="1">
      <c r="A50" s="112" t="s">
        <v>1624</v>
      </c>
      <c r="B50" s="134">
        <v>9.32</v>
      </c>
      <c r="C50" s="134">
        <v>22.97</v>
      </c>
      <c r="D50" s="134">
        <v>20.83</v>
      </c>
      <c r="E50" s="134">
        <v>5.58</v>
      </c>
      <c r="F50" s="134">
        <v>3.71</v>
      </c>
      <c r="G50" s="134">
        <v>94.21</v>
      </c>
      <c r="H50" s="134">
        <v>47.36</v>
      </c>
      <c r="I50" s="134">
        <v>6.64</v>
      </c>
      <c r="J50" s="134">
        <v>0.49</v>
      </c>
      <c r="K50" s="134">
        <v>40.31</v>
      </c>
      <c r="L50" s="134">
        <v>26.49</v>
      </c>
      <c r="M50" s="134">
        <v>62.42</v>
      </c>
      <c r="N50" s="134">
        <v>421.3</v>
      </c>
      <c r="O50" s="134">
        <v>0</v>
      </c>
      <c r="P50" s="134">
        <v>0.9</v>
      </c>
      <c r="Q50" s="134">
        <v>4.4000000000000004</v>
      </c>
    </row>
    <row r="51" spans="1:17" customFormat="1">
      <c r="A51" s="112" t="s">
        <v>1625</v>
      </c>
      <c r="B51" s="134">
        <v>8.93</v>
      </c>
      <c r="C51" s="134">
        <v>21.94</v>
      </c>
      <c r="D51" s="134">
        <v>19.98</v>
      </c>
      <c r="E51" s="134">
        <v>6.06</v>
      </c>
      <c r="F51" s="134">
        <v>4.8499999999999996</v>
      </c>
      <c r="G51" s="134">
        <v>92.53</v>
      </c>
      <c r="H51" s="134">
        <v>44.41</v>
      </c>
      <c r="I51" s="134">
        <v>6.67</v>
      </c>
      <c r="J51" s="134">
        <v>0.63</v>
      </c>
      <c r="K51" s="134">
        <v>38.6</v>
      </c>
      <c r="L51" s="134">
        <v>26.71</v>
      </c>
      <c r="M51" s="134">
        <v>61.37</v>
      </c>
      <c r="N51" s="134">
        <v>435.9</v>
      </c>
      <c r="O51" s="134">
        <v>0</v>
      </c>
      <c r="P51" s="134">
        <v>0.9</v>
      </c>
      <c r="Q51" s="134">
        <v>4.38</v>
      </c>
    </row>
    <row r="52" spans="1:17" customFormat="1">
      <c r="A52" s="112" t="s">
        <v>1626</v>
      </c>
      <c r="B52" s="134">
        <v>8.39</v>
      </c>
      <c r="C52" s="134">
        <v>21.4</v>
      </c>
      <c r="D52" s="134">
        <v>19.260000000000002</v>
      </c>
      <c r="E52" s="134">
        <v>5.97</v>
      </c>
      <c r="F52" s="134">
        <v>4.09</v>
      </c>
      <c r="G52" s="134">
        <v>92.3</v>
      </c>
      <c r="H52" s="134">
        <v>44.41</v>
      </c>
      <c r="I52" s="134">
        <v>6.67</v>
      </c>
      <c r="J52" s="134">
        <v>0.41</v>
      </c>
      <c r="K52" s="134">
        <v>64.91</v>
      </c>
      <c r="L52" s="134">
        <v>27.09</v>
      </c>
      <c r="M52" s="134">
        <v>57.44</v>
      </c>
      <c r="N52" s="134">
        <v>419.5</v>
      </c>
      <c r="O52" s="134">
        <v>0</v>
      </c>
      <c r="P52" s="134">
        <v>0.9</v>
      </c>
      <c r="Q52" s="134">
        <v>4.38</v>
      </c>
    </row>
    <row r="53" spans="1:17" customFormat="1">
      <c r="A53" s="112" t="s">
        <v>1627</v>
      </c>
      <c r="B53" s="134">
        <v>7.83</v>
      </c>
      <c r="C53" s="134">
        <v>20.92</v>
      </c>
      <c r="D53" s="134">
        <v>18.559999999999999</v>
      </c>
      <c r="E53" s="134">
        <v>5.63</v>
      </c>
      <c r="F53" s="134">
        <v>4.59</v>
      </c>
      <c r="G53" s="134">
        <v>92.3</v>
      </c>
      <c r="H53" s="134">
        <v>44.41</v>
      </c>
      <c r="I53" s="134">
        <v>6.69</v>
      </c>
      <c r="J53" s="134">
        <v>0.62</v>
      </c>
      <c r="K53" s="134">
        <v>50.55</v>
      </c>
      <c r="L53" s="134">
        <v>27.4</v>
      </c>
      <c r="M53" s="134">
        <v>54.12</v>
      </c>
      <c r="N53" s="134">
        <v>464.8</v>
      </c>
      <c r="O53" s="134">
        <v>0</v>
      </c>
      <c r="P53" s="134">
        <v>0.9</v>
      </c>
      <c r="Q53" s="134">
        <v>4.3600000000000003</v>
      </c>
    </row>
    <row r="54" spans="1:17" customFormat="1">
      <c r="A54" s="112" t="s">
        <v>1628</v>
      </c>
      <c r="B54" s="134">
        <v>7.33</v>
      </c>
      <c r="C54" s="134">
        <v>20.84</v>
      </c>
      <c r="D54" s="134">
        <v>18.12</v>
      </c>
      <c r="E54" s="134">
        <v>6.2</v>
      </c>
      <c r="F54" s="134">
        <v>5.45</v>
      </c>
      <c r="G54" s="134">
        <v>92.3</v>
      </c>
      <c r="H54" s="134">
        <v>44.41</v>
      </c>
      <c r="I54" s="134">
        <v>6.66</v>
      </c>
      <c r="J54" s="134">
        <v>0.63</v>
      </c>
      <c r="K54" s="134">
        <v>45.51</v>
      </c>
      <c r="L54" s="134">
        <v>27.86</v>
      </c>
      <c r="M54" s="134">
        <v>52.4</v>
      </c>
      <c r="N54" s="134">
        <v>474.8</v>
      </c>
      <c r="O54" s="134">
        <v>0</v>
      </c>
      <c r="P54" s="134">
        <v>0.9</v>
      </c>
      <c r="Q54" s="134">
        <v>4.3600000000000003</v>
      </c>
    </row>
    <row r="55" spans="1:17" customFormat="1">
      <c r="A55" s="112" t="s">
        <v>1629</v>
      </c>
      <c r="B55" s="134">
        <v>6.35</v>
      </c>
      <c r="C55" s="134">
        <v>21.63</v>
      </c>
      <c r="D55" s="134">
        <v>17.739999999999998</v>
      </c>
      <c r="E55" s="134">
        <v>6.14</v>
      </c>
      <c r="F55" s="134">
        <v>5.13</v>
      </c>
      <c r="G55" s="134">
        <v>87.38</v>
      </c>
      <c r="H55" s="134">
        <v>44.07</v>
      </c>
      <c r="I55" s="134">
        <v>6.65</v>
      </c>
      <c r="J55" s="134">
        <v>0.44</v>
      </c>
      <c r="K55" s="134">
        <v>42.05</v>
      </c>
      <c r="L55" s="134">
        <v>27.99</v>
      </c>
      <c r="M55" s="134">
        <v>52.33</v>
      </c>
      <c r="N55" s="134">
        <v>417.9</v>
      </c>
      <c r="O55" s="134">
        <v>0</v>
      </c>
      <c r="P55" s="134">
        <v>0.91</v>
      </c>
      <c r="Q55" s="134">
        <v>4.3</v>
      </c>
    </row>
    <row r="56" spans="1:17" customFormat="1">
      <c r="A56" s="112" t="s">
        <v>1630</v>
      </c>
      <c r="B56" s="134">
        <v>5.47</v>
      </c>
      <c r="C56" s="134">
        <v>22.33</v>
      </c>
      <c r="D56" s="134">
        <v>17.41</v>
      </c>
      <c r="E56" s="134">
        <v>6.38</v>
      </c>
      <c r="F56" s="134">
        <v>5.0599999999999996</v>
      </c>
      <c r="G56" s="134">
        <v>86.76</v>
      </c>
      <c r="H56" s="134">
        <v>44.07</v>
      </c>
      <c r="I56" s="134">
        <v>6.59</v>
      </c>
      <c r="J56" s="134">
        <v>0.31</v>
      </c>
      <c r="K56" s="134">
        <v>50.57</v>
      </c>
      <c r="L56" s="134">
        <v>28.7</v>
      </c>
      <c r="M56" s="134">
        <v>45.13</v>
      </c>
      <c r="N56" s="134">
        <v>380.7</v>
      </c>
      <c r="O56" s="134">
        <v>0</v>
      </c>
      <c r="P56" s="134">
        <v>0.91</v>
      </c>
      <c r="Q56" s="134">
        <v>4.2699999999999996</v>
      </c>
    </row>
    <row r="57" spans="1:17" customFormat="1">
      <c r="A57" s="112" t="s">
        <v>1631</v>
      </c>
      <c r="B57" s="134">
        <v>5.0599999999999996</v>
      </c>
      <c r="C57" s="134">
        <v>22.47</v>
      </c>
      <c r="D57" s="134">
        <v>17.149999999999999</v>
      </c>
      <c r="E57" s="134">
        <v>6.12</v>
      </c>
      <c r="F57" s="134">
        <v>5.39</v>
      </c>
      <c r="G57" s="134">
        <v>86.76</v>
      </c>
      <c r="H57" s="134">
        <v>44.07</v>
      </c>
      <c r="I57" s="134">
        <v>6.54</v>
      </c>
      <c r="J57" s="134">
        <v>0.66</v>
      </c>
      <c r="K57" s="134">
        <v>41.75</v>
      </c>
      <c r="L57" s="134">
        <v>28.53</v>
      </c>
      <c r="M57" s="134">
        <v>45.8</v>
      </c>
      <c r="N57" s="134">
        <v>329.4</v>
      </c>
      <c r="O57" s="134">
        <v>0</v>
      </c>
      <c r="P57" s="134">
        <v>0.91</v>
      </c>
      <c r="Q57" s="134">
        <v>4.2300000000000004</v>
      </c>
    </row>
    <row r="58" spans="1:17" customFormat="1">
      <c r="A58" s="112" t="s">
        <v>1632</v>
      </c>
      <c r="B58" s="134">
        <v>4.8899999999999997</v>
      </c>
      <c r="C58" s="134">
        <v>22.4</v>
      </c>
      <c r="D58" s="134">
        <v>16.98</v>
      </c>
      <c r="E58" s="134">
        <v>6.99</v>
      </c>
      <c r="F58" s="134">
        <v>5.78</v>
      </c>
      <c r="G58" s="134">
        <v>86.76</v>
      </c>
      <c r="H58" s="134">
        <v>44.07</v>
      </c>
      <c r="I58" s="134">
        <v>6.46</v>
      </c>
      <c r="J58" s="134">
        <v>0.64</v>
      </c>
      <c r="K58" s="134">
        <v>42.26</v>
      </c>
      <c r="L58" s="134">
        <v>28.18</v>
      </c>
      <c r="M58" s="134">
        <v>46.76</v>
      </c>
      <c r="N58" s="134">
        <v>246.9</v>
      </c>
      <c r="O58" s="134">
        <v>0</v>
      </c>
      <c r="P58" s="134">
        <v>0.91</v>
      </c>
      <c r="Q58" s="134">
        <v>4.2</v>
      </c>
    </row>
    <row r="59" spans="1:17" customFormat="1">
      <c r="A59" s="112" t="s">
        <v>1633</v>
      </c>
      <c r="B59" s="134">
        <v>4.72</v>
      </c>
      <c r="C59" s="134">
        <v>22.52</v>
      </c>
      <c r="D59" s="134">
        <v>16.91</v>
      </c>
      <c r="E59" s="134">
        <v>7.07</v>
      </c>
      <c r="F59" s="134">
        <v>5.98</v>
      </c>
      <c r="G59" s="134">
        <v>83.07</v>
      </c>
      <c r="H59" s="134">
        <v>40.85</v>
      </c>
      <c r="I59" s="134">
        <v>6.32</v>
      </c>
      <c r="J59" s="134">
        <v>0.54</v>
      </c>
      <c r="K59" s="134">
        <v>38.36</v>
      </c>
      <c r="L59" s="134">
        <v>28.04</v>
      </c>
      <c r="M59" s="134">
        <v>45.32</v>
      </c>
      <c r="N59" s="134">
        <v>344.1</v>
      </c>
      <c r="O59" s="134">
        <v>0</v>
      </c>
      <c r="P59" s="134">
        <v>0.91</v>
      </c>
      <c r="Q59" s="134">
        <v>4.1900000000000004</v>
      </c>
    </row>
    <row r="60" spans="1:17" customFormat="1">
      <c r="A60" s="112" t="s">
        <v>1634</v>
      </c>
      <c r="B60" s="134">
        <v>4.68</v>
      </c>
      <c r="C60" s="134">
        <v>22.58</v>
      </c>
      <c r="D60" s="134">
        <v>16.899999999999999</v>
      </c>
      <c r="E60" s="134">
        <v>6.81</v>
      </c>
      <c r="F60" s="134">
        <v>6.23</v>
      </c>
      <c r="G60" s="134">
        <v>82.6</v>
      </c>
      <c r="H60" s="134">
        <v>40.85</v>
      </c>
      <c r="I60" s="134">
        <v>6.25</v>
      </c>
      <c r="J60" s="134">
        <v>0.88</v>
      </c>
      <c r="K60" s="134">
        <v>35.590000000000003</v>
      </c>
      <c r="L60" s="134">
        <v>28.21</v>
      </c>
      <c r="M60" s="134">
        <v>42.45</v>
      </c>
      <c r="N60" s="134">
        <v>293</v>
      </c>
      <c r="O60" s="134">
        <v>0</v>
      </c>
      <c r="P60" s="134">
        <v>0.9</v>
      </c>
      <c r="Q60" s="134">
        <v>4.21</v>
      </c>
    </row>
    <row r="61" spans="1:17" customFormat="1">
      <c r="A61" s="112" t="s">
        <v>1635</v>
      </c>
      <c r="B61" s="134">
        <v>4.67</v>
      </c>
      <c r="C61" s="134">
        <v>22.55</v>
      </c>
      <c r="D61" s="134">
        <v>16.88</v>
      </c>
      <c r="E61" s="134">
        <v>7.31</v>
      </c>
      <c r="F61" s="134">
        <v>6.33</v>
      </c>
      <c r="G61" s="134">
        <v>82.6</v>
      </c>
      <c r="H61" s="134">
        <v>40.85</v>
      </c>
      <c r="I61" s="134">
        <v>6.16</v>
      </c>
      <c r="J61" s="134">
        <v>0.31</v>
      </c>
      <c r="K61" s="134">
        <v>58.48</v>
      </c>
      <c r="L61" s="134">
        <v>28.79</v>
      </c>
      <c r="M61" s="134">
        <v>42.2</v>
      </c>
      <c r="N61" s="134">
        <v>420.2</v>
      </c>
      <c r="O61" s="134">
        <v>0</v>
      </c>
      <c r="P61" s="134">
        <v>0.88</v>
      </c>
      <c r="Q61" s="134">
        <v>4.2</v>
      </c>
    </row>
    <row r="62" spans="1:17" customFormat="1">
      <c r="A62" s="112" t="s">
        <v>1636</v>
      </c>
      <c r="B62" s="134">
        <v>4.6100000000000003</v>
      </c>
      <c r="C62" s="134">
        <v>22.57</v>
      </c>
      <c r="D62" s="134">
        <v>16.84</v>
      </c>
      <c r="E62" s="134">
        <v>7.11</v>
      </c>
      <c r="F62" s="134">
        <v>6.35</v>
      </c>
      <c r="G62" s="134">
        <v>82.6</v>
      </c>
      <c r="H62" s="134">
        <v>40.85</v>
      </c>
      <c r="I62" s="134">
        <v>6.03</v>
      </c>
      <c r="J62" s="134">
        <v>0.32</v>
      </c>
      <c r="K62" s="134">
        <v>116.41</v>
      </c>
      <c r="L62" s="134">
        <v>29.21</v>
      </c>
      <c r="M62" s="134">
        <v>40.380000000000003</v>
      </c>
      <c r="N62" s="134">
        <v>403.8</v>
      </c>
      <c r="O62" s="134">
        <v>0</v>
      </c>
      <c r="P62" s="134">
        <v>0.87</v>
      </c>
      <c r="Q62" s="134">
        <v>4.18</v>
      </c>
    </row>
    <row r="63" spans="1:17" customFormat="1">
      <c r="A63" s="112" t="s">
        <v>1637</v>
      </c>
      <c r="B63" s="134">
        <v>4.63</v>
      </c>
      <c r="C63" s="134">
        <v>22.32</v>
      </c>
      <c r="D63" s="134">
        <v>16.72</v>
      </c>
      <c r="E63" s="134">
        <v>7.55</v>
      </c>
      <c r="F63" s="134">
        <v>7.85</v>
      </c>
      <c r="G63" s="134">
        <v>79.650000000000006</v>
      </c>
      <c r="H63" s="134">
        <v>37.58</v>
      </c>
      <c r="I63" s="134">
        <v>5.89</v>
      </c>
      <c r="J63" s="134">
        <v>0.53</v>
      </c>
      <c r="K63" s="134">
        <v>64.099999999999994</v>
      </c>
      <c r="L63" s="134">
        <v>29.16</v>
      </c>
      <c r="M63" s="134">
        <v>41.04</v>
      </c>
      <c r="N63" s="134">
        <v>351.4</v>
      </c>
      <c r="O63" s="134">
        <v>0</v>
      </c>
      <c r="P63" s="134">
        <v>0.86</v>
      </c>
      <c r="Q63" s="134">
        <v>4.1900000000000004</v>
      </c>
    </row>
    <row r="64" spans="1:17" customFormat="1">
      <c r="A64" s="112" t="s">
        <v>1638</v>
      </c>
      <c r="B64" s="134">
        <v>4.6500000000000004</v>
      </c>
      <c r="C64" s="134">
        <v>22.07</v>
      </c>
      <c r="D64" s="134">
        <v>16.61</v>
      </c>
      <c r="E64" s="134">
        <v>7.21</v>
      </c>
      <c r="F64" s="134">
        <v>7.48</v>
      </c>
      <c r="G64" s="134">
        <v>79.23</v>
      </c>
      <c r="H64" s="134">
        <v>37.58</v>
      </c>
      <c r="I64" s="134">
        <v>5.78</v>
      </c>
      <c r="J64" s="134">
        <v>0.46</v>
      </c>
      <c r="K64" s="134">
        <v>47.59</v>
      </c>
      <c r="L64" s="134">
        <v>28.97</v>
      </c>
      <c r="M64" s="134">
        <v>40.47</v>
      </c>
      <c r="N64" s="134">
        <v>336.6</v>
      </c>
      <c r="O64" s="134">
        <v>0</v>
      </c>
      <c r="P64" s="134">
        <v>0.85</v>
      </c>
      <c r="Q64" s="134">
        <v>4.2</v>
      </c>
    </row>
    <row r="65" spans="1:17" customFormat="1">
      <c r="A65" s="112" t="s">
        <v>1639</v>
      </c>
      <c r="B65" s="134">
        <v>4.71</v>
      </c>
      <c r="C65" s="134">
        <v>22.05</v>
      </c>
      <c r="D65" s="134">
        <v>16.649999999999999</v>
      </c>
      <c r="E65" s="134">
        <v>7.31</v>
      </c>
      <c r="F65" s="134">
        <v>7.41</v>
      </c>
      <c r="G65" s="134">
        <v>79.23</v>
      </c>
      <c r="H65" s="134">
        <v>37.58</v>
      </c>
      <c r="I65" s="134">
        <v>5.65</v>
      </c>
      <c r="J65" s="134">
        <v>0.71</v>
      </c>
      <c r="K65" s="134">
        <v>36.520000000000003</v>
      </c>
      <c r="L65" s="134">
        <v>28.86</v>
      </c>
      <c r="M65" s="134">
        <v>40.340000000000003</v>
      </c>
      <c r="N65" s="134">
        <v>228.7</v>
      </c>
      <c r="O65" s="134">
        <v>0</v>
      </c>
      <c r="P65" s="134">
        <v>0.83</v>
      </c>
      <c r="Q65" s="134">
        <v>4.2</v>
      </c>
    </row>
    <row r="66" spans="1:17" customFormat="1">
      <c r="A66" s="112" t="s">
        <v>1640</v>
      </c>
      <c r="B66" s="134">
        <v>4.6100000000000003</v>
      </c>
      <c r="C66" s="134">
        <v>22.28</v>
      </c>
      <c r="D66" s="134">
        <v>16.690000000000001</v>
      </c>
      <c r="E66" s="134">
        <v>7.19</v>
      </c>
      <c r="F66" s="134">
        <v>7.58</v>
      </c>
      <c r="G66" s="134">
        <v>79.23</v>
      </c>
      <c r="H66" s="134">
        <v>37.58</v>
      </c>
      <c r="I66" s="134">
        <v>5.56</v>
      </c>
      <c r="J66" s="134">
        <v>0.77</v>
      </c>
      <c r="K66" s="134">
        <v>43.18</v>
      </c>
      <c r="L66" s="134">
        <v>28.59</v>
      </c>
      <c r="M66" s="134">
        <v>40.19</v>
      </c>
      <c r="N66" s="134">
        <v>155</v>
      </c>
      <c r="O66" s="134">
        <v>0</v>
      </c>
      <c r="P66" s="134">
        <v>0.83</v>
      </c>
      <c r="Q66" s="134">
        <v>4.2</v>
      </c>
    </row>
    <row r="67" spans="1:17" customFormat="1">
      <c r="A67" s="112" t="s">
        <v>1641</v>
      </c>
      <c r="B67" s="134">
        <v>4.59</v>
      </c>
      <c r="C67" s="134">
        <v>22.33</v>
      </c>
      <c r="D67" s="134">
        <v>16.7</v>
      </c>
      <c r="E67" s="134">
        <v>7.75</v>
      </c>
      <c r="F67" s="134">
        <v>8.14</v>
      </c>
      <c r="G67" s="134">
        <v>71.849999999999994</v>
      </c>
      <c r="H67" s="134">
        <v>38.92</v>
      </c>
      <c r="I67" s="134">
        <v>5.45</v>
      </c>
      <c r="J67" s="134">
        <v>0.62</v>
      </c>
      <c r="K67" s="134">
        <v>43.07</v>
      </c>
      <c r="L67" s="134">
        <v>28.28</v>
      </c>
      <c r="M67" s="134">
        <v>41.13</v>
      </c>
      <c r="N67" s="134">
        <v>125</v>
      </c>
      <c r="O67" s="134">
        <v>0</v>
      </c>
      <c r="P67" s="134">
        <v>0.83</v>
      </c>
      <c r="Q67" s="134">
        <v>4.2</v>
      </c>
    </row>
    <row r="68" spans="1:17" customFormat="1">
      <c r="A68" s="112" t="s">
        <v>1642</v>
      </c>
      <c r="B68" s="134">
        <v>4.58</v>
      </c>
      <c r="C68" s="134">
        <v>22.16</v>
      </c>
      <c r="D68" s="134">
        <v>16.600000000000001</v>
      </c>
      <c r="E68" s="134">
        <v>7.75</v>
      </c>
      <c r="F68" s="134">
        <v>8.3699999999999992</v>
      </c>
      <c r="G68" s="134">
        <v>70.819999999999993</v>
      </c>
      <c r="H68" s="134">
        <v>38.92</v>
      </c>
      <c r="I68" s="134">
        <v>5.34</v>
      </c>
      <c r="J68" s="134">
        <v>0.55000000000000004</v>
      </c>
      <c r="K68" s="134">
        <v>50.59</v>
      </c>
      <c r="L68" s="134">
        <v>28.27</v>
      </c>
      <c r="M68" s="134">
        <v>40.97</v>
      </c>
      <c r="N68" s="134">
        <v>107.6</v>
      </c>
      <c r="O68" s="134">
        <v>0</v>
      </c>
      <c r="P68" s="134">
        <v>0.81</v>
      </c>
      <c r="Q68" s="134">
        <v>4.21</v>
      </c>
    </row>
    <row r="69" spans="1:17" customFormat="1">
      <c r="A69" s="112" t="s">
        <v>1643</v>
      </c>
      <c r="B69" s="134">
        <v>4.5</v>
      </c>
      <c r="C69" s="134">
        <v>22.17</v>
      </c>
      <c r="D69" s="134">
        <v>16.54</v>
      </c>
      <c r="E69" s="134">
        <v>7.51</v>
      </c>
      <c r="F69" s="134">
        <v>7.73</v>
      </c>
      <c r="G69" s="134">
        <v>70.819999999999993</v>
      </c>
      <c r="H69" s="134">
        <v>38.92</v>
      </c>
      <c r="I69" s="134">
        <v>5.24</v>
      </c>
      <c r="J69" s="134">
        <v>0.64</v>
      </c>
      <c r="K69" s="134">
        <v>51.54</v>
      </c>
      <c r="L69" s="134">
        <v>28.17</v>
      </c>
      <c r="M69" s="134">
        <v>40.630000000000003</v>
      </c>
      <c r="N69" s="134">
        <v>94.7</v>
      </c>
      <c r="O69" s="134">
        <v>0</v>
      </c>
      <c r="P69" s="134">
        <v>0.81</v>
      </c>
      <c r="Q69" s="134">
        <v>4.18</v>
      </c>
    </row>
    <row r="70" spans="1:17" customFormat="1">
      <c r="A70" s="112" t="s">
        <v>1644</v>
      </c>
      <c r="B70" s="134">
        <v>4.49</v>
      </c>
      <c r="C70" s="134">
        <v>22.05</v>
      </c>
      <c r="D70" s="134">
        <v>16.47</v>
      </c>
      <c r="E70" s="134">
        <v>7.06</v>
      </c>
      <c r="F70" s="134">
        <v>7.64</v>
      </c>
      <c r="G70" s="134">
        <v>70.819999999999993</v>
      </c>
      <c r="H70" s="134">
        <v>38.92</v>
      </c>
      <c r="I70" s="134">
        <v>5.17</v>
      </c>
      <c r="J70" s="134">
        <v>0.7</v>
      </c>
      <c r="K70" s="134">
        <v>45.14</v>
      </c>
      <c r="L70" s="134">
        <v>27.88</v>
      </c>
      <c r="M70" s="134">
        <v>41.57</v>
      </c>
      <c r="N70" s="134">
        <v>80.5</v>
      </c>
      <c r="O70" s="134">
        <v>0</v>
      </c>
      <c r="P70" s="134">
        <v>0.81</v>
      </c>
      <c r="Q70" s="134">
        <v>4.1900000000000004</v>
      </c>
    </row>
    <row r="71" spans="1:17" customFormat="1">
      <c r="A71" s="112" t="s">
        <v>1645</v>
      </c>
      <c r="B71" s="134">
        <v>4.4000000000000004</v>
      </c>
      <c r="C71" s="134">
        <v>22.27</v>
      </c>
      <c r="D71" s="134">
        <v>16.510000000000002</v>
      </c>
      <c r="E71" s="134">
        <v>7.31</v>
      </c>
      <c r="F71" s="134">
        <v>7.41</v>
      </c>
      <c r="G71" s="134">
        <v>70.959999999999994</v>
      </c>
      <c r="H71" s="134">
        <v>36.17</v>
      </c>
      <c r="I71" s="134">
        <v>5.08</v>
      </c>
      <c r="J71" s="134">
        <v>0.19</v>
      </c>
      <c r="K71" s="134">
        <v>90.39</v>
      </c>
      <c r="L71" s="134">
        <v>27.86</v>
      </c>
      <c r="M71" s="134">
        <v>42.36</v>
      </c>
      <c r="N71" s="134">
        <v>67.8</v>
      </c>
      <c r="O71" s="134">
        <v>0</v>
      </c>
      <c r="P71" s="134">
        <v>0.8</v>
      </c>
      <c r="Q71" s="134">
        <v>4.17</v>
      </c>
    </row>
    <row r="72" spans="1:17" customFormat="1">
      <c r="A72" s="112" t="s">
        <v>1646</v>
      </c>
      <c r="B72" s="134">
        <v>4.5</v>
      </c>
      <c r="C72" s="134">
        <v>21.71</v>
      </c>
      <c r="D72" s="134">
        <v>16.3</v>
      </c>
      <c r="E72" s="134">
        <v>7.08</v>
      </c>
      <c r="F72" s="134">
        <v>7.48</v>
      </c>
      <c r="G72" s="134">
        <v>70.98</v>
      </c>
      <c r="H72" s="134">
        <v>36.17</v>
      </c>
      <c r="I72" s="134">
        <v>5.07</v>
      </c>
      <c r="J72" s="134">
        <v>0.18</v>
      </c>
      <c r="K72" s="134">
        <v>144.47</v>
      </c>
      <c r="L72" s="134">
        <v>27.72</v>
      </c>
      <c r="M72" s="134">
        <v>43.17</v>
      </c>
      <c r="N72" s="134">
        <v>54.3</v>
      </c>
      <c r="O72" s="134">
        <v>0</v>
      </c>
      <c r="P72" s="134">
        <v>0.79</v>
      </c>
      <c r="Q72" s="134">
        <v>4.17</v>
      </c>
    </row>
    <row r="73" spans="1:17" customFormat="1">
      <c r="A73" s="112" t="s">
        <v>1647</v>
      </c>
      <c r="B73" s="134">
        <v>4.4400000000000004</v>
      </c>
      <c r="C73" s="134">
        <v>21.36</v>
      </c>
      <c r="D73" s="134">
        <v>16.07</v>
      </c>
      <c r="E73" s="134">
        <v>7.26</v>
      </c>
      <c r="F73" s="134">
        <v>7.73</v>
      </c>
      <c r="G73" s="134">
        <v>70.98</v>
      </c>
      <c r="H73" s="134">
        <v>36.17</v>
      </c>
      <c r="I73" s="134">
        <v>5.04</v>
      </c>
      <c r="J73" s="134">
        <v>0.24</v>
      </c>
      <c r="K73" s="134">
        <v>83.29</v>
      </c>
      <c r="L73" s="134">
        <v>27.44</v>
      </c>
      <c r="M73" s="134">
        <v>44.77</v>
      </c>
      <c r="N73" s="134">
        <v>40.5</v>
      </c>
      <c r="O73" s="134">
        <v>0</v>
      </c>
      <c r="P73" s="134">
        <v>0.77</v>
      </c>
      <c r="Q73" s="134">
        <v>4.1500000000000004</v>
      </c>
    </row>
    <row r="74" spans="1:17" customFormat="1">
      <c r="A74" s="112" t="s">
        <v>1648</v>
      </c>
      <c r="B74" s="134">
        <v>4.5</v>
      </c>
      <c r="C74" s="134">
        <v>21.28</v>
      </c>
      <c r="D74" s="134">
        <v>16.079999999999998</v>
      </c>
      <c r="E74" s="134">
        <v>7.51</v>
      </c>
      <c r="F74" s="134">
        <v>7.29</v>
      </c>
      <c r="G74" s="134">
        <v>70.98</v>
      </c>
      <c r="H74" s="134">
        <v>36.17</v>
      </c>
      <c r="I74" s="134">
        <v>4.93</v>
      </c>
      <c r="J74" s="134">
        <v>0.31</v>
      </c>
      <c r="K74" s="134">
        <v>70.72</v>
      </c>
      <c r="L74" s="134">
        <v>26.99</v>
      </c>
      <c r="M74" s="134">
        <v>46.74</v>
      </c>
      <c r="N74" s="134">
        <v>25.3</v>
      </c>
      <c r="O74" s="134">
        <v>0</v>
      </c>
      <c r="P74" s="134">
        <v>0.77</v>
      </c>
      <c r="Q74" s="134">
        <v>4.1399999999999997</v>
      </c>
    </row>
    <row r="75" spans="1:17" customFormat="1">
      <c r="A75" s="112" t="s">
        <v>1649</v>
      </c>
      <c r="B75" s="134">
        <v>4.42</v>
      </c>
      <c r="C75" s="134">
        <v>21.58</v>
      </c>
      <c r="D75" s="134">
        <v>16.170000000000002</v>
      </c>
      <c r="E75" s="134">
        <v>6.6</v>
      </c>
      <c r="F75" s="134">
        <v>5.68</v>
      </c>
      <c r="G75" s="134">
        <v>66.69</v>
      </c>
      <c r="H75" s="134">
        <v>38.380000000000003</v>
      </c>
      <c r="I75" s="134">
        <v>4.8499999999999996</v>
      </c>
      <c r="J75" s="134">
        <v>0.14000000000000001</v>
      </c>
      <c r="K75" s="134">
        <v>106</v>
      </c>
      <c r="L75" s="134">
        <v>26.47</v>
      </c>
      <c r="M75" s="134">
        <v>49.79</v>
      </c>
      <c r="N75" s="134">
        <v>13.5</v>
      </c>
      <c r="O75" s="134">
        <v>0</v>
      </c>
      <c r="P75" s="134">
        <v>0.77</v>
      </c>
      <c r="Q75" s="134">
        <v>4.1500000000000004</v>
      </c>
    </row>
    <row r="76" spans="1:17" customFormat="1">
      <c r="A76" s="112" t="s">
        <v>1650</v>
      </c>
      <c r="B76" s="134">
        <v>4.66</v>
      </c>
      <c r="C76" s="134">
        <v>20.149999999999999</v>
      </c>
      <c r="D76" s="134">
        <v>15.62</v>
      </c>
      <c r="E76" s="134">
        <v>5.81</v>
      </c>
      <c r="F76" s="134">
        <v>4.45</v>
      </c>
      <c r="G76" s="134">
        <v>66.09</v>
      </c>
      <c r="H76" s="134">
        <v>38.380000000000003</v>
      </c>
      <c r="I76" s="134">
        <v>4.8</v>
      </c>
      <c r="J76" s="134">
        <v>0.12</v>
      </c>
      <c r="K76" s="134">
        <v>125.22</v>
      </c>
      <c r="L76" s="134">
        <v>25.89</v>
      </c>
      <c r="M76" s="134">
        <v>52.56</v>
      </c>
      <c r="N76" s="134">
        <v>2.7</v>
      </c>
      <c r="O76" s="134">
        <v>0</v>
      </c>
      <c r="P76" s="134">
        <v>0.75</v>
      </c>
      <c r="Q76" s="134">
        <v>4.1500000000000004</v>
      </c>
    </row>
    <row r="77" spans="1:17" customFormat="1">
      <c r="A77" s="112" t="s">
        <v>1651</v>
      </c>
      <c r="B77" s="134">
        <v>4.8899999999999997</v>
      </c>
      <c r="C77" s="134">
        <v>19.13</v>
      </c>
      <c r="D77" s="134">
        <v>15.26</v>
      </c>
      <c r="E77" s="134">
        <v>5.0599999999999996</v>
      </c>
      <c r="F77" s="134">
        <v>4.03</v>
      </c>
      <c r="G77" s="134">
        <v>66.09</v>
      </c>
      <c r="H77" s="134">
        <v>38.380000000000003</v>
      </c>
      <c r="I77" s="134">
        <v>4.83</v>
      </c>
      <c r="J77" s="134">
        <v>0.13</v>
      </c>
      <c r="K77" s="134">
        <v>146.75</v>
      </c>
      <c r="L77" s="134">
        <v>25.29</v>
      </c>
      <c r="M77" s="134">
        <v>55.66</v>
      </c>
      <c r="N77" s="134">
        <v>0</v>
      </c>
      <c r="O77" s="134">
        <v>0</v>
      </c>
      <c r="P77" s="134">
        <v>0.74</v>
      </c>
      <c r="Q77" s="134">
        <v>4.1500000000000004</v>
      </c>
    </row>
    <row r="78" spans="1:17" customFormat="1">
      <c r="A78" s="112" t="s">
        <v>1652</v>
      </c>
      <c r="B78" s="134">
        <v>5.01</v>
      </c>
      <c r="C78" s="134">
        <v>18.55</v>
      </c>
      <c r="D78" s="134">
        <v>15.06</v>
      </c>
      <c r="E78" s="134">
        <v>4.88</v>
      </c>
      <c r="F78" s="134">
        <v>3.68</v>
      </c>
      <c r="G78" s="134">
        <v>66.09</v>
      </c>
      <c r="H78" s="134">
        <v>38.380000000000003</v>
      </c>
      <c r="I78" s="134">
        <v>4.84</v>
      </c>
      <c r="J78" s="134">
        <v>0.13</v>
      </c>
      <c r="K78" s="134">
        <v>140.16999999999999</v>
      </c>
      <c r="L78" s="134">
        <v>24.68</v>
      </c>
      <c r="M78" s="134">
        <v>58.7</v>
      </c>
      <c r="N78" s="134">
        <v>0</v>
      </c>
      <c r="O78" s="134">
        <v>0</v>
      </c>
      <c r="P78" s="134">
        <v>0.73</v>
      </c>
      <c r="Q78" s="134">
        <v>4.17</v>
      </c>
    </row>
    <row r="79" spans="1:17" customFormat="1">
      <c r="A79" s="112" t="s">
        <v>1653</v>
      </c>
      <c r="B79" s="134">
        <v>5.15</v>
      </c>
      <c r="C79" s="134">
        <v>18.440000000000001</v>
      </c>
      <c r="D79" s="134">
        <v>15.11</v>
      </c>
      <c r="E79" s="134">
        <v>5.19</v>
      </c>
      <c r="F79" s="134">
        <v>3.5</v>
      </c>
      <c r="G79" s="134">
        <v>66.569999999999993</v>
      </c>
      <c r="H79" s="134">
        <v>37.19</v>
      </c>
      <c r="I79" s="134">
        <v>4.8499999999999996</v>
      </c>
      <c r="J79" s="134">
        <v>0.12</v>
      </c>
      <c r="K79" s="134">
        <v>148.38999999999999</v>
      </c>
      <c r="L79" s="134">
        <v>24.17</v>
      </c>
      <c r="M79" s="134">
        <v>60.88</v>
      </c>
      <c r="N79" s="134">
        <v>0</v>
      </c>
      <c r="O79" s="134">
        <v>0</v>
      </c>
      <c r="P79" s="134">
        <v>0.72</v>
      </c>
      <c r="Q79" s="134">
        <v>4.16</v>
      </c>
    </row>
    <row r="80" spans="1:17" customFormat="1">
      <c r="A80" s="112" t="s">
        <v>1654</v>
      </c>
      <c r="B80" s="134">
        <v>5.21</v>
      </c>
      <c r="C80" s="134">
        <v>19.55</v>
      </c>
      <c r="D80" s="134">
        <v>15.75</v>
      </c>
      <c r="E80" s="134">
        <v>5.0599999999999996</v>
      </c>
      <c r="F80" s="134">
        <v>3.44</v>
      </c>
      <c r="G80" s="134">
        <v>66.63</v>
      </c>
      <c r="H80" s="134">
        <v>37.19</v>
      </c>
      <c r="I80" s="134">
        <v>4.8899999999999997</v>
      </c>
      <c r="J80" s="134">
        <v>0.09</v>
      </c>
      <c r="K80" s="134">
        <v>146.63999999999999</v>
      </c>
      <c r="L80" s="134">
        <v>23.91</v>
      </c>
      <c r="M80" s="134">
        <v>61.06</v>
      </c>
      <c r="N80" s="134">
        <v>0</v>
      </c>
      <c r="O80" s="134">
        <v>0</v>
      </c>
      <c r="P80" s="134">
        <v>0.73</v>
      </c>
      <c r="Q80" s="134">
        <v>4.1500000000000004</v>
      </c>
    </row>
    <row r="81" spans="1:17" customFormat="1">
      <c r="A81" s="112" t="s">
        <v>1655</v>
      </c>
      <c r="B81" s="134">
        <v>5.39</v>
      </c>
      <c r="C81" s="134">
        <v>18.52</v>
      </c>
      <c r="D81" s="134">
        <v>15.35</v>
      </c>
      <c r="E81" s="134">
        <v>5.29</v>
      </c>
      <c r="F81" s="134">
        <v>3.47</v>
      </c>
      <c r="G81" s="134">
        <v>66.63</v>
      </c>
      <c r="H81" s="134">
        <v>37.19</v>
      </c>
      <c r="I81" s="134">
        <v>4.9000000000000004</v>
      </c>
      <c r="J81" s="134">
        <v>0.1</v>
      </c>
      <c r="K81" s="134">
        <v>127.47</v>
      </c>
      <c r="L81" s="134">
        <v>23.74</v>
      </c>
      <c r="M81" s="134">
        <v>62.66</v>
      </c>
      <c r="N81" s="134">
        <v>0</v>
      </c>
      <c r="O81" s="134">
        <v>0</v>
      </c>
      <c r="P81" s="134">
        <v>0.72</v>
      </c>
      <c r="Q81" s="134">
        <v>4.16</v>
      </c>
    </row>
    <row r="82" spans="1:17" customFormat="1">
      <c r="A82" s="112" t="s">
        <v>1656</v>
      </c>
      <c r="B82" s="134">
        <v>5.38</v>
      </c>
      <c r="C82" s="134">
        <v>19.3</v>
      </c>
      <c r="D82" s="134">
        <v>15.75</v>
      </c>
      <c r="E82" s="134">
        <v>6.29</v>
      </c>
      <c r="F82" s="134">
        <v>3.24</v>
      </c>
      <c r="G82" s="134">
        <v>66.63</v>
      </c>
      <c r="H82" s="134">
        <v>37.19</v>
      </c>
      <c r="I82" s="134">
        <v>4.9400000000000004</v>
      </c>
      <c r="J82" s="134">
        <v>0.12</v>
      </c>
      <c r="K82" s="134">
        <v>126.55</v>
      </c>
      <c r="L82" s="134">
        <v>23.43</v>
      </c>
      <c r="M82" s="134">
        <v>62.86</v>
      </c>
      <c r="N82" s="134">
        <v>0</v>
      </c>
      <c r="O82" s="134">
        <v>0</v>
      </c>
      <c r="P82" s="134">
        <v>0.73</v>
      </c>
      <c r="Q82" s="134">
        <v>4.16</v>
      </c>
    </row>
    <row r="83" spans="1:17" customFormat="1">
      <c r="A83" s="112" t="s">
        <v>1657</v>
      </c>
      <c r="B83" s="134">
        <v>5.66</v>
      </c>
      <c r="C83" s="134">
        <v>19.440000000000001</v>
      </c>
      <c r="D83" s="134">
        <v>16.05</v>
      </c>
      <c r="E83" s="134">
        <v>6.37</v>
      </c>
      <c r="F83" s="134">
        <v>3.17</v>
      </c>
      <c r="G83" s="134">
        <v>68.180000000000007</v>
      </c>
      <c r="H83" s="134">
        <v>35.82</v>
      </c>
      <c r="I83" s="134">
        <v>4.93</v>
      </c>
      <c r="J83" s="134">
        <v>0.12</v>
      </c>
      <c r="K83" s="134">
        <v>126.14</v>
      </c>
      <c r="L83" s="134">
        <v>23.31</v>
      </c>
      <c r="M83" s="134">
        <v>62.97</v>
      </c>
      <c r="N83" s="134">
        <v>0</v>
      </c>
      <c r="O83" s="134">
        <v>0</v>
      </c>
      <c r="P83" s="134">
        <v>0.73</v>
      </c>
      <c r="Q83" s="134">
        <v>4.17</v>
      </c>
    </row>
    <row r="84" spans="1:17" customFormat="1">
      <c r="A84" s="112" t="s">
        <v>1658</v>
      </c>
      <c r="B84" s="134">
        <v>5.87</v>
      </c>
      <c r="C84" s="134">
        <v>20.2</v>
      </c>
      <c r="D84" s="134">
        <v>16.61</v>
      </c>
      <c r="E84" s="134">
        <v>6</v>
      </c>
      <c r="F84" s="134">
        <v>2.79</v>
      </c>
      <c r="G84" s="134">
        <v>68.37</v>
      </c>
      <c r="H84" s="134">
        <v>35.82</v>
      </c>
      <c r="I84" s="134">
        <v>4.97</v>
      </c>
      <c r="J84" s="134">
        <v>0.12</v>
      </c>
      <c r="K84" s="134">
        <v>111.08</v>
      </c>
      <c r="L84" s="134">
        <v>23.1</v>
      </c>
      <c r="M84" s="134">
        <v>64.33</v>
      </c>
      <c r="N84" s="134">
        <v>0</v>
      </c>
      <c r="O84" s="134">
        <v>0</v>
      </c>
      <c r="P84" s="134">
        <v>0.74</v>
      </c>
      <c r="Q84" s="134">
        <v>4.18</v>
      </c>
    </row>
    <row r="85" spans="1:17" customFormat="1">
      <c r="A85" s="112" t="s">
        <v>1659</v>
      </c>
      <c r="B85" s="134">
        <v>6.08</v>
      </c>
      <c r="C85" s="134">
        <v>20.36</v>
      </c>
      <c r="D85" s="134">
        <v>16.86</v>
      </c>
      <c r="E85" s="134">
        <v>6.3</v>
      </c>
      <c r="F85" s="134">
        <v>2.98</v>
      </c>
      <c r="G85" s="134">
        <v>68.37</v>
      </c>
      <c r="H85" s="134">
        <v>35.82</v>
      </c>
      <c r="I85" s="134">
        <v>5.01</v>
      </c>
      <c r="J85" s="134">
        <v>0.13</v>
      </c>
      <c r="K85" s="134">
        <v>135.38</v>
      </c>
      <c r="L85" s="134">
        <v>22.87</v>
      </c>
      <c r="M85" s="134">
        <v>66.62</v>
      </c>
      <c r="N85" s="134">
        <v>0</v>
      </c>
      <c r="O85" s="134">
        <v>0</v>
      </c>
      <c r="P85" s="134">
        <v>0.76</v>
      </c>
      <c r="Q85" s="134">
        <v>4.2300000000000004</v>
      </c>
    </row>
    <row r="86" spans="1:17" customFormat="1">
      <c r="A86" s="112" t="s">
        <v>1660</v>
      </c>
      <c r="B86" s="134">
        <v>6.42</v>
      </c>
      <c r="C86" s="134">
        <v>21.26</v>
      </c>
      <c r="D86" s="134">
        <v>17.600000000000001</v>
      </c>
      <c r="E86" s="134">
        <v>5.94</v>
      </c>
      <c r="F86" s="134">
        <v>2.67</v>
      </c>
      <c r="G86" s="134">
        <v>68.37</v>
      </c>
      <c r="H86" s="134">
        <v>35.82</v>
      </c>
      <c r="I86" s="134">
        <v>5.09</v>
      </c>
      <c r="J86" s="134">
        <v>0.14000000000000001</v>
      </c>
      <c r="K86" s="134">
        <v>181.24</v>
      </c>
      <c r="L86" s="134">
        <v>22.14</v>
      </c>
      <c r="M86" s="134">
        <v>74.61</v>
      </c>
      <c r="N86" s="134">
        <v>0</v>
      </c>
      <c r="O86" s="134">
        <v>0</v>
      </c>
      <c r="P86" s="134">
        <v>0.77</v>
      </c>
      <c r="Q86" s="134">
        <v>4.2300000000000004</v>
      </c>
    </row>
    <row r="87" spans="1:17" customFormat="1">
      <c r="A87" s="112" t="s">
        <v>1661</v>
      </c>
      <c r="B87" s="134">
        <v>6.66</v>
      </c>
      <c r="C87" s="134">
        <v>21.05</v>
      </c>
      <c r="D87" s="134">
        <v>17.690000000000001</v>
      </c>
      <c r="E87" s="134">
        <v>6.55</v>
      </c>
      <c r="F87" s="134">
        <v>2.83</v>
      </c>
      <c r="G87" s="134">
        <v>85.74</v>
      </c>
      <c r="H87" s="134">
        <v>39.020000000000003</v>
      </c>
      <c r="I87" s="134">
        <v>5.15</v>
      </c>
      <c r="J87" s="134">
        <v>0.11</v>
      </c>
      <c r="K87" s="134">
        <v>174.11</v>
      </c>
      <c r="L87" s="134">
        <v>21.71</v>
      </c>
      <c r="M87" s="134">
        <v>78.34</v>
      </c>
      <c r="N87" s="134">
        <v>0</v>
      </c>
      <c r="O87" s="134">
        <v>0</v>
      </c>
      <c r="P87" s="134">
        <v>0.78</v>
      </c>
      <c r="Q87" s="134">
        <v>4.25</v>
      </c>
    </row>
    <row r="88" spans="1:17" customFormat="1">
      <c r="A88" s="112" t="s">
        <v>1662</v>
      </c>
      <c r="B88" s="134">
        <v>6.87</v>
      </c>
      <c r="C88" s="134">
        <v>21.69</v>
      </c>
      <c r="D88" s="134">
        <v>18.190000000000001</v>
      </c>
      <c r="E88" s="134">
        <v>6.32</v>
      </c>
      <c r="F88" s="134">
        <v>2.85</v>
      </c>
      <c r="G88" s="134">
        <v>87.72</v>
      </c>
      <c r="H88" s="134">
        <v>39.020000000000003</v>
      </c>
      <c r="I88" s="134">
        <v>5.27</v>
      </c>
      <c r="J88" s="134">
        <v>0.11</v>
      </c>
      <c r="K88" s="134">
        <v>164.45</v>
      </c>
      <c r="L88" s="134">
        <v>21.4</v>
      </c>
      <c r="M88" s="134">
        <v>79.430000000000007</v>
      </c>
      <c r="N88" s="134">
        <v>0</v>
      </c>
      <c r="O88" s="134">
        <v>0</v>
      </c>
      <c r="P88" s="134">
        <v>0.8</v>
      </c>
      <c r="Q88" s="134">
        <v>4.26</v>
      </c>
    </row>
    <row r="89" spans="1:17" customFormat="1">
      <c r="A89" s="112" t="s">
        <v>1663</v>
      </c>
      <c r="B89" s="134">
        <v>6.93</v>
      </c>
      <c r="C89" s="134">
        <v>20.82</v>
      </c>
      <c r="D89" s="134">
        <v>17.78</v>
      </c>
      <c r="E89" s="134">
        <v>6.37</v>
      </c>
      <c r="F89" s="134">
        <v>2.89</v>
      </c>
      <c r="G89" s="134">
        <v>87.72</v>
      </c>
      <c r="H89" s="134">
        <v>39.020000000000003</v>
      </c>
      <c r="I89" s="134">
        <v>5.33</v>
      </c>
      <c r="J89" s="134">
        <v>0.11</v>
      </c>
      <c r="K89" s="134">
        <v>165.33</v>
      </c>
      <c r="L89" s="134">
        <v>21.18</v>
      </c>
      <c r="M89" s="134">
        <v>79.62</v>
      </c>
      <c r="N89" s="134">
        <v>0</v>
      </c>
      <c r="O89" s="134">
        <v>0</v>
      </c>
      <c r="P89" s="134">
        <v>0.79</v>
      </c>
      <c r="Q89" s="134">
        <v>4.29</v>
      </c>
    </row>
    <row r="90" spans="1:17" customFormat="1">
      <c r="A90" s="112" t="s">
        <v>1664</v>
      </c>
      <c r="B90" s="134">
        <v>7.2</v>
      </c>
      <c r="C90" s="134">
        <v>21.92</v>
      </c>
      <c r="D90" s="134">
        <v>18.579999999999998</v>
      </c>
      <c r="E90" s="134">
        <v>6.46</v>
      </c>
      <c r="F90" s="134">
        <v>2.57</v>
      </c>
      <c r="G90" s="134">
        <v>87.72</v>
      </c>
      <c r="H90" s="134">
        <v>39.020000000000003</v>
      </c>
      <c r="I90" s="134">
        <v>5.41</v>
      </c>
      <c r="J90" s="134">
        <v>0.12</v>
      </c>
      <c r="K90" s="134">
        <v>166.51</v>
      </c>
      <c r="L90" s="134">
        <v>21.02</v>
      </c>
      <c r="M90" s="134">
        <v>81.680000000000007</v>
      </c>
      <c r="N90" s="134">
        <v>0</v>
      </c>
      <c r="O90" s="134">
        <v>0</v>
      </c>
      <c r="P90" s="134">
        <v>0.82</v>
      </c>
      <c r="Q90" s="134">
        <v>4.28</v>
      </c>
    </row>
    <row r="91" spans="1:17" customFormat="1">
      <c r="A91" s="112" t="s">
        <v>1665</v>
      </c>
      <c r="B91" s="134">
        <v>7.42</v>
      </c>
      <c r="C91" s="134">
        <v>21.53</v>
      </c>
      <c r="D91" s="134">
        <v>18.55</v>
      </c>
      <c r="E91" s="134">
        <v>6.46</v>
      </c>
      <c r="F91" s="134">
        <v>2.68</v>
      </c>
      <c r="G91" s="134">
        <v>84.26</v>
      </c>
      <c r="H91" s="134">
        <v>42.08</v>
      </c>
      <c r="I91" s="134">
        <v>5.47</v>
      </c>
      <c r="J91" s="134">
        <v>0.11</v>
      </c>
      <c r="K91" s="134">
        <v>196.27</v>
      </c>
      <c r="L91" s="134">
        <v>20.82</v>
      </c>
      <c r="M91" s="134">
        <v>83.98</v>
      </c>
      <c r="N91" s="134">
        <v>0</v>
      </c>
      <c r="O91" s="134">
        <v>0</v>
      </c>
      <c r="P91" s="134">
        <v>0.83</v>
      </c>
      <c r="Q91" s="134">
        <v>4.28</v>
      </c>
    </row>
    <row r="92" spans="1:17" customFormat="1">
      <c r="A92" s="112" t="s">
        <v>1666</v>
      </c>
      <c r="B92" s="134">
        <v>7.62</v>
      </c>
      <c r="C92" s="134">
        <v>22.4</v>
      </c>
      <c r="D92" s="134">
        <v>19.16</v>
      </c>
      <c r="E92" s="134">
        <v>6.65</v>
      </c>
      <c r="F92" s="134">
        <v>2.74</v>
      </c>
      <c r="G92" s="134">
        <v>83.82</v>
      </c>
      <c r="H92" s="134">
        <v>42.08</v>
      </c>
      <c r="I92" s="134">
        <v>5.6</v>
      </c>
      <c r="J92" s="134">
        <v>0.1</v>
      </c>
      <c r="K92" s="134">
        <v>177.61</v>
      </c>
      <c r="L92" s="134">
        <v>20.64</v>
      </c>
      <c r="M92" s="134">
        <v>85.88</v>
      </c>
      <c r="N92" s="134">
        <v>0</v>
      </c>
      <c r="O92" s="134">
        <v>0</v>
      </c>
      <c r="P92" s="134">
        <v>0.83</v>
      </c>
      <c r="Q92" s="134">
        <v>4.28</v>
      </c>
    </row>
    <row r="93" spans="1:17" customFormat="1">
      <c r="A93" s="112" t="s">
        <v>1667</v>
      </c>
      <c r="B93" s="134">
        <v>7.76</v>
      </c>
      <c r="C93" s="134">
        <v>21.25</v>
      </c>
      <c r="D93" s="134">
        <v>18.68</v>
      </c>
      <c r="E93" s="134">
        <v>6.42</v>
      </c>
      <c r="F93" s="134">
        <v>2.8</v>
      </c>
      <c r="G93" s="134">
        <v>83.82</v>
      </c>
      <c r="H93" s="134">
        <v>42.08</v>
      </c>
      <c r="I93" s="134">
        <v>5.67</v>
      </c>
      <c r="J93" s="134">
        <v>0.12</v>
      </c>
      <c r="K93" s="134">
        <v>202.6</v>
      </c>
      <c r="L93" s="134">
        <v>20.38</v>
      </c>
      <c r="M93" s="134">
        <v>86.76</v>
      </c>
      <c r="N93" s="134">
        <v>0</v>
      </c>
      <c r="O93" s="134">
        <v>0</v>
      </c>
      <c r="P93" s="134">
        <v>0.83</v>
      </c>
      <c r="Q93" s="134">
        <v>4.32</v>
      </c>
    </row>
    <row r="94" spans="1:17" customFormat="1">
      <c r="A94" s="112" t="s">
        <v>1668</v>
      </c>
      <c r="B94" s="134">
        <v>7.7</v>
      </c>
      <c r="C94" s="134">
        <v>21.98</v>
      </c>
      <c r="D94" s="134">
        <v>19.010000000000002</v>
      </c>
      <c r="E94" s="134">
        <v>6.84</v>
      </c>
      <c r="F94" s="134">
        <v>2.9</v>
      </c>
      <c r="G94" s="134">
        <v>83.82</v>
      </c>
      <c r="H94" s="134">
        <v>42.08</v>
      </c>
      <c r="I94" s="134">
        <v>5.78</v>
      </c>
      <c r="J94" s="134">
        <v>0.14000000000000001</v>
      </c>
      <c r="K94" s="134">
        <v>181.43</v>
      </c>
      <c r="L94" s="134">
        <v>20.21</v>
      </c>
      <c r="M94" s="134">
        <v>86.96</v>
      </c>
      <c r="N94" s="134">
        <v>0</v>
      </c>
      <c r="O94" s="134">
        <v>0</v>
      </c>
      <c r="P94" s="134">
        <v>0.84</v>
      </c>
      <c r="Q94" s="134">
        <v>4.32</v>
      </c>
    </row>
    <row r="95" spans="1:17" customFormat="1">
      <c r="A95" s="112" t="s">
        <v>1669</v>
      </c>
      <c r="B95" s="134">
        <v>7.39</v>
      </c>
      <c r="C95" s="134">
        <v>22.08</v>
      </c>
      <c r="D95" s="134">
        <v>18.809999999999999</v>
      </c>
      <c r="E95" s="134">
        <v>7.24</v>
      </c>
      <c r="F95" s="134">
        <v>2.97</v>
      </c>
      <c r="G95" s="134">
        <v>80.61</v>
      </c>
      <c r="H95" s="134">
        <v>37.15</v>
      </c>
      <c r="I95" s="134">
        <v>5.79</v>
      </c>
      <c r="J95" s="134">
        <v>0.2</v>
      </c>
      <c r="K95" s="134">
        <v>179.61</v>
      </c>
      <c r="L95" s="134">
        <v>20.25</v>
      </c>
      <c r="M95" s="134">
        <v>84.24</v>
      </c>
      <c r="N95" s="134">
        <v>0</v>
      </c>
      <c r="O95" s="134">
        <v>0</v>
      </c>
      <c r="P95" s="134">
        <v>0.86</v>
      </c>
      <c r="Q95" s="134">
        <v>4.32</v>
      </c>
    </row>
    <row r="96" spans="1:17" customFormat="1">
      <c r="A96" s="112" t="s">
        <v>1670</v>
      </c>
      <c r="B96" s="134">
        <v>7.02</v>
      </c>
      <c r="C96" s="134">
        <v>22.22</v>
      </c>
      <c r="D96" s="134">
        <v>18.59</v>
      </c>
      <c r="E96" s="134">
        <v>7.41</v>
      </c>
      <c r="F96" s="134">
        <v>3.36</v>
      </c>
      <c r="G96" s="134">
        <v>80.209999999999994</v>
      </c>
      <c r="H96" s="134">
        <v>37.15</v>
      </c>
      <c r="I96" s="134">
        <v>5.84</v>
      </c>
      <c r="J96" s="134">
        <v>0.18</v>
      </c>
      <c r="K96" s="134">
        <v>160.33000000000001</v>
      </c>
      <c r="L96" s="134">
        <v>20.61</v>
      </c>
      <c r="M96" s="134">
        <v>77.5</v>
      </c>
      <c r="N96" s="134">
        <v>0</v>
      </c>
      <c r="O96" s="134">
        <v>0</v>
      </c>
      <c r="P96" s="134">
        <v>0.86</v>
      </c>
      <c r="Q96" s="134">
        <v>4.3</v>
      </c>
    </row>
    <row r="97" spans="1:22" customFormat="1">
      <c r="A97" s="112" t="s">
        <v>1671</v>
      </c>
      <c r="B97" s="134">
        <v>6.58</v>
      </c>
      <c r="C97" s="134">
        <v>22.38</v>
      </c>
      <c r="D97" s="134">
        <v>18.32</v>
      </c>
      <c r="E97" s="134">
        <v>7.38</v>
      </c>
      <c r="F97" s="134">
        <v>3.63</v>
      </c>
      <c r="G97" s="134">
        <v>80.209999999999994</v>
      </c>
      <c r="H97" s="134">
        <v>37.15</v>
      </c>
      <c r="I97" s="134">
        <v>5.83</v>
      </c>
      <c r="J97" s="134">
        <v>0.27</v>
      </c>
      <c r="K97" s="134">
        <v>179.52</v>
      </c>
      <c r="L97" s="134">
        <v>21.01</v>
      </c>
      <c r="M97" s="134">
        <v>75.86</v>
      </c>
      <c r="N97" s="134">
        <v>0</v>
      </c>
      <c r="O97" s="134">
        <v>0</v>
      </c>
      <c r="P97" s="134">
        <v>0.85</v>
      </c>
      <c r="Q97" s="134">
        <v>4.28</v>
      </c>
    </row>
    <row r="98" spans="1:22" customFormat="1">
      <c r="A98" s="112" t="s">
        <v>1672</v>
      </c>
      <c r="B98" s="134">
        <v>6.02</v>
      </c>
      <c r="C98" s="134">
        <v>22.39</v>
      </c>
      <c r="D98" s="134">
        <v>17.88</v>
      </c>
      <c r="E98" s="134">
        <v>7.43</v>
      </c>
      <c r="F98" s="134">
        <v>3.88</v>
      </c>
      <c r="G98" s="134">
        <v>80.209999999999994</v>
      </c>
      <c r="H98" s="134">
        <v>37.15</v>
      </c>
      <c r="I98" s="134">
        <v>5.86</v>
      </c>
      <c r="J98" s="134">
        <v>0.25</v>
      </c>
      <c r="K98" s="134">
        <v>174.53</v>
      </c>
      <c r="L98" s="134">
        <v>21.09</v>
      </c>
      <c r="M98" s="134">
        <v>74.489999999999995</v>
      </c>
      <c r="N98" s="134">
        <v>0</v>
      </c>
      <c r="O98" s="134">
        <v>0</v>
      </c>
      <c r="P98" s="134">
        <v>0.84</v>
      </c>
      <c r="Q98" s="134">
        <v>4.2699999999999996</v>
      </c>
    </row>
    <row r="99" spans="1:22" customFormat="1">
      <c r="A99" s="112" t="s">
        <v>1673</v>
      </c>
      <c r="B99" s="134">
        <v>5.62</v>
      </c>
      <c r="C99" s="134">
        <v>22.31</v>
      </c>
      <c r="D99" s="134">
        <v>17.52</v>
      </c>
      <c r="E99" s="134">
        <v>8.0299999999999994</v>
      </c>
      <c r="F99" s="134">
        <v>4.0999999999999996</v>
      </c>
      <c r="G99" s="134">
        <v>74.760000000000005</v>
      </c>
      <c r="H99" s="134">
        <v>36.479999999999997</v>
      </c>
      <c r="I99" s="134">
        <v>5.81</v>
      </c>
      <c r="J99" s="134">
        <v>0.23</v>
      </c>
      <c r="K99" s="134">
        <v>176.09</v>
      </c>
      <c r="L99" s="134">
        <v>21.11</v>
      </c>
      <c r="M99" s="134">
        <v>73.91</v>
      </c>
      <c r="N99" s="134">
        <v>0</v>
      </c>
      <c r="O99" s="134">
        <v>0</v>
      </c>
      <c r="P99" s="134">
        <v>0.84</v>
      </c>
      <c r="Q99" s="134">
        <v>4.26</v>
      </c>
    </row>
    <row r="100" spans="1:22" customFormat="1">
      <c r="A100" s="112" t="s">
        <v>1674</v>
      </c>
      <c r="B100" s="134">
        <v>5.34</v>
      </c>
      <c r="C100" s="134">
        <v>21.96</v>
      </c>
      <c r="D100" s="134">
        <v>17.11</v>
      </c>
      <c r="E100" s="134">
        <v>7.67</v>
      </c>
      <c r="F100" s="134">
        <v>4.33</v>
      </c>
      <c r="G100" s="134">
        <v>74.14</v>
      </c>
      <c r="H100" s="134">
        <v>36.479999999999997</v>
      </c>
      <c r="I100" s="134">
        <v>5.75</v>
      </c>
      <c r="J100" s="134">
        <v>0.18</v>
      </c>
      <c r="K100" s="134">
        <v>177.25</v>
      </c>
      <c r="L100" s="134">
        <v>20.98</v>
      </c>
      <c r="M100" s="134">
        <v>73.319999999999993</v>
      </c>
      <c r="N100" s="134">
        <v>0</v>
      </c>
      <c r="O100" s="134">
        <v>0</v>
      </c>
      <c r="P100" s="134">
        <v>0.82</v>
      </c>
      <c r="Q100" s="134">
        <v>4.2300000000000004</v>
      </c>
    </row>
    <row r="101" spans="1:22" customFormat="1">
      <c r="A101" s="112" t="s">
        <v>1675</v>
      </c>
      <c r="B101" s="134">
        <v>5.09</v>
      </c>
      <c r="C101" s="134">
        <v>21.95</v>
      </c>
      <c r="D101" s="134">
        <v>16.899999999999999</v>
      </c>
      <c r="E101" s="134">
        <v>7.9</v>
      </c>
      <c r="F101" s="134">
        <v>4.55</v>
      </c>
      <c r="G101" s="134">
        <v>74.14</v>
      </c>
      <c r="H101" s="134">
        <v>36.479999999999997</v>
      </c>
      <c r="I101" s="134">
        <v>5.71</v>
      </c>
      <c r="J101" s="134">
        <v>0.16</v>
      </c>
      <c r="K101" s="134">
        <v>199.01</v>
      </c>
      <c r="L101" s="134">
        <v>20.86</v>
      </c>
      <c r="M101" s="134">
        <v>73.819999999999993</v>
      </c>
      <c r="N101" s="134">
        <v>0</v>
      </c>
      <c r="O101" s="134">
        <v>0</v>
      </c>
      <c r="P101" s="134">
        <v>0.81</v>
      </c>
      <c r="Q101" s="134">
        <v>4.2300000000000004</v>
      </c>
    </row>
    <row r="102" spans="1:22" customFormat="1">
      <c r="A102" s="112" t="s">
        <v>1676</v>
      </c>
      <c r="B102" s="134">
        <v>4.84</v>
      </c>
      <c r="C102" s="134">
        <v>22.05</v>
      </c>
      <c r="D102" s="134">
        <v>16.75</v>
      </c>
      <c r="E102" s="134">
        <v>7.66</v>
      </c>
      <c r="F102" s="134">
        <v>4.42</v>
      </c>
      <c r="G102" s="134">
        <v>74.14</v>
      </c>
      <c r="H102" s="134">
        <v>36.479999999999997</v>
      </c>
      <c r="I102" s="134">
        <v>5.6</v>
      </c>
      <c r="J102" s="134">
        <v>0.15</v>
      </c>
      <c r="K102" s="134">
        <v>239.54</v>
      </c>
      <c r="L102" s="134">
        <v>20.27</v>
      </c>
      <c r="M102" s="134">
        <v>79.650000000000006</v>
      </c>
      <c r="N102" s="134">
        <v>0</v>
      </c>
      <c r="O102" s="134">
        <v>0</v>
      </c>
      <c r="P102" s="134">
        <v>0.79</v>
      </c>
      <c r="Q102" s="134">
        <v>4.21</v>
      </c>
    </row>
    <row r="103" spans="1:22" customFormat="1">
      <c r="A103" s="112" t="s">
        <v>1677</v>
      </c>
      <c r="B103" s="134">
        <v>4.9800000000000004</v>
      </c>
      <c r="C103" s="134">
        <v>21.67</v>
      </c>
      <c r="D103" s="134">
        <v>16.670000000000002</v>
      </c>
      <c r="E103" s="134">
        <v>7.43</v>
      </c>
      <c r="F103" s="134">
        <v>4.0199999999999996</v>
      </c>
      <c r="G103" s="134">
        <v>70.12</v>
      </c>
      <c r="H103" s="134">
        <v>37.81</v>
      </c>
      <c r="I103" s="134">
        <v>5.53</v>
      </c>
      <c r="J103" s="134">
        <v>0.13</v>
      </c>
      <c r="K103" s="134">
        <v>238.1</v>
      </c>
      <c r="L103" s="134">
        <v>19.809999999999999</v>
      </c>
      <c r="M103" s="134">
        <v>82.05</v>
      </c>
      <c r="N103" s="134">
        <v>0</v>
      </c>
      <c r="O103" s="134">
        <v>0</v>
      </c>
      <c r="P103" s="134">
        <v>0.78</v>
      </c>
      <c r="Q103" s="134">
        <v>4.22</v>
      </c>
    </row>
    <row r="104" spans="1:22" customFormat="1">
      <c r="A104" s="112" t="s">
        <v>1678</v>
      </c>
      <c r="B104" s="134">
        <v>4.9800000000000004</v>
      </c>
      <c r="C104" s="134">
        <v>21.67</v>
      </c>
      <c r="D104" s="134">
        <v>16.670000000000002</v>
      </c>
      <c r="E104" s="134">
        <v>7.43</v>
      </c>
      <c r="F104" s="134">
        <v>4.0199999999999996</v>
      </c>
      <c r="G104" s="134">
        <v>70.12</v>
      </c>
      <c r="H104" s="134">
        <v>37.81</v>
      </c>
      <c r="I104" s="134">
        <v>5.53</v>
      </c>
      <c r="J104" s="134">
        <v>0.13</v>
      </c>
      <c r="K104" s="134">
        <v>238.1</v>
      </c>
      <c r="L104" s="134">
        <v>19.809999999999999</v>
      </c>
      <c r="M104" s="134">
        <v>82.05</v>
      </c>
      <c r="N104" s="134">
        <v>0</v>
      </c>
      <c r="O104" s="134">
        <v>0</v>
      </c>
      <c r="P104" s="134">
        <v>0.78</v>
      </c>
      <c r="Q104" s="134">
        <v>4.22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4.4000000000000004</v>
      </c>
      <c r="C106" s="183">
        <f>MIN(C9:C104)</f>
        <v>18.440000000000001</v>
      </c>
      <c r="D106" s="183">
        <f t="shared" ref="D106:Q106" si="0">MIN(D9:D104)</f>
        <v>15.06</v>
      </c>
      <c r="E106" s="183">
        <f t="shared" si="0"/>
        <v>4.6399999999999997</v>
      </c>
      <c r="F106" s="183">
        <f t="shared" si="0"/>
        <v>2.56</v>
      </c>
      <c r="G106" s="183">
        <f t="shared" si="0"/>
        <v>64.81</v>
      </c>
      <c r="H106" s="183">
        <f t="shared" si="0"/>
        <v>35.82</v>
      </c>
      <c r="I106" s="183">
        <f t="shared" si="0"/>
        <v>4.8</v>
      </c>
      <c r="J106" s="183">
        <f t="shared" si="0"/>
        <v>0.05</v>
      </c>
      <c r="K106" s="183">
        <f t="shared" si="0"/>
        <v>20.99</v>
      </c>
      <c r="L106" s="183">
        <f t="shared" si="0"/>
        <v>18.64</v>
      </c>
      <c r="M106" s="183">
        <f t="shared" si="0"/>
        <v>40.19</v>
      </c>
      <c r="N106" s="183">
        <f t="shared" si="0"/>
        <v>0</v>
      </c>
      <c r="O106" s="183">
        <f t="shared" si="0"/>
        <v>0</v>
      </c>
      <c r="P106" s="183">
        <f t="shared" si="0"/>
        <v>0.72</v>
      </c>
      <c r="Q106" s="183">
        <f t="shared" si="0"/>
        <v>4.1399999999999997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20.59</v>
      </c>
      <c r="C107" s="184">
        <f t="shared" ref="C107:Q107" si="1">MAX(C9:C104)</f>
        <v>28.13</v>
      </c>
      <c r="D107" s="184">
        <f t="shared" si="1"/>
        <v>32.56</v>
      </c>
      <c r="E107" s="184">
        <f t="shared" si="1"/>
        <v>8.0299999999999994</v>
      </c>
      <c r="F107" s="184">
        <f t="shared" si="1"/>
        <v>8.3699999999999992</v>
      </c>
      <c r="G107" s="184">
        <f t="shared" si="1"/>
        <v>118.8</v>
      </c>
      <c r="H107" s="184">
        <f t="shared" si="1"/>
        <v>60.86</v>
      </c>
      <c r="I107" s="184">
        <f t="shared" si="1"/>
        <v>7.6</v>
      </c>
      <c r="J107" s="184">
        <f t="shared" si="1"/>
        <v>0.88</v>
      </c>
      <c r="K107" s="184">
        <f t="shared" si="1"/>
        <v>336.87</v>
      </c>
      <c r="L107" s="184">
        <f t="shared" si="1"/>
        <v>29.21</v>
      </c>
      <c r="M107" s="184">
        <f t="shared" si="1"/>
        <v>99.28</v>
      </c>
      <c r="N107" s="184">
        <f t="shared" si="1"/>
        <v>474.8</v>
      </c>
      <c r="O107" s="184">
        <f t="shared" si="1"/>
        <v>0</v>
      </c>
      <c r="P107" s="184">
        <f t="shared" si="1"/>
        <v>1.06</v>
      </c>
      <c r="Q107" s="184">
        <f t="shared" si="1"/>
        <v>4.8899999999999997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7.514895833333334</v>
      </c>
      <c r="C108" s="183">
        <f t="shared" ref="C108:Q108" si="2">AVERAGE(C9:C104)</f>
        <v>22.257395833333334</v>
      </c>
      <c r="D108" s="183">
        <f t="shared" si="2"/>
        <v>19.006041666666665</v>
      </c>
      <c r="E108" s="183">
        <f t="shared" si="2"/>
        <v>6.431874999999998</v>
      </c>
      <c r="F108" s="183">
        <f t="shared" si="2"/>
        <v>4.0795833333333347</v>
      </c>
      <c r="G108" s="183">
        <f t="shared" si="2"/>
        <v>79.656041666666653</v>
      </c>
      <c r="H108" s="183">
        <f t="shared" si="2"/>
        <v>42.541041666666686</v>
      </c>
      <c r="I108" s="183">
        <f t="shared" si="2"/>
        <v>5.980624999999999</v>
      </c>
      <c r="J108" s="183">
        <f t="shared" si="2"/>
        <v>0.31124999999999997</v>
      </c>
      <c r="K108" s="183">
        <f t="shared" si="2"/>
        <v>111.34083333333342</v>
      </c>
      <c r="L108" s="183">
        <f t="shared" si="2"/>
        <v>22.961145833333344</v>
      </c>
      <c r="M108" s="183">
        <f t="shared" si="2"/>
        <v>71.78572916666667</v>
      </c>
      <c r="N108" s="183">
        <f t="shared" si="2"/>
        <v>99.580208333333346</v>
      </c>
      <c r="O108" s="183">
        <f t="shared" si="2"/>
        <v>0</v>
      </c>
      <c r="P108" s="183">
        <f t="shared" si="2"/>
        <v>0.84999999999999953</v>
      </c>
      <c r="Q108" s="183">
        <f t="shared" si="2"/>
        <v>4.3218749999999995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3.6039504625346184</v>
      </c>
      <c r="C109" s="183">
        <f t="shared" ref="C109:Q109" si="3">STDEV(C9:C104)</f>
        <v>1.7139613978283905</v>
      </c>
      <c r="D109" s="183">
        <f t="shared" si="3"/>
        <v>3.6127226878489203</v>
      </c>
      <c r="E109" s="183">
        <f t="shared" si="3"/>
        <v>0.88346007862627818</v>
      </c>
      <c r="F109" s="183">
        <f t="shared" si="3"/>
        <v>1.6438042633295298</v>
      </c>
      <c r="G109" s="183">
        <f t="shared" si="3"/>
        <v>11.322776159411671</v>
      </c>
      <c r="H109" s="183">
        <f t="shared" si="3"/>
        <v>5.8505655109778161</v>
      </c>
      <c r="I109" s="183">
        <f t="shared" si="3"/>
        <v>0.7206806906631843</v>
      </c>
      <c r="J109" s="183">
        <f t="shared" si="3"/>
        <v>0.22943064540865424</v>
      </c>
      <c r="K109" s="183">
        <f t="shared" si="3"/>
        <v>70.984113681074433</v>
      </c>
      <c r="L109" s="183">
        <f t="shared" si="3"/>
        <v>3.5330195434356013</v>
      </c>
      <c r="M109" s="183">
        <f t="shared" si="3"/>
        <v>18.793953212601551</v>
      </c>
      <c r="N109" s="183">
        <f t="shared" si="3"/>
        <v>152.00374345791386</v>
      </c>
      <c r="O109" s="183">
        <f t="shared" si="3"/>
        <v>0</v>
      </c>
      <c r="P109" s="183">
        <f t="shared" si="3"/>
        <v>7.1141075558216485E-2</v>
      </c>
      <c r="Q109" s="183">
        <f t="shared" si="3"/>
        <v>0.16655210975296766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16/11/2023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1679</v>
      </c>
      <c r="B9" s="134">
        <v>4.29</v>
      </c>
      <c r="C9" s="134">
        <v>21</v>
      </c>
      <c r="D9" s="134">
        <v>15.77</v>
      </c>
      <c r="E9" s="134">
        <v>7.64</v>
      </c>
      <c r="F9" s="134">
        <v>4.03</v>
      </c>
      <c r="G9" s="134">
        <v>69.55</v>
      </c>
      <c r="H9" s="134">
        <v>37.81</v>
      </c>
      <c r="I9" s="134">
        <v>5.4</v>
      </c>
      <c r="J9" s="134">
        <v>0.11</v>
      </c>
      <c r="K9" s="134">
        <v>224.33</v>
      </c>
      <c r="L9" s="134">
        <v>19.34</v>
      </c>
      <c r="M9" s="134">
        <v>84.72</v>
      </c>
      <c r="N9" s="134">
        <v>0</v>
      </c>
      <c r="O9" s="134">
        <v>0</v>
      </c>
      <c r="P9" s="134">
        <v>0.76</v>
      </c>
      <c r="Q9" s="134">
        <v>4.2</v>
      </c>
    </row>
    <row r="10" spans="1:21" customFormat="1">
      <c r="A10" s="112" t="s">
        <v>1680</v>
      </c>
      <c r="B10" s="134">
        <v>3.48</v>
      </c>
      <c r="C10" s="134">
        <v>20.5</v>
      </c>
      <c r="D10" s="134">
        <v>14.85</v>
      </c>
      <c r="E10" s="134">
        <v>7.87</v>
      </c>
      <c r="F10" s="134">
        <v>4.01</v>
      </c>
      <c r="G10" s="134">
        <v>69.55</v>
      </c>
      <c r="H10" s="134">
        <v>37.81</v>
      </c>
      <c r="I10" s="134">
        <v>5.31</v>
      </c>
      <c r="J10" s="134">
        <v>0.1</v>
      </c>
      <c r="K10" s="134">
        <v>187.18</v>
      </c>
      <c r="L10" s="134">
        <v>19.149999999999999</v>
      </c>
      <c r="M10" s="134">
        <v>87.11</v>
      </c>
      <c r="N10" s="134">
        <v>0</v>
      </c>
      <c r="O10" s="134">
        <v>0</v>
      </c>
      <c r="P10" s="134">
        <v>0.75</v>
      </c>
      <c r="Q10" s="134">
        <v>4.2</v>
      </c>
    </row>
    <row r="11" spans="1:21" customFormat="1">
      <c r="A11" s="112" t="s">
        <v>1681</v>
      </c>
      <c r="B11" s="134">
        <v>3.55</v>
      </c>
      <c r="C11" s="134">
        <v>20.18</v>
      </c>
      <c r="D11" s="134">
        <v>14.74</v>
      </c>
      <c r="E11" s="134">
        <v>8.08</v>
      </c>
      <c r="F11" s="134">
        <v>3.81</v>
      </c>
      <c r="G11" s="134">
        <v>65.599999999999994</v>
      </c>
      <c r="H11" s="134">
        <v>35.32</v>
      </c>
      <c r="I11" s="134">
        <v>5.25</v>
      </c>
      <c r="J11" s="134">
        <v>0.08</v>
      </c>
      <c r="K11" s="134">
        <v>203.46</v>
      </c>
      <c r="L11" s="134">
        <v>19.059999999999999</v>
      </c>
      <c r="M11" s="134">
        <v>90.38</v>
      </c>
      <c r="N11" s="134">
        <v>0</v>
      </c>
      <c r="O11" s="134">
        <v>0</v>
      </c>
      <c r="P11" s="134">
        <v>0.75</v>
      </c>
      <c r="Q11" s="134">
        <v>4.2</v>
      </c>
    </row>
    <row r="12" spans="1:21" customFormat="1">
      <c r="A12" s="112" t="s">
        <v>1682</v>
      </c>
      <c r="B12" s="134">
        <v>3.6</v>
      </c>
      <c r="C12" s="134">
        <v>20.3</v>
      </c>
      <c r="D12" s="134">
        <v>14.85</v>
      </c>
      <c r="E12" s="134">
        <v>7.82</v>
      </c>
      <c r="F12" s="134">
        <v>3.71</v>
      </c>
      <c r="G12" s="134">
        <v>65.099999999999994</v>
      </c>
      <c r="H12" s="134">
        <v>35.32</v>
      </c>
      <c r="I12" s="134">
        <v>5.17</v>
      </c>
      <c r="J12" s="134">
        <v>0.09</v>
      </c>
      <c r="K12" s="134">
        <v>215.05</v>
      </c>
      <c r="L12" s="134">
        <v>18.86</v>
      </c>
      <c r="M12" s="134">
        <v>93.06</v>
      </c>
      <c r="N12" s="134">
        <v>0</v>
      </c>
      <c r="O12" s="134">
        <v>0</v>
      </c>
      <c r="P12" s="134">
        <v>0.73</v>
      </c>
      <c r="Q12" s="134">
        <v>4.2</v>
      </c>
    </row>
    <row r="13" spans="1:21" customFormat="1">
      <c r="A13" s="112" t="s">
        <v>1683</v>
      </c>
      <c r="B13" s="134">
        <v>4.3</v>
      </c>
      <c r="C13" s="134">
        <v>21</v>
      </c>
      <c r="D13" s="134">
        <v>15.77</v>
      </c>
      <c r="E13" s="134">
        <v>7.5</v>
      </c>
      <c r="F13" s="134">
        <v>2.93</v>
      </c>
      <c r="G13" s="134">
        <v>65.099999999999994</v>
      </c>
      <c r="H13" s="134">
        <v>35.32</v>
      </c>
      <c r="I13" s="134">
        <v>5.0999999999999996</v>
      </c>
      <c r="J13" s="134">
        <v>0.09</v>
      </c>
      <c r="K13" s="134">
        <v>193.75</v>
      </c>
      <c r="L13" s="134">
        <v>18.68</v>
      </c>
      <c r="M13" s="134">
        <v>92.79</v>
      </c>
      <c r="N13" s="134">
        <v>0</v>
      </c>
      <c r="O13" s="134">
        <v>0</v>
      </c>
      <c r="P13" s="134">
        <v>0.73</v>
      </c>
      <c r="Q13" s="134">
        <v>4.24</v>
      </c>
    </row>
    <row r="14" spans="1:21" customFormat="1">
      <c r="A14" s="112" t="s">
        <v>1684</v>
      </c>
      <c r="B14" s="134">
        <v>4.68</v>
      </c>
      <c r="C14" s="134">
        <v>22.05</v>
      </c>
      <c r="D14" s="134">
        <v>16.63</v>
      </c>
      <c r="E14" s="134">
        <v>7.49</v>
      </c>
      <c r="F14" s="134">
        <v>2.87</v>
      </c>
      <c r="G14" s="134">
        <v>65.099999999999994</v>
      </c>
      <c r="H14" s="134">
        <v>35.32</v>
      </c>
      <c r="I14" s="134">
        <v>5.07</v>
      </c>
      <c r="J14" s="134">
        <v>7.0000000000000007E-2</v>
      </c>
      <c r="K14" s="134">
        <v>167.14</v>
      </c>
      <c r="L14" s="134">
        <v>18.62</v>
      </c>
      <c r="M14" s="134">
        <v>93.63</v>
      </c>
      <c r="N14" s="134">
        <v>0</v>
      </c>
      <c r="O14" s="134">
        <v>0</v>
      </c>
      <c r="P14" s="134">
        <v>0.72</v>
      </c>
      <c r="Q14" s="134">
        <v>4.26</v>
      </c>
    </row>
    <row r="15" spans="1:21" customFormat="1">
      <c r="A15" s="112" t="s">
        <v>1685</v>
      </c>
      <c r="B15" s="134">
        <v>5.34</v>
      </c>
      <c r="C15" s="134">
        <v>22.88</v>
      </c>
      <c r="D15" s="134">
        <v>17.59</v>
      </c>
      <c r="E15" s="134">
        <v>7.7</v>
      </c>
      <c r="F15" s="134">
        <v>2.7</v>
      </c>
      <c r="G15" s="134">
        <v>63.4</v>
      </c>
      <c r="H15" s="134">
        <v>31.85</v>
      </c>
      <c r="I15" s="134">
        <v>5.09</v>
      </c>
      <c r="J15" s="134">
        <v>0.08</v>
      </c>
      <c r="K15" s="134">
        <v>158.32</v>
      </c>
      <c r="L15" s="134">
        <v>18.489999999999998</v>
      </c>
      <c r="M15" s="134">
        <v>93.06</v>
      </c>
      <c r="N15" s="134">
        <v>0</v>
      </c>
      <c r="O15" s="134">
        <v>0</v>
      </c>
      <c r="P15" s="134">
        <v>0.73</v>
      </c>
      <c r="Q15" s="134">
        <v>4.3099999999999996</v>
      </c>
    </row>
    <row r="16" spans="1:21" customFormat="1">
      <c r="A16" s="112" t="s">
        <v>1686</v>
      </c>
      <c r="B16" s="134">
        <v>6.95</v>
      </c>
      <c r="C16" s="134">
        <v>23.96</v>
      </c>
      <c r="D16" s="134">
        <v>19.440000000000001</v>
      </c>
      <c r="E16" s="134">
        <v>7.84</v>
      </c>
      <c r="F16" s="134">
        <v>2.69</v>
      </c>
      <c r="G16" s="134">
        <v>63.17</v>
      </c>
      <c r="H16" s="134">
        <v>31.85</v>
      </c>
      <c r="I16" s="134">
        <v>5.0199999999999996</v>
      </c>
      <c r="J16" s="134">
        <v>0.13</v>
      </c>
      <c r="K16" s="134">
        <v>162.11000000000001</v>
      </c>
      <c r="L16" s="134">
        <v>18.41</v>
      </c>
      <c r="M16" s="134">
        <v>93.71</v>
      </c>
      <c r="N16" s="134">
        <v>0</v>
      </c>
      <c r="O16" s="134">
        <v>0</v>
      </c>
      <c r="P16" s="134">
        <v>0.74</v>
      </c>
      <c r="Q16" s="134">
        <v>4.3899999999999997</v>
      </c>
    </row>
    <row r="17" spans="1:17" customFormat="1">
      <c r="A17" s="112" t="s">
        <v>1687</v>
      </c>
      <c r="B17" s="134">
        <v>8.09</v>
      </c>
      <c r="C17" s="134">
        <v>24.48</v>
      </c>
      <c r="D17" s="134">
        <v>20.63</v>
      </c>
      <c r="E17" s="134">
        <v>5.21</v>
      </c>
      <c r="F17" s="134">
        <v>2.71</v>
      </c>
      <c r="G17" s="134">
        <v>63.17</v>
      </c>
      <c r="H17" s="134">
        <v>31.85</v>
      </c>
      <c r="I17" s="134">
        <v>5.04</v>
      </c>
      <c r="J17" s="134">
        <v>7.0000000000000007E-2</v>
      </c>
      <c r="K17" s="134">
        <v>355.91</v>
      </c>
      <c r="L17" s="134">
        <v>18.28</v>
      </c>
      <c r="M17" s="134">
        <v>94.38</v>
      </c>
      <c r="N17" s="134">
        <v>0</v>
      </c>
      <c r="O17" s="134">
        <v>0</v>
      </c>
      <c r="P17" s="134">
        <v>0.75</v>
      </c>
      <c r="Q17" s="134">
        <v>4.43</v>
      </c>
    </row>
    <row r="18" spans="1:17" customFormat="1">
      <c r="A18" s="112" t="s">
        <v>1688</v>
      </c>
      <c r="B18" s="134">
        <v>8.31</v>
      </c>
      <c r="C18" s="134">
        <v>25.24</v>
      </c>
      <c r="D18" s="134">
        <v>21.2</v>
      </c>
      <c r="E18" s="134">
        <v>4.97</v>
      </c>
      <c r="F18" s="134">
        <v>2.71</v>
      </c>
      <c r="G18" s="134">
        <v>63.17</v>
      </c>
      <c r="H18" s="134">
        <v>31.85</v>
      </c>
      <c r="I18" s="134">
        <v>5.08</v>
      </c>
      <c r="J18" s="134">
        <v>0.4</v>
      </c>
      <c r="K18" s="134">
        <v>21.98</v>
      </c>
      <c r="L18" s="134">
        <v>18.18</v>
      </c>
      <c r="M18" s="134">
        <v>91.81</v>
      </c>
      <c r="N18" s="134">
        <v>0</v>
      </c>
      <c r="O18" s="134">
        <v>0</v>
      </c>
      <c r="P18" s="134">
        <v>0.74</v>
      </c>
      <c r="Q18" s="134">
        <v>4.45</v>
      </c>
    </row>
    <row r="19" spans="1:17" customFormat="1">
      <c r="A19" s="112" t="s">
        <v>1689</v>
      </c>
      <c r="B19" s="134">
        <v>8.32</v>
      </c>
      <c r="C19" s="134">
        <v>24.08</v>
      </c>
      <c r="D19" s="134">
        <v>20.6</v>
      </c>
      <c r="E19" s="134">
        <v>4.93</v>
      </c>
      <c r="F19" s="134">
        <v>2.94</v>
      </c>
      <c r="G19" s="134">
        <v>60.77</v>
      </c>
      <c r="H19" s="134">
        <v>33.93</v>
      </c>
      <c r="I19" s="134">
        <v>5.0999999999999996</v>
      </c>
      <c r="J19" s="134">
        <v>0.46</v>
      </c>
      <c r="K19" s="134">
        <v>34.380000000000003</v>
      </c>
      <c r="L19" s="134">
        <v>18.260000000000002</v>
      </c>
      <c r="M19" s="134">
        <v>88.22</v>
      </c>
      <c r="N19" s="134">
        <v>0</v>
      </c>
      <c r="O19" s="134">
        <v>0</v>
      </c>
      <c r="P19" s="134">
        <v>0.73</v>
      </c>
      <c r="Q19" s="134">
        <v>4.4400000000000004</v>
      </c>
    </row>
    <row r="20" spans="1:17" customFormat="1">
      <c r="A20" s="112" t="s">
        <v>1690</v>
      </c>
      <c r="B20" s="134">
        <v>8.24</v>
      </c>
      <c r="C20" s="134">
        <v>22.97</v>
      </c>
      <c r="D20" s="134">
        <v>19.96</v>
      </c>
      <c r="E20" s="134">
        <v>4.59</v>
      </c>
      <c r="F20" s="134">
        <v>2.99</v>
      </c>
      <c r="G20" s="134">
        <v>60.44</v>
      </c>
      <c r="H20" s="134">
        <v>33.93</v>
      </c>
      <c r="I20" s="134">
        <v>5.14</v>
      </c>
      <c r="J20" s="134">
        <v>0.31</v>
      </c>
      <c r="K20" s="134">
        <v>30.64</v>
      </c>
      <c r="L20" s="134">
        <v>18.3</v>
      </c>
      <c r="M20" s="134">
        <v>85.62</v>
      </c>
      <c r="N20" s="134">
        <v>0</v>
      </c>
      <c r="O20" s="134">
        <v>0</v>
      </c>
      <c r="P20" s="134">
        <v>0.71</v>
      </c>
      <c r="Q20" s="134">
        <v>4.43</v>
      </c>
    </row>
    <row r="21" spans="1:17" customFormat="1">
      <c r="A21" s="112" t="s">
        <v>1691</v>
      </c>
      <c r="B21" s="134">
        <v>8.1199999999999992</v>
      </c>
      <c r="C21" s="134">
        <v>22.53</v>
      </c>
      <c r="D21" s="134">
        <v>19.63</v>
      </c>
      <c r="E21" s="134">
        <v>4.8</v>
      </c>
      <c r="F21" s="134">
        <v>3.05</v>
      </c>
      <c r="G21" s="134">
        <v>60.44</v>
      </c>
      <c r="H21" s="134">
        <v>33.93</v>
      </c>
      <c r="I21" s="134">
        <v>5.17</v>
      </c>
      <c r="J21" s="134">
        <v>0.37</v>
      </c>
      <c r="K21" s="134">
        <v>34.950000000000003</v>
      </c>
      <c r="L21" s="134">
        <v>18.260000000000002</v>
      </c>
      <c r="M21" s="134">
        <v>84.54</v>
      </c>
      <c r="N21" s="134">
        <v>0</v>
      </c>
      <c r="O21" s="134">
        <v>0</v>
      </c>
      <c r="P21" s="134">
        <v>0.69</v>
      </c>
      <c r="Q21" s="134">
        <v>4.41</v>
      </c>
    </row>
    <row r="22" spans="1:17" customFormat="1">
      <c r="A22" s="112" t="s">
        <v>1692</v>
      </c>
      <c r="B22" s="134">
        <v>8.0399999999999991</v>
      </c>
      <c r="C22" s="134">
        <v>22.66</v>
      </c>
      <c r="D22" s="134">
        <v>19.64</v>
      </c>
      <c r="E22" s="134">
        <v>4.4400000000000004</v>
      </c>
      <c r="F22" s="134">
        <v>2.87</v>
      </c>
      <c r="G22" s="134">
        <v>60.44</v>
      </c>
      <c r="H22" s="134">
        <v>33.93</v>
      </c>
      <c r="I22" s="134">
        <v>5.15</v>
      </c>
      <c r="J22" s="134">
        <v>0.22</v>
      </c>
      <c r="K22" s="134">
        <v>43.53</v>
      </c>
      <c r="L22" s="134">
        <v>18.25</v>
      </c>
      <c r="M22" s="134">
        <v>83.7</v>
      </c>
      <c r="N22" s="134">
        <v>0</v>
      </c>
      <c r="O22" s="134">
        <v>0</v>
      </c>
      <c r="P22" s="134">
        <v>0.7</v>
      </c>
      <c r="Q22" s="134">
        <v>4.41</v>
      </c>
    </row>
    <row r="23" spans="1:17" customFormat="1">
      <c r="A23" s="112" t="s">
        <v>1693</v>
      </c>
      <c r="B23" s="134">
        <v>7.88</v>
      </c>
      <c r="C23" s="134">
        <v>22.27</v>
      </c>
      <c r="D23" s="134">
        <v>19.309999999999999</v>
      </c>
      <c r="E23" s="134">
        <v>4.33</v>
      </c>
      <c r="F23" s="134">
        <v>2.79</v>
      </c>
      <c r="G23" s="134">
        <v>63.24</v>
      </c>
      <c r="H23" s="134">
        <v>34.83</v>
      </c>
      <c r="I23" s="134">
        <v>5.16</v>
      </c>
      <c r="J23" s="134">
        <v>0.2</v>
      </c>
      <c r="K23" s="134">
        <v>29.43</v>
      </c>
      <c r="L23" s="134">
        <v>18.14</v>
      </c>
      <c r="M23" s="134">
        <v>84.29</v>
      </c>
      <c r="N23" s="134">
        <v>0</v>
      </c>
      <c r="O23" s="134">
        <v>0</v>
      </c>
      <c r="P23" s="134">
        <v>0.69</v>
      </c>
      <c r="Q23" s="134">
        <v>4.4000000000000004</v>
      </c>
    </row>
    <row r="24" spans="1:17" customFormat="1">
      <c r="A24" s="112" t="s">
        <v>1694</v>
      </c>
      <c r="B24" s="134">
        <v>7.77</v>
      </c>
      <c r="C24" s="134">
        <v>22.68</v>
      </c>
      <c r="D24" s="134">
        <v>19.43</v>
      </c>
      <c r="E24" s="134">
        <v>4.66</v>
      </c>
      <c r="F24" s="134">
        <v>2.68</v>
      </c>
      <c r="G24" s="134">
        <v>63.59</v>
      </c>
      <c r="H24" s="134">
        <v>34.83</v>
      </c>
      <c r="I24" s="134">
        <v>5.21</v>
      </c>
      <c r="J24" s="134">
        <v>0.26</v>
      </c>
      <c r="K24" s="134">
        <v>44.86</v>
      </c>
      <c r="L24" s="134">
        <v>17.97</v>
      </c>
      <c r="M24" s="134">
        <v>85.61</v>
      </c>
      <c r="N24" s="134">
        <v>0</v>
      </c>
      <c r="O24" s="134">
        <v>0</v>
      </c>
      <c r="P24" s="134">
        <v>0.7</v>
      </c>
      <c r="Q24" s="134">
        <v>4.3899999999999997</v>
      </c>
    </row>
    <row r="25" spans="1:17" customFormat="1">
      <c r="A25" s="112" t="s">
        <v>1695</v>
      </c>
      <c r="B25" s="134">
        <v>7.7</v>
      </c>
      <c r="C25" s="134">
        <v>22.62</v>
      </c>
      <c r="D25" s="134">
        <v>19.350000000000001</v>
      </c>
      <c r="E25" s="134">
        <v>4.24</v>
      </c>
      <c r="F25" s="134">
        <v>2.64</v>
      </c>
      <c r="G25" s="134">
        <v>63.59</v>
      </c>
      <c r="H25" s="134">
        <v>34.83</v>
      </c>
      <c r="I25" s="134">
        <v>5.27</v>
      </c>
      <c r="J25" s="134">
        <v>0.33</v>
      </c>
      <c r="K25" s="134">
        <v>27.53</v>
      </c>
      <c r="L25" s="134">
        <v>17.940000000000001</v>
      </c>
      <c r="M25" s="134">
        <v>85.61</v>
      </c>
      <c r="N25" s="134">
        <v>0</v>
      </c>
      <c r="O25" s="134">
        <v>0</v>
      </c>
      <c r="P25" s="134">
        <v>0.71</v>
      </c>
      <c r="Q25" s="134">
        <v>4.38</v>
      </c>
    </row>
    <row r="26" spans="1:17" customFormat="1">
      <c r="A26" s="112" t="s">
        <v>1696</v>
      </c>
      <c r="B26" s="134">
        <v>7.74</v>
      </c>
      <c r="C26" s="134">
        <v>22.33</v>
      </c>
      <c r="D26" s="134">
        <v>19.22</v>
      </c>
      <c r="E26" s="134">
        <v>4.04</v>
      </c>
      <c r="F26" s="134">
        <v>2.84</v>
      </c>
      <c r="G26" s="134">
        <v>63.59</v>
      </c>
      <c r="H26" s="134">
        <v>34.83</v>
      </c>
      <c r="I26" s="134">
        <v>5.36</v>
      </c>
      <c r="J26" s="134">
        <v>0.35</v>
      </c>
      <c r="K26" s="134">
        <v>32.67</v>
      </c>
      <c r="L26" s="134">
        <v>17.78</v>
      </c>
      <c r="M26" s="134">
        <v>86.09</v>
      </c>
      <c r="N26" s="134">
        <v>0</v>
      </c>
      <c r="O26" s="134">
        <v>0</v>
      </c>
      <c r="P26" s="134">
        <v>0.7</v>
      </c>
      <c r="Q26" s="134">
        <v>4.4000000000000004</v>
      </c>
    </row>
    <row r="27" spans="1:17" customFormat="1">
      <c r="A27" s="112" t="s">
        <v>1697</v>
      </c>
      <c r="B27" s="134">
        <v>7.97</v>
      </c>
      <c r="C27" s="134">
        <v>21.96</v>
      </c>
      <c r="D27" s="134">
        <v>19.22</v>
      </c>
      <c r="E27" s="134">
        <v>3.95</v>
      </c>
      <c r="F27" s="134">
        <v>2.83</v>
      </c>
      <c r="G27" s="134">
        <v>61.9</v>
      </c>
      <c r="H27" s="134">
        <v>32.630000000000003</v>
      </c>
      <c r="I27" s="134">
        <v>5.4</v>
      </c>
      <c r="J27" s="134">
        <v>0.36</v>
      </c>
      <c r="K27" s="134">
        <v>34.03</v>
      </c>
      <c r="L27" s="134">
        <v>17.690000000000001</v>
      </c>
      <c r="M27" s="134">
        <v>86.86</v>
      </c>
      <c r="N27" s="134">
        <v>0</v>
      </c>
      <c r="O27" s="134">
        <v>0</v>
      </c>
      <c r="P27" s="134">
        <v>0.7</v>
      </c>
      <c r="Q27" s="134">
        <v>4.38</v>
      </c>
    </row>
    <row r="28" spans="1:17" customFormat="1">
      <c r="A28" s="112" t="s">
        <v>1698</v>
      </c>
      <c r="B28" s="134">
        <v>8.06</v>
      </c>
      <c r="C28" s="134">
        <v>22.36</v>
      </c>
      <c r="D28" s="134">
        <v>19.489999999999998</v>
      </c>
      <c r="E28" s="134">
        <v>4.24</v>
      </c>
      <c r="F28" s="134">
        <v>2.64</v>
      </c>
      <c r="G28" s="134">
        <v>61.67</v>
      </c>
      <c r="H28" s="134">
        <v>32.630000000000003</v>
      </c>
      <c r="I28" s="134">
        <v>5.4</v>
      </c>
      <c r="J28" s="134">
        <v>0.5</v>
      </c>
      <c r="K28" s="134">
        <v>40.5</v>
      </c>
      <c r="L28" s="134">
        <v>17.55</v>
      </c>
      <c r="M28" s="134">
        <v>87.54</v>
      </c>
      <c r="N28" s="134">
        <v>0</v>
      </c>
      <c r="O28" s="134">
        <v>0</v>
      </c>
      <c r="P28" s="134">
        <v>0.7</v>
      </c>
      <c r="Q28" s="134">
        <v>4.37</v>
      </c>
    </row>
    <row r="29" spans="1:17" customFormat="1">
      <c r="A29" s="112" t="s">
        <v>1699</v>
      </c>
      <c r="B29" s="134">
        <v>8.2899999999999991</v>
      </c>
      <c r="C29" s="134">
        <v>22.49</v>
      </c>
      <c r="D29" s="134">
        <v>19.75</v>
      </c>
      <c r="E29" s="134">
        <v>4.78</v>
      </c>
      <c r="F29" s="134">
        <v>2.64</v>
      </c>
      <c r="G29" s="134">
        <v>61.67</v>
      </c>
      <c r="H29" s="134">
        <v>32.630000000000003</v>
      </c>
      <c r="I29" s="134">
        <v>5.4</v>
      </c>
      <c r="J29" s="134">
        <v>0.38</v>
      </c>
      <c r="K29" s="134">
        <v>41.86</v>
      </c>
      <c r="L29" s="134">
        <v>17.39</v>
      </c>
      <c r="M29" s="134">
        <v>88.41</v>
      </c>
      <c r="N29" s="134">
        <v>0</v>
      </c>
      <c r="O29" s="134">
        <v>0</v>
      </c>
      <c r="P29" s="134">
        <v>0.7</v>
      </c>
      <c r="Q29" s="134">
        <v>4.42</v>
      </c>
    </row>
    <row r="30" spans="1:17" customFormat="1">
      <c r="A30" s="112" t="s">
        <v>1700</v>
      </c>
      <c r="B30" s="134">
        <v>8.4499999999999993</v>
      </c>
      <c r="C30" s="134">
        <v>21.92</v>
      </c>
      <c r="D30" s="134">
        <v>19.579999999999998</v>
      </c>
      <c r="E30" s="134">
        <v>4.43</v>
      </c>
      <c r="F30" s="134">
        <v>2.71</v>
      </c>
      <c r="G30" s="134">
        <v>61.67</v>
      </c>
      <c r="H30" s="134">
        <v>32.630000000000003</v>
      </c>
      <c r="I30" s="134">
        <v>5.43</v>
      </c>
      <c r="J30" s="134">
        <v>0.32</v>
      </c>
      <c r="K30" s="134">
        <v>46.63</v>
      </c>
      <c r="L30" s="134">
        <v>17.170000000000002</v>
      </c>
      <c r="M30" s="134">
        <v>89.71</v>
      </c>
      <c r="N30" s="134">
        <v>0</v>
      </c>
      <c r="O30" s="134">
        <v>0</v>
      </c>
      <c r="P30" s="134">
        <v>0.7</v>
      </c>
      <c r="Q30" s="134">
        <v>4.42</v>
      </c>
    </row>
    <row r="31" spans="1:17" customFormat="1">
      <c r="A31" s="112" t="s">
        <v>1701</v>
      </c>
      <c r="B31" s="134">
        <v>8.5500000000000007</v>
      </c>
      <c r="C31" s="134">
        <v>22.33</v>
      </c>
      <c r="D31" s="134">
        <v>19.87</v>
      </c>
      <c r="E31" s="134">
        <v>4.5599999999999996</v>
      </c>
      <c r="F31" s="134">
        <v>2.48</v>
      </c>
      <c r="G31" s="134">
        <v>63.36</v>
      </c>
      <c r="H31" s="134">
        <v>33.15</v>
      </c>
      <c r="I31" s="134">
        <v>5.51</v>
      </c>
      <c r="J31" s="134">
        <v>0.31</v>
      </c>
      <c r="K31" s="134">
        <v>41.9</v>
      </c>
      <c r="L31" s="134">
        <v>17.149999999999999</v>
      </c>
      <c r="M31" s="134">
        <v>89.74</v>
      </c>
      <c r="N31" s="134">
        <v>0</v>
      </c>
      <c r="O31" s="134">
        <v>0</v>
      </c>
      <c r="P31" s="134">
        <v>0.71</v>
      </c>
      <c r="Q31" s="134">
        <v>4.43</v>
      </c>
    </row>
    <row r="32" spans="1:17" customFormat="1">
      <c r="A32" s="112" t="s">
        <v>1702</v>
      </c>
      <c r="B32" s="134">
        <v>8.67</v>
      </c>
      <c r="C32" s="134">
        <v>22.64</v>
      </c>
      <c r="D32" s="134">
        <v>20.13</v>
      </c>
      <c r="E32" s="134">
        <v>4.93</v>
      </c>
      <c r="F32" s="134">
        <v>2.56</v>
      </c>
      <c r="G32" s="134">
        <v>63.59</v>
      </c>
      <c r="H32" s="134">
        <v>33.15</v>
      </c>
      <c r="I32" s="134">
        <v>5.51</v>
      </c>
      <c r="J32" s="134">
        <v>0.4</v>
      </c>
      <c r="K32" s="134">
        <v>35.18</v>
      </c>
      <c r="L32" s="134">
        <v>17.11</v>
      </c>
      <c r="M32" s="134">
        <v>89.89</v>
      </c>
      <c r="N32" s="134">
        <v>0</v>
      </c>
      <c r="O32" s="134">
        <v>0</v>
      </c>
      <c r="P32" s="134">
        <v>0.71</v>
      </c>
      <c r="Q32" s="134">
        <v>4.43</v>
      </c>
    </row>
    <row r="33" spans="1:17" customFormat="1">
      <c r="A33" s="112" t="s">
        <v>1703</v>
      </c>
      <c r="B33" s="134">
        <v>9.0299999999999994</v>
      </c>
      <c r="C33" s="134">
        <v>22.46</v>
      </c>
      <c r="D33" s="134">
        <v>20.329999999999998</v>
      </c>
      <c r="E33" s="134">
        <v>4.24</v>
      </c>
      <c r="F33" s="134">
        <v>2.56</v>
      </c>
      <c r="G33" s="134">
        <v>63.59</v>
      </c>
      <c r="H33" s="134">
        <v>33.15</v>
      </c>
      <c r="I33" s="134">
        <v>5.52</v>
      </c>
      <c r="J33" s="134">
        <v>0.33</v>
      </c>
      <c r="K33" s="134">
        <v>43.69</v>
      </c>
      <c r="L33" s="134">
        <v>17.18</v>
      </c>
      <c r="M33" s="134">
        <v>89.25</v>
      </c>
      <c r="N33" s="134">
        <v>0</v>
      </c>
      <c r="O33" s="134">
        <v>0</v>
      </c>
      <c r="P33" s="134">
        <v>0.72</v>
      </c>
      <c r="Q33" s="134">
        <v>4.43</v>
      </c>
    </row>
    <row r="34" spans="1:17" customFormat="1">
      <c r="A34" s="112" t="s">
        <v>1704</v>
      </c>
      <c r="B34" s="134">
        <v>9.24</v>
      </c>
      <c r="C34" s="134">
        <v>22.21</v>
      </c>
      <c r="D34" s="134">
        <v>20.36</v>
      </c>
      <c r="E34" s="134">
        <v>4.16</v>
      </c>
      <c r="F34" s="134">
        <v>2.61</v>
      </c>
      <c r="G34" s="134">
        <v>63.59</v>
      </c>
      <c r="H34" s="134">
        <v>33.15</v>
      </c>
      <c r="I34" s="134">
        <v>5.57</v>
      </c>
      <c r="J34" s="134">
        <v>0.28999999999999998</v>
      </c>
      <c r="K34" s="134">
        <v>44.01</v>
      </c>
      <c r="L34" s="134">
        <v>17.18</v>
      </c>
      <c r="M34" s="134">
        <v>89.01</v>
      </c>
      <c r="N34" s="134">
        <v>1.9</v>
      </c>
      <c r="O34" s="134">
        <v>0</v>
      </c>
      <c r="P34" s="134">
        <v>0.72</v>
      </c>
      <c r="Q34" s="134">
        <v>4.45</v>
      </c>
    </row>
    <row r="35" spans="1:17" customFormat="1">
      <c r="A35" s="112" t="s">
        <v>1705</v>
      </c>
      <c r="B35" s="134">
        <v>9.58</v>
      </c>
      <c r="C35" s="134">
        <v>23.08</v>
      </c>
      <c r="D35" s="134">
        <v>21.09</v>
      </c>
      <c r="E35" s="134">
        <v>4.38</v>
      </c>
      <c r="F35" s="134">
        <v>2.44</v>
      </c>
      <c r="G35" s="134">
        <v>67.08</v>
      </c>
      <c r="H35" s="134">
        <v>33.29</v>
      </c>
      <c r="I35" s="134">
        <v>5.6</v>
      </c>
      <c r="J35" s="134">
        <v>0.38</v>
      </c>
      <c r="K35" s="134">
        <v>37.39</v>
      </c>
      <c r="L35" s="134">
        <v>17.25</v>
      </c>
      <c r="M35" s="134">
        <v>89.7</v>
      </c>
      <c r="N35" s="134">
        <v>11.1</v>
      </c>
      <c r="O35" s="134">
        <v>0</v>
      </c>
      <c r="P35" s="134">
        <v>0.73</v>
      </c>
      <c r="Q35" s="134">
        <v>4.4800000000000004</v>
      </c>
    </row>
    <row r="36" spans="1:17" customFormat="1">
      <c r="A36" s="112" t="s">
        <v>1706</v>
      </c>
      <c r="B36" s="134">
        <v>10.08</v>
      </c>
      <c r="C36" s="134">
        <v>23.13</v>
      </c>
      <c r="D36" s="134">
        <v>21.52</v>
      </c>
      <c r="E36" s="134">
        <v>4.4800000000000004</v>
      </c>
      <c r="F36" s="134">
        <v>2.58</v>
      </c>
      <c r="G36" s="134">
        <v>67.52</v>
      </c>
      <c r="H36" s="134">
        <v>33.29</v>
      </c>
      <c r="I36" s="134">
        <v>5.62</v>
      </c>
      <c r="J36" s="134">
        <v>0.44</v>
      </c>
      <c r="K36" s="134">
        <v>37.18</v>
      </c>
      <c r="L36" s="134">
        <v>17.62</v>
      </c>
      <c r="M36" s="134">
        <v>87.57</v>
      </c>
      <c r="N36" s="134">
        <v>23.7</v>
      </c>
      <c r="O36" s="134">
        <v>0</v>
      </c>
      <c r="P36" s="134">
        <v>0.73</v>
      </c>
      <c r="Q36" s="134">
        <v>4.4800000000000004</v>
      </c>
    </row>
    <row r="37" spans="1:17" customFormat="1">
      <c r="A37" s="112" t="s">
        <v>1707</v>
      </c>
      <c r="B37" s="134">
        <v>10.36</v>
      </c>
      <c r="C37" s="134">
        <v>23.65</v>
      </c>
      <c r="D37" s="134">
        <v>22.01</v>
      </c>
      <c r="E37" s="134">
        <v>4.8099999999999996</v>
      </c>
      <c r="F37" s="134">
        <v>2.58</v>
      </c>
      <c r="G37" s="134">
        <v>67.52</v>
      </c>
      <c r="H37" s="134">
        <v>33.29</v>
      </c>
      <c r="I37" s="134">
        <v>5.69</v>
      </c>
      <c r="J37" s="134">
        <v>0.49</v>
      </c>
      <c r="K37" s="134">
        <v>48.78</v>
      </c>
      <c r="L37" s="134">
        <v>18.079999999999998</v>
      </c>
      <c r="M37" s="134">
        <v>84.58</v>
      </c>
      <c r="N37" s="134">
        <v>37.799999999999997</v>
      </c>
      <c r="O37" s="134">
        <v>0</v>
      </c>
      <c r="P37" s="134">
        <v>0.74</v>
      </c>
      <c r="Q37" s="134">
        <v>4.5</v>
      </c>
    </row>
    <row r="38" spans="1:17" customFormat="1">
      <c r="A38" s="112" t="s">
        <v>1708</v>
      </c>
      <c r="B38" s="134">
        <v>10.220000000000001</v>
      </c>
      <c r="C38" s="134">
        <v>23.57</v>
      </c>
      <c r="D38" s="134">
        <v>21.86</v>
      </c>
      <c r="E38" s="134">
        <v>5.31</v>
      </c>
      <c r="F38" s="134">
        <v>2.82</v>
      </c>
      <c r="G38" s="134">
        <v>67.52</v>
      </c>
      <c r="H38" s="134">
        <v>33.29</v>
      </c>
      <c r="I38" s="134">
        <v>5.71</v>
      </c>
      <c r="J38" s="134">
        <v>0.6</v>
      </c>
      <c r="K38" s="134">
        <v>41.5</v>
      </c>
      <c r="L38" s="134">
        <v>18.440000000000001</v>
      </c>
      <c r="M38" s="134">
        <v>83.57</v>
      </c>
      <c r="N38" s="134">
        <v>52.2</v>
      </c>
      <c r="O38" s="134">
        <v>0</v>
      </c>
      <c r="P38" s="134">
        <v>0.76</v>
      </c>
      <c r="Q38" s="134">
        <v>4.5</v>
      </c>
    </row>
    <row r="39" spans="1:17" customFormat="1">
      <c r="A39" s="112" t="s">
        <v>1709</v>
      </c>
      <c r="B39" s="134">
        <v>9.75</v>
      </c>
      <c r="C39" s="134">
        <v>24.35</v>
      </c>
      <c r="D39" s="134">
        <v>21.89</v>
      </c>
      <c r="E39" s="134">
        <v>4.99</v>
      </c>
      <c r="F39" s="134">
        <v>2.95</v>
      </c>
      <c r="G39" s="134">
        <v>68.08</v>
      </c>
      <c r="H39" s="134">
        <v>33.119999999999997</v>
      </c>
      <c r="I39" s="134">
        <v>5.78</v>
      </c>
      <c r="J39" s="134">
        <v>0.68</v>
      </c>
      <c r="K39" s="134">
        <v>34.06</v>
      </c>
      <c r="L39" s="134">
        <v>19.04</v>
      </c>
      <c r="M39" s="134">
        <v>80.81</v>
      </c>
      <c r="N39" s="134">
        <v>103.5</v>
      </c>
      <c r="O39" s="134">
        <v>0</v>
      </c>
      <c r="P39" s="134">
        <v>0.79</v>
      </c>
      <c r="Q39" s="134">
        <v>4.49</v>
      </c>
    </row>
    <row r="40" spans="1:17" customFormat="1">
      <c r="A40" s="112" t="s">
        <v>1710</v>
      </c>
      <c r="B40" s="134">
        <v>9.39</v>
      </c>
      <c r="C40" s="134">
        <v>24.43</v>
      </c>
      <c r="D40" s="134">
        <v>21.65</v>
      </c>
      <c r="E40" s="134">
        <v>5.63</v>
      </c>
      <c r="F40" s="134">
        <v>2.89</v>
      </c>
      <c r="G40" s="134">
        <v>68.150000000000006</v>
      </c>
      <c r="H40" s="134">
        <v>33.119999999999997</v>
      </c>
      <c r="I40" s="134">
        <v>5.88</v>
      </c>
      <c r="J40" s="134">
        <v>0.63</v>
      </c>
      <c r="K40" s="134">
        <v>47.11</v>
      </c>
      <c r="L40" s="134">
        <v>19.78</v>
      </c>
      <c r="M40" s="134">
        <v>77.34</v>
      </c>
      <c r="N40" s="134">
        <v>176.8</v>
      </c>
      <c r="O40" s="134">
        <v>0</v>
      </c>
      <c r="P40" s="134">
        <v>0.81</v>
      </c>
      <c r="Q40" s="134">
        <v>4.49</v>
      </c>
    </row>
    <row r="41" spans="1:17" customFormat="1">
      <c r="A41" s="112" t="s">
        <v>1711</v>
      </c>
      <c r="B41" s="134">
        <v>9.15</v>
      </c>
      <c r="C41" s="134">
        <v>24.45</v>
      </c>
      <c r="D41" s="134">
        <v>21.46</v>
      </c>
      <c r="E41" s="134">
        <v>5.55</v>
      </c>
      <c r="F41" s="134">
        <v>3.01</v>
      </c>
      <c r="G41" s="134">
        <v>68.150000000000006</v>
      </c>
      <c r="H41" s="134">
        <v>33.119999999999997</v>
      </c>
      <c r="I41" s="134">
        <v>5.93</v>
      </c>
      <c r="J41" s="134">
        <v>0.61</v>
      </c>
      <c r="K41" s="134">
        <v>39.94</v>
      </c>
      <c r="L41" s="134">
        <v>20.7</v>
      </c>
      <c r="M41" s="134">
        <v>74.8</v>
      </c>
      <c r="N41" s="134">
        <v>217.3</v>
      </c>
      <c r="O41" s="134">
        <v>0</v>
      </c>
      <c r="P41" s="134">
        <v>0.82</v>
      </c>
      <c r="Q41" s="134">
        <v>4.4800000000000004</v>
      </c>
    </row>
    <row r="42" spans="1:17" customFormat="1">
      <c r="A42" s="112" t="s">
        <v>1712</v>
      </c>
      <c r="B42" s="134">
        <v>8.64</v>
      </c>
      <c r="C42" s="134">
        <v>24.96</v>
      </c>
      <c r="D42" s="134">
        <v>21.32</v>
      </c>
      <c r="E42" s="134">
        <v>5.54</v>
      </c>
      <c r="F42" s="134">
        <v>3.24</v>
      </c>
      <c r="G42" s="134">
        <v>68.150000000000006</v>
      </c>
      <c r="H42" s="134">
        <v>33.119999999999997</v>
      </c>
      <c r="I42" s="134">
        <v>6.07</v>
      </c>
      <c r="J42" s="134">
        <v>0.71</v>
      </c>
      <c r="K42" s="134">
        <v>33.11</v>
      </c>
      <c r="L42" s="134">
        <v>21.54</v>
      </c>
      <c r="M42" s="134">
        <v>72.22</v>
      </c>
      <c r="N42" s="134">
        <v>255.8</v>
      </c>
      <c r="O42" s="134">
        <v>0</v>
      </c>
      <c r="P42" s="134">
        <v>0.83</v>
      </c>
      <c r="Q42" s="134">
        <v>4.46</v>
      </c>
    </row>
    <row r="43" spans="1:17" customFormat="1">
      <c r="A43" s="112" t="s">
        <v>1713</v>
      </c>
      <c r="B43" s="134">
        <v>8.0500000000000007</v>
      </c>
      <c r="C43" s="134">
        <v>25.41</v>
      </c>
      <c r="D43" s="134">
        <v>21.08</v>
      </c>
      <c r="E43" s="134">
        <v>5.34</v>
      </c>
      <c r="F43" s="134">
        <v>3.24</v>
      </c>
      <c r="G43" s="134">
        <v>70.040000000000006</v>
      </c>
      <c r="H43" s="134">
        <v>32.69</v>
      </c>
      <c r="I43" s="134">
        <v>6.12</v>
      </c>
      <c r="J43" s="134">
        <v>0.69</v>
      </c>
      <c r="K43" s="134">
        <v>33.29</v>
      </c>
      <c r="L43" s="134">
        <v>22.53</v>
      </c>
      <c r="M43" s="134">
        <v>68.3</v>
      </c>
      <c r="N43" s="134">
        <v>294.60000000000002</v>
      </c>
      <c r="O43" s="134">
        <v>0</v>
      </c>
      <c r="P43" s="134">
        <v>0.84</v>
      </c>
      <c r="Q43" s="134">
        <v>4.45</v>
      </c>
    </row>
    <row r="44" spans="1:17" customFormat="1">
      <c r="A44" s="112" t="s">
        <v>1714</v>
      </c>
      <c r="B44" s="134">
        <v>7.48</v>
      </c>
      <c r="C44" s="134">
        <v>25.51</v>
      </c>
      <c r="D44" s="134">
        <v>20.68</v>
      </c>
      <c r="E44" s="134">
        <v>5.25</v>
      </c>
      <c r="F44" s="134">
        <v>3.33</v>
      </c>
      <c r="G44" s="134">
        <v>70.3</v>
      </c>
      <c r="H44" s="134">
        <v>32.69</v>
      </c>
      <c r="I44" s="134">
        <v>6.16</v>
      </c>
      <c r="J44" s="134">
        <v>0.75</v>
      </c>
      <c r="K44" s="134">
        <v>35</v>
      </c>
      <c r="L44" s="134">
        <v>23.37</v>
      </c>
      <c r="M44" s="134">
        <v>64.650000000000006</v>
      </c>
      <c r="N44" s="134">
        <v>327.5</v>
      </c>
      <c r="O44" s="134">
        <v>0</v>
      </c>
      <c r="P44" s="134">
        <v>0.84</v>
      </c>
      <c r="Q44" s="134">
        <v>4.43</v>
      </c>
    </row>
    <row r="45" spans="1:17" customFormat="1">
      <c r="A45" s="112" t="s">
        <v>1715</v>
      </c>
      <c r="B45" s="134">
        <v>6.74</v>
      </c>
      <c r="C45" s="134">
        <v>25.53</v>
      </c>
      <c r="D45" s="134">
        <v>20.100000000000001</v>
      </c>
      <c r="E45" s="134">
        <v>5.4</v>
      </c>
      <c r="F45" s="134">
        <v>3.57</v>
      </c>
      <c r="G45" s="134">
        <v>70.3</v>
      </c>
      <c r="H45" s="134">
        <v>32.69</v>
      </c>
      <c r="I45" s="134">
        <v>6.17</v>
      </c>
      <c r="J45" s="134">
        <v>0.78</v>
      </c>
      <c r="K45" s="134">
        <v>39.22</v>
      </c>
      <c r="L45" s="134">
        <v>24.18</v>
      </c>
      <c r="M45" s="134">
        <v>61.2</v>
      </c>
      <c r="N45" s="134">
        <v>302.89999999999998</v>
      </c>
      <c r="O45" s="134">
        <v>0</v>
      </c>
      <c r="P45" s="134">
        <v>0.85</v>
      </c>
      <c r="Q45" s="134">
        <v>4.41</v>
      </c>
    </row>
    <row r="46" spans="1:17" customFormat="1">
      <c r="A46" s="112" t="s">
        <v>1716</v>
      </c>
      <c r="B46" s="134">
        <v>6</v>
      </c>
      <c r="C46" s="134">
        <v>25.63</v>
      </c>
      <c r="D46" s="134">
        <v>19.55</v>
      </c>
      <c r="E46" s="134">
        <v>5.26</v>
      </c>
      <c r="F46" s="134">
        <v>3.86</v>
      </c>
      <c r="G46" s="134">
        <v>70.3</v>
      </c>
      <c r="H46" s="134">
        <v>32.69</v>
      </c>
      <c r="I46" s="134">
        <v>6.18</v>
      </c>
      <c r="J46" s="134">
        <v>0.5</v>
      </c>
      <c r="K46" s="134">
        <v>59.75</v>
      </c>
      <c r="L46" s="134">
        <v>24.98</v>
      </c>
      <c r="M46" s="134">
        <v>57.43</v>
      </c>
      <c r="N46" s="134">
        <v>260.8</v>
      </c>
      <c r="O46" s="134">
        <v>0</v>
      </c>
      <c r="P46" s="134">
        <v>0.85</v>
      </c>
      <c r="Q46" s="134">
        <v>4.3499999999999996</v>
      </c>
    </row>
    <row r="47" spans="1:17" customFormat="1">
      <c r="A47" s="112" t="s">
        <v>1717</v>
      </c>
      <c r="B47" s="134">
        <v>5.24</v>
      </c>
      <c r="C47" s="134">
        <v>26.01</v>
      </c>
      <c r="D47" s="134">
        <v>19.14</v>
      </c>
      <c r="E47" s="134">
        <v>5.62</v>
      </c>
      <c r="F47" s="134">
        <v>4.22</v>
      </c>
      <c r="G47" s="134">
        <v>64.78</v>
      </c>
      <c r="H47" s="134">
        <v>29.73</v>
      </c>
      <c r="I47" s="134">
        <v>6.17</v>
      </c>
      <c r="J47" s="134">
        <v>0.39</v>
      </c>
      <c r="K47" s="134">
        <v>62.18</v>
      </c>
      <c r="L47" s="134">
        <v>25.66</v>
      </c>
      <c r="M47" s="134">
        <v>53.55</v>
      </c>
      <c r="N47" s="134">
        <v>427.8</v>
      </c>
      <c r="O47" s="134">
        <v>0</v>
      </c>
      <c r="P47" s="134">
        <v>0.84</v>
      </c>
      <c r="Q47" s="134">
        <v>4.3099999999999996</v>
      </c>
    </row>
    <row r="48" spans="1:17" customFormat="1">
      <c r="A48" s="112" t="s">
        <v>1718</v>
      </c>
      <c r="B48" s="134">
        <v>4.53</v>
      </c>
      <c r="C48" s="134">
        <v>25.78</v>
      </c>
      <c r="D48" s="134">
        <v>18.46</v>
      </c>
      <c r="E48" s="134">
        <v>5.85</v>
      </c>
      <c r="F48" s="134">
        <v>4.5999999999999996</v>
      </c>
      <c r="G48" s="134">
        <v>64.06</v>
      </c>
      <c r="H48" s="134">
        <v>29.73</v>
      </c>
      <c r="I48" s="134">
        <v>6.13</v>
      </c>
      <c r="J48" s="134">
        <v>0.55000000000000004</v>
      </c>
      <c r="K48" s="134">
        <v>66.72</v>
      </c>
      <c r="L48" s="134">
        <v>26.11</v>
      </c>
      <c r="M48" s="134">
        <v>51.01</v>
      </c>
      <c r="N48" s="134">
        <v>458.8</v>
      </c>
      <c r="O48" s="134">
        <v>0</v>
      </c>
      <c r="P48" s="134">
        <v>0.83</v>
      </c>
      <c r="Q48" s="134">
        <v>4.3</v>
      </c>
    </row>
    <row r="49" spans="1:17" customFormat="1">
      <c r="A49" s="112" t="s">
        <v>1719</v>
      </c>
      <c r="B49" s="134">
        <v>4</v>
      </c>
      <c r="C49" s="134">
        <v>25.42</v>
      </c>
      <c r="D49" s="134">
        <v>17.84</v>
      </c>
      <c r="E49" s="134">
        <v>5.79</v>
      </c>
      <c r="F49" s="134">
        <v>4.9400000000000004</v>
      </c>
      <c r="G49" s="134">
        <v>64.06</v>
      </c>
      <c r="H49" s="134">
        <v>29.73</v>
      </c>
      <c r="I49" s="134">
        <v>6.07</v>
      </c>
      <c r="J49" s="134">
        <v>0.57999999999999996</v>
      </c>
      <c r="K49" s="134">
        <v>67.33</v>
      </c>
      <c r="L49" s="134">
        <v>26.35</v>
      </c>
      <c r="M49" s="134">
        <v>47.71</v>
      </c>
      <c r="N49" s="134">
        <v>487.2</v>
      </c>
      <c r="O49" s="134">
        <v>0</v>
      </c>
      <c r="P49" s="134">
        <v>0.82</v>
      </c>
      <c r="Q49" s="134">
        <v>4.28</v>
      </c>
    </row>
    <row r="50" spans="1:17" customFormat="1">
      <c r="A50" s="112" t="s">
        <v>1720</v>
      </c>
      <c r="B50" s="134">
        <v>3.65</v>
      </c>
      <c r="C50" s="134">
        <v>24.9</v>
      </c>
      <c r="D50" s="134">
        <v>17.29</v>
      </c>
      <c r="E50" s="134">
        <v>6.16</v>
      </c>
      <c r="F50" s="134">
        <v>5.65</v>
      </c>
      <c r="G50" s="134">
        <v>64.06</v>
      </c>
      <c r="H50" s="134">
        <v>29.73</v>
      </c>
      <c r="I50" s="134">
        <v>6</v>
      </c>
      <c r="J50" s="134">
        <v>0.44</v>
      </c>
      <c r="K50" s="134">
        <v>64.430000000000007</v>
      </c>
      <c r="L50" s="134">
        <v>27.15</v>
      </c>
      <c r="M50" s="134">
        <v>44.13</v>
      </c>
      <c r="N50" s="134">
        <v>520.20000000000005</v>
      </c>
      <c r="O50" s="134">
        <v>0</v>
      </c>
      <c r="P50" s="134">
        <v>0.81</v>
      </c>
      <c r="Q50" s="134">
        <v>4.24</v>
      </c>
    </row>
    <row r="51" spans="1:17" customFormat="1">
      <c r="A51" s="112" t="s">
        <v>1721</v>
      </c>
      <c r="B51" s="134">
        <v>3.29</v>
      </c>
      <c r="C51" s="134">
        <v>24.29</v>
      </c>
      <c r="D51" s="134">
        <v>16.68</v>
      </c>
      <c r="E51" s="134">
        <v>5.85</v>
      </c>
      <c r="F51" s="134">
        <v>6.2</v>
      </c>
      <c r="G51" s="134">
        <v>63.04</v>
      </c>
      <c r="H51" s="134">
        <v>28.25</v>
      </c>
      <c r="I51" s="134">
        <v>5.93</v>
      </c>
      <c r="J51" s="134">
        <v>0.47</v>
      </c>
      <c r="K51" s="134">
        <v>55.46</v>
      </c>
      <c r="L51" s="134">
        <v>27.8</v>
      </c>
      <c r="M51" s="134">
        <v>43.03</v>
      </c>
      <c r="N51" s="134">
        <v>538</v>
      </c>
      <c r="O51" s="134">
        <v>0</v>
      </c>
      <c r="P51" s="134">
        <v>0.79</v>
      </c>
      <c r="Q51" s="134">
        <v>4.21</v>
      </c>
    </row>
    <row r="52" spans="1:17" customFormat="1">
      <c r="A52" s="112" t="s">
        <v>1722</v>
      </c>
      <c r="B52" s="134">
        <v>3.21</v>
      </c>
      <c r="C52" s="134">
        <v>23.75</v>
      </c>
      <c r="D52" s="134">
        <v>16.329999999999998</v>
      </c>
      <c r="E52" s="134">
        <v>6.56</v>
      </c>
      <c r="F52" s="134">
        <v>6.42</v>
      </c>
      <c r="G52" s="134">
        <v>62.91</v>
      </c>
      <c r="H52" s="134">
        <v>28.25</v>
      </c>
      <c r="I52" s="134">
        <v>5.82</v>
      </c>
      <c r="J52" s="134">
        <v>0.89</v>
      </c>
      <c r="K52" s="134">
        <v>46.59</v>
      </c>
      <c r="L52" s="134">
        <v>27.75</v>
      </c>
      <c r="M52" s="134">
        <v>40.75</v>
      </c>
      <c r="N52" s="134">
        <v>518.9</v>
      </c>
      <c r="O52" s="134">
        <v>0</v>
      </c>
      <c r="P52" s="134">
        <v>0.79</v>
      </c>
      <c r="Q52" s="134">
        <v>4.22</v>
      </c>
    </row>
    <row r="53" spans="1:17" customFormat="1">
      <c r="A53" s="112" t="s">
        <v>1723</v>
      </c>
      <c r="B53" s="134">
        <v>3.04</v>
      </c>
      <c r="C53" s="134">
        <v>23.39</v>
      </c>
      <c r="D53" s="134">
        <v>16.010000000000002</v>
      </c>
      <c r="E53" s="134">
        <v>6.35</v>
      </c>
      <c r="F53" s="134">
        <v>7.41</v>
      </c>
      <c r="G53" s="134">
        <v>62.91</v>
      </c>
      <c r="H53" s="134">
        <v>28.25</v>
      </c>
      <c r="I53" s="134">
        <v>5.73</v>
      </c>
      <c r="J53" s="134">
        <v>0.8</v>
      </c>
      <c r="K53" s="134">
        <v>51.77</v>
      </c>
      <c r="L53" s="134">
        <v>27.78</v>
      </c>
      <c r="M53" s="134">
        <v>39.06</v>
      </c>
      <c r="N53" s="134">
        <v>577.20000000000005</v>
      </c>
      <c r="O53" s="134">
        <v>0</v>
      </c>
      <c r="P53" s="134">
        <v>0.78</v>
      </c>
      <c r="Q53" s="134">
        <v>4.21</v>
      </c>
    </row>
    <row r="54" spans="1:17" customFormat="1">
      <c r="A54" s="112" t="s">
        <v>1724</v>
      </c>
      <c r="B54" s="134">
        <v>2.97</v>
      </c>
      <c r="C54" s="134">
        <v>22.8</v>
      </c>
      <c r="D54" s="134">
        <v>15.64</v>
      </c>
      <c r="E54" s="134">
        <v>6.29</v>
      </c>
      <c r="F54" s="134">
        <v>7.59</v>
      </c>
      <c r="G54" s="134">
        <v>62.91</v>
      </c>
      <c r="H54" s="134">
        <v>28.25</v>
      </c>
      <c r="I54" s="134">
        <v>5.68</v>
      </c>
      <c r="J54" s="134">
        <v>0.97</v>
      </c>
      <c r="K54" s="134">
        <v>41.44</v>
      </c>
      <c r="L54" s="134">
        <v>27.88</v>
      </c>
      <c r="M54" s="134">
        <v>38.58</v>
      </c>
      <c r="N54" s="134">
        <v>575.70000000000005</v>
      </c>
      <c r="O54" s="134">
        <v>0</v>
      </c>
      <c r="P54" s="134">
        <v>0.77</v>
      </c>
      <c r="Q54" s="134">
        <v>4.17</v>
      </c>
    </row>
    <row r="55" spans="1:17" customFormat="1">
      <c r="A55" s="112" t="s">
        <v>1725</v>
      </c>
      <c r="B55" s="134">
        <v>3</v>
      </c>
      <c r="C55" s="134">
        <v>22.16</v>
      </c>
      <c r="D55" s="134">
        <v>15.33</v>
      </c>
      <c r="E55" s="134">
        <v>6.65</v>
      </c>
      <c r="F55" s="134">
        <v>8.19</v>
      </c>
      <c r="G55" s="134">
        <v>59.21</v>
      </c>
      <c r="H55" s="134">
        <v>26.46</v>
      </c>
      <c r="I55" s="134">
        <v>5.62</v>
      </c>
      <c r="J55" s="134">
        <v>1</v>
      </c>
      <c r="K55" s="134">
        <v>39.25</v>
      </c>
      <c r="L55" s="134">
        <v>28.16</v>
      </c>
      <c r="M55" s="134">
        <v>38.51</v>
      </c>
      <c r="N55" s="134">
        <v>573.79999999999995</v>
      </c>
      <c r="O55" s="134">
        <v>0</v>
      </c>
      <c r="P55" s="134">
        <v>0.75</v>
      </c>
      <c r="Q55" s="134">
        <v>4.17</v>
      </c>
    </row>
    <row r="56" spans="1:17" customFormat="1">
      <c r="A56" s="112" t="s">
        <v>1726</v>
      </c>
      <c r="B56" s="134">
        <v>2.96</v>
      </c>
      <c r="C56" s="134">
        <v>21.8</v>
      </c>
      <c r="D56" s="134">
        <v>15.11</v>
      </c>
      <c r="E56" s="134">
        <v>6.79</v>
      </c>
      <c r="F56" s="134">
        <v>7.83</v>
      </c>
      <c r="G56" s="134">
        <v>58.69</v>
      </c>
      <c r="H56" s="134">
        <v>26.46</v>
      </c>
      <c r="I56" s="134">
        <v>5.49</v>
      </c>
      <c r="J56" s="134">
        <v>0.62</v>
      </c>
      <c r="K56" s="134">
        <v>48.91</v>
      </c>
      <c r="L56" s="134">
        <v>28.8</v>
      </c>
      <c r="M56" s="134">
        <v>37.4</v>
      </c>
      <c r="N56" s="134">
        <v>579.5</v>
      </c>
      <c r="O56" s="134">
        <v>0</v>
      </c>
      <c r="P56" s="134">
        <v>0.75</v>
      </c>
      <c r="Q56" s="134">
        <v>4.17</v>
      </c>
    </row>
    <row r="57" spans="1:17" customFormat="1">
      <c r="A57" s="112" t="s">
        <v>1727</v>
      </c>
      <c r="B57" s="134">
        <v>2.99</v>
      </c>
      <c r="C57" s="134">
        <v>21.51</v>
      </c>
      <c r="D57" s="134">
        <v>14.98</v>
      </c>
      <c r="E57" s="134">
        <v>7.2</v>
      </c>
      <c r="F57" s="134">
        <v>8.1</v>
      </c>
      <c r="G57" s="134">
        <v>58.69</v>
      </c>
      <c r="H57" s="134">
        <v>26.46</v>
      </c>
      <c r="I57" s="134">
        <v>5.41</v>
      </c>
      <c r="J57" s="134">
        <v>1.22</v>
      </c>
      <c r="K57" s="134">
        <v>33.409999999999997</v>
      </c>
      <c r="L57" s="134">
        <v>28.36</v>
      </c>
      <c r="M57" s="134">
        <v>38.119999999999997</v>
      </c>
      <c r="N57" s="134">
        <v>572.6</v>
      </c>
      <c r="O57" s="134">
        <v>0</v>
      </c>
      <c r="P57" s="134">
        <v>0.73</v>
      </c>
      <c r="Q57" s="134">
        <v>4.17</v>
      </c>
    </row>
    <row r="58" spans="1:17" customFormat="1">
      <c r="A58" s="112" t="s">
        <v>1728</v>
      </c>
      <c r="B58" s="134">
        <v>2.97</v>
      </c>
      <c r="C58" s="134">
        <v>21.26</v>
      </c>
      <c r="D58" s="134">
        <v>14.84</v>
      </c>
      <c r="E58" s="134">
        <v>7.23</v>
      </c>
      <c r="F58" s="134">
        <v>7.91</v>
      </c>
      <c r="G58" s="134">
        <v>58.69</v>
      </c>
      <c r="H58" s="134">
        <v>26.46</v>
      </c>
      <c r="I58" s="134">
        <v>5.32</v>
      </c>
      <c r="J58" s="134">
        <v>0.48</v>
      </c>
      <c r="K58" s="134">
        <v>0.36</v>
      </c>
      <c r="L58" s="134">
        <v>28.85</v>
      </c>
      <c r="M58" s="134">
        <v>37.56</v>
      </c>
      <c r="N58" s="134">
        <v>565.9</v>
      </c>
      <c r="O58" s="134">
        <v>0</v>
      </c>
      <c r="P58" s="134">
        <v>0.73</v>
      </c>
      <c r="Q58" s="134">
        <v>4.1399999999999997</v>
      </c>
    </row>
    <row r="59" spans="1:17" customFormat="1">
      <c r="A59" s="112" t="s">
        <v>1729</v>
      </c>
      <c r="B59" s="134">
        <v>2.41</v>
      </c>
      <c r="C59" s="134">
        <v>10.199999999999999</v>
      </c>
      <c r="D59" s="134">
        <v>8.61</v>
      </c>
      <c r="E59" s="134">
        <v>4.49</v>
      </c>
      <c r="F59" s="134">
        <v>13.33</v>
      </c>
      <c r="G59" s="134">
        <v>58.69</v>
      </c>
      <c r="H59" s="134">
        <v>26.98</v>
      </c>
      <c r="I59" s="134">
        <v>5.26</v>
      </c>
      <c r="J59" s="134">
        <v>0.93</v>
      </c>
      <c r="K59" s="134">
        <v>48.13</v>
      </c>
      <c r="L59" s="134">
        <v>29.08</v>
      </c>
      <c r="M59" s="134">
        <v>37.14</v>
      </c>
      <c r="N59" s="134">
        <v>538.29999999999995</v>
      </c>
      <c r="O59" s="134">
        <v>0</v>
      </c>
      <c r="P59" s="134">
        <v>0.49</v>
      </c>
      <c r="Q59" s="134">
        <v>0</v>
      </c>
    </row>
    <row r="60" spans="1:17" customFormat="1">
      <c r="A60" s="112" t="s">
        <v>1730</v>
      </c>
      <c r="B60" s="134">
        <v>2.13</v>
      </c>
      <c r="C60" s="134">
        <v>14.85</v>
      </c>
      <c r="D60" s="134">
        <v>10.82</v>
      </c>
      <c r="E60" s="134">
        <v>9.06</v>
      </c>
      <c r="F60" s="134">
        <v>25.37</v>
      </c>
      <c r="G60" s="134">
        <v>60.66</v>
      </c>
      <c r="H60" s="134">
        <v>26.98</v>
      </c>
      <c r="I60" s="134">
        <v>5.16</v>
      </c>
      <c r="J60" s="134">
        <v>0.77</v>
      </c>
      <c r="K60" s="134">
        <v>38.520000000000003</v>
      </c>
      <c r="L60" s="134">
        <v>29.32</v>
      </c>
      <c r="M60" s="134">
        <v>36.590000000000003</v>
      </c>
      <c r="N60" s="134">
        <v>520</v>
      </c>
      <c r="O60" s="134">
        <v>0</v>
      </c>
      <c r="P60" s="134">
        <v>0.71</v>
      </c>
      <c r="Q60" s="134">
        <v>4.13</v>
      </c>
    </row>
    <row r="61" spans="1:17" customFormat="1">
      <c r="A61" s="112" t="s">
        <v>1731</v>
      </c>
      <c r="B61" s="134">
        <v>1.83</v>
      </c>
      <c r="C61" s="134">
        <v>17.350000000000001</v>
      </c>
      <c r="D61" s="134">
        <v>11.88</v>
      </c>
      <c r="E61" s="134">
        <v>10.48</v>
      </c>
      <c r="F61" s="134">
        <v>21.05</v>
      </c>
      <c r="G61" s="134">
        <v>60.66</v>
      </c>
      <c r="H61" s="134">
        <v>26.98</v>
      </c>
      <c r="I61" s="134">
        <v>5</v>
      </c>
      <c r="J61" s="134">
        <v>0.6</v>
      </c>
      <c r="K61" s="134">
        <v>49.74</v>
      </c>
      <c r="L61" s="134">
        <v>29.36</v>
      </c>
      <c r="M61" s="134">
        <v>36.619999999999997</v>
      </c>
      <c r="N61" s="134">
        <v>526.9</v>
      </c>
      <c r="O61" s="134">
        <v>0</v>
      </c>
      <c r="P61" s="134">
        <v>0.68</v>
      </c>
      <c r="Q61" s="134">
        <v>4.13</v>
      </c>
    </row>
    <row r="62" spans="1:17" customFormat="1">
      <c r="A62" s="112" t="s">
        <v>1732</v>
      </c>
      <c r="B62" s="134">
        <v>1.36</v>
      </c>
      <c r="C62" s="134">
        <v>18.04</v>
      </c>
      <c r="D62" s="134">
        <v>11.86</v>
      </c>
      <c r="E62" s="134">
        <v>8.64</v>
      </c>
      <c r="F62" s="134">
        <v>17.5</v>
      </c>
      <c r="G62" s="151" t="s">
        <v>12</v>
      </c>
      <c r="H62" s="151" t="s">
        <v>12</v>
      </c>
      <c r="I62" s="134">
        <v>4.24</v>
      </c>
      <c r="J62" s="134">
        <v>0.54</v>
      </c>
      <c r="K62" s="134">
        <v>50.84</v>
      </c>
      <c r="L62" s="134">
        <v>29.83</v>
      </c>
      <c r="M62" s="134">
        <v>36.119999999999997</v>
      </c>
      <c r="N62" s="134">
        <v>514.1</v>
      </c>
      <c r="O62" s="134">
        <v>0</v>
      </c>
      <c r="P62" s="134">
        <v>0.66</v>
      </c>
      <c r="Q62" s="134">
        <v>4.12</v>
      </c>
    </row>
    <row r="63" spans="1:17" customFormat="1">
      <c r="A63" s="112" t="s">
        <v>1733</v>
      </c>
      <c r="B63" s="134">
        <v>1.1000000000000001</v>
      </c>
      <c r="C63" s="134">
        <v>17.79</v>
      </c>
      <c r="D63" s="134">
        <v>11.53</v>
      </c>
      <c r="E63" s="134">
        <v>8.74</v>
      </c>
      <c r="F63" s="134">
        <v>19.11</v>
      </c>
      <c r="G63" s="151" t="s">
        <v>12</v>
      </c>
      <c r="H63" s="151" t="s">
        <v>12</v>
      </c>
      <c r="I63" s="134">
        <v>4.05</v>
      </c>
      <c r="J63" s="134">
        <v>0.49</v>
      </c>
      <c r="K63" s="134">
        <v>63.56</v>
      </c>
      <c r="L63" s="134">
        <v>29.67</v>
      </c>
      <c r="M63" s="134">
        <v>36.020000000000003</v>
      </c>
      <c r="N63" s="134">
        <v>476.1</v>
      </c>
      <c r="O63" s="134">
        <v>0</v>
      </c>
      <c r="P63" s="134">
        <v>0.64</v>
      </c>
      <c r="Q63" s="134">
        <v>4.08</v>
      </c>
    </row>
    <row r="64" spans="1:17" customFormat="1">
      <c r="A64" s="112" t="s">
        <v>1734</v>
      </c>
      <c r="B64" s="134">
        <v>0.92</v>
      </c>
      <c r="C64" s="134">
        <v>17.510000000000002</v>
      </c>
      <c r="D64" s="134">
        <v>11.24</v>
      </c>
      <c r="E64" s="134">
        <v>8.1</v>
      </c>
      <c r="F64" s="134">
        <v>18.3</v>
      </c>
      <c r="G64" s="151" t="s">
        <v>12</v>
      </c>
      <c r="H64" s="151" t="s">
        <v>12</v>
      </c>
      <c r="I64" s="134">
        <v>3.91</v>
      </c>
      <c r="J64" s="134">
        <v>0.57999999999999996</v>
      </c>
      <c r="K64" s="134">
        <v>49.02</v>
      </c>
      <c r="L64" s="134">
        <v>29.82</v>
      </c>
      <c r="M64" s="134">
        <v>36.17</v>
      </c>
      <c r="N64" s="134">
        <v>428.5</v>
      </c>
      <c r="O64" s="134">
        <v>0</v>
      </c>
      <c r="P64" s="134">
        <v>0.63</v>
      </c>
      <c r="Q64" s="134">
        <v>4.05</v>
      </c>
    </row>
    <row r="65" spans="1:17" customFormat="1">
      <c r="A65" s="112" t="s">
        <v>1735</v>
      </c>
      <c r="B65" s="134">
        <v>0.75</v>
      </c>
      <c r="C65" s="134">
        <v>17.37</v>
      </c>
      <c r="D65" s="134">
        <v>11.03</v>
      </c>
      <c r="E65" s="134">
        <v>8.89</v>
      </c>
      <c r="F65" s="134">
        <v>20.58</v>
      </c>
      <c r="G65" s="151" t="s">
        <v>12</v>
      </c>
      <c r="H65" s="151" t="s">
        <v>12</v>
      </c>
      <c r="I65" s="134">
        <v>3.72</v>
      </c>
      <c r="J65" s="134">
        <v>0.81</v>
      </c>
      <c r="K65" s="134">
        <v>39.4</v>
      </c>
      <c r="L65" s="134">
        <v>29.07</v>
      </c>
      <c r="M65" s="134">
        <v>36.76</v>
      </c>
      <c r="N65" s="134">
        <v>208.9</v>
      </c>
      <c r="O65" s="134">
        <v>0</v>
      </c>
      <c r="P65" s="134">
        <v>0.56000000000000005</v>
      </c>
      <c r="Q65" s="134">
        <v>4.07</v>
      </c>
    </row>
    <row r="66" spans="1:17" customFormat="1">
      <c r="A66" s="112" t="s">
        <v>1736</v>
      </c>
      <c r="B66" s="134">
        <v>4.2</v>
      </c>
      <c r="C66" s="134">
        <v>17.559999999999999</v>
      </c>
      <c r="D66" s="134">
        <v>13.9</v>
      </c>
      <c r="E66" s="134">
        <v>9.93</v>
      </c>
      <c r="F66" s="134">
        <v>24.31</v>
      </c>
      <c r="G66" s="134">
        <v>24.81</v>
      </c>
      <c r="H66" s="134">
        <v>3.17</v>
      </c>
      <c r="I66" s="134">
        <v>3.57</v>
      </c>
      <c r="J66" s="134">
        <v>0.72</v>
      </c>
      <c r="K66" s="134">
        <v>28.16</v>
      </c>
      <c r="L66" s="134">
        <v>28.8</v>
      </c>
      <c r="M66" s="134">
        <v>37.61</v>
      </c>
      <c r="N66" s="134">
        <v>122.7</v>
      </c>
      <c r="O66" s="134">
        <v>0</v>
      </c>
      <c r="P66" s="134">
        <v>0.59</v>
      </c>
      <c r="Q66" s="134">
        <v>4.07</v>
      </c>
    </row>
    <row r="67" spans="1:17" customFormat="1">
      <c r="A67" s="112" t="s">
        <v>1737</v>
      </c>
      <c r="B67" s="134">
        <v>4.6100000000000003</v>
      </c>
      <c r="C67" s="134">
        <v>18.36</v>
      </c>
      <c r="D67" s="134">
        <v>14.64</v>
      </c>
      <c r="E67" s="134">
        <v>8.5399999999999991</v>
      </c>
      <c r="F67" s="134">
        <v>19.62</v>
      </c>
      <c r="G67" s="134">
        <v>24.81</v>
      </c>
      <c r="H67" s="134">
        <v>3.17</v>
      </c>
      <c r="I67" s="134">
        <v>3.57</v>
      </c>
      <c r="J67" s="134">
        <v>0.52</v>
      </c>
      <c r="K67" s="134">
        <v>42.15</v>
      </c>
      <c r="L67" s="134">
        <v>28.67</v>
      </c>
      <c r="M67" s="134">
        <v>37.909999999999997</v>
      </c>
      <c r="N67" s="134">
        <v>82.9</v>
      </c>
      <c r="O67" s="134">
        <v>0</v>
      </c>
      <c r="P67" s="134">
        <v>0.41</v>
      </c>
      <c r="Q67" s="134">
        <v>4.0599999999999996</v>
      </c>
    </row>
    <row r="68" spans="1:17" customFormat="1">
      <c r="A68" s="112" t="s">
        <v>1738</v>
      </c>
      <c r="B68" s="134">
        <v>4.2300000000000004</v>
      </c>
      <c r="C68" s="134">
        <v>17.46</v>
      </c>
      <c r="D68" s="134">
        <v>13.86</v>
      </c>
      <c r="E68" s="134">
        <v>8.01</v>
      </c>
      <c r="F68" s="134">
        <v>19.05</v>
      </c>
      <c r="G68" s="134">
        <v>24.81</v>
      </c>
      <c r="H68" s="134">
        <v>3.17</v>
      </c>
      <c r="I68" s="134">
        <v>12.87</v>
      </c>
      <c r="J68" s="134">
        <v>0.69</v>
      </c>
      <c r="K68" s="134">
        <v>35.39</v>
      </c>
      <c r="L68" s="134">
        <v>28.46</v>
      </c>
      <c r="M68" s="134">
        <v>38.090000000000003</v>
      </c>
      <c r="N68" s="134">
        <v>74.7</v>
      </c>
      <c r="O68" s="134">
        <v>0</v>
      </c>
      <c r="P68" s="134">
        <v>0.57999999999999996</v>
      </c>
      <c r="Q68" s="134">
        <v>4.07</v>
      </c>
    </row>
    <row r="69" spans="1:17" customFormat="1">
      <c r="A69" s="112" t="s">
        <v>1739</v>
      </c>
      <c r="B69" s="134">
        <v>4.04</v>
      </c>
      <c r="C69" s="134">
        <v>17.47</v>
      </c>
      <c r="D69" s="134">
        <v>13.72</v>
      </c>
      <c r="E69" s="134">
        <v>8.15</v>
      </c>
      <c r="F69" s="134">
        <v>17.75</v>
      </c>
      <c r="G69" s="134">
        <v>24.81</v>
      </c>
      <c r="H69" s="134">
        <v>3.17</v>
      </c>
      <c r="I69" s="134">
        <v>106.4</v>
      </c>
      <c r="J69" s="134">
        <v>0.51</v>
      </c>
      <c r="K69" s="134">
        <v>48.83</v>
      </c>
      <c r="L69" s="134">
        <v>28.39</v>
      </c>
      <c r="M69" s="134">
        <v>38.47</v>
      </c>
      <c r="N69" s="134">
        <v>63.6</v>
      </c>
      <c r="O69" s="134">
        <v>0</v>
      </c>
      <c r="P69" s="134">
        <v>0.6</v>
      </c>
      <c r="Q69" s="134">
        <v>4.07</v>
      </c>
    </row>
    <row r="70" spans="1:17" customFormat="1">
      <c r="A70" s="112" t="s">
        <v>1740</v>
      </c>
      <c r="B70" s="134">
        <v>4.26</v>
      </c>
      <c r="C70" s="134">
        <v>17.93</v>
      </c>
      <c r="D70" s="134">
        <v>14.13</v>
      </c>
      <c r="E70" s="134">
        <v>8.24</v>
      </c>
      <c r="F70" s="134">
        <v>15.97</v>
      </c>
      <c r="G70" s="134">
        <v>33.619999999999997</v>
      </c>
      <c r="H70" s="134">
        <v>6.77</v>
      </c>
      <c r="I70" s="134">
        <v>135.33000000000001</v>
      </c>
      <c r="J70" s="134">
        <v>0.56000000000000005</v>
      </c>
      <c r="K70" s="134">
        <v>54.35</v>
      </c>
      <c r="L70" s="134">
        <v>28.23</v>
      </c>
      <c r="M70" s="134">
        <v>38.53</v>
      </c>
      <c r="N70" s="134">
        <v>59.2</v>
      </c>
      <c r="O70" s="134">
        <v>0</v>
      </c>
      <c r="P70" s="134">
        <v>0.57999999999999996</v>
      </c>
      <c r="Q70" s="134">
        <v>4.08</v>
      </c>
    </row>
    <row r="71" spans="1:17" customFormat="1">
      <c r="A71" s="112" t="s">
        <v>1741</v>
      </c>
      <c r="B71" s="134">
        <v>4.16</v>
      </c>
      <c r="C71" s="134">
        <v>19.32</v>
      </c>
      <c r="D71" s="134">
        <v>14.78</v>
      </c>
      <c r="E71" s="134">
        <v>6.75</v>
      </c>
      <c r="F71" s="134">
        <v>13.64</v>
      </c>
      <c r="G71" s="134">
        <v>35.380000000000003</v>
      </c>
      <c r="H71" s="134">
        <v>6.77</v>
      </c>
      <c r="I71" s="134">
        <v>116.46</v>
      </c>
      <c r="J71" s="134">
        <v>0.61</v>
      </c>
      <c r="K71" s="134">
        <v>46.57</v>
      </c>
      <c r="L71" s="134">
        <v>28.09</v>
      </c>
      <c r="M71" s="134">
        <v>39</v>
      </c>
      <c r="N71" s="134">
        <v>50.3</v>
      </c>
      <c r="O71" s="134">
        <v>0</v>
      </c>
      <c r="P71" s="134">
        <v>0.56999999999999995</v>
      </c>
      <c r="Q71" s="134">
        <v>4.09</v>
      </c>
    </row>
    <row r="72" spans="1:17" customFormat="1">
      <c r="A72" s="112" t="s">
        <v>1742</v>
      </c>
      <c r="B72" s="134">
        <v>4.1100000000000003</v>
      </c>
      <c r="C72" s="134">
        <v>20.18</v>
      </c>
      <c r="D72" s="134">
        <v>15.19</v>
      </c>
      <c r="E72" s="134">
        <v>5.99</v>
      </c>
      <c r="F72" s="134">
        <v>8.4600000000000009</v>
      </c>
      <c r="G72" s="134">
        <v>35.380000000000003</v>
      </c>
      <c r="H72" s="134">
        <v>6.77</v>
      </c>
      <c r="I72" s="134">
        <v>101.21</v>
      </c>
      <c r="J72" s="134">
        <v>0.42</v>
      </c>
      <c r="K72" s="134">
        <v>47.35</v>
      </c>
      <c r="L72" s="134">
        <v>28.02</v>
      </c>
      <c r="M72" s="134">
        <v>39.18</v>
      </c>
      <c r="N72" s="134">
        <v>44.7</v>
      </c>
      <c r="O72" s="134">
        <v>0</v>
      </c>
      <c r="P72" s="134">
        <v>0.56999999999999995</v>
      </c>
      <c r="Q72" s="134">
        <v>4.09</v>
      </c>
    </row>
    <row r="73" spans="1:17" customFormat="1">
      <c r="A73" s="112" t="s">
        <v>1743</v>
      </c>
      <c r="B73" s="134">
        <v>4.53</v>
      </c>
      <c r="C73" s="134">
        <v>20.29</v>
      </c>
      <c r="D73" s="134">
        <v>15.58</v>
      </c>
      <c r="E73" s="134">
        <v>5.31</v>
      </c>
      <c r="F73" s="134">
        <v>5.81</v>
      </c>
      <c r="G73" s="134">
        <v>35.380000000000003</v>
      </c>
      <c r="H73" s="134">
        <v>6.77</v>
      </c>
      <c r="I73" s="134">
        <v>90.83</v>
      </c>
      <c r="J73" s="134">
        <v>0.41</v>
      </c>
      <c r="K73" s="134">
        <v>49.67</v>
      </c>
      <c r="L73" s="134">
        <v>27.86</v>
      </c>
      <c r="M73" s="134">
        <v>39.83</v>
      </c>
      <c r="N73" s="134">
        <v>35.4</v>
      </c>
      <c r="O73" s="134">
        <v>0</v>
      </c>
      <c r="P73" s="134">
        <v>0.56999999999999995</v>
      </c>
      <c r="Q73" s="134">
        <v>4.09</v>
      </c>
    </row>
    <row r="74" spans="1:17" customFormat="1">
      <c r="A74" s="112" t="s">
        <v>1744</v>
      </c>
      <c r="B74" s="134">
        <v>4.71</v>
      </c>
      <c r="C74" s="134">
        <v>21.62</v>
      </c>
      <c r="D74" s="134">
        <v>16.420000000000002</v>
      </c>
      <c r="E74" s="134">
        <v>5.45</v>
      </c>
      <c r="F74" s="134">
        <v>4.51</v>
      </c>
      <c r="G74" s="134">
        <v>40.14</v>
      </c>
      <c r="H74" s="134">
        <v>14.03</v>
      </c>
      <c r="I74" s="134">
        <v>86.86</v>
      </c>
      <c r="J74" s="134">
        <v>0.34</v>
      </c>
      <c r="K74" s="134">
        <v>55.8</v>
      </c>
      <c r="L74" s="134">
        <v>27.61</v>
      </c>
      <c r="M74" s="134">
        <v>40.659999999999997</v>
      </c>
      <c r="N74" s="134">
        <v>25.1</v>
      </c>
      <c r="O74" s="134">
        <v>0</v>
      </c>
      <c r="P74" s="134">
        <v>0.56999999999999995</v>
      </c>
      <c r="Q74" s="134">
        <v>4.12</v>
      </c>
    </row>
    <row r="75" spans="1:17" customFormat="1">
      <c r="A75" s="112" t="s">
        <v>1745</v>
      </c>
      <c r="B75" s="134">
        <v>5.01</v>
      </c>
      <c r="C75" s="134">
        <v>22.74</v>
      </c>
      <c r="D75" s="134">
        <v>17.239999999999998</v>
      </c>
      <c r="E75" s="134">
        <v>5.29</v>
      </c>
      <c r="F75" s="134">
        <v>3.85</v>
      </c>
      <c r="G75" s="134">
        <v>41.09</v>
      </c>
      <c r="H75" s="134">
        <v>14.03</v>
      </c>
      <c r="I75" s="134">
        <v>83.46</v>
      </c>
      <c r="J75" s="134">
        <v>0.21</v>
      </c>
      <c r="K75" s="134">
        <v>67.34</v>
      </c>
      <c r="L75" s="134">
        <v>27.22</v>
      </c>
      <c r="M75" s="134">
        <v>42.61</v>
      </c>
      <c r="N75" s="134">
        <v>14.6</v>
      </c>
      <c r="O75" s="134">
        <v>0</v>
      </c>
      <c r="P75" s="134">
        <v>0.57999999999999996</v>
      </c>
      <c r="Q75" s="134">
        <v>4.13</v>
      </c>
    </row>
    <row r="76" spans="1:17" customFormat="1">
      <c r="A76" s="112" t="s">
        <v>1746</v>
      </c>
      <c r="B76" s="134">
        <v>5.39</v>
      </c>
      <c r="C76" s="134">
        <v>21.41</v>
      </c>
      <c r="D76" s="134">
        <v>16.850000000000001</v>
      </c>
      <c r="E76" s="134">
        <v>5.16</v>
      </c>
      <c r="F76" s="134">
        <v>3.62</v>
      </c>
      <c r="G76" s="134">
        <v>41.09</v>
      </c>
      <c r="H76" s="134">
        <v>14.03</v>
      </c>
      <c r="I76" s="134">
        <v>80.66</v>
      </c>
      <c r="J76" s="134">
        <v>0.22</v>
      </c>
      <c r="K76" s="134">
        <v>50.17</v>
      </c>
      <c r="L76" s="134">
        <v>26.7</v>
      </c>
      <c r="M76" s="134">
        <v>45.12</v>
      </c>
      <c r="N76" s="134">
        <v>3.6</v>
      </c>
      <c r="O76" s="134">
        <v>0</v>
      </c>
      <c r="P76" s="134">
        <v>0.59</v>
      </c>
      <c r="Q76" s="134">
        <v>4.1399999999999997</v>
      </c>
    </row>
    <row r="77" spans="1:17" customFormat="1">
      <c r="A77" s="112" t="s">
        <v>1747</v>
      </c>
      <c r="B77" s="134">
        <v>5.7</v>
      </c>
      <c r="C77" s="134">
        <v>22.18</v>
      </c>
      <c r="D77" s="134">
        <v>17.510000000000002</v>
      </c>
      <c r="E77" s="134">
        <v>5.54</v>
      </c>
      <c r="F77" s="134">
        <v>3.68</v>
      </c>
      <c r="G77" s="134">
        <v>41.09</v>
      </c>
      <c r="H77" s="134">
        <v>14.03</v>
      </c>
      <c r="I77" s="134">
        <v>77.83</v>
      </c>
      <c r="J77" s="134">
        <v>0.19</v>
      </c>
      <c r="K77" s="134">
        <v>54.32</v>
      </c>
      <c r="L77" s="134">
        <v>26.08</v>
      </c>
      <c r="M77" s="134">
        <v>47.78</v>
      </c>
      <c r="N77" s="134">
        <v>0</v>
      </c>
      <c r="O77" s="134">
        <v>0</v>
      </c>
      <c r="P77" s="134">
        <v>0.61</v>
      </c>
      <c r="Q77" s="134">
        <v>4.1399999999999997</v>
      </c>
    </row>
    <row r="78" spans="1:17" customFormat="1">
      <c r="A78" s="112" t="s">
        <v>1748</v>
      </c>
      <c r="B78" s="134">
        <v>5.9</v>
      </c>
      <c r="C78" s="134">
        <v>23.87</v>
      </c>
      <c r="D78" s="134">
        <v>18.55</v>
      </c>
      <c r="E78" s="134">
        <v>6.12</v>
      </c>
      <c r="F78" s="134">
        <v>3.7</v>
      </c>
      <c r="G78" s="134">
        <v>52.67</v>
      </c>
      <c r="H78" s="134">
        <v>18.53</v>
      </c>
      <c r="I78" s="134">
        <v>74.900000000000006</v>
      </c>
      <c r="J78" s="134">
        <v>0.08</v>
      </c>
      <c r="K78" s="134">
        <v>41.91</v>
      </c>
      <c r="L78" s="134">
        <v>25.46</v>
      </c>
      <c r="M78" s="134">
        <v>51.05</v>
      </c>
      <c r="N78" s="134">
        <v>0</v>
      </c>
      <c r="O78" s="134">
        <v>0</v>
      </c>
      <c r="P78" s="134">
        <v>0.65</v>
      </c>
      <c r="Q78" s="134">
        <v>4.1500000000000004</v>
      </c>
    </row>
    <row r="79" spans="1:17" customFormat="1">
      <c r="A79" s="112" t="s">
        <v>1749</v>
      </c>
      <c r="B79" s="134">
        <v>6.06</v>
      </c>
      <c r="C79" s="134">
        <v>25.35</v>
      </c>
      <c r="D79" s="134">
        <v>19.46</v>
      </c>
      <c r="E79" s="134">
        <v>6.2</v>
      </c>
      <c r="F79" s="134">
        <v>3.65</v>
      </c>
      <c r="G79" s="134">
        <v>54.99</v>
      </c>
      <c r="H79" s="134">
        <v>18.53</v>
      </c>
      <c r="I79" s="134">
        <v>70.45</v>
      </c>
      <c r="J79" s="134">
        <v>0.13</v>
      </c>
      <c r="K79" s="134">
        <v>133.38</v>
      </c>
      <c r="L79" s="134">
        <v>24.69</v>
      </c>
      <c r="M79" s="134">
        <v>56</v>
      </c>
      <c r="N79" s="134">
        <v>0</v>
      </c>
      <c r="O79" s="134">
        <v>0</v>
      </c>
      <c r="P79" s="134">
        <v>0.69</v>
      </c>
      <c r="Q79" s="134">
        <v>4.1500000000000004</v>
      </c>
    </row>
    <row r="80" spans="1:17" customFormat="1">
      <c r="A80" s="112" t="s">
        <v>1750</v>
      </c>
      <c r="B80" s="134">
        <v>6.3</v>
      </c>
      <c r="C80" s="134">
        <v>26.39</v>
      </c>
      <c r="D80" s="134">
        <v>20.190000000000001</v>
      </c>
      <c r="E80" s="134">
        <v>6.53</v>
      </c>
      <c r="F80" s="134">
        <v>3.66</v>
      </c>
      <c r="G80" s="134">
        <v>54.99</v>
      </c>
      <c r="H80" s="134">
        <v>18.53</v>
      </c>
      <c r="I80" s="134">
        <v>65.78</v>
      </c>
      <c r="J80" s="134">
        <v>0.14000000000000001</v>
      </c>
      <c r="K80" s="134">
        <v>49.3</v>
      </c>
      <c r="L80" s="134">
        <v>24.43</v>
      </c>
      <c r="M80" s="134">
        <v>54.19</v>
      </c>
      <c r="N80" s="134">
        <v>0</v>
      </c>
      <c r="O80" s="134">
        <v>0</v>
      </c>
      <c r="P80" s="134">
        <v>0.74</v>
      </c>
      <c r="Q80" s="134">
        <v>4.1900000000000004</v>
      </c>
    </row>
    <row r="81" spans="1:17" customFormat="1">
      <c r="A81" s="112" t="s">
        <v>1751</v>
      </c>
      <c r="B81" s="134">
        <v>6.62</v>
      </c>
      <c r="C81" s="134">
        <v>27.68</v>
      </c>
      <c r="D81" s="134">
        <v>21.12</v>
      </c>
      <c r="E81" s="134">
        <v>3.56</v>
      </c>
      <c r="F81" s="134">
        <v>3.3</v>
      </c>
      <c r="G81" s="134">
        <v>54.99</v>
      </c>
      <c r="H81" s="134">
        <v>18.53</v>
      </c>
      <c r="I81" s="134">
        <v>61.42</v>
      </c>
      <c r="J81" s="134">
        <v>0.1</v>
      </c>
      <c r="K81" s="134">
        <v>47.73</v>
      </c>
      <c r="L81" s="134">
        <v>24.25</v>
      </c>
      <c r="M81" s="134">
        <v>54.57</v>
      </c>
      <c r="N81" s="134">
        <v>0</v>
      </c>
      <c r="O81" s="134">
        <v>0</v>
      </c>
      <c r="P81" s="134">
        <v>0.78</v>
      </c>
      <c r="Q81" s="134">
        <v>4.25</v>
      </c>
    </row>
    <row r="82" spans="1:17" customFormat="1">
      <c r="A82" s="112" t="s">
        <v>1752</v>
      </c>
      <c r="B82" s="134">
        <v>7.03</v>
      </c>
      <c r="C82" s="134">
        <v>28.89</v>
      </c>
      <c r="D82" s="134">
        <v>22.08</v>
      </c>
      <c r="E82" s="134">
        <v>4.32</v>
      </c>
      <c r="F82" s="134">
        <v>3.14</v>
      </c>
      <c r="G82" s="134">
        <v>67.77</v>
      </c>
      <c r="H82" s="134">
        <v>22.11</v>
      </c>
      <c r="I82" s="134">
        <v>57.44</v>
      </c>
      <c r="J82" s="134">
        <v>0.23</v>
      </c>
      <c r="K82" s="134">
        <v>36.950000000000003</v>
      </c>
      <c r="L82" s="134">
        <v>24.09</v>
      </c>
      <c r="M82" s="134">
        <v>54.27</v>
      </c>
      <c r="N82" s="134">
        <v>0</v>
      </c>
      <c r="O82" s="134">
        <v>0</v>
      </c>
      <c r="P82" s="134">
        <v>0.81</v>
      </c>
      <c r="Q82" s="134">
        <v>4.25</v>
      </c>
    </row>
    <row r="83" spans="1:17" customFormat="1">
      <c r="A83" s="112" t="s">
        <v>1753</v>
      </c>
      <c r="B83" s="134">
        <v>7.54</v>
      </c>
      <c r="C83" s="134">
        <v>29.56</v>
      </c>
      <c r="D83" s="134">
        <v>22.84</v>
      </c>
      <c r="E83" s="134">
        <v>4.0199999999999996</v>
      </c>
      <c r="F83" s="134">
        <v>3.2</v>
      </c>
      <c r="G83" s="134">
        <v>70.33</v>
      </c>
      <c r="H83" s="134">
        <v>22.11</v>
      </c>
      <c r="I83" s="134">
        <v>53.67</v>
      </c>
      <c r="J83" s="134">
        <v>0.28999999999999998</v>
      </c>
      <c r="K83" s="134">
        <v>36.659999999999997</v>
      </c>
      <c r="L83" s="134">
        <v>24.04</v>
      </c>
      <c r="M83" s="134">
        <v>53.54</v>
      </c>
      <c r="N83" s="134">
        <v>0</v>
      </c>
      <c r="O83" s="134">
        <v>0</v>
      </c>
      <c r="P83" s="134">
        <v>0.82</v>
      </c>
      <c r="Q83" s="134">
        <v>4.2699999999999996</v>
      </c>
    </row>
    <row r="84" spans="1:17" customFormat="1">
      <c r="A84" s="112" t="s">
        <v>1754</v>
      </c>
      <c r="B84" s="134">
        <v>7.74</v>
      </c>
      <c r="C84" s="134">
        <v>30.14</v>
      </c>
      <c r="D84" s="134">
        <v>23.3</v>
      </c>
      <c r="E84" s="134">
        <v>4.54</v>
      </c>
      <c r="F84" s="134">
        <v>3.48</v>
      </c>
      <c r="G84" s="134">
        <v>70.33</v>
      </c>
      <c r="H84" s="134">
        <v>22.11</v>
      </c>
      <c r="I84" s="134">
        <v>50.37</v>
      </c>
      <c r="J84" s="134">
        <v>0.32</v>
      </c>
      <c r="K84" s="134">
        <v>43.5</v>
      </c>
      <c r="L84" s="134">
        <v>23.76</v>
      </c>
      <c r="M84" s="134">
        <v>54.2</v>
      </c>
      <c r="N84" s="134">
        <v>0</v>
      </c>
      <c r="O84" s="134">
        <v>0</v>
      </c>
      <c r="P84" s="134">
        <v>0.84</v>
      </c>
      <c r="Q84" s="134">
        <v>4.3099999999999996</v>
      </c>
    </row>
    <row r="85" spans="1:17" customFormat="1">
      <c r="A85" s="112" t="s">
        <v>1755</v>
      </c>
      <c r="B85" s="134">
        <v>8.0500000000000007</v>
      </c>
      <c r="C85" s="134">
        <v>30.67</v>
      </c>
      <c r="D85" s="134">
        <v>23.83</v>
      </c>
      <c r="E85" s="134">
        <v>4.53</v>
      </c>
      <c r="F85" s="134">
        <v>3.33</v>
      </c>
      <c r="G85" s="134">
        <v>70.33</v>
      </c>
      <c r="H85" s="134">
        <v>22.11</v>
      </c>
      <c r="I85" s="134">
        <v>47.11</v>
      </c>
      <c r="J85" s="134">
        <v>0.28999999999999998</v>
      </c>
      <c r="K85" s="134">
        <v>36.71</v>
      </c>
      <c r="L85" s="134">
        <v>23.45</v>
      </c>
      <c r="M85" s="134">
        <v>55.13</v>
      </c>
      <c r="N85" s="134">
        <v>0</v>
      </c>
      <c r="O85" s="134">
        <v>0</v>
      </c>
      <c r="P85" s="134">
        <v>0.86</v>
      </c>
      <c r="Q85" s="134">
        <v>4.3099999999999996</v>
      </c>
    </row>
    <row r="86" spans="1:17" customFormat="1">
      <c r="A86" s="112" t="s">
        <v>1756</v>
      </c>
      <c r="B86" s="134">
        <v>8.34</v>
      </c>
      <c r="C86" s="134">
        <v>31.44</v>
      </c>
      <c r="D86" s="134">
        <v>24.48</v>
      </c>
      <c r="E86" s="134">
        <v>4.4000000000000004</v>
      </c>
      <c r="F86" s="134">
        <v>3.12</v>
      </c>
      <c r="G86" s="134">
        <v>69.28</v>
      </c>
      <c r="H86" s="134">
        <v>25.32</v>
      </c>
      <c r="I86" s="134">
        <v>44.07</v>
      </c>
      <c r="J86" s="134">
        <v>0.3</v>
      </c>
      <c r="K86" s="134">
        <v>32.39</v>
      </c>
      <c r="L86" s="134">
        <v>23.19</v>
      </c>
      <c r="M86" s="134">
        <v>55.39</v>
      </c>
      <c r="N86" s="134">
        <v>0</v>
      </c>
      <c r="O86" s="134">
        <v>0</v>
      </c>
      <c r="P86" s="134">
        <v>0.86</v>
      </c>
      <c r="Q86" s="134">
        <v>4.33</v>
      </c>
    </row>
    <row r="87" spans="1:17" customFormat="1">
      <c r="A87" s="112" t="s">
        <v>1757</v>
      </c>
      <c r="B87" s="134">
        <v>8.44</v>
      </c>
      <c r="C87" s="134">
        <v>31.49</v>
      </c>
      <c r="D87" s="134">
        <v>24.57</v>
      </c>
      <c r="E87" s="134">
        <v>4.8</v>
      </c>
      <c r="F87" s="134">
        <v>3.2</v>
      </c>
      <c r="G87" s="134">
        <v>69.010000000000005</v>
      </c>
      <c r="H87" s="134">
        <v>25.32</v>
      </c>
      <c r="I87" s="134">
        <v>41.24</v>
      </c>
      <c r="J87" s="134">
        <v>0.18</v>
      </c>
      <c r="K87" s="134">
        <v>40.28</v>
      </c>
      <c r="L87" s="134">
        <v>22.95</v>
      </c>
      <c r="M87" s="134">
        <v>55.59</v>
      </c>
      <c r="N87" s="134">
        <v>0</v>
      </c>
      <c r="O87" s="134">
        <v>0</v>
      </c>
      <c r="P87" s="134">
        <v>0.87</v>
      </c>
      <c r="Q87" s="134">
        <v>4.32</v>
      </c>
    </row>
    <row r="88" spans="1:17" customFormat="1">
      <c r="A88" s="112" t="s">
        <v>1758</v>
      </c>
      <c r="B88" s="134">
        <v>8.3699999999999992</v>
      </c>
      <c r="C88" s="134">
        <v>31.54</v>
      </c>
      <c r="D88" s="134">
        <v>24.54</v>
      </c>
      <c r="E88" s="134">
        <v>4.6399999999999997</v>
      </c>
      <c r="F88" s="134">
        <v>3.24</v>
      </c>
      <c r="G88" s="134">
        <v>69.010000000000005</v>
      </c>
      <c r="H88" s="134">
        <v>25.32</v>
      </c>
      <c r="I88" s="134">
        <v>39.06</v>
      </c>
      <c r="J88" s="134">
        <v>0.31</v>
      </c>
      <c r="K88" s="134">
        <v>42.29</v>
      </c>
      <c r="L88" s="134">
        <v>22.78</v>
      </c>
      <c r="M88" s="134">
        <v>55.74</v>
      </c>
      <c r="N88" s="134">
        <v>0</v>
      </c>
      <c r="O88" s="134">
        <v>0</v>
      </c>
      <c r="P88" s="134">
        <v>0.89</v>
      </c>
      <c r="Q88" s="134">
        <v>4.3099999999999996</v>
      </c>
    </row>
    <row r="89" spans="1:17" customFormat="1">
      <c r="A89" s="112" t="s">
        <v>1759</v>
      </c>
      <c r="B89" s="134">
        <v>8.3800000000000008</v>
      </c>
      <c r="C89" s="134">
        <v>31.04</v>
      </c>
      <c r="D89" s="134">
        <v>24.29</v>
      </c>
      <c r="E89" s="134">
        <v>4.7</v>
      </c>
      <c r="F89" s="134">
        <v>3.43</v>
      </c>
      <c r="G89" s="134">
        <v>69.010000000000005</v>
      </c>
      <c r="H89" s="134">
        <v>25.32</v>
      </c>
      <c r="I89" s="134">
        <v>36.82</v>
      </c>
      <c r="J89" s="134">
        <v>0.2</v>
      </c>
      <c r="K89" s="134">
        <v>53.98</v>
      </c>
      <c r="L89" s="134">
        <v>22.67</v>
      </c>
      <c r="M89" s="134">
        <v>56.37</v>
      </c>
      <c r="N89" s="134">
        <v>0</v>
      </c>
      <c r="O89" s="134">
        <v>0</v>
      </c>
      <c r="P89" s="134">
        <v>0.89</v>
      </c>
      <c r="Q89" s="134">
        <v>4.32</v>
      </c>
    </row>
    <row r="90" spans="1:17" customFormat="1">
      <c r="A90" s="112" t="s">
        <v>1760</v>
      </c>
      <c r="B90" s="134">
        <v>8.36</v>
      </c>
      <c r="C90" s="134">
        <v>30.91</v>
      </c>
      <c r="D90" s="134">
        <v>24.2</v>
      </c>
      <c r="E90" s="134">
        <v>4.43</v>
      </c>
      <c r="F90" s="134">
        <v>3.25</v>
      </c>
      <c r="G90" s="134">
        <v>74.98</v>
      </c>
      <c r="H90" s="134">
        <v>25.28</v>
      </c>
      <c r="I90" s="134">
        <v>34.86</v>
      </c>
      <c r="J90" s="134">
        <v>0.15</v>
      </c>
      <c r="K90" s="134">
        <v>68.47</v>
      </c>
      <c r="L90" s="134">
        <v>22.43</v>
      </c>
      <c r="M90" s="134">
        <v>58.4</v>
      </c>
      <c r="N90" s="134">
        <v>0</v>
      </c>
      <c r="O90" s="134">
        <v>0</v>
      </c>
      <c r="P90" s="134">
        <v>0.91</v>
      </c>
      <c r="Q90" s="134">
        <v>4.33</v>
      </c>
    </row>
    <row r="91" spans="1:17" customFormat="1">
      <c r="A91" s="112" t="s">
        <v>1761</v>
      </c>
      <c r="B91" s="134">
        <v>8.4499999999999993</v>
      </c>
      <c r="C91" s="134">
        <v>30.99</v>
      </c>
      <c r="D91" s="134">
        <v>24.32</v>
      </c>
      <c r="E91" s="134">
        <v>4.5</v>
      </c>
      <c r="F91" s="134">
        <v>3</v>
      </c>
      <c r="G91" s="134">
        <v>76.17</v>
      </c>
      <c r="H91" s="134">
        <v>25.28</v>
      </c>
      <c r="I91" s="134">
        <v>32.99</v>
      </c>
      <c r="J91" s="134">
        <v>7.0000000000000007E-2</v>
      </c>
      <c r="K91" s="134">
        <v>124.17</v>
      </c>
      <c r="L91" s="134">
        <v>22.03</v>
      </c>
      <c r="M91" s="134">
        <v>62.06</v>
      </c>
      <c r="N91" s="134">
        <v>0</v>
      </c>
      <c r="O91" s="134">
        <v>0</v>
      </c>
      <c r="P91" s="134">
        <v>0.91</v>
      </c>
      <c r="Q91" s="134">
        <v>4.3099999999999996</v>
      </c>
    </row>
    <row r="92" spans="1:17" customFormat="1">
      <c r="A92" s="112" t="s">
        <v>1762</v>
      </c>
      <c r="B92" s="134">
        <v>8.83</v>
      </c>
      <c r="C92" s="134">
        <v>30.93</v>
      </c>
      <c r="D92" s="134">
        <v>24.59</v>
      </c>
      <c r="E92" s="134">
        <v>4.3099999999999996</v>
      </c>
      <c r="F92" s="134">
        <v>2.85</v>
      </c>
      <c r="G92" s="134">
        <v>76.17</v>
      </c>
      <c r="H92" s="134">
        <v>25.28</v>
      </c>
      <c r="I92" s="134">
        <v>31.34</v>
      </c>
      <c r="J92" s="134">
        <v>0.06</v>
      </c>
      <c r="K92" s="134">
        <v>213.06</v>
      </c>
      <c r="L92" s="134">
        <v>21.52</v>
      </c>
      <c r="M92" s="134">
        <v>64.64</v>
      </c>
      <c r="N92" s="134">
        <v>0</v>
      </c>
      <c r="O92" s="134">
        <v>0</v>
      </c>
      <c r="P92" s="134">
        <v>0.91</v>
      </c>
      <c r="Q92" s="134">
        <v>4.33</v>
      </c>
    </row>
    <row r="93" spans="1:17" customFormat="1">
      <c r="A93" s="112" t="s">
        <v>1763</v>
      </c>
      <c r="B93" s="134">
        <v>9.31</v>
      </c>
      <c r="C93" s="134">
        <v>31.04</v>
      </c>
      <c r="D93" s="134">
        <v>25.03</v>
      </c>
      <c r="E93" s="134">
        <v>4.28</v>
      </c>
      <c r="F93" s="134">
        <v>2.78</v>
      </c>
      <c r="G93" s="134">
        <v>76.17</v>
      </c>
      <c r="H93" s="134">
        <v>25.28</v>
      </c>
      <c r="I93" s="134">
        <v>29.76</v>
      </c>
      <c r="J93" s="134">
        <v>0.15</v>
      </c>
      <c r="K93" s="134">
        <v>139.11000000000001</v>
      </c>
      <c r="L93" s="134">
        <v>21.36</v>
      </c>
      <c r="M93" s="134">
        <v>66.08</v>
      </c>
      <c r="N93" s="134">
        <v>0</v>
      </c>
      <c r="O93" s="134">
        <v>0</v>
      </c>
      <c r="P93" s="134">
        <v>0.92</v>
      </c>
      <c r="Q93" s="134">
        <v>4.3499999999999996</v>
      </c>
    </row>
    <row r="94" spans="1:17" customFormat="1">
      <c r="A94" s="112" t="s">
        <v>1764</v>
      </c>
      <c r="B94" s="134">
        <v>9.48</v>
      </c>
      <c r="C94" s="134">
        <v>30.52</v>
      </c>
      <c r="D94" s="134">
        <v>24.9</v>
      </c>
      <c r="E94" s="134">
        <v>4.51</v>
      </c>
      <c r="F94" s="134">
        <v>3</v>
      </c>
      <c r="G94" s="134">
        <v>81.73</v>
      </c>
      <c r="H94" s="134">
        <v>26.61</v>
      </c>
      <c r="I94" s="134">
        <v>28.26</v>
      </c>
      <c r="J94" s="134">
        <v>0.12</v>
      </c>
      <c r="K94" s="134">
        <v>106.72</v>
      </c>
      <c r="L94" s="134">
        <v>21.29</v>
      </c>
      <c r="M94" s="134">
        <v>66.510000000000005</v>
      </c>
      <c r="N94" s="134">
        <v>0</v>
      </c>
      <c r="O94" s="134">
        <v>0</v>
      </c>
      <c r="P94" s="134">
        <v>0.91</v>
      </c>
      <c r="Q94" s="134">
        <v>4.3600000000000003</v>
      </c>
    </row>
    <row r="95" spans="1:17" customFormat="1">
      <c r="A95" s="112" t="s">
        <v>1765</v>
      </c>
      <c r="B95" s="134">
        <v>9.3800000000000008</v>
      </c>
      <c r="C95" s="134">
        <v>29.69</v>
      </c>
      <c r="D95" s="134">
        <v>24.38</v>
      </c>
      <c r="E95" s="134">
        <v>4.37</v>
      </c>
      <c r="F95" s="134">
        <v>3.04</v>
      </c>
      <c r="G95" s="134">
        <v>82.84</v>
      </c>
      <c r="H95" s="134">
        <v>26.61</v>
      </c>
      <c r="I95" s="134">
        <v>26.84</v>
      </c>
      <c r="J95" s="134">
        <v>0.16</v>
      </c>
      <c r="K95" s="134">
        <v>132.88999999999999</v>
      </c>
      <c r="L95" s="134">
        <v>21.41</v>
      </c>
      <c r="M95" s="134">
        <v>66.56</v>
      </c>
      <c r="N95" s="134">
        <v>0</v>
      </c>
      <c r="O95" s="134">
        <v>0</v>
      </c>
      <c r="P95" s="134">
        <v>0.91</v>
      </c>
      <c r="Q95" s="134">
        <v>4.3499999999999996</v>
      </c>
    </row>
    <row r="96" spans="1:17" customFormat="1">
      <c r="A96" s="112" t="s">
        <v>1766</v>
      </c>
      <c r="B96" s="134">
        <v>9.31</v>
      </c>
      <c r="C96" s="134">
        <v>28.79</v>
      </c>
      <c r="D96" s="134">
        <v>23.86</v>
      </c>
      <c r="E96" s="134">
        <v>3.89</v>
      </c>
      <c r="F96" s="134">
        <v>3.1</v>
      </c>
      <c r="G96" s="134">
        <v>82.84</v>
      </c>
      <c r="H96" s="134">
        <v>26.61</v>
      </c>
      <c r="I96" s="134">
        <v>25.59</v>
      </c>
      <c r="J96" s="134">
        <v>0.1</v>
      </c>
      <c r="K96" s="134">
        <v>157.72999999999999</v>
      </c>
      <c r="L96" s="134">
        <v>21.11</v>
      </c>
      <c r="M96" s="134">
        <v>67.040000000000006</v>
      </c>
      <c r="N96" s="134">
        <v>0</v>
      </c>
      <c r="O96" s="134">
        <v>0</v>
      </c>
      <c r="P96" s="134">
        <v>0.9</v>
      </c>
      <c r="Q96" s="134">
        <v>4.32</v>
      </c>
    </row>
    <row r="97" spans="1:22" customFormat="1">
      <c r="A97" s="112" t="s">
        <v>1767</v>
      </c>
      <c r="B97" s="134">
        <v>9.41</v>
      </c>
      <c r="C97" s="134">
        <v>28.83</v>
      </c>
      <c r="D97" s="134">
        <v>23.96</v>
      </c>
      <c r="E97" s="134">
        <v>3.86</v>
      </c>
      <c r="F97" s="134">
        <v>2.85</v>
      </c>
      <c r="G97" s="134">
        <v>82.84</v>
      </c>
      <c r="H97" s="134">
        <v>26.61</v>
      </c>
      <c r="I97" s="134">
        <v>24.23</v>
      </c>
      <c r="J97" s="134">
        <v>0.09</v>
      </c>
      <c r="K97" s="134">
        <v>198.76</v>
      </c>
      <c r="L97" s="134">
        <v>20.77</v>
      </c>
      <c r="M97" s="134">
        <v>68.11</v>
      </c>
      <c r="N97" s="134">
        <v>0</v>
      </c>
      <c r="O97" s="134">
        <v>0</v>
      </c>
      <c r="P97" s="134">
        <v>0.89</v>
      </c>
      <c r="Q97" s="134">
        <v>4.33</v>
      </c>
    </row>
    <row r="98" spans="1:22" customFormat="1">
      <c r="A98" s="112" t="s">
        <v>1768</v>
      </c>
      <c r="B98" s="134">
        <v>9.69</v>
      </c>
      <c r="C98" s="134">
        <v>27.84</v>
      </c>
      <c r="D98" s="134">
        <v>23.67</v>
      </c>
      <c r="E98" s="134">
        <v>3.5</v>
      </c>
      <c r="F98" s="134">
        <v>2.86</v>
      </c>
      <c r="G98" s="134">
        <v>78.92</v>
      </c>
      <c r="H98" s="134">
        <v>30.52</v>
      </c>
      <c r="I98" s="134">
        <v>22.99</v>
      </c>
      <c r="J98" s="134">
        <v>0.13</v>
      </c>
      <c r="K98" s="134">
        <v>146.1</v>
      </c>
      <c r="L98" s="134">
        <v>20.53</v>
      </c>
      <c r="M98" s="134">
        <v>70.12</v>
      </c>
      <c r="N98" s="134">
        <v>0</v>
      </c>
      <c r="O98" s="134">
        <v>0</v>
      </c>
      <c r="P98" s="134">
        <v>0.87</v>
      </c>
      <c r="Q98" s="134">
        <v>4.34</v>
      </c>
    </row>
    <row r="99" spans="1:22" customFormat="1">
      <c r="A99" s="112" t="s">
        <v>1769</v>
      </c>
      <c r="B99" s="134">
        <v>10</v>
      </c>
      <c r="C99" s="134">
        <v>24.91</v>
      </c>
      <c r="D99" s="134">
        <v>22.39</v>
      </c>
      <c r="E99" s="134">
        <v>2.82</v>
      </c>
      <c r="F99" s="134">
        <v>3.09</v>
      </c>
      <c r="G99" s="134">
        <v>78.14</v>
      </c>
      <c r="H99" s="134">
        <v>30.52</v>
      </c>
      <c r="I99" s="134">
        <v>21.91</v>
      </c>
      <c r="J99" s="134">
        <v>0.08</v>
      </c>
      <c r="K99" s="134">
        <v>139.85</v>
      </c>
      <c r="L99" s="134">
        <v>20.440000000000001</v>
      </c>
      <c r="M99" s="134">
        <v>70.69</v>
      </c>
      <c r="N99" s="134">
        <v>0</v>
      </c>
      <c r="O99" s="134">
        <v>0</v>
      </c>
      <c r="P99" s="134">
        <v>0.85</v>
      </c>
      <c r="Q99" s="134">
        <v>4.3499999999999996</v>
      </c>
    </row>
    <row r="100" spans="1:22" customFormat="1">
      <c r="A100" s="112" t="s">
        <v>1770</v>
      </c>
      <c r="B100" s="134">
        <v>10.220000000000001</v>
      </c>
      <c r="C100" s="134">
        <v>23.26</v>
      </c>
      <c r="D100" s="134">
        <v>21.7</v>
      </c>
      <c r="E100" s="134">
        <v>2.88</v>
      </c>
      <c r="F100" s="134">
        <v>2.84</v>
      </c>
      <c r="G100" s="134">
        <v>78.14</v>
      </c>
      <c r="H100" s="134">
        <v>30.52</v>
      </c>
      <c r="I100" s="134">
        <v>21.34</v>
      </c>
      <c r="J100" s="134">
        <v>0.06</v>
      </c>
      <c r="K100" s="134">
        <v>77.94</v>
      </c>
      <c r="L100" s="134">
        <v>20.53</v>
      </c>
      <c r="M100" s="134">
        <v>67.209999999999994</v>
      </c>
      <c r="N100" s="134">
        <v>0</v>
      </c>
      <c r="O100" s="134">
        <v>0</v>
      </c>
      <c r="P100" s="134">
        <v>0.82</v>
      </c>
      <c r="Q100" s="134">
        <v>4.33</v>
      </c>
    </row>
    <row r="101" spans="1:22" customFormat="1">
      <c r="A101" s="112" t="s">
        <v>1771</v>
      </c>
      <c r="B101" s="134">
        <v>10.210000000000001</v>
      </c>
      <c r="C101" s="134">
        <v>23.38</v>
      </c>
      <c r="D101" s="134">
        <v>21.75</v>
      </c>
      <c r="E101" s="134">
        <v>3.15</v>
      </c>
      <c r="F101" s="134">
        <v>2.76</v>
      </c>
      <c r="G101" s="134">
        <v>78.14</v>
      </c>
      <c r="H101" s="134">
        <v>30.52</v>
      </c>
      <c r="I101" s="134">
        <v>20.77</v>
      </c>
      <c r="J101" s="134">
        <v>0.1</v>
      </c>
      <c r="K101" s="134">
        <v>189.52</v>
      </c>
      <c r="L101" s="134">
        <v>20.22</v>
      </c>
      <c r="M101" s="134">
        <v>69.98</v>
      </c>
      <c r="N101" s="134">
        <v>0</v>
      </c>
      <c r="O101" s="134">
        <v>0</v>
      </c>
      <c r="P101" s="134">
        <v>0.81</v>
      </c>
      <c r="Q101" s="134">
        <v>4.34</v>
      </c>
    </row>
    <row r="102" spans="1:22" customFormat="1">
      <c r="A102" s="112" t="s">
        <v>1772</v>
      </c>
      <c r="B102" s="134">
        <v>10.23</v>
      </c>
      <c r="C102" s="134">
        <v>23.48</v>
      </c>
      <c r="D102" s="134">
        <v>21.82</v>
      </c>
      <c r="E102" s="134">
        <v>2.56</v>
      </c>
      <c r="F102" s="134">
        <v>2.69</v>
      </c>
      <c r="G102" s="134">
        <v>75.83</v>
      </c>
      <c r="H102" s="134">
        <v>30.28</v>
      </c>
      <c r="I102" s="134">
        <v>20.23</v>
      </c>
      <c r="J102" s="134">
        <v>0.08</v>
      </c>
      <c r="K102" s="134">
        <v>160.32</v>
      </c>
      <c r="L102" s="134">
        <v>19.940000000000001</v>
      </c>
      <c r="M102" s="134">
        <v>71.23</v>
      </c>
      <c r="N102" s="134">
        <v>0</v>
      </c>
      <c r="O102" s="134">
        <v>0</v>
      </c>
      <c r="P102" s="134">
        <v>0.8</v>
      </c>
      <c r="Q102" s="134">
        <v>4.3499999999999996</v>
      </c>
    </row>
    <row r="103" spans="1:22" customFormat="1">
      <c r="A103" s="112" t="s">
        <v>1773</v>
      </c>
      <c r="B103" s="134">
        <v>10.69</v>
      </c>
      <c r="C103" s="134">
        <v>24.86</v>
      </c>
      <c r="D103" s="134">
        <v>22.91</v>
      </c>
      <c r="E103" s="134">
        <v>3.31</v>
      </c>
      <c r="F103" s="134">
        <v>2.46</v>
      </c>
      <c r="G103" s="134">
        <v>75.37</v>
      </c>
      <c r="H103" s="134">
        <v>30.28</v>
      </c>
      <c r="I103" s="134">
        <v>19.64</v>
      </c>
      <c r="J103" s="134">
        <v>7.0000000000000007E-2</v>
      </c>
      <c r="K103" s="134">
        <v>148.61000000000001</v>
      </c>
      <c r="L103" s="134">
        <v>19.850000000000001</v>
      </c>
      <c r="M103" s="134">
        <v>71.52</v>
      </c>
      <c r="N103" s="134">
        <v>0</v>
      </c>
      <c r="O103" s="134">
        <v>0</v>
      </c>
      <c r="P103" s="134">
        <v>0.81</v>
      </c>
      <c r="Q103" s="134">
        <v>4.3600000000000003</v>
      </c>
    </row>
    <row r="104" spans="1:22" customFormat="1">
      <c r="A104" s="112" t="s">
        <v>1774</v>
      </c>
      <c r="B104" s="134">
        <v>11.28</v>
      </c>
      <c r="C104" s="134">
        <v>25.2</v>
      </c>
      <c r="D104" s="134">
        <v>23.57</v>
      </c>
      <c r="E104" s="134">
        <v>3.15</v>
      </c>
      <c r="F104" s="134">
        <v>2.41</v>
      </c>
      <c r="G104" s="134">
        <v>75.37</v>
      </c>
      <c r="H104" s="134">
        <v>30.28</v>
      </c>
      <c r="I104" s="134">
        <v>19.09</v>
      </c>
      <c r="J104" s="134">
        <v>0.06</v>
      </c>
      <c r="K104" s="134">
        <v>281.92</v>
      </c>
      <c r="L104" s="134">
        <v>19.7</v>
      </c>
      <c r="M104" s="134">
        <v>70.7</v>
      </c>
      <c r="N104" s="134">
        <v>0</v>
      </c>
      <c r="O104" s="134">
        <v>0</v>
      </c>
      <c r="P104" s="134">
        <v>0.81</v>
      </c>
      <c r="Q104" s="134">
        <v>4.3499999999999996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0.75</v>
      </c>
      <c r="C106" s="183">
        <f>MIN(C9:C104)</f>
        <v>10.199999999999999</v>
      </c>
      <c r="D106" s="183">
        <f t="shared" ref="D106:Q106" si="0">MIN(D9:D104)</f>
        <v>8.61</v>
      </c>
      <c r="E106" s="183">
        <f t="shared" si="0"/>
        <v>2.56</v>
      </c>
      <c r="F106" s="183">
        <f t="shared" si="0"/>
        <v>2.41</v>
      </c>
      <c r="G106" s="183">
        <f t="shared" si="0"/>
        <v>24.81</v>
      </c>
      <c r="H106" s="183">
        <f t="shared" si="0"/>
        <v>3.17</v>
      </c>
      <c r="I106" s="183">
        <f t="shared" si="0"/>
        <v>3.57</v>
      </c>
      <c r="J106" s="183">
        <f t="shared" si="0"/>
        <v>0.06</v>
      </c>
      <c r="K106" s="183">
        <f t="shared" si="0"/>
        <v>0.36</v>
      </c>
      <c r="L106" s="183">
        <f t="shared" si="0"/>
        <v>17.11</v>
      </c>
      <c r="M106" s="183">
        <f t="shared" si="0"/>
        <v>36.020000000000003</v>
      </c>
      <c r="N106" s="183">
        <f t="shared" si="0"/>
        <v>0</v>
      </c>
      <c r="O106" s="183">
        <f t="shared" si="0"/>
        <v>0</v>
      </c>
      <c r="P106" s="183">
        <f t="shared" si="0"/>
        <v>0.41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11.28</v>
      </c>
      <c r="C107" s="184">
        <f t="shared" ref="C107:Q107" si="1">MAX(C9:C104)</f>
        <v>31.54</v>
      </c>
      <c r="D107" s="184">
        <f t="shared" si="1"/>
        <v>25.03</v>
      </c>
      <c r="E107" s="184">
        <f t="shared" si="1"/>
        <v>10.48</v>
      </c>
      <c r="F107" s="184">
        <f t="shared" si="1"/>
        <v>25.37</v>
      </c>
      <c r="G107" s="184">
        <f t="shared" si="1"/>
        <v>82.84</v>
      </c>
      <c r="H107" s="184">
        <f t="shared" si="1"/>
        <v>37.81</v>
      </c>
      <c r="I107" s="184">
        <f t="shared" si="1"/>
        <v>135.33000000000001</v>
      </c>
      <c r="J107" s="184">
        <f t="shared" si="1"/>
        <v>1.22</v>
      </c>
      <c r="K107" s="184">
        <f t="shared" si="1"/>
        <v>355.91</v>
      </c>
      <c r="L107" s="184">
        <f t="shared" si="1"/>
        <v>29.83</v>
      </c>
      <c r="M107" s="184">
        <f t="shared" si="1"/>
        <v>94.38</v>
      </c>
      <c r="N107" s="184">
        <f t="shared" si="1"/>
        <v>579.5</v>
      </c>
      <c r="O107" s="184">
        <f t="shared" si="1"/>
        <v>0</v>
      </c>
      <c r="P107" s="184">
        <f t="shared" si="1"/>
        <v>0.92</v>
      </c>
      <c r="Q107" s="184">
        <f t="shared" si="1"/>
        <v>4.5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6.5731250000000019</v>
      </c>
      <c r="C108" s="183">
        <f t="shared" ref="C108:Q108" si="2">AVERAGE(C9:C104)</f>
        <v>23.658229166666668</v>
      </c>
      <c r="D108" s="183">
        <f t="shared" si="2"/>
        <v>18.982187499999998</v>
      </c>
      <c r="E108" s="183">
        <f t="shared" si="2"/>
        <v>5.5870833333333314</v>
      </c>
      <c r="F108" s="183">
        <f t="shared" si="2"/>
        <v>5.7344791666666675</v>
      </c>
      <c r="G108" s="183">
        <f t="shared" si="2"/>
        <v>62.455978260869571</v>
      </c>
      <c r="H108" s="183">
        <f t="shared" si="2"/>
        <v>26.932173913043492</v>
      </c>
      <c r="I108" s="183">
        <f t="shared" si="2"/>
        <v>23.225729166666664</v>
      </c>
      <c r="J108" s="183">
        <f t="shared" si="2"/>
        <v>0.37968750000000001</v>
      </c>
      <c r="K108" s="183">
        <f t="shared" si="2"/>
        <v>76.653750000000002</v>
      </c>
      <c r="L108" s="183">
        <f t="shared" si="2"/>
        <v>22.788749999999993</v>
      </c>
      <c r="M108" s="183">
        <f t="shared" si="2"/>
        <v>63.827291666666667</v>
      </c>
      <c r="N108" s="183">
        <f t="shared" si="2"/>
        <v>127.61562500000002</v>
      </c>
      <c r="O108" s="183">
        <f t="shared" si="2"/>
        <v>0</v>
      </c>
      <c r="P108" s="183">
        <f t="shared" si="2"/>
        <v>0.74572916666666655</v>
      </c>
      <c r="Q108" s="183">
        <f t="shared" si="2"/>
        <v>4.2455208333333312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2.718314614261057</v>
      </c>
      <c r="C109" s="183">
        <f t="shared" ref="C109:Q109" si="3">STDEV(C9:C104)</f>
        <v>4.091981117101982</v>
      </c>
      <c r="D109" s="183">
        <f t="shared" si="3"/>
        <v>3.8691253474069907</v>
      </c>
      <c r="E109" s="183">
        <f t="shared" si="3"/>
        <v>1.6935232142468593</v>
      </c>
      <c r="F109" s="183">
        <f t="shared" si="3"/>
        <v>5.5672597189738484</v>
      </c>
      <c r="G109" s="183">
        <f t="shared" si="3"/>
        <v>13.175821017001189</v>
      </c>
      <c r="H109" s="183">
        <f t="shared" si="3"/>
        <v>8.684987783790298</v>
      </c>
      <c r="I109" s="183">
        <f t="shared" si="3"/>
        <v>29.907991389199037</v>
      </c>
      <c r="J109" s="183">
        <f t="shared" si="3"/>
        <v>0.26152771061792396</v>
      </c>
      <c r="K109" s="183">
        <f t="shared" si="3"/>
        <v>64.931562599239413</v>
      </c>
      <c r="L109" s="183">
        <f t="shared" si="3"/>
        <v>4.2463044614049785</v>
      </c>
      <c r="M109" s="183">
        <f t="shared" si="3"/>
        <v>20.113166595105188</v>
      </c>
      <c r="N109" s="183">
        <f t="shared" si="3"/>
        <v>204.82354630684071</v>
      </c>
      <c r="O109" s="183">
        <f t="shared" si="3"/>
        <v>0</v>
      </c>
      <c r="P109" s="183">
        <f t="shared" si="3"/>
        <v>0.10445593169689778</v>
      </c>
      <c r="Q109" s="183">
        <f t="shared" si="3"/>
        <v>0.45665573763977257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17/11/2023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1775</v>
      </c>
      <c r="B9" s="134">
        <v>9.99</v>
      </c>
      <c r="C9" s="134">
        <v>24.93</v>
      </c>
      <c r="D9" s="134">
        <v>22.39</v>
      </c>
      <c r="E9" s="134">
        <v>3.02</v>
      </c>
      <c r="F9" s="134">
        <v>2.66</v>
      </c>
      <c r="G9" s="134">
        <v>75.37</v>
      </c>
      <c r="H9" s="134">
        <v>30.28</v>
      </c>
      <c r="I9" s="134">
        <v>18.559999999999999</v>
      </c>
      <c r="J9" s="134">
        <v>0.14000000000000001</v>
      </c>
      <c r="K9" s="134">
        <v>144.28</v>
      </c>
      <c r="L9" s="134">
        <v>19.559999999999999</v>
      </c>
      <c r="M9" s="134">
        <v>72.7</v>
      </c>
      <c r="N9" s="134">
        <v>0</v>
      </c>
      <c r="O9" s="134">
        <v>0</v>
      </c>
      <c r="P9" s="134">
        <v>0.8</v>
      </c>
      <c r="Q9" s="134">
        <v>4.38</v>
      </c>
    </row>
    <row r="10" spans="1:21" customFormat="1">
      <c r="A10" s="112" t="s">
        <v>1776</v>
      </c>
      <c r="B10" s="134">
        <v>10.119999999999999</v>
      </c>
      <c r="C10" s="134">
        <v>24.83</v>
      </c>
      <c r="D10" s="134">
        <v>22.44</v>
      </c>
      <c r="E10" s="134">
        <v>2.71</v>
      </c>
      <c r="F10" s="134">
        <v>2.58</v>
      </c>
      <c r="G10" s="134">
        <v>73.180000000000007</v>
      </c>
      <c r="H10" s="134">
        <v>30.64</v>
      </c>
      <c r="I10" s="134">
        <v>16.95</v>
      </c>
      <c r="J10" s="134">
        <v>0.04</v>
      </c>
      <c r="K10" s="134">
        <v>101.1</v>
      </c>
      <c r="L10" s="134">
        <v>19.489999999999998</v>
      </c>
      <c r="M10" s="134">
        <v>72.28</v>
      </c>
      <c r="N10" s="134">
        <v>0</v>
      </c>
      <c r="O10" s="134">
        <v>0</v>
      </c>
      <c r="P10" s="134">
        <v>0.78</v>
      </c>
      <c r="Q10" s="134">
        <v>4.4000000000000004</v>
      </c>
    </row>
    <row r="11" spans="1:21" customFormat="1">
      <c r="A11" s="112" t="s">
        <v>1777</v>
      </c>
      <c r="B11" s="134">
        <v>10.26</v>
      </c>
      <c r="C11" s="134">
        <v>24.89</v>
      </c>
      <c r="D11" s="134">
        <v>22.58</v>
      </c>
      <c r="E11" s="134">
        <v>2.88</v>
      </c>
      <c r="F11" s="134">
        <v>2.5499999999999998</v>
      </c>
      <c r="G11" s="134">
        <v>72.739999999999995</v>
      </c>
      <c r="H11" s="134">
        <v>30.64</v>
      </c>
      <c r="I11" s="134">
        <v>16.45</v>
      </c>
      <c r="J11" s="134">
        <v>0.06</v>
      </c>
      <c r="K11" s="134">
        <v>99.05</v>
      </c>
      <c r="L11" s="134">
        <v>19.54</v>
      </c>
      <c r="M11" s="134">
        <v>71.58</v>
      </c>
      <c r="N11" s="134">
        <v>0</v>
      </c>
      <c r="O11" s="134">
        <v>0</v>
      </c>
      <c r="P11" s="134">
        <v>0.78</v>
      </c>
      <c r="Q11" s="134">
        <v>4.41</v>
      </c>
    </row>
    <row r="12" spans="1:21" customFormat="1">
      <c r="A12" s="112" t="s">
        <v>1778</v>
      </c>
      <c r="B12" s="134">
        <v>10.46</v>
      </c>
      <c r="C12" s="134">
        <v>24.05</v>
      </c>
      <c r="D12" s="134">
        <v>22.31</v>
      </c>
      <c r="E12" s="134">
        <v>2.79</v>
      </c>
      <c r="F12" s="134">
        <v>2.62</v>
      </c>
      <c r="G12" s="134">
        <v>72.739999999999995</v>
      </c>
      <c r="H12" s="134">
        <v>30.64</v>
      </c>
      <c r="I12" s="134">
        <v>15.92</v>
      </c>
      <c r="J12" s="134">
        <v>0.06</v>
      </c>
      <c r="K12" s="134">
        <v>112.21</v>
      </c>
      <c r="L12" s="134">
        <v>19.45</v>
      </c>
      <c r="M12" s="134">
        <v>71.47</v>
      </c>
      <c r="N12" s="134">
        <v>0</v>
      </c>
      <c r="O12" s="134">
        <v>0</v>
      </c>
      <c r="P12" s="134">
        <v>0.76</v>
      </c>
      <c r="Q12" s="134">
        <v>4.43</v>
      </c>
    </row>
    <row r="13" spans="1:21" customFormat="1">
      <c r="A13" s="112" t="s">
        <v>1779</v>
      </c>
      <c r="B13" s="134">
        <v>10.5</v>
      </c>
      <c r="C13" s="134">
        <v>24.39</v>
      </c>
      <c r="D13" s="134">
        <v>22.52</v>
      </c>
      <c r="E13" s="134">
        <v>2.79</v>
      </c>
      <c r="F13" s="134">
        <v>2.5299999999999998</v>
      </c>
      <c r="G13" s="134">
        <v>72.739999999999995</v>
      </c>
      <c r="H13" s="134">
        <v>30.64</v>
      </c>
      <c r="I13" s="134">
        <v>15.48</v>
      </c>
      <c r="J13" s="134">
        <v>7.0000000000000007E-2</v>
      </c>
      <c r="K13" s="134">
        <v>73.03</v>
      </c>
      <c r="L13" s="134">
        <v>19.3</v>
      </c>
      <c r="M13" s="134">
        <v>71.42</v>
      </c>
      <c r="N13" s="134">
        <v>0</v>
      </c>
      <c r="O13" s="134">
        <v>0</v>
      </c>
      <c r="P13" s="134">
        <v>0.76</v>
      </c>
      <c r="Q13" s="134">
        <v>4.42</v>
      </c>
    </row>
    <row r="14" spans="1:21" customFormat="1">
      <c r="A14" s="112" t="s">
        <v>1780</v>
      </c>
      <c r="B14" s="134">
        <v>10.61</v>
      </c>
      <c r="C14" s="134">
        <v>23.79</v>
      </c>
      <c r="D14" s="134">
        <v>22.29</v>
      </c>
      <c r="E14" s="134">
        <v>3.04</v>
      </c>
      <c r="F14" s="134">
        <v>2.56</v>
      </c>
      <c r="G14" s="134">
        <v>70.069999999999993</v>
      </c>
      <c r="H14" s="134">
        <v>25.68</v>
      </c>
      <c r="I14" s="134">
        <v>14.96</v>
      </c>
      <c r="J14" s="134">
        <v>0.05</v>
      </c>
      <c r="K14" s="134">
        <v>61.57</v>
      </c>
      <c r="L14" s="134">
        <v>19.16</v>
      </c>
      <c r="M14" s="134">
        <v>72.27</v>
      </c>
      <c r="N14" s="134">
        <v>0</v>
      </c>
      <c r="O14" s="134">
        <v>0</v>
      </c>
      <c r="P14" s="134">
        <v>0.74</v>
      </c>
      <c r="Q14" s="134">
        <v>4.43</v>
      </c>
    </row>
    <row r="15" spans="1:21" customFormat="1">
      <c r="A15" s="112" t="s">
        <v>1781</v>
      </c>
      <c r="B15" s="134">
        <v>10.65</v>
      </c>
      <c r="C15" s="134">
        <v>24.32</v>
      </c>
      <c r="D15" s="134">
        <v>22.6</v>
      </c>
      <c r="E15" s="134">
        <v>3.17</v>
      </c>
      <c r="F15" s="134">
        <v>2.62</v>
      </c>
      <c r="G15" s="134">
        <v>69.540000000000006</v>
      </c>
      <c r="H15" s="134">
        <v>25.68</v>
      </c>
      <c r="I15" s="134">
        <v>14.55</v>
      </c>
      <c r="J15" s="134">
        <v>0.22</v>
      </c>
      <c r="K15" s="134">
        <v>35.03</v>
      </c>
      <c r="L15" s="134">
        <v>19.100000000000001</v>
      </c>
      <c r="M15" s="134">
        <v>70.849999999999994</v>
      </c>
      <c r="N15" s="134">
        <v>0</v>
      </c>
      <c r="O15" s="134">
        <v>0</v>
      </c>
      <c r="P15" s="134">
        <v>0.73</v>
      </c>
      <c r="Q15" s="134">
        <v>4.45</v>
      </c>
    </row>
    <row r="16" spans="1:21" customFormat="1">
      <c r="A16" s="112" t="s">
        <v>1782</v>
      </c>
      <c r="B16" s="134">
        <v>10.6</v>
      </c>
      <c r="C16" s="134">
        <v>24.27</v>
      </c>
      <c r="D16" s="134">
        <v>22.53</v>
      </c>
      <c r="E16" s="134">
        <v>3.21</v>
      </c>
      <c r="F16" s="134">
        <v>2.64</v>
      </c>
      <c r="G16" s="134">
        <v>69.540000000000006</v>
      </c>
      <c r="H16" s="134">
        <v>25.68</v>
      </c>
      <c r="I16" s="134">
        <v>14.11</v>
      </c>
      <c r="J16" s="134">
        <v>0.27</v>
      </c>
      <c r="K16" s="134">
        <v>33.33</v>
      </c>
      <c r="L16" s="134">
        <v>19.16</v>
      </c>
      <c r="M16" s="134">
        <v>70.7</v>
      </c>
      <c r="N16" s="134">
        <v>0</v>
      </c>
      <c r="O16" s="134">
        <v>0</v>
      </c>
      <c r="P16" s="134">
        <v>0.72</v>
      </c>
      <c r="Q16" s="134">
        <v>4.4400000000000004</v>
      </c>
    </row>
    <row r="17" spans="1:17" customFormat="1">
      <c r="A17" s="112" t="s">
        <v>1783</v>
      </c>
      <c r="B17" s="134">
        <v>10.55</v>
      </c>
      <c r="C17" s="134">
        <v>23.28</v>
      </c>
      <c r="D17" s="134">
        <v>21.98</v>
      </c>
      <c r="E17" s="134">
        <v>4.26</v>
      </c>
      <c r="F17" s="134">
        <v>2.7</v>
      </c>
      <c r="G17" s="134">
        <v>69.540000000000006</v>
      </c>
      <c r="H17" s="134">
        <v>25.68</v>
      </c>
      <c r="I17" s="134">
        <v>13.7</v>
      </c>
      <c r="J17" s="134">
        <v>0.28000000000000003</v>
      </c>
      <c r="K17" s="134">
        <v>23.17</v>
      </c>
      <c r="L17" s="134">
        <v>19.02</v>
      </c>
      <c r="M17" s="134">
        <v>71.790000000000006</v>
      </c>
      <c r="N17" s="134">
        <v>0</v>
      </c>
      <c r="O17" s="134">
        <v>0</v>
      </c>
      <c r="P17" s="134">
        <v>0.72</v>
      </c>
      <c r="Q17" s="134">
        <v>4.4400000000000004</v>
      </c>
    </row>
    <row r="18" spans="1:17" customFormat="1">
      <c r="A18" s="112" t="s">
        <v>1784</v>
      </c>
      <c r="B18" s="134">
        <v>10.5</v>
      </c>
      <c r="C18" s="134">
        <v>23.83</v>
      </c>
      <c r="D18" s="134">
        <v>22.22</v>
      </c>
      <c r="E18" s="134">
        <v>5.16</v>
      </c>
      <c r="F18" s="134">
        <v>2.54</v>
      </c>
      <c r="G18" s="134">
        <v>66.12</v>
      </c>
      <c r="H18" s="134">
        <v>23.15</v>
      </c>
      <c r="I18" s="134">
        <v>13.32</v>
      </c>
      <c r="J18" s="134">
        <v>0.26</v>
      </c>
      <c r="K18" s="134">
        <v>38.54</v>
      </c>
      <c r="L18" s="134">
        <v>18.89</v>
      </c>
      <c r="M18" s="134">
        <v>72.92</v>
      </c>
      <c r="N18" s="134">
        <v>0</v>
      </c>
      <c r="O18" s="134">
        <v>0</v>
      </c>
      <c r="P18" s="134">
        <v>0.71</v>
      </c>
      <c r="Q18" s="134">
        <v>4.4400000000000004</v>
      </c>
    </row>
    <row r="19" spans="1:17" customFormat="1">
      <c r="A19" s="112" t="s">
        <v>1785</v>
      </c>
      <c r="B19" s="134">
        <v>10.54</v>
      </c>
      <c r="C19" s="134">
        <v>23.37</v>
      </c>
      <c r="D19" s="134">
        <v>22.02</v>
      </c>
      <c r="E19" s="134">
        <v>5.42</v>
      </c>
      <c r="F19" s="134">
        <v>2.57</v>
      </c>
      <c r="G19" s="134">
        <v>65.430000000000007</v>
      </c>
      <c r="H19" s="134">
        <v>23.15</v>
      </c>
      <c r="I19" s="134">
        <v>12.92</v>
      </c>
      <c r="J19" s="134">
        <v>0.35</v>
      </c>
      <c r="K19" s="134">
        <v>23.07</v>
      </c>
      <c r="L19" s="134">
        <v>18.78</v>
      </c>
      <c r="M19" s="134">
        <v>73.430000000000007</v>
      </c>
      <c r="N19" s="134">
        <v>0</v>
      </c>
      <c r="O19" s="134">
        <v>0</v>
      </c>
      <c r="P19" s="134">
        <v>0.69</v>
      </c>
      <c r="Q19" s="134">
        <v>4.43</v>
      </c>
    </row>
    <row r="20" spans="1:17" customFormat="1">
      <c r="A20" s="112" t="s">
        <v>1786</v>
      </c>
      <c r="B20" s="134">
        <v>10.53</v>
      </c>
      <c r="C20" s="134">
        <v>23.77</v>
      </c>
      <c r="D20" s="134">
        <v>22.21</v>
      </c>
      <c r="E20" s="134">
        <v>5.47</v>
      </c>
      <c r="F20" s="134">
        <v>2.66</v>
      </c>
      <c r="G20" s="134">
        <v>65.430000000000007</v>
      </c>
      <c r="H20" s="134">
        <v>23.15</v>
      </c>
      <c r="I20" s="134">
        <v>12.61</v>
      </c>
      <c r="J20" s="134">
        <v>0.36</v>
      </c>
      <c r="K20" s="134">
        <v>29.26</v>
      </c>
      <c r="L20" s="134">
        <v>18.64</v>
      </c>
      <c r="M20" s="134">
        <v>74.709999999999994</v>
      </c>
      <c r="N20" s="134">
        <v>0</v>
      </c>
      <c r="O20" s="134">
        <v>0</v>
      </c>
      <c r="P20" s="134">
        <v>0.69</v>
      </c>
      <c r="Q20" s="134">
        <v>4.42</v>
      </c>
    </row>
    <row r="21" spans="1:17" customFormat="1">
      <c r="A21" s="112" t="s">
        <v>1787</v>
      </c>
      <c r="B21" s="134">
        <v>10.01</v>
      </c>
      <c r="C21" s="134">
        <v>22.95</v>
      </c>
      <c r="D21" s="134">
        <v>21.37</v>
      </c>
      <c r="E21" s="134">
        <v>6.11</v>
      </c>
      <c r="F21" s="134">
        <v>2.97</v>
      </c>
      <c r="G21" s="134">
        <v>65.430000000000007</v>
      </c>
      <c r="H21" s="134">
        <v>23.15</v>
      </c>
      <c r="I21" s="134">
        <v>12.28</v>
      </c>
      <c r="J21" s="134">
        <v>0.19</v>
      </c>
      <c r="K21" s="134">
        <v>40.06</v>
      </c>
      <c r="L21" s="134">
        <v>18.559999999999999</v>
      </c>
      <c r="M21" s="134">
        <v>75.33</v>
      </c>
      <c r="N21" s="134">
        <v>0</v>
      </c>
      <c r="O21" s="134">
        <v>0</v>
      </c>
      <c r="P21" s="134">
        <v>0.7</v>
      </c>
      <c r="Q21" s="134">
        <v>4.41</v>
      </c>
    </row>
    <row r="22" spans="1:17" customFormat="1">
      <c r="A22" s="112" t="s">
        <v>1788</v>
      </c>
      <c r="B22" s="134">
        <v>9.39</v>
      </c>
      <c r="C22" s="134">
        <v>23.04</v>
      </c>
      <c r="D22" s="134">
        <v>20.92</v>
      </c>
      <c r="E22" s="134">
        <v>5.52</v>
      </c>
      <c r="F22" s="134">
        <v>3.13</v>
      </c>
      <c r="G22" s="134">
        <v>60.52</v>
      </c>
      <c r="H22" s="134">
        <v>23.5</v>
      </c>
      <c r="I22" s="134">
        <v>11.87</v>
      </c>
      <c r="J22" s="134">
        <v>0.19</v>
      </c>
      <c r="K22" s="134">
        <v>30.98</v>
      </c>
      <c r="L22" s="134">
        <v>18.399999999999999</v>
      </c>
      <c r="M22" s="134">
        <v>76.3</v>
      </c>
      <c r="N22" s="134">
        <v>0</v>
      </c>
      <c r="O22" s="134">
        <v>0</v>
      </c>
      <c r="P22" s="134">
        <v>0.7</v>
      </c>
      <c r="Q22" s="134">
        <v>4.4000000000000004</v>
      </c>
    </row>
    <row r="23" spans="1:17" customFormat="1">
      <c r="A23" s="112" t="s">
        <v>1789</v>
      </c>
      <c r="B23" s="134">
        <v>9.01</v>
      </c>
      <c r="C23" s="134">
        <v>23.17</v>
      </c>
      <c r="D23" s="134">
        <v>20.69</v>
      </c>
      <c r="E23" s="134">
        <v>5.88</v>
      </c>
      <c r="F23" s="134">
        <v>3.04</v>
      </c>
      <c r="G23" s="134">
        <v>59.54</v>
      </c>
      <c r="H23" s="134">
        <v>23.5</v>
      </c>
      <c r="I23" s="134">
        <v>11.39</v>
      </c>
      <c r="J23" s="134">
        <v>0.26</v>
      </c>
      <c r="K23" s="134">
        <v>37.53</v>
      </c>
      <c r="L23" s="134">
        <v>18.29</v>
      </c>
      <c r="M23" s="134">
        <v>77.67</v>
      </c>
      <c r="N23" s="134">
        <v>0</v>
      </c>
      <c r="O23" s="134">
        <v>0</v>
      </c>
      <c r="P23" s="134">
        <v>0.69</v>
      </c>
      <c r="Q23" s="134">
        <v>4.4000000000000004</v>
      </c>
    </row>
    <row r="24" spans="1:17" customFormat="1">
      <c r="A24" s="112" t="s">
        <v>1790</v>
      </c>
      <c r="B24" s="134">
        <v>8.81</v>
      </c>
      <c r="C24" s="134">
        <v>23.58</v>
      </c>
      <c r="D24" s="134">
        <v>20.73</v>
      </c>
      <c r="E24" s="134">
        <v>5.91</v>
      </c>
      <c r="F24" s="134">
        <v>3</v>
      </c>
      <c r="G24" s="134">
        <v>59.54</v>
      </c>
      <c r="H24" s="134">
        <v>23.5</v>
      </c>
      <c r="I24" s="134">
        <v>10.92</v>
      </c>
      <c r="J24" s="134">
        <v>0.32</v>
      </c>
      <c r="K24" s="134">
        <v>34.450000000000003</v>
      </c>
      <c r="L24" s="134">
        <v>18.02</v>
      </c>
      <c r="M24" s="134">
        <v>79.19</v>
      </c>
      <c r="N24" s="134">
        <v>0</v>
      </c>
      <c r="O24" s="134">
        <v>0</v>
      </c>
      <c r="P24" s="134">
        <v>0.7</v>
      </c>
      <c r="Q24" s="134">
        <v>4.3600000000000003</v>
      </c>
    </row>
    <row r="25" spans="1:17" customFormat="1">
      <c r="A25" s="112" t="s">
        <v>1791</v>
      </c>
      <c r="B25" s="134">
        <v>8.81</v>
      </c>
      <c r="C25" s="134">
        <v>24.2</v>
      </c>
      <c r="D25" s="134">
        <v>21.06</v>
      </c>
      <c r="E25" s="134">
        <v>5.9</v>
      </c>
      <c r="F25" s="134">
        <v>3.05</v>
      </c>
      <c r="G25" s="134">
        <v>59.54</v>
      </c>
      <c r="H25" s="134">
        <v>23.5</v>
      </c>
      <c r="I25" s="134">
        <v>10.49</v>
      </c>
      <c r="J25" s="134">
        <v>0.16</v>
      </c>
      <c r="K25" s="134">
        <v>37.21</v>
      </c>
      <c r="L25" s="134">
        <v>17.940000000000001</v>
      </c>
      <c r="M25" s="134">
        <v>79.16</v>
      </c>
      <c r="N25" s="134">
        <v>0</v>
      </c>
      <c r="O25" s="134">
        <v>0</v>
      </c>
      <c r="P25" s="134">
        <v>0.69</v>
      </c>
      <c r="Q25" s="134">
        <v>4.3600000000000003</v>
      </c>
    </row>
    <row r="26" spans="1:17" customFormat="1">
      <c r="A26" s="112" t="s">
        <v>1792</v>
      </c>
      <c r="B26" s="134">
        <v>8.76</v>
      </c>
      <c r="C26" s="134">
        <v>24.47</v>
      </c>
      <c r="D26" s="134">
        <v>21.16</v>
      </c>
      <c r="E26" s="134">
        <v>5.82</v>
      </c>
      <c r="F26" s="134">
        <v>3.12</v>
      </c>
      <c r="G26" s="134">
        <v>61.25</v>
      </c>
      <c r="H26" s="134">
        <v>24.72</v>
      </c>
      <c r="I26" s="134">
        <v>10.11</v>
      </c>
      <c r="J26" s="134">
        <v>0.2</v>
      </c>
      <c r="K26" s="134">
        <v>47.63</v>
      </c>
      <c r="L26" s="134">
        <v>18.02</v>
      </c>
      <c r="M26" s="134">
        <v>78.75</v>
      </c>
      <c r="N26" s="134">
        <v>0</v>
      </c>
      <c r="O26" s="134">
        <v>0</v>
      </c>
      <c r="P26" s="134">
        <v>0.68</v>
      </c>
      <c r="Q26" s="134">
        <v>4.37</v>
      </c>
    </row>
    <row r="27" spans="1:17" customFormat="1">
      <c r="A27" s="112" t="s">
        <v>1793</v>
      </c>
      <c r="B27" s="134">
        <v>8.7100000000000009</v>
      </c>
      <c r="C27" s="134">
        <v>24.39</v>
      </c>
      <c r="D27" s="134">
        <v>21.08</v>
      </c>
      <c r="E27" s="134">
        <v>5.84</v>
      </c>
      <c r="F27" s="134">
        <v>3.06</v>
      </c>
      <c r="G27" s="134">
        <v>61.59</v>
      </c>
      <c r="H27" s="134">
        <v>24.72</v>
      </c>
      <c r="I27" s="134">
        <v>9.74</v>
      </c>
      <c r="J27" s="134">
        <v>0.22</v>
      </c>
      <c r="K27" s="134">
        <v>36.28</v>
      </c>
      <c r="L27" s="134">
        <v>17.93</v>
      </c>
      <c r="M27" s="134">
        <v>80.11</v>
      </c>
      <c r="N27" s="134">
        <v>0</v>
      </c>
      <c r="O27" s="134">
        <v>0</v>
      </c>
      <c r="P27" s="134">
        <v>0.68</v>
      </c>
      <c r="Q27" s="134">
        <v>4.38</v>
      </c>
    </row>
    <row r="28" spans="1:17" customFormat="1">
      <c r="A28" s="112" t="s">
        <v>1794</v>
      </c>
      <c r="B28" s="134">
        <v>8.65</v>
      </c>
      <c r="C28" s="134">
        <v>24.58</v>
      </c>
      <c r="D28" s="134">
        <v>21.13</v>
      </c>
      <c r="E28" s="134">
        <v>6.39</v>
      </c>
      <c r="F28" s="134">
        <v>2.77</v>
      </c>
      <c r="G28" s="134">
        <v>61.59</v>
      </c>
      <c r="H28" s="134">
        <v>24.72</v>
      </c>
      <c r="I28" s="134">
        <v>9.41</v>
      </c>
      <c r="J28" s="134">
        <v>0.16</v>
      </c>
      <c r="K28" s="134">
        <v>58.34</v>
      </c>
      <c r="L28" s="134">
        <v>17.989999999999998</v>
      </c>
      <c r="M28" s="134">
        <v>79.27</v>
      </c>
      <c r="N28" s="134">
        <v>0</v>
      </c>
      <c r="O28" s="134">
        <v>0</v>
      </c>
      <c r="P28" s="134">
        <v>0.69</v>
      </c>
      <c r="Q28" s="134">
        <v>4.37</v>
      </c>
    </row>
    <row r="29" spans="1:17" customFormat="1">
      <c r="A29" s="112" t="s">
        <v>1795</v>
      </c>
      <c r="B29" s="134">
        <v>8.85</v>
      </c>
      <c r="C29" s="134">
        <v>24.71</v>
      </c>
      <c r="D29" s="134">
        <v>21.35</v>
      </c>
      <c r="E29" s="134">
        <v>6.74</v>
      </c>
      <c r="F29" s="134">
        <v>2.86</v>
      </c>
      <c r="G29" s="134">
        <v>61.59</v>
      </c>
      <c r="H29" s="134">
        <v>24.72</v>
      </c>
      <c r="I29" s="134">
        <v>9.14</v>
      </c>
      <c r="J29" s="134">
        <v>0.21</v>
      </c>
      <c r="K29" s="134">
        <v>36.93</v>
      </c>
      <c r="L29" s="134">
        <v>17.89</v>
      </c>
      <c r="M29" s="134">
        <v>80.33</v>
      </c>
      <c r="N29" s="134">
        <v>0</v>
      </c>
      <c r="O29" s="134">
        <v>0</v>
      </c>
      <c r="P29" s="134">
        <v>0.69</v>
      </c>
      <c r="Q29" s="134">
        <v>4.37</v>
      </c>
    </row>
    <row r="30" spans="1:17" customFormat="1">
      <c r="A30" s="112" t="s">
        <v>1796</v>
      </c>
      <c r="B30" s="134">
        <v>9.0399999999999991</v>
      </c>
      <c r="C30" s="134">
        <v>24.58</v>
      </c>
      <c r="D30" s="134">
        <v>21.44</v>
      </c>
      <c r="E30" s="134">
        <v>6.3</v>
      </c>
      <c r="F30" s="134">
        <v>2.91</v>
      </c>
      <c r="G30" s="134">
        <v>59.83</v>
      </c>
      <c r="H30" s="134">
        <v>27.79</v>
      </c>
      <c r="I30" s="134">
        <v>8.89</v>
      </c>
      <c r="J30" s="134">
        <v>0.25</v>
      </c>
      <c r="K30" s="134">
        <v>47.55</v>
      </c>
      <c r="L30" s="134">
        <v>17.78</v>
      </c>
      <c r="M30" s="134">
        <v>81.13</v>
      </c>
      <c r="N30" s="134">
        <v>0</v>
      </c>
      <c r="O30" s="134">
        <v>0</v>
      </c>
      <c r="P30" s="134">
        <v>0.69</v>
      </c>
      <c r="Q30" s="134">
        <v>4.38</v>
      </c>
    </row>
    <row r="31" spans="1:17" customFormat="1">
      <c r="A31" s="112" t="s">
        <v>1797</v>
      </c>
      <c r="B31" s="134">
        <v>9.1</v>
      </c>
      <c r="C31" s="134">
        <v>24.55</v>
      </c>
      <c r="D31" s="134">
        <v>21.48</v>
      </c>
      <c r="E31" s="134">
        <v>6.01</v>
      </c>
      <c r="F31" s="134">
        <v>2.89</v>
      </c>
      <c r="G31" s="134">
        <v>59.47</v>
      </c>
      <c r="H31" s="134">
        <v>27.79</v>
      </c>
      <c r="I31" s="134">
        <v>8.61</v>
      </c>
      <c r="J31" s="134">
        <v>0.21</v>
      </c>
      <c r="K31" s="134">
        <v>44.84</v>
      </c>
      <c r="L31" s="134">
        <v>17.73</v>
      </c>
      <c r="M31" s="134">
        <v>81.95</v>
      </c>
      <c r="N31" s="134">
        <v>0</v>
      </c>
      <c r="O31" s="134">
        <v>0</v>
      </c>
      <c r="P31" s="134">
        <v>0.69</v>
      </c>
      <c r="Q31" s="134">
        <v>4.3899999999999997</v>
      </c>
    </row>
    <row r="32" spans="1:17" customFormat="1">
      <c r="A32" s="112" t="s">
        <v>1798</v>
      </c>
      <c r="B32" s="134">
        <v>9.07</v>
      </c>
      <c r="C32" s="134">
        <v>24.59</v>
      </c>
      <c r="D32" s="134">
        <v>21.47</v>
      </c>
      <c r="E32" s="134">
        <v>6.13</v>
      </c>
      <c r="F32" s="134">
        <v>2.8</v>
      </c>
      <c r="G32" s="134">
        <v>59.47</v>
      </c>
      <c r="H32" s="134">
        <v>27.79</v>
      </c>
      <c r="I32" s="134">
        <v>8.4</v>
      </c>
      <c r="J32" s="134">
        <v>0.19</v>
      </c>
      <c r="K32" s="134">
        <v>53.98</v>
      </c>
      <c r="L32" s="134">
        <v>17.72</v>
      </c>
      <c r="M32" s="134">
        <v>81.94</v>
      </c>
      <c r="N32" s="134">
        <v>0</v>
      </c>
      <c r="O32" s="134">
        <v>0</v>
      </c>
      <c r="P32" s="134">
        <v>0.69</v>
      </c>
      <c r="Q32" s="134">
        <v>4.3899999999999997</v>
      </c>
    </row>
    <row r="33" spans="1:17" customFormat="1">
      <c r="A33" s="112" t="s">
        <v>1799</v>
      </c>
      <c r="B33" s="134">
        <v>9.49</v>
      </c>
      <c r="C33" s="134">
        <v>24.62</v>
      </c>
      <c r="D33" s="134">
        <v>21.82</v>
      </c>
      <c r="E33" s="134">
        <v>6.73</v>
      </c>
      <c r="F33" s="134">
        <v>2.72</v>
      </c>
      <c r="G33" s="134">
        <v>59.47</v>
      </c>
      <c r="H33" s="134">
        <v>27.79</v>
      </c>
      <c r="I33" s="134">
        <v>8.17</v>
      </c>
      <c r="J33" s="134">
        <v>0.19</v>
      </c>
      <c r="K33" s="134">
        <v>55.71</v>
      </c>
      <c r="L33" s="134">
        <v>17.63</v>
      </c>
      <c r="M33" s="134">
        <v>82.69</v>
      </c>
      <c r="N33" s="134">
        <v>0</v>
      </c>
      <c r="O33" s="134">
        <v>0</v>
      </c>
      <c r="P33" s="134">
        <v>0.71</v>
      </c>
      <c r="Q33" s="134">
        <v>4.4000000000000004</v>
      </c>
    </row>
    <row r="34" spans="1:17" customFormat="1">
      <c r="A34" s="112" t="s">
        <v>1800</v>
      </c>
      <c r="B34" s="134">
        <v>10.119999999999999</v>
      </c>
      <c r="C34" s="134">
        <v>24.87</v>
      </c>
      <c r="D34" s="134">
        <v>22.46</v>
      </c>
      <c r="E34" s="134">
        <v>7.18</v>
      </c>
      <c r="F34" s="134">
        <v>2.78</v>
      </c>
      <c r="G34" s="134">
        <v>62.98</v>
      </c>
      <c r="H34" s="134">
        <v>27.47</v>
      </c>
      <c r="I34" s="134">
        <v>8.0500000000000007</v>
      </c>
      <c r="J34" s="134">
        <v>0.22</v>
      </c>
      <c r="K34" s="134">
        <v>47.25</v>
      </c>
      <c r="L34" s="134">
        <v>17.600000000000001</v>
      </c>
      <c r="M34" s="134">
        <v>83.25</v>
      </c>
      <c r="N34" s="134">
        <v>1.4</v>
      </c>
      <c r="O34" s="134">
        <v>0</v>
      </c>
      <c r="P34" s="134">
        <v>0.71</v>
      </c>
      <c r="Q34" s="134">
        <v>4.43</v>
      </c>
    </row>
    <row r="35" spans="1:17" customFormat="1">
      <c r="A35" s="112" t="s">
        <v>1801</v>
      </c>
      <c r="B35" s="134">
        <v>10.75</v>
      </c>
      <c r="C35" s="134">
        <v>25.42</v>
      </c>
      <c r="D35" s="134">
        <v>23.25</v>
      </c>
      <c r="E35" s="134">
        <v>7.68</v>
      </c>
      <c r="F35" s="134">
        <v>2.71</v>
      </c>
      <c r="G35" s="134">
        <v>63.68</v>
      </c>
      <c r="H35" s="134">
        <v>27.47</v>
      </c>
      <c r="I35" s="134">
        <v>8.41</v>
      </c>
      <c r="J35" s="134">
        <v>0.28000000000000003</v>
      </c>
      <c r="K35" s="134">
        <v>40.869999999999997</v>
      </c>
      <c r="L35" s="134">
        <v>17.7</v>
      </c>
      <c r="M35" s="134">
        <v>83.17</v>
      </c>
      <c r="N35" s="134">
        <v>9.8000000000000007</v>
      </c>
      <c r="O35" s="134">
        <v>0</v>
      </c>
      <c r="P35" s="134">
        <v>0.72</v>
      </c>
      <c r="Q35" s="134">
        <v>4.45</v>
      </c>
    </row>
    <row r="36" spans="1:17" customFormat="1">
      <c r="A36" s="112" t="s">
        <v>1802</v>
      </c>
      <c r="B36" s="134">
        <v>11.79</v>
      </c>
      <c r="C36" s="134">
        <v>25.92</v>
      </c>
      <c r="D36" s="134">
        <v>24.35</v>
      </c>
      <c r="E36" s="134">
        <v>7.41</v>
      </c>
      <c r="F36" s="134">
        <v>2.75</v>
      </c>
      <c r="G36" s="134">
        <v>63.68</v>
      </c>
      <c r="H36" s="134">
        <v>27.47</v>
      </c>
      <c r="I36" s="134">
        <v>8.5500000000000007</v>
      </c>
      <c r="J36" s="134">
        <v>0.36</v>
      </c>
      <c r="K36" s="134">
        <v>29.52</v>
      </c>
      <c r="L36" s="134">
        <v>17.97</v>
      </c>
      <c r="M36" s="134">
        <v>82.18</v>
      </c>
      <c r="N36" s="134">
        <v>20.6</v>
      </c>
      <c r="O36" s="134">
        <v>0</v>
      </c>
      <c r="P36" s="134">
        <v>0.73</v>
      </c>
      <c r="Q36" s="134">
        <v>4.47</v>
      </c>
    </row>
    <row r="37" spans="1:17" customFormat="1">
      <c r="A37" s="112" t="s">
        <v>1803</v>
      </c>
      <c r="B37" s="134">
        <v>12.23</v>
      </c>
      <c r="C37" s="134">
        <v>26.08</v>
      </c>
      <c r="D37" s="134">
        <v>24.79</v>
      </c>
      <c r="E37" s="134">
        <v>7.44</v>
      </c>
      <c r="F37" s="134">
        <v>2.84</v>
      </c>
      <c r="G37" s="134">
        <v>63.68</v>
      </c>
      <c r="H37" s="134">
        <v>27.47</v>
      </c>
      <c r="I37" s="134">
        <v>8.65</v>
      </c>
      <c r="J37" s="134">
        <v>0.42</v>
      </c>
      <c r="K37" s="134">
        <v>30.84</v>
      </c>
      <c r="L37" s="134">
        <v>18.309999999999999</v>
      </c>
      <c r="M37" s="134">
        <v>80.680000000000007</v>
      </c>
      <c r="N37" s="134">
        <v>29.6</v>
      </c>
      <c r="O37" s="134">
        <v>0</v>
      </c>
      <c r="P37" s="134">
        <v>0.76</v>
      </c>
      <c r="Q37" s="134">
        <v>4.5199999999999996</v>
      </c>
    </row>
    <row r="38" spans="1:17" customFormat="1">
      <c r="A38" s="112" t="s">
        <v>1804</v>
      </c>
      <c r="B38" s="134">
        <v>12.17</v>
      </c>
      <c r="C38" s="134">
        <v>25.91</v>
      </c>
      <c r="D38" s="134">
        <v>24.65</v>
      </c>
      <c r="E38" s="134">
        <v>7.63</v>
      </c>
      <c r="F38" s="134">
        <v>2.75</v>
      </c>
      <c r="G38" s="134">
        <v>68.33</v>
      </c>
      <c r="H38" s="134">
        <v>30.13</v>
      </c>
      <c r="I38" s="134">
        <v>8.7200000000000006</v>
      </c>
      <c r="J38" s="134">
        <v>0.3</v>
      </c>
      <c r="K38" s="134">
        <v>25.82</v>
      </c>
      <c r="L38" s="134">
        <v>18.86</v>
      </c>
      <c r="M38" s="134">
        <v>79.13</v>
      </c>
      <c r="N38" s="134">
        <v>46.6</v>
      </c>
      <c r="O38" s="134">
        <v>0</v>
      </c>
      <c r="P38" s="134">
        <v>0.76</v>
      </c>
      <c r="Q38" s="134">
        <v>4.49</v>
      </c>
    </row>
    <row r="39" spans="1:17" customFormat="1">
      <c r="A39" s="112" t="s">
        <v>1805</v>
      </c>
      <c r="B39" s="134">
        <v>12</v>
      </c>
      <c r="C39" s="134">
        <v>25.85</v>
      </c>
      <c r="D39" s="134">
        <v>24.48</v>
      </c>
      <c r="E39" s="134">
        <v>7.31</v>
      </c>
      <c r="F39" s="134">
        <v>2.71</v>
      </c>
      <c r="G39" s="134">
        <v>69.260000000000005</v>
      </c>
      <c r="H39" s="134">
        <v>30.13</v>
      </c>
      <c r="I39" s="134">
        <v>8.59</v>
      </c>
      <c r="J39" s="134">
        <v>0.5</v>
      </c>
      <c r="K39" s="134">
        <v>25.69</v>
      </c>
      <c r="L39" s="134">
        <v>19.510000000000002</v>
      </c>
      <c r="M39" s="134">
        <v>76.959999999999994</v>
      </c>
      <c r="N39" s="134">
        <v>97.8</v>
      </c>
      <c r="O39" s="134">
        <v>0</v>
      </c>
      <c r="P39" s="134">
        <v>0.77</v>
      </c>
      <c r="Q39" s="134">
        <v>4.49</v>
      </c>
    </row>
    <row r="40" spans="1:17" customFormat="1">
      <c r="A40" s="112" t="s">
        <v>1806</v>
      </c>
      <c r="B40" s="134">
        <v>11.71</v>
      </c>
      <c r="C40" s="134">
        <v>25.97</v>
      </c>
      <c r="D40" s="134">
        <v>24.3</v>
      </c>
      <c r="E40" s="134">
        <v>7.02</v>
      </c>
      <c r="F40" s="134">
        <v>2.87</v>
      </c>
      <c r="G40" s="134">
        <v>69.260000000000005</v>
      </c>
      <c r="H40" s="134">
        <v>30.13</v>
      </c>
      <c r="I40" s="134">
        <v>8.4600000000000009</v>
      </c>
      <c r="J40" s="134">
        <v>0.47</v>
      </c>
      <c r="K40" s="134">
        <v>41.82</v>
      </c>
      <c r="L40" s="134">
        <v>20.149999999999999</v>
      </c>
      <c r="M40" s="134">
        <v>74.959999999999994</v>
      </c>
      <c r="N40" s="134">
        <v>175.4</v>
      </c>
      <c r="O40" s="134">
        <v>0</v>
      </c>
      <c r="P40" s="134">
        <v>0.78</v>
      </c>
      <c r="Q40" s="134">
        <v>4.4800000000000004</v>
      </c>
    </row>
    <row r="41" spans="1:17" customFormat="1">
      <c r="A41" s="112" t="s">
        <v>1807</v>
      </c>
      <c r="B41" s="134">
        <v>11.23</v>
      </c>
      <c r="C41" s="134">
        <v>25.73</v>
      </c>
      <c r="D41" s="134">
        <v>23.8</v>
      </c>
      <c r="E41" s="134">
        <v>6.77</v>
      </c>
      <c r="F41" s="134">
        <v>2.94</v>
      </c>
      <c r="G41" s="134">
        <v>69.260000000000005</v>
      </c>
      <c r="H41" s="134">
        <v>30.13</v>
      </c>
      <c r="I41" s="134">
        <v>8.35</v>
      </c>
      <c r="J41" s="134">
        <v>0.54</v>
      </c>
      <c r="K41" s="134">
        <v>41.26</v>
      </c>
      <c r="L41" s="134">
        <v>20.89</v>
      </c>
      <c r="M41" s="134">
        <v>71.62</v>
      </c>
      <c r="N41" s="134">
        <v>214.3</v>
      </c>
      <c r="O41" s="134">
        <v>0</v>
      </c>
      <c r="P41" s="134">
        <v>0.78</v>
      </c>
      <c r="Q41" s="134">
        <v>4.45</v>
      </c>
    </row>
    <row r="42" spans="1:17" customFormat="1">
      <c r="A42" s="112" t="s">
        <v>1808</v>
      </c>
      <c r="B42" s="134">
        <v>10.9</v>
      </c>
      <c r="C42" s="134">
        <v>23.57</v>
      </c>
      <c r="D42" s="134">
        <v>22.41</v>
      </c>
      <c r="E42" s="134">
        <v>5.9</v>
      </c>
      <c r="F42" s="134">
        <v>3.2</v>
      </c>
      <c r="G42" s="134">
        <v>70.17</v>
      </c>
      <c r="H42" s="134">
        <v>31.9</v>
      </c>
      <c r="I42" s="134">
        <v>8.23</v>
      </c>
      <c r="J42" s="134">
        <v>0.63</v>
      </c>
      <c r="K42" s="134">
        <v>36.130000000000003</v>
      </c>
      <c r="L42" s="134">
        <v>21.73</v>
      </c>
      <c r="M42" s="134">
        <v>68.8</v>
      </c>
      <c r="N42" s="134">
        <v>254.2</v>
      </c>
      <c r="O42" s="134">
        <v>0</v>
      </c>
      <c r="P42" s="134">
        <v>0.76</v>
      </c>
      <c r="Q42" s="134">
        <v>4.45</v>
      </c>
    </row>
    <row r="43" spans="1:17" customFormat="1">
      <c r="A43" s="112" t="s">
        <v>1809</v>
      </c>
      <c r="B43" s="134">
        <v>10.82</v>
      </c>
      <c r="C43" s="134">
        <v>22.07</v>
      </c>
      <c r="D43" s="134">
        <v>21.56</v>
      </c>
      <c r="E43" s="134">
        <v>5.57</v>
      </c>
      <c r="F43" s="134">
        <v>3.06</v>
      </c>
      <c r="G43" s="134">
        <v>70.349999999999994</v>
      </c>
      <c r="H43" s="134">
        <v>31.9</v>
      </c>
      <c r="I43" s="134">
        <v>8.16</v>
      </c>
      <c r="J43" s="134">
        <v>0.59</v>
      </c>
      <c r="K43" s="134">
        <v>33.97</v>
      </c>
      <c r="L43" s="134">
        <v>22.68</v>
      </c>
      <c r="M43" s="134">
        <v>66.290000000000006</v>
      </c>
      <c r="N43" s="134">
        <v>292.3</v>
      </c>
      <c r="O43" s="134">
        <v>0</v>
      </c>
      <c r="P43" s="134">
        <v>0.74</v>
      </c>
      <c r="Q43" s="134">
        <v>4.45</v>
      </c>
    </row>
    <row r="44" spans="1:17" customFormat="1">
      <c r="A44" s="112" t="s">
        <v>1810</v>
      </c>
      <c r="B44" s="134">
        <v>10.81</v>
      </c>
      <c r="C44" s="134">
        <v>22.55</v>
      </c>
      <c r="D44" s="134">
        <v>21.8</v>
      </c>
      <c r="E44" s="134">
        <v>5.26</v>
      </c>
      <c r="F44" s="134">
        <v>2.7</v>
      </c>
      <c r="G44" s="134">
        <v>70.349999999999994</v>
      </c>
      <c r="H44" s="134">
        <v>31.9</v>
      </c>
      <c r="I44" s="134">
        <v>8.14</v>
      </c>
      <c r="J44" s="134">
        <v>0.61</v>
      </c>
      <c r="K44" s="134">
        <v>36.08</v>
      </c>
      <c r="L44" s="134">
        <v>23.47</v>
      </c>
      <c r="M44" s="134">
        <v>64.09</v>
      </c>
      <c r="N44" s="134">
        <v>330.4</v>
      </c>
      <c r="O44" s="134">
        <v>0</v>
      </c>
      <c r="P44" s="134">
        <v>0.74</v>
      </c>
      <c r="Q44" s="134">
        <v>4.43</v>
      </c>
    </row>
    <row r="45" spans="1:17" customFormat="1">
      <c r="A45" s="112" t="s">
        <v>1811</v>
      </c>
      <c r="B45" s="134">
        <v>10.69</v>
      </c>
      <c r="C45" s="134">
        <v>21.72</v>
      </c>
      <c r="D45" s="134">
        <v>21.28</v>
      </c>
      <c r="E45" s="134">
        <v>5.3</v>
      </c>
      <c r="F45" s="134">
        <v>2.79</v>
      </c>
      <c r="G45" s="134">
        <v>70.349999999999994</v>
      </c>
      <c r="H45" s="134">
        <v>31.9</v>
      </c>
      <c r="I45" s="134">
        <v>8.6999999999999993</v>
      </c>
      <c r="J45" s="134">
        <v>0.52</v>
      </c>
      <c r="K45" s="134">
        <v>46.71</v>
      </c>
      <c r="L45" s="134">
        <v>24.11</v>
      </c>
      <c r="M45" s="134">
        <v>62.76</v>
      </c>
      <c r="N45" s="134">
        <v>301.89999999999998</v>
      </c>
      <c r="O45" s="134">
        <v>0</v>
      </c>
      <c r="P45" s="134">
        <v>0.74</v>
      </c>
      <c r="Q45" s="134">
        <v>4.43</v>
      </c>
    </row>
    <row r="46" spans="1:17" customFormat="1">
      <c r="A46" s="112" t="s">
        <v>1812</v>
      </c>
      <c r="B46" s="134">
        <v>10.42</v>
      </c>
      <c r="C46" s="134">
        <v>21.71</v>
      </c>
      <c r="D46" s="134">
        <v>21.05</v>
      </c>
      <c r="E46" s="134">
        <v>5.17</v>
      </c>
      <c r="F46" s="134">
        <v>2.95</v>
      </c>
      <c r="G46" s="134">
        <v>67.78</v>
      </c>
      <c r="H46" s="134">
        <v>34.71</v>
      </c>
      <c r="I46" s="134">
        <v>8.69</v>
      </c>
      <c r="J46" s="134">
        <v>0.49</v>
      </c>
      <c r="K46" s="134">
        <v>37.880000000000003</v>
      </c>
      <c r="L46" s="134">
        <v>25.01</v>
      </c>
      <c r="M46" s="134">
        <v>60.94</v>
      </c>
      <c r="N46" s="134">
        <v>258.60000000000002</v>
      </c>
      <c r="O46" s="134">
        <v>0</v>
      </c>
      <c r="P46" s="134">
        <v>0.73</v>
      </c>
      <c r="Q46" s="134">
        <v>4.42</v>
      </c>
    </row>
    <row r="47" spans="1:17" customFormat="1">
      <c r="A47" s="112" t="s">
        <v>1813</v>
      </c>
      <c r="B47" s="134">
        <v>10.31</v>
      </c>
      <c r="C47" s="134">
        <v>23.12</v>
      </c>
      <c r="D47" s="134">
        <v>21.69</v>
      </c>
      <c r="E47" s="134">
        <v>5.21</v>
      </c>
      <c r="F47" s="134">
        <v>2.91</v>
      </c>
      <c r="G47" s="134">
        <v>67.27</v>
      </c>
      <c r="H47" s="134">
        <v>34.71</v>
      </c>
      <c r="I47" s="134">
        <v>8.65</v>
      </c>
      <c r="J47" s="134">
        <v>0.32</v>
      </c>
      <c r="K47" s="134">
        <v>64.260000000000005</v>
      </c>
      <c r="L47" s="134">
        <v>25.72</v>
      </c>
      <c r="M47" s="134">
        <v>58.72</v>
      </c>
      <c r="N47" s="134">
        <v>430</v>
      </c>
      <c r="O47" s="134">
        <v>0</v>
      </c>
      <c r="P47" s="134">
        <v>0.75</v>
      </c>
      <c r="Q47" s="134">
        <v>4.41</v>
      </c>
    </row>
    <row r="48" spans="1:17" customFormat="1">
      <c r="A48" s="112" t="s">
        <v>1814</v>
      </c>
      <c r="B48" s="134">
        <v>9.99</v>
      </c>
      <c r="C48" s="134">
        <v>22.3</v>
      </c>
      <c r="D48" s="134">
        <v>21.01</v>
      </c>
      <c r="E48" s="134">
        <v>5.29</v>
      </c>
      <c r="F48" s="134">
        <v>3.11</v>
      </c>
      <c r="G48" s="134">
        <v>67.27</v>
      </c>
      <c r="H48" s="134">
        <v>34.71</v>
      </c>
      <c r="I48" s="134">
        <v>8.59</v>
      </c>
      <c r="J48" s="134">
        <v>0.39</v>
      </c>
      <c r="K48" s="134">
        <v>31.93</v>
      </c>
      <c r="L48" s="134">
        <v>26.46</v>
      </c>
      <c r="M48" s="134">
        <v>57.33</v>
      </c>
      <c r="N48" s="134">
        <v>463.4</v>
      </c>
      <c r="O48" s="134">
        <v>0</v>
      </c>
      <c r="P48" s="134">
        <v>0.74</v>
      </c>
      <c r="Q48" s="134">
        <v>4.3899999999999997</v>
      </c>
    </row>
    <row r="49" spans="1:17" customFormat="1">
      <c r="A49" s="112" t="s">
        <v>1815</v>
      </c>
      <c r="B49" s="134">
        <v>9.66</v>
      </c>
      <c r="C49" s="134">
        <v>21.65</v>
      </c>
      <c r="D49" s="134">
        <v>20.41</v>
      </c>
      <c r="E49" s="134">
        <v>3.2</v>
      </c>
      <c r="F49" s="134">
        <v>3.23</v>
      </c>
      <c r="G49" s="134">
        <v>67.27</v>
      </c>
      <c r="H49" s="134">
        <v>34.71</v>
      </c>
      <c r="I49" s="134">
        <v>8.57</v>
      </c>
      <c r="J49" s="134">
        <v>0.39</v>
      </c>
      <c r="K49" s="134">
        <v>61.55</v>
      </c>
      <c r="L49" s="134">
        <v>27.15</v>
      </c>
      <c r="M49" s="134">
        <v>54.14</v>
      </c>
      <c r="N49" s="134">
        <v>501.1</v>
      </c>
      <c r="O49" s="134">
        <v>0</v>
      </c>
      <c r="P49" s="134">
        <v>0.74</v>
      </c>
      <c r="Q49" s="134">
        <v>4.37</v>
      </c>
    </row>
    <row r="50" spans="1:17" customFormat="1">
      <c r="A50" s="112" t="s">
        <v>1816</v>
      </c>
      <c r="B50" s="134">
        <v>9.24</v>
      </c>
      <c r="C50" s="134">
        <v>21.1</v>
      </c>
      <c r="D50" s="134">
        <v>19.79</v>
      </c>
      <c r="E50" s="134">
        <v>4.6100000000000003</v>
      </c>
      <c r="F50" s="134">
        <v>3.65</v>
      </c>
      <c r="G50" s="134">
        <v>66.790000000000006</v>
      </c>
      <c r="H50" s="134">
        <v>31.71</v>
      </c>
      <c r="I50" s="134">
        <v>8.5399999999999991</v>
      </c>
      <c r="J50" s="134">
        <v>0.51</v>
      </c>
      <c r="K50" s="134">
        <v>54.56</v>
      </c>
      <c r="L50" s="134">
        <v>27.51</v>
      </c>
      <c r="M50" s="134">
        <v>51.36</v>
      </c>
      <c r="N50" s="134">
        <v>534.5</v>
      </c>
      <c r="O50" s="134">
        <v>0</v>
      </c>
      <c r="P50" s="134">
        <v>0.74</v>
      </c>
      <c r="Q50" s="134">
        <v>4.3499999999999996</v>
      </c>
    </row>
    <row r="51" spans="1:17" customFormat="1">
      <c r="A51" s="112" t="s">
        <v>1817</v>
      </c>
      <c r="B51" s="134">
        <v>8.52</v>
      </c>
      <c r="C51" s="134">
        <v>21.11</v>
      </c>
      <c r="D51" s="134">
        <v>19.22</v>
      </c>
      <c r="E51" s="134">
        <v>4.0999999999999996</v>
      </c>
      <c r="F51" s="134">
        <v>5.65</v>
      </c>
      <c r="G51" s="134">
        <v>66.69</v>
      </c>
      <c r="H51" s="134">
        <v>31.71</v>
      </c>
      <c r="I51" s="134">
        <v>8.48</v>
      </c>
      <c r="J51" s="134">
        <v>0.64</v>
      </c>
      <c r="K51" s="134">
        <v>55.78</v>
      </c>
      <c r="L51" s="134">
        <v>27.65</v>
      </c>
      <c r="M51" s="134">
        <v>49.89</v>
      </c>
      <c r="N51" s="134">
        <v>552.6</v>
      </c>
      <c r="O51" s="134">
        <v>0</v>
      </c>
      <c r="P51" s="134">
        <v>0.73</v>
      </c>
      <c r="Q51" s="134">
        <v>4.3499999999999996</v>
      </c>
    </row>
    <row r="52" spans="1:17" customFormat="1">
      <c r="A52" s="112" t="s">
        <v>1818</v>
      </c>
      <c r="B52" s="134">
        <v>7.97</v>
      </c>
      <c r="C52" s="134">
        <v>21.14</v>
      </c>
      <c r="D52" s="134">
        <v>18.79</v>
      </c>
      <c r="E52" s="134">
        <v>4.41</v>
      </c>
      <c r="F52" s="134">
        <v>5.0199999999999996</v>
      </c>
      <c r="G52" s="134">
        <v>66.69</v>
      </c>
      <c r="H52" s="134">
        <v>31.71</v>
      </c>
      <c r="I52" s="134">
        <v>8.41</v>
      </c>
      <c r="J52" s="134">
        <v>0.47</v>
      </c>
      <c r="K52" s="134">
        <v>53.92</v>
      </c>
      <c r="L52" s="134">
        <v>28.45</v>
      </c>
      <c r="M52" s="134">
        <v>47.52</v>
      </c>
      <c r="N52" s="134">
        <v>526.70000000000005</v>
      </c>
      <c r="O52" s="134">
        <v>0</v>
      </c>
      <c r="P52" s="134">
        <v>0.73</v>
      </c>
      <c r="Q52" s="134">
        <v>4.3099999999999996</v>
      </c>
    </row>
    <row r="53" spans="1:17" customFormat="1">
      <c r="A53" s="112" t="s">
        <v>1819</v>
      </c>
      <c r="B53" s="134">
        <v>7.44</v>
      </c>
      <c r="C53" s="134">
        <v>20.62</v>
      </c>
      <c r="D53" s="134">
        <v>18.09</v>
      </c>
      <c r="E53" s="134">
        <v>5.2</v>
      </c>
      <c r="F53" s="134">
        <v>5.91</v>
      </c>
      <c r="G53" s="134">
        <v>66.69</v>
      </c>
      <c r="H53" s="134">
        <v>31.71</v>
      </c>
      <c r="I53" s="134">
        <v>8.39</v>
      </c>
      <c r="J53" s="134">
        <v>0.85</v>
      </c>
      <c r="K53" s="134">
        <v>36.99</v>
      </c>
      <c r="L53" s="134">
        <v>28.7</v>
      </c>
      <c r="M53" s="134">
        <v>46.87</v>
      </c>
      <c r="N53" s="134">
        <v>584.70000000000005</v>
      </c>
      <c r="O53" s="134">
        <v>0</v>
      </c>
      <c r="P53" s="134">
        <v>0.73</v>
      </c>
      <c r="Q53" s="134">
        <v>4.29</v>
      </c>
    </row>
    <row r="54" spans="1:17" customFormat="1">
      <c r="A54" s="112" t="s">
        <v>1820</v>
      </c>
      <c r="B54" s="134">
        <v>6.82</v>
      </c>
      <c r="C54" s="134">
        <v>20.329999999999998</v>
      </c>
      <c r="D54" s="134">
        <v>17.440000000000001</v>
      </c>
      <c r="E54" s="134">
        <v>5.14</v>
      </c>
      <c r="F54" s="134">
        <v>6.21</v>
      </c>
      <c r="G54" s="134">
        <v>61.34</v>
      </c>
      <c r="H54" s="134">
        <v>27.45</v>
      </c>
      <c r="I54" s="134">
        <v>8.3699999999999992</v>
      </c>
      <c r="J54" s="134">
        <v>0.53</v>
      </c>
      <c r="K54" s="134">
        <v>47.25</v>
      </c>
      <c r="L54" s="134">
        <v>28.91</v>
      </c>
      <c r="M54" s="134">
        <v>45.07</v>
      </c>
      <c r="N54" s="134">
        <v>585.29999999999995</v>
      </c>
      <c r="O54" s="134">
        <v>0</v>
      </c>
      <c r="P54" s="134">
        <v>0.72</v>
      </c>
      <c r="Q54" s="134">
        <v>4.26</v>
      </c>
    </row>
    <row r="55" spans="1:17" customFormat="1">
      <c r="A55" s="112" t="s">
        <v>1821</v>
      </c>
      <c r="B55" s="134">
        <v>6.38</v>
      </c>
      <c r="C55" s="134">
        <v>20.09</v>
      </c>
      <c r="D55" s="134">
        <v>16.97</v>
      </c>
      <c r="E55" s="134">
        <v>4.3600000000000003</v>
      </c>
      <c r="F55" s="134">
        <v>5.9</v>
      </c>
      <c r="G55" s="134">
        <v>60.26</v>
      </c>
      <c r="H55" s="134">
        <v>27.45</v>
      </c>
      <c r="I55" s="134">
        <v>8.1999999999999993</v>
      </c>
      <c r="J55" s="134">
        <v>0.33</v>
      </c>
      <c r="K55" s="134">
        <v>89.8</v>
      </c>
      <c r="L55" s="134">
        <v>29.41</v>
      </c>
      <c r="M55" s="134">
        <v>43.75</v>
      </c>
      <c r="N55" s="134">
        <v>603.6</v>
      </c>
      <c r="O55" s="134">
        <v>0</v>
      </c>
      <c r="P55" s="134">
        <v>0.71</v>
      </c>
      <c r="Q55" s="134">
        <v>4.2300000000000004</v>
      </c>
    </row>
    <row r="56" spans="1:17" customFormat="1">
      <c r="A56" s="112" t="s">
        <v>1822</v>
      </c>
      <c r="B56" s="134">
        <v>5.94</v>
      </c>
      <c r="C56" s="134">
        <v>19.7</v>
      </c>
      <c r="D56" s="134">
        <v>16.41</v>
      </c>
      <c r="E56" s="134">
        <v>3.85</v>
      </c>
      <c r="F56" s="134">
        <v>5.96</v>
      </c>
      <c r="G56" s="134">
        <v>60.26</v>
      </c>
      <c r="H56" s="134">
        <v>27.45</v>
      </c>
      <c r="I56" s="134">
        <v>8.1300000000000008</v>
      </c>
      <c r="J56" s="134">
        <v>0.28000000000000003</v>
      </c>
      <c r="K56" s="134">
        <v>65.13</v>
      </c>
      <c r="L56" s="134">
        <v>29.71</v>
      </c>
      <c r="M56" s="134">
        <v>44.26</v>
      </c>
      <c r="N56" s="134">
        <v>594.70000000000005</v>
      </c>
      <c r="O56" s="134">
        <v>0</v>
      </c>
      <c r="P56" s="134">
        <v>0.71</v>
      </c>
      <c r="Q56" s="134">
        <v>4.21</v>
      </c>
    </row>
    <row r="57" spans="1:17" customFormat="1">
      <c r="A57" s="112" t="s">
        <v>1823</v>
      </c>
      <c r="B57" s="134">
        <v>5.51</v>
      </c>
      <c r="C57" s="134">
        <v>19.57</v>
      </c>
      <c r="D57" s="134">
        <v>15.99</v>
      </c>
      <c r="E57" s="134">
        <v>4.28</v>
      </c>
      <c r="F57" s="134">
        <v>6.44</v>
      </c>
      <c r="G57" s="134">
        <v>60.26</v>
      </c>
      <c r="H57" s="134">
        <v>27.45</v>
      </c>
      <c r="I57" s="134">
        <v>7.98</v>
      </c>
      <c r="J57" s="134">
        <v>0.3</v>
      </c>
      <c r="K57" s="134">
        <v>67.849999999999994</v>
      </c>
      <c r="L57" s="134">
        <v>30.21</v>
      </c>
      <c r="M57" s="134">
        <v>42.77</v>
      </c>
      <c r="N57" s="134">
        <v>604</v>
      </c>
      <c r="O57" s="134">
        <v>0</v>
      </c>
      <c r="P57" s="134">
        <v>0.7</v>
      </c>
      <c r="Q57" s="134">
        <v>4.1900000000000004</v>
      </c>
    </row>
    <row r="58" spans="1:17" customFormat="1">
      <c r="A58" s="112" t="s">
        <v>1824</v>
      </c>
      <c r="B58" s="134">
        <v>5.46</v>
      </c>
      <c r="C58" s="134">
        <v>18.829999999999998</v>
      </c>
      <c r="D58" s="134">
        <v>15.57</v>
      </c>
      <c r="E58" s="134">
        <v>3.69</v>
      </c>
      <c r="F58" s="134">
        <v>6.9</v>
      </c>
      <c r="G58" s="134">
        <v>55.8</v>
      </c>
      <c r="H58" s="134">
        <v>24.58</v>
      </c>
      <c r="I58" s="134">
        <v>7.88</v>
      </c>
      <c r="J58" s="134">
        <v>0.21</v>
      </c>
      <c r="K58" s="134">
        <v>109.32</v>
      </c>
      <c r="L58" s="134">
        <v>30.35</v>
      </c>
      <c r="M58" s="134">
        <v>41.85</v>
      </c>
      <c r="N58" s="134">
        <v>593.5</v>
      </c>
      <c r="O58" s="134">
        <v>0</v>
      </c>
      <c r="P58" s="134">
        <v>0.69</v>
      </c>
      <c r="Q58" s="134">
        <v>4.17</v>
      </c>
    </row>
    <row r="59" spans="1:17" customFormat="1">
      <c r="A59" s="112" t="s">
        <v>1825</v>
      </c>
      <c r="B59" s="134">
        <v>5.34</v>
      </c>
      <c r="C59" s="134">
        <v>18.68</v>
      </c>
      <c r="D59" s="134">
        <v>15.4</v>
      </c>
      <c r="E59" s="134">
        <v>4.91</v>
      </c>
      <c r="F59" s="134">
        <v>6.27</v>
      </c>
      <c r="G59" s="134">
        <v>54.91</v>
      </c>
      <c r="H59" s="134">
        <v>24.58</v>
      </c>
      <c r="I59" s="134">
        <v>7.76</v>
      </c>
      <c r="J59" s="134">
        <v>0.43</v>
      </c>
      <c r="K59" s="134">
        <v>41.91</v>
      </c>
      <c r="L59" s="134">
        <v>30.67</v>
      </c>
      <c r="M59" s="134">
        <v>40.89</v>
      </c>
      <c r="N59" s="134">
        <v>587.29999999999995</v>
      </c>
      <c r="O59" s="134">
        <v>0</v>
      </c>
      <c r="P59" s="134">
        <v>0.68</v>
      </c>
      <c r="Q59" s="134">
        <v>4.17</v>
      </c>
    </row>
    <row r="60" spans="1:17" customFormat="1">
      <c r="A60" s="112" t="s">
        <v>1826</v>
      </c>
      <c r="B60" s="134">
        <v>5.34</v>
      </c>
      <c r="C60" s="134">
        <v>19.05</v>
      </c>
      <c r="D60" s="134">
        <v>15.59</v>
      </c>
      <c r="E60" s="134">
        <v>3.86</v>
      </c>
      <c r="F60" s="134">
        <v>5.57</v>
      </c>
      <c r="G60" s="134">
        <v>54.91</v>
      </c>
      <c r="H60" s="134">
        <v>24.58</v>
      </c>
      <c r="I60" s="134">
        <v>7.65</v>
      </c>
      <c r="J60" s="134">
        <v>0.55000000000000004</v>
      </c>
      <c r="K60" s="134">
        <v>40.75</v>
      </c>
      <c r="L60" s="134">
        <v>30.36</v>
      </c>
      <c r="M60" s="134">
        <v>40.58</v>
      </c>
      <c r="N60" s="134">
        <v>514.20000000000005</v>
      </c>
      <c r="O60" s="134">
        <v>0</v>
      </c>
      <c r="P60" s="134">
        <v>0.68</v>
      </c>
      <c r="Q60" s="134">
        <v>4.1500000000000004</v>
      </c>
    </row>
    <row r="61" spans="1:17" customFormat="1">
      <c r="A61" s="112" t="s">
        <v>1827</v>
      </c>
      <c r="B61" s="134">
        <v>5.15</v>
      </c>
      <c r="C61" s="134">
        <v>19.489999999999998</v>
      </c>
      <c r="D61" s="134">
        <v>15.66</v>
      </c>
      <c r="E61" s="134">
        <v>4.0199999999999996</v>
      </c>
      <c r="F61" s="134">
        <v>5.78</v>
      </c>
      <c r="G61" s="134">
        <v>54.91</v>
      </c>
      <c r="H61" s="134">
        <v>24.58</v>
      </c>
      <c r="I61" s="134">
        <v>7.5</v>
      </c>
      <c r="J61" s="134">
        <v>0.14000000000000001</v>
      </c>
      <c r="K61" s="134">
        <v>63.72</v>
      </c>
      <c r="L61" s="134">
        <v>31.02</v>
      </c>
      <c r="M61" s="134">
        <v>37.42</v>
      </c>
      <c r="N61" s="134">
        <v>546.1</v>
      </c>
      <c r="O61" s="134">
        <v>0</v>
      </c>
      <c r="P61" s="134">
        <v>0.68</v>
      </c>
      <c r="Q61" s="134">
        <v>4.1500000000000004</v>
      </c>
    </row>
    <row r="62" spans="1:17" customFormat="1">
      <c r="A62" s="112" t="s">
        <v>1828</v>
      </c>
      <c r="B62" s="134">
        <v>4.9000000000000004</v>
      </c>
      <c r="C62" s="134">
        <v>19.82</v>
      </c>
      <c r="D62" s="134">
        <v>15.64</v>
      </c>
      <c r="E62" s="134">
        <v>4.5999999999999996</v>
      </c>
      <c r="F62" s="134">
        <v>6.12</v>
      </c>
      <c r="G62" s="134">
        <v>50.57</v>
      </c>
      <c r="H62" s="134">
        <v>22.72</v>
      </c>
      <c r="I62" s="134">
        <v>7.37</v>
      </c>
      <c r="J62" s="134">
        <v>0.41</v>
      </c>
      <c r="K62" s="134">
        <v>56.52</v>
      </c>
      <c r="L62" s="134">
        <v>31.09</v>
      </c>
      <c r="M62" s="134">
        <v>37.9</v>
      </c>
      <c r="N62" s="134">
        <v>505.9</v>
      </c>
      <c r="O62" s="134">
        <v>0</v>
      </c>
      <c r="P62" s="134">
        <v>0.67</v>
      </c>
      <c r="Q62" s="134">
        <v>4.1399999999999997</v>
      </c>
    </row>
    <row r="63" spans="1:17" customFormat="1">
      <c r="A63" s="112" t="s">
        <v>1829</v>
      </c>
      <c r="B63" s="134">
        <v>4.96</v>
      </c>
      <c r="C63" s="134">
        <v>19.77</v>
      </c>
      <c r="D63" s="134">
        <v>15.66</v>
      </c>
      <c r="E63" s="134">
        <v>4.34</v>
      </c>
      <c r="F63" s="134">
        <v>6.18</v>
      </c>
      <c r="G63" s="134">
        <v>49.7</v>
      </c>
      <c r="H63" s="134">
        <v>22.72</v>
      </c>
      <c r="I63" s="134">
        <v>7.11</v>
      </c>
      <c r="J63" s="134">
        <v>0.19</v>
      </c>
      <c r="K63" s="134">
        <v>118.71</v>
      </c>
      <c r="L63" s="134">
        <v>30.67</v>
      </c>
      <c r="M63" s="134">
        <v>38.01</v>
      </c>
      <c r="N63" s="134">
        <v>460.2</v>
      </c>
      <c r="O63" s="134">
        <v>0</v>
      </c>
      <c r="P63" s="134">
        <v>0.65</v>
      </c>
      <c r="Q63" s="134">
        <v>4.1399999999999997</v>
      </c>
    </row>
    <row r="64" spans="1:17" customFormat="1">
      <c r="A64" s="112" t="s">
        <v>1830</v>
      </c>
      <c r="B64" s="134">
        <v>4.8600000000000003</v>
      </c>
      <c r="C64" s="134">
        <v>19.96</v>
      </c>
      <c r="D64" s="134">
        <v>15.68</v>
      </c>
      <c r="E64" s="134">
        <v>4.74</v>
      </c>
      <c r="F64" s="134">
        <v>6.33</v>
      </c>
      <c r="G64" s="134">
        <v>49.7</v>
      </c>
      <c r="H64" s="134">
        <v>22.72</v>
      </c>
      <c r="I64" s="134">
        <v>6.87</v>
      </c>
      <c r="J64" s="134">
        <v>0.27</v>
      </c>
      <c r="K64" s="134">
        <v>112.05</v>
      </c>
      <c r="L64" s="134">
        <v>30.88</v>
      </c>
      <c r="M64" s="134">
        <v>37.49</v>
      </c>
      <c r="N64" s="134">
        <v>353.8</v>
      </c>
      <c r="O64" s="134">
        <v>0</v>
      </c>
      <c r="P64" s="134">
        <v>0.64</v>
      </c>
      <c r="Q64" s="134">
        <v>4.1399999999999997</v>
      </c>
    </row>
    <row r="65" spans="1:17" customFormat="1">
      <c r="A65" s="112" t="s">
        <v>1831</v>
      </c>
      <c r="B65" s="134">
        <v>4.88</v>
      </c>
      <c r="C65" s="134">
        <v>19.86</v>
      </c>
      <c r="D65" s="134">
        <v>15.65</v>
      </c>
      <c r="E65" s="134">
        <v>4.29</v>
      </c>
      <c r="F65" s="134">
        <v>6.54</v>
      </c>
      <c r="G65" s="134">
        <v>49.7</v>
      </c>
      <c r="H65" s="134">
        <v>22.72</v>
      </c>
      <c r="I65" s="134">
        <v>6.64</v>
      </c>
      <c r="J65" s="134">
        <v>0.18</v>
      </c>
      <c r="K65" s="134">
        <v>125.44</v>
      </c>
      <c r="L65" s="134">
        <v>30.03</v>
      </c>
      <c r="M65" s="134">
        <v>39.159999999999997</v>
      </c>
      <c r="N65" s="134">
        <v>148.80000000000001</v>
      </c>
      <c r="O65" s="134">
        <v>0</v>
      </c>
      <c r="P65" s="134">
        <v>0.57999999999999996</v>
      </c>
      <c r="Q65" s="134">
        <v>4.1399999999999997</v>
      </c>
    </row>
    <row r="66" spans="1:17" customFormat="1">
      <c r="A66" s="112" t="s">
        <v>1832</v>
      </c>
      <c r="B66" s="134">
        <v>4.9400000000000004</v>
      </c>
      <c r="C66" s="134">
        <v>19.73</v>
      </c>
      <c r="D66" s="134">
        <v>15.63</v>
      </c>
      <c r="E66" s="134">
        <v>4.45</v>
      </c>
      <c r="F66" s="134">
        <v>6.66</v>
      </c>
      <c r="G66" s="134">
        <v>44</v>
      </c>
      <c r="H66" s="134">
        <v>17.399999999999999</v>
      </c>
      <c r="I66" s="134">
        <v>6.36</v>
      </c>
      <c r="J66" s="134">
        <v>0.35</v>
      </c>
      <c r="K66" s="134">
        <v>5.99</v>
      </c>
      <c r="L66" s="134">
        <v>29.64</v>
      </c>
      <c r="M66" s="134">
        <v>39.69</v>
      </c>
      <c r="N66" s="134">
        <v>109.6</v>
      </c>
      <c r="O66" s="134">
        <v>0</v>
      </c>
      <c r="P66" s="134">
        <v>0.6</v>
      </c>
      <c r="Q66" s="134">
        <v>4.16</v>
      </c>
    </row>
    <row r="67" spans="1:17" customFormat="1">
      <c r="A67" s="112" t="s">
        <v>1833</v>
      </c>
      <c r="B67" s="134">
        <v>4.96</v>
      </c>
      <c r="C67" s="134">
        <v>19.940000000000001</v>
      </c>
      <c r="D67" s="134">
        <v>15.75</v>
      </c>
      <c r="E67" s="134">
        <v>4.5999999999999996</v>
      </c>
      <c r="F67" s="134">
        <v>7.06</v>
      </c>
      <c r="G67" s="134">
        <v>42.86</v>
      </c>
      <c r="H67" s="134">
        <v>17.399999999999999</v>
      </c>
      <c r="I67" s="134">
        <v>6.12</v>
      </c>
      <c r="J67" s="134">
        <v>0.42</v>
      </c>
      <c r="K67" s="134">
        <v>48.9</v>
      </c>
      <c r="L67" s="134">
        <v>29.63</v>
      </c>
      <c r="M67" s="134">
        <v>40.619999999999997</v>
      </c>
      <c r="N67" s="134">
        <v>97.8</v>
      </c>
      <c r="O67" s="134">
        <v>0</v>
      </c>
      <c r="P67" s="134">
        <v>0.6</v>
      </c>
      <c r="Q67" s="134">
        <v>4.1500000000000004</v>
      </c>
    </row>
    <row r="68" spans="1:17" customFormat="1">
      <c r="A68" s="112" t="s">
        <v>1834</v>
      </c>
      <c r="B68" s="134">
        <v>5.1100000000000003</v>
      </c>
      <c r="C68" s="134">
        <v>20.23</v>
      </c>
      <c r="D68" s="134">
        <v>16.02</v>
      </c>
      <c r="E68" s="134">
        <v>4.13</v>
      </c>
      <c r="F68" s="134">
        <v>6.49</v>
      </c>
      <c r="G68" s="134">
        <v>42.86</v>
      </c>
      <c r="H68" s="134">
        <v>17.399999999999999</v>
      </c>
      <c r="I68" s="134">
        <v>5.92</v>
      </c>
      <c r="J68" s="134">
        <v>0.36</v>
      </c>
      <c r="K68" s="134">
        <v>13.96</v>
      </c>
      <c r="L68" s="134">
        <v>29.31</v>
      </c>
      <c r="M68" s="134">
        <v>39.200000000000003</v>
      </c>
      <c r="N68" s="134">
        <v>71.3</v>
      </c>
      <c r="O68" s="134">
        <v>0</v>
      </c>
      <c r="P68" s="134">
        <v>0.59</v>
      </c>
      <c r="Q68" s="134">
        <v>4.1500000000000004</v>
      </c>
    </row>
    <row r="69" spans="1:17" customFormat="1">
      <c r="A69" s="112" t="s">
        <v>1835</v>
      </c>
      <c r="B69" s="134">
        <v>5.2</v>
      </c>
      <c r="C69" s="134">
        <v>20.74</v>
      </c>
      <c r="D69" s="134">
        <v>16.350000000000001</v>
      </c>
      <c r="E69" s="134">
        <v>4.3899999999999997</v>
      </c>
      <c r="F69" s="134">
        <v>5.87</v>
      </c>
      <c r="G69" s="134">
        <v>42.86</v>
      </c>
      <c r="H69" s="134">
        <v>17.399999999999999</v>
      </c>
      <c r="I69" s="134">
        <v>5.78</v>
      </c>
      <c r="J69" s="134">
        <v>0.2</v>
      </c>
      <c r="K69" s="134">
        <v>55.89</v>
      </c>
      <c r="L69" s="134">
        <v>29.3</v>
      </c>
      <c r="M69" s="134">
        <v>39.68</v>
      </c>
      <c r="N69" s="134">
        <v>62.7</v>
      </c>
      <c r="O69" s="134">
        <v>0</v>
      </c>
      <c r="P69" s="134">
        <v>0.6</v>
      </c>
      <c r="Q69" s="134">
        <v>4.17</v>
      </c>
    </row>
    <row r="70" spans="1:17" customFormat="1">
      <c r="A70" s="112" t="s">
        <v>1836</v>
      </c>
      <c r="B70" s="134">
        <v>5.1100000000000003</v>
      </c>
      <c r="C70" s="134">
        <v>20.84</v>
      </c>
      <c r="D70" s="134">
        <v>16.34</v>
      </c>
      <c r="E70" s="134">
        <v>4.6399999999999997</v>
      </c>
      <c r="F70" s="134">
        <v>5.89</v>
      </c>
      <c r="G70" s="134">
        <v>39.67</v>
      </c>
      <c r="H70" s="134">
        <v>18.829999999999998</v>
      </c>
      <c r="I70" s="134">
        <v>5.59</v>
      </c>
      <c r="J70" s="134">
        <v>0.17</v>
      </c>
      <c r="K70" s="134">
        <v>114.68</v>
      </c>
      <c r="L70" s="134">
        <v>29.31</v>
      </c>
      <c r="M70" s="134">
        <v>40.4</v>
      </c>
      <c r="N70" s="134">
        <v>63.1</v>
      </c>
      <c r="O70" s="134">
        <v>0</v>
      </c>
      <c r="P70" s="134">
        <v>0.59</v>
      </c>
      <c r="Q70" s="134">
        <v>4.17</v>
      </c>
    </row>
    <row r="71" spans="1:17" customFormat="1">
      <c r="A71" s="112" t="s">
        <v>1837</v>
      </c>
      <c r="B71" s="134">
        <v>5.0999999999999996</v>
      </c>
      <c r="C71" s="134">
        <v>20.81</v>
      </c>
      <c r="D71" s="134">
        <v>16.309999999999999</v>
      </c>
      <c r="E71" s="134">
        <v>4.95</v>
      </c>
      <c r="F71" s="134">
        <v>6.14</v>
      </c>
      <c r="G71" s="134">
        <v>39.03</v>
      </c>
      <c r="H71" s="134">
        <v>18.829999999999998</v>
      </c>
      <c r="I71" s="134">
        <v>5.48</v>
      </c>
      <c r="J71" s="134">
        <v>0.42</v>
      </c>
      <c r="K71" s="134">
        <v>63.41</v>
      </c>
      <c r="L71" s="134">
        <v>29.08</v>
      </c>
      <c r="M71" s="134">
        <v>38.6</v>
      </c>
      <c r="N71" s="134">
        <v>54.5</v>
      </c>
      <c r="O71" s="134">
        <v>0</v>
      </c>
      <c r="P71" s="134">
        <v>0.56999999999999995</v>
      </c>
      <c r="Q71" s="134">
        <v>4.17</v>
      </c>
    </row>
    <row r="72" spans="1:17" customFormat="1">
      <c r="A72" s="112" t="s">
        <v>1838</v>
      </c>
      <c r="B72" s="134">
        <v>5.1100000000000003</v>
      </c>
      <c r="C72" s="134">
        <v>20.88</v>
      </c>
      <c r="D72" s="134">
        <v>16.36</v>
      </c>
      <c r="E72" s="134">
        <v>4.62</v>
      </c>
      <c r="F72" s="134">
        <v>6.03</v>
      </c>
      <c r="G72" s="134">
        <v>39.03</v>
      </c>
      <c r="H72" s="134">
        <v>18.829999999999998</v>
      </c>
      <c r="I72" s="134">
        <v>5.31</v>
      </c>
      <c r="J72" s="134">
        <v>0.26</v>
      </c>
      <c r="K72" s="134">
        <v>67.650000000000006</v>
      </c>
      <c r="L72" s="134">
        <v>28.89</v>
      </c>
      <c r="M72" s="134">
        <v>39.79</v>
      </c>
      <c r="N72" s="134">
        <v>44.6</v>
      </c>
      <c r="O72" s="134">
        <v>0</v>
      </c>
      <c r="P72" s="134">
        <v>0.57999999999999996</v>
      </c>
      <c r="Q72" s="134">
        <v>4.17</v>
      </c>
    </row>
    <row r="73" spans="1:17" customFormat="1">
      <c r="A73" s="112" t="s">
        <v>1839</v>
      </c>
      <c r="B73" s="134">
        <v>5.25</v>
      </c>
      <c r="C73" s="134">
        <v>20.86</v>
      </c>
      <c r="D73" s="134">
        <v>16.46</v>
      </c>
      <c r="E73" s="134">
        <v>4.51</v>
      </c>
      <c r="F73" s="134">
        <v>5.59</v>
      </c>
      <c r="G73" s="134">
        <v>39.03</v>
      </c>
      <c r="H73" s="134">
        <v>18.829999999999998</v>
      </c>
      <c r="I73" s="134">
        <v>5.19</v>
      </c>
      <c r="J73" s="134">
        <v>0.27</v>
      </c>
      <c r="K73" s="134">
        <v>69.08</v>
      </c>
      <c r="L73" s="134">
        <v>28.66</v>
      </c>
      <c r="M73" s="134">
        <v>41.36</v>
      </c>
      <c r="N73" s="134">
        <v>32.4</v>
      </c>
      <c r="O73" s="134">
        <v>0</v>
      </c>
      <c r="P73" s="134">
        <v>0.56999999999999995</v>
      </c>
      <c r="Q73" s="134">
        <v>4.16</v>
      </c>
    </row>
    <row r="74" spans="1:17" customFormat="1">
      <c r="A74" s="112" t="s">
        <v>1840</v>
      </c>
      <c r="B74" s="134">
        <v>5.24</v>
      </c>
      <c r="C74" s="134">
        <v>21.2</v>
      </c>
      <c r="D74" s="134">
        <v>16.63</v>
      </c>
      <c r="E74" s="134">
        <v>5.31</v>
      </c>
      <c r="F74" s="134">
        <v>5.4</v>
      </c>
      <c r="G74" s="134">
        <v>39.81</v>
      </c>
      <c r="H74" s="134">
        <v>16.760000000000002</v>
      </c>
      <c r="I74" s="134">
        <v>5.08</v>
      </c>
      <c r="J74" s="134">
        <v>0.3</v>
      </c>
      <c r="K74" s="134">
        <v>75.62</v>
      </c>
      <c r="L74" s="134">
        <v>28.37</v>
      </c>
      <c r="M74" s="134">
        <v>41.83</v>
      </c>
      <c r="N74" s="134">
        <v>21.8</v>
      </c>
      <c r="O74" s="134">
        <v>0</v>
      </c>
      <c r="P74" s="134">
        <v>0.56999999999999995</v>
      </c>
      <c r="Q74" s="134">
        <v>4.1399999999999997</v>
      </c>
    </row>
    <row r="75" spans="1:17" customFormat="1">
      <c r="A75" s="112" t="s">
        <v>1841</v>
      </c>
      <c r="B75" s="134">
        <v>5.24</v>
      </c>
      <c r="C75" s="134">
        <v>21.34</v>
      </c>
      <c r="D75" s="134">
        <v>16.7</v>
      </c>
      <c r="E75" s="134">
        <v>5.23</v>
      </c>
      <c r="F75" s="134">
        <v>5.13</v>
      </c>
      <c r="G75" s="134">
        <v>39.96</v>
      </c>
      <c r="H75" s="134">
        <v>16.760000000000002</v>
      </c>
      <c r="I75" s="134">
        <v>4.9400000000000004</v>
      </c>
      <c r="J75" s="134">
        <v>0.16</v>
      </c>
      <c r="K75" s="134">
        <v>98.78</v>
      </c>
      <c r="L75" s="134">
        <v>28.03</v>
      </c>
      <c r="M75" s="134">
        <v>44.11</v>
      </c>
      <c r="N75" s="134">
        <v>10.7</v>
      </c>
      <c r="O75" s="134">
        <v>0</v>
      </c>
      <c r="P75" s="134">
        <v>0.56000000000000005</v>
      </c>
      <c r="Q75" s="134">
        <v>4.17</v>
      </c>
    </row>
    <row r="76" spans="1:17" customFormat="1">
      <c r="A76" s="112" t="s">
        <v>1842</v>
      </c>
      <c r="B76" s="134">
        <v>5.3</v>
      </c>
      <c r="C76" s="134">
        <v>21.67</v>
      </c>
      <c r="D76" s="134">
        <v>16.93</v>
      </c>
      <c r="E76" s="134">
        <v>5.27</v>
      </c>
      <c r="F76" s="134">
        <v>4.83</v>
      </c>
      <c r="G76" s="134">
        <v>39.96</v>
      </c>
      <c r="H76" s="134">
        <v>16.760000000000002</v>
      </c>
      <c r="I76" s="134">
        <v>4.87</v>
      </c>
      <c r="J76" s="134">
        <v>0.26</v>
      </c>
      <c r="K76" s="134">
        <v>167.15</v>
      </c>
      <c r="L76" s="134">
        <v>27.01</v>
      </c>
      <c r="M76" s="134">
        <v>50.82</v>
      </c>
      <c r="N76" s="134">
        <v>2.2999999999999998</v>
      </c>
      <c r="O76" s="134">
        <v>0</v>
      </c>
      <c r="P76" s="134">
        <v>0.56000000000000005</v>
      </c>
      <c r="Q76" s="134">
        <v>4.1900000000000004</v>
      </c>
    </row>
    <row r="77" spans="1:17" customFormat="1">
      <c r="A77" s="112" t="s">
        <v>1843</v>
      </c>
      <c r="B77" s="134">
        <v>5.35</v>
      </c>
      <c r="C77" s="134">
        <v>22.16</v>
      </c>
      <c r="D77" s="134">
        <v>17.22</v>
      </c>
      <c r="E77" s="134">
        <v>5.12</v>
      </c>
      <c r="F77" s="134">
        <v>4.5199999999999996</v>
      </c>
      <c r="G77" s="134">
        <v>39.96</v>
      </c>
      <c r="H77" s="134">
        <v>16.760000000000002</v>
      </c>
      <c r="I77" s="134">
        <v>4.78</v>
      </c>
      <c r="J77" s="134">
        <v>0.26</v>
      </c>
      <c r="K77" s="134">
        <v>163.44999999999999</v>
      </c>
      <c r="L77" s="134">
        <v>26.11</v>
      </c>
      <c r="M77" s="134">
        <v>54.95</v>
      </c>
      <c r="N77" s="134">
        <v>0</v>
      </c>
      <c r="O77" s="134">
        <v>0</v>
      </c>
      <c r="P77" s="134">
        <v>0.56000000000000005</v>
      </c>
      <c r="Q77" s="134">
        <v>4.17</v>
      </c>
    </row>
    <row r="78" spans="1:17" customFormat="1">
      <c r="A78" s="112" t="s">
        <v>1844</v>
      </c>
      <c r="B78" s="134">
        <v>5.42</v>
      </c>
      <c r="C78" s="134">
        <v>23.06</v>
      </c>
      <c r="D78" s="134">
        <v>17.75</v>
      </c>
      <c r="E78" s="134">
        <v>4.6100000000000003</v>
      </c>
      <c r="F78" s="134">
        <v>3.98</v>
      </c>
      <c r="G78" s="134">
        <v>42.37</v>
      </c>
      <c r="H78" s="134">
        <v>18.170000000000002</v>
      </c>
      <c r="I78" s="134">
        <v>4.72</v>
      </c>
      <c r="J78" s="134">
        <v>0.26</v>
      </c>
      <c r="K78" s="134">
        <v>169.51</v>
      </c>
      <c r="L78" s="134">
        <v>25.48</v>
      </c>
      <c r="M78" s="134">
        <v>58.23</v>
      </c>
      <c r="N78" s="134">
        <v>0</v>
      </c>
      <c r="O78" s="134">
        <v>0</v>
      </c>
      <c r="P78" s="134">
        <v>0.56999999999999995</v>
      </c>
      <c r="Q78" s="134">
        <v>4.2</v>
      </c>
    </row>
    <row r="79" spans="1:17" customFormat="1">
      <c r="A79" s="112" t="s">
        <v>1845</v>
      </c>
      <c r="B79" s="134">
        <v>5.99</v>
      </c>
      <c r="C79" s="134">
        <v>24.59</v>
      </c>
      <c r="D79" s="134">
        <v>19.010000000000002</v>
      </c>
      <c r="E79" s="134">
        <v>4.9000000000000004</v>
      </c>
      <c r="F79" s="134">
        <v>3.15</v>
      </c>
      <c r="G79" s="134">
        <v>42.86</v>
      </c>
      <c r="H79" s="134">
        <v>18.170000000000002</v>
      </c>
      <c r="I79" s="134">
        <v>4.67</v>
      </c>
      <c r="J79" s="134">
        <v>0.22</v>
      </c>
      <c r="K79" s="134">
        <v>170.96</v>
      </c>
      <c r="L79" s="134">
        <v>24.93</v>
      </c>
      <c r="M79" s="134">
        <v>62.3</v>
      </c>
      <c r="N79" s="134">
        <v>0</v>
      </c>
      <c r="O79" s="134">
        <v>0</v>
      </c>
      <c r="P79" s="134">
        <v>0.6</v>
      </c>
      <c r="Q79" s="134">
        <v>4.25</v>
      </c>
    </row>
    <row r="80" spans="1:17" customFormat="1">
      <c r="A80" s="112" t="s">
        <v>1846</v>
      </c>
      <c r="B80" s="134">
        <v>6.34</v>
      </c>
      <c r="C80" s="134">
        <v>26</v>
      </c>
      <c r="D80" s="134">
        <v>20.02</v>
      </c>
      <c r="E80" s="134">
        <v>4.72</v>
      </c>
      <c r="F80" s="134">
        <v>2.95</v>
      </c>
      <c r="G80" s="134">
        <v>42.86</v>
      </c>
      <c r="H80" s="134">
        <v>18.170000000000002</v>
      </c>
      <c r="I80" s="134">
        <v>4.7300000000000004</v>
      </c>
      <c r="J80" s="134">
        <v>0.13</v>
      </c>
      <c r="K80" s="134">
        <v>178.11</v>
      </c>
      <c r="L80" s="134">
        <v>24.34</v>
      </c>
      <c r="M80" s="134">
        <v>65.83</v>
      </c>
      <c r="N80" s="134">
        <v>0</v>
      </c>
      <c r="O80" s="134">
        <v>0</v>
      </c>
      <c r="P80" s="134">
        <v>0.63</v>
      </c>
      <c r="Q80" s="134">
        <v>4.25</v>
      </c>
    </row>
    <row r="81" spans="1:17" customFormat="1">
      <c r="A81" s="112" t="s">
        <v>1847</v>
      </c>
      <c r="B81" s="134">
        <v>7.07</v>
      </c>
      <c r="C81" s="134">
        <v>26.94</v>
      </c>
      <c r="D81" s="134">
        <v>21.09</v>
      </c>
      <c r="E81" s="134">
        <v>4.43</v>
      </c>
      <c r="F81" s="134">
        <v>2.95</v>
      </c>
      <c r="G81" s="134">
        <v>42.86</v>
      </c>
      <c r="H81" s="134">
        <v>18.170000000000002</v>
      </c>
      <c r="I81" s="134">
        <v>4.88</v>
      </c>
      <c r="J81" s="134">
        <v>0.19</v>
      </c>
      <c r="K81" s="134">
        <v>169.15</v>
      </c>
      <c r="L81" s="134">
        <v>24.04</v>
      </c>
      <c r="M81" s="134">
        <v>66.5</v>
      </c>
      <c r="N81" s="134">
        <v>0</v>
      </c>
      <c r="O81" s="134">
        <v>0</v>
      </c>
      <c r="P81" s="134">
        <v>0.68</v>
      </c>
      <c r="Q81" s="134">
        <v>4.29</v>
      </c>
    </row>
    <row r="82" spans="1:17" customFormat="1">
      <c r="A82" s="112" t="s">
        <v>1848</v>
      </c>
      <c r="B82" s="134">
        <v>8.5</v>
      </c>
      <c r="C82" s="134">
        <v>25.55</v>
      </c>
      <c r="D82" s="134">
        <v>21.52</v>
      </c>
      <c r="E82" s="134">
        <v>5.74</v>
      </c>
      <c r="F82" s="134">
        <v>2.92</v>
      </c>
      <c r="G82" s="134">
        <v>56.9</v>
      </c>
      <c r="H82" s="134">
        <v>24.93</v>
      </c>
      <c r="I82" s="134">
        <v>5.16</v>
      </c>
      <c r="J82" s="134">
        <v>0.12</v>
      </c>
      <c r="K82" s="134">
        <v>176.51</v>
      </c>
      <c r="L82" s="134">
        <v>23.68</v>
      </c>
      <c r="M82" s="134">
        <v>68.41</v>
      </c>
      <c r="N82" s="134">
        <v>0</v>
      </c>
      <c r="O82" s="134">
        <v>0</v>
      </c>
      <c r="P82" s="134">
        <v>0.69</v>
      </c>
      <c r="Q82" s="134">
        <v>4.3600000000000003</v>
      </c>
    </row>
    <row r="83" spans="1:17" customFormat="1">
      <c r="A83" s="112" t="s">
        <v>1849</v>
      </c>
      <c r="B83" s="134">
        <v>9.41</v>
      </c>
      <c r="C83" s="134">
        <v>24.7</v>
      </c>
      <c r="D83" s="134">
        <v>21.81</v>
      </c>
      <c r="E83" s="134">
        <v>4.4800000000000004</v>
      </c>
      <c r="F83" s="134">
        <v>2.86</v>
      </c>
      <c r="G83" s="134">
        <v>59.71</v>
      </c>
      <c r="H83" s="134">
        <v>24.93</v>
      </c>
      <c r="I83" s="134">
        <v>5.61</v>
      </c>
      <c r="J83" s="134">
        <v>0.18</v>
      </c>
      <c r="K83" s="134">
        <v>164.8</v>
      </c>
      <c r="L83" s="134">
        <v>23.41</v>
      </c>
      <c r="M83" s="134">
        <v>70.2</v>
      </c>
      <c r="N83" s="134">
        <v>0</v>
      </c>
      <c r="O83" s="134">
        <v>0</v>
      </c>
      <c r="P83" s="134">
        <v>0.7</v>
      </c>
      <c r="Q83" s="134">
        <v>4.3899999999999997</v>
      </c>
    </row>
    <row r="84" spans="1:17" customFormat="1">
      <c r="A84" s="112" t="s">
        <v>1850</v>
      </c>
      <c r="B84" s="134">
        <v>10.07</v>
      </c>
      <c r="C84" s="134">
        <v>23.99</v>
      </c>
      <c r="D84" s="134">
        <v>21.95</v>
      </c>
      <c r="E84" s="134">
        <v>4.71</v>
      </c>
      <c r="F84" s="134">
        <v>2.74</v>
      </c>
      <c r="G84" s="134">
        <v>59.71</v>
      </c>
      <c r="H84" s="134">
        <v>24.93</v>
      </c>
      <c r="I84" s="134">
        <v>5.95</v>
      </c>
      <c r="J84" s="134">
        <v>0.15</v>
      </c>
      <c r="K84" s="134">
        <v>166.31</v>
      </c>
      <c r="L84" s="134">
        <v>23.13</v>
      </c>
      <c r="M84" s="134">
        <v>74.959999999999994</v>
      </c>
      <c r="N84" s="134">
        <v>0</v>
      </c>
      <c r="O84" s="134">
        <v>0</v>
      </c>
      <c r="P84" s="134">
        <v>0.71</v>
      </c>
      <c r="Q84" s="134">
        <v>4.41</v>
      </c>
    </row>
    <row r="85" spans="1:17" customFormat="1">
      <c r="A85" s="112" t="s">
        <v>1851</v>
      </c>
      <c r="B85" s="134">
        <v>10.63</v>
      </c>
      <c r="C85" s="134">
        <v>25.73</v>
      </c>
      <c r="D85" s="134">
        <v>23.32</v>
      </c>
      <c r="E85" s="134">
        <v>4.74</v>
      </c>
      <c r="F85" s="134">
        <v>2.48</v>
      </c>
      <c r="G85" s="134">
        <v>59.71</v>
      </c>
      <c r="H85" s="134">
        <v>24.93</v>
      </c>
      <c r="I85" s="134">
        <v>6.22</v>
      </c>
      <c r="J85" s="134">
        <v>0.11</v>
      </c>
      <c r="K85" s="134">
        <v>184.82</v>
      </c>
      <c r="L85" s="134">
        <v>23.01</v>
      </c>
      <c r="M85" s="134">
        <v>71.55</v>
      </c>
      <c r="N85" s="134">
        <v>0</v>
      </c>
      <c r="O85" s="134">
        <v>0</v>
      </c>
      <c r="P85" s="134">
        <v>0.76</v>
      </c>
      <c r="Q85" s="134">
        <v>4.43</v>
      </c>
    </row>
    <row r="86" spans="1:17" customFormat="1">
      <c r="A86" s="112" t="s">
        <v>1852</v>
      </c>
      <c r="B86" s="134">
        <v>11.62</v>
      </c>
      <c r="C86" s="134">
        <v>25.21</v>
      </c>
      <c r="D86" s="134">
        <v>23.84</v>
      </c>
      <c r="E86" s="134">
        <v>5</v>
      </c>
      <c r="F86" s="134">
        <v>2.62</v>
      </c>
      <c r="G86" s="134">
        <v>65.290000000000006</v>
      </c>
      <c r="H86" s="134">
        <v>27</v>
      </c>
      <c r="I86" s="134">
        <v>6.42</v>
      </c>
      <c r="J86" s="134">
        <v>0.18</v>
      </c>
      <c r="K86" s="134">
        <v>169.39</v>
      </c>
      <c r="L86" s="134">
        <v>22.88</v>
      </c>
      <c r="M86" s="134">
        <v>73.209999999999994</v>
      </c>
      <c r="N86" s="134">
        <v>0</v>
      </c>
      <c r="O86" s="134">
        <v>0</v>
      </c>
      <c r="P86" s="134">
        <v>0.78</v>
      </c>
      <c r="Q86" s="134">
        <v>4.47</v>
      </c>
    </row>
    <row r="87" spans="1:17" customFormat="1">
      <c r="A87" s="112" t="s">
        <v>1853</v>
      </c>
      <c r="B87" s="134">
        <v>12.27</v>
      </c>
      <c r="C87" s="134">
        <v>26.68</v>
      </c>
      <c r="D87" s="134">
        <v>25.13</v>
      </c>
      <c r="E87" s="134">
        <v>4.74</v>
      </c>
      <c r="F87" s="134">
        <v>2.46</v>
      </c>
      <c r="G87" s="134">
        <v>66.400000000000006</v>
      </c>
      <c r="H87" s="134">
        <v>27</v>
      </c>
      <c r="I87" s="134">
        <v>6.75</v>
      </c>
      <c r="J87" s="134">
        <v>0.1</v>
      </c>
      <c r="K87" s="134">
        <v>200.86</v>
      </c>
      <c r="L87" s="134">
        <v>22.54</v>
      </c>
      <c r="M87" s="134">
        <v>75.430000000000007</v>
      </c>
      <c r="N87" s="134">
        <v>0</v>
      </c>
      <c r="O87" s="134">
        <v>0</v>
      </c>
      <c r="P87" s="134">
        <v>0.81</v>
      </c>
      <c r="Q87" s="134">
        <v>4.51</v>
      </c>
    </row>
    <row r="88" spans="1:17" customFormat="1">
      <c r="A88" s="112" t="s">
        <v>1854</v>
      </c>
      <c r="B88" s="134">
        <v>12.65</v>
      </c>
      <c r="C88" s="134">
        <v>25.78</v>
      </c>
      <c r="D88" s="134">
        <v>24.96</v>
      </c>
      <c r="E88" s="134">
        <v>4.7300000000000004</v>
      </c>
      <c r="F88" s="134">
        <v>2.6</v>
      </c>
      <c r="G88" s="134">
        <v>66.400000000000006</v>
      </c>
      <c r="H88" s="134">
        <v>27</v>
      </c>
      <c r="I88" s="134">
        <v>7.01</v>
      </c>
      <c r="J88" s="134">
        <v>0.11</v>
      </c>
      <c r="K88" s="134">
        <v>213.49</v>
      </c>
      <c r="L88" s="134">
        <v>22.26</v>
      </c>
      <c r="M88" s="134">
        <v>77.39</v>
      </c>
      <c r="N88" s="134">
        <v>0</v>
      </c>
      <c r="O88" s="134">
        <v>0</v>
      </c>
      <c r="P88" s="134">
        <v>0.83</v>
      </c>
      <c r="Q88" s="134">
        <v>4.5199999999999996</v>
      </c>
    </row>
    <row r="89" spans="1:17" customFormat="1">
      <c r="A89" s="112" t="s">
        <v>1855</v>
      </c>
      <c r="B89" s="134">
        <v>12.97</v>
      </c>
      <c r="C89" s="134">
        <v>26.27</v>
      </c>
      <c r="D89" s="134">
        <v>25.48</v>
      </c>
      <c r="E89" s="134">
        <v>4.82</v>
      </c>
      <c r="F89" s="134">
        <v>2.4900000000000002</v>
      </c>
      <c r="G89" s="134">
        <v>66.400000000000006</v>
      </c>
      <c r="H89" s="134">
        <v>27</v>
      </c>
      <c r="I89" s="134">
        <v>7.29</v>
      </c>
      <c r="J89" s="134">
        <v>0.17</v>
      </c>
      <c r="K89" s="134">
        <v>196.23</v>
      </c>
      <c r="L89" s="134">
        <v>21.94</v>
      </c>
      <c r="M89" s="134">
        <v>80.55</v>
      </c>
      <c r="N89" s="134">
        <v>0</v>
      </c>
      <c r="O89" s="134">
        <v>0</v>
      </c>
      <c r="P89" s="134">
        <v>0.85</v>
      </c>
      <c r="Q89" s="134">
        <v>4.55</v>
      </c>
    </row>
    <row r="90" spans="1:17" customFormat="1">
      <c r="A90" s="112" t="s">
        <v>1856</v>
      </c>
      <c r="B90" s="134">
        <v>13.28</v>
      </c>
      <c r="C90" s="134">
        <v>26.27</v>
      </c>
      <c r="D90" s="134">
        <v>25.73</v>
      </c>
      <c r="E90" s="134">
        <v>5.23</v>
      </c>
      <c r="F90" s="134">
        <v>2.5499999999999998</v>
      </c>
      <c r="G90" s="134">
        <v>74.73</v>
      </c>
      <c r="H90" s="134">
        <v>33.49</v>
      </c>
      <c r="I90" s="134">
        <v>7.46</v>
      </c>
      <c r="J90" s="134">
        <v>0.11</v>
      </c>
      <c r="K90" s="134">
        <v>182.39</v>
      </c>
      <c r="L90" s="134">
        <v>21.56</v>
      </c>
      <c r="M90" s="134">
        <v>82.52</v>
      </c>
      <c r="N90" s="134">
        <v>0</v>
      </c>
      <c r="O90" s="134">
        <v>0</v>
      </c>
      <c r="P90" s="134">
        <v>0.86</v>
      </c>
      <c r="Q90" s="134">
        <v>4.5599999999999996</v>
      </c>
    </row>
    <row r="91" spans="1:17" customFormat="1">
      <c r="A91" s="112" t="s">
        <v>1857</v>
      </c>
      <c r="B91" s="134">
        <v>13.37</v>
      </c>
      <c r="C91" s="134">
        <v>24.92</v>
      </c>
      <c r="D91" s="134">
        <v>25.1</v>
      </c>
      <c r="E91" s="134">
        <v>5.18</v>
      </c>
      <c r="F91" s="134">
        <v>2.63</v>
      </c>
      <c r="G91" s="134">
        <v>76.39</v>
      </c>
      <c r="H91" s="134">
        <v>33.49</v>
      </c>
      <c r="I91" s="134">
        <v>7.55</v>
      </c>
      <c r="J91" s="134">
        <v>0.17</v>
      </c>
      <c r="K91" s="134">
        <v>191.82</v>
      </c>
      <c r="L91" s="134">
        <v>21.47</v>
      </c>
      <c r="M91" s="134">
        <v>82.27</v>
      </c>
      <c r="N91" s="134">
        <v>0</v>
      </c>
      <c r="O91" s="134">
        <v>0</v>
      </c>
      <c r="P91" s="134">
        <v>0.86</v>
      </c>
      <c r="Q91" s="134">
        <v>4.58</v>
      </c>
    </row>
    <row r="92" spans="1:17" customFormat="1">
      <c r="A92" s="112" t="s">
        <v>1858</v>
      </c>
      <c r="B92" s="134">
        <v>13.44</v>
      </c>
      <c r="C92" s="134">
        <v>25.61</v>
      </c>
      <c r="D92" s="134">
        <v>25.51</v>
      </c>
      <c r="E92" s="134">
        <v>5.48</v>
      </c>
      <c r="F92" s="134">
        <v>2.4900000000000002</v>
      </c>
      <c r="G92" s="134">
        <v>76.39</v>
      </c>
      <c r="H92" s="134">
        <v>33.49</v>
      </c>
      <c r="I92" s="134">
        <v>7.57</v>
      </c>
      <c r="J92" s="134">
        <v>0.12</v>
      </c>
      <c r="K92" s="134">
        <v>189.04</v>
      </c>
      <c r="L92" s="134">
        <v>21.28</v>
      </c>
      <c r="M92" s="134">
        <v>85.44</v>
      </c>
      <c r="N92" s="134">
        <v>0</v>
      </c>
      <c r="O92" s="134">
        <v>0</v>
      </c>
      <c r="P92" s="134">
        <v>0.87</v>
      </c>
      <c r="Q92" s="134">
        <v>4.5599999999999996</v>
      </c>
    </row>
    <row r="93" spans="1:17" customFormat="1">
      <c r="A93" s="112" t="s">
        <v>1859</v>
      </c>
      <c r="B93" s="134">
        <v>13.53</v>
      </c>
      <c r="C93" s="134">
        <v>23.92</v>
      </c>
      <c r="D93" s="134">
        <v>24.7</v>
      </c>
      <c r="E93" s="134">
        <v>4.7</v>
      </c>
      <c r="F93" s="134">
        <v>2.57</v>
      </c>
      <c r="G93" s="134">
        <v>76.39</v>
      </c>
      <c r="H93" s="134">
        <v>33.49</v>
      </c>
      <c r="I93" s="134">
        <v>7.54</v>
      </c>
      <c r="J93" s="134">
        <v>0.16</v>
      </c>
      <c r="K93" s="134">
        <v>185.97</v>
      </c>
      <c r="L93" s="134">
        <v>21.16</v>
      </c>
      <c r="M93" s="134">
        <v>84.9</v>
      </c>
      <c r="N93" s="134">
        <v>0</v>
      </c>
      <c r="O93" s="134">
        <v>0</v>
      </c>
      <c r="P93" s="134">
        <v>0.85</v>
      </c>
      <c r="Q93" s="134">
        <v>4.5599999999999996</v>
      </c>
    </row>
    <row r="94" spans="1:17" customFormat="1">
      <c r="A94" s="112" t="s">
        <v>1860</v>
      </c>
      <c r="B94" s="134">
        <v>13.51</v>
      </c>
      <c r="C94" s="134">
        <v>24.26</v>
      </c>
      <c r="D94" s="134">
        <v>24.86</v>
      </c>
      <c r="E94" s="134">
        <v>4.46</v>
      </c>
      <c r="F94" s="134">
        <v>2.44</v>
      </c>
      <c r="G94" s="134">
        <v>72.05</v>
      </c>
      <c r="H94" s="134">
        <v>26.2</v>
      </c>
      <c r="I94" s="134">
        <v>7.54</v>
      </c>
      <c r="J94" s="134">
        <v>0.13</v>
      </c>
      <c r="K94" s="134">
        <v>214.46</v>
      </c>
      <c r="L94" s="134">
        <v>20.91</v>
      </c>
      <c r="M94" s="134">
        <v>85.54</v>
      </c>
      <c r="N94" s="134">
        <v>0</v>
      </c>
      <c r="O94" s="134">
        <v>0</v>
      </c>
      <c r="P94" s="134">
        <v>0.86</v>
      </c>
      <c r="Q94" s="134">
        <v>4.57</v>
      </c>
    </row>
    <row r="95" spans="1:17" customFormat="1">
      <c r="A95" s="112" t="s">
        <v>1861</v>
      </c>
      <c r="B95" s="134">
        <v>13.48</v>
      </c>
      <c r="C95" s="134">
        <v>23.61</v>
      </c>
      <c r="D95" s="134">
        <v>24.5</v>
      </c>
      <c r="E95" s="134">
        <v>5.0599999999999996</v>
      </c>
      <c r="F95" s="134">
        <v>2.65</v>
      </c>
      <c r="G95" s="134">
        <v>71.180000000000007</v>
      </c>
      <c r="H95" s="134">
        <v>26.2</v>
      </c>
      <c r="I95" s="134">
        <v>7.55</v>
      </c>
      <c r="J95" s="134">
        <v>0.08</v>
      </c>
      <c r="K95" s="134">
        <v>190.03</v>
      </c>
      <c r="L95" s="134">
        <v>20.81</v>
      </c>
      <c r="M95" s="134">
        <v>82.88</v>
      </c>
      <c r="N95" s="134">
        <v>0</v>
      </c>
      <c r="O95" s="134">
        <v>0</v>
      </c>
      <c r="P95" s="134">
        <v>0.85</v>
      </c>
      <c r="Q95" s="134">
        <v>4.57</v>
      </c>
    </row>
    <row r="96" spans="1:17" customFormat="1">
      <c r="A96" s="112" t="s">
        <v>1862</v>
      </c>
      <c r="B96" s="134">
        <v>13.53</v>
      </c>
      <c r="C96" s="134">
        <v>24.26</v>
      </c>
      <c r="D96" s="134">
        <v>24.87</v>
      </c>
      <c r="E96" s="134">
        <v>4.37</v>
      </c>
      <c r="F96" s="134">
        <v>2.54</v>
      </c>
      <c r="G96" s="134">
        <v>71.180000000000007</v>
      </c>
      <c r="H96" s="134">
        <v>26.2</v>
      </c>
      <c r="I96" s="134">
        <v>7.55</v>
      </c>
      <c r="J96" s="134">
        <v>0.12</v>
      </c>
      <c r="K96" s="134">
        <v>204.32</v>
      </c>
      <c r="L96" s="134">
        <v>20.78</v>
      </c>
      <c r="M96" s="134">
        <v>84.33</v>
      </c>
      <c r="N96" s="134">
        <v>0</v>
      </c>
      <c r="O96" s="134">
        <v>0</v>
      </c>
      <c r="P96" s="134">
        <v>0.85</v>
      </c>
      <c r="Q96" s="134">
        <v>4.5599999999999996</v>
      </c>
    </row>
    <row r="97" spans="1:22" customFormat="1">
      <c r="A97" s="112" t="s">
        <v>1863</v>
      </c>
      <c r="B97" s="134">
        <v>13.55</v>
      </c>
      <c r="C97" s="134">
        <v>23.35</v>
      </c>
      <c r="D97" s="134">
        <v>24.41</v>
      </c>
      <c r="E97" s="134">
        <v>4.74</v>
      </c>
      <c r="F97" s="134">
        <v>2.65</v>
      </c>
      <c r="G97" s="134">
        <v>71.180000000000007</v>
      </c>
      <c r="H97" s="134">
        <v>26.2</v>
      </c>
      <c r="I97" s="134">
        <v>7.5</v>
      </c>
      <c r="J97" s="134">
        <v>0.13</v>
      </c>
      <c r="K97" s="134">
        <v>209.36</v>
      </c>
      <c r="L97" s="134">
        <v>20.49</v>
      </c>
      <c r="M97" s="134">
        <v>87.66</v>
      </c>
      <c r="N97" s="134">
        <v>0</v>
      </c>
      <c r="O97" s="134">
        <v>0</v>
      </c>
      <c r="P97" s="134">
        <v>0.84</v>
      </c>
      <c r="Q97" s="134">
        <v>4.57</v>
      </c>
    </row>
    <row r="98" spans="1:22" customFormat="1">
      <c r="A98" s="112" t="s">
        <v>1864</v>
      </c>
      <c r="B98" s="134">
        <v>13.66</v>
      </c>
      <c r="C98" s="134">
        <v>23.75</v>
      </c>
      <c r="D98" s="134">
        <v>24.71</v>
      </c>
      <c r="E98" s="134">
        <v>4.55</v>
      </c>
      <c r="F98" s="134">
        <v>2.5299999999999998</v>
      </c>
      <c r="G98" s="134">
        <v>63.86</v>
      </c>
      <c r="H98" s="134">
        <v>26.43</v>
      </c>
      <c r="I98" s="134">
        <v>7.51</v>
      </c>
      <c r="J98" s="134">
        <v>0.12</v>
      </c>
      <c r="K98" s="134">
        <v>209.77</v>
      </c>
      <c r="L98" s="134">
        <v>20.32</v>
      </c>
      <c r="M98" s="134">
        <v>86.97</v>
      </c>
      <c r="N98" s="134">
        <v>0</v>
      </c>
      <c r="O98" s="134">
        <v>0</v>
      </c>
      <c r="P98" s="134">
        <v>0.84</v>
      </c>
      <c r="Q98" s="134">
        <v>4.57</v>
      </c>
    </row>
    <row r="99" spans="1:22" customFormat="1">
      <c r="A99" s="112" t="s">
        <v>1865</v>
      </c>
      <c r="B99" s="134">
        <v>13.67</v>
      </c>
      <c r="C99" s="134">
        <v>22.67</v>
      </c>
      <c r="D99" s="134">
        <v>24.16</v>
      </c>
      <c r="E99" s="134">
        <v>5.0599999999999996</v>
      </c>
      <c r="F99" s="134">
        <v>2.7</v>
      </c>
      <c r="G99" s="134">
        <v>62.4</v>
      </c>
      <c r="H99" s="134">
        <v>26.43</v>
      </c>
      <c r="I99" s="134">
        <v>7.45</v>
      </c>
      <c r="J99" s="134">
        <v>0.1</v>
      </c>
      <c r="K99" s="134">
        <v>190.95</v>
      </c>
      <c r="L99" s="134">
        <v>20.14</v>
      </c>
      <c r="M99" s="134">
        <v>88.57</v>
      </c>
      <c r="N99" s="134">
        <v>0</v>
      </c>
      <c r="O99" s="134">
        <v>0</v>
      </c>
      <c r="P99" s="134">
        <v>0.83</v>
      </c>
      <c r="Q99" s="134">
        <v>4.55</v>
      </c>
    </row>
    <row r="100" spans="1:22" customFormat="1">
      <c r="A100" s="112" t="s">
        <v>1866</v>
      </c>
      <c r="B100" s="134">
        <v>13.3</v>
      </c>
      <c r="C100" s="134">
        <v>23.68</v>
      </c>
      <c r="D100" s="134">
        <v>24.39</v>
      </c>
      <c r="E100" s="134">
        <v>4.93</v>
      </c>
      <c r="F100" s="134">
        <v>2.46</v>
      </c>
      <c r="G100" s="134">
        <v>62.4</v>
      </c>
      <c r="H100" s="134">
        <v>26.43</v>
      </c>
      <c r="I100" s="134">
        <v>7.43</v>
      </c>
      <c r="J100" s="134">
        <v>0.14000000000000001</v>
      </c>
      <c r="K100" s="134">
        <v>196.05</v>
      </c>
      <c r="L100" s="134">
        <v>20.07</v>
      </c>
      <c r="M100" s="134">
        <v>89.35</v>
      </c>
      <c r="N100" s="134">
        <v>0</v>
      </c>
      <c r="O100" s="134">
        <v>0</v>
      </c>
      <c r="P100" s="134">
        <v>0.84</v>
      </c>
      <c r="Q100" s="134">
        <v>4.55</v>
      </c>
    </row>
    <row r="101" spans="1:22" customFormat="1">
      <c r="A101" s="112" t="s">
        <v>1867</v>
      </c>
      <c r="B101" s="134">
        <v>12.69</v>
      </c>
      <c r="C101" s="134">
        <v>23.93</v>
      </c>
      <c r="D101" s="134">
        <v>24.03</v>
      </c>
      <c r="E101" s="134">
        <v>5.24</v>
      </c>
      <c r="F101" s="134">
        <v>2.5299999999999998</v>
      </c>
      <c r="G101" s="134">
        <v>62.4</v>
      </c>
      <c r="H101" s="134">
        <v>26.43</v>
      </c>
      <c r="I101" s="134">
        <v>7.4</v>
      </c>
      <c r="J101" s="134">
        <v>0.11</v>
      </c>
      <c r="K101" s="134">
        <v>169.48</v>
      </c>
      <c r="L101" s="134">
        <v>19.920000000000002</v>
      </c>
      <c r="M101" s="134">
        <v>88.21</v>
      </c>
      <c r="N101" s="134">
        <v>0</v>
      </c>
      <c r="O101" s="134">
        <v>0</v>
      </c>
      <c r="P101" s="134">
        <v>0.86</v>
      </c>
      <c r="Q101" s="134">
        <v>4.57</v>
      </c>
    </row>
    <row r="102" spans="1:22" customFormat="1">
      <c r="A102" s="112" t="s">
        <v>1868</v>
      </c>
      <c r="B102" s="134">
        <v>12.11</v>
      </c>
      <c r="C102" s="134">
        <v>23.98</v>
      </c>
      <c r="D102" s="134">
        <v>23.59</v>
      </c>
      <c r="E102" s="134">
        <v>5.16</v>
      </c>
      <c r="F102" s="134">
        <v>2.72</v>
      </c>
      <c r="G102" s="134">
        <v>57.92</v>
      </c>
      <c r="H102" s="134">
        <v>26</v>
      </c>
      <c r="I102" s="134">
        <v>7.36</v>
      </c>
      <c r="J102" s="134">
        <v>7.0000000000000007E-2</v>
      </c>
      <c r="K102" s="134">
        <v>202.04</v>
      </c>
      <c r="L102" s="134">
        <v>19.91</v>
      </c>
      <c r="M102" s="134">
        <v>86.29</v>
      </c>
      <c r="N102" s="134">
        <v>0</v>
      </c>
      <c r="O102" s="134">
        <v>0</v>
      </c>
      <c r="P102" s="134">
        <v>0.86</v>
      </c>
      <c r="Q102" s="134">
        <v>4.54</v>
      </c>
    </row>
    <row r="103" spans="1:22" customFormat="1">
      <c r="A103" s="112" t="s">
        <v>1869</v>
      </c>
      <c r="B103" s="134">
        <v>11.6</v>
      </c>
      <c r="C103" s="134">
        <v>24.04</v>
      </c>
      <c r="D103" s="134">
        <v>23.21</v>
      </c>
      <c r="E103" s="134">
        <v>5.46</v>
      </c>
      <c r="F103" s="134">
        <v>2.76</v>
      </c>
      <c r="G103" s="134">
        <v>57.03</v>
      </c>
      <c r="H103" s="134">
        <v>26</v>
      </c>
      <c r="I103" s="134">
        <v>7.34</v>
      </c>
      <c r="J103" s="134">
        <v>0.14000000000000001</v>
      </c>
      <c r="K103" s="134">
        <v>172.64</v>
      </c>
      <c r="L103" s="134">
        <v>19.940000000000001</v>
      </c>
      <c r="M103" s="134">
        <v>88.22</v>
      </c>
      <c r="N103" s="134">
        <v>0</v>
      </c>
      <c r="O103" s="134">
        <v>0</v>
      </c>
      <c r="P103" s="134">
        <v>0.85</v>
      </c>
      <c r="Q103" s="134">
        <v>4.53</v>
      </c>
    </row>
    <row r="104" spans="1:22" customFormat="1">
      <c r="A104" s="112" t="s">
        <v>1870</v>
      </c>
      <c r="B104" s="134">
        <v>11.26</v>
      </c>
      <c r="C104" s="134">
        <v>23.74</v>
      </c>
      <c r="D104" s="134">
        <v>22.78</v>
      </c>
      <c r="E104" s="134">
        <v>5.09</v>
      </c>
      <c r="F104" s="134">
        <v>2.84</v>
      </c>
      <c r="G104" s="134">
        <v>57.03</v>
      </c>
      <c r="H104" s="134">
        <v>26</v>
      </c>
      <c r="I104" s="134">
        <v>7.31</v>
      </c>
      <c r="J104" s="134">
        <v>0.14000000000000001</v>
      </c>
      <c r="K104" s="134">
        <v>161.97999999999999</v>
      </c>
      <c r="L104" s="134">
        <v>19.75</v>
      </c>
      <c r="M104" s="134">
        <v>90.63</v>
      </c>
      <c r="N104" s="134">
        <v>0</v>
      </c>
      <c r="O104" s="134">
        <v>0</v>
      </c>
      <c r="P104" s="134">
        <v>0.85</v>
      </c>
      <c r="Q104" s="134">
        <v>4.5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4.8600000000000003</v>
      </c>
      <c r="C106" s="183">
        <f>MIN(C9:C104)</f>
        <v>18.68</v>
      </c>
      <c r="D106" s="183">
        <f t="shared" ref="D106:Q106" si="0">MIN(D9:D104)</f>
        <v>15.4</v>
      </c>
      <c r="E106" s="183">
        <f t="shared" si="0"/>
        <v>2.71</v>
      </c>
      <c r="F106" s="183">
        <f t="shared" si="0"/>
        <v>2.44</v>
      </c>
      <c r="G106" s="183">
        <f t="shared" si="0"/>
        <v>39.03</v>
      </c>
      <c r="H106" s="183">
        <f t="shared" si="0"/>
        <v>16.760000000000002</v>
      </c>
      <c r="I106" s="183">
        <f t="shared" si="0"/>
        <v>4.67</v>
      </c>
      <c r="J106" s="183">
        <f t="shared" si="0"/>
        <v>0.04</v>
      </c>
      <c r="K106" s="183">
        <f t="shared" si="0"/>
        <v>5.99</v>
      </c>
      <c r="L106" s="183">
        <f t="shared" si="0"/>
        <v>17.600000000000001</v>
      </c>
      <c r="M106" s="183">
        <f t="shared" si="0"/>
        <v>37.42</v>
      </c>
      <c r="N106" s="183">
        <f t="shared" si="0"/>
        <v>0</v>
      </c>
      <c r="O106" s="183">
        <f t="shared" si="0"/>
        <v>0</v>
      </c>
      <c r="P106" s="183">
        <f t="shared" si="0"/>
        <v>0.56000000000000005</v>
      </c>
      <c r="Q106" s="183">
        <f t="shared" si="0"/>
        <v>4.1399999999999997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13.67</v>
      </c>
      <c r="C107" s="184">
        <f t="shared" ref="C107:Q107" si="1">MAX(C9:C104)</f>
        <v>26.94</v>
      </c>
      <c r="D107" s="184">
        <f t="shared" si="1"/>
        <v>25.73</v>
      </c>
      <c r="E107" s="184">
        <f t="shared" si="1"/>
        <v>7.68</v>
      </c>
      <c r="F107" s="184">
        <f t="shared" si="1"/>
        <v>7.06</v>
      </c>
      <c r="G107" s="184">
        <f t="shared" si="1"/>
        <v>76.39</v>
      </c>
      <c r="H107" s="184">
        <f t="shared" si="1"/>
        <v>34.71</v>
      </c>
      <c r="I107" s="184">
        <f t="shared" si="1"/>
        <v>18.559999999999999</v>
      </c>
      <c r="J107" s="184">
        <f t="shared" si="1"/>
        <v>0.85</v>
      </c>
      <c r="K107" s="184">
        <f t="shared" si="1"/>
        <v>214.46</v>
      </c>
      <c r="L107" s="184">
        <f t="shared" si="1"/>
        <v>31.09</v>
      </c>
      <c r="M107" s="184">
        <f t="shared" si="1"/>
        <v>90.63</v>
      </c>
      <c r="N107" s="184">
        <f t="shared" si="1"/>
        <v>604</v>
      </c>
      <c r="O107" s="184">
        <f t="shared" si="1"/>
        <v>0</v>
      </c>
      <c r="P107" s="184">
        <f t="shared" si="1"/>
        <v>0.87</v>
      </c>
      <c r="Q107" s="184">
        <f t="shared" si="1"/>
        <v>4.58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9.2515625000000004</v>
      </c>
      <c r="C108" s="183">
        <f t="shared" ref="C108:Q108" si="2">AVERAGE(C9:C104)</f>
        <v>23.162499999999991</v>
      </c>
      <c r="D108" s="183">
        <f t="shared" si="2"/>
        <v>20.872500000000002</v>
      </c>
      <c r="E108" s="183">
        <f t="shared" si="2"/>
        <v>5.0259375000000004</v>
      </c>
      <c r="F108" s="183">
        <f t="shared" si="2"/>
        <v>3.6786458333333325</v>
      </c>
      <c r="G108" s="183">
        <f t="shared" si="2"/>
        <v>60.566874999999982</v>
      </c>
      <c r="H108" s="183">
        <f t="shared" si="2"/>
        <v>25.934583333333318</v>
      </c>
      <c r="I108" s="183">
        <f t="shared" si="2"/>
        <v>8.5065624999999994</v>
      </c>
      <c r="J108" s="183">
        <f t="shared" si="2"/>
        <v>0.26479166666666687</v>
      </c>
      <c r="K108" s="183">
        <f t="shared" si="2"/>
        <v>94.598020833333308</v>
      </c>
      <c r="L108" s="183">
        <f t="shared" si="2"/>
        <v>23.129375</v>
      </c>
      <c r="M108" s="183">
        <f t="shared" si="2"/>
        <v>66.241041666666661</v>
      </c>
      <c r="N108" s="183">
        <f t="shared" si="2"/>
        <v>128.06354166666665</v>
      </c>
      <c r="O108" s="183">
        <f t="shared" si="2"/>
        <v>0</v>
      </c>
      <c r="P108" s="183">
        <f t="shared" si="2"/>
        <v>0.72083333333333333</v>
      </c>
      <c r="Q108" s="183">
        <f t="shared" si="2"/>
        <v>4.3701041666666667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2.8447285794587609</v>
      </c>
      <c r="C109" s="183">
        <f t="shared" ref="C109:Q109" si="3">STDEV(C9:C104)</f>
        <v>2.1405710010478085</v>
      </c>
      <c r="D109" s="183">
        <f t="shared" si="3"/>
        <v>3.171900974096403</v>
      </c>
      <c r="E109" s="183">
        <f t="shared" si="3"/>
        <v>1.096962867600682</v>
      </c>
      <c r="F109" s="183">
        <f t="shared" si="3"/>
        <v>1.475108288472174</v>
      </c>
      <c r="G109" s="183">
        <f t="shared" si="3"/>
        <v>10.520475305702602</v>
      </c>
      <c r="H109" s="183">
        <f t="shared" si="3"/>
        <v>4.8263421731090501</v>
      </c>
      <c r="I109" s="183">
        <f t="shared" si="3"/>
        <v>2.9518453918024381</v>
      </c>
      <c r="J109" s="183">
        <f t="shared" si="3"/>
        <v>0.15943967126135761</v>
      </c>
      <c r="K109" s="183">
        <f t="shared" si="3"/>
        <v>65.07028807972587</v>
      </c>
      <c r="L109" s="183">
        <f t="shared" si="3"/>
        <v>4.5152869728698795</v>
      </c>
      <c r="M109" s="183">
        <f t="shared" si="3"/>
        <v>16.983395821812298</v>
      </c>
      <c r="N109" s="183">
        <f t="shared" si="3"/>
        <v>208.63259175164552</v>
      </c>
      <c r="O109" s="183">
        <f t="shared" si="3"/>
        <v>0</v>
      </c>
      <c r="P109" s="183">
        <f t="shared" si="3"/>
        <v>8.457530642061109E-2</v>
      </c>
      <c r="Q109" s="183">
        <f t="shared" si="3"/>
        <v>0.13907585807123407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D110" sqref="C110:Q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18/11/2023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1871</v>
      </c>
      <c r="B9" s="134">
        <v>9.7799999999999994</v>
      </c>
      <c r="C9" s="134">
        <v>24.14</v>
      </c>
      <c r="D9" s="134">
        <v>21.8</v>
      </c>
      <c r="E9" s="134">
        <v>5.49</v>
      </c>
      <c r="F9" s="134">
        <v>2.73</v>
      </c>
      <c r="G9" s="134">
        <v>57.03</v>
      </c>
      <c r="H9" s="134">
        <v>26</v>
      </c>
      <c r="I9" s="134">
        <v>7.27</v>
      </c>
      <c r="J9" s="134">
        <v>0.13</v>
      </c>
      <c r="K9" s="134">
        <v>175.37</v>
      </c>
      <c r="L9" s="134">
        <v>19.670000000000002</v>
      </c>
      <c r="M9" s="134">
        <v>88.16</v>
      </c>
      <c r="N9" s="134">
        <v>0</v>
      </c>
      <c r="O9" s="134">
        <v>0</v>
      </c>
      <c r="P9" s="134">
        <v>0.84</v>
      </c>
      <c r="Q9" s="134">
        <v>4.49</v>
      </c>
    </row>
    <row r="10" spans="1:21" customFormat="1">
      <c r="A10" s="112" t="s">
        <v>1872</v>
      </c>
      <c r="B10" s="134">
        <v>9.6199999999999992</v>
      </c>
      <c r="C10" s="134">
        <v>23.59</v>
      </c>
      <c r="D10" s="134">
        <v>21.39</v>
      </c>
      <c r="E10" s="134">
        <v>5.68</v>
      </c>
      <c r="F10" s="134">
        <v>2.67</v>
      </c>
      <c r="G10" s="134">
        <v>57.3</v>
      </c>
      <c r="H10" s="134">
        <v>26.41</v>
      </c>
      <c r="I10" s="134">
        <v>7.26</v>
      </c>
      <c r="J10" s="134">
        <v>0.13</v>
      </c>
      <c r="K10" s="134">
        <v>244.87</v>
      </c>
      <c r="L10" s="134">
        <v>19.62</v>
      </c>
      <c r="M10" s="134">
        <v>90.7</v>
      </c>
      <c r="N10" s="134">
        <v>0</v>
      </c>
      <c r="O10" s="134">
        <v>0</v>
      </c>
      <c r="P10" s="134">
        <v>0.84</v>
      </c>
      <c r="Q10" s="134">
        <v>4.4800000000000004</v>
      </c>
    </row>
    <row r="11" spans="1:21" customFormat="1">
      <c r="A11" s="112" t="s">
        <v>1873</v>
      </c>
      <c r="B11" s="134">
        <v>9.43</v>
      </c>
      <c r="C11" s="134">
        <v>23.43</v>
      </c>
      <c r="D11" s="134">
        <v>21.16</v>
      </c>
      <c r="E11" s="134">
        <v>5.58</v>
      </c>
      <c r="F11" s="134">
        <v>2.4300000000000002</v>
      </c>
      <c r="G11" s="134">
        <v>57.36</v>
      </c>
      <c r="H11" s="134">
        <v>26.41</v>
      </c>
      <c r="I11" s="134">
        <v>7.19</v>
      </c>
      <c r="J11" s="134">
        <v>0.1</v>
      </c>
      <c r="K11" s="134">
        <v>255.54</v>
      </c>
      <c r="L11" s="134">
        <v>19.350000000000001</v>
      </c>
      <c r="M11" s="134">
        <v>93.04</v>
      </c>
      <c r="N11" s="134">
        <v>0</v>
      </c>
      <c r="O11" s="134">
        <v>0</v>
      </c>
      <c r="P11" s="134">
        <v>0.84</v>
      </c>
      <c r="Q11" s="134">
        <v>4.49</v>
      </c>
    </row>
    <row r="12" spans="1:21" customFormat="1">
      <c r="A12" s="112" t="s">
        <v>1874</v>
      </c>
      <c r="B12" s="134">
        <v>9.58</v>
      </c>
      <c r="C12" s="134">
        <v>23.73</v>
      </c>
      <c r="D12" s="134">
        <v>21.43</v>
      </c>
      <c r="E12" s="134">
        <v>5.83</v>
      </c>
      <c r="F12" s="134">
        <v>2.39</v>
      </c>
      <c r="G12" s="134">
        <v>57.36</v>
      </c>
      <c r="H12" s="134">
        <v>26.41</v>
      </c>
      <c r="I12" s="134">
        <v>7.2</v>
      </c>
      <c r="J12" s="134">
        <v>0.06</v>
      </c>
      <c r="K12" s="134">
        <v>166.57</v>
      </c>
      <c r="L12" s="134">
        <v>19.25</v>
      </c>
      <c r="M12" s="134">
        <v>92.57</v>
      </c>
      <c r="N12" s="134">
        <v>0</v>
      </c>
      <c r="O12" s="134">
        <v>0</v>
      </c>
      <c r="P12" s="134">
        <v>0.84</v>
      </c>
      <c r="Q12" s="134">
        <v>4.4800000000000004</v>
      </c>
    </row>
    <row r="13" spans="1:21" customFormat="1">
      <c r="A13" s="112" t="s">
        <v>1875</v>
      </c>
      <c r="B13" s="134">
        <v>12.69</v>
      </c>
      <c r="C13" s="134">
        <v>24.87</v>
      </c>
      <c r="D13" s="134">
        <v>24.52</v>
      </c>
      <c r="E13" s="134">
        <v>5.58</v>
      </c>
      <c r="F13" s="134">
        <v>2.4900000000000002</v>
      </c>
      <c r="G13" s="134">
        <v>57.36</v>
      </c>
      <c r="H13" s="134">
        <v>26.41</v>
      </c>
      <c r="I13" s="134">
        <v>7.18</v>
      </c>
      <c r="J13" s="134">
        <v>0.13</v>
      </c>
      <c r="K13" s="134">
        <v>188.03</v>
      </c>
      <c r="L13" s="134">
        <v>19.25</v>
      </c>
      <c r="M13" s="134">
        <v>92.32</v>
      </c>
      <c r="N13" s="134">
        <v>0</v>
      </c>
      <c r="O13" s="134">
        <v>0</v>
      </c>
      <c r="P13" s="134">
        <v>0.86</v>
      </c>
      <c r="Q13" s="134">
        <v>4.5599999999999996</v>
      </c>
    </row>
    <row r="14" spans="1:21" customFormat="1">
      <c r="A14" s="112" t="s">
        <v>1876</v>
      </c>
      <c r="B14" s="134">
        <v>15.92</v>
      </c>
      <c r="C14" s="134">
        <v>25.7</v>
      </c>
      <c r="D14" s="134">
        <v>27.54</v>
      </c>
      <c r="E14" s="134">
        <v>5.95</v>
      </c>
      <c r="F14" s="134">
        <v>2.4</v>
      </c>
      <c r="G14" s="134">
        <v>56.12</v>
      </c>
      <c r="H14" s="134">
        <v>21.92</v>
      </c>
      <c r="I14" s="134">
        <v>7.21</v>
      </c>
      <c r="J14" s="134">
        <v>0.15</v>
      </c>
      <c r="K14" s="134">
        <v>197.44</v>
      </c>
      <c r="L14" s="134">
        <v>19.18</v>
      </c>
      <c r="M14" s="134">
        <v>94.9</v>
      </c>
      <c r="N14" s="134">
        <v>0</v>
      </c>
      <c r="O14" s="134">
        <v>0</v>
      </c>
      <c r="P14" s="134">
        <v>0.87</v>
      </c>
      <c r="Q14" s="134">
        <v>4.71</v>
      </c>
    </row>
    <row r="15" spans="1:21" customFormat="1">
      <c r="A15" s="112" t="s">
        <v>1877</v>
      </c>
      <c r="B15" s="134">
        <v>15.98</v>
      </c>
      <c r="C15" s="134">
        <v>25.8</v>
      </c>
      <c r="D15" s="134">
        <v>27.64</v>
      </c>
      <c r="E15" s="134">
        <v>6.08</v>
      </c>
      <c r="F15" s="134">
        <v>2.48</v>
      </c>
      <c r="G15" s="134">
        <v>55.87</v>
      </c>
      <c r="H15" s="134">
        <v>21.92</v>
      </c>
      <c r="I15" s="134">
        <v>7.28</v>
      </c>
      <c r="J15" s="134">
        <v>0.12</v>
      </c>
      <c r="K15" s="134">
        <v>209.83</v>
      </c>
      <c r="L15" s="134">
        <v>18.98</v>
      </c>
      <c r="M15" s="134">
        <v>95.09</v>
      </c>
      <c r="N15" s="134">
        <v>0</v>
      </c>
      <c r="O15" s="134">
        <v>0</v>
      </c>
      <c r="P15" s="134">
        <v>0.86</v>
      </c>
      <c r="Q15" s="134">
        <v>4.74</v>
      </c>
    </row>
    <row r="16" spans="1:21" customFormat="1">
      <c r="A16" s="112" t="s">
        <v>1878</v>
      </c>
      <c r="B16" s="134">
        <v>15.28</v>
      </c>
      <c r="C16" s="134">
        <v>25.52</v>
      </c>
      <c r="D16" s="134">
        <v>26.94</v>
      </c>
      <c r="E16" s="134">
        <v>6.21</v>
      </c>
      <c r="F16" s="134">
        <v>2.65</v>
      </c>
      <c r="G16" s="134">
        <v>55.87</v>
      </c>
      <c r="H16" s="134">
        <v>21.92</v>
      </c>
      <c r="I16" s="134">
        <v>7.29</v>
      </c>
      <c r="J16" s="134">
        <v>7.0000000000000007E-2</v>
      </c>
      <c r="K16" s="134">
        <v>36.68</v>
      </c>
      <c r="L16" s="134">
        <v>18.77</v>
      </c>
      <c r="M16" s="134">
        <v>94.62</v>
      </c>
      <c r="N16" s="134">
        <v>0</v>
      </c>
      <c r="O16" s="134">
        <v>0</v>
      </c>
      <c r="P16" s="134">
        <v>0.85</v>
      </c>
      <c r="Q16" s="134">
        <v>4.7300000000000004</v>
      </c>
    </row>
    <row r="17" spans="1:17" customFormat="1">
      <c r="A17" s="112" t="s">
        <v>1879</v>
      </c>
      <c r="B17" s="134">
        <v>15.19</v>
      </c>
      <c r="C17" s="134">
        <v>25.58</v>
      </c>
      <c r="D17" s="134">
        <v>26.9</v>
      </c>
      <c r="E17" s="134">
        <v>3.29</v>
      </c>
      <c r="F17" s="134">
        <v>2.39</v>
      </c>
      <c r="G17" s="134">
        <v>55.87</v>
      </c>
      <c r="H17" s="134">
        <v>21.92</v>
      </c>
      <c r="I17" s="134">
        <v>7.28</v>
      </c>
      <c r="J17" s="134">
        <v>0.35</v>
      </c>
      <c r="K17" s="134">
        <v>41.77</v>
      </c>
      <c r="L17" s="134">
        <v>19.05</v>
      </c>
      <c r="M17" s="134">
        <v>88.88</v>
      </c>
      <c r="N17" s="134">
        <v>0</v>
      </c>
      <c r="O17" s="134">
        <v>0</v>
      </c>
      <c r="P17" s="134">
        <v>0.83</v>
      </c>
      <c r="Q17" s="134">
        <v>4.74</v>
      </c>
    </row>
    <row r="18" spans="1:17" customFormat="1">
      <c r="A18" s="112" t="s">
        <v>1880</v>
      </c>
      <c r="B18" s="134">
        <v>14.65</v>
      </c>
      <c r="C18" s="134">
        <v>26.12</v>
      </c>
      <c r="D18" s="134">
        <v>26.75</v>
      </c>
      <c r="E18" s="134">
        <v>3.95</v>
      </c>
      <c r="F18" s="134">
        <v>2.59</v>
      </c>
      <c r="G18" s="134">
        <v>54.57</v>
      </c>
      <c r="H18" s="134">
        <v>17.84</v>
      </c>
      <c r="I18" s="134">
        <v>7.27</v>
      </c>
      <c r="J18" s="134">
        <v>0.23</v>
      </c>
      <c r="K18" s="134">
        <v>32.159999999999997</v>
      </c>
      <c r="L18" s="134">
        <v>19.170000000000002</v>
      </c>
      <c r="M18" s="134">
        <v>86.77</v>
      </c>
      <c r="N18" s="134">
        <v>0</v>
      </c>
      <c r="O18" s="134">
        <v>0</v>
      </c>
      <c r="P18" s="134">
        <v>0.83</v>
      </c>
      <c r="Q18" s="134">
        <v>4.71</v>
      </c>
    </row>
    <row r="19" spans="1:17" customFormat="1">
      <c r="A19" s="112" t="s">
        <v>1881</v>
      </c>
      <c r="B19" s="134">
        <v>13.86</v>
      </c>
      <c r="C19" s="134">
        <v>26.39</v>
      </c>
      <c r="D19" s="134">
        <v>26.25</v>
      </c>
      <c r="E19" s="134">
        <v>3.69</v>
      </c>
      <c r="F19" s="134">
        <v>2.76</v>
      </c>
      <c r="G19" s="134">
        <v>54.31</v>
      </c>
      <c r="H19" s="134">
        <v>17.84</v>
      </c>
      <c r="I19" s="134">
        <v>7.26</v>
      </c>
      <c r="J19" s="134">
        <v>0.09</v>
      </c>
      <c r="K19" s="134">
        <v>231.13</v>
      </c>
      <c r="L19" s="134">
        <v>19</v>
      </c>
      <c r="M19" s="134">
        <v>88.31</v>
      </c>
      <c r="N19" s="134">
        <v>0</v>
      </c>
      <c r="O19" s="134">
        <v>0</v>
      </c>
      <c r="P19" s="134">
        <v>0.81</v>
      </c>
      <c r="Q19" s="134">
        <v>4.6900000000000004</v>
      </c>
    </row>
    <row r="20" spans="1:17" customFormat="1">
      <c r="A20" s="112" t="s">
        <v>1882</v>
      </c>
      <c r="B20" s="134">
        <v>13.23</v>
      </c>
      <c r="C20" s="134">
        <v>26.28</v>
      </c>
      <c r="D20" s="134">
        <v>25.69</v>
      </c>
      <c r="E20" s="134">
        <v>4.25</v>
      </c>
      <c r="F20" s="134">
        <v>2.67</v>
      </c>
      <c r="G20" s="134">
        <v>54.31</v>
      </c>
      <c r="H20" s="134">
        <v>17.84</v>
      </c>
      <c r="I20" s="134">
        <v>7.22</v>
      </c>
      <c r="J20" s="134">
        <v>0.11</v>
      </c>
      <c r="K20" s="134">
        <v>177.2</v>
      </c>
      <c r="L20" s="134">
        <v>18.91</v>
      </c>
      <c r="M20" s="134">
        <v>89.15</v>
      </c>
      <c r="N20" s="134">
        <v>0</v>
      </c>
      <c r="O20" s="134">
        <v>0</v>
      </c>
      <c r="P20" s="134">
        <v>0.8</v>
      </c>
      <c r="Q20" s="134">
        <v>4.6500000000000004</v>
      </c>
    </row>
    <row r="21" spans="1:17" customFormat="1">
      <c r="A21" s="112" t="s">
        <v>1883</v>
      </c>
      <c r="B21" s="134">
        <v>12.66</v>
      </c>
      <c r="C21" s="134">
        <v>26.03</v>
      </c>
      <c r="D21" s="134">
        <v>25.1</v>
      </c>
      <c r="E21" s="134">
        <v>4.21</v>
      </c>
      <c r="F21" s="134">
        <v>2.64</v>
      </c>
      <c r="G21" s="134">
        <v>54.31</v>
      </c>
      <c r="H21" s="134">
        <v>17.84</v>
      </c>
      <c r="I21" s="134">
        <v>7.19</v>
      </c>
      <c r="J21" s="134">
        <v>7.0000000000000007E-2</v>
      </c>
      <c r="K21" s="134">
        <v>171.4</v>
      </c>
      <c r="L21" s="134">
        <v>18.7</v>
      </c>
      <c r="M21" s="134">
        <v>90.58</v>
      </c>
      <c r="N21" s="134">
        <v>0</v>
      </c>
      <c r="O21" s="134">
        <v>0</v>
      </c>
      <c r="P21" s="134">
        <v>0.8</v>
      </c>
      <c r="Q21" s="134">
        <v>4.63</v>
      </c>
    </row>
    <row r="22" spans="1:17" customFormat="1">
      <c r="A22" s="112" t="s">
        <v>1884</v>
      </c>
      <c r="B22" s="134">
        <v>12.19</v>
      </c>
      <c r="C22" s="134">
        <v>25.98</v>
      </c>
      <c r="D22" s="134">
        <v>24.7</v>
      </c>
      <c r="E22" s="134">
        <v>4.45</v>
      </c>
      <c r="F22" s="134">
        <v>2.5099999999999998</v>
      </c>
      <c r="G22" s="134">
        <v>54.8</v>
      </c>
      <c r="H22" s="134">
        <v>20.71</v>
      </c>
      <c r="I22" s="134">
        <v>7.12</v>
      </c>
      <c r="J22" s="134">
        <v>0.11</v>
      </c>
      <c r="K22" s="134">
        <v>176.5</v>
      </c>
      <c r="L22" s="134">
        <v>18.55</v>
      </c>
      <c r="M22" s="134">
        <v>91.79</v>
      </c>
      <c r="N22" s="134">
        <v>0</v>
      </c>
      <c r="O22" s="134">
        <v>0</v>
      </c>
      <c r="P22" s="134">
        <v>0.79</v>
      </c>
      <c r="Q22" s="134">
        <v>4.5999999999999996</v>
      </c>
    </row>
    <row r="23" spans="1:17" customFormat="1">
      <c r="A23" s="112" t="s">
        <v>1885</v>
      </c>
      <c r="B23" s="134">
        <v>12.9</v>
      </c>
      <c r="C23" s="134">
        <v>26.12</v>
      </c>
      <c r="D23" s="134">
        <v>25.34</v>
      </c>
      <c r="E23" s="134">
        <v>4.25</v>
      </c>
      <c r="F23" s="134">
        <v>2.61</v>
      </c>
      <c r="G23" s="134">
        <v>54.9</v>
      </c>
      <c r="H23" s="134">
        <v>20.71</v>
      </c>
      <c r="I23" s="134">
        <v>7.04</v>
      </c>
      <c r="J23" s="134">
        <v>0.08</v>
      </c>
      <c r="K23" s="134">
        <v>280.04000000000002</v>
      </c>
      <c r="L23" s="134">
        <v>18.399999999999999</v>
      </c>
      <c r="M23" s="134">
        <v>92.43</v>
      </c>
      <c r="N23" s="134">
        <v>0</v>
      </c>
      <c r="O23" s="134">
        <v>0</v>
      </c>
      <c r="P23" s="134">
        <v>0.78</v>
      </c>
      <c r="Q23" s="134">
        <v>4.63</v>
      </c>
    </row>
    <row r="24" spans="1:17" customFormat="1">
      <c r="A24" s="112" t="s">
        <v>1886</v>
      </c>
      <c r="B24" s="134">
        <v>14.21</v>
      </c>
      <c r="C24" s="134">
        <v>26.92</v>
      </c>
      <c r="D24" s="134">
        <v>26.81</v>
      </c>
      <c r="E24" s="134">
        <v>3.81</v>
      </c>
      <c r="F24" s="134">
        <v>2.59</v>
      </c>
      <c r="G24" s="134">
        <v>54.9</v>
      </c>
      <c r="H24" s="134">
        <v>20.71</v>
      </c>
      <c r="I24" s="134">
        <v>7.01</v>
      </c>
      <c r="J24" s="134">
        <v>0.05</v>
      </c>
      <c r="K24" s="134">
        <v>203.5</v>
      </c>
      <c r="L24" s="134">
        <v>18.239999999999998</v>
      </c>
      <c r="M24" s="134">
        <v>93.1</v>
      </c>
      <c r="N24" s="134">
        <v>0</v>
      </c>
      <c r="O24" s="134">
        <v>0</v>
      </c>
      <c r="P24" s="134">
        <v>0.78</v>
      </c>
      <c r="Q24" s="134">
        <v>4.66</v>
      </c>
    </row>
    <row r="25" spans="1:17" customFormat="1">
      <c r="A25" s="112" t="s">
        <v>1887</v>
      </c>
      <c r="B25" s="134">
        <v>15.12</v>
      </c>
      <c r="C25" s="134">
        <v>25.5</v>
      </c>
      <c r="D25" s="134">
        <v>26.8</v>
      </c>
      <c r="E25" s="134">
        <v>4</v>
      </c>
      <c r="F25" s="134">
        <v>2.92</v>
      </c>
      <c r="G25" s="134">
        <v>54.9</v>
      </c>
      <c r="H25" s="134">
        <v>20.71</v>
      </c>
      <c r="I25" s="134">
        <v>6.98</v>
      </c>
      <c r="J25" s="134">
        <v>0.12</v>
      </c>
      <c r="K25" s="134">
        <v>155.96</v>
      </c>
      <c r="L25" s="134">
        <v>18.32</v>
      </c>
      <c r="M25" s="134">
        <v>93.28</v>
      </c>
      <c r="N25" s="134">
        <v>0</v>
      </c>
      <c r="O25" s="134">
        <v>0</v>
      </c>
      <c r="P25" s="134">
        <v>0.76</v>
      </c>
      <c r="Q25" s="134">
        <v>4.67</v>
      </c>
    </row>
    <row r="26" spans="1:17" customFormat="1">
      <c r="A26" s="112" t="s">
        <v>1888</v>
      </c>
      <c r="B26" s="134">
        <v>15.36</v>
      </c>
      <c r="C26" s="134">
        <v>23.49</v>
      </c>
      <c r="D26" s="134">
        <v>25.94</v>
      </c>
      <c r="E26" s="134">
        <v>3.45</v>
      </c>
      <c r="F26" s="134">
        <v>2.99</v>
      </c>
      <c r="G26" s="134">
        <v>56.65</v>
      </c>
      <c r="H26" s="134">
        <v>24.36</v>
      </c>
      <c r="I26" s="134">
        <v>6.95</v>
      </c>
      <c r="J26" s="134">
        <v>7.0000000000000007E-2</v>
      </c>
      <c r="K26" s="134">
        <v>171.26</v>
      </c>
      <c r="L26" s="134">
        <v>18.27</v>
      </c>
      <c r="M26" s="134">
        <v>93.04</v>
      </c>
      <c r="N26" s="134">
        <v>0</v>
      </c>
      <c r="O26" s="134">
        <v>0</v>
      </c>
      <c r="P26" s="134">
        <v>0.73</v>
      </c>
      <c r="Q26" s="134">
        <v>4.7</v>
      </c>
    </row>
    <row r="27" spans="1:17" customFormat="1">
      <c r="A27" s="112" t="s">
        <v>1889</v>
      </c>
      <c r="B27" s="134">
        <v>16.25</v>
      </c>
      <c r="C27" s="134">
        <v>24.37</v>
      </c>
      <c r="D27" s="134">
        <v>27.12</v>
      </c>
      <c r="E27" s="134">
        <v>2.69</v>
      </c>
      <c r="F27" s="134">
        <v>2.66</v>
      </c>
      <c r="G27" s="134">
        <v>57</v>
      </c>
      <c r="H27" s="134">
        <v>24.36</v>
      </c>
      <c r="I27" s="134">
        <v>6.94</v>
      </c>
      <c r="J27" s="134">
        <v>0.02</v>
      </c>
      <c r="K27" s="134">
        <v>198.18</v>
      </c>
      <c r="L27" s="134">
        <v>18.239999999999998</v>
      </c>
      <c r="M27" s="134">
        <v>92.11</v>
      </c>
      <c r="N27" s="134">
        <v>0</v>
      </c>
      <c r="O27" s="134">
        <v>0</v>
      </c>
      <c r="P27" s="134">
        <v>0.73</v>
      </c>
      <c r="Q27" s="134">
        <v>4.71</v>
      </c>
    </row>
    <row r="28" spans="1:17" customFormat="1">
      <c r="A28" s="112" t="s">
        <v>1890</v>
      </c>
      <c r="B28" s="134">
        <v>17.649999999999999</v>
      </c>
      <c r="C28" s="134">
        <v>24.19</v>
      </c>
      <c r="D28" s="134">
        <v>28.14</v>
      </c>
      <c r="E28" s="134">
        <v>3.17</v>
      </c>
      <c r="F28" s="134">
        <v>2.64</v>
      </c>
      <c r="G28" s="134">
        <v>57</v>
      </c>
      <c r="H28" s="134">
        <v>24.36</v>
      </c>
      <c r="I28" s="134">
        <v>6.94</v>
      </c>
      <c r="J28" s="134">
        <v>0.06</v>
      </c>
      <c r="K28" s="134">
        <v>160.37</v>
      </c>
      <c r="L28" s="134">
        <v>18.18</v>
      </c>
      <c r="M28" s="134">
        <v>92.15</v>
      </c>
      <c r="N28" s="134">
        <v>0</v>
      </c>
      <c r="O28" s="134">
        <v>0</v>
      </c>
      <c r="P28" s="134">
        <v>0.71</v>
      </c>
      <c r="Q28" s="134">
        <v>4.75</v>
      </c>
    </row>
    <row r="29" spans="1:17" customFormat="1">
      <c r="A29" s="112" t="s">
        <v>1891</v>
      </c>
      <c r="B29" s="134">
        <v>18.63</v>
      </c>
      <c r="C29" s="134">
        <v>24.88</v>
      </c>
      <c r="D29" s="134">
        <v>29.29</v>
      </c>
      <c r="E29" s="134">
        <v>2.97</v>
      </c>
      <c r="F29" s="134">
        <v>2.5099999999999998</v>
      </c>
      <c r="G29" s="134">
        <v>57</v>
      </c>
      <c r="H29" s="134">
        <v>24.36</v>
      </c>
      <c r="I29" s="134">
        <v>6.96</v>
      </c>
      <c r="J29" s="134">
        <v>0.09</v>
      </c>
      <c r="K29" s="134">
        <v>73.17</v>
      </c>
      <c r="L29" s="134">
        <v>18.14</v>
      </c>
      <c r="M29" s="134">
        <v>91.86</v>
      </c>
      <c r="N29" s="134">
        <v>0</v>
      </c>
      <c r="O29" s="134">
        <v>0</v>
      </c>
      <c r="P29" s="134">
        <v>0.72</v>
      </c>
      <c r="Q29" s="134">
        <v>4.78</v>
      </c>
    </row>
    <row r="30" spans="1:17" customFormat="1">
      <c r="A30" s="112" t="s">
        <v>1892</v>
      </c>
      <c r="B30" s="134">
        <v>19.07</v>
      </c>
      <c r="C30" s="134">
        <v>25.22</v>
      </c>
      <c r="D30" s="134">
        <v>29.82</v>
      </c>
      <c r="E30" s="134">
        <v>3.17</v>
      </c>
      <c r="F30" s="134">
        <v>2.4300000000000002</v>
      </c>
      <c r="G30" s="134">
        <v>56.46</v>
      </c>
      <c r="H30" s="134">
        <v>26.2</v>
      </c>
      <c r="I30" s="134">
        <v>6.95</v>
      </c>
      <c r="J30" s="134">
        <v>0.02</v>
      </c>
      <c r="K30" s="134">
        <v>122.2</v>
      </c>
      <c r="L30" s="134">
        <v>18.190000000000001</v>
      </c>
      <c r="M30" s="134">
        <v>91.15</v>
      </c>
      <c r="N30" s="134">
        <v>0</v>
      </c>
      <c r="O30" s="134">
        <v>0</v>
      </c>
      <c r="P30" s="134">
        <v>0.72</v>
      </c>
      <c r="Q30" s="134">
        <v>4.79</v>
      </c>
    </row>
    <row r="31" spans="1:17" customFormat="1">
      <c r="A31" s="112" t="s">
        <v>1893</v>
      </c>
      <c r="B31" s="134">
        <v>19.670000000000002</v>
      </c>
      <c r="C31" s="134">
        <v>25.11</v>
      </c>
      <c r="D31" s="134">
        <v>30.25</v>
      </c>
      <c r="E31" s="134">
        <v>3.1</v>
      </c>
      <c r="F31" s="134">
        <v>2.54</v>
      </c>
      <c r="G31" s="134">
        <v>56.36</v>
      </c>
      <c r="H31" s="134">
        <v>26.2</v>
      </c>
      <c r="I31" s="134">
        <v>6.96</v>
      </c>
      <c r="J31" s="134">
        <v>0.11</v>
      </c>
      <c r="K31" s="134">
        <v>35.42</v>
      </c>
      <c r="L31" s="134">
        <v>18.100000000000001</v>
      </c>
      <c r="M31" s="134">
        <v>91.18</v>
      </c>
      <c r="N31" s="134">
        <v>0</v>
      </c>
      <c r="O31" s="134">
        <v>0</v>
      </c>
      <c r="P31" s="134">
        <v>0.73</v>
      </c>
      <c r="Q31" s="134">
        <v>4.82</v>
      </c>
    </row>
    <row r="32" spans="1:17" customFormat="1">
      <c r="A32" s="112" t="s">
        <v>1894</v>
      </c>
      <c r="B32" s="134">
        <v>20.13</v>
      </c>
      <c r="C32" s="134">
        <v>24.93</v>
      </c>
      <c r="D32" s="134">
        <v>30.52</v>
      </c>
      <c r="E32" s="134">
        <v>2.98</v>
      </c>
      <c r="F32" s="134">
        <v>2.69</v>
      </c>
      <c r="G32" s="134">
        <v>56.36</v>
      </c>
      <c r="H32" s="134">
        <v>26.2</v>
      </c>
      <c r="I32" s="134">
        <v>6.97</v>
      </c>
      <c r="J32" s="134">
        <v>0.2</v>
      </c>
      <c r="K32" s="134">
        <v>62.99</v>
      </c>
      <c r="L32" s="134">
        <v>18.22</v>
      </c>
      <c r="M32" s="134">
        <v>89.54</v>
      </c>
      <c r="N32" s="134">
        <v>0</v>
      </c>
      <c r="O32" s="134">
        <v>0</v>
      </c>
      <c r="P32" s="134">
        <v>0.73</v>
      </c>
      <c r="Q32" s="134">
        <v>4.82</v>
      </c>
    </row>
    <row r="33" spans="1:17" customFormat="1">
      <c r="A33" s="112" t="s">
        <v>1895</v>
      </c>
      <c r="B33" s="134">
        <v>20.239999999999998</v>
      </c>
      <c r="C33" s="134">
        <v>24.57</v>
      </c>
      <c r="D33" s="134">
        <v>30.42</v>
      </c>
      <c r="E33" s="134">
        <v>3.26</v>
      </c>
      <c r="F33" s="134">
        <v>2.68</v>
      </c>
      <c r="G33" s="134">
        <v>56.36</v>
      </c>
      <c r="H33" s="134">
        <v>26.2</v>
      </c>
      <c r="I33" s="134">
        <v>7</v>
      </c>
      <c r="J33" s="134">
        <v>0.12</v>
      </c>
      <c r="K33" s="134">
        <v>146.38</v>
      </c>
      <c r="L33" s="134">
        <v>18.27</v>
      </c>
      <c r="M33" s="134">
        <v>89.34</v>
      </c>
      <c r="N33" s="134">
        <v>0</v>
      </c>
      <c r="O33" s="134">
        <v>0</v>
      </c>
      <c r="P33" s="134">
        <v>0.74</v>
      </c>
      <c r="Q33" s="134">
        <v>4.87</v>
      </c>
    </row>
    <row r="34" spans="1:17" customFormat="1">
      <c r="A34" s="112" t="s">
        <v>1896</v>
      </c>
      <c r="B34" s="134">
        <v>20.14</v>
      </c>
      <c r="C34" s="134">
        <v>25.6</v>
      </c>
      <c r="D34" s="134">
        <v>30.88</v>
      </c>
      <c r="E34" s="134">
        <v>3.57</v>
      </c>
      <c r="F34" s="134">
        <v>2.56</v>
      </c>
      <c r="G34" s="134">
        <v>64.92</v>
      </c>
      <c r="H34" s="134">
        <v>29.2</v>
      </c>
      <c r="I34" s="134">
        <v>7.1</v>
      </c>
      <c r="J34" s="134">
        <v>0.09</v>
      </c>
      <c r="K34" s="134">
        <v>197.45</v>
      </c>
      <c r="L34" s="134">
        <v>18.02</v>
      </c>
      <c r="M34" s="134">
        <v>93.06</v>
      </c>
      <c r="N34" s="134">
        <v>1.2</v>
      </c>
      <c r="O34" s="134">
        <v>0</v>
      </c>
      <c r="P34" s="134">
        <v>0.75</v>
      </c>
      <c r="Q34" s="134">
        <v>4.8600000000000003</v>
      </c>
    </row>
    <row r="35" spans="1:17" customFormat="1">
      <c r="A35" s="112" t="s">
        <v>1897</v>
      </c>
      <c r="B35" s="134">
        <v>20.399999999999999</v>
      </c>
      <c r="C35" s="134">
        <v>24.32</v>
      </c>
      <c r="D35" s="134">
        <v>30.42</v>
      </c>
      <c r="E35" s="134">
        <v>3.56</v>
      </c>
      <c r="F35" s="134">
        <v>2.75</v>
      </c>
      <c r="G35" s="134">
        <v>66.63</v>
      </c>
      <c r="H35" s="134">
        <v>29.2</v>
      </c>
      <c r="I35" s="134">
        <v>7.15</v>
      </c>
      <c r="J35" s="134">
        <v>7.0000000000000007E-2</v>
      </c>
      <c r="K35" s="134">
        <v>141.27000000000001</v>
      </c>
      <c r="L35" s="134">
        <v>18.07</v>
      </c>
      <c r="M35" s="134">
        <v>93.51</v>
      </c>
      <c r="N35" s="134">
        <v>9.1999999999999993</v>
      </c>
      <c r="O35" s="134">
        <v>0</v>
      </c>
      <c r="P35" s="134">
        <v>0.75</v>
      </c>
      <c r="Q35" s="134">
        <v>4.8499999999999996</v>
      </c>
    </row>
    <row r="36" spans="1:17" customFormat="1">
      <c r="A36" s="112" t="s">
        <v>1898</v>
      </c>
      <c r="B36" s="134">
        <v>21.63</v>
      </c>
      <c r="C36" s="134">
        <v>25.09</v>
      </c>
      <c r="D36" s="134">
        <v>31.81</v>
      </c>
      <c r="E36" s="134">
        <v>3.26</v>
      </c>
      <c r="F36" s="134">
        <v>2.5299999999999998</v>
      </c>
      <c r="G36" s="134">
        <v>66.63</v>
      </c>
      <c r="H36" s="134">
        <v>29.2</v>
      </c>
      <c r="I36" s="134">
        <v>7.23</v>
      </c>
      <c r="J36" s="134">
        <v>0.11</v>
      </c>
      <c r="K36" s="134">
        <v>76.61</v>
      </c>
      <c r="L36" s="134">
        <v>18.489999999999998</v>
      </c>
      <c r="M36" s="134">
        <v>90.5</v>
      </c>
      <c r="N36" s="134">
        <v>20.399999999999999</v>
      </c>
      <c r="O36" s="134">
        <v>0</v>
      </c>
      <c r="P36" s="134">
        <v>0.78</v>
      </c>
      <c r="Q36" s="134">
        <v>4.88</v>
      </c>
    </row>
    <row r="37" spans="1:17" customFormat="1">
      <c r="A37" s="112" t="s">
        <v>1899</v>
      </c>
      <c r="B37" s="134">
        <v>22.82</v>
      </c>
      <c r="C37" s="134">
        <v>25.08</v>
      </c>
      <c r="D37" s="134">
        <v>32.76</v>
      </c>
      <c r="E37" s="134">
        <v>4.1399999999999997</v>
      </c>
      <c r="F37" s="134">
        <v>2.5299999999999998</v>
      </c>
      <c r="G37" s="134">
        <v>66.63</v>
      </c>
      <c r="H37" s="134">
        <v>29.2</v>
      </c>
      <c r="I37" s="134">
        <v>7.24</v>
      </c>
      <c r="J37" s="134">
        <v>0.08</v>
      </c>
      <c r="K37" s="134">
        <v>50.16</v>
      </c>
      <c r="L37" s="134">
        <v>19.059999999999999</v>
      </c>
      <c r="M37" s="134">
        <v>88.07</v>
      </c>
      <c r="N37" s="134">
        <v>33.5</v>
      </c>
      <c r="O37" s="134">
        <v>0</v>
      </c>
      <c r="P37" s="134">
        <v>0.82</v>
      </c>
      <c r="Q37" s="134">
        <v>4.9400000000000004</v>
      </c>
    </row>
    <row r="38" spans="1:17" customFormat="1">
      <c r="A38" s="112" t="s">
        <v>1900</v>
      </c>
      <c r="B38" s="134">
        <v>23.4</v>
      </c>
      <c r="C38" s="134">
        <v>25.29</v>
      </c>
      <c r="D38" s="134">
        <v>33.33</v>
      </c>
      <c r="E38" s="134">
        <v>3.95</v>
      </c>
      <c r="F38" s="134">
        <v>2.57</v>
      </c>
      <c r="G38" s="134">
        <v>85</v>
      </c>
      <c r="H38" s="134">
        <v>33.130000000000003</v>
      </c>
      <c r="I38" s="134">
        <v>7.5</v>
      </c>
      <c r="J38" s="134">
        <v>0.2</v>
      </c>
      <c r="K38" s="134">
        <v>24</v>
      </c>
      <c r="L38" s="134">
        <v>19.579999999999998</v>
      </c>
      <c r="M38" s="134">
        <v>85.11</v>
      </c>
      <c r="N38" s="134">
        <v>44.9</v>
      </c>
      <c r="O38" s="134">
        <v>0</v>
      </c>
      <c r="P38" s="134">
        <v>0.85</v>
      </c>
      <c r="Q38" s="134">
        <v>4.97</v>
      </c>
    </row>
    <row r="39" spans="1:17" customFormat="1">
      <c r="A39" s="112" t="s">
        <v>1901</v>
      </c>
      <c r="B39" s="134">
        <v>23.62</v>
      </c>
      <c r="C39" s="134">
        <v>26.03</v>
      </c>
      <c r="D39" s="134">
        <v>33.89</v>
      </c>
      <c r="E39" s="134">
        <v>3.42</v>
      </c>
      <c r="F39" s="134">
        <v>2.57</v>
      </c>
      <c r="G39" s="134">
        <v>88.68</v>
      </c>
      <c r="H39" s="134">
        <v>33.130000000000003</v>
      </c>
      <c r="I39" s="134">
        <v>7.82</v>
      </c>
      <c r="J39" s="134">
        <v>0.28000000000000003</v>
      </c>
      <c r="K39" s="134">
        <v>56.64</v>
      </c>
      <c r="L39" s="134">
        <v>20.149999999999999</v>
      </c>
      <c r="M39" s="134">
        <v>82.99</v>
      </c>
      <c r="N39" s="134">
        <v>98.5</v>
      </c>
      <c r="O39" s="134">
        <v>0</v>
      </c>
      <c r="P39" s="134">
        <v>0.87</v>
      </c>
      <c r="Q39" s="134">
        <v>5</v>
      </c>
    </row>
    <row r="40" spans="1:17" customFormat="1">
      <c r="A40" s="112" t="s">
        <v>1902</v>
      </c>
      <c r="B40" s="134">
        <v>23.39</v>
      </c>
      <c r="C40" s="134">
        <v>25.55</v>
      </c>
      <c r="D40" s="134">
        <v>33.46</v>
      </c>
      <c r="E40" s="134">
        <v>3.35</v>
      </c>
      <c r="F40" s="134">
        <v>2.62</v>
      </c>
      <c r="G40" s="134">
        <v>88.68</v>
      </c>
      <c r="H40" s="134">
        <v>33.130000000000003</v>
      </c>
      <c r="I40" s="134">
        <v>8.01</v>
      </c>
      <c r="J40" s="134">
        <v>0.28000000000000003</v>
      </c>
      <c r="K40" s="134">
        <v>51.73</v>
      </c>
      <c r="L40" s="134">
        <v>20.87</v>
      </c>
      <c r="M40" s="134">
        <v>81.05</v>
      </c>
      <c r="N40" s="134">
        <v>186.9</v>
      </c>
      <c r="O40" s="134">
        <v>0</v>
      </c>
      <c r="P40" s="134">
        <v>0.87</v>
      </c>
      <c r="Q40" s="134">
        <v>4.9800000000000004</v>
      </c>
    </row>
    <row r="41" spans="1:17" customFormat="1">
      <c r="A41" s="112" t="s">
        <v>1903</v>
      </c>
      <c r="B41" s="134">
        <v>23.12</v>
      </c>
      <c r="C41" s="134">
        <v>25.3</v>
      </c>
      <c r="D41" s="134">
        <v>33.11</v>
      </c>
      <c r="E41" s="134">
        <v>3.67</v>
      </c>
      <c r="F41" s="134">
        <v>2.7</v>
      </c>
      <c r="G41" s="134">
        <v>88.68</v>
      </c>
      <c r="H41" s="134">
        <v>33.130000000000003</v>
      </c>
      <c r="I41" s="134">
        <v>8.16</v>
      </c>
      <c r="J41" s="134">
        <v>0.38</v>
      </c>
      <c r="K41" s="134">
        <v>47.47</v>
      </c>
      <c r="L41" s="134">
        <v>21.79</v>
      </c>
      <c r="M41" s="134">
        <v>78.59</v>
      </c>
      <c r="N41" s="134">
        <v>231.1</v>
      </c>
      <c r="O41" s="134">
        <v>0</v>
      </c>
      <c r="P41" s="134">
        <v>0.87</v>
      </c>
      <c r="Q41" s="134">
        <v>4.97</v>
      </c>
    </row>
    <row r="42" spans="1:17" customFormat="1">
      <c r="A42" s="112" t="s">
        <v>1904</v>
      </c>
      <c r="B42" s="134">
        <v>23.08</v>
      </c>
      <c r="C42" s="134">
        <v>24.13</v>
      </c>
      <c r="D42" s="134">
        <v>32.47</v>
      </c>
      <c r="E42" s="134">
        <v>3.76</v>
      </c>
      <c r="F42" s="134">
        <v>2.79</v>
      </c>
      <c r="G42" s="134">
        <v>93.57</v>
      </c>
      <c r="H42" s="134">
        <v>35.22</v>
      </c>
      <c r="I42" s="134">
        <v>8.19</v>
      </c>
      <c r="J42" s="134">
        <v>0.56000000000000005</v>
      </c>
      <c r="K42" s="134">
        <v>39.56</v>
      </c>
      <c r="L42" s="134">
        <v>22.66</v>
      </c>
      <c r="M42" s="134">
        <v>75.87</v>
      </c>
      <c r="N42" s="134">
        <v>271.5</v>
      </c>
      <c r="O42" s="134">
        <v>0</v>
      </c>
      <c r="P42" s="134">
        <v>0.87</v>
      </c>
      <c r="Q42" s="134">
        <v>4.97</v>
      </c>
    </row>
    <row r="43" spans="1:17" customFormat="1">
      <c r="A43" s="112" t="s">
        <v>1905</v>
      </c>
      <c r="B43" s="134">
        <v>22.46</v>
      </c>
      <c r="C43" s="134">
        <v>25.9</v>
      </c>
      <c r="D43" s="134">
        <v>32.89</v>
      </c>
      <c r="E43" s="134">
        <v>3.94</v>
      </c>
      <c r="F43" s="134">
        <v>2.56</v>
      </c>
      <c r="G43" s="134">
        <v>94.55</v>
      </c>
      <c r="H43" s="134">
        <v>35.22</v>
      </c>
      <c r="I43" s="134">
        <v>8.25</v>
      </c>
      <c r="J43" s="134">
        <v>0.35</v>
      </c>
      <c r="K43" s="134">
        <v>61.03</v>
      </c>
      <c r="L43" s="134">
        <v>23.6</v>
      </c>
      <c r="M43" s="134">
        <v>72.849999999999994</v>
      </c>
      <c r="N43" s="134">
        <v>310</v>
      </c>
      <c r="O43" s="134">
        <v>0</v>
      </c>
      <c r="P43" s="134">
        <v>0.88</v>
      </c>
      <c r="Q43" s="134">
        <v>4.93</v>
      </c>
    </row>
    <row r="44" spans="1:17" customFormat="1">
      <c r="A44" s="112" t="s">
        <v>1906</v>
      </c>
      <c r="B44" s="134">
        <v>20.39</v>
      </c>
      <c r="C44" s="134">
        <v>26.72</v>
      </c>
      <c r="D44" s="134">
        <v>31.67</v>
      </c>
      <c r="E44" s="134">
        <v>4</v>
      </c>
      <c r="F44" s="134">
        <v>2.82</v>
      </c>
      <c r="G44" s="134">
        <v>94.55</v>
      </c>
      <c r="H44" s="134">
        <v>35.22</v>
      </c>
      <c r="I44" s="134">
        <v>8.2200000000000006</v>
      </c>
      <c r="J44" s="134">
        <v>0.21</v>
      </c>
      <c r="K44" s="134">
        <v>87.87</v>
      </c>
      <c r="L44" s="134">
        <v>24.83</v>
      </c>
      <c r="M44" s="134">
        <v>68.73</v>
      </c>
      <c r="N44" s="134">
        <v>347.7</v>
      </c>
      <c r="O44" s="134">
        <v>0</v>
      </c>
      <c r="P44" s="134">
        <v>0.87</v>
      </c>
      <c r="Q44" s="134">
        <v>4.88</v>
      </c>
    </row>
    <row r="45" spans="1:17" customFormat="1">
      <c r="A45" s="112" t="s">
        <v>1907</v>
      </c>
      <c r="B45" s="134">
        <v>17.850000000000001</v>
      </c>
      <c r="C45" s="134">
        <v>27.32</v>
      </c>
      <c r="D45" s="134">
        <v>29.94</v>
      </c>
      <c r="E45" s="134">
        <v>3.81</v>
      </c>
      <c r="F45" s="134">
        <v>3.15</v>
      </c>
      <c r="G45" s="134">
        <v>94.55</v>
      </c>
      <c r="H45" s="134">
        <v>35.22</v>
      </c>
      <c r="I45" s="134">
        <v>8.15</v>
      </c>
      <c r="J45" s="134">
        <v>0.22</v>
      </c>
      <c r="K45" s="134">
        <v>132.36000000000001</v>
      </c>
      <c r="L45" s="134">
        <v>25.83</v>
      </c>
      <c r="M45" s="134">
        <v>65.36</v>
      </c>
      <c r="N45" s="134">
        <v>309.89999999999998</v>
      </c>
      <c r="O45" s="134">
        <v>0</v>
      </c>
      <c r="P45" s="134">
        <v>0.87</v>
      </c>
      <c r="Q45" s="134">
        <v>4.8099999999999996</v>
      </c>
    </row>
    <row r="46" spans="1:17" customFormat="1">
      <c r="A46" s="112" t="s">
        <v>1908</v>
      </c>
      <c r="B46" s="134">
        <v>15.39</v>
      </c>
      <c r="C46" s="134">
        <v>27.78</v>
      </c>
      <c r="D46" s="134">
        <v>28.21</v>
      </c>
      <c r="E46" s="134">
        <v>4.58</v>
      </c>
      <c r="F46" s="134">
        <v>3.11</v>
      </c>
      <c r="G46" s="134">
        <v>86</v>
      </c>
      <c r="H46" s="134">
        <v>34.15</v>
      </c>
      <c r="I46" s="134">
        <v>7.99</v>
      </c>
      <c r="J46" s="134">
        <v>0.19</v>
      </c>
      <c r="K46" s="134">
        <v>89.84</v>
      </c>
      <c r="L46" s="134">
        <v>26.37</v>
      </c>
      <c r="M46" s="134">
        <v>63.88</v>
      </c>
      <c r="N46" s="134">
        <v>259.89999999999998</v>
      </c>
      <c r="O46" s="134">
        <v>0</v>
      </c>
      <c r="P46" s="134">
        <v>0.86</v>
      </c>
      <c r="Q46" s="134">
        <v>4.74</v>
      </c>
    </row>
    <row r="47" spans="1:17" customFormat="1">
      <c r="A47" s="112" t="s">
        <v>1909</v>
      </c>
      <c r="B47" s="134">
        <v>13.56</v>
      </c>
      <c r="C47" s="134">
        <v>28.2</v>
      </c>
      <c r="D47" s="134">
        <v>26.96</v>
      </c>
      <c r="E47" s="134">
        <v>4.0999999999999996</v>
      </c>
      <c r="F47" s="134">
        <v>3.08</v>
      </c>
      <c r="G47" s="134">
        <v>84.3</v>
      </c>
      <c r="H47" s="134">
        <v>34.15</v>
      </c>
      <c r="I47" s="134">
        <v>7.78</v>
      </c>
      <c r="J47" s="134">
        <v>0.37</v>
      </c>
      <c r="K47" s="134">
        <v>57.18</v>
      </c>
      <c r="L47" s="134">
        <v>26.4</v>
      </c>
      <c r="M47" s="134">
        <v>64.41</v>
      </c>
      <c r="N47" s="134">
        <v>441.1</v>
      </c>
      <c r="O47" s="134">
        <v>0</v>
      </c>
      <c r="P47" s="134">
        <v>0.85</v>
      </c>
      <c r="Q47" s="134">
        <v>4.66</v>
      </c>
    </row>
    <row r="48" spans="1:17" customFormat="1">
      <c r="A48" s="112" t="s">
        <v>1910</v>
      </c>
      <c r="B48" s="134">
        <v>11.92</v>
      </c>
      <c r="C48" s="134">
        <v>28.62</v>
      </c>
      <c r="D48" s="134">
        <v>25.87</v>
      </c>
      <c r="E48" s="134">
        <v>4.72</v>
      </c>
      <c r="F48" s="134">
        <v>3.22</v>
      </c>
      <c r="G48" s="134">
        <v>84.3</v>
      </c>
      <c r="H48" s="134">
        <v>34.15</v>
      </c>
      <c r="I48" s="134">
        <v>7.66</v>
      </c>
      <c r="J48" s="134">
        <v>0.1</v>
      </c>
      <c r="K48" s="134">
        <v>75.95</v>
      </c>
      <c r="L48" s="134">
        <v>27.25</v>
      </c>
      <c r="M48" s="134">
        <v>61.47</v>
      </c>
      <c r="N48" s="134">
        <v>468.7</v>
      </c>
      <c r="O48" s="134">
        <v>0</v>
      </c>
      <c r="P48" s="134">
        <v>0.84</v>
      </c>
      <c r="Q48" s="134">
        <v>4.62</v>
      </c>
    </row>
    <row r="49" spans="1:17" customFormat="1">
      <c r="A49" s="112" t="s">
        <v>1911</v>
      </c>
      <c r="B49" s="134">
        <v>10.33</v>
      </c>
      <c r="C49" s="134">
        <v>28.73</v>
      </c>
      <c r="D49" s="134">
        <v>24.65</v>
      </c>
      <c r="E49" s="134">
        <v>5.69</v>
      </c>
      <c r="F49" s="134">
        <v>3.47</v>
      </c>
      <c r="G49" s="134">
        <v>84.3</v>
      </c>
      <c r="H49" s="134">
        <v>34.15</v>
      </c>
      <c r="I49" s="134">
        <v>7.6</v>
      </c>
      <c r="J49" s="134">
        <v>0.19</v>
      </c>
      <c r="K49" s="134">
        <v>136.41</v>
      </c>
      <c r="L49" s="134">
        <v>28.03</v>
      </c>
      <c r="M49" s="134">
        <v>58.58</v>
      </c>
      <c r="N49" s="134">
        <v>502.5</v>
      </c>
      <c r="O49" s="134">
        <v>0</v>
      </c>
      <c r="P49" s="134">
        <v>0.82</v>
      </c>
      <c r="Q49" s="134">
        <v>4.57</v>
      </c>
    </row>
    <row r="50" spans="1:17" customFormat="1">
      <c r="A50" s="112" t="s">
        <v>1912</v>
      </c>
      <c r="B50" s="134">
        <v>8.5299999999999994</v>
      </c>
      <c r="C50" s="134">
        <v>28.55</v>
      </c>
      <c r="D50" s="134">
        <v>23.1</v>
      </c>
      <c r="E50" s="134">
        <v>6.21</v>
      </c>
      <c r="F50" s="134">
        <v>3.79</v>
      </c>
      <c r="G50" s="134">
        <v>76.2</v>
      </c>
      <c r="H50" s="134">
        <v>32.130000000000003</v>
      </c>
      <c r="I50" s="134">
        <v>7.54</v>
      </c>
      <c r="J50" s="134">
        <v>0.08</v>
      </c>
      <c r="K50" s="134">
        <v>151.55000000000001</v>
      </c>
      <c r="L50" s="134">
        <v>28.47</v>
      </c>
      <c r="M50" s="134">
        <v>56.64</v>
      </c>
      <c r="N50" s="134">
        <v>522.4</v>
      </c>
      <c r="O50" s="134">
        <v>0</v>
      </c>
      <c r="P50" s="134">
        <v>0.81</v>
      </c>
      <c r="Q50" s="134">
        <v>4.47</v>
      </c>
    </row>
    <row r="51" spans="1:17" customFormat="1">
      <c r="A51" s="112" t="s">
        <v>1913</v>
      </c>
      <c r="B51" s="134">
        <v>7.04</v>
      </c>
      <c r="C51" s="134">
        <v>27.83</v>
      </c>
      <c r="D51" s="134">
        <v>21.54</v>
      </c>
      <c r="E51" s="134">
        <v>6.32</v>
      </c>
      <c r="F51" s="134">
        <v>4.09</v>
      </c>
      <c r="G51" s="134">
        <v>74.58</v>
      </c>
      <c r="H51" s="134">
        <v>32.130000000000003</v>
      </c>
      <c r="I51" s="134">
        <v>7.46</v>
      </c>
      <c r="J51" s="134">
        <v>0.19</v>
      </c>
      <c r="K51" s="134">
        <v>124.17</v>
      </c>
      <c r="L51" s="134">
        <v>29.17</v>
      </c>
      <c r="M51" s="134">
        <v>54.26</v>
      </c>
      <c r="N51" s="134">
        <v>545.79999999999995</v>
      </c>
      <c r="O51" s="134">
        <v>0</v>
      </c>
      <c r="P51" s="134">
        <v>0.79</v>
      </c>
      <c r="Q51" s="134">
        <v>4.3899999999999997</v>
      </c>
    </row>
    <row r="52" spans="1:17" customFormat="1">
      <c r="A52" s="112" t="s">
        <v>1914</v>
      </c>
      <c r="B52" s="134">
        <v>5.8</v>
      </c>
      <c r="C52" s="134">
        <v>27.2</v>
      </c>
      <c r="D52" s="134">
        <v>20.21</v>
      </c>
      <c r="E52" s="134">
        <v>6.01</v>
      </c>
      <c r="F52" s="134">
        <v>4.53</v>
      </c>
      <c r="G52" s="134">
        <v>74.58</v>
      </c>
      <c r="H52" s="134">
        <v>32.130000000000003</v>
      </c>
      <c r="I52" s="134">
        <v>7.33</v>
      </c>
      <c r="J52" s="134">
        <v>0.27</v>
      </c>
      <c r="K52" s="134">
        <v>72.83</v>
      </c>
      <c r="L52" s="134">
        <v>29.29</v>
      </c>
      <c r="M52" s="134">
        <v>52.64</v>
      </c>
      <c r="N52" s="134">
        <v>514.79999999999995</v>
      </c>
      <c r="O52" s="134">
        <v>0</v>
      </c>
      <c r="P52" s="134">
        <v>0.78</v>
      </c>
      <c r="Q52" s="134">
        <v>4.3600000000000003</v>
      </c>
    </row>
    <row r="53" spans="1:17" customFormat="1">
      <c r="A53" s="112" t="s">
        <v>1915</v>
      </c>
      <c r="B53" s="134">
        <v>5.15</v>
      </c>
      <c r="C53" s="134">
        <v>26.39</v>
      </c>
      <c r="D53" s="134">
        <v>19.27</v>
      </c>
      <c r="E53" s="134">
        <v>6.62</v>
      </c>
      <c r="F53" s="134">
        <v>4.67</v>
      </c>
      <c r="G53" s="134">
        <v>74.58</v>
      </c>
      <c r="H53" s="134">
        <v>32.130000000000003</v>
      </c>
      <c r="I53" s="134">
        <v>7.15</v>
      </c>
      <c r="J53" s="134">
        <v>0.34</v>
      </c>
      <c r="K53" s="134">
        <v>36.21</v>
      </c>
      <c r="L53" s="134">
        <v>29.4</v>
      </c>
      <c r="M53" s="134">
        <v>52.5</v>
      </c>
      <c r="N53" s="134">
        <v>557.6</v>
      </c>
      <c r="O53" s="134">
        <v>0</v>
      </c>
      <c r="P53" s="134">
        <v>0.76</v>
      </c>
      <c r="Q53" s="134">
        <v>4.33</v>
      </c>
    </row>
    <row r="54" spans="1:17" customFormat="1">
      <c r="A54" s="112" t="s">
        <v>1916</v>
      </c>
      <c r="B54" s="134">
        <v>4.8600000000000003</v>
      </c>
      <c r="C54" s="134">
        <v>25.82</v>
      </c>
      <c r="D54" s="134">
        <v>18.739999999999998</v>
      </c>
      <c r="E54" s="134">
        <v>6.58</v>
      </c>
      <c r="F54" s="134">
        <v>4.8</v>
      </c>
      <c r="G54" s="134">
        <v>63.44</v>
      </c>
      <c r="H54" s="134">
        <v>25.64</v>
      </c>
      <c r="I54" s="134">
        <v>6.96</v>
      </c>
      <c r="J54" s="134">
        <v>0.52</v>
      </c>
      <c r="K54" s="134">
        <v>35.19</v>
      </c>
      <c r="L54" s="134">
        <v>29.18</v>
      </c>
      <c r="M54" s="134">
        <v>51.08</v>
      </c>
      <c r="N54" s="134">
        <v>578.4</v>
      </c>
      <c r="O54" s="134">
        <v>0</v>
      </c>
      <c r="P54" s="134">
        <v>0.75</v>
      </c>
      <c r="Q54" s="134">
        <v>4.3099999999999996</v>
      </c>
    </row>
    <row r="55" spans="1:17" customFormat="1">
      <c r="A55" s="112" t="s">
        <v>1917</v>
      </c>
      <c r="B55" s="134">
        <v>4.75</v>
      </c>
      <c r="C55" s="134">
        <v>25.97</v>
      </c>
      <c r="D55" s="134">
        <v>18.73</v>
      </c>
      <c r="E55" s="134">
        <v>6.33</v>
      </c>
      <c r="F55" s="134">
        <v>4.84</v>
      </c>
      <c r="G55" s="134">
        <v>61.22</v>
      </c>
      <c r="H55" s="134">
        <v>25.64</v>
      </c>
      <c r="I55" s="134">
        <v>6.78</v>
      </c>
      <c r="J55" s="134">
        <v>0.34</v>
      </c>
      <c r="K55" s="134">
        <v>34.08</v>
      </c>
      <c r="L55" s="134">
        <v>29.13</v>
      </c>
      <c r="M55" s="134">
        <v>51.85</v>
      </c>
      <c r="N55" s="134">
        <v>323.10000000000002</v>
      </c>
      <c r="O55" s="134">
        <v>0</v>
      </c>
      <c r="P55" s="134">
        <v>0.73</v>
      </c>
      <c r="Q55" s="134">
        <v>4.2699999999999996</v>
      </c>
    </row>
    <row r="56" spans="1:17" customFormat="1">
      <c r="A56" s="112" t="s">
        <v>1918</v>
      </c>
      <c r="B56" s="134">
        <v>4.72</v>
      </c>
      <c r="C56" s="134">
        <v>25.88</v>
      </c>
      <c r="D56" s="134">
        <v>18.66</v>
      </c>
      <c r="E56" s="134">
        <v>6.22</v>
      </c>
      <c r="F56" s="134">
        <v>4.6900000000000004</v>
      </c>
      <c r="G56" s="134">
        <v>61.22</v>
      </c>
      <c r="H56" s="134">
        <v>25.64</v>
      </c>
      <c r="I56" s="134">
        <v>6.67</v>
      </c>
      <c r="J56" s="134">
        <v>0.11</v>
      </c>
      <c r="K56" s="134">
        <v>134.05000000000001</v>
      </c>
      <c r="L56" s="134">
        <v>30.17</v>
      </c>
      <c r="M56" s="134">
        <v>48.08</v>
      </c>
      <c r="N56" s="134">
        <v>586</v>
      </c>
      <c r="O56" s="134">
        <v>0</v>
      </c>
      <c r="P56" s="134">
        <v>0.72</v>
      </c>
      <c r="Q56" s="134">
        <v>4.26</v>
      </c>
    </row>
    <row r="57" spans="1:17" customFormat="1">
      <c r="A57" s="112" t="s">
        <v>1919</v>
      </c>
      <c r="B57" s="134">
        <v>4.6399999999999997</v>
      </c>
      <c r="C57" s="134">
        <v>25.35</v>
      </c>
      <c r="D57" s="134">
        <v>18.32</v>
      </c>
      <c r="E57" s="134">
        <v>6.04</v>
      </c>
      <c r="F57" s="134">
        <v>5.0599999999999996</v>
      </c>
      <c r="G57" s="134">
        <v>61.22</v>
      </c>
      <c r="H57" s="134">
        <v>25.64</v>
      </c>
      <c r="I57" s="134">
        <v>6.46</v>
      </c>
      <c r="J57" s="134">
        <v>0.41</v>
      </c>
      <c r="K57" s="134">
        <v>24.72</v>
      </c>
      <c r="L57" s="134">
        <v>30.11</v>
      </c>
      <c r="M57" s="134">
        <v>47.25</v>
      </c>
      <c r="N57" s="134">
        <v>598.4</v>
      </c>
      <c r="O57" s="134">
        <v>0</v>
      </c>
      <c r="P57" s="134">
        <v>0.7</v>
      </c>
      <c r="Q57" s="134">
        <v>4.28</v>
      </c>
    </row>
    <row r="58" spans="1:17" customFormat="1">
      <c r="A58" s="112" t="s">
        <v>1920</v>
      </c>
      <c r="B58" s="151" t="s">
        <v>12</v>
      </c>
      <c r="C58" s="151" t="s">
        <v>12</v>
      </c>
      <c r="D58" s="151" t="s">
        <v>12</v>
      </c>
      <c r="E58" s="151" t="s">
        <v>12</v>
      </c>
      <c r="F58" s="151" t="s">
        <v>12</v>
      </c>
      <c r="G58" s="134">
        <v>53.52</v>
      </c>
      <c r="H58" s="134">
        <v>23.97</v>
      </c>
      <c r="I58" s="134">
        <v>6.3</v>
      </c>
      <c r="J58" s="134">
        <v>0.36</v>
      </c>
      <c r="K58" s="134">
        <v>294.18</v>
      </c>
      <c r="L58" s="134">
        <v>29.68</v>
      </c>
      <c r="M58" s="134">
        <v>47.5</v>
      </c>
      <c r="N58" s="134">
        <v>586.29999999999995</v>
      </c>
      <c r="O58" s="134">
        <v>0</v>
      </c>
      <c r="P58" s="151" t="s">
        <v>12</v>
      </c>
      <c r="Q58" s="134">
        <v>4.26</v>
      </c>
    </row>
    <row r="59" spans="1:17" customFormat="1">
      <c r="A59" s="112" t="s">
        <v>1921</v>
      </c>
      <c r="B59" s="151" t="s">
        <v>12</v>
      </c>
      <c r="C59" s="151" t="s">
        <v>12</v>
      </c>
      <c r="D59" s="151" t="s">
        <v>12</v>
      </c>
      <c r="E59" s="151" t="s">
        <v>12</v>
      </c>
      <c r="F59" s="134">
        <v>17.88</v>
      </c>
      <c r="G59" s="134">
        <v>51.98</v>
      </c>
      <c r="H59" s="134">
        <v>23.97</v>
      </c>
      <c r="I59" s="134">
        <v>7.01</v>
      </c>
      <c r="J59" s="134">
        <v>0.39</v>
      </c>
      <c r="K59" s="134">
        <v>11.73</v>
      </c>
      <c r="L59" s="134">
        <v>30.23</v>
      </c>
      <c r="M59" s="134">
        <v>46.12</v>
      </c>
      <c r="N59" s="134">
        <v>552.29999999999995</v>
      </c>
      <c r="O59" s="134">
        <v>0</v>
      </c>
      <c r="P59" s="134">
        <v>0.57999999999999996</v>
      </c>
      <c r="Q59" s="134">
        <v>4.2300000000000004</v>
      </c>
    </row>
    <row r="60" spans="1:17" customFormat="1">
      <c r="A60" s="112" t="s">
        <v>1922</v>
      </c>
      <c r="B60" s="151" t="s">
        <v>12</v>
      </c>
      <c r="C60" s="151" t="s">
        <v>12</v>
      </c>
      <c r="D60" s="151" t="s">
        <v>12</v>
      </c>
      <c r="E60" s="151" t="s">
        <v>12</v>
      </c>
      <c r="F60" s="134">
        <v>21.25</v>
      </c>
      <c r="G60" s="134">
        <v>51.98</v>
      </c>
      <c r="H60" s="134">
        <v>23.97</v>
      </c>
      <c r="I60" s="134">
        <v>11.15</v>
      </c>
      <c r="J60" s="134">
        <v>0.37</v>
      </c>
      <c r="K60" s="134">
        <v>2.65</v>
      </c>
      <c r="L60" s="134">
        <v>30.01</v>
      </c>
      <c r="M60" s="134">
        <v>45.8</v>
      </c>
      <c r="N60" s="134">
        <v>385.4</v>
      </c>
      <c r="O60" s="134">
        <v>0</v>
      </c>
      <c r="P60" s="134">
        <v>0.6</v>
      </c>
      <c r="Q60" s="134">
        <v>4.24</v>
      </c>
    </row>
    <row r="61" spans="1:17" customFormat="1">
      <c r="A61" s="112" t="s">
        <v>1923</v>
      </c>
      <c r="B61" s="151" t="s">
        <v>12</v>
      </c>
      <c r="C61" s="151" t="s">
        <v>12</v>
      </c>
      <c r="D61" s="151" t="s">
        <v>12</v>
      </c>
      <c r="E61" s="134">
        <v>7.61</v>
      </c>
      <c r="F61" s="134">
        <v>16.87</v>
      </c>
      <c r="G61" s="134">
        <v>51.98</v>
      </c>
      <c r="H61" s="134">
        <v>23.97</v>
      </c>
      <c r="I61" s="134">
        <v>16.809999999999999</v>
      </c>
      <c r="J61" s="134">
        <v>0.19</v>
      </c>
      <c r="K61" s="134">
        <v>329.38</v>
      </c>
      <c r="L61" s="134">
        <v>30.13</v>
      </c>
      <c r="M61" s="134">
        <v>44.53</v>
      </c>
      <c r="N61" s="134">
        <v>447.2</v>
      </c>
      <c r="O61" s="134">
        <v>0</v>
      </c>
      <c r="P61" s="134">
        <v>0.56999999999999995</v>
      </c>
      <c r="Q61" s="134">
        <v>4.22</v>
      </c>
    </row>
    <row r="62" spans="1:17" customFormat="1">
      <c r="A62" s="112" t="s">
        <v>1924</v>
      </c>
      <c r="B62" s="134">
        <v>3</v>
      </c>
      <c r="C62" s="134">
        <v>17.11</v>
      </c>
      <c r="D62" s="134">
        <v>12.69</v>
      </c>
      <c r="E62" s="134">
        <v>12.5</v>
      </c>
      <c r="F62" s="134">
        <v>17.329999999999998</v>
      </c>
      <c r="G62" s="134">
        <v>47.51</v>
      </c>
      <c r="H62" s="134">
        <v>21.97</v>
      </c>
      <c r="I62" s="134">
        <v>24.59</v>
      </c>
      <c r="J62" s="134">
        <v>0.25</v>
      </c>
      <c r="K62" s="134">
        <v>337.46</v>
      </c>
      <c r="L62" s="134">
        <v>30.48</v>
      </c>
      <c r="M62" s="134">
        <v>42.24</v>
      </c>
      <c r="N62" s="134">
        <v>510.3</v>
      </c>
      <c r="O62" s="134">
        <v>0</v>
      </c>
      <c r="P62" s="134">
        <v>0.54</v>
      </c>
      <c r="Q62" s="134">
        <v>4.2</v>
      </c>
    </row>
    <row r="63" spans="1:17" customFormat="1">
      <c r="A63" s="112" t="s">
        <v>1925</v>
      </c>
      <c r="B63" s="134">
        <v>2.4</v>
      </c>
      <c r="C63" s="134">
        <v>19.87</v>
      </c>
      <c r="D63" s="134">
        <v>13.66</v>
      </c>
      <c r="E63" s="134">
        <v>13.84</v>
      </c>
      <c r="F63" s="134">
        <v>18.350000000000001</v>
      </c>
      <c r="G63" s="134">
        <v>46.62</v>
      </c>
      <c r="H63" s="134">
        <v>21.97</v>
      </c>
      <c r="I63" s="134">
        <v>34.75</v>
      </c>
      <c r="J63" s="134">
        <v>0.34</v>
      </c>
      <c r="K63" s="134">
        <v>309.36</v>
      </c>
      <c r="L63" s="134">
        <v>30.6</v>
      </c>
      <c r="M63" s="134">
        <v>41.65</v>
      </c>
      <c r="N63" s="134">
        <v>468</v>
      </c>
      <c r="O63" s="134">
        <v>0</v>
      </c>
      <c r="P63" s="134">
        <v>0.51</v>
      </c>
      <c r="Q63" s="134">
        <v>4.22</v>
      </c>
    </row>
    <row r="64" spans="1:17" customFormat="1">
      <c r="A64" s="112" t="s">
        <v>1926</v>
      </c>
      <c r="B64" s="134">
        <v>2.21</v>
      </c>
      <c r="C64" s="134">
        <v>21.46</v>
      </c>
      <c r="D64" s="134">
        <v>14.34</v>
      </c>
      <c r="E64" s="134">
        <v>11.68</v>
      </c>
      <c r="F64" s="134">
        <v>11.93</v>
      </c>
      <c r="G64" s="134">
        <v>46.62</v>
      </c>
      <c r="H64" s="134">
        <v>21.97</v>
      </c>
      <c r="I64" s="134">
        <v>38.909999999999997</v>
      </c>
      <c r="J64" s="134">
        <v>0.32</v>
      </c>
      <c r="K64" s="134">
        <v>340.03</v>
      </c>
      <c r="L64" s="134">
        <v>30.34</v>
      </c>
      <c r="M64" s="134">
        <v>43.01</v>
      </c>
      <c r="N64" s="134">
        <v>365.4</v>
      </c>
      <c r="O64" s="134">
        <v>0</v>
      </c>
      <c r="P64" s="134">
        <v>0.53</v>
      </c>
      <c r="Q64" s="134">
        <v>4.1900000000000004</v>
      </c>
    </row>
    <row r="65" spans="1:17" customFormat="1">
      <c r="A65" s="112" t="s">
        <v>1927</v>
      </c>
      <c r="B65" s="134">
        <v>2.16</v>
      </c>
      <c r="C65" s="134">
        <v>20.88</v>
      </c>
      <c r="D65" s="134">
        <v>13.99</v>
      </c>
      <c r="E65" s="134">
        <v>9.86</v>
      </c>
      <c r="F65" s="134">
        <v>9.49</v>
      </c>
      <c r="G65" s="134">
        <v>46.62</v>
      </c>
      <c r="H65" s="134">
        <v>21.97</v>
      </c>
      <c r="I65" s="134">
        <v>31.11</v>
      </c>
      <c r="J65" s="134">
        <v>0.22</v>
      </c>
      <c r="K65" s="134">
        <v>347.9</v>
      </c>
      <c r="L65" s="134">
        <v>29.98</v>
      </c>
      <c r="M65" s="134">
        <v>43.11</v>
      </c>
      <c r="N65" s="134">
        <v>158.80000000000001</v>
      </c>
      <c r="O65" s="134">
        <v>0</v>
      </c>
      <c r="P65" s="134">
        <v>0.46</v>
      </c>
      <c r="Q65" s="134">
        <v>4.2</v>
      </c>
    </row>
    <row r="66" spans="1:17" customFormat="1">
      <c r="A66" s="112" t="s">
        <v>1928</v>
      </c>
      <c r="B66" s="134">
        <v>2.36</v>
      </c>
      <c r="C66" s="134">
        <v>20</v>
      </c>
      <c r="D66" s="134">
        <v>13.69</v>
      </c>
      <c r="E66" s="134">
        <v>9.0500000000000007</v>
      </c>
      <c r="F66" s="134">
        <v>6.98</v>
      </c>
      <c r="G66" s="134">
        <v>41.52</v>
      </c>
      <c r="H66" s="134">
        <v>21.19</v>
      </c>
      <c r="I66" s="134">
        <v>27.38</v>
      </c>
      <c r="J66" s="134">
        <v>0.36</v>
      </c>
      <c r="K66" s="134">
        <v>57.8</v>
      </c>
      <c r="L66" s="134">
        <v>30.14</v>
      </c>
      <c r="M66" s="134">
        <v>43.29</v>
      </c>
      <c r="N66" s="134">
        <v>127.2</v>
      </c>
      <c r="O66" s="134">
        <v>0</v>
      </c>
      <c r="P66" s="134">
        <v>0.47</v>
      </c>
      <c r="Q66" s="134">
        <v>4.17</v>
      </c>
    </row>
    <row r="67" spans="1:17" customFormat="1">
      <c r="A67" s="112" t="s">
        <v>1929</v>
      </c>
      <c r="B67" s="134">
        <v>2.57</v>
      </c>
      <c r="C67" s="134">
        <v>19.29</v>
      </c>
      <c r="D67" s="134">
        <v>13.49</v>
      </c>
      <c r="E67" s="134">
        <v>8.3000000000000007</v>
      </c>
      <c r="F67" s="134">
        <v>5.65</v>
      </c>
      <c r="G67" s="134">
        <v>40.5</v>
      </c>
      <c r="H67" s="134">
        <v>21.19</v>
      </c>
      <c r="I67" s="134">
        <v>25.76</v>
      </c>
      <c r="J67" s="134">
        <v>0.17</v>
      </c>
      <c r="K67" s="134">
        <v>143.11000000000001</v>
      </c>
      <c r="L67" s="134">
        <v>29.68</v>
      </c>
      <c r="M67" s="134">
        <v>43.87</v>
      </c>
      <c r="N67" s="134">
        <v>105</v>
      </c>
      <c r="O67" s="134">
        <v>0</v>
      </c>
      <c r="P67" s="134">
        <v>0.46</v>
      </c>
      <c r="Q67" s="134">
        <v>4.16</v>
      </c>
    </row>
    <row r="68" spans="1:17" customFormat="1">
      <c r="A68" s="112" t="s">
        <v>1930</v>
      </c>
      <c r="B68" s="134">
        <v>2.9</v>
      </c>
      <c r="C68" s="134">
        <v>18.52</v>
      </c>
      <c r="D68" s="134">
        <v>13.35</v>
      </c>
      <c r="E68" s="134">
        <v>8.08</v>
      </c>
      <c r="F68" s="134">
        <v>5.85</v>
      </c>
      <c r="G68" s="134">
        <v>40.5</v>
      </c>
      <c r="H68" s="134">
        <v>21.19</v>
      </c>
      <c r="I68" s="134">
        <v>24.98</v>
      </c>
      <c r="J68" s="134">
        <v>0.42</v>
      </c>
      <c r="K68" s="134">
        <v>52.57</v>
      </c>
      <c r="L68" s="134">
        <v>29.53</v>
      </c>
      <c r="M68" s="134">
        <v>44.13</v>
      </c>
      <c r="N68" s="134">
        <v>89.1</v>
      </c>
      <c r="O68" s="134">
        <v>0</v>
      </c>
      <c r="P68" s="134">
        <v>0.45</v>
      </c>
      <c r="Q68" s="134">
        <v>4.16</v>
      </c>
    </row>
    <row r="69" spans="1:17" customFormat="1">
      <c r="A69" s="112" t="s">
        <v>1931</v>
      </c>
      <c r="B69" s="134">
        <v>3.08</v>
      </c>
      <c r="C69" s="134">
        <v>18.2</v>
      </c>
      <c r="D69" s="134">
        <v>13.33</v>
      </c>
      <c r="E69" s="134">
        <v>8.2100000000000009</v>
      </c>
      <c r="F69" s="134">
        <v>6.88</v>
      </c>
      <c r="G69" s="134">
        <v>40.5</v>
      </c>
      <c r="H69" s="134">
        <v>21.19</v>
      </c>
      <c r="I69" s="134">
        <v>24.15</v>
      </c>
      <c r="J69" s="134">
        <v>0.16</v>
      </c>
      <c r="K69" s="134">
        <v>61.33</v>
      </c>
      <c r="L69" s="134">
        <v>29.31</v>
      </c>
      <c r="M69" s="134">
        <v>44.54</v>
      </c>
      <c r="N69" s="134">
        <v>81.2</v>
      </c>
      <c r="O69" s="134">
        <v>0</v>
      </c>
      <c r="P69" s="134">
        <v>0.45</v>
      </c>
      <c r="Q69" s="134">
        <v>4.13</v>
      </c>
    </row>
    <row r="70" spans="1:17" customFormat="1">
      <c r="A70" s="112" t="s">
        <v>1932</v>
      </c>
      <c r="B70" s="134">
        <v>3.16</v>
      </c>
      <c r="C70" s="134">
        <v>17.97</v>
      </c>
      <c r="D70" s="134">
        <v>13.27</v>
      </c>
      <c r="E70" s="134">
        <v>10.58</v>
      </c>
      <c r="F70" s="134">
        <v>9.3699999999999992</v>
      </c>
      <c r="G70" s="134">
        <v>38.659999999999997</v>
      </c>
      <c r="H70" s="134">
        <v>17.82</v>
      </c>
      <c r="I70" s="134">
        <v>23.04</v>
      </c>
      <c r="J70" s="134">
        <v>0.47</v>
      </c>
      <c r="K70" s="134">
        <v>38.229999999999997</v>
      </c>
      <c r="L70" s="134">
        <v>29.25</v>
      </c>
      <c r="M70" s="134">
        <v>43.89</v>
      </c>
      <c r="N70" s="134">
        <v>72.5</v>
      </c>
      <c r="O70" s="134">
        <v>0</v>
      </c>
      <c r="P70" s="134">
        <v>0.46</v>
      </c>
      <c r="Q70" s="134">
        <v>4.13</v>
      </c>
    </row>
    <row r="71" spans="1:17" customFormat="1">
      <c r="A71" s="112" t="s">
        <v>1933</v>
      </c>
      <c r="B71" s="134">
        <v>3.41</v>
      </c>
      <c r="C71" s="134">
        <v>18.399999999999999</v>
      </c>
      <c r="D71" s="134">
        <v>13.7</v>
      </c>
      <c r="E71" s="134">
        <v>9.77</v>
      </c>
      <c r="F71" s="134">
        <v>7.81</v>
      </c>
      <c r="G71" s="134">
        <v>38.29</v>
      </c>
      <c r="H71" s="134">
        <v>17.82</v>
      </c>
      <c r="I71" s="134">
        <v>22.2</v>
      </c>
      <c r="J71" s="134">
        <v>0.13</v>
      </c>
      <c r="K71" s="134">
        <v>51.64</v>
      </c>
      <c r="L71" s="134">
        <v>29.17</v>
      </c>
      <c r="M71" s="134">
        <v>45.34</v>
      </c>
      <c r="N71" s="134">
        <v>57.5</v>
      </c>
      <c r="O71" s="134">
        <v>0</v>
      </c>
      <c r="P71" s="134">
        <v>0.46</v>
      </c>
      <c r="Q71" s="134">
        <v>4.1100000000000003</v>
      </c>
    </row>
    <row r="72" spans="1:17" customFormat="1">
      <c r="A72" s="112" t="s">
        <v>1934</v>
      </c>
      <c r="B72" s="134">
        <v>3.58</v>
      </c>
      <c r="C72" s="134">
        <v>18.34</v>
      </c>
      <c r="D72" s="134">
        <v>13.8</v>
      </c>
      <c r="E72" s="134">
        <v>8.41</v>
      </c>
      <c r="F72" s="134">
        <v>5.33</v>
      </c>
      <c r="G72" s="134">
        <v>38.29</v>
      </c>
      <c r="H72" s="134">
        <v>17.82</v>
      </c>
      <c r="I72" s="134">
        <v>20.84</v>
      </c>
      <c r="J72" s="134">
        <v>0.2</v>
      </c>
      <c r="K72" s="134">
        <v>156.47999999999999</v>
      </c>
      <c r="L72" s="134">
        <v>28.79</v>
      </c>
      <c r="M72" s="134">
        <v>49.52</v>
      </c>
      <c r="N72" s="134">
        <v>48.8</v>
      </c>
      <c r="O72" s="134">
        <v>0</v>
      </c>
      <c r="P72" s="134">
        <v>0.45</v>
      </c>
      <c r="Q72" s="134">
        <v>4.12</v>
      </c>
    </row>
    <row r="73" spans="1:17" customFormat="1">
      <c r="A73" s="112" t="s">
        <v>1935</v>
      </c>
      <c r="B73" s="134">
        <v>3.72</v>
      </c>
      <c r="C73" s="134">
        <v>18.16</v>
      </c>
      <c r="D73" s="134">
        <v>13.83</v>
      </c>
      <c r="E73" s="134">
        <v>7.9</v>
      </c>
      <c r="F73" s="134">
        <v>4.91</v>
      </c>
      <c r="G73" s="134">
        <v>38.29</v>
      </c>
      <c r="H73" s="134">
        <v>17.82</v>
      </c>
      <c r="I73" s="134">
        <v>20.41</v>
      </c>
      <c r="J73" s="134">
        <v>0.13</v>
      </c>
      <c r="K73" s="134">
        <v>132.71</v>
      </c>
      <c r="L73" s="134">
        <v>28.37</v>
      </c>
      <c r="M73" s="134">
        <v>50.85</v>
      </c>
      <c r="N73" s="134">
        <v>40.799999999999997</v>
      </c>
      <c r="O73" s="134">
        <v>0</v>
      </c>
      <c r="P73" s="134">
        <v>0.45</v>
      </c>
      <c r="Q73" s="134">
        <v>4.1399999999999997</v>
      </c>
    </row>
    <row r="74" spans="1:17" customFormat="1">
      <c r="A74" s="112" t="s">
        <v>1936</v>
      </c>
      <c r="B74" s="134">
        <v>3.89</v>
      </c>
      <c r="C74" s="134">
        <v>17.87</v>
      </c>
      <c r="D74" s="134">
        <v>13.8</v>
      </c>
      <c r="E74" s="134">
        <v>7.66</v>
      </c>
      <c r="F74" s="134">
        <v>5.5</v>
      </c>
      <c r="G74" s="134">
        <v>42.43</v>
      </c>
      <c r="H74" s="134">
        <v>18.29</v>
      </c>
      <c r="I74" s="134">
        <v>20.350000000000001</v>
      </c>
      <c r="J74" s="134">
        <v>0.22</v>
      </c>
      <c r="K74" s="134">
        <v>179.73</v>
      </c>
      <c r="L74" s="134">
        <v>27.88</v>
      </c>
      <c r="M74" s="134">
        <v>51.47</v>
      </c>
      <c r="N74" s="134">
        <v>17.8</v>
      </c>
      <c r="O74" s="134">
        <v>0</v>
      </c>
      <c r="P74" s="134">
        <v>0.45</v>
      </c>
      <c r="Q74" s="134">
        <v>4.1399999999999997</v>
      </c>
    </row>
    <row r="75" spans="1:17" customFormat="1">
      <c r="A75" s="112" t="s">
        <v>1937</v>
      </c>
      <c r="B75" s="134">
        <v>3.96</v>
      </c>
      <c r="C75" s="134">
        <v>17.82</v>
      </c>
      <c r="D75" s="134">
        <v>13.84</v>
      </c>
      <c r="E75" s="134">
        <v>6.74</v>
      </c>
      <c r="F75" s="134">
        <v>4.01</v>
      </c>
      <c r="G75" s="134">
        <v>43.26</v>
      </c>
      <c r="H75" s="134">
        <v>18.29</v>
      </c>
      <c r="I75" s="134">
        <v>19.68</v>
      </c>
      <c r="J75" s="134">
        <v>0.2</v>
      </c>
      <c r="K75" s="134">
        <v>170.47</v>
      </c>
      <c r="L75" s="134">
        <v>27.21</v>
      </c>
      <c r="M75" s="134">
        <v>54.79</v>
      </c>
      <c r="N75" s="134">
        <v>8.1999999999999993</v>
      </c>
      <c r="O75" s="134">
        <v>0</v>
      </c>
      <c r="P75" s="134">
        <v>0.44</v>
      </c>
      <c r="Q75" s="134">
        <v>4.1500000000000004</v>
      </c>
    </row>
    <row r="76" spans="1:17" customFormat="1">
      <c r="A76" s="112" t="s">
        <v>1938</v>
      </c>
      <c r="B76" s="134">
        <v>4.05</v>
      </c>
      <c r="C76" s="134">
        <v>17.54</v>
      </c>
      <c r="D76" s="134">
        <v>13.77</v>
      </c>
      <c r="E76" s="134">
        <v>7.27</v>
      </c>
      <c r="F76" s="134">
        <v>3.66</v>
      </c>
      <c r="G76" s="134">
        <v>43.26</v>
      </c>
      <c r="H76" s="134">
        <v>18.29</v>
      </c>
      <c r="I76" s="134">
        <v>19.13</v>
      </c>
      <c r="J76" s="134">
        <v>0.21</v>
      </c>
      <c r="K76" s="134">
        <v>171.29</v>
      </c>
      <c r="L76" s="134">
        <v>26.67</v>
      </c>
      <c r="M76" s="134">
        <v>56.54</v>
      </c>
      <c r="N76" s="134">
        <v>1.1000000000000001</v>
      </c>
      <c r="O76" s="134">
        <v>0</v>
      </c>
      <c r="P76" s="134">
        <v>0.44</v>
      </c>
      <c r="Q76" s="134">
        <v>4.18</v>
      </c>
    </row>
    <row r="77" spans="1:17" customFormat="1">
      <c r="A77" s="112" t="s">
        <v>1939</v>
      </c>
      <c r="B77" s="134">
        <v>4.21</v>
      </c>
      <c r="C77" s="134">
        <v>17.489999999999998</v>
      </c>
      <c r="D77" s="134">
        <v>13.87</v>
      </c>
      <c r="E77" s="134">
        <v>6.77</v>
      </c>
      <c r="F77" s="134">
        <v>3.41</v>
      </c>
      <c r="G77" s="134">
        <v>43.26</v>
      </c>
      <c r="H77" s="134">
        <v>18.29</v>
      </c>
      <c r="I77" s="134">
        <v>18.829999999999998</v>
      </c>
      <c r="J77" s="134">
        <v>0.21</v>
      </c>
      <c r="K77" s="134">
        <v>176.62</v>
      </c>
      <c r="L77" s="134">
        <v>25.94</v>
      </c>
      <c r="M77" s="134">
        <v>59.14</v>
      </c>
      <c r="N77" s="134">
        <v>0</v>
      </c>
      <c r="O77" s="134">
        <v>0</v>
      </c>
      <c r="P77" s="134">
        <v>0.44</v>
      </c>
      <c r="Q77" s="134">
        <v>4.17</v>
      </c>
    </row>
    <row r="78" spans="1:17" customFormat="1">
      <c r="A78" s="112" t="s">
        <v>1940</v>
      </c>
      <c r="B78" s="134">
        <v>4.55</v>
      </c>
      <c r="C78" s="134">
        <v>19.16</v>
      </c>
      <c r="D78" s="134">
        <v>15.02</v>
      </c>
      <c r="E78" s="134">
        <v>7.12</v>
      </c>
      <c r="F78" s="134">
        <v>3.22</v>
      </c>
      <c r="G78" s="134">
        <v>46.41</v>
      </c>
      <c r="H78" s="134">
        <v>19.07</v>
      </c>
      <c r="I78" s="134">
        <v>18.38</v>
      </c>
      <c r="J78" s="134">
        <v>0.2</v>
      </c>
      <c r="K78" s="134">
        <v>149.30000000000001</v>
      </c>
      <c r="L78" s="134">
        <v>25.43</v>
      </c>
      <c r="M78" s="134">
        <v>63.36</v>
      </c>
      <c r="N78" s="134">
        <v>0</v>
      </c>
      <c r="O78" s="134">
        <v>0</v>
      </c>
      <c r="P78" s="134">
        <v>0.46</v>
      </c>
      <c r="Q78" s="134">
        <v>4.17</v>
      </c>
    </row>
    <row r="79" spans="1:17" customFormat="1">
      <c r="A79" s="112" t="s">
        <v>1941</v>
      </c>
      <c r="B79" s="134">
        <v>5.29</v>
      </c>
      <c r="C79" s="134">
        <v>20.260000000000002</v>
      </c>
      <c r="D79" s="134">
        <v>16.18</v>
      </c>
      <c r="E79" s="134">
        <v>7.01</v>
      </c>
      <c r="F79" s="134">
        <v>2.65</v>
      </c>
      <c r="G79" s="134">
        <v>47.04</v>
      </c>
      <c r="H79" s="134">
        <v>19.07</v>
      </c>
      <c r="I79" s="134">
        <v>17.899999999999999</v>
      </c>
      <c r="J79" s="134">
        <v>0.06</v>
      </c>
      <c r="K79" s="134">
        <v>163.12</v>
      </c>
      <c r="L79" s="134">
        <v>25.24</v>
      </c>
      <c r="M79" s="134">
        <v>65.3</v>
      </c>
      <c r="N79" s="134">
        <v>0</v>
      </c>
      <c r="O79" s="134">
        <v>0</v>
      </c>
      <c r="P79" s="134">
        <v>0.5</v>
      </c>
      <c r="Q79" s="134">
        <v>4.2</v>
      </c>
    </row>
    <row r="80" spans="1:17" customFormat="1">
      <c r="A80" s="112" t="s">
        <v>1942</v>
      </c>
      <c r="B80" s="134">
        <v>6.21</v>
      </c>
      <c r="C80" s="134">
        <v>20.29</v>
      </c>
      <c r="D80" s="134">
        <v>16.93</v>
      </c>
      <c r="E80" s="134">
        <v>6.64</v>
      </c>
      <c r="F80" s="134">
        <v>2.58</v>
      </c>
      <c r="G80" s="134">
        <v>47.04</v>
      </c>
      <c r="H80" s="134">
        <v>19.07</v>
      </c>
      <c r="I80" s="134">
        <v>17.63</v>
      </c>
      <c r="J80" s="134">
        <v>0.15</v>
      </c>
      <c r="K80" s="134">
        <v>127.14</v>
      </c>
      <c r="L80" s="134">
        <v>25.31</v>
      </c>
      <c r="M80" s="134">
        <v>64.349999999999994</v>
      </c>
      <c r="N80" s="134">
        <v>0</v>
      </c>
      <c r="O80" s="134">
        <v>0</v>
      </c>
      <c r="P80" s="134">
        <v>0.53</v>
      </c>
      <c r="Q80" s="134">
        <v>4.25</v>
      </c>
    </row>
    <row r="81" spans="1:17" customFormat="1">
      <c r="A81" s="112" t="s">
        <v>1943</v>
      </c>
      <c r="B81" s="134">
        <v>7.44</v>
      </c>
      <c r="C81" s="134">
        <v>22.29</v>
      </c>
      <c r="D81" s="134">
        <v>18.97</v>
      </c>
      <c r="E81" s="134">
        <v>6.75</v>
      </c>
      <c r="F81" s="134">
        <v>2.5499999999999998</v>
      </c>
      <c r="G81" s="134">
        <v>47.04</v>
      </c>
      <c r="H81" s="134">
        <v>19.07</v>
      </c>
      <c r="I81" s="134">
        <v>17.39</v>
      </c>
      <c r="J81" s="134">
        <v>0.14000000000000001</v>
      </c>
      <c r="K81" s="134">
        <v>96.94</v>
      </c>
      <c r="L81" s="134">
        <v>25.19</v>
      </c>
      <c r="M81" s="134">
        <v>63.86</v>
      </c>
      <c r="N81" s="134">
        <v>0</v>
      </c>
      <c r="O81" s="134">
        <v>0</v>
      </c>
      <c r="P81" s="134">
        <v>0.59</v>
      </c>
      <c r="Q81" s="134">
        <v>4.3</v>
      </c>
    </row>
    <row r="82" spans="1:17" customFormat="1">
      <c r="A82" s="112" t="s">
        <v>1944</v>
      </c>
      <c r="B82" s="134">
        <v>8.7799999999999994</v>
      </c>
      <c r="C82" s="134">
        <v>22.51</v>
      </c>
      <c r="D82" s="134">
        <v>20.16</v>
      </c>
      <c r="E82" s="134">
        <v>7.79</v>
      </c>
      <c r="F82" s="134">
        <v>2.68</v>
      </c>
      <c r="G82" s="134">
        <v>65</v>
      </c>
      <c r="H82" s="134">
        <v>25.65</v>
      </c>
      <c r="I82" s="134">
        <v>17.170000000000002</v>
      </c>
      <c r="J82" s="134">
        <v>0.12</v>
      </c>
      <c r="K82" s="134">
        <v>105.17</v>
      </c>
      <c r="L82" s="134">
        <v>25.3</v>
      </c>
      <c r="M82" s="134">
        <v>63.31</v>
      </c>
      <c r="N82" s="134">
        <v>0</v>
      </c>
      <c r="O82" s="134">
        <v>0</v>
      </c>
      <c r="P82" s="134">
        <v>0.61</v>
      </c>
      <c r="Q82" s="134">
        <v>4.37</v>
      </c>
    </row>
    <row r="83" spans="1:17" customFormat="1">
      <c r="A83" s="112" t="s">
        <v>1945</v>
      </c>
      <c r="B83" s="134">
        <v>9.7899999999999991</v>
      </c>
      <c r="C83" s="134">
        <v>23.43</v>
      </c>
      <c r="D83" s="134">
        <v>21.44</v>
      </c>
      <c r="E83" s="134">
        <v>8.1300000000000008</v>
      </c>
      <c r="F83" s="134">
        <v>2.65</v>
      </c>
      <c r="G83" s="134">
        <v>68.59</v>
      </c>
      <c r="H83" s="134">
        <v>25.65</v>
      </c>
      <c r="I83" s="134">
        <v>15.89</v>
      </c>
      <c r="J83" s="134">
        <v>0.2</v>
      </c>
      <c r="K83" s="134">
        <v>153.55000000000001</v>
      </c>
      <c r="L83" s="134">
        <v>25.26</v>
      </c>
      <c r="M83" s="134">
        <v>64.11</v>
      </c>
      <c r="N83" s="134">
        <v>0</v>
      </c>
      <c r="O83" s="134">
        <v>0</v>
      </c>
      <c r="P83" s="134">
        <v>0.67</v>
      </c>
      <c r="Q83" s="134">
        <v>4.41</v>
      </c>
    </row>
    <row r="84" spans="1:17" customFormat="1">
      <c r="A84" s="112" t="s">
        <v>1946</v>
      </c>
      <c r="B84" s="134">
        <v>10.039999999999999</v>
      </c>
      <c r="C84" s="134">
        <v>25.13</v>
      </c>
      <c r="D84" s="134">
        <v>22.54</v>
      </c>
      <c r="E84" s="134">
        <v>8.69</v>
      </c>
      <c r="F84" s="134">
        <v>2.7</v>
      </c>
      <c r="G84" s="134">
        <v>68.59</v>
      </c>
      <c r="H84" s="134">
        <v>25.65</v>
      </c>
      <c r="I84" s="134">
        <v>15.72</v>
      </c>
      <c r="J84" s="134">
        <v>0.17</v>
      </c>
      <c r="K84" s="134">
        <v>158.46</v>
      </c>
      <c r="L84" s="134">
        <v>24.94</v>
      </c>
      <c r="M84" s="134">
        <v>66.09</v>
      </c>
      <c r="N84" s="134">
        <v>0</v>
      </c>
      <c r="O84" s="134">
        <v>0</v>
      </c>
      <c r="P84" s="134">
        <v>0.73</v>
      </c>
      <c r="Q84" s="134">
        <v>4.42</v>
      </c>
    </row>
    <row r="85" spans="1:17" customFormat="1">
      <c r="A85" s="112" t="s">
        <v>1947</v>
      </c>
      <c r="B85" s="134">
        <v>9.98</v>
      </c>
      <c r="C85" s="134">
        <v>26.84</v>
      </c>
      <c r="D85" s="134">
        <v>23.38</v>
      </c>
      <c r="E85" s="134">
        <v>9.31</v>
      </c>
      <c r="F85" s="134">
        <v>2.68</v>
      </c>
      <c r="G85" s="134">
        <v>68.59</v>
      </c>
      <c r="H85" s="134">
        <v>25.65</v>
      </c>
      <c r="I85" s="134">
        <v>15.33</v>
      </c>
      <c r="J85" s="134">
        <v>0.16</v>
      </c>
      <c r="K85" s="134">
        <v>144.76</v>
      </c>
      <c r="L85" s="134">
        <v>24.79</v>
      </c>
      <c r="M85" s="134">
        <v>66.099999999999994</v>
      </c>
      <c r="N85" s="134">
        <v>0</v>
      </c>
      <c r="O85" s="134">
        <v>0</v>
      </c>
      <c r="P85" s="134">
        <v>0.78</v>
      </c>
      <c r="Q85" s="134">
        <v>4.4400000000000004</v>
      </c>
    </row>
    <row r="86" spans="1:17" customFormat="1">
      <c r="A86" s="112" t="s">
        <v>1948</v>
      </c>
      <c r="B86" s="134">
        <v>10.35</v>
      </c>
      <c r="C86" s="134">
        <v>28.19</v>
      </c>
      <c r="D86" s="134">
        <v>24.38</v>
      </c>
      <c r="E86" s="134">
        <v>9.33</v>
      </c>
      <c r="F86" s="134">
        <v>2.57</v>
      </c>
      <c r="G86" s="134">
        <v>91.14</v>
      </c>
      <c r="H86" s="134">
        <v>30.63</v>
      </c>
      <c r="I86" s="134">
        <v>14.82</v>
      </c>
      <c r="J86" s="134">
        <v>0.16</v>
      </c>
      <c r="K86" s="134">
        <v>138.54</v>
      </c>
      <c r="L86" s="134">
        <v>24.51</v>
      </c>
      <c r="M86" s="134">
        <v>67.67</v>
      </c>
      <c r="N86" s="134">
        <v>0</v>
      </c>
      <c r="O86" s="134">
        <v>0</v>
      </c>
      <c r="P86" s="134">
        <v>0.83</v>
      </c>
      <c r="Q86" s="134">
        <v>4.47</v>
      </c>
    </row>
    <row r="87" spans="1:17" customFormat="1">
      <c r="A87" s="112" t="s">
        <v>1949</v>
      </c>
      <c r="B87" s="134">
        <v>10.69</v>
      </c>
      <c r="C87" s="134">
        <v>29.3</v>
      </c>
      <c r="D87" s="134">
        <v>25.23</v>
      </c>
      <c r="E87" s="134">
        <v>9.7100000000000009</v>
      </c>
      <c r="F87" s="134">
        <v>2.65</v>
      </c>
      <c r="G87" s="134">
        <v>95.65</v>
      </c>
      <c r="H87" s="134">
        <v>30.63</v>
      </c>
      <c r="I87" s="134">
        <v>15.3</v>
      </c>
      <c r="J87" s="134">
        <v>0.15</v>
      </c>
      <c r="K87" s="134">
        <v>160.41</v>
      </c>
      <c r="L87" s="134">
        <v>24.22</v>
      </c>
      <c r="M87" s="134">
        <v>69.069999999999993</v>
      </c>
      <c r="N87" s="134">
        <v>0</v>
      </c>
      <c r="O87" s="134">
        <v>0</v>
      </c>
      <c r="P87" s="134">
        <v>0.85</v>
      </c>
      <c r="Q87" s="134">
        <v>4.49</v>
      </c>
    </row>
    <row r="88" spans="1:17" customFormat="1">
      <c r="A88" s="112" t="s">
        <v>1950</v>
      </c>
      <c r="B88" s="134">
        <v>11.42</v>
      </c>
      <c r="C88" s="134">
        <v>30.64</v>
      </c>
      <c r="D88" s="134">
        <v>26.52</v>
      </c>
      <c r="E88" s="134">
        <v>9.44</v>
      </c>
      <c r="F88" s="134">
        <v>2.58</v>
      </c>
      <c r="G88" s="134">
        <v>95.65</v>
      </c>
      <c r="H88" s="134">
        <v>30.63</v>
      </c>
      <c r="I88" s="134">
        <v>14.95</v>
      </c>
      <c r="J88" s="134">
        <v>0.16</v>
      </c>
      <c r="K88" s="134">
        <v>163.75</v>
      </c>
      <c r="L88" s="134">
        <v>24</v>
      </c>
      <c r="M88" s="134">
        <v>69.02</v>
      </c>
      <c r="N88" s="134">
        <v>0</v>
      </c>
      <c r="O88" s="134">
        <v>0</v>
      </c>
      <c r="P88" s="134">
        <v>0.92</v>
      </c>
      <c r="Q88" s="134">
        <v>4.54</v>
      </c>
    </row>
    <row r="89" spans="1:17" customFormat="1">
      <c r="A89" s="112" t="s">
        <v>1951</v>
      </c>
      <c r="B89" s="134">
        <v>12.8</v>
      </c>
      <c r="C89" s="134">
        <v>32.369999999999997</v>
      </c>
      <c r="D89" s="134">
        <v>28.53</v>
      </c>
      <c r="E89" s="134">
        <v>9.56</v>
      </c>
      <c r="F89" s="134">
        <v>2.76</v>
      </c>
      <c r="G89" s="134">
        <v>95.65</v>
      </c>
      <c r="H89" s="134">
        <v>30.63</v>
      </c>
      <c r="I89" s="134">
        <v>14.62</v>
      </c>
      <c r="J89" s="134">
        <v>0.13</v>
      </c>
      <c r="K89" s="134">
        <v>177.93</v>
      </c>
      <c r="L89" s="134">
        <v>23.54</v>
      </c>
      <c r="M89" s="134">
        <v>74.86</v>
      </c>
      <c r="N89" s="134">
        <v>0</v>
      </c>
      <c r="O89" s="134">
        <v>0</v>
      </c>
      <c r="P89" s="134">
        <v>0.96</v>
      </c>
      <c r="Q89" s="134">
        <v>4.6100000000000003</v>
      </c>
    </row>
    <row r="90" spans="1:17" customFormat="1">
      <c r="A90" s="112" t="s">
        <v>1952</v>
      </c>
      <c r="B90" s="134">
        <v>13.28</v>
      </c>
      <c r="C90" s="134">
        <v>33.049999999999997</v>
      </c>
      <c r="D90" s="134">
        <v>29.27</v>
      </c>
      <c r="E90" s="134">
        <v>9.24</v>
      </c>
      <c r="F90" s="134">
        <v>2.69</v>
      </c>
      <c r="G90" s="134">
        <v>112.64</v>
      </c>
      <c r="H90" s="134">
        <v>35.4</v>
      </c>
      <c r="I90" s="134">
        <v>14.32</v>
      </c>
      <c r="J90" s="134">
        <v>0.2</v>
      </c>
      <c r="K90" s="134">
        <v>169.27</v>
      </c>
      <c r="L90" s="134">
        <v>23.05</v>
      </c>
      <c r="M90" s="134">
        <v>78.67</v>
      </c>
      <c r="N90" s="134">
        <v>0</v>
      </c>
      <c r="O90" s="134">
        <v>0</v>
      </c>
      <c r="P90" s="134">
        <v>0.99</v>
      </c>
      <c r="Q90" s="134">
        <v>4.6399999999999997</v>
      </c>
    </row>
    <row r="91" spans="1:17" customFormat="1">
      <c r="A91" s="112" t="s">
        <v>1953</v>
      </c>
      <c r="B91" s="134">
        <v>13.35</v>
      </c>
      <c r="C91" s="134">
        <v>33.159999999999997</v>
      </c>
      <c r="D91" s="134">
        <v>29.38</v>
      </c>
      <c r="E91" s="134">
        <v>9.5399999999999991</v>
      </c>
      <c r="F91" s="134">
        <v>2.57</v>
      </c>
      <c r="G91" s="134">
        <v>116.04</v>
      </c>
      <c r="H91" s="134">
        <v>35.4</v>
      </c>
      <c r="I91" s="134">
        <v>14.07</v>
      </c>
      <c r="J91" s="134">
        <v>0.33</v>
      </c>
      <c r="K91" s="134">
        <v>179.77</v>
      </c>
      <c r="L91" s="134">
        <v>22.95</v>
      </c>
      <c r="M91" s="134">
        <v>80.7</v>
      </c>
      <c r="N91" s="134">
        <v>0</v>
      </c>
      <c r="O91" s="134">
        <v>0</v>
      </c>
      <c r="P91" s="134">
        <v>1.01</v>
      </c>
      <c r="Q91" s="134">
        <v>4.6500000000000004</v>
      </c>
    </row>
    <row r="92" spans="1:17" customFormat="1">
      <c r="A92" s="112" t="s">
        <v>1954</v>
      </c>
      <c r="B92" s="134">
        <v>13.02</v>
      </c>
      <c r="C92" s="134">
        <v>32.53</v>
      </c>
      <c r="D92" s="134">
        <v>28.79</v>
      </c>
      <c r="E92" s="134">
        <v>9.23</v>
      </c>
      <c r="F92" s="134">
        <v>2.56</v>
      </c>
      <c r="G92" s="134">
        <v>116.04</v>
      </c>
      <c r="H92" s="134">
        <v>35.4</v>
      </c>
      <c r="I92" s="134">
        <v>13.85</v>
      </c>
      <c r="J92" s="134">
        <v>0.11</v>
      </c>
      <c r="K92" s="134">
        <v>199.71</v>
      </c>
      <c r="L92" s="134">
        <v>22.35</v>
      </c>
      <c r="M92" s="134">
        <v>80.95</v>
      </c>
      <c r="N92" s="134">
        <v>0</v>
      </c>
      <c r="O92" s="134">
        <v>0</v>
      </c>
      <c r="P92" s="134">
        <v>1</v>
      </c>
      <c r="Q92" s="134">
        <v>4.6500000000000004</v>
      </c>
    </row>
    <row r="93" spans="1:17" customFormat="1">
      <c r="A93" s="112" t="s">
        <v>1955</v>
      </c>
      <c r="B93" s="134">
        <v>12.36</v>
      </c>
      <c r="C93" s="134">
        <v>31.73</v>
      </c>
      <c r="D93" s="134">
        <v>27.84</v>
      </c>
      <c r="E93" s="134">
        <v>9.68</v>
      </c>
      <c r="F93" s="134">
        <v>2.65</v>
      </c>
      <c r="G93" s="134">
        <v>116.04</v>
      </c>
      <c r="H93" s="134">
        <v>35.4</v>
      </c>
      <c r="I93" s="134">
        <v>13.57</v>
      </c>
      <c r="J93" s="134">
        <v>0.13</v>
      </c>
      <c r="K93" s="134">
        <v>214</v>
      </c>
      <c r="L93" s="134">
        <v>22</v>
      </c>
      <c r="M93" s="134">
        <v>82.66</v>
      </c>
      <c r="N93" s="134">
        <v>0</v>
      </c>
      <c r="O93" s="134">
        <v>0</v>
      </c>
      <c r="P93" s="134">
        <v>0.98</v>
      </c>
      <c r="Q93" s="134">
        <v>4.63</v>
      </c>
    </row>
    <row r="94" spans="1:17" customFormat="1">
      <c r="A94" s="112" t="s">
        <v>1956</v>
      </c>
      <c r="B94" s="134">
        <v>11.81</v>
      </c>
      <c r="C94" s="134">
        <v>31.01</v>
      </c>
      <c r="D94" s="134">
        <v>27.03</v>
      </c>
      <c r="E94" s="134">
        <v>9.0500000000000007</v>
      </c>
      <c r="F94" s="134">
        <v>2.59</v>
      </c>
      <c r="G94" s="134">
        <v>103.08</v>
      </c>
      <c r="H94" s="134">
        <v>34.39</v>
      </c>
      <c r="I94" s="134">
        <v>13.14</v>
      </c>
      <c r="J94" s="134">
        <v>0.15</v>
      </c>
      <c r="K94" s="134">
        <v>239.54</v>
      </c>
      <c r="L94" s="134">
        <v>21.98</v>
      </c>
      <c r="M94" s="134">
        <v>84.94</v>
      </c>
      <c r="N94" s="134">
        <v>0</v>
      </c>
      <c r="O94" s="134">
        <v>0</v>
      </c>
      <c r="P94" s="134">
        <v>0.97</v>
      </c>
      <c r="Q94" s="134">
        <v>4.59</v>
      </c>
    </row>
    <row r="95" spans="1:17" customFormat="1">
      <c r="A95" s="112" t="s">
        <v>1957</v>
      </c>
      <c r="B95" s="134">
        <v>11.25</v>
      </c>
      <c r="C95" s="134">
        <v>30.46</v>
      </c>
      <c r="D95" s="134">
        <v>26.29</v>
      </c>
      <c r="E95" s="134">
        <v>9.42</v>
      </c>
      <c r="F95" s="134">
        <v>2.59</v>
      </c>
      <c r="G95" s="134">
        <v>100.49</v>
      </c>
      <c r="H95" s="134">
        <v>34.39</v>
      </c>
      <c r="I95" s="134">
        <v>12.72</v>
      </c>
      <c r="J95" s="134">
        <v>0.1</v>
      </c>
      <c r="K95" s="134">
        <v>218.91</v>
      </c>
      <c r="L95" s="134">
        <v>21.65</v>
      </c>
      <c r="M95" s="134">
        <v>85.83</v>
      </c>
      <c r="N95" s="134">
        <v>0</v>
      </c>
      <c r="O95" s="134">
        <v>0</v>
      </c>
      <c r="P95" s="134">
        <v>0.96</v>
      </c>
      <c r="Q95" s="134">
        <v>4.5599999999999996</v>
      </c>
    </row>
    <row r="96" spans="1:17" customFormat="1">
      <c r="A96" s="112" t="s">
        <v>1958</v>
      </c>
      <c r="B96" s="134">
        <v>10.84</v>
      </c>
      <c r="C96" s="134">
        <v>29.87</v>
      </c>
      <c r="D96" s="134">
        <v>25.65</v>
      </c>
      <c r="E96" s="134">
        <v>9.5299999999999994</v>
      </c>
      <c r="F96" s="134">
        <v>2.54</v>
      </c>
      <c r="G96" s="134">
        <v>100.49</v>
      </c>
      <c r="H96" s="134">
        <v>34.39</v>
      </c>
      <c r="I96" s="134">
        <v>12.34</v>
      </c>
      <c r="J96" s="134">
        <v>0.16</v>
      </c>
      <c r="K96" s="134">
        <v>168.11</v>
      </c>
      <c r="L96" s="134">
        <v>21.58</v>
      </c>
      <c r="M96" s="134">
        <v>86.72</v>
      </c>
      <c r="N96" s="134">
        <v>0</v>
      </c>
      <c r="O96" s="134">
        <v>0</v>
      </c>
      <c r="P96" s="134">
        <v>0.94</v>
      </c>
      <c r="Q96" s="134">
        <v>4.5599999999999996</v>
      </c>
    </row>
    <row r="97" spans="1:22" customFormat="1">
      <c r="A97" s="112" t="s">
        <v>1959</v>
      </c>
      <c r="B97" s="134">
        <v>10.45</v>
      </c>
      <c r="C97" s="134">
        <v>29.41</v>
      </c>
      <c r="D97" s="134">
        <v>25.1</v>
      </c>
      <c r="E97" s="134">
        <v>9.26</v>
      </c>
      <c r="F97" s="134">
        <v>2.64</v>
      </c>
      <c r="G97" s="134">
        <v>100.49</v>
      </c>
      <c r="H97" s="134">
        <v>34.39</v>
      </c>
      <c r="I97" s="134">
        <v>11.95</v>
      </c>
      <c r="J97" s="134">
        <v>0.12</v>
      </c>
      <c r="K97" s="134">
        <v>167.57</v>
      </c>
      <c r="L97" s="134">
        <v>21.57</v>
      </c>
      <c r="M97" s="134">
        <v>88.07</v>
      </c>
      <c r="N97" s="134">
        <v>0</v>
      </c>
      <c r="O97" s="134">
        <v>0</v>
      </c>
      <c r="P97" s="134">
        <v>0.92</v>
      </c>
      <c r="Q97" s="134">
        <v>4.53</v>
      </c>
    </row>
    <row r="98" spans="1:22" customFormat="1">
      <c r="A98" s="112" t="s">
        <v>1960</v>
      </c>
      <c r="B98" s="134">
        <v>10.67</v>
      </c>
      <c r="C98" s="134">
        <v>29.21</v>
      </c>
      <c r="D98" s="134">
        <v>25.17</v>
      </c>
      <c r="E98" s="134">
        <v>9.57</v>
      </c>
      <c r="F98" s="134">
        <v>2.48</v>
      </c>
      <c r="G98" s="134">
        <v>89.26</v>
      </c>
      <c r="H98" s="134">
        <v>33.71</v>
      </c>
      <c r="I98" s="134">
        <v>11.59</v>
      </c>
      <c r="J98" s="134">
        <v>0.13</v>
      </c>
      <c r="K98" s="134">
        <v>196.64</v>
      </c>
      <c r="L98" s="134">
        <v>21.54</v>
      </c>
      <c r="M98" s="134">
        <v>86.99</v>
      </c>
      <c r="N98" s="134">
        <v>0</v>
      </c>
      <c r="O98" s="134">
        <v>0</v>
      </c>
      <c r="P98" s="134">
        <v>0.91</v>
      </c>
      <c r="Q98" s="134">
        <v>4.55</v>
      </c>
    </row>
    <row r="99" spans="1:22" customFormat="1">
      <c r="A99" s="112" t="s">
        <v>1961</v>
      </c>
      <c r="B99" s="134">
        <v>11.52</v>
      </c>
      <c r="C99" s="134">
        <v>29.29</v>
      </c>
      <c r="D99" s="134">
        <v>25.9</v>
      </c>
      <c r="E99" s="134">
        <v>9.36</v>
      </c>
      <c r="F99" s="134">
        <v>2.46</v>
      </c>
      <c r="G99" s="134">
        <v>87.02</v>
      </c>
      <c r="H99" s="134">
        <v>33.71</v>
      </c>
      <c r="I99" s="134">
        <v>11.22</v>
      </c>
      <c r="J99" s="134">
        <v>0.18</v>
      </c>
      <c r="K99" s="134">
        <v>179.97</v>
      </c>
      <c r="L99" s="134">
        <v>21.46</v>
      </c>
      <c r="M99" s="134">
        <v>90.38</v>
      </c>
      <c r="N99" s="134">
        <v>0</v>
      </c>
      <c r="O99" s="134">
        <v>0</v>
      </c>
      <c r="P99" s="134">
        <v>0.92</v>
      </c>
      <c r="Q99" s="134">
        <v>4.57</v>
      </c>
    </row>
    <row r="100" spans="1:22" customFormat="1">
      <c r="A100" s="112" t="s">
        <v>1962</v>
      </c>
      <c r="B100" s="134">
        <v>11.63</v>
      </c>
      <c r="C100" s="134">
        <v>29.03</v>
      </c>
      <c r="D100" s="134">
        <v>25.85</v>
      </c>
      <c r="E100" s="134">
        <v>9.16</v>
      </c>
      <c r="F100" s="134">
        <v>2.54</v>
      </c>
      <c r="G100" s="134">
        <v>87.02</v>
      </c>
      <c r="H100" s="134">
        <v>33.71</v>
      </c>
      <c r="I100" s="134">
        <v>10.98</v>
      </c>
      <c r="J100" s="134">
        <v>0.1</v>
      </c>
      <c r="K100" s="134">
        <v>187.73</v>
      </c>
      <c r="L100" s="134">
        <v>21.14</v>
      </c>
      <c r="M100" s="134">
        <v>89.53</v>
      </c>
      <c r="N100" s="134">
        <v>0</v>
      </c>
      <c r="O100" s="134">
        <v>0</v>
      </c>
      <c r="P100" s="134">
        <v>0.9</v>
      </c>
      <c r="Q100" s="134">
        <v>4.57</v>
      </c>
    </row>
    <row r="101" spans="1:22" customFormat="1">
      <c r="A101" s="112" t="s">
        <v>1963</v>
      </c>
      <c r="B101" s="134">
        <v>11.34</v>
      </c>
      <c r="C101" s="134">
        <v>28.47</v>
      </c>
      <c r="D101" s="134">
        <v>25.32</v>
      </c>
      <c r="E101" s="134">
        <v>9.73</v>
      </c>
      <c r="F101" s="134">
        <v>2.44</v>
      </c>
      <c r="G101" s="134">
        <v>87.02</v>
      </c>
      <c r="H101" s="134">
        <v>33.71</v>
      </c>
      <c r="I101" s="134">
        <v>10.69</v>
      </c>
      <c r="J101" s="134">
        <v>0.1</v>
      </c>
      <c r="K101" s="134">
        <v>172.63</v>
      </c>
      <c r="L101" s="134">
        <v>20.99</v>
      </c>
      <c r="M101" s="134">
        <v>87.06</v>
      </c>
      <c r="N101" s="134">
        <v>0</v>
      </c>
      <c r="O101" s="134">
        <v>0</v>
      </c>
      <c r="P101" s="134">
        <v>0.88</v>
      </c>
      <c r="Q101" s="134">
        <v>4.5599999999999996</v>
      </c>
    </row>
    <row r="102" spans="1:22" customFormat="1">
      <c r="A102" s="112" t="s">
        <v>1964</v>
      </c>
      <c r="B102" s="134">
        <v>11.42</v>
      </c>
      <c r="C102" s="134">
        <v>28.24</v>
      </c>
      <c r="D102" s="134">
        <v>25.26</v>
      </c>
      <c r="E102" s="134">
        <v>9.52</v>
      </c>
      <c r="F102" s="134">
        <v>2.5099999999999998</v>
      </c>
      <c r="G102" s="134">
        <v>82.28</v>
      </c>
      <c r="H102" s="134">
        <v>33.94</v>
      </c>
      <c r="I102" s="134">
        <v>10.44</v>
      </c>
      <c r="J102" s="134">
        <v>0.08</v>
      </c>
      <c r="K102" s="134">
        <v>184.05</v>
      </c>
      <c r="L102" s="134">
        <v>20.96</v>
      </c>
      <c r="M102" s="134">
        <v>86.67</v>
      </c>
      <c r="N102" s="134">
        <v>0</v>
      </c>
      <c r="O102" s="134">
        <v>0</v>
      </c>
      <c r="P102" s="134">
        <v>0.87</v>
      </c>
      <c r="Q102" s="134">
        <v>4.5599999999999996</v>
      </c>
    </row>
    <row r="103" spans="1:22" customFormat="1">
      <c r="A103" s="112" t="s">
        <v>1965</v>
      </c>
      <c r="B103" s="134">
        <v>11.2</v>
      </c>
      <c r="C103" s="134">
        <v>28.2</v>
      </c>
      <c r="D103" s="134">
        <v>25.06</v>
      </c>
      <c r="E103" s="134">
        <v>9.31</v>
      </c>
      <c r="F103" s="134">
        <v>2.46</v>
      </c>
      <c r="G103" s="134">
        <v>81.33</v>
      </c>
      <c r="H103" s="134">
        <v>33.94</v>
      </c>
      <c r="I103" s="134">
        <v>10.16</v>
      </c>
      <c r="J103" s="134">
        <v>0.1</v>
      </c>
      <c r="K103" s="134">
        <v>178.75</v>
      </c>
      <c r="L103" s="134">
        <v>20.77</v>
      </c>
      <c r="M103" s="134">
        <v>93.56</v>
      </c>
      <c r="N103" s="134">
        <v>0</v>
      </c>
      <c r="O103" s="134">
        <v>0</v>
      </c>
      <c r="P103" s="134">
        <v>0.86</v>
      </c>
      <c r="Q103" s="134">
        <v>4.54</v>
      </c>
    </row>
    <row r="104" spans="1:22" customFormat="1">
      <c r="A104" s="112" t="s">
        <v>1966</v>
      </c>
      <c r="B104" s="134">
        <v>11.05</v>
      </c>
      <c r="C104" s="134">
        <v>26.58</v>
      </c>
      <c r="D104" s="134">
        <v>24.1</v>
      </c>
      <c r="E104" s="134">
        <v>8.98</v>
      </c>
      <c r="F104" s="134">
        <v>2.83</v>
      </c>
      <c r="G104" s="134">
        <v>81.33</v>
      </c>
      <c r="H104" s="134">
        <v>33.94</v>
      </c>
      <c r="I104" s="134">
        <v>9.94</v>
      </c>
      <c r="J104" s="134">
        <v>0.1</v>
      </c>
      <c r="K104" s="134">
        <v>207.83</v>
      </c>
      <c r="L104" s="134">
        <v>20.64</v>
      </c>
      <c r="M104" s="134">
        <v>91.22</v>
      </c>
      <c r="N104" s="134">
        <v>0</v>
      </c>
      <c r="O104" s="134">
        <v>0</v>
      </c>
      <c r="P104" s="134">
        <v>0.83</v>
      </c>
      <c r="Q104" s="134">
        <v>4.54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2.16</v>
      </c>
      <c r="C106" s="183">
        <f>MIN(C9:C104)</f>
        <v>17.11</v>
      </c>
      <c r="D106" s="183">
        <f t="shared" ref="D106:Q106" si="0">MIN(D9:D104)</f>
        <v>12.69</v>
      </c>
      <c r="E106" s="183">
        <f t="shared" si="0"/>
        <v>2.69</v>
      </c>
      <c r="F106" s="183">
        <f t="shared" si="0"/>
        <v>2.39</v>
      </c>
      <c r="G106" s="183">
        <f t="shared" si="0"/>
        <v>38.29</v>
      </c>
      <c r="H106" s="183">
        <f t="shared" si="0"/>
        <v>17.82</v>
      </c>
      <c r="I106" s="183">
        <f t="shared" si="0"/>
        <v>6.3</v>
      </c>
      <c r="J106" s="183">
        <f t="shared" si="0"/>
        <v>0.02</v>
      </c>
      <c r="K106" s="183">
        <f t="shared" si="0"/>
        <v>2.65</v>
      </c>
      <c r="L106" s="183">
        <f t="shared" si="0"/>
        <v>18.02</v>
      </c>
      <c r="M106" s="183">
        <f t="shared" si="0"/>
        <v>41.65</v>
      </c>
      <c r="N106" s="183">
        <f t="shared" si="0"/>
        <v>0</v>
      </c>
      <c r="O106" s="183">
        <f t="shared" si="0"/>
        <v>0</v>
      </c>
      <c r="P106" s="183">
        <f t="shared" si="0"/>
        <v>0.44</v>
      </c>
      <c r="Q106" s="183">
        <f t="shared" si="0"/>
        <v>4.1100000000000003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23.62</v>
      </c>
      <c r="C107" s="184">
        <f t="shared" ref="C107:Q107" si="1">MAX(C9:C104)</f>
        <v>33.159999999999997</v>
      </c>
      <c r="D107" s="184">
        <f t="shared" si="1"/>
        <v>33.89</v>
      </c>
      <c r="E107" s="184">
        <f t="shared" si="1"/>
        <v>13.84</v>
      </c>
      <c r="F107" s="184">
        <f t="shared" si="1"/>
        <v>21.25</v>
      </c>
      <c r="G107" s="184">
        <f t="shared" si="1"/>
        <v>116.04</v>
      </c>
      <c r="H107" s="184">
        <f t="shared" si="1"/>
        <v>35.4</v>
      </c>
      <c r="I107" s="184">
        <f t="shared" si="1"/>
        <v>38.909999999999997</v>
      </c>
      <c r="J107" s="184">
        <f t="shared" si="1"/>
        <v>0.56000000000000005</v>
      </c>
      <c r="K107" s="184">
        <f t="shared" si="1"/>
        <v>347.9</v>
      </c>
      <c r="L107" s="184">
        <f t="shared" si="1"/>
        <v>30.6</v>
      </c>
      <c r="M107" s="184">
        <f t="shared" si="1"/>
        <v>95.09</v>
      </c>
      <c r="N107" s="184">
        <f t="shared" si="1"/>
        <v>598.4</v>
      </c>
      <c r="O107" s="184">
        <f t="shared" si="1"/>
        <v>0</v>
      </c>
      <c r="P107" s="184">
        <f t="shared" si="1"/>
        <v>1.01</v>
      </c>
      <c r="Q107" s="184">
        <f t="shared" si="1"/>
        <v>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11.537717391304346</v>
      </c>
      <c r="C108" s="183">
        <f t="shared" ref="C108:Q108" si="2">AVERAGE(C9:C104)</f>
        <v>25.116086956521734</v>
      </c>
      <c r="D108" s="183">
        <f t="shared" si="2"/>
        <v>23.726739130434783</v>
      </c>
      <c r="E108" s="183">
        <f t="shared" si="2"/>
        <v>6.6153763440860196</v>
      </c>
      <c r="F108" s="183">
        <f t="shared" si="2"/>
        <v>4.2088421052631571</v>
      </c>
      <c r="G108" s="183">
        <f t="shared" si="2"/>
        <v>67.311354166666675</v>
      </c>
      <c r="H108" s="183">
        <f t="shared" si="2"/>
        <v>26.706458333333355</v>
      </c>
      <c r="I108" s="183">
        <f t="shared" si="2"/>
        <v>12.206041666666669</v>
      </c>
      <c r="J108" s="183">
        <f t="shared" si="2"/>
        <v>0.18687500000000001</v>
      </c>
      <c r="K108" s="183">
        <f t="shared" si="2"/>
        <v>143.96364583333329</v>
      </c>
      <c r="L108" s="183">
        <f t="shared" si="2"/>
        <v>23.642604166666661</v>
      </c>
      <c r="M108" s="183">
        <f t="shared" si="2"/>
        <v>72.466354166666676</v>
      </c>
      <c r="N108" s="183">
        <f t="shared" si="2"/>
        <v>123.81666666666665</v>
      </c>
      <c r="O108" s="183">
        <f t="shared" si="2"/>
        <v>0</v>
      </c>
      <c r="P108" s="183">
        <f t="shared" si="2"/>
        <v>0.74557894736842123</v>
      </c>
      <c r="Q108" s="183">
        <f t="shared" si="2"/>
        <v>4.521770833333334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6.1445818361571751</v>
      </c>
      <c r="C109" s="183">
        <f t="shared" ref="C109:Q109" si="3">STDEV(C9:C104)</f>
        <v>3.9442159505893239</v>
      </c>
      <c r="D109" s="183">
        <f t="shared" si="3"/>
        <v>6.1500873054994436</v>
      </c>
      <c r="E109" s="183">
        <f t="shared" si="3"/>
        <v>2.5969177211270842</v>
      </c>
      <c r="F109" s="183">
        <f t="shared" si="3"/>
        <v>3.7601864098081821</v>
      </c>
      <c r="G109" s="183">
        <f t="shared" si="3"/>
        <v>20.820068892134891</v>
      </c>
      <c r="H109" s="183">
        <f t="shared" si="3"/>
        <v>6.0079515694954448</v>
      </c>
      <c r="I109" s="183">
        <f t="shared" si="3"/>
        <v>6.9125241759039078</v>
      </c>
      <c r="J109" s="183">
        <f t="shared" si="3"/>
        <v>0.11414037986527574</v>
      </c>
      <c r="K109" s="183">
        <f t="shared" si="3"/>
        <v>79.967087573507655</v>
      </c>
      <c r="L109" s="183">
        <f t="shared" si="3"/>
        <v>4.3676958263070986</v>
      </c>
      <c r="M109" s="183">
        <f t="shared" si="3"/>
        <v>18.351079711231691</v>
      </c>
      <c r="N109" s="183">
        <f t="shared" si="3"/>
        <v>198.10551184800843</v>
      </c>
      <c r="O109" s="183">
        <f t="shared" si="3"/>
        <v>0</v>
      </c>
      <c r="P109" s="183">
        <f t="shared" si="3"/>
        <v>0.16381564488631264</v>
      </c>
      <c r="Q109" s="183">
        <f t="shared" si="3"/>
        <v>0.25436399443839558</v>
      </c>
      <c r="R109" s="187"/>
      <c r="S109" s="187"/>
      <c r="T109" s="187"/>
      <c r="U109" s="187"/>
    </row>
    <row r="110" spans="1:22">
      <c r="A110" s="182" t="s">
        <v>52</v>
      </c>
      <c r="B110" s="184">
        <v>96</v>
      </c>
      <c r="C110" s="184">
        <v>96</v>
      </c>
      <c r="D110" s="184">
        <v>96</v>
      </c>
      <c r="E110" s="184">
        <v>96</v>
      </c>
      <c r="F110" s="184">
        <v>96</v>
      </c>
      <c r="G110" s="184">
        <v>96</v>
      </c>
      <c r="H110" s="184">
        <v>96</v>
      </c>
      <c r="I110" s="184">
        <v>96</v>
      </c>
      <c r="J110" s="184">
        <v>96</v>
      </c>
      <c r="K110" s="184">
        <v>96</v>
      </c>
      <c r="L110" s="184">
        <v>96</v>
      </c>
      <c r="M110" s="184">
        <v>96</v>
      </c>
      <c r="N110" s="184">
        <v>96</v>
      </c>
      <c r="O110" s="184">
        <v>96</v>
      </c>
      <c r="P110" s="184">
        <v>96</v>
      </c>
      <c r="Q110" s="184"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4">IF(C110&gt;=87,"&gt;90%",IF(C110&lt;=87,"&lt;90%"))</f>
        <v>&gt;90%</v>
      </c>
      <c r="D111" s="147" t="str">
        <f t="shared" si="4"/>
        <v>&gt;90%</v>
      </c>
      <c r="E111" s="147" t="str">
        <f t="shared" si="4"/>
        <v>&gt;90%</v>
      </c>
      <c r="F111" s="147" t="str">
        <f t="shared" si="4"/>
        <v>&gt;90%</v>
      </c>
      <c r="G111" s="147" t="str">
        <f t="shared" si="4"/>
        <v>&gt;90%</v>
      </c>
      <c r="H111" s="147" t="str">
        <f t="shared" si="4"/>
        <v>&gt;90%</v>
      </c>
      <c r="I111" s="147" t="str">
        <f t="shared" si="4"/>
        <v>&gt;90%</v>
      </c>
      <c r="J111" s="147" t="str">
        <f t="shared" si="4"/>
        <v>&gt;90%</v>
      </c>
      <c r="K111" s="147" t="str">
        <f t="shared" si="4"/>
        <v>&gt;90%</v>
      </c>
      <c r="L111" s="147" t="str">
        <f t="shared" si="4"/>
        <v>&gt;90%</v>
      </c>
      <c r="M111" s="147" t="str">
        <f t="shared" si="4"/>
        <v>&gt;90%</v>
      </c>
      <c r="N111" s="147" t="str">
        <f t="shared" si="4"/>
        <v>&gt;90%</v>
      </c>
      <c r="O111" s="147" t="str">
        <f t="shared" si="4"/>
        <v>&gt;90%</v>
      </c>
      <c r="P111" s="147" t="str">
        <f t="shared" si="4"/>
        <v>&gt;90%</v>
      </c>
      <c r="Q111" s="147" t="str">
        <f t="shared" si="4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5">IF(C110&gt;=87,"OK",IF(C110&lt;=87,"LESS"))</f>
        <v>OK</v>
      </c>
      <c r="D112" s="147" t="str">
        <f t="shared" si="5"/>
        <v>OK</v>
      </c>
      <c r="E112" s="147" t="str">
        <f t="shared" si="5"/>
        <v>OK</v>
      </c>
      <c r="F112" s="147" t="str">
        <f t="shared" si="5"/>
        <v>OK</v>
      </c>
      <c r="G112" s="147" t="str">
        <f t="shared" si="5"/>
        <v>OK</v>
      </c>
      <c r="H112" s="147" t="str">
        <f t="shared" si="5"/>
        <v>OK</v>
      </c>
      <c r="I112" s="147" t="str">
        <f t="shared" si="5"/>
        <v>OK</v>
      </c>
      <c r="J112" s="147" t="str">
        <f t="shared" si="5"/>
        <v>OK</v>
      </c>
      <c r="K112" s="147" t="str">
        <f t="shared" si="5"/>
        <v>OK</v>
      </c>
      <c r="L112" s="147" t="str">
        <f t="shared" si="5"/>
        <v>OK</v>
      </c>
      <c r="M112" s="147" t="str">
        <f t="shared" si="5"/>
        <v>OK</v>
      </c>
      <c r="N112" s="147" t="str">
        <f t="shared" si="5"/>
        <v>OK</v>
      </c>
      <c r="O112" s="147" t="str">
        <f t="shared" si="5"/>
        <v>OK</v>
      </c>
      <c r="P112" s="147" t="str">
        <f t="shared" si="5"/>
        <v>OK</v>
      </c>
      <c r="Q112" s="147" t="str">
        <f t="shared" si="5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19/11/2023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1967</v>
      </c>
      <c r="B9" s="134">
        <v>10.98</v>
      </c>
      <c r="C9" s="134">
        <v>22.15</v>
      </c>
      <c r="D9" s="134">
        <v>21.72</v>
      </c>
      <c r="E9" s="134">
        <v>8.6</v>
      </c>
      <c r="F9" s="134">
        <v>2.88</v>
      </c>
      <c r="G9" s="134">
        <v>81.33</v>
      </c>
      <c r="H9" s="134">
        <v>33.94</v>
      </c>
      <c r="I9" s="134">
        <v>9.75</v>
      </c>
      <c r="J9" s="134">
        <v>0.11</v>
      </c>
      <c r="K9" s="134">
        <v>226.42</v>
      </c>
      <c r="L9" s="134">
        <v>20.56</v>
      </c>
      <c r="M9" s="134">
        <v>91.49</v>
      </c>
      <c r="N9" s="134">
        <v>0</v>
      </c>
      <c r="O9" s="134">
        <v>0</v>
      </c>
      <c r="P9" s="134">
        <v>0.8</v>
      </c>
      <c r="Q9" s="134">
        <v>4.53</v>
      </c>
    </row>
    <row r="10" spans="1:21" customFormat="1">
      <c r="A10" s="112" t="s">
        <v>1968</v>
      </c>
      <c r="B10" s="134">
        <v>11.03</v>
      </c>
      <c r="C10" s="134">
        <v>21.36</v>
      </c>
      <c r="D10" s="134">
        <v>21.35</v>
      </c>
      <c r="E10" s="134">
        <v>8.31</v>
      </c>
      <c r="F10" s="134">
        <v>2.68</v>
      </c>
      <c r="G10" s="134">
        <v>76.19</v>
      </c>
      <c r="H10" s="134">
        <v>29.49</v>
      </c>
      <c r="I10" s="134">
        <v>9.6999999999999993</v>
      </c>
      <c r="J10" s="134">
        <v>0.1</v>
      </c>
      <c r="K10" s="134">
        <v>172.88</v>
      </c>
      <c r="L10" s="134">
        <v>20.36</v>
      </c>
      <c r="M10" s="134">
        <v>91.23</v>
      </c>
      <c r="N10" s="134">
        <v>0</v>
      </c>
      <c r="O10" s="134">
        <v>0</v>
      </c>
      <c r="P10" s="134">
        <v>0.79</v>
      </c>
      <c r="Q10" s="134">
        <v>4.5199999999999996</v>
      </c>
    </row>
    <row r="11" spans="1:21" customFormat="1">
      <c r="A11" s="112" t="s">
        <v>1969</v>
      </c>
      <c r="B11" s="134">
        <v>11.03</v>
      </c>
      <c r="C11" s="134">
        <v>22.53</v>
      </c>
      <c r="D11" s="134">
        <v>21.97</v>
      </c>
      <c r="E11" s="134">
        <v>8.17</v>
      </c>
      <c r="F11" s="134">
        <v>2.62</v>
      </c>
      <c r="G11" s="134">
        <v>75.17</v>
      </c>
      <c r="H11" s="134">
        <v>29.49</v>
      </c>
      <c r="I11" s="134">
        <v>9.6</v>
      </c>
      <c r="J11" s="134">
        <v>0.09</v>
      </c>
      <c r="K11" s="134">
        <v>180.97</v>
      </c>
      <c r="L11" s="134">
        <v>20.32</v>
      </c>
      <c r="M11" s="134">
        <v>89.91</v>
      </c>
      <c r="N11" s="134">
        <v>0</v>
      </c>
      <c r="O11" s="134">
        <v>0</v>
      </c>
      <c r="P11" s="134">
        <v>0.78</v>
      </c>
      <c r="Q11" s="134">
        <v>4.49</v>
      </c>
    </row>
    <row r="12" spans="1:21" customFormat="1">
      <c r="A12" s="112" t="s">
        <v>1970</v>
      </c>
      <c r="B12" s="134">
        <v>11.07</v>
      </c>
      <c r="C12" s="134">
        <v>20.99</v>
      </c>
      <c r="D12" s="134">
        <v>21.2</v>
      </c>
      <c r="E12" s="134">
        <v>8.33</v>
      </c>
      <c r="F12" s="134">
        <v>2.94</v>
      </c>
      <c r="G12" s="134">
        <v>75.17</v>
      </c>
      <c r="H12" s="134">
        <v>29.49</v>
      </c>
      <c r="I12" s="134">
        <v>9.5</v>
      </c>
      <c r="J12" s="134">
        <v>0.09</v>
      </c>
      <c r="K12" s="134">
        <v>170.14</v>
      </c>
      <c r="L12" s="134">
        <v>20.32</v>
      </c>
      <c r="M12" s="134">
        <v>91.14</v>
      </c>
      <c r="N12" s="134">
        <v>0</v>
      </c>
      <c r="O12" s="134">
        <v>0</v>
      </c>
      <c r="P12" s="134">
        <v>0.76</v>
      </c>
      <c r="Q12" s="134">
        <v>4.4800000000000004</v>
      </c>
    </row>
    <row r="13" spans="1:21" customFormat="1">
      <c r="A13" s="112" t="s">
        <v>1971</v>
      </c>
      <c r="B13" s="134">
        <v>10.91</v>
      </c>
      <c r="C13" s="134">
        <v>22.19</v>
      </c>
      <c r="D13" s="134">
        <v>21.69</v>
      </c>
      <c r="E13" s="134">
        <v>8.49</v>
      </c>
      <c r="F13" s="134">
        <v>2.71</v>
      </c>
      <c r="G13" s="134">
        <v>75.17</v>
      </c>
      <c r="H13" s="134">
        <v>29.49</v>
      </c>
      <c r="I13" s="134">
        <v>9.43</v>
      </c>
      <c r="J13" s="134">
        <v>0.06</v>
      </c>
      <c r="K13" s="134">
        <v>207.92</v>
      </c>
      <c r="L13" s="134">
        <v>20.25</v>
      </c>
      <c r="M13" s="134">
        <v>92.43</v>
      </c>
      <c r="N13" s="134">
        <v>0</v>
      </c>
      <c r="O13" s="134">
        <v>0</v>
      </c>
      <c r="P13" s="134">
        <v>0.76</v>
      </c>
      <c r="Q13" s="134">
        <v>4.46</v>
      </c>
    </row>
    <row r="14" spans="1:21" customFormat="1">
      <c r="A14" s="112" t="s">
        <v>1972</v>
      </c>
      <c r="B14" s="134">
        <v>10.98</v>
      </c>
      <c r="C14" s="134">
        <v>20.96</v>
      </c>
      <c r="D14" s="134">
        <v>21.1</v>
      </c>
      <c r="E14" s="134">
        <v>8</v>
      </c>
      <c r="F14" s="134">
        <v>2.7</v>
      </c>
      <c r="G14" s="134">
        <v>66.900000000000006</v>
      </c>
      <c r="H14" s="134">
        <v>27.66</v>
      </c>
      <c r="I14" s="134">
        <v>9.27</v>
      </c>
      <c r="J14" s="134">
        <v>0.09</v>
      </c>
      <c r="K14" s="134">
        <v>176.98</v>
      </c>
      <c r="L14" s="134">
        <v>20.27</v>
      </c>
      <c r="M14" s="134">
        <v>91.4</v>
      </c>
      <c r="N14" s="134">
        <v>0</v>
      </c>
      <c r="O14" s="134">
        <v>0</v>
      </c>
      <c r="P14" s="134">
        <v>0.75</v>
      </c>
      <c r="Q14" s="134">
        <v>4.45</v>
      </c>
    </row>
    <row r="15" spans="1:21" customFormat="1">
      <c r="A15" s="112" t="s">
        <v>1973</v>
      </c>
      <c r="B15" s="134">
        <v>11.01</v>
      </c>
      <c r="C15" s="134">
        <v>22.42</v>
      </c>
      <c r="D15" s="134">
        <v>21.9</v>
      </c>
      <c r="E15" s="134">
        <v>7.97</v>
      </c>
      <c r="F15" s="134">
        <v>2.33</v>
      </c>
      <c r="G15" s="134">
        <v>65.239999999999995</v>
      </c>
      <c r="H15" s="134">
        <v>27.66</v>
      </c>
      <c r="I15" s="134">
        <v>9.23</v>
      </c>
      <c r="J15" s="134">
        <v>0.09</v>
      </c>
      <c r="K15" s="134">
        <v>175.73</v>
      </c>
      <c r="L15" s="134">
        <v>20.3</v>
      </c>
      <c r="M15" s="134">
        <v>91.49</v>
      </c>
      <c r="N15" s="134">
        <v>0</v>
      </c>
      <c r="O15" s="134">
        <v>0</v>
      </c>
      <c r="P15" s="134">
        <v>0.75</v>
      </c>
      <c r="Q15" s="134">
        <v>4.47</v>
      </c>
    </row>
    <row r="16" spans="1:21" customFormat="1">
      <c r="A16" s="112" t="s">
        <v>1974</v>
      </c>
      <c r="B16" s="134">
        <v>11.15</v>
      </c>
      <c r="C16" s="134">
        <v>20.86</v>
      </c>
      <c r="D16" s="134">
        <v>21.19</v>
      </c>
      <c r="E16" s="134">
        <v>8.01</v>
      </c>
      <c r="F16" s="134">
        <v>2.59</v>
      </c>
      <c r="G16" s="134">
        <v>65.239999999999995</v>
      </c>
      <c r="H16" s="134">
        <v>27.66</v>
      </c>
      <c r="I16" s="134">
        <v>9.0500000000000007</v>
      </c>
      <c r="J16" s="134">
        <v>0.14000000000000001</v>
      </c>
      <c r="K16" s="134">
        <v>234.85</v>
      </c>
      <c r="L16" s="134">
        <v>20.21</v>
      </c>
      <c r="M16" s="134">
        <v>92.56</v>
      </c>
      <c r="N16" s="134">
        <v>0</v>
      </c>
      <c r="O16" s="134">
        <v>0</v>
      </c>
      <c r="P16" s="134">
        <v>0.73</v>
      </c>
      <c r="Q16" s="134">
        <v>4.5</v>
      </c>
    </row>
    <row r="17" spans="1:17" customFormat="1">
      <c r="A17" s="112" t="s">
        <v>1975</v>
      </c>
      <c r="B17" s="134">
        <v>11.02</v>
      </c>
      <c r="C17" s="134">
        <v>21.66</v>
      </c>
      <c r="D17" s="134">
        <v>21.5</v>
      </c>
      <c r="E17" s="134">
        <v>5.75</v>
      </c>
      <c r="F17" s="134">
        <v>2.58</v>
      </c>
      <c r="G17" s="134">
        <v>65.239999999999995</v>
      </c>
      <c r="H17" s="134">
        <v>27.66</v>
      </c>
      <c r="I17" s="134">
        <v>8.9499999999999993</v>
      </c>
      <c r="J17" s="134">
        <v>0.12</v>
      </c>
      <c r="K17" s="134">
        <v>254.07</v>
      </c>
      <c r="L17" s="134">
        <v>20.05</v>
      </c>
      <c r="M17" s="134">
        <v>92.95</v>
      </c>
      <c r="N17" s="134">
        <v>0</v>
      </c>
      <c r="O17" s="134">
        <v>0</v>
      </c>
      <c r="P17" s="134">
        <v>0.73</v>
      </c>
      <c r="Q17" s="134">
        <v>4.4800000000000004</v>
      </c>
    </row>
    <row r="18" spans="1:17" customFormat="1">
      <c r="A18" s="112" t="s">
        <v>1976</v>
      </c>
      <c r="B18" s="134">
        <v>11.03</v>
      </c>
      <c r="C18" s="134">
        <v>21.31</v>
      </c>
      <c r="D18" s="134">
        <v>21.33</v>
      </c>
      <c r="E18" s="134">
        <v>6.1</v>
      </c>
      <c r="F18" s="134">
        <v>2.61</v>
      </c>
      <c r="G18" s="134">
        <v>63.86</v>
      </c>
      <c r="H18" s="134">
        <v>25.99</v>
      </c>
      <c r="I18" s="134">
        <v>8.8000000000000007</v>
      </c>
      <c r="J18" s="134">
        <v>0.14000000000000001</v>
      </c>
      <c r="K18" s="134">
        <v>259.94</v>
      </c>
      <c r="L18" s="134">
        <v>19.809999999999999</v>
      </c>
      <c r="M18" s="134">
        <v>93.98</v>
      </c>
      <c r="N18" s="134">
        <v>0</v>
      </c>
      <c r="O18" s="134">
        <v>0</v>
      </c>
      <c r="P18" s="134">
        <v>0.71</v>
      </c>
      <c r="Q18" s="134">
        <v>4.47</v>
      </c>
    </row>
    <row r="19" spans="1:17" customFormat="1">
      <c r="A19" s="112" t="s">
        <v>1977</v>
      </c>
      <c r="B19" s="134">
        <v>11.01</v>
      </c>
      <c r="C19" s="134">
        <v>21.4</v>
      </c>
      <c r="D19" s="134">
        <v>21.36</v>
      </c>
      <c r="E19" s="134">
        <v>6.31</v>
      </c>
      <c r="F19" s="134">
        <v>2.52</v>
      </c>
      <c r="G19" s="134">
        <v>63.58</v>
      </c>
      <c r="H19" s="134">
        <v>25.99</v>
      </c>
      <c r="I19" s="134">
        <v>8.7200000000000006</v>
      </c>
      <c r="J19" s="134">
        <v>0.11</v>
      </c>
      <c r="K19" s="134">
        <v>263.52</v>
      </c>
      <c r="L19" s="134">
        <v>19.57</v>
      </c>
      <c r="M19" s="134">
        <v>94.13</v>
      </c>
      <c r="N19" s="134">
        <v>0</v>
      </c>
      <c r="O19" s="134">
        <v>0</v>
      </c>
      <c r="P19" s="134">
        <v>0.7</v>
      </c>
      <c r="Q19" s="134">
        <v>4.47</v>
      </c>
    </row>
    <row r="20" spans="1:17" customFormat="1">
      <c r="A20" s="112" t="s">
        <v>1978</v>
      </c>
      <c r="B20" s="134">
        <v>11.02</v>
      </c>
      <c r="C20" s="134">
        <v>20.83</v>
      </c>
      <c r="D20" s="134">
        <v>21.07</v>
      </c>
      <c r="E20" s="134">
        <v>6.35</v>
      </c>
      <c r="F20" s="134">
        <v>2.69</v>
      </c>
      <c r="G20" s="134">
        <v>63.58</v>
      </c>
      <c r="H20" s="134">
        <v>25.99</v>
      </c>
      <c r="I20" s="134">
        <v>8.59</v>
      </c>
      <c r="J20" s="134">
        <v>7.0000000000000007E-2</v>
      </c>
      <c r="K20" s="134">
        <v>218.18</v>
      </c>
      <c r="L20" s="134">
        <v>19.63</v>
      </c>
      <c r="M20" s="134">
        <v>94.8</v>
      </c>
      <c r="N20" s="134">
        <v>0</v>
      </c>
      <c r="O20" s="134">
        <v>0</v>
      </c>
      <c r="P20" s="134">
        <v>0.68</v>
      </c>
      <c r="Q20" s="134">
        <v>4.47</v>
      </c>
    </row>
    <row r="21" spans="1:17" customFormat="1">
      <c r="A21" s="112" t="s">
        <v>1979</v>
      </c>
      <c r="B21" s="134">
        <v>10.98</v>
      </c>
      <c r="C21" s="134">
        <v>21.28</v>
      </c>
      <c r="D21" s="134">
        <v>21.27</v>
      </c>
      <c r="E21" s="134">
        <v>6.05</v>
      </c>
      <c r="F21" s="134">
        <v>2.54</v>
      </c>
      <c r="G21" s="134">
        <v>63.58</v>
      </c>
      <c r="H21" s="134">
        <v>25.99</v>
      </c>
      <c r="I21" s="134">
        <v>8.48</v>
      </c>
      <c r="J21" s="134">
        <v>0.09</v>
      </c>
      <c r="K21" s="134">
        <v>211.94</v>
      </c>
      <c r="L21" s="134">
        <v>19.59</v>
      </c>
      <c r="M21" s="134">
        <v>95.08</v>
      </c>
      <c r="N21" s="134">
        <v>0</v>
      </c>
      <c r="O21" s="134">
        <v>0</v>
      </c>
      <c r="P21" s="134">
        <v>0.68</v>
      </c>
      <c r="Q21" s="134">
        <v>4.46</v>
      </c>
    </row>
    <row r="22" spans="1:17" customFormat="1">
      <c r="A22" s="112" t="s">
        <v>1980</v>
      </c>
      <c r="B22" s="134">
        <v>11.02</v>
      </c>
      <c r="C22" s="134">
        <v>20.260000000000002</v>
      </c>
      <c r="D22" s="134">
        <v>20.77</v>
      </c>
      <c r="E22" s="134">
        <v>6.2</v>
      </c>
      <c r="F22" s="134">
        <v>2.59</v>
      </c>
      <c r="G22" s="134">
        <v>56.68</v>
      </c>
      <c r="H22" s="134">
        <v>26.64</v>
      </c>
      <c r="I22" s="134">
        <v>8.33</v>
      </c>
      <c r="J22" s="134">
        <v>0.16</v>
      </c>
      <c r="K22" s="134">
        <v>263.01</v>
      </c>
      <c r="L22" s="134">
        <v>19.45</v>
      </c>
      <c r="M22" s="134">
        <v>95.95</v>
      </c>
      <c r="N22" s="134">
        <v>0</v>
      </c>
      <c r="O22" s="134">
        <v>0</v>
      </c>
      <c r="P22" s="134">
        <v>0.67</v>
      </c>
      <c r="Q22" s="134">
        <v>4.47</v>
      </c>
    </row>
    <row r="23" spans="1:17" customFormat="1">
      <c r="A23" s="112" t="s">
        <v>1981</v>
      </c>
      <c r="B23" s="134">
        <v>11.13</v>
      </c>
      <c r="C23" s="134">
        <v>20.45</v>
      </c>
      <c r="D23" s="134">
        <v>20.97</v>
      </c>
      <c r="E23" s="134">
        <v>6.24</v>
      </c>
      <c r="F23" s="134">
        <v>2.5</v>
      </c>
      <c r="G23" s="134">
        <v>55.3</v>
      </c>
      <c r="H23" s="134">
        <v>26.64</v>
      </c>
      <c r="I23" s="134">
        <v>8.26</v>
      </c>
      <c r="J23" s="134">
        <v>0.22</v>
      </c>
      <c r="K23" s="134">
        <v>283.47000000000003</v>
      </c>
      <c r="L23" s="134">
        <v>19.16</v>
      </c>
      <c r="M23" s="134">
        <v>95.28</v>
      </c>
      <c r="N23" s="134">
        <v>0</v>
      </c>
      <c r="O23" s="134">
        <v>0</v>
      </c>
      <c r="P23" s="134">
        <v>0.65</v>
      </c>
      <c r="Q23" s="134">
        <v>4.47</v>
      </c>
    </row>
    <row r="24" spans="1:17" customFormat="1">
      <c r="A24" s="112" t="s">
        <v>1982</v>
      </c>
      <c r="B24" s="134">
        <v>11.27</v>
      </c>
      <c r="C24" s="134">
        <v>19.13</v>
      </c>
      <c r="D24" s="134">
        <v>20.39</v>
      </c>
      <c r="E24" s="134">
        <v>5.94</v>
      </c>
      <c r="F24" s="134">
        <v>2.71</v>
      </c>
      <c r="G24" s="134">
        <v>55.3</v>
      </c>
      <c r="H24" s="134">
        <v>26.64</v>
      </c>
      <c r="I24" s="134">
        <v>8.09</v>
      </c>
      <c r="J24" s="134">
        <v>0.19</v>
      </c>
      <c r="K24" s="134">
        <v>258.23</v>
      </c>
      <c r="L24" s="134">
        <v>19.22</v>
      </c>
      <c r="M24" s="134">
        <v>93.87</v>
      </c>
      <c r="N24" s="134">
        <v>0</v>
      </c>
      <c r="O24" s="134">
        <v>0</v>
      </c>
      <c r="P24" s="134">
        <v>0.64</v>
      </c>
      <c r="Q24" s="134">
        <v>4.4800000000000004</v>
      </c>
    </row>
    <row r="25" spans="1:17" customFormat="1">
      <c r="A25" s="112" t="s">
        <v>1983</v>
      </c>
      <c r="B25" s="134">
        <v>11.81</v>
      </c>
      <c r="C25" s="134">
        <v>21.1</v>
      </c>
      <c r="D25" s="134">
        <v>21.85</v>
      </c>
      <c r="E25" s="134">
        <v>6.55</v>
      </c>
      <c r="F25" s="134">
        <v>2.38</v>
      </c>
      <c r="G25" s="134">
        <v>55.3</v>
      </c>
      <c r="H25" s="134">
        <v>26.64</v>
      </c>
      <c r="I25" s="134">
        <v>8.02</v>
      </c>
      <c r="J25" s="134">
        <v>0.09</v>
      </c>
      <c r="K25" s="134">
        <v>83.75</v>
      </c>
      <c r="L25" s="134">
        <v>19.27</v>
      </c>
      <c r="M25" s="134">
        <v>94.85</v>
      </c>
      <c r="N25" s="134">
        <v>0</v>
      </c>
      <c r="O25" s="134">
        <v>0</v>
      </c>
      <c r="P25" s="134">
        <v>0.65</v>
      </c>
      <c r="Q25" s="134">
        <v>4.49</v>
      </c>
    </row>
    <row r="26" spans="1:17" customFormat="1">
      <c r="A26" s="112" t="s">
        <v>1984</v>
      </c>
      <c r="B26" s="134">
        <v>13.09</v>
      </c>
      <c r="C26" s="134">
        <v>20.5</v>
      </c>
      <c r="D26" s="134">
        <v>22.56</v>
      </c>
      <c r="E26" s="134">
        <v>6.61</v>
      </c>
      <c r="F26" s="134">
        <v>2.5499999999999998</v>
      </c>
      <c r="G26" s="134">
        <v>58.29</v>
      </c>
      <c r="H26" s="134">
        <v>25.88</v>
      </c>
      <c r="I26" s="134">
        <v>7.94</v>
      </c>
      <c r="J26" s="134">
        <v>0.12</v>
      </c>
      <c r="K26" s="134">
        <v>95.6</v>
      </c>
      <c r="L26" s="134">
        <v>19.420000000000002</v>
      </c>
      <c r="M26" s="134">
        <v>93.97</v>
      </c>
      <c r="N26" s="134">
        <v>0</v>
      </c>
      <c r="O26" s="134">
        <v>0</v>
      </c>
      <c r="P26" s="134">
        <v>0.64</v>
      </c>
      <c r="Q26" s="134">
        <v>4.55</v>
      </c>
    </row>
    <row r="27" spans="1:17" customFormat="1">
      <c r="A27" s="112" t="s">
        <v>1985</v>
      </c>
      <c r="B27" s="134">
        <v>14.53</v>
      </c>
      <c r="C27" s="134">
        <v>21.24</v>
      </c>
      <c r="D27" s="134">
        <v>24.1</v>
      </c>
      <c r="E27" s="134">
        <v>6.47</v>
      </c>
      <c r="F27" s="134">
        <v>2.58</v>
      </c>
      <c r="G27" s="134">
        <v>58.89</v>
      </c>
      <c r="H27" s="134">
        <v>25.88</v>
      </c>
      <c r="I27" s="134">
        <v>7.91</v>
      </c>
      <c r="J27" s="134">
        <v>0.11</v>
      </c>
      <c r="K27" s="134">
        <v>76.28</v>
      </c>
      <c r="L27" s="134">
        <v>19.5</v>
      </c>
      <c r="M27" s="134">
        <v>92.39</v>
      </c>
      <c r="N27" s="134">
        <v>0</v>
      </c>
      <c r="O27" s="134">
        <v>0</v>
      </c>
      <c r="P27" s="134">
        <v>0.65</v>
      </c>
      <c r="Q27" s="134">
        <v>4.59</v>
      </c>
    </row>
    <row r="28" spans="1:17" customFormat="1">
      <c r="A28" s="112" t="s">
        <v>1986</v>
      </c>
      <c r="B28" s="134">
        <v>15.21</v>
      </c>
      <c r="C28" s="134">
        <v>22.69</v>
      </c>
      <c r="D28" s="134">
        <v>25.4</v>
      </c>
      <c r="E28" s="134">
        <v>6.39</v>
      </c>
      <c r="F28" s="134">
        <v>2.76</v>
      </c>
      <c r="G28" s="134">
        <v>58.89</v>
      </c>
      <c r="H28" s="134">
        <v>25.88</v>
      </c>
      <c r="I28" s="134">
        <v>7.79</v>
      </c>
      <c r="J28" s="134">
        <v>0.33</v>
      </c>
      <c r="K28" s="134">
        <v>50.21</v>
      </c>
      <c r="L28" s="134">
        <v>19.579999999999998</v>
      </c>
      <c r="M28" s="134">
        <v>91.57</v>
      </c>
      <c r="N28" s="134">
        <v>0</v>
      </c>
      <c r="O28" s="134">
        <v>0</v>
      </c>
      <c r="P28" s="134">
        <v>0.68</v>
      </c>
      <c r="Q28" s="134">
        <v>4.63</v>
      </c>
    </row>
    <row r="29" spans="1:17" customFormat="1">
      <c r="A29" s="112" t="s">
        <v>1987</v>
      </c>
      <c r="B29" s="134">
        <v>15.2</v>
      </c>
      <c r="C29" s="134">
        <v>23.6</v>
      </c>
      <c r="D29" s="134">
        <v>25.87</v>
      </c>
      <c r="E29" s="134">
        <v>6.99</v>
      </c>
      <c r="F29" s="134">
        <v>2.82</v>
      </c>
      <c r="G29" s="134">
        <v>58.89</v>
      </c>
      <c r="H29" s="134">
        <v>25.88</v>
      </c>
      <c r="I29" s="134">
        <v>7.71</v>
      </c>
      <c r="J29" s="134">
        <v>0.25</v>
      </c>
      <c r="K29" s="134">
        <v>63.08</v>
      </c>
      <c r="L29" s="134">
        <v>19.5</v>
      </c>
      <c r="M29" s="134">
        <v>92.23</v>
      </c>
      <c r="N29" s="134">
        <v>0</v>
      </c>
      <c r="O29" s="134">
        <v>0</v>
      </c>
      <c r="P29" s="134">
        <v>0.68</v>
      </c>
      <c r="Q29" s="134">
        <v>4.6399999999999997</v>
      </c>
    </row>
    <row r="30" spans="1:17" customFormat="1">
      <c r="A30" s="112" t="s">
        <v>1988</v>
      </c>
      <c r="B30" s="134">
        <v>14.42</v>
      </c>
      <c r="C30" s="134">
        <v>24.09</v>
      </c>
      <c r="D30" s="134">
        <v>25.5</v>
      </c>
      <c r="E30" s="134">
        <v>7.28</v>
      </c>
      <c r="F30" s="134">
        <v>2.79</v>
      </c>
      <c r="G30" s="134">
        <v>65.819999999999993</v>
      </c>
      <c r="H30" s="134">
        <v>28.34</v>
      </c>
      <c r="I30" s="134">
        <v>7.67</v>
      </c>
      <c r="J30" s="134">
        <v>0.13</v>
      </c>
      <c r="K30" s="134">
        <v>30.69</v>
      </c>
      <c r="L30" s="134">
        <v>19.21</v>
      </c>
      <c r="M30" s="134">
        <v>91.52</v>
      </c>
      <c r="N30" s="134">
        <v>0</v>
      </c>
      <c r="O30" s="134">
        <v>0</v>
      </c>
      <c r="P30" s="134">
        <v>0.68</v>
      </c>
      <c r="Q30" s="134">
        <v>4.6100000000000003</v>
      </c>
    </row>
    <row r="31" spans="1:17" customFormat="1">
      <c r="A31" s="112" t="s">
        <v>1989</v>
      </c>
      <c r="B31" s="134">
        <v>13.86</v>
      </c>
      <c r="C31" s="134">
        <v>24.79</v>
      </c>
      <c r="D31" s="134">
        <v>25.41</v>
      </c>
      <c r="E31" s="134">
        <v>6.91</v>
      </c>
      <c r="F31" s="134">
        <v>2.62</v>
      </c>
      <c r="G31" s="134">
        <v>67.2</v>
      </c>
      <c r="H31" s="134">
        <v>28.34</v>
      </c>
      <c r="I31" s="134">
        <v>7.58</v>
      </c>
      <c r="J31" s="134">
        <v>0.03</v>
      </c>
      <c r="K31" s="134">
        <v>3.89</v>
      </c>
      <c r="L31" s="134">
        <v>19.14</v>
      </c>
      <c r="M31" s="134">
        <v>92.1</v>
      </c>
      <c r="N31" s="134">
        <v>0</v>
      </c>
      <c r="O31" s="134">
        <v>0</v>
      </c>
      <c r="P31" s="134">
        <v>0.68</v>
      </c>
      <c r="Q31" s="134">
        <v>4.62</v>
      </c>
    </row>
    <row r="32" spans="1:17" customFormat="1">
      <c r="A32" s="112" t="s">
        <v>1990</v>
      </c>
      <c r="B32" s="134">
        <v>14.05</v>
      </c>
      <c r="C32" s="134">
        <v>25.08</v>
      </c>
      <c r="D32" s="134">
        <v>25.72</v>
      </c>
      <c r="E32" s="134">
        <v>7.25</v>
      </c>
      <c r="F32" s="134">
        <v>2.63</v>
      </c>
      <c r="G32" s="134">
        <v>67.2</v>
      </c>
      <c r="H32" s="134">
        <v>28.34</v>
      </c>
      <c r="I32" s="134">
        <v>7.52</v>
      </c>
      <c r="J32" s="134">
        <v>0.11</v>
      </c>
      <c r="K32" s="134">
        <v>72.319999999999993</v>
      </c>
      <c r="L32" s="134">
        <v>19.09</v>
      </c>
      <c r="M32" s="134">
        <v>92.16</v>
      </c>
      <c r="N32" s="134">
        <v>0</v>
      </c>
      <c r="O32" s="134">
        <v>0</v>
      </c>
      <c r="P32" s="134">
        <v>0.68</v>
      </c>
      <c r="Q32" s="134">
        <v>4.62</v>
      </c>
    </row>
    <row r="33" spans="1:17" customFormat="1">
      <c r="A33" s="112" t="s">
        <v>1991</v>
      </c>
      <c r="B33" s="134">
        <v>14.12</v>
      </c>
      <c r="C33" s="134">
        <v>25.26</v>
      </c>
      <c r="D33" s="134">
        <v>25.87</v>
      </c>
      <c r="E33" s="134">
        <v>7.27</v>
      </c>
      <c r="F33" s="134">
        <v>2.76</v>
      </c>
      <c r="G33" s="134">
        <v>67.2</v>
      </c>
      <c r="H33" s="134">
        <v>28.34</v>
      </c>
      <c r="I33" s="134">
        <v>7.42</v>
      </c>
      <c r="J33" s="134">
        <v>0.06</v>
      </c>
      <c r="K33" s="134">
        <v>58.79</v>
      </c>
      <c r="L33" s="134">
        <v>19.100000000000001</v>
      </c>
      <c r="M33" s="134">
        <v>92.29</v>
      </c>
      <c r="N33" s="134">
        <v>0</v>
      </c>
      <c r="O33" s="134">
        <v>0</v>
      </c>
      <c r="P33" s="134">
        <v>0.68</v>
      </c>
      <c r="Q33" s="134">
        <v>4.63</v>
      </c>
    </row>
    <row r="34" spans="1:17" customFormat="1">
      <c r="A34" s="112" t="s">
        <v>1992</v>
      </c>
      <c r="B34" s="134">
        <v>14.23</v>
      </c>
      <c r="C34" s="134">
        <v>25.65</v>
      </c>
      <c r="D34" s="134">
        <v>26.16</v>
      </c>
      <c r="E34" s="134">
        <v>7.48</v>
      </c>
      <c r="F34" s="134">
        <v>2.67</v>
      </c>
      <c r="G34" s="134">
        <v>69.73</v>
      </c>
      <c r="H34" s="134">
        <v>29.07</v>
      </c>
      <c r="I34" s="134">
        <v>7.34</v>
      </c>
      <c r="J34" s="134">
        <v>0.12</v>
      </c>
      <c r="K34" s="134">
        <v>90.94</v>
      </c>
      <c r="L34" s="134">
        <v>19.329999999999998</v>
      </c>
      <c r="M34" s="134">
        <v>91.96</v>
      </c>
      <c r="N34" s="134">
        <v>1.1000000000000001</v>
      </c>
      <c r="O34" s="134">
        <v>0</v>
      </c>
      <c r="P34" s="134">
        <v>0.69</v>
      </c>
      <c r="Q34" s="134">
        <v>4.62</v>
      </c>
    </row>
    <row r="35" spans="1:17" customFormat="1">
      <c r="A35" s="112" t="s">
        <v>1993</v>
      </c>
      <c r="B35" s="134">
        <v>14.09</v>
      </c>
      <c r="C35" s="134">
        <v>25.8</v>
      </c>
      <c r="D35" s="134">
        <v>26.13</v>
      </c>
      <c r="E35" s="134">
        <v>7.53</v>
      </c>
      <c r="F35" s="134">
        <v>2.78</v>
      </c>
      <c r="G35" s="134">
        <v>70.239999999999995</v>
      </c>
      <c r="H35" s="134">
        <v>29.07</v>
      </c>
      <c r="I35" s="134">
        <v>7.28</v>
      </c>
      <c r="J35" s="134">
        <v>0.13</v>
      </c>
      <c r="K35" s="134">
        <v>162.53</v>
      </c>
      <c r="L35" s="134">
        <v>19.510000000000002</v>
      </c>
      <c r="M35" s="134">
        <v>91.28</v>
      </c>
      <c r="N35" s="134">
        <v>9.3000000000000007</v>
      </c>
      <c r="O35" s="134">
        <v>0</v>
      </c>
      <c r="P35" s="134">
        <v>0.68</v>
      </c>
      <c r="Q35" s="134">
        <v>4.6399999999999997</v>
      </c>
    </row>
    <row r="36" spans="1:17" customFormat="1">
      <c r="A36" s="112" t="s">
        <v>1994</v>
      </c>
      <c r="B36" s="134">
        <v>13.55</v>
      </c>
      <c r="C36" s="134">
        <v>26.04</v>
      </c>
      <c r="D36" s="134">
        <v>25.82</v>
      </c>
      <c r="E36" s="134">
        <v>7.58</v>
      </c>
      <c r="F36" s="134">
        <v>2.73</v>
      </c>
      <c r="G36" s="134">
        <v>70.239999999999995</v>
      </c>
      <c r="H36" s="134">
        <v>29.07</v>
      </c>
      <c r="I36" s="134">
        <v>7.27</v>
      </c>
      <c r="J36" s="134">
        <v>0.1</v>
      </c>
      <c r="K36" s="134">
        <v>82.86</v>
      </c>
      <c r="L36" s="134">
        <v>19.97</v>
      </c>
      <c r="M36" s="134">
        <v>89.13</v>
      </c>
      <c r="N36" s="134">
        <v>21</v>
      </c>
      <c r="O36" s="134">
        <v>0</v>
      </c>
      <c r="P36" s="134">
        <v>0.69</v>
      </c>
      <c r="Q36" s="134">
        <v>4.63</v>
      </c>
    </row>
    <row r="37" spans="1:17" customFormat="1">
      <c r="A37" s="112" t="s">
        <v>1995</v>
      </c>
      <c r="B37" s="134">
        <v>13.22</v>
      </c>
      <c r="C37" s="134">
        <v>26.57</v>
      </c>
      <c r="D37" s="134">
        <v>25.84</v>
      </c>
      <c r="E37" s="134">
        <v>7.92</v>
      </c>
      <c r="F37" s="134">
        <v>2.67</v>
      </c>
      <c r="G37" s="134">
        <v>70.239999999999995</v>
      </c>
      <c r="H37" s="134">
        <v>29.07</v>
      </c>
      <c r="I37" s="134">
        <v>7.24</v>
      </c>
      <c r="J37" s="134">
        <v>0.24</v>
      </c>
      <c r="K37" s="134">
        <v>55.96</v>
      </c>
      <c r="L37" s="134">
        <v>20.34</v>
      </c>
      <c r="M37" s="134">
        <v>87.98</v>
      </c>
      <c r="N37" s="134">
        <v>34.6</v>
      </c>
      <c r="O37" s="134">
        <v>0</v>
      </c>
      <c r="P37" s="134">
        <v>0.7</v>
      </c>
      <c r="Q37" s="134">
        <v>4.62</v>
      </c>
    </row>
    <row r="38" spans="1:17" customFormat="1">
      <c r="A38" s="112" t="s">
        <v>1996</v>
      </c>
      <c r="B38" s="134">
        <v>12.54</v>
      </c>
      <c r="C38" s="134">
        <v>27</v>
      </c>
      <c r="D38" s="134">
        <v>25.51</v>
      </c>
      <c r="E38" s="134">
        <v>7.89</v>
      </c>
      <c r="F38" s="134">
        <v>2.77</v>
      </c>
      <c r="G38" s="134">
        <v>63.09</v>
      </c>
      <c r="H38" s="134">
        <v>29.15</v>
      </c>
      <c r="I38" s="134">
        <v>7.2</v>
      </c>
      <c r="J38" s="134">
        <v>0.19</v>
      </c>
      <c r="K38" s="134">
        <v>72.510000000000005</v>
      </c>
      <c r="L38" s="134">
        <v>20.99</v>
      </c>
      <c r="M38" s="134">
        <v>85.5</v>
      </c>
      <c r="N38" s="134">
        <v>46.8</v>
      </c>
      <c r="O38" s="134">
        <v>0</v>
      </c>
      <c r="P38" s="134">
        <v>0.69</v>
      </c>
      <c r="Q38" s="134">
        <v>4.6100000000000003</v>
      </c>
    </row>
    <row r="39" spans="1:17" customFormat="1">
      <c r="A39" s="112" t="s">
        <v>1997</v>
      </c>
      <c r="B39" s="134">
        <v>11.71</v>
      </c>
      <c r="C39" s="134">
        <v>27.08</v>
      </c>
      <c r="D39" s="134">
        <v>24.89</v>
      </c>
      <c r="E39" s="134">
        <v>7.46</v>
      </c>
      <c r="F39" s="134">
        <v>2.93</v>
      </c>
      <c r="G39" s="134">
        <v>61.66</v>
      </c>
      <c r="H39" s="134">
        <v>29.15</v>
      </c>
      <c r="I39" s="134">
        <v>7.12</v>
      </c>
      <c r="J39" s="134">
        <v>0.28000000000000003</v>
      </c>
      <c r="K39" s="134">
        <v>72.3</v>
      </c>
      <c r="L39" s="134">
        <v>21.56</v>
      </c>
      <c r="M39" s="134">
        <v>83.87</v>
      </c>
      <c r="N39" s="134">
        <v>91.9</v>
      </c>
      <c r="O39" s="134">
        <v>0</v>
      </c>
      <c r="P39" s="134">
        <v>0.68</v>
      </c>
      <c r="Q39" s="134">
        <v>4.5999999999999996</v>
      </c>
    </row>
    <row r="40" spans="1:17" customFormat="1">
      <c r="A40" s="112" t="s">
        <v>1998</v>
      </c>
      <c r="B40" s="134">
        <v>11.04</v>
      </c>
      <c r="C40" s="134">
        <v>26.92</v>
      </c>
      <c r="D40" s="134">
        <v>24.27</v>
      </c>
      <c r="E40" s="134">
        <v>7.7</v>
      </c>
      <c r="F40" s="134">
        <v>2.84</v>
      </c>
      <c r="G40" s="134">
        <v>61.66</v>
      </c>
      <c r="H40" s="134">
        <v>29.15</v>
      </c>
      <c r="I40" s="134">
        <v>7.04</v>
      </c>
      <c r="J40" s="134">
        <v>0.38</v>
      </c>
      <c r="K40" s="134">
        <v>45.82</v>
      </c>
      <c r="L40" s="134">
        <v>22.32</v>
      </c>
      <c r="M40" s="134">
        <v>80.98</v>
      </c>
      <c r="N40" s="134">
        <v>168.5</v>
      </c>
      <c r="O40" s="134">
        <v>0</v>
      </c>
      <c r="P40" s="134">
        <v>0.7</v>
      </c>
      <c r="Q40" s="134">
        <v>4.55</v>
      </c>
    </row>
    <row r="41" spans="1:17" customFormat="1">
      <c r="A41" s="112" t="s">
        <v>1999</v>
      </c>
      <c r="B41" s="134">
        <v>10.31</v>
      </c>
      <c r="C41" s="134">
        <v>27.11</v>
      </c>
      <c r="D41" s="134">
        <v>23.78</v>
      </c>
      <c r="E41" s="134">
        <v>8.02</v>
      </c>
      <c r="F41" s="134">
        <v>3.09</v>
      </c>
      <c r="G41" s="134">
        <v>61.66</v>
      </c>
      <c r="H41" s="134">
        <v>29.15</v>
      </c>
      <c r="I41" s="134">
        <v>7.02</v>
      </c>
      <c r="J41" s="134">
        <v>0.53</v>
      </c>
      <c r="K41" s="134">
        <v>52.33</v>
      </c>
      <c r="L41" s="134">
        <v>22.85</v>
      </c>
      <c r="M41" s="134">
        <v>77.930000000000007</v>
      </c>
      <c r="N41" s="134">
        <v>200.5</v>
      </c>
      <c r="O41" s="134">
        <v>0</v>
      </c>
      <c r="P41" s="134">
        <v>0.69</v>
      </c>
      <c r="Q41" s="134">
        <v>4.53</v>
      </c>
    </row>
    <row r="42" spans="1:17" customFormat="1">
      <c r="A42" s="112" t="s">
        <v>2000</v>
      </c>
      <c r="B42" s="134">
        <v>9.5299999999999994</v>
      </c>
      <c r="C42" s="134">
        <v>27.02</v>
      </c>
      <c r="D42" s="134">
        <v>23.11</v>
      </c>
      <c r="E42" s="134">
        <v>8.01</v>
      </c>
      <c r="F42" s="134">
        <v>3.19</v>
      </c>
      <c r="G42" s="134">
        <v>63.35</v>
      </c>
      <c r="H42" s="134">
        <v>28.25</v>
      </c>
      <c r="I42" s="134">
        <v>6.97</v>
      </c>
      <c r="J42" s="134">
        <v>0.4</v>
      </c>
      <c r="K42" s="134">
        <v>46.77</v>
      </c>
      <c r="L42" s="134">
        <v>23.64</v>
      </c>
      <c r="M42" s="134">
        <v>74.599999999999994</v>
      </c>
      <c r="N42" s="134">
        <v>234.2</v>
      </c>
      <c r="O42" s="134">
        <v>0</v>
      </c>
      <c r="P42" s="134">
        <v>0.69</v>
      </c>
      <c r="Q42" s="134">
        <v>4.49</v>
      </c>
    </row>
    <row r="43" spans="1:17" customFormat="1">
      <c r="A43" s="112" t="s">
        <v>2001</v>
      </c>
      <c r="B43" s="134">
        <v>8.6999999999999993</v>
      </c>
      <c r="C43" s="134">
        <v>26.93</v>
      </c>
      <c r="D43" s="134">
        <v>22.4</v>
      </c>
      <c r="E43" s="134">
        <v>8.25</v>
      </c>
      <c r="F43" s="134">
        <v>3.13</v>
      </c>
      <c r="G43" s="134">
        <v>63.69</v>
      </c>
      <c r="H43" s="134">
        <v>28.25</v>
      </c>
      <c r="I43" s="134">
        <v>6.92</v>
      </c>
      <c r="J43" s="134">
        <v>0.54</v>
      </c>
      <c r="K43" s="134">
        <v>42.5</v>
      </c>
      <c r="L43" s="134">
        <v>24.49</v>
      </c>
      <c r="M43" s="134">
        <v>72.25</v>
      </c>
      <c r="N43" s="134">
        <v>271.3</v>
      </c>
      <c r="O43" s="134">
        <v>0</v>
      </c>
      <c r="P43" s="134">
        <v>0.69</v>
      </c>
      <c r="Q43" s="134">
        <v>4.47</v>
      </c>
    </row>
    <row r="44" spans="1:17" customFormat="1">
      <c r="A44" s="112" t="s">
        <v>2002</v>
      </c>
      <c r="B44" s="134">
        <v>8.09</v>
      </c>
      <c r="C44" s="134">
        <v>26.78</v>
      </c>
      <c r="D44" s="134">
        <v>21.83</v>
      </c>
      <c r="E44" s="134">
        <v>7.77</v>
      </c>
      <c r="F44" s="134">
        <v>3.27</v>
      </c>
      <c r="G44" s="134">
        <v>63.69</v>
      </c>
      <c r="H44" s="134">
        <v>28.25</v>
      </c>
      <c r="I44" s="134">
        <v>6.91</v>
      </c>
      <c r="J44" s="134">
        <v>0.65</v>
      </c>
      <c r="K44" s="134">
        <v>40.9</v>
      </c>
      <c r="L44" s="134">
        <v>25.04</v>
      </c>
      <c r="M44" s="134">
        <v>70.77</v>
      </c>
      <c r="N44" s="134">
        <v>303.60000000000002</v>
      </c>
      <c r="O44" s="134">
        <v>0</v>
      </c>
      <c r="P44" s="134">
        <v>0.7</v>
      </c>
      <c r="Q44" s="134">
        <v>4.42</v>
      </c>
    </row>
    <row r="45" spans="1:17" customFormat="1">
      <c r="A45" s="112" t="s">
        <v>2003</v>
      </c>
      <c r="B45" s="134">
        <v>7.47</v>
      </c>
      <c r="C45" s="134">
        <v>26.72</v>
      </c>
      <c r="D45" s="134">
        <v>21.31</v>
      </c>
      <c r="E45" s="134">
        <v>7.72</v>
      </c>
      <c r="F45" s="134">
        <v>3.33</v>
      </c>
      <c r="G45" s="134">
        <v>63.69</v>
      </c>
      <c r="H45" s="134">
        <v>28.25</v>
      </c>
      <c r="I45" s="134">
        <v>6.9</v>
      </c>
      <c r="J45" s="134">
        <v>0.31</v>
      </c>
      <c r="K45" s="134">
        <v>73.08</v>
      </c>
      <c r="L45" s="134">
        <v>25.99</v>
      </c>
      <c r="M45" s="134">
        <v>67.819999999999993</v>
      </c>
      <c r="N45" s="134">
        <v>284.10000000000002</v>
      </c>
      <c r="O45" s="134">
        <v>0</v>
      </c>
      <c r="P45" s="134">
        <v>0.7</v>
      </c>
      <c r="Q45" s="134">
        <v>4.42</v>
      </c>
    </row>
    <row r="46" spans="1:17" customFormat="1">
      <c r="A46" s="112" t="s">
        <v>2004</v>
      </c>
      <c r="B46" s="134">
        <v>6.59</v>
      </c>
      <c r="C46" s="134">
        <v>26.44</v>
      </c>
      <c r="D46" s="134">
        <v>20.440000000000001</v>
      </c>
      <c r="E46" s="134">
        <v>7.94</v>
      </c>
      <c r="F46" s="134">
        <v>3.7</v>
      </c>
      <c r="G46" s="134">
        <v>65.48</v>
      </c>
      <c r="H46" s="134">
        <v>29.9</v>
      </c>
      <c r="I46" s="134">
        <v>6.97</v>
      </c>
      <c r="J46" s="134">
        <v>0.28000000000000003</v>
      </c>
      <c r="K46" s="134">
        <v>88.19</v>
      </c>
      <c r="L46" s="134">
        <v>26.68</v>
      </c>
      <c r="M46" s="134">
        <v>64.95</v>
      </c>
      <c r="N46" s="134">
        <v>254.6</v>
      </c>
      <c r="O46" s="134">
        <v>0</v>
      </c>
      <c r="P46" s="134">
        <v>0.69</v>
      </c>
      <c r="Q46" s="134">
        <v>4.3899999999999997</v>
      </c>
    </row>
    <row r="47" spans="1:17" customFormat="1">
      <c r="A47" s="112" t="s">
        <v>2005</v>
      </c>
      <c r="B47" s="134">
        <v>5.82</v>
      </c>
      <c r="C47" s="134">
        <v>26.38</v>
      </c>
      <c r="D47" s="134">
        <v>19.8</v>
      </c>
      <c r="E47" s="134">
        <v>7.9</v>
      </c>
      <c r="F47" s="134">
        <v>3.67</v>
      </c>
      <c r="G47" s="134">
        <v>65.84</v>
      </c>
      <c r="H47" s="134">
        <v>29.9</v>
      </c>
      <c r="I47" s="134">
        <v>6.9</v>
      </c>
      <c r="J47" s="134">
        <v>0.44</v>
      </c>
      <c r="K47" s="134">
        <v>64.39</v>
      </c>
      <c r="L47" s="134">
        <v>26.96</v>
      </c>
      <c r="M47" s="134">
        <v>64.69</v>
      </c>
      <c r="N47" s="134">
        <v>395.8</v>
      </c>
      <c r="O47" s="134">
        <v>0</v>
      </c>
      <c r="P47" s="134">
        <v>0.69</v>
      </c>
      <c r="Q47" s="134">
        <v>4.32</v>
      </c>
    </row>
    <row r="48" spans="1:17" customFormat="1">
      <c r="A48" s="112" t="s">
        <v>2006</v>
      </c>
      <c r="B48" s="134">
        <v>5.62</v>
      </c>
      <c r="C48" s="134">
        <v>23.47</v>
      </c>
      <c r="D48" s="134">
        <v>18.12</v>
      </c>
      <c r="E48" s="134">
        <v>7.22</v>
      </c>
      <c r="F48" s="134">
        <v>3.87</v>
      </c>
      <c r="G48" s="134">
        <v>65.84</v>
      </c>
      <c r="H48" s="134">
        <v>29.9</v>
      </c>
      <c r="I48" s="134">
        <v>6.8</v>
      </c>
      <c r="J48" s="134">
        <v>0.38</v>
      </c>
      <c r="K48" s="134">
        <v>82.43</v>
      </c>
      <c r="L48" s="134">
        <v>27.38</v>
      </c>
      <c r="M48" s="134">
        <v>64.05</v>
      </c>
      <c r="N48" s="134">
        <v>423.6</v>
      </c>
      <c r="O48" s="134">
        <v>0</v>
      </c>
      <c r="P48" s="134">
        <v>0.66</v>
      </c>
      <c r="Q48" s="134">
        <v>4.29</v>
      </c>
    </row>
    <row r="49" spans="1:17" customFormat="1">
      <c r="A49" s="112" t="s">
        <v>2007</v>
      </c>
      <c r="B49" s="134">
        <v>5.69</v>
      </c>
      <c r="C49" s="134">
        <v>21.03</v>
      </c>
      <c r="D49" s="134">
        <v>16.899999999999999</v>
      </c>
      <c r="E49" s="134">
        <v>5.42</v>
      </c>
      <c r="F49" s="134">
        <v>3.99</v>
      </c>
      <c r="G49" s="134">
        <v>65.84</v>
      </c>
      <c r="H49" s="134">
        <v>29.9</v>
      </c>
      <c r="I49" s="134">
        <v>6.7</v>
      </c>
      <c r="J49" s="134">
        <v>0.28999999999999998</v>
      </c>
      <c r="K49" s="134">
        <v>92.53</v>
      </c>
      <c r="L49" s="134">
        <v>27.75</v>
      </c>
      <c r="M49" s="134">
        <v>61.83</v>
      </c>
      <c r="N49" s="134">
        <v>457.6</v>
      </c>
      <c r="O49" s="134">
        <v>0</v>
      </c>
      <c r="P49" s="134">
        <v>0.64</v>
      </c>
      <c r="Q49" s="134">
        <v>4.2699999999999996</v>
      </c>
    </row>
    <row r="50" spans="1:17" customFormat="1">
      <c r="A50" s="112" t="s">
        <v>2008</v>
      </c>
      <c r="B50" s="134">
        <v>5.75</v>
      </c>
      <c r="C50" s="134">
        <v>19.75</v>
      </c>
      <c r="D50" s="134">
        <v>16.29</v>
      </c>
      <c r="E50" s="134">
        <v>6.23</v>
      </c>
      <c r="F50" s="134">
        <v>4.54</v>
      </c>
      <c r="G50" s="134">
        <v>61.9</v>
      </c>
      <c r="H50" s="134">
        <v>28.06</v>
      </c>
      <c r="I50" s="134">
        <v>6.66</v>
      </c>
      <c r="J50" s="134">
        <v>0.33</v>
      </c>
      <c r="K50" s="134">
        <v>56.93</v>
      </c>
      <c r="L50" s="134">
        <v>28.1</v>
      </c>
      <c r="M50" s="134">
        <v>58.81</v>
      </c>
      <c r="N50" s="134">
        <v>472.8</v>
      </c>
      <c r="O50" s="134">
        <v>0</v>
      </c>
      <c r="P50" s="134">
        <v>0.63</v>
      </c>
      <c r="Q50" s="134">
        <v>4.2300000000000004</v>
      </c>
    </row>
    <row r="51" spans="1:17" customFormat="1">
      <c r="A51" s="112" t="s">
        <v>2009</v>
      </c>
      <c r="B51" s="134">
        <v>5.56</v>
      </c>
      <c r="C51" s="134">
        <v>19.489999999999998</v>
      </c>
      <c r="D51" s="134">
        <v>15.99</v>
      </c>
      <c r="E51" s="134">
        <v>6.27</v>
      </c>
      <c r="F51" s="134">
        <v>5.03</v>
      </c>
      <c r="G51" s="134">
        <v>61.11</v>
      </c>
      <c r="H51" s="134">
        <v>28.06</v>
      </c>
      <c r="I51" s="134">
        <v>6.59</v>
      </c>
      <c r="J51" s="134">
        <v>0.28999999999999998</v>
      </c>
      <c r="K51" s="134">
        <v>154.91</v>
      </c>
      <c r="L51" s="134">
        <v>28.71</v>
      </c>
      <c r="M51" s="134">
        <v>56.55</v>
      </c>
      <c r="N51" s="134">
        <v>495.3</v>
      </c>
      <c r="O51" s="134">
        <v>0</v>
      </c>
      <c r="P51" s="134">
        <v>0.62</v>
      </c>
      <c r="Q51" s="134">
        <v>4.2300000000000004</v>
      </c>
    </row>
    <row r="52" spans="1:17" customFormat="1">
      <c r="A52" s="112" t="s">
        <v>2010</v>
      </c>
      <c r="B52" s="134">
        <v>5.42</v>
      </c>
      <c r="C52" s="134">
        <v>19.059999999999999</v>
      </c>
      <c r="D52" s="134">
        <v>15.66</v>
      </c>
      <c r="E52" s="134">
        <v>5.83</v>
      </c>
      <c r="F52" s="134">
        <v>4.29</v>
      </c>
      <c r="G52" s="134">
        <v>61.11</v>
      </c>
      <c r="H52" s="134">
        <v>28.06</v>
      </c>
      <c r="I52" s="134">
        <v>6.49</v>
      </c>
      <c r="J52" s="134">
        <v>0.49</v>
      </c>
      <c r="K52" s="134">
        <v>49.2</v>
      </c>
      <c r="L52" s="134">
        <v>28.94</v>
      </c>
      <c r="M52" s="134">
        <v>56.5</v>
      </c>
      <c r="N52" s="134">
        <v>444.6</v>
      </c>
      <c r="O52" s="134">
        <v>0</v>
      </c>
      <c r="P52" s="134">
        <v>0.61</v>
      </c>
      <c r="Q52" s="134">
        <v>4.21</v>
      </c>
    </row>
    <row r="53" spans="1:17" customFormat="1">
      <c r="A53" s="112" t="s">
        <v>2011</v>
      </c>
      <c r="B53" s="134">
        <v>5.3</v>
      </c>
      <c r="C53" s="134">
        <v>18.68</v>
      </c>
      <c r="D53" s="134">
        <v>15.36</v>
      </c>
      <c r="E53" s="134">
        <v>5.94</v>
      </c>
      <c r="F53" s="134">
        <v>5.0999999999999996</v>
      </c>
      <c r="G53" s="134">
        <v>61.11</v>
      </c>
      <c r="H53" s="134">
        <v>28.06</v>
      </c>
      <c r="I53" s="134">
        <v>6.43</v>
      </c>
      <c r="J53" s="134">
        <v>0.56000000000000005</v>
      </c>
      <c r="K53" s="134">
        <v>43.13</v>
      </c>
      <c r="L53" s="134">
        <v>29.1</v>
      </c>
      <c r="M53" s="134">
        <v>56.26</v>
      </c>
      <c r="N53" s="134">
        <v>530.1</v>
      </c>
      <c r="O53" s="134">
        <v>0</v>
      </c>
      <c r="P53" s="134">
        <v>0.61</v>
      </c>
      <c r="Q53" s="134">
        <v>4.2</v>
      </c>
    </row>
    <row r="54" spans="1:17" customFormat="1">
      <c r="A54" s="112" t="s">
        <v>2012</v>
      </c>
      <c r="B54" s="134">
        <v>5.31</v>
      </c>
      <c r="C54" s="134">
        <v>18.170000000000002</v>
      </c>
      <c r="D54" s="134">
        <v>15.1</v>
      </c>
      <c r="E54" s="134">
        <v>7.65</v>
      </c>
      <c r="F54" s="134">
        <v>6.61</v>
      </c>
      <c r="G54" s="134">
        <v>57.98</v>
      </c>
      <c r="H54" s="134">
        <v>25.53</v>
      </c>
      <c r="I54" s="134">
        <v>6.34</v>
      </c>
      <c r="J54" s="134">
        <v>0.68</v>
      </c>
      <c r="K54" s="134">
        <v>51.73</v>
      </c>
      <c r="L54" s="134">
        <v>29.25</v>
      </c>
      <c r="M54" s="134">
        <v>54.07</v>
      </c>
      <c r="N54" s="134">
        <v>476.2</v>
      </c>
      <c r="O54" s="134">
        <v>0</v>
      </c>
      <c r="P54" s="134">
        <v>0.6</v>
      </c>
      <c r="Q54" s="134">
        <v>4.2</v>
      </c>
    </row>
    <row r="55" spans="1:17" customFormat="1">
      <c r="A55" s="112" t="s">
        <v>2013</v>
      </c>
      <c r="B55" s="134">
        <v>5.22</v>
      </c>
      <c r="C55" s="134">
        <v>18.16</v>
      </c>
      <c r="D55" s="134">
        <v>15.03</v>
      </c>
      <c r="E55" s="134">
        <v>6.07</v>
      </c>
      <c r="F55" s="134">
        <v>4.45</v>
      </c>
      <c r="G55" s="134">
        <v>57.36</v>
      </c>
      <c r="H55" s="134">
        <v>25.53</v>
      </c>
      <c r="I55" s="134">
        <v>6.24</v>
      </c>
      <c r="J55" s="134">
        <v>0.13</v>
      </c>
      <c r="K55" s="134">
        <v>107.54</v>
      </c>
      <c r="L55" s="134">
        <v>29.12</v>
      </c>
      <c r="M55" s="134">
        <v>54.01</v>
      </c>
      <c r="N55" s="134">
        <v>338.5</v>
      </c>
      <c r="O55" s="134">
        <v>0</v>
      </c>
      <c r="P55" s="134">
        <v>0.6</v>
      </c>
      <c r="Q55" s="134">
        <v>4.21</v>
      </c>
    </row>
    <row r="56" spans="1:17" customFormat="1">
      <c r="A56" s="112" t="s">
        <v>2014</v>
      </c>
      <c r="B56" s="134">
        <v>5.18</v>
      </c>
      <c r="C56" s="134">
        <v>17.75</v>
      </c>
      <c r="D56" s="134">
        <v>14.78</v>
      </c>
      <c r="E56" s="134">
        <v>6.46</v>
      </c>
      <c r="F56" s="134">
        <v>5.32</v>
      </c>
      <c r="G56" s="134">
        <v>57.36</v>
      </c>
      <c r="H56" s="134">
        <v>25.53</v>
      </c>
      <c r="I56" s="134">
        <v>6.16</v>
      </c>
      <c r="J56" s="134">
        <v>0.68</v>
      </c>
      <c r="K56" s="134">
        <v>37.64</v>
      </c>
      <c r="L56" s="134">
        <v>29.44</v>
      </c>
      <c r="M56" s="134">
        <v>51.04</v>
      </c>
      <c r="N56" s="134">
        <v>475.1</v>
      </c>
      <c r="O56" s="134">
        <v>0</v>
      </c>
      <c r="P56" s="134">
        <v>0.59</v>
      </c>
      <c r="Q56" s="134">
        <v>4.1900000000000004</v>
      </c>
    </row>
    <row r="57" spans="1:17" customFormat="1">
      <c r="A57" s="112" t="s">
        <v>2015</v>
      </c>
      <c r="B57" s="134">
        <v>5.17</v>
      </c>
      <c r="C57" s="134">
        <v>17.899999999999999</v>
      </c>
      <c r="D57" s="134">
        <v>14.85</v>
      </c>
      <c r="E57" s="134">
        <v>6.11</v>
      </c>
      <c r="F57" s="134">
        <v>4.76</v>
      </c>
      <c r="G57" s="134">
        <v>57.36</v>
      </c>
      <c r="H57" s="134">
        <v>25.53</v>
      </c>
      <c r="I57" s="134">
        <v>6.12</v>
      </c>
      <c r="J57" s="134">
        <v>0.28999999999999998</v>
      </c>
      <c r="K57" s="134">
        <v>71.97</v>
      </c>
      <c r="L57" s="134">
        <v>30.07</v>
      </c>
      <c r="M57" s="134">
        <v>48.28</v>
      </c>
      <c r="N57" s="134">
        <v>477.7</v>
      </c>
      <c r="O57" s="134">
        <v>0</v>
      </c>
      <c r="P57" s="134">
        <v>0.59</v>
      </c>
      <c r="Q57" s="134">
        <v>4.1900000000000004</v>
      </c>
    </row>
    <row r="58" spans="1:17" customFormat="1">
      <c r="A58" s="112" t="s">
        <v>2016</v>
      </c>
      <c r="B58" s="134">
        <v>5.0599999999999996</v>
      </c>
      <c r="C58" s="134">
        <v>17.690000000000001</v>
      </c>
      <c r="D58" s="134">
        <v>14.65</v>
      </c>
      <c r="E58" s="134">
        <v>6.24</v>
      </c>
      <c r="F58" s="134">
        <v>4.99</v>
      </c>
      <c r="G58" s="134">
        <v>52.11</v>
      </c>
      <c r="H58" s="134">
        <v>23.84</v>
      </c>
      <c r="I58" s="134">
        <v>6.02</v>
      </c>
      <c r="J58" s="134">
        <v>0.33</v>
      </c>
      <c r="K58" s="134">
        <v>60.14</v>
      </c>
      <c r="L58" s="134">
        <v>30.05</v>
      </c>
      <c r="M58" s="134">
        <v>47.63</v>
      </c>
      <c r="N58" s="134">
        <v>431.1</v>
      </c>
      <c r="O58" s="134">
        <v>0</v>
      </c>
      <c r="P58" s="134">
        <v>0.57999999999999996</v>
      </c>
      <c r="Q58" s="134">
        <v>4.17</v>
      </c>
    </row>
    <row r="59" spans="1:17" customFormat="1">
      <c r="A59" s="112" t="s">
        <v>2017</v>
      </c>
      <c r="B59" s="134">
        <v>4.9800000000000004</v>
      </c>
      <c r="C59" s="134">
        <v>17.329999999999998</v>
      </c>
      <c r="D59" s="134">
        <v>14.4</v>
      </c>
      <c r="E59" s="134">
        <v>6.96</v>
      </c>
      <c r="F59" s="134">
        <v>4.8899999999999997</v>
      </c>
      <c r="G59" s="134">
        <v>51.06</v>
      </c>
      <c r="H59" s="134">
        <v>23.84</v>
      </c>
      <c r="I59" s="134">
        <v>5.97</v>
      </c>
      <c r="J59" s="134">
        <v>0.26</v>
      </c>
      <c r="K59" s="134">
        <v>90.69</v>
      </c>
      <c r="L59" s="134">
        <v>30.5</v>
      </c>
      <c r="M59" s="134">
        <v>45.55</v>
      </c>
      <c r="N59" s="134">
        <v>525.4</v>
      </c>
      <c r="O59" s="134">
        <v>0</v>
      </c>
      <c r="P59" s="134">
        <v>0.57999999999999996</v>
      </c>
      <c r="Q59" s="134">
        <v>4.17</v>
      </c>
    </row>
    <row r="60" spans="1:17" customFormat="1">
      <c r="A60" s="112" t="s">
        <v>2018</v>
      </c>
      <c r="B60" s="134">
        <v>4.82</v>
      </c>
      <c r="C60" s="134">
        <v>17.309999999999999</v>
      </c>
      <c r="D60" s="134">
        <v>14.26</v>
      </c>
      <c r="E60" s="134">
        <v>6.28</v>
      </c>
      <c r="F60" s="134">
        <v>5.31</v>
      </c>
      <c r="G60" s="134">
        <v>51.06</v>
      </c>
      <c r="H60" s="134">
        <v>23.84</v>
      </c>
      <c r="I60" s="134">
        <v>5.87</v>
      </c>
      <c r="J60" s="134">
        <v>0.32</v>
      </c>
      <c r="K60" s="134">
        <v>87.9</v>
      </c>
      <c r="L60" s="134">
        <v>30.75</v>
      </c>
      <c r="M60" s="134">
        <v>44.5</v>
      </c>
      <c r="N60" s="134">
        <v>324.10000000000002</v>
      </c>
      <c r="O60" s="134">
        <v>0</v>
      </c>
      <c r="P60" s="134">
        <v>0.56000000000000005</v>
      </c>
      <c r="Q60" s="134">
        <v>4.17</v>
      </c>
    </row>
    <row r="61" spans="1:17" customFormat="1">
      <c r="A61" s="112" t="s">
        <v>2019</v>
      </c>
      <c r="B61" s="134">
        <v>4.78</v>
      </c>
      <c r="C61" s="134">
        <v>17.079999999999998</v>
      </c>
      <c r="D61" s="134">
        <v>14.11</v>
      </c>
      <c r="E61" s="134">
        <v>6.02</v>
      </c>
      <c r="F61" s="134">
        <v>4.8600000000000003</v>
      </c>
      <c r="G61" s="134">
        <v>51.06</v>
      </c>
      <c r="H61" s="134">
        <v>23.84</v>
      </c>
      <c r="I61" s="134">
        <v>5.8</v>
      </c>
      <c r="J61" s="134">
        <v>0.36</v>
      </c>
      <c r="K61" s="134">
        <v>64.709999999999994</v>
      </c>
      <c r="L61" s="134">
        <v>30.35</v>
      </c>
      <c r="M61" s="134">
        <v>45.04</v>
      </c>
      <c r="N61" s="134">
        <v>515.70000000000005</v>
      </c>
      <c r="O61" s="134">
        <v>0</v>
      </c>
      <c r="P61" s="134">
        <v>0.56000000000000005</v>
      </c>
      <c r="Q61" s="134">
        <v>4.1399999999999997</v>
      </c>
    </row>
    <row r="62" spans="1:17" customFormat="1">
      <c r="A62" s="112" t="s">
        <v>2020</v>
      </c>
      <c r="B62" s="134">
        <v>4.82</v>
      </c>
      <c r="C62" s="134">
        <v>17.02</v>
      </c>
      <c r="D62" s="134">
        <v>14.11</v>
      </c>
      <c r="E62" s="134">
        <v>6.75</v>
      </c>
      <c r="F62" s="134">
        <v>6.3</v>
      </c>
      <c r="G62" s="134">
        <v>51.13</v>
      </c>
      <c r="H62" s="134">
        <v>24.43</v>
      </c>
      <c r="I62" s="134">
        <v>5.73</v>
      </c>
      <c r="J62" s="134">
        <v>0.33</v>
      </c>
      <c r="K62" s="134">
        <v>70.42</v>
      </c>
      <c r="L62" s="134">
        <v>30.89</v>
      </c>
      <c r="M62" s="134">
        <v>42.79</v>
      </c>
      <c r="N62" s="134">
        <v>501.8</v>
      </c>
      <c r="O62" s="134">
        <v>0</v>
      </c>
      <c r="P62" s="134">
        <v>0.55000000000000004</v>
      </c>
      <c r="Q62" s="134">
        <v>4.16</v>
      </c>
    </row>
    <row r="63" spans="1:17" customFormat="1">
      <c r="A63" s="112" t="s">
        <v>2021</v>
      </c>
      <c r="B63" s="134">
        <v>4.84</v>
      </c>
      <c r="C63" s="134">
        <v>16.95</v>
      </c>
      <c r="D63" s="134">
        <v>14.09</v>
      </c>
      <c r="E63" s="134">
        <v>6.56</v>
      </c>
      <c r="F63" s="134">
        <v>6.98</v>
      </c>
      <c r="G63" s="134">
        <v>51.15</v>
      </c>
      <c r="H63" s="134">
        <v>24.43</v>
      </c>
      <c r="I63" s="134">
        <v>5.63</v>
      </c>
      <c r="J63" s="134">
        <v>0.79</v>
      </c>
      <c r="K63" s="134">
        <v>39.57</v>
      </c>
      <c r="L63" s="134">
        <v>30.55</v>
      </c>
      <c r="M63" s="134">
        <v>44.04</v>
      </c>
      <c r="N63" s="134">
        <v>317</v>
      </c>
      <c r="O63" s="134">
        <v>0</v>
      </c>
      <c r="P63" s="134">
        <v>0.54</v>
      </c>
      <c r="Q63" s="134">
        <v>4.17</v>
      </c>
    </row>
    <row r="64" spans="1:17" customFormat="1">
      <c r="A64" s="112" t="s">
        <v>2022</v>
      </c>
      <c r="B64" s="134">
        <v>4.92</v>
      </c>
      <c r="C64" s="134">
        <v>16.84</v>
      </c>
      <c r="D64" s="134">
        <v>14.09</v>
      </c>
      <c r="E64" s="134">
        <v>6.23</v>
      </c>
      <c r="F64" s="134">
        <v>5.93</v>
      </c>
      <c r="G64" s="134">
        <v>51.15</v>
      </c>
      <c r="H64" s="134">
        <v>24.43</v>
      </c>
      <c r="I64" s="134">
        <v>5.49</v>
      </c>
      <c r="J64" s="134">
        <v>0.34</v>
      </c>
      <c r="K64" s="134">
        <v>64.709999999999994</v>
      </c>
      <c r="L64" s="134">
        <v>29.45</v>
      </c>
      <c r="M64" s="134">
        <v>46.19</v>
      </c>
      <c r="N64" s="134">
        <v>185</v>
      </c>
      <c r="O64" s="134">
        <v>0</v>
      </c>
      <c r="P64" s="134">
        <v>0.54</v>
      </c>
      <c r="Q64" s="134">
        <v>4.16</v>
      </c>
    </row>
    <row r="65" spans="1:17" customFormat="1">
      <c r="A65" s="112" t="s">
        <v>2023</v>
      </c>
      <c r="B65" s="134">
        <v>4.93</v>
      </c>
      <c r="C65" s="134">
        <v>16.46</v>
      </c>
      <c r="D65" s="134">
        <v>13.9</v>
      </c>
      <c r="E65" s="134">
        <v>6.03</v>
      </c>
      <c r="F65" s="134">
        <v>5.24</v>
      </c>
      <c r="G65" s="134">
        <v>51.15</v>
      </c>
      <c r="H65" s="134">
        <v>24.43</v>
      </c>
      <c r="I65" s="134">
        <v>5.43</v>
      </c>
      <c r="J65" s="134">
        <v>0.17</v>
      </c>
      <c r="K65" s="134">
        <v>104.43</v>
      </c>
      <c r="L65" s="134">
        <v>29.82</v>
      </c>
      <c r="M65" s="134">
        <v>43.05</v>
      </c>
      <c r="N65" s="134">
        <v>150</v>
      </c>
      <c r="O65" s="134">
        <v>0</v>
      </c>
      <c r="P65" s="134">
        <v>0.52</v>
      </c>
      <c r="Q65" s="134">
        <v>4.16</v>
      </c>
    </row>
    <row r="66" spans="1:17" customFormat="1">
      <c r="A66" s="112" t="s">
        <v>2024</v>
      </c>
      <c r="B66" s="134">
        <v>4.67</v>
      </c>
      <c r="C66" s="134">
        <v>16.95</v>
      </c>
      <c r="D66" s="134">
        <v>13.95</v>
      </c>
      <c r="E66" s="134">
        <v>5.63</v>
      </c>
      <c r="F66" s="134">
        <v>5.09</v>
      </c>
      <c r="G66" s="134">
        <v>45.99</v>
      </c>
      <c r="H66" s="134">
        <v>20.55</v>
      </c>
      <c r="I66" s="134">
        <v>5.39</v>
      </c>
      <c r="J66" s="134">
        <v>0.17</v>
      </c>
      <c r="K66" s="134">
        <v>115.29</v>
      </c>
      <c r="L66" s="134">
        <v>30.06</v>
      </c>
      <c r="M66" s="134">
        <v>43.81</v>
      </c>
      <c r="N66" s="134">
        <v>148.6</v>
      </c>
      <c r="O66" s="134">
        <v>0</v>
      </c>
      <c r="P66" s="134">
        <v>0.52</v>
      </c>
      <c r="Q66" s="134">
        <v>4.1399999999999997</v>
      </c>
    </row>
    <row r="67" spans="1:17" customFormat="1">
      <c r="A67" s="112" t="s">
        <v>2025</v>
      </c>
      <c r="B67" s="134">
        <v>4.29</v>
      </c>
      <c r="C67" s="134">
        <v>17.55</v>
      </c>
      <c r="D67" s="134">
        <v>13.96</v>
      </c>
      <c r="E67" s="134">
        <v>6.2</v>
      </c>
      <c r="F67" s="134">
        <v>6.18</v>
      </c>
      <c r="G67" s="134">
        <v>44.96</v>
      </c>
      <c r="H67" s="134">
        <v>20.55</v>
      </c>
      <c r="I67" s="134">
        <v>5.31</v>
      </c>
      <c r="J67" s="134">
        <v>0.82</v>
      </c>
      <c r="K67" s="134">
        <v>48.36</v>
      </c>
      <c r="L67" s="134">
        <v>29.47</v>
      </c>
      <c r="M67" s="134">
        <v>45.98</v>
      </c>
      <c r="N67" s="134">
        <v>77.900000000000006</v>
      </c>
      <c r="O67" s="134">
        <v>0</v>
      </c>
      <c r="P67" s="134">
        <v>0.51</v>
      </c>
      <c r="Q67" s="134">
        <v>4.13</v>
      </c>
    </row>
    <row r="68" spans="1:17" customFormat="1">
      <c r="A68" s="112" t="s">
        <v>2026</v>
      </c>
      <c r="B68" s="134">
        <v>4.18</v>
      </c>
      <c r="C68" s="134">
        <v>18.14</v>
      </c>
      <c r="D68" s="134">
        <v>14.18</v>
      </c>
      <c r="E68" s="134">
        <v>6.21</v>
      </c>
      <c r="F68" s="134">
        <v>5.52</v>
      </c>
      <c r="G68" s="134">
        <v>44.96</v>
      </c>
      <c r="H68" s="134">
        <v>20.55</v>
      </c>
      <c r="I68" s="134">
        <v>5.21</v>
      </c>
      <c r="J68" s="134">
        <v>0.32</v>
      </c>
      <c r="K68" s="134">
        <v>64.05</v>
      </c>
      <c r="L68" s="134">
        <v>28.96</v>
      </c>
      <c r="M68" s="134">
        <v>47.77</v>
      </c>
      <c r="N68" s="134">
        <v>72.099999999999994</v>
      </c>
      <c r="O68" s="134">
        <v>0</v>
      </c>
      <c r="P68" s="134">
        <v>0.51</v>
      </c>
      <c r="Q68" s="134">
        <v>4.1500000000000004</v>
      </c>
    </row>
    <row r="69" spans="1:17" customFormat="1">
      <c r="A69" s="112" t="s">
        <v>2027</v>
      </c>
      <c r="B69" s="134">
        <v>4.1399999999999997</v>
      </c>
      <c r="C69" s="134">
        <v>19.03</v>
      </c>
      <c r="D69" s="134">
        <v>14.61</v>
      </c>
      <c r="E69" s="134">
        <v>6.13</v>
      </c>
      <c r="F69" s="134">
        <v>5.4</v>
      </c>
      <c r="G69" s="134">
        <v>44.96</v>
      </c>
      <c r="H69" s="134">
        <v>20.55</v>
      </c>
      <c r="I69" s="134">
        <v>5.0199999999999996</v>
      </c>
      <c r="J69" s="134">
        <v>0.22</v>
      </c>
      <c r="K69" s="134">
        <v>122.32</v>
      </c>
      <c r="L69" s="134">
        <v>29.34</v>
      </c>
      <c r="M69" s="134">
        <v>45.21</v>
      </c>
      <c r="N69" s="134">
        <v>79.3</v>
      </c>
      <c r="O69" s="134">
        <v>0</v>
      </c>
      <c r="P69" s="134">
        <v>0.51</v>
      </c>
      <c r="Q69" s="134">
        <v>4.16</v>
      </c>
    </row>
    <row r="70" spans="1:17" customFormat="1">
      <c r="A70" s="112" t="s">
        <v>2028</v>
      </c>
      <c r="B70" s="134">
        <v>4.07</v>
      </c>
      <c r="C70" s="134">
        <v>19.3</v>
      </c>
      <c r="D70" s="134">
        <v>14.7</v>
      </c>
      <c r="E70" s="134">
        <v>6.39</v>
      </c>
      <c r="F70" s="134">
        <v>5.79</v>
      </c>
      <c r="G70" s="134">
        <v>45.73</v>
      </c>
      <c r="H70" s="134">
        <v>21.97</v>
      </c>
      <c r="I70" s="134">
        <v>4.91</v>
      </c>
      <c r="J70" s="134">
        <v>0.19</v>
      </c>
      <c r="K70" s="134">
        <v>138.28</v>
      </c>
      <c r="L70" s="134">
        <v>29.59</v>
      </c>
      <c r="M70" s="134">
        <v>44.76</v>
      </c>
      <c r="N70" s="134">
        <v>83.2</v>
      </c>
      <c r="O70" s="134">
        <v>0</v>
      </c>
      <c r="P70" s="134">
        <v>0.51</v>
      </c>
      <c r="Q70" s="134">
        <v>4.13</v>
      </c>
    </row>
    <row r="71" spans="1:17" customFormat="1">
      <c r="A71" s="112" t="s">
        <v>2029</v>
      </c>
      <c r="B71" s="134">
        <v>4.01</v>
      </c>
      <c r="C71" s="134">
        <v>19.55</v>
      </c>
      <c r="D71" s="134">
        <v>14.78</v>
      </c>
      <c r="E71" s="134">
        <v>6.75</v>
      </c>
      <c r="F71" s="134">
        <v>5.82</v>
      </c>
      <c r="G71" s="134">
        <v>45.88</v>
      </c>
      <c r="H71" s="134">
        <v>21.97</v>
      </c>
      <c r="I71" s="134">
        <v>4.75</v>
      </c>
      <c r="J71" s="134">
        <v>0.54</v>
      </c>
      <c r="K71" s="134">
        <v>51.19</v>
      </c>
      <c r="L71" s="134">
        <v>29.21</v>
      </c>
      <c r="M71" s="134">
        <v>45.63</v>
      </c>
      <c r="N71" s="134">
        <v>55.3</v>
      </c>
      <c r="O71" s="134">
        <v>0</v>
      </c>
      <c r="P71" s="134">
        <v>0.5</v>
      </c>
      <c r="Q71" s="134">
        <v>4.1399999999999997</v>
      </c>
    </row>
    <row r="72" spans="1:17" customFormat="1">
      <c r="A72" s="112" t="s">
        <v>2030</v>
      </c>
      <c r="B72" s="134">
        <v>4.01</v>
      </c>
      <c r="C72" s="134">
        <v>20.260000000000002</v>
      </c>
      <c r="D72" s="134">
        <v>15.15</v>
      </c>
      <c r="E72" s="134">
        <v>7.03</v>
      </c>
      <c r="F72" s="134">
        <v>5.75</v>
      </c>
      <c r="G72" s="134">
        <v>45.88</v>
      </c>
      <c r="H72" s="134">
        <v>21.97</v>
      </c>
      <c r="I72" s="134">
        <v>4.63</v>
      </c>
      <c r="J72" s="134">
        <v>0.49</v>
      </c>
      <c r="K72" s="134">
        <v>51.41</v>
      </c>
      <c r="L72" s="134">
        <v>28.62</v>
      </c>
      <c r="M72" s="134">
        <v>47.4</v>
      </c>
      <c r="N72" s="134">
        <v>45</v>
      </c>
      <c r="O72" s="134">
        <v>0</v>
      </c>
      <c r="P72" s="134">
        <v>0.51</v>
      </c>
      <c r="Q72" s="134">
        <v>4.1500000000000004</v>
      </c>
    </row>
    <row r="73" spans="1:17" customFormat="1">
      <c r="A73" s="112" t="s">
        <v>2031</v>
      </c>
      <c r="B73" s="134">
        <v>4.1100000000000003</v>
      </c>
      <c r="C73" s="134">
        <v>21.11</v>
      </c>
      <c r="D73" s="134">
        <v>15.68</v>
      </c>
      <c r="E73" s="134">
        <v>6.71</v>
      </c>
      <c r="F73" s="134">
        <v>5.38</v>
      </c>
      <c r="G73" s="134">
        <v>45.88</v>
      </c>
      <c r="H73" s="134">
        <v>21.97</v>
      </c>
      <c r="I73" s="134">
        <v>4.5599999999999996</v>
      </c>
      <c r="J73" s="134">
        <v>0.41</v>
      </c>
      <c r="K73" s="134">
        <v>52.06</v>
      </c>
      <c r="L73" s="134">
        <v>28.52</v>
      </c>
      <c r="M73" s="134">
        <v>48.27</v>
      </c>
      <c r="N73" s="134">
        <v>40.9</v>
      </c>
      <c r="O73" s="134">
        <v>0</v>
      </c>
      <c r="P73" s="134">
        <v>0.51</v>
      </c>
      <c r="Q73" s="134">
        <v>4.17</v>
      </c>
    </row>
    <row r="74" spans="1:17" customFormat="1">
      <c r="A74" s="112" t="s">
        <v>2032</v>
      </c>
      <c r="B74" s="134">
        <v>4.1900000000000004</v>
      </c>
      <c r="C74" s="134">
        <v>21.88</v>
      </c>
      <c r="D74" s="134">
        <v>16.14</v>
      </c>
      <c r="E74" s="134">
        <v>7.47</v>
      </c>
      <c r="F74" s="134">
        <v>5.33</v>
      </c>
      <c r="G74" s="134">
        <v>48.96</v>
      </c>
      <c r="H74" s="134">
        <v>21.96</v>
      </c>
      <c r="I74" s="134">
        <v>4.5199999999999996</v>
      </c>
      <c r="J74" s="134">
        <v>0.5</v>
      </c>
      <c r="K74" s="134">
        <v>47.04</v>
      </c>
      <c r="L74" s="134">
        <v>28.39</v>
      </c>
      <c r="M74" s="134">
        <v>48.68</v>
      </c>
      <c r="N74" s="134">
        <v>29.1</v>
      </c>
      <c r="O74" s="134">
        <v>0</v>
      </c>
      <c r="P74" s="134">
        <v>0.53</v>
      </c>
      <c r="Q74" s="134">
        <v>4.21</v>
      </c>
    </row>
    <row r="75" spans="1:17" customFormat="1">
      <c r="A75" s="112" t="s">
        <v>2033</v>
      </c>
      <c r="B75" s="134">
        <v>4.22</v>
      </c>
      <c r="C75" s="134">
        <v>22.29</v>
      </c>
      <c r="D75" s="134">
        <v>16.38</v>
      </c>
      <c r="E75" s="134">
        <v>7.28</v>
      </c>
      <c r="F75" s="134">
        <v>5.2</v>
      </c>
      <c r="G75" s="134">
        <v>49.58</v>
      </c>
      <c r="H75" s="134">
        <v>21.96</v>
      </c>
      <c r="I75" s="134">
        <v>4.5</v>
      </c>
      <c r="J75" s="134">
        <v>0.23</v>
      </c>
      <c r="K75" s="134">
        <v>66.39</v>
      </c>
      <c r="L75" s="134">
        <v>28.01</v>
      </c>
      <c r="M75" s="134">
        <v>50.34</v>
      </c>
      <c r="N75" s="134">
        <v>5.9</v>
      </c>
      <c r="O75" s="134">
        <v>0</v>
      </c>
      <c r="P75" s="134">
        <v>0.54</v>
      </c>
      <c r="Q75" s="134">
        <v>4.2</v>
      </c>
    </row>
    <row r="76" spans="1:17" customFormat="1">
      <c r="A76" s="112" t="s">
        <v>2034</v>
      </c>
      <c r="B76" s="134">
        <v>4.28</v>
      </c>
      <c r="C76" s="134">
        <v>22.72</v>
      </c>
      <c r="D76" s="134">
        <v>16.649999999999999</v>
      </c>
      <c r="E76" s="134">
        <v>7.21</v>
      </c>
      <c r="F76" s="134">
        <v>4.6900000000000004</v>
      </c>
      <c r="G76" s="134">
        <v>49.58</v>
      </c>
      <c r="H76" s="134">
        <v>21.96</v>
      </c>
      <c r="I76" s="134">
        <v>4.45</v>
      </c>
      <c r="J76" s="134">
        <v>0.16</v>
      </c>
      <c r="K76" s="134">
        <v>99.39</v>
      </c>
      <c r="L76" s="134">
        <v>27.49</v>
      </c>
      <c r="M76" s="134">
        <v>52.81</v>
      </c>
      <c r="N76" s="134">
        <v>2.2999999999999998</v>
      </c>
      <c r="O76" s="134">
        <v>0</v>
      </c>
      <c r="P76" s="134">
        <v>0.55000000000000004</v>
      </c>
      <c r="Q76" s="134">
        <v>4.1900000000000004</v>
      </c>
    </row>
    <row r="77" spans="1:17" customFormat="1">
      <c r="A77" s="112" t="s">
        <v>2035</v>
      </c>
      <c r="B77" s="134">
        <v>4.24</v>
      </c>
      <c r="C77" s="134">
        <v>23.31</v>
      </c>
      <c r="D77" s="134">
        <v>16.93</v>
      </c>
      <c r="E77" s="134">
        <v>6.9</v>
      </c>
      <c r="F77" s="134">
        <v>4.42</v>
      </c>
      <c r="G77" s="134">
        <v>49.58</v>
      </c>
      <c r="H77" s="134">
        <v>21.96</v>
      </c>
      <c r="I77" s="134">
        <v>4.47</v>
      </c>
      <c r="J77" s="134">
        <v>0.23</v>
      </c>
      <c r="K77" s="134">
        <v>165.55</v>
      </c>
      <c r="L77" s="134">
        <v>26.68</v>
      </c>
      <c r="M77" s="134">
        <v>58.27</v>
      </c>
      <c r="N77" s="134">
        <v>0</v>
      </c>
      <c r="O77" s="134">
        <v>0</v>
      </c>
      <c r="P77" s="134">
        <v>0.56000000000000005</v>
      </c>
      <c r="Q77" s="134">
        <v>4.1900000000000004</v>
      </c>
    </row>
    <row r="78" spans="1:17" customFormat="1">
      <c r="A78" s="112" t="s">
        <v>2036</v>
      </c>
      <c r="B78" s="134">
        <v>4.2699999999999996</v>
      </c>
      <c r="C78" s="134">
        <v>23.61</v>
      </c>
      <c r="D78" s="134">
        <v>17.11</v>
      </c>
      <c r="E78" s="134">
        <v>6.95</v>
      </c>
      <c r="F78" s="134">
        <v>3.95</v>
      </c>
      <c r="G78" s="134">
        <v>59.31</v>
      </c>
      <c r="H78" s="134">
        <v>24.6</v>
      </c>
      <c r="I78" s="134">
        <v>4.43</v>
      </c>
      <c r="J78" s="134">
        <v>0.21</v>
      </c>
      <c r="K78" s="134">
        <v>168.59</v>
      </c>
      <c r="L78" s="134">
        <v>25.92</v>
      </c>
      <c r="M78" s="134">
        <v>61.56</v>
      </c>
      <c r="N78" s="134">
        <v>0</v>
      </c>
      <c r="O78" s="134">
        <v>0</v>
      </c>
      <c r="P78" s="134">
        <v>0.56999999999999995</v>
      </c>
      <c r="Q78" s="134">
        <v>4.21</v>
      </c>
    </row>
    <row r="79" spans="1:17" customFormat="1">
      <c r="A79" s="112" t="s">
        <v>2037</v>
      </c>
      <c r="B79" s="134">
        <v>4.5199999999999996</v>
      </c>
      <c r="C79" s="134">
        <v>24.04</v>
      </c>
      <c r="D79" s="134">
        <v>17.53</v>
      </c>
      <c r="E79" s="134">
        <v>7.04</v>
      </c>
      <c r="F79" s="134">
        <v>3.7</v>
      </c>
      <c r="G79" s="134">
        <v>61.25</v>
      </c>
      <c r="H79" s="134">
        <v>24.6</v>
      </c>
      <c r="I79" s="134">
        <v>4.45</v>
      </c>
      <c r="J79" s="134">
        <v>0.21</v>
      </c>
      <c r="K79" s="134">
        <v>165.53</v>
      </c>
      <c r="L79" s="134">
        <v>25.4</v>
      </c>
      <c r="M79" s="134">
        <v>63.67</v>
      </c>
      <c r="N79" s="134">
        <v>0</v>
      </c>
      <c r="O79" s="134">
        <v>0</v>
      </c>
      <c r="P79" s="134">
        <v>0.61</v>
      </c>
      <c r="Q79" s="134">
        <v>4.2300000000000004</v>
      </c>
    </row>
    <row r="80" spans="1:17" customFormat="1">
      <c r="A80" s="112" t="s">
        <v>2038</v>
      </c>
      <c r="B80" s="134">
        <v>4.79</v>
      </c>
      <c r="C80" s="134">
        <v>24.79</v>
      </c>
      <c r="D80" s="134">
        <v>18.14</v>
      </c>
      <c r="E80" s="134">
        <v>7.53</v>
      </c>
      <c r="F80" s="134">
        <v>3.4</v>
      </c>
      <c r="G80" s="134">
        <v>61.25</v>
      </c>
      <c r="H80" s="134">
        <v>24.6</v>
      </c>
      <c r="I80" s="134">
        <v>4.6100000000000003</v>
      </c>
      <c r="J80" s="134">
        <v>0.19</v>
      </c>
      <c r="K80" s="134">
        <v>161.13</v>
      </c>
      <c r="L80" s="134">
        <v>25.18</v>
      </c>
      <c r="M80" s="134">
        <v>64.239999999999995</v>
      </c>
      <c r="N80" s="134">
        <v>0</v>
      </c>
      <c r="O80" s="134">
        <v>0</v>
      </c>
      <c r="P80" s="134">
        <v>0.65</v>
      </c>
      <c r="Q80" s="134">
        <v>4.24</v>
      </c>
    </row>
    <row r="81" spans="1:17" customFormat="1">
      <c r="A81" s="112" t="s">
        <v>2039</v>
      </c>
      <c r="B81" s="134">
        <v>5.07</v>
      </c>
      <c r="C81" s="134">
        <v>25.89</v>
      </c>
      <c r="D81" s="134">
        <v>18.95</v>
      </c>
      <c r="E81" s="134">
        <v>7.16</v>
      </c>
      <c r="F81" s="134">
        <v>2.92</v>
      </c>
      <c r="G81" s="134">
        <v>61.25</v>
      </c>
      <c r="H81" s="134">
        <v>24.6</v>
      </c>
      <c r="I81" s="134">
        <v>4.93</v>
      </c>
      <c r="J81" s="134">
        <v>0.12</v>
      </c>
      <c r="K81" s="134">
        <v>138.01</v>
      </c>
      <c r="L81" s="134">
        <v>25.1</v>
      </c>
      <c r="M81" s="134">
        <v>63.87</v>
      </c>
      <c r="N81" s="134">
        <v>0</v>
      </c>
      <c r="O81" s="134">
        <v>0</v>
      </c>
      <c r="P81" s="134">
        <v>0.7</v>
      </c>
      <c r="Q81" s="134">
        <v>4.26</v>
      </c>
    </row>
    <row r="82" spans="1:17" customFormat="1">
      <c r="A82" s="112" t="s">
        <v>2040</v>
      </c>
      <c r="B82" s="134">
        <v>5.56</v>
      </c>
      <c r="C82" s="134">
        <v>26.74</v>
      </c>
      <c r="D82" s="134">
        <v>19.78</v>
      </c>
      <c r="E82" s="134">
        <v>7.94</v>
      </c>
      <c r="F82" s="134">
        <v>2.79</v>
      </c>
      <c r="G82" s="134">
        <v>85.26</v>
      </c>
      <c r="H82" s="134">
        <v>28.88</v>
      </c>
      <c r="I82" s="134">
        <v>5.41</v>
      </c>
      <c r="J82" s="134">
        <v>0.12</v>
      </c>
      <c r="K82" s="134">
        <v>140.96</v>
      </c>
      <c r="L82" s="134">
        <v>24.91</v>
      </c>
      <c r="M82" s="134">
        <v>64.61</v>
      </c>
      <c r="N82" s="134">
        <v>0</v>
      </c>
      <c r="O82" s="134">
        <v>0</v>
      </c>
      <c r="P82" s="134">
        <v>0.74</v>
      </c>
      <c r="Q82" s="134">
        <v>4.29</v>
      </c>
    </row>
    <row r="83" spans="1:17" customFormat="1">
      <c r="A83" s="112" t="s">
        <v>2041</v>
      </c>
      <c r="B83" s="134">
        <v>6.33</v>
      </c>
      <c r="C83" s="134">
        <v>28.09</v>
      </c>
      <c r="D83" s="134">
        <v>21.1</v>
      </c>
      <c r="E83" s="134">
        <v>7.99</v>
      </c>
      <c r="F83" s="134">
        <v>2.62</v>
      </c>
      <c r="G83" s="134">
        <v>90.06</v>
      </c>
      <c r="H83" s="134">
        <v>28.88</v>
      </c>
      <c r="I83" s="134">
        <v>5.74</v>
      </c>
      <c r="J83" s="134">
        <v>0.15</v>
      </c>
      <c r="K83" s="134">
        <v>162.44999999999999</v>
      </c>
      <c r="L83" s="134">
        <v>24.63</v>
      </c>
      <c r="M83" s="134">
        <v>66.48</v>
      </c>
      <c r="N83" s="134">
        <v>0</v>
      </c>
      <c r="O83" s="134">
        <v>0</v>
      </c>
      <c r="P83" s="134">
        <v>0.78</v>
      </c>
      <c r="Q83" s="134">
        <v>4.32</v>
      </c>
    </row>
    <row r="84" spans="1:17" customFormat="1">
      <c r="A84" s="112" t="s">
        <v>2042</v>
      </c>
      <c r="B84" s="134">
        <v>7.02</v>
      </c>
      <c r="C84" s="134">
        <v>29.16</v>
      </c>
      <c r="D84" s="134">
        <v>22.22</v>
      </c>
      <c r="E84" s="134">
        <v>8.24</v>
      </c>
      <c r="F84" s="134">
        <v>2.5299999999999998</v>
      </c>
      <c r="G84" s="134">
        <v>90.06</v>
      </c>
      <c r="H84" s="134">
        <v>28.88</v>
      </c>
      <c r="I84" s="134">
        <v>6.09</v>
      </c>
      <c r="J84" s="134">
        <v>0.12</v>
      </c>
      <c r="K84" s="134">
        <v>151.63</v>
      </c>
      <c r="L84" s="134">
        <v>24.5</v>
      </c>
      <c r="M84" s="134">
        <v>66.73</v>
      </c>
      <c r="N84" s="134">
        <v>0</v>
      </c>
      <c r="O84" s="134">
        <v>0</v>
      </c>
      <c r="P84" s="134">
        <v>0.83</v>
      </c>
      <c r="Q84" s="134">
        <v>4.3600000000000003</v>
      </c>
    </row>
    <row r="85" spans="1:17" customFormat="1">
      <c r="A85" s="112" t="s">
        <v>2043</v>
      </c>
      <c r="B85" s="134">
        <v>7.56</v>
      </c>
      <c r="C85" s="134">
        <v>30.05</v>
      </c>
      <c r="D85" s="134">
        <v>23.12</v>
      </c>
      <c r="E85" s="134">
        <v>8.09</v>
      </c>
      <c r="F85" s="134">
        <v>2.54</v>
      </c>
      <c r="G85" s="134">
        <v>90.06</v>
      </c>
      <c r="H85" s="134">
        <v>28.88</v>
      </c>
      <c r="I85" s="134">
        <v>6.45</v>
      </c>
      <c r="J85" s="134">
        <v>0.17</v>
      </c>
      <c r="K85" s="134">
        <v>149.63999999999999</v>
      </c>
      <c r="L85" s="134">
        <v>24.3</v>
      </c>
      <c r="M85" s="134">
        <v>68.17</v>
      </c>
      <c r="N85" s="134">
        <v>0</v>
      </c>
      <c r="O85" s="134">
        <v>0</v>
      </c>
      <c r="P85" s="134">
        <v>0.87</v>
      </c>
      <c r="Q85" s="134">
        <v>4.38</v>
      </c>
    </row>
    <row r="86" spans="1:17" customFormat="1">
      <c r="A86" s="112" t="s">
        <v>2044</v>
      </c>
      <c r="B86" s="134">
        <v>7.85</v>
      </c>
      <c r="C86" s="134">
        <v>30.52</v>
      </c>
      <c r="D86" s="134">
        <v>23.59</v>
      </c>
      <c r="E86" s="134">
        <v>8.68</v>
      </c>
      <c r="F86" s="134">
        <v>2.5099999999999998</v>
      </c>
      <c r="G86" s="134">
        <v>118.57</v>
      </c>
      <c r="H86" s="134">
        <v>37.22</v>
      </c>
      <c r="I86" s="134">
        <v>6.82</v>
      </c>
      <c r="J86" s="134">
        <v>0.11</v>
      </c>
      <c r="K86" s="134">
        <v>81.42</v>
      </c>
      <c r="L86" s="134">
        <v>24.28</v>
      </c>
      <c r="M86" s="134">
        <v>67.040000000000006</v>
      </c>
      <c r="N86" s="134">
        <v>0</v>
      </c>
      <c r="O86" s="134">
        <v>0</v>
      </c>
      <c r="P86" s="134">
        <v>0.91</v>
      </c>
      <c r="Q86" s="134">
        <v>4.4000000000000004</v>
      </c>
    </row>
    <row r="87" spans="1:17" customFormat="1">
      <c r="A87" s="112" t="s">
        <v>2045</v>
      </c>
      <c r="B87" s="134">
        <v>8.4600000000000009</v>
      </c>
      <c r="C87" s="134">
        <v>29.57</v>
      </c>
      <c r="D87" s="134">
        <v>23.58</v>
      </c>
      <c r="E87" s="134">
        <v>8.14</v>
      </c>
      <c r="F87" s="134">
        <v>2.83</v>
      </c>
      <c r="G87" s="134">
        <v>124.27</v>
      </c>
      <c r="H87" s="134">
        <v>37.22</v>
      </c>
      <c r="I87" s="134">
        <v>7.23</v>
      </c>
      <c r="J87" s="134">
        <v>0.09</v>
      </c>
      <c r="K87" s="134">
        <v>102.58</v>
      </c>
      <c r="L87" s="134">
        <v>24.18</v>
      </c>
      <c r="M87" s="134">
        <v>68.52</v>
      </c>
      <c r="N87" s="134">
        <v>0</v>
      </c>
      <c r="O87" s="134">
        <v>0</v>
      </c>
      <c r="P87" s="134">
        <v>0.9</v>
      </c>
      <c r="Q87" s="134">
        <v>4.43</v>
      </c>
    </row>
    <row r="88" spans="1:17" customFormat="1">
      <c r="A88" s="112" t="s">
        <v>2046</v>
      </c>
      <c r="B88" s="134">
        <v>9.43</v>
      </c>
      <c r="C88" s="134">
        <v>26.93</v>
      </c>
      <c r="D88" s="134">
        <v>22.98</v>
      </c>
      <c r="E88" s="134">
        <v>7.5</v>
      </c>
      <c r="F88" s="134">
        <v>2.95</v>
      </c>
      <c r="G88" s="134">
        <v>124.27</v>
      </c>
      <c r="H88" s="134">
        <v>37.22</v>
      </c>
      <c r="I88" s="134">
        <v>7.5</v>
      </c>
      <c r="J88" s="134">
        <v>0.1</v>
      </c>
      <c r="K88" s="134">
        <v>90.38</v>
      </c>
      <c r="L88" s="134">
        <v>23.97</v>
      </c>
      <c r="M88" s="134">
        <v>69.59</v>
      </c>
      <c r="N88" s="134">
        <v>0</v>
      </c>
      <c r="O88" s="134">
        <v>0</v>
      </c>
      <c r="P88" s="134">
        <v>0.9</v>
      </c>
      <c r="Q88" s="134">
        <v>4.45</v>
      </c>
    </row>
    <row r="89" spans="1:17" customFormat="1">
      <c r="A89" s="112" t="s">
        <v>2047</v>
      </c>
      <c r="B89" s="134">
        <v>10.35</v>
      </c>
      <c r="C89" s="134">
        <v>25.36</v>
      </c>
      <c r="D89" s="134">
        <v>22.9</v>
      </c>
      <c r="E89" s="134">
        <v>6.8</v>
      </c>
      <c r="F89" s="134">
        <v>2.85</v>
      </c>
      <c r="G89" s="134">
        <v>124.27</v>
      </c>
      <c r="H89" s="134">
        <v>37.22</v>
      </c>
      <c r="I89" s="134">
        <v>7.67</v>
      </c>
      <c r="J89" s="134">
        <v>0.32</v>
      </c>
      <c r="K89" s="134">
        <v>50.21</v>
      </c>
      <c r="L89" s="134">
        <v>24.09</v>
      </c>
      <c r="M89" s="134">
        <v>67.069999999999993</v>
      </c>
      <c r="N89" s="134">
        <v>0</v>
      </c>
      <c r="O89" s="134">
        <v>0</v>
      </c>
      <c r="P89" s="134">
        <v>0.89</v>
      </c>
      <c r="Q89" s="134">
        <v>4.47</v>
      </c>
    </row>
    <row r="90" spans="1:17" customFormat="1">
      <c r="A90" s="112" t="s">
        <v>2048</v>
      </c>
      <c r="B90" s="134">
        <v>10.84</v>
      </c>
      <c r="C90" s="134">
        <v>24.36</v>
      </c>
      <c r="D90" s="134">
        <v>22.77</v>
      </c>
      <c r="E90" s="134">
        <v>6.65</v>
      </c>
      <c r="F90" s="134">
        <v>2.93</v>
      </c>
      <c r="G90" s="134">
        <v>133.91999999999999</v>
      </c>
      <c r="H90" s="134">
        <v>41.23</v>
      </c>
      <c r="I90" s="134">
        <v>7.81</v>
      </c>
      <c r="J90" s="134">
        <v>0.23</v>
      </c>
      <c r="K90" s="134">
        <v>55.71</v>
      </c>
      <c r="L90" s="134">
        <v>24.09</v>
      </c>
      <c r="M90" s="134">
        <v>67</v>
      </c>
      <c r="N90" s="134">
        <v>0</v>
      </c>
      <c r="O90" s="134">
        <v>0</v>
      </c>
      <c r="P90" s="134">
        <v>0.87</v>
      </c>
      <c r="Q90" s="134">
        <v>4.4800000000000004</v>
      </c>
    </row>
    <row r="91" spans="1:17" customFormat="1">
      <c r="A91" s="112" t="s">
        <v>2049</v>
      </c>
      <c r="B91" s="134">
        <v>11.16</v>
      </c>
      <c r="C91" s="134">
        <v>24.31</v>
      </c>
      <c r="D91" s="134">
        <v>23</v>
      </c>
      <c r="E91" s="134">
        <v>6.44</v>
      </c>
      <c r="F91" s="134">
        <v>2.65</v>
      </c>
      <c r="G91" s="134">
        <v>135.85</v>
      </c>
      <c r="H91" s="134">
        <v>41.23</v>
      </c>
      <c r="I91" s="134">
        <v>7.88</v>
      </c>
      <c r="J91" s="134">
        <v>0.05</v>
      </c>
      <c r="K91" s="134">
        <v>107.31</v>
      </c>
      <c r="L91" s="134">
        <v>23.95</v>
      </c>
      <c r="M91" s="134">
        <v>68.61</v>
      </c>
      <c r="N91" s="134">
        <v>0</v>
      </c>
      <c r="O91" s="134">
        <v>0</v>
      </c>
      <c r="P91" s="134">
        <v>0.87</v>
      </c>
      <c r="Q91" s="134">
        <v>4.49</v>
      </c>
    </row>
    <row r="92" spans="1:17" customFormat="1">
      <c r="A92" s="112" t="s">
        <v>2050</v>
      </c>
      <c r="B92" s="134">
        <v>11.29</v>
      </c>
      <c r="C92" s="134">
        <v>25.49</v>
      </c>
      <c r="D92" s="134">
        <v>23.72</v>
      </c>
      <c r="E92" s="134">
        <v>6.38</v>
      </c>
      <c r="F92" s="134">
        <v>2.46</v>
      </c>
      <c r="G92" s="134">
        <v>135.85</v>
      </c>
      <c r="H92" s="134">
        <v>41.23</v>
      </c>
      <c r="I92" s="134">
        <v>7.93</v>
      </c>
      <c r="J92" s="134">
        <v>0.14000000000000001</v>
      </c>
      <c r="K92" s="134">
        <v>86.28</v>
      </c>
      <c r="L92" s="134">
        <v>23.93</v>
      </c>
      <c r="M92" s="134">
        <v>68.37</v>
      </c>
      <c r="N92" s="134">
        <v>0</v>
      </c>
      <c r="O92" s="134">
        <v>0</v>
      </c>
      <c r="P92" s="134">
        <v>0.89</v>
      </c>
      <c r="Q92" s="134">
        <v>4.46</v>
      </c>
    </row>
    <row r="93" spans="1:17" customFormat="1">
      <c r="A93" s="112" t="s">
        <v>2051</v>
      </c>
      <c r="B93" s="134">
        <v>11.63</v>
      </c>
      <c r="C93" s="134">
        <v>23.79</v>
      </c>
      <c r="D93" s="134">
        <v>23.11</v>
      </c>
      <c r="E93" s="134">
        <v>6.73</v>
      </c>
      <c r="F93" s="134">
        <v>2.7</v>
      </c>
      <c r="G93" s="134">
        <v>135.85</v>
      </c>
      <c r="H93" s="134">
        <v>41.23</v>
      </c>
      <c r="I93" s="134">
        <v>7.97</v>
      </c>
      <c r="J93" s="134">
        <v>0.18</v>
      </c>
      <c r="K93" s="134">
        <v>71.819999999999993</v>
      </c>
      <c r="L93" s="134">
        <v>24.11</v>
      </c>
      <c r="M93" s="134">
        <v>66.959999999999994</v>
      </c>
      <c r="N93" s="134">
        <v>0</v>
      </c>
      <c r="O93" s="134">
        <v>0</v>
      </c>
      <c r="P93" s="134">
        <v>0.88</v>
      </c>
      <c r="Q93" s="134">
        <v>4.5</v>
      </c>
    </row>
    <row r="94" spans="1:17" customFormat="1">
      <c r="A94" s="112" t="s">
        <v>2052</v>
      </c>
      <c r="B94" s="134">
        <v>11.88</v>
      </c>
      <c r="C94" s="134">
        <v>23.78</v>
      </c>
      <c r="D94" s="134">
        <v>23.3</v>
      </c>
      <c r="E94" s="134">
        <v>5.94</v>
      </c>
      <c r="F94" s="134">
        <v>2.73</v>
      </c>
      <c r="G94" s="134">
        <v>121.14</v>
      </c>
      <c r="H94" s="134">
        <v>34.72</v>
      </c>
      <c r="I94" s="134">
        <v>7.98</v>
      </c>
      <c r="J94" s="134">
        <v>0.35</v>
      </c>
      <c r="K94" s="134">
        <v>54.02</v>
      </c>
      <c r="L94" s="134">
        <v>24.17</v>
      </c>
      <c r="M94" s="134">
        <v>65.75</v>
      </c>
      <c r="N94" s="134">
        <v>0</v>
      </c>
      <c r="O94" s="134">
        <v>0</v>
      </c>
      <c r="P94" s="134">
        <v>0.88</v>
      </c>
      <c r="Q94" s="134">
        <v>4.47</v>
      </c>
    </row>
    <row r="95" spans="1:17" customFormat="1">
      <c r="A95" s="112" t="s">
        <v>2053</v>
      </c>
      <c r="B95" s="134">
        <v>12.1</v>
      </c>
      <c r="C95" s="134">
        <v>25.08</v>
      </c>
      <c r="D95" s="134">
        <v>24.16</v>
      </c>
      <c r="E95" s="134">
        <v>6.32</v>
      </c>
      <c r="F95" s="134">
        <v>2.5299999999999998</v>
      </c>
      <c r="G95" s="134">
        <v>118.2</v>
      </c>
      <c r="H95" s="134">
        <v>34.72</v>
      </c>
      <c r="I95" s="134">
        <v>7.97</v>
      </c>
      <c r="J95" s="134">
        <v>0.16</v>
      </c>
      <c r="K95" s="134">
        <v>118.76</v>
      </c>
      <c r="L95" s="134">
        <v>24.09</v>
      </c>
      <c r="M95" s="134">
        <v>66.569999999999993</v>
      </c>
      <c r="N95" s="134">
        <v>0</v>
      </c>
      <c r="O95" s="134">
        <v>0</v>
      </c>
      <c r="P95" s="134">
        <v>0.89</v>
      </c>
      <c r="Q95" s="134">
        <v>4.5</v>
      </c>
    </row>
    <row r="96" spans="1:17" customFormat="1">
      <c r="A96" s="112" t="s">
        <v>2054</v>
      </c>
      <c r="B96" s="134">
        <v>12.04</v>
      </c>
      <c r="C96" s="134">
        <v>23.35</v>
      </c>
      <c r="D96" s="134">
        <v>23.2</v>
      </c>
      <c r="E96" s="134">
        <v>6.29</v>
      </c>
      <c r="F96" s="134">
        <v>2.73</v>
      </c>
      <c r="G96" s="134">
        <v>118.2</v>
      </c>
      <c r="H96" s="134">
        <v>34.72</v>
      </c>
      <c r="I96" s="134">
        <v>7.95</v>
      </c>
      <c r="J96" s="134">
        <v>0.12</v>
      </c>
      <c r="K96" s="134">
        <v>125.41</v>
      </c>
      <c r="L96" s="134">
        <v>23.95</v>
      </c>
      <c r="M96" s="134">
        <v>67.180000000000007</v>
      </c>
      <c r="N96" s="134">
        <v>0</v>
      </c>
      <c r="O96" s="134">
        <v>0</v>
      </c>
      <c r="P96" s="134">
        <v>0.87</v>
      </c>
      <c r="Q96" s="134">
        <v>4.5199999999999996</v>
      </c>
    </row>
    <row r="97" spans="1:22" customFormat="1">
      <c r="A97" s="112" t="s">
        <v>2055</v>
      </c>
      <c r="B97" s="134">
        <v>11.8</v>
      </c>
      <c r="C97" s="134">
        <v>23.66</v>
      </c>
      <c r="D97" s="134">
        <v>23.17</v>
      </c>
      <c r="E97" s="134">
        <v>5.97</v>
      </c>
      <c r="F97" s="134">
        <v>2.6</v>
      </c>
      <c r="G97" s="134">
        <v>118.2</v>
      </c>
      <c r="H97" s="134">
        <v>34.72</v>
      </c>
      <c r="I97" s="134">
        <v>7.94</v>
      </c>
      <c r="J97" s="134">
        <v>0.12</v>
      </c>
      <c r="K97" s="134">
        <v>143.83000000000001</v>
      </c>
      <c r="L97" s="134">
        <v>23.89</v>
      </c>
      <c r="M97" s="134">
        <v>68.17</v>
      </c>
      <c r="N97" s="134">
        <v>0</v>
      </c>
      <c r="O97" s="134">
        <v>0</v>
      </c>
      <c r="P97" s="134">
        <v>0.86</v>
      </c>
      <c r="Q97" s="134">
        <v>4.5</v>
      </c>
    </row>
    <row r="98" spans="1:22" customFormat="1">
      <c r="A98" s="112" t="s">
        <v>2056</v>
      </c>
      <c r="B98" s="134">
        <v>11.88</v>
      </c>
      <c r="C98" s="134">
        <v>23.57</v>
      </c>
      <c r="D98" s="134">
        <v>23.2</v>
      </c>
      <c r="E98" s="134">
        <v>6.13</v>
      </c>
      <c r="F98" s="134">
        <v>2.62</v>
      </c>
      <c r="G98" s="134">
        <v>94.76</v>
      </c>
      <c r="H98" s="134">
        <v>32.520000000000003</v>
      </c>
      <c r="I98" s="134">
        <v>7.89</v>
      </c>
      <c r="J98" s="134">
        <v>0.08</v>
      </c>
      <c r="K98" s="134">
        <v>124.67</v>
      </c>
      <c r="L98" s="134">
        <v>23.6</v>
      </c>
      <c r="M98" s="134">
        <v>70.02</v>
      </c>
      <c r="N98" s="134">
        <v>0</v>
      </c>
      <c r="O98" s="134">
        <v>0</v>
      </c>
      <c r="P98" s="134">
        <v>0.85</v>
      </c>
      <c r="Q98" s="134">
        <v>4.51</v>
      </c>
    </row>
    <row r="99" spans="1:22" customFormat="1">
      <c r="A99" s="112" t="s">
        <v>2057</v>
      </c>
      <c r="B99" s="134">
        <v>11.95</v>
      </c>
      <c r="C99" s="134">
        <v>22.13</v>
      </c>
      <c r="D99" s="134">
        <v>22.5</v>
      </c>
      <c r="E99" s="134">
        <v>6.07</v>
      </c>
      <c r="F99" s="134">
        <v>2.81</v>
      </c>
      <c r="G99" s="134">
        <v>90.07</v>
      </c>
      <c r="H99" s="134">
        <v>32.520000000000003</v>
      </c>
      <c r="I99" s="134">
        <v>7.83</v>
      </c>
      <c r="J99" s="134">
        <v>0.24</v>
      </c>
      <c r="K99" s="134">
        <v>48.67</v>
      </c>
      <c r="L99" s="134">
        <v>23.39</v>
      </c>
      <c r="M99" s="134">
        <v>71.16</v>
      </c>
      <c r="N99" s="134">
        <v>0</v>
      </c>
      <c r="O99" s="134">
        <v>0</v>
      </c>
      <c r="P99" s="134">
        <v>0.83</v>
      </c>
      <c r="Q99" s="134">
        <v>4.51</v>
      </c>
    </row>
    <row r="100" spans="1:22" customFormat="1">
      <c r="A100" s="112" t="s">
        <v>2058</v>
      </c>
      <c r="B100" s="134">
        <v>12.02</v>
      </c>
      <c r="C100" s="134">
        <v>23.38</v>
      </c>
      <c r="D100" s="134">
        <v>23.21</v>
      </c>
      <c r="E100" s="134">
        <v>5.81</v>
      </c>
      <c r="F100" s="134">
        <v>2.42</v>
      </c>
      <c r="G100" s="134">
        <v>90.07</v>
      </c>
      <c r="H100" s="134">
        <v>32.520000000000003</v>
      </c>
      <c r="I100" s="134">
        <v>7.72</v>
      </c>
      <c r="J100" s="134">
        <v>0.13</v>
      </c>
      <c r="K100" s="134">
        <v>78.86</v>
      </c>
      <c r="L100" s="134">
        <v>23.42</v>
      </c>
      <c r="M100" s="134">
        <v>70.849999999999994</v>
      </c>
      <c r="N100" s="134">
        <v>0</v>
      </c>
      <c r="O100" s="134">
        <v>0</v>
      </c>
      <c r="P100" s="134">
        <v>0.83</v>
      </c>
      <c r="Q100" s="134">
        <v>4.5</v>
      </c>
    </row>
    <row r="101" spans="1:22" customFormat="1">
      <c r="A101" s="112" t="s">
        <v>2059</v>
      </c>
      <c r="B101" s="134">
        <v>12.04</v>
      </c>
      <c r="C101" s="134">
        <v>23.13</v>
      </c>
      <c r="D101" s="134">
        <v>23.1</v>
      </c>
      <c r="E101" s="134">
        <v>6.19</v>
      </c>
      <c r="F101" s="134">
        <v>2.66</v>
      </c>
      <c r="G101" s="134">
        <v>90.07</v>
      </c>
      <c r="H101" s="134">
        <v>32.520000000000003</v>
      </c>
      <c r="I101" s="134">
        <v>7.68</v>
      </c>
      <c r="J101" s="134">
        <v>0.18</v>
      </c>
      <c r="K101" s="134">
        <v>180.95</v>
      </c>
      <c r="L101" s="134">
        <v>23.37</v>
      </c>
      <c r="M101" s="134">
        <v>71.86</v>
      </c>
      <c r="N101" s="134">
        <v>0</v>
      </c>
      <c r="O101" s="134">
        <v>0</v>
      </c>
      <c r="P101" s="134">
        <v>0.82</v>
      </c>
      <c r="Q101" s="134">
        <v>4.5</v>
      </c>
    </row>
    <row r="102" spans="1:22" customFormat="1">
      <c r="A102" s="112" t="s">
        <v>2060</v>
      </c>
      <c r="B102" s="134">
        <v>11.75</v>
      </c>
      <c r="C102" s="134">
        <v>22.18</v>
      </c>
      <c r="D102" s="134">
        <v>22.36</v>
      </c>
      <c r="E102" s="134">
        <v>5.77</v>
      </c>
      <c r="F102" s="134">
        <v>2.89</v>
      </c>
      <c r="G102" s="134">
        <v>72.34</v>
      </c>
      <c r="H102" s="134">
        <v>32.28</v>
      </c>
      <c r="I102" s="134">
        <v>7.64</v>
      </c>
      <c r="J102" s="134">
        <v>0.16</v>
      </c>
      <c r="K102" s="134">
        <v>183.26</v>
      </c>
      <c r="L102" s="134">
        <v>23.38</v>
      </c>
      <c r="M102" s="134">
        <v>71.23</v>
      </c>
      <c r="N102" s="134">
        <v>0</v>
      </c>
      <c r="O102" s="134">
        <v>0</v>
      </c>
      <c r="P102" s="134">
        <v>0.8</v>
      </c>
      <c r="Q102" s="134">
        <v>4.49</v>
      </c>
    </row>
    <row r="103" spans="1:22" customFormat="1">
      <c r="A103" s="112" t="s">
        <v>2061</v>
      </c>
      <c r="B103" s="134">
        <v>11.57</v>
      </c>
      <c r="C103" s="134">
        <v>23.31</v>
      </c>
      <c r="D103" s="134">
        <v>22.81</v>
      </c>
      <c r="E103" s="134">
        <v>6.21</v>
      </c>
      <c r="F103" s="134">
        <v>2.67</v>
      </c>
      <c r="G103" s="134">
        <v>68.8</v>
      </c>
      <c r="H103" s="134">
        <v>32.28</v>
      </c>
      <c r="I103" s="134">
        <v>7.6</v>
      </c>
      <c r="J103" s="134">
        <v>0.13</v>
      </c>
      <c r="K103" s="134">
        <v>196.01</v>
      </c>
      <c r="L103" s="134">
        <v>23.07</v>
      </c>
      <c r="M103" s="134">
        <v>73.709999999999994</v>
      </c>
      <c r="N103" s="134">
        <v>0</v>
      </c>
      <c r="O103" s="134">
        <v>0</v>
      </c>
      <c r="P103" s="134">
        <v>0.8</v>
      </c>
      <c r="Q103" s="134">
        <v>4.4800000000000004</v>
      </c>
    </row>
    <row r="104" spans="1:22" customFormat="1">
      <c r="A104" s="112" t="s">
        <v>2062</v>
      </c>
      <c r="B104" s="134">
        <v>11.35</v>
      </c>
      <c r="C104" s="134">
        <v>21.48</v>
      </c>
      <c r="D104" s="134">
        <v>21.67</v>
      </c>
      <c r="E104" s="134">
        <v>6.05</v>
      </c>
      <c r="F104" s="134">
        <v>2.84</v>
      </c>
      <c r="G104" s="134">
        <v>68.8</v>
      </c>
      <c r="H104" s="134">
        <v>32.28</v>
      </c>
      <c r="I104" s="134">
        <v>7.49</v>
      </c>
      <c r="J104" s="134">
        <v>0.1</v>
      </c>
      <c r="K104" s="134">
        <v>208.95</v>
      </c>
      <c r="L104" s="134">
        <v>22.81</v>
      </c>
      <c r="M104" s="134">
        <v>76.05</v>
      </c>
      <c r="N104" s="134">
        <v>0</v>
      </c>
      <c r="O104" s="134">
        <v>0</v>
      </c>
      <c r="P104" s="134">
        <v>0.77</v>
      </c>
      <c r="Q104" s="134">
        <v>4.4800000000000004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4.01</v>
      </c>
      <c r="C106" s="183">
        <f>MIN(C9:C104)</f>
        <v>16.46</v>
      </c>
      <c r="D106" s="183">
        <f t="shared" ref="D106:Q106" si="0">MIN(D9:D104)</f>
        <v>13.9</v>
      </c>
      <c r="E106" s="183">
        <f t="shared" si="0"/>
        <v>5.42</v>
      </c>
      <c r="F106" s="183">
        <f t="shared" si="0"/>
        <v>2.33</v>
      </c>
      <c r="G106" s="183">
        <f t="shared" si="0"/>
        <v>44.96</v>
      </c>
      <c r="H106" s="183">
        <f t="shared" si="0"/>
        <v>20.55</v>
      </c>
      <c r="I106" s="183">
        <f t="shared" si="0"/>
        <v>4.43</v>
      </c>
      <c r="J106" s="183">
        <f t="shared" si="0"/>
        <v>0.03</v>
      </c>
      <c r="K106" s="183">
        <f t="shared" si="0"/>
        <v>3.89</v>
      </c>
      <c r="L106" s="183">
        <f t="shared" si="0"/>
        <v>19.09</v>
      </c>
      <c r="M106" s="183">
        <f t="shared" si="0"/>
        <v>42.79</v>
      </c>
      <c r="N106" s="183">
        <f t="shared" si="0"/>
        <v>0</v>
      </c>
      <c r="O106" s="183">
        <f t="shared" si="0"/>
        <v>0</v>
      </c>
      <c r="P106" s="183">
        <f t="shared" si="0"/>
        <v>0.5</v>
      </c>
      <c r="Q106" s="183">
        <f t="shared" si="0"/>
        <v>4.13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15.21</v>
      </c>
      <c r="C107" s="184">
        <f t="shared" ref="C107:Q107" si="1">MAX(C9:C104)</f>
        <v>30.52</v>
      </c>
      <c r="D107" s="184">
        <f t="shared" si="1"/>
        <v>26.16</v>
      </c>
      <c r="E107" s="184">
        <f t="shared" si="1"/>
        <v>8.68</v>
      </c>
      <c r="F107" s="184">
        <f t="shared" si="1"/>
        <v>6.98</v>
      </c>
      <c r="G107" s="184">
        <f t="shared" si="1"/>
        <v>135.85</v>
      </c>
      <c r="H107" s="184">
        <f t="shared" si="1"/>
        <v>41.23</v>
      </c>
      <c r="I107" s="184">
        <f t="shared" si="1"/>
        <v>9.75</v>
      </c>
      <c r="J107" s="184">
        <f t="shared" si="1"/>
        <v>0.82</v>
      </c>
      <c r="K107" s="184">
        <f t="shared" si="1"/>
        <v>283.47000000000003</v>
      </c>
      <c r="L107" s="184">
        <f t="shared" si="1"/>
        <v>30.89</v>
      </c>
      <c r="M107" s="184">
        <f t="shared" si="1"/>
        <v>95.95</v>
      </c>
      <c r="N107" s="184">
        <f t="shared" si="1"/>
        <v>530.1</v>
      </c>
      <c r="O107" s="184">
        <f t="shared" si="1"/>
        <v>0</v>
      </c>
      <c r="P107" s="184">
        <f t="shared" si="1"/>
        <v>0.91</v>
      </c>
      <c r="Q107" s="184">
        <f t="shared" si="1"/>
        <v>4.6399999999999997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8.8553125000000001</v>
      </c>
      <c r="C108" s="183">
        <f t="shared" ref="C108:Q108" si="2">AVERAGE(C9:C104)</f>
        <v>22.609895833333326</v>
      </c>
      <c r="D108" s="183">
        <f t="shared" si="2"/>
        <v>20.264895833333334</v>
      </c>
      <c r="E108" s="183">
        <f t="shared" si="2"/>
        <v>6.9260416666666655</v>
      </c>
      <c r="F108" s="183">
        <f t="shared" si="2"/>
        <v>3.5594791666666672</v>
      </c>
      <c r="G108" s="183">
        <f t="shared" si="2"/>
        <v>70.835937500000071</v>
      </c>
      <c r="H108" s="183">
        <f t="shared" si="2"/>
        <v>28.273958333333326</v>
      </c>
      <c r="I108" s="183">
        <f t="shared" si="2"/>
        <v>6.9707291666666693</v>
      </c>
      <c r="J108" s="183">
        <f t="shared" si="2"/>
        <v>0.24239583333333339</v>
      </c>
      <c r="K108" s="183">
        <f t="shared" si="2"/>
        <v>112.3217708333333</v>
      </c>
      <c r="L108" s="183">
        <f t="shared" si="2"/>
        <v>24.362395833333334</v>
      </c>
      <c r="M108" s="183">
        <f t="shared" si="2"/>
        <v>70.402500000000018</v>
      </c>
      <c r="N108" s="183">
        <f t="shared" si="2"/>
        <v>109.359375</v>
      </c>
      <c r="O108" s="183">
        <f t="shared" si="2"/>
        <v>0</v>
      </c>
      <c r="P108" s="183">
        <f t="shared" si="2"/>
        <v>0.68937499999999996</v>
      </c>
      <c r="Q108" s="183">
        <f t="shared" si="2"/>
        <v>4.3882291666666653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3.5439371365236694</v>
      </c>
      <c r="C109" s="183">
        <f t="shared" ref="C109:Q109" si="3">STDEV(C9:C104)</f>
        <v>3.4439440348750088</v>
      </c>
      <c r="D109" s="183">
        <f t="shared" si="3"/>
        <v>3.9035047665808369</v>
      </c>
      <c r="E109" s="183">
        <f t="shared" si="3"/>
        <v>0.83774695233129881</v>
      </c>
      <c r="F109" s="183">
        <f t="shared" si="3"/>
        <v>1.234500000888205</v>
      </c>
      <c r="G109" s="183">
        <f t="shared" si="3"/>
        <v>23.842417908916218</v>
      </c>
      <c r="H109" s="183">
        <f t="shared" si="3"/>
        <v>4.7780120242114403</v>
      </c>
      <c r="I109" s="183">
        <f t="shared" si="3"/>
        <v>1.4055515829000838</v>
      </c>
      <c r="J109" s="183">
        <f t="shared" si="3"/>
        <v>0.17121082597144546</v>
      </c>
      <c r="K109" s="183">
        <f t="shared" si="3"/>
        <v>66.168031030969686</v>
      </c>
      <c r="L109" s="183">
        <f t="shared" si="3"/>
        <v>3.8477139473477218</v>
      </c>
      <c r="M109" s="183">
        <f t="shared" si="3"/>
        <v>17.422791787891132</v>
      </c>
      <c r="N109" s="183">
        <f t="shared" si="3"/>
        <v>174.21703800787358</v>
      </c>
      <c r="O109" s="183">
        <f t="shared" si="3"/>
        <v>0</v>
      </c>
      <c r="P109" s="183">
        <f t="shared" si="3"/>
        <v>0.1156747936878938</v>
      </c>
      <c r="Q109" s="183">
        <f t="shared" si="3"/>
        <v>0.16377130904611265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20/11/2023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2063</v>
      </c>
      <c r="B9" s="134">
        <v>11.48</v>
      </c>
      <c r="C9" s="134">
        <v>20.52</v>
      </c>
      <c r="D9" s="134">
        <v>21.28</v>
      </c>
      <c r="E9" s="134">
        <v>5.37</v>
      </c>
      <c r="F9" s="134">
        <v>3.07</v>
      </c>
      <c r="G9" s="134">
        <v>68.8</v>
      </c>
      <c r="H9" s="134">
        <v>32.28</v>
      </c>
      <c r="I9" s="134">
        <v>7.39</v>
      </c>
      <c r="J9" s="134">
        <v>0.11</v>
      </c>
      <c r="K9" s="134">
        <v>208.85</v>
      </c>
      <c r="L9" s="134">
        <v>22.5</v>
      </c>
      <c r="M9" s="134">
        <v>78.2</v>
      </c>
      <c r="N9" s="134">
        <v>0</v>
      </c>
      <c r="O9" s="134">
        <v>0</v>
      </c>
      <c r="P9" s="134">
        <v>0.76</v>
      </c>
      <c r="Q9" s="134">
        <v>4.47</v>
      </c>
    </row>
    <row r="10" spans="1:21" customFormat="1">
      <c r="A10" s="112" t="s">
        <v>2064</v>
      </c>
      <c r="B10" s="134">
        <v>10.72</v>
      </c>
      <c r="C10" s="134">
        <v>21.96</v>
      </c>
      <c r="D10" s="134">
        <v>21.42</v>
      </c>
      <c r="E10" s="134">
        <v>6.08</v>
      </c>
      <c r="F10" s="134">
        <v>3.05</v>
      </c>
      <c r="G10" s="134">
        <v>51.48</v>
      </c>
      <c r="H10" s="134">
        <v>28</v>
      </c>
      <c r="I10" s="134">
        <v>7.28</v>
      </c>
      <c r="J10" s="134">
        <v>0.12</v>
      </c>
      <c r="K10" s="134">
        <v>220.64</v>
      </c>
      <c r="L10" s="134">
        <v>22.19</v>
      </c>
      <c r="M10" s="134">
        <v>80.510000000000005</v>
      </c>
      <c r="N10" s="134">
        <v>0</v>
      </c>
      <c r="O10" s="134">
        <v>0</v>
      </c>
      <c r="P10" s="134">
        <v>0.74</v>
      </c>
      <c r="Q10" s="134">
        <v>4.43</v>
      </c>
    </row>
    <row r="11" spans="1:21" customFormat="1">
      <c r="A11" s="112" t="s">
        <v>2065</v>
      </c>
      <c r="B11" s="134">
        <v>9.8699999999999992</v>
      </c>
      <c r="C11" s="134">
        <v>22.23</v>
      </c>
      <c r="D11" s="134">
        <v>20.88</v>
      </c>
      <c r="E11" s="134">
        <v>5.84</v>
      </c>
      <c r="F11" s="134">
        <v>3.08</v>
      </c>
      <c r="G11" s="134">
        <v>48.01</v>
      </c>
      <c r="H11" s="134">
        <v>28</v>
      </c>
      <c r="I11" s="134">
        <v>7.14</v>
      </c>
      <c r="J11" s="134">
        <v>0.11</v>
      </c>
      <c r="K11" s="134">
        <v>203.96</v>
      </c>
      <c r="L11" s="134">
        <v>21.96</v>
      </c>
      <c r="M11" s="134">
        <v>81.760000000000005</v>
      </c>
      <c r="N11" s="134">
        <v>0</v>
      </c>
      <c r="O11" s="134">
        <v>0</v>
      </c>
      <c r="P11" s="134">
        <v>0.74</v>
      </c>
      <c r="Q11" s="134">
        <v>4.4000000000000004</v>
      </c>
    </row>
    <row r="12" spans="1:21" customFormat="1">
      <c r="A12" s="112" t="s">
        <v>2066</v>
      </c>
      <c r="B12" s="134">
        <v>9</v>
      </c>
      <c r="C12" s="134">
        <v>22.39</v>
      </c>
      <c r="D12" s="134">
        <v>20.27</v>
      </c>
      <c r="E12" s="134">
        <v>6.29</v>
      </c>
      <c r="F12" s="134">
        <v>3.13</v>
      </c>
      <c r="G12" s="134">
        <v>48.01</v>
      </c>
      <c r="H12" s="134">
        <v>28</v>
      </c>
      <c r="I12" s="134">
        <v>6.95</v>
      </c>
      <c r="J12" s="134">
        <v>0.09</v>
      </c>
      <c r="K12" s="134">
        <v>210.99</v>
      </c>
      <c r="L12" s="134">
        <v>21.67</v>
      </c>
      <c r="M12" s="134">
        <v>84.46</v>
      </c>
      <c r="N12" s="134">
        <v>0</v>
      </c>
      <c r="O12" s="134">
        <v>0</v>
      </c>
      <c r="P12" s="134">
        <v>0.72</v>
      </c>
      <c r="Q12" s="134">
        <v>4.38</v>
      </c>
    </row>
    <row r="13" spans="1:21" customFormat="1">
      <c r="A13" s="112" t="s">
        <v>2067</v>
      </c>
      <c r="B13" s="134">
        <v>8.4499999999999993</v>
      </c>
      <c r="C13" s="134">
        <v>22.55</v>
      </c>
      <c r="D13" s="134">
        <v>19.91</v>
      </c>
      <c r="E13" s="134">
        <v>6.17</v>
      </c>
      <c r="F13" s="134">
        <v>3.12</v>
      </c>
      <c r="G13" s="134">
        <v>48.01</v>
      </c>
      <c r="H13" s="134">
        <v>28</v>
      </c>
      <c r="I13" s="134">
        <v>6.7</v>
      </c>
      <c r="J13" s="134">
        <v>0.11</v>
      </c>
      <c r="K13" s="134">
        <v>163.36000000000001</v>
      </c>
      <c r="L13" s="134">
        <v>21.56</v>
      </c>
      <c r="M13" s="134">
        <v>83.94</v>
      </c>
      <c r="N13" s="134">
        <v>0</v>
      </c>
      <c r="O13" s="134">
        <v>0</v>
      </c>
      <c r="P13" s="134">
        <v>0.7</v>
      </c>
      <c r="Q13" s="134">
        <v>4.3600000000000003</v>
      </c>
    </row>
    <row r="14" spans="1:21" customFormat="1">
      <c r="A14" s="112" t="s">
        <v>2068</v>
      </c>
      <c r="B14" s="134">
        <v>8.6</v>
      </c>
      <c r="C14" s="134">
        <v>23.12</v>
      </c>
      <c r="D14" s="134">
        <v>20.329999999999998</v>
      </c>
      <c r="E14" s="134">
        <v>6.3</v>
      </c>
      <c r="F14" s="134">
        <v>2.87</v>
      </c>
      <c r="G14" s="134">
        <v>43.38</v>
      </c>
      <c r="H14" s="134">
        <v>23.02</v>
      </c>
      <c r="I14" s="134">
        <v>6.48</v>
      </c>
      <c r="J14" s="134">
        <v>0.1</v>
      </c>
      <c r="K14" s="134">
        <v>156.66</v>
      </c>
      <c r="L14" s="134">
        <v>21.45</v>
      </c>
      <c r="M14" s="134">
        <v>84.46</v>
      </c>
      <c r="N14" s="134">
        <v>0</v>
      </c>
      <c r="O14" s="134">
        <v>0</v>
      </c>
      <c r="P14" s="134">
        <v>0.69</v>
      </c>
      <c r="Q14" s="134">
        <v>4.37</v>
      </c>
    </row>
    <row r="15" spans="1:21" customFormat="1">
      <c r="A15" s="112" t="s">
        <v>2069</v>
      </c>
      <c r="B15" s="134">
        <v>10.029999999999999</v>
      </c>
      <c r="C15" s="134">
        <v>24.69</v>
      </c>
      <c r="D15" s="134">
        <v>22.29</v>
      </c>
      <c r="E15" s="134">
        <v>5.95</v>
      </c>
      <c r="F15" s="134">
        <v>2.63</v>
      </c>
      <c r="G15" s="134">
        <v>42.45</v>
      </c>
      <c r="H15" s="134">
        <v>23.02</v>
      </c>
      <c r="I15" s="134">
        <v>6.31</v>
      </c>
      <c r="J15" s="134">
        <v>0.13</v>
      </c>
      <c r="K15" s="134">
        <v>193.44</v>
      </c>
      <c r="L15" s="134">
        <v>21.28</v>
      </c>
      <c r="M15" s="134">
        <v>85.62</v>
      </c>
      <c r="N15" s="134">
        <v>0</v>
      </c>
      <c r="O15" s="134">
        <v>0</v>
      </c>
      <c r="P15" s="134">
        <v>0.68</v>
      </c>
      <c r="Q15" s="134">
        <v>4.42</v>
      </c>
    </row>
    <row r="16" spans="1:21" customFormat="1">
      <c r="A16" s="112" t="s">
        <v>2070</v>
      </c>
      <c r="B16" s="134">
        <v>10.98</v>
      </c>
      <c r="C16" s="134">
        <v>25.81</v>
      </c>
      <c r="D16" s="134">
        <v>23.64</v>
      </c>
      <c r="E16" s="134">
        <v>7.08</v>
      </c>
      <c r="F16" s="134">
        <v>2.61</v>
      </c>
      <c r="G16" s="134">
        <v>42.45</v>
      </c>
      <c r="H16" s="134">
        <v>23.02</v>
      </c>
      <c r="I16" s="134">
        <v>6.15</v>
      </c>
      <c r="J16" s="134">
        <v>0.12</v>
      </c>
      <c r="K16" s="134">
        <v>192.41</v>
      </c>
      <c r="L16" s="134">
        <v>20.99</v>
      </c>
      <c r="M16" s="134">
        <v>89.74</v>
      </c>
      <c r="N16" s="134">
        <v>0</v>
      </c>
      <c r="O16" s="134">
        <v>0</v>
      </c>
      <c r="P16" s="134">
        <v>0.66</v>
      </c>
      <c r="Q16" s="134">
        <v>4.46</v>
      </c>
    </row>
    <row r="17" spans="1:17" customFormat="1">
      <c r="A17" s="112" t="s">
        <v>2071</v>
      </c>
      <c r="B17" s="134">
        <v>11.01</v>
      </c>
      <c r="C17" s="134">
        <v>25.71</v>
      </c>
      <c r="D17" s="134">
        <v>23.61</v>
      </c>
      <c r="E17" s="134">
        <v>7.3</v>
      </c>
      <c r="F17" s="134">
        <v>2.6</v>
      </c>
      <c r="G17" s="134">
        <v>42.45</v>
      </c>
      <c r="H17" s="134">
        <v>23.02</v>
      </c>
      <c r="I17" s="134">
        <v>6.08</v>
      </c>
      <c r="J17" s="134">
        <v>0.11</v>
      </c>
      <c r="K17" s="134">
        <v>204.07</v>
      </c>
      <c r="L17" s="134">
        <v>20.8</v>
      </c>
      <c r="M17" s="134">
        <v>89.12</v>
      </c>
      <c r="N17" s="134">
        <v>0</v>
      </c>
      <c r="O17" s="134">
        <v>0</v>
      </c>
      <c r="P17" s="134">
        <v>0.65</v>
      </c>
      <c r="Q17" s="134">
        <v>4.5</v>
      </c>
    </row>
    <row r="18" spans="1:17" customFormat="1">
      <c r="A18" s="112" t="s">
        <v>2072</v>
      </c>
      <c r="B18" s="134">
        <v>10.63</v>
      </c>
      <c r="C18" s="134">
        <v>25.49</v>
      </c>
      <c r="D18" s="134">
        <v>23.19</v>
      </c>
      <c r="E18" s="134">
        <v>8.57</v>
      </c>
      <c r="F18" s="134">
        <v>2.57</v>
      </c>
      <c r="G18" s="134">
        <v>49.48</v>
      </c>
      <c r="H18" s="134">
        <v>20.32</v>
      </c>
      <c r="I18" s="134">
        <v>5.96</v>
      </c>
      <c r="J18" s="134">
        <v>0.13</v>
      </c>
      <c r="K18" s="134">
        <v>212.19</v>
      </c>
      <c r="L18" s="134">
        <v>20.51</v>
      </c>
      <c r="M18" s="134">
        <v>92.93</v>
      </c>
      <c r="N18" s="134">
        <v>0</v>
      </c>
      <c r="O18" s="134">
        <v>0</v>
      </c>
      <c r="P18" s="134">
        <v>0.64</v>
      </c>
      <c r="Q18" s="134">
        <v>4.47</v>
      </c>
    </row>
    <row r="19" spans="1:17" customFormat="1">
      <c r="A19" s="112" t="s">
        <v>2073</v>
      </c>
      <c r="B19" s="134">
        <v>10.16</v>
      </c>
      <c r="C19" s="134">
        <v>24.97</v>
      </c>
      <c r="D19" s="134">
        <v>22.54</v>
      </c>
      <c r="E19" s="134">
        <v>8.32</v>
      </c>
      <c r="F19" s="134">
        <v>2.78</v>
      </c>
      <c r="G19" s="134">
        <v>50.88</v>
      </c>
      <c r="H19" s="134">
        <v>20.32</v>
      </c>
      <c r="I19" s="134">
        <v>5.84</v>
      </c>
      <c r="J19" s="134">
        <v>0.06</v>
      </c>
      <c r="K19" s="134">
        <v>180.01</v>
      </c>
      <c r="L19" s="134">
        <v>20.239999999999998</v>
      </c>
      <c r="M19" s="134">
        <v>95.06</v>
      </c>
      <c r="N19" s="134">
        <v>0</v>
      </c>
      <c r="O19" s="134">
        <v>0</v>
      </c>
      <c r="P19" s="134">
        <v>0.62</v>
      </c>
      <c r="Q19" s="134">
        <v>4.46</v>
      </c>
    </row>
    <row r="20" spans="1:17" customFormat="1">
      <c r="A20" s="112" t="s">
        <v>2074</v>
      </c>
      <c r="B20" s="134">
        <v>9.68</v>
      </c>
      <c r="C20" s="134">
        <v>24.52</v>
      </c>
      <c r="D20" s="134">
        <v>21.93</v>
      </c>
      <c r="E20" s="134">
        <v>8.77</v>
      </c>
      <c r="F20" s="134">
        <v>2.86</v>
      </c>
      <c r="G20" s="134">
        <v>50.88</v>
      </c>
      <c r="H20" s="134">
        <v>20.32</v>
      </c>
      <c r="I20" s="134">
        <v>5.76</v>
      </c>
      <c r="J20" s="134">
        <v>0.12</v>
      </c>
      <c r="K20" s="134">
        <v>172.73</v>
      </c>
      <c r="L20" s="134">
        <v>20.11</v>
      </c>
      <c r="M20" s="134">
        <v>93.37</v>
      </c>
      <c r="N20" s="134">
        <v>0</v>
      </c>
      <c r="O20" s="134">
        <v>0</v>
      </c>
      <c r="P20" s="134">
        <v>0.6</v>
      </c>
      <c r="Q20" s="134">
        <v>4.45</v>
      </c>
    </row>
    <row r="21" spans="1:17" customFormat="1">
      <c r="A21" s="112" t="s">
        <v>2075</v>
      </c>
      <c r="B21" s="134">
        <v>9.5299999999999994</v>
      </c>
      <c r="C21" s="134">
        <v>24.31</v>
      </c>
      <c r="D21" s="134">
        <v>21.69</v>
      </c>
      <c r="E21" s="134">
        <v>8.5299999999999994</v>
      </c>
      <c r="F21" s="134">
        <v>2.64</v>
      </c>
      <c r="G21" s="134">
        <v>50.88</v>
      </c>
      <c r="H21" s="134">
        <v>20.32</v>
      </c>
      <c r="I21" s="134">
        <v>5.65</v>
      </c>
      <c r="J21" s="134">
        <v>7.0000000000000007E-2</v>
      </c>
      <c r="K21" s="134">
        <v>144.66</v>
      </c>
      <c r="L21" s="134">
        <v>20</v>
      </c>
      <c r="M21" s="134">
        <v>92.41</v>
      </c>
      <c r="N21" s="134">
        <v>0</v>
      </c>
      <c r="O21" s="134">
        <v>0</v>
      </c>
      <c r="P21" s="134">
        <v>0.59</v>
      </c>
      <c r="Q21" s="134">
        <v>4.43</v>
      </c>
    </row>
    <row r="22" spans="1:17" customFormat="1">
      <c r="A22" s="112" t="s">
        <v>2076</v>
      </c>
      <c r="B22" s="134">
        <v>9.68</v>
      </c>
      <c r="C22" s="134">
        <v>24.33</v>
      </c>
      <c r="D22" s="134">
        <v>21.82</v>
      </c>
      <c r="E22" s="134">
        <v>8.5399999999999991</v>
      </c>
      <c r="F22" s="134">
        <v>2.61</v>
      </c>
      <c r="G22" s="134">
        <v>38.479999999999997</v>
      </c>
      <c r="H22" s="134">
        <v>19.399999999999999</v>
      </c>
      <c r="I22" s="134">
        <v>5.57</v>
      </c>
      <c r="J22" s="134">
        <v>0.02</v>
      </c>
      <c r="K22" s="134">
        <v>17.100000000000001</v>
      </c>
      <c r="L22" s="134">
        <v>19.97</v>
      </c>
      <c r="M22" s="134">
        <v>93</v>
      </c>
      <c r="N22" s="134">
        <v>0</v>
      </c>
      <c r="O22" s="134">
        <v>0</v>
      </c>
      <c r="P22" s="134">
        <v>0.57999999999999996</v>
      </c>
      <c r="Q22" s="134">
        <v>4.45</v>
      </c>
    </row>
    <row r="23" spans="1:17" customFormat="1">
      <c r="A23" s="112" t="s">
        <v>2077</v>
      </c>
      <c r="B23" s="134">
        <v>10.36</v>
      </c>
      <c r="C23" s="134">
        <v>25.12</v>
      </c>
      <c r="D23" s="134">
        <v>22.79</v>
      </c>
      <c r="E23" s="134">
        <v>8.73</v>
      </c>
      <c r="F23" s="134">
        <v>2.5299999999999998</v>
      </c>
      <c r="G23" s="134">
        <v>36</v>
      </c>
      <c r="H23" s="134">
        <v>19.399999999999999</v>
      </c>
      <c r="I23" s="134">
        <v>5.49</v>
      </c>
      <c r="J23" s="134">
        <v>0.33</v>
      </c>
      <c r="K23" s="134">
        <v>33.6</v>
      </c>
      <c r="L23" s="134">
        <v>19.79</v>
      </c>
      <c r="M23" s="134">
        <v>93.3</v>
      </c>
      <c r="N23" s="134">
        <v>0</v>
      </c>
      <c r="O23" s="134">
        <v>0</v>
      </c>
      <c r="P23" s="134">
        <v>0.56999999999999995</v>
      </c>
      <c r="Q23" s="134">
        <v>4.5</v>
      </c>
    </row>
    <row r="24" spans="1:17" customFormat="1">
      <c r="A24" s="112" t="s">
        <v>2078</v>
      </c>
      <c r="B24" s="134">
        <v>10.92</v>
      </c>
      <c r="C24" s="134">
        <v>25.26</v>
      </c>
      <c r="D24" s="134">
        <v>23.31</v>
      </c>
      <c r="E24" s="134">
        <v>8.9</v>
      </c>
      <c r="F24" s="134">
        <v>2.56</v>
      </c>
      <c r="G24" s="134">
        <v>36</v>
      </c>
      <c r="H24" s="134">
        <v>19.399999999999999</v>
      </c>
      <c r="I24" s="134">
        <v>5.45</v>
      </c>
      <c r="J24" s="134">
        <v>0.23</v>
      </c>
      <c r="K24" s="134">
        <v>56.51</v>
      </c>
      <c r="L24" s="134">
        <v>19.91</v>
      </c>
      <c r="M24" s="134">
        <v>91.85</v>
      </c>
      <c r="N24" s="134">
        <v>0</v>
      </c>
      <c r="O24" s="134">
        <v>0</v>
      </c>
      <c r="P24" s="134">
        <v>0.56000000000000005</v>
      </c>
      <c r="Q24" s="134">
        <v>4.5199999999999996</v>
      </c>
    </row>
    <row r="25" spans="1:17" customFormat="1">
      <c r="A25" s="112" t="s">
        <v>2079</v>
      </c>
      <c r="B25" s="134">
        <v>10.87</v>
      </c>
      <c r="C25" s="134">
        <v>25.22</v>
      </c>
      <c r="D25" s="134">
        <v>23.25</v>
      </c>
      <c r="E25" s="134">
        <v>8.5399999999999991</v>
      </c>
      <c r="F25" s="134">
        <v>2.69</v>
      </c>
      <c r="G25" s="134">
        <v>36</v>
      </c>
      <c r="H25" s="134">
        <v>19.399999999999999</v>
      </c>
      <c r="I25" s="134">
        <v>5.41</v>
      </c>
      <c r="J25" s="134">
        <v>0.26</v>
      </c>
      <c r="K25" s="134">
        <v>45.8</v>
      </c>
      <c r="L25" s="134">
        <v>19.82</v>
      </c>
      <c r="M25" s="134">
        <v>92.15</v>
      </c>
      <c r="N25" s="134">
        <v>0</v>
      </c>
      <c r="O25" s="134">
        <v>0</v>
      </c>
      <c r="P25" s="134">
        <v>0.56000000000000005</v>
      </c>
      <c r="Q25" s="134">
        <v>4.5</v>
      </c>
    </row>
    <row r="26" spans="1:17" customFormat="1">
      <c r="A26" s="112" t="s">
        <v>2080</v>
      </c>
      <c r="B26" s="134">
        <v>11.06</v>
      </c>
      <c r="C26" s="134">
        <v>25.42</v>
      </c>
      <c r="D26" s="134">
        <v>23.5</v>
      </c>
      <c r="E26" s="134">
        <v>8.58</v>
      </c>
      <c r="F26" s="134">
        <v>2.56</v>
      </c>
      <c r="G26" s="134">
        <v>48.42</v>
      </c>
      <c r="H26" s="134">
        <v>20.37</v>
      </c>
      <c r="I26" s="134">
        <v>5.33</v>
      </c>
      <c r="J26" s="134">
        <v>0.1</v>
      </c>
      <c r="K26" s="134">
        <v>58.6</v>
      </c>
      <c r="L26" s="134">
        <v>19.75</v>
      </c>
      <c r="M26" s="134">
        <v>91.9</v>
      </c>
      <c r="N26" s="134">
        <v>0</v>
      </c>
      <c r="O26" s="134">
        <v>0</v>
      </c>
      <c r="P26" s="134">
        <v>0.56000000000000005</v>
      </c>
      <c r="Q26" s="134">
        <v>4.5</v>
      </c>
    </row>
    <row r="27" spans="1:17" customFormat="1">
      <c r="A27" s="112" t="s">
        <v>2081</v>
      </c>
      <c r="B27" s="134">
        <v>10.97</v>
      </c>
      <c r="C27" s="134">
        <v>25.4</v>
      </c>
      <c r="D27" s="134">
        <v>23.41</v>
      </c>
      <c r="E27" s="134">
        <v>8.7200000000000006</v>
      </c>
      <c r="F27" s="134">
        <v>2.67</v>
      </c>
      <c r="G27" s="134">
        <v>50.91</v>
      </c>
      <c r="H27" s="134">
        <v>20.37</v>
      </c>
      <c r="I27" s="134">
        <v>5.28</v>
      </c>
      <c r="J27" s="134">
        <v>0.12</v>
      </c>
      <c r="K27" s="134">
        <v>55.29</v>
      </c>
      <c r="L27" s="134">
        <v>19.649999999999999</v>
      </c>
      <c r="M27" s="134">
        <v>90.39</v>
      </c>
      <c r="N27" s="134">
        <v>0</v>
      </c>
      <c r="O27" s="134">
        <v>0</v>
      </c>
      <c r="P27" s="134">
        <v>0.56000000000000005</v>
      </c>
      <c r="Q27" s="134">
        <v>4.51</v>
      </c>
    </row>
    <row r="28" spans="1:17" customFormat="1">
      <c r="A28" s="112" t="s">
        <v>2082</v>
      </c>
      <c r="B28" s="134">
        <v>11.31</v>
      </c>
      <c r="C28" s="134">
        <v>25.84</v>
      </c>
      <c r="D28" s="134">
        <v>23.92</v>
      </c>
      <c r="E28" s="134">
        <v>8.84</v>
      </c>
      <c r="F28" s="134">
        <v>2.63</v>
      </c>
      <c r="G28" s="134">
        <v>50.91</v>
      </c>
      <c r="H28" s="134">
        <v>20.37</v>
      </c>
      <c r="I28" s="134">
        <v>5.24</v>
      </c>
      <c r="J28" s="134">
        <v>0.17</v>
      </c>
      <c r="K28" s="134">
        <v>56.21</v>
      </c>
      <c r="L28" s="134">
        <v>19.59</v>
      </c>
      <c r="M28" s="134">
        <v>90.47</v>
      </c>
      <c r="N28" s="134">
        <v>0</v>
      </c>
      <c r="O28" s="134">
        <v>0</v>
      </c>
      <c r="P28" s="134">
        <v>0.55000000000000004</v>
      </c>
      <c r="Q28" s="134">
        <v>4.51</v>
      </c>
    </row>
    <row r="29" spans="1:17" customFormat="1">
      <c r="A29" s="112" t="s">
        <v>2083</v>
      </c>
      <c r="B29" s="134">
        <v>12.06</v>
      </c>
      <c r="C29" s="134">
        <v>26.4</v>
      </c>
      <c r="D29" s="134">
        <v>24.81</v>
      </c>
      <c r="E29" s="134">
        <v>8.59</v>
      </c>
      <c r="F29" s="134">
        <v>2.57</v>
      </c>
      <c r="G29" s="134">
        <v>50.91</v>
      </c>
      <c r="H29" s="134">
        <v>20.37</v>
      </c>
      <c r="I29" s="134">
        <v>5.28</v>
      </c>
      <c r="J29" s="134">
        <v>0.17</v>
      </c>
      <c r="K29" s="134">
        <v>53.49</v>
      </c>
      <c r="L29" s="134">
        <v>19.32</v>
      </c>
      <c r="M29" s="134">
        <v>92.41</v>
      </c>
      <c r="N29" s="134">
        <v>0</v>
      </c>
      <c r="O29" s="134">
        <v>0</v>
      </c>
      <c r="P29" s="134">
        <v>0.55000000000000004</v>
      </c>
      <c r="Q29" s="134">
        <v>4.53</v>
      </c>
    </row>
    <row r="30" spans="1:17" customFormat="1">
      <c r="A30" s="112" t="s">
        <v>2084</v>
      </c>
      <c r="B30" s="134">
        <v>12.32</v>
      </c>
      <c r="C30" s="134">
        <v>26.58</v>
      </c>
      <c r="D30" s="134">
        <v>25.12</v>
      </c>
      <c r="E30" s="134">
        <v>8.33</v>
      </c>
      <c r="F30" s="134">
        <v>2.68</v>
      </c>
      <c r="G30" s="134">
        <v>45.3</v>
      </c>
      <c r="H30" s="134">
        <v>22.92</v>
      </c>
      <c r="I30" s="134">
        <v>5.29</v>
      </c>
      <c r="J30" s="134">
        <v>0.14000000000000001</v>
      </c>
      <c r="K30" s="134">
        <v>65.38</v>
      </c>
      <c r="L30" s="134">
        <v>19.28</v>
      </c>
      <c r="M30" s="134">
        <v>92.44</v>
      </c>
      <c r="N30" s="134">
        <v>0</v>
      </c>
      <c r="O30" s="134">
        <v>0</v>
      </c>
      <c r="P30" s="134">
        <v>0.56000000000000005</v>
      </c>
      <c r="Q30" s="134">
        <v>4.5599999999999996</v>
      </c>
    </row>
    <row r="31" spans="1:17" customFormat="1">
      <c r="A31" s="112" t="s">
        <v>2085</v>
      </c>
      <c r="B31" s="134">
        <v>12.63</v>
      </c>
      <c r="C31" s="134">
        <v>25.01</v>
      </c>
      <c r="D31" s="134">
        <v>24.55</v>
      </c>
      <c r="E31" s="134">
        <v>8.15</v>
      </c>
      <c r="F31" s="134">
        <v>3.12</v>
      </c>
      <c r="G31" s="134">
        <v>44.18</v>
      </c>
      <c r="H31" s="134">
        <v>22.92</v>
      </c>
      <c r="I31" s="134">
        <v>5.39</v>
      </c>
      <c r="J31" s="134">
        <v>0.22</v>
      </c>
      <c r="K31" s="134">
        <v>40.43</v>
      </c>
      <c r="L31" s="134">
        <v>19.32</v>
      </c>
      <c r="M31" s="134">
        <v>89.51</v>
      </c>
      <c r="N31" s="134">
        <v>0</v>
      </c>
      <c r="O31" s="134">
        <v>0</v>
      </c>
      <c r="P31" s="134">
        <v>0.53</v>
      </c>
      <c r="Q31" s="134">
        <v>4.58</v>
      </c>
    </row>
    <row r="32" spans="1:17" customFormat="1">
      <c r="A32" s="112" t="s">
        <v>2086</v>
      </c>
      <c r="B32" s="134">
        <v>13.15</v>
      </c>
      <c r="C32" s="134">
        <v>23</v>
      </c>
      <c r="D32" s="134">
        <v>23.92</v>
      </c>
      <c r="E32" s="134">
        <v>7.67</v>
      </c>
      <c r="F32" s="134">
        <v>3.12</v>
      </c>
      <c r="G32" s="134">
        <v>44.18</v>
      </c>
      <c r="H32" s="134">
        <v>22.92</v>
      </c>
      <c r="I32" s="134">
        <v>5.42</v>
      </c>
      <c r="J32" s="134">
        <v>0.15</v>
      </c>
      <c r="K32" s="134">
        <v>34.880000000000003</v>
      </c>
      <c r="L32" s="134">
        <v>19.32</v>
      </c>
      <c r="M32" s="134">
        <v>88.89</v>
      </c>
      <c r="N32" s="134">
        <v>0</v>
      </c>
      <c r="O32" s="134">
        <v>0</v>
      </c>
      <c r="P32" s="134">
        <v>0.51</v>
      </c>
      <c r="Q32" s="134">
        <v>4.58</v>
      </c>
    </row>
    <row r="33" spans="1:17" customFormat="1">
      <c r="A33" s="112" t="s">
        <v>2087</v>
      </c>
      <c r="B33" s="134">
        <v>13.65</v>
      </c>
      <c r="C33" s="134">
        <v>22.76</v>
      </c>
      <c r="D33" s="134">
        <v>24.19</v>
      </c>
      <c r="E33" s="134">
        <v>7.37</v>
      </c>
      <c r="F33" s="134">
        <v>2.8</v>
      </c>
      <c r="G33" s="134">
        <v>44.18</v>
      </c>
      <c r="H33" s="134">
        <v>22.92</v>
      </c>
      <c r="I33" s="134">
        <v>5.45</v>
      </c>
      <c r="J33" s="134">
        <v>0.25</v>
      </c>
      <c r="K33" s="134">
        <v>40.78</v>
      </c>
      <c r="L33" s="134">
        <v>19.37</v>
      </c>
      <c r="M33" s="134">
        <v>88.15</v>
      </c>
      <c r="N33" s="134">
        <v>0</v>
      </c>
      <c r="O33" s="134">
        <v>0</v>
      </c>
      <c r="P33" s="134">
        <v>0.51</v>
      </c>
      <c r="Q33" s="134">
        <v>4.5599999999999996</v>
      </c>
    </row>
    <row r="34" spans="1:17" customFormat="1">
      <c r="A34" s="112" t="s">
        <v>2088</v>
      </c>
      <c r="B34" s="134">
        <v>13.96</v>
      </c>
      <c r="C34" s="134">
        <v>24.1</v>
      </c>
      <c r="D34" s="134">
        <v>25.13</v>
      </c>
      <c r="E34" s="134">
        <v>8.1999999999999993</v>
      </c>
      <c r="F34" s="134">
        <v>2.4</v>
      </c>
      <c r="G34" s="134">
        <v>48.87</v>
      </c>
      <c r="H34" s="134">
        <v>21.58</v>
      </c>
      <c r="I34" s="134">
        <v>5.46</v>
      </c>
      <c r="J34" s="134">
        <v>0.22</v>
      </c>
      <c r="K34" s="134">
        <v>35.67</v>
      </c>
      <c r="L34" s="134">
        <v>19.41</v>
      </c>
      <c r="M34" s="134">
        <v>88.22</v>
      </c>
      <c r="N34" s="134">
        <v>1.1000000000000001</v>
      </c>
      <c r="O34" s="134">
        <v>0</v>
      </c>
      <c r="P34" s="134">
        <v>0.52</v>
      </c>
      <c r="Q34" s="134">
        <v>4.55</v>
      </c>
    </row>
    <row r="35" spans="1:17" customFormat="1">
      <c r="A35" s="112" t="s">
        <v>2089</v>
      </c>
      <c r="B35" s="134">
        <v>14.46</v>
      </c>
      <c r="C35" s="134">
        <v>23.93</v>
      </c>
      <c r="D35" s="134">
        <v>25.45</v>
      </c>
      <c r="E35" s="134">
        <v>8.16</v>
      </c>
      <c r="F35" s="134">
        <v>2.56</v>
      </c>
      <c r="G35" s="134">
        <v>49.81</v>
      </c>
      <c r="H35" s="134">
        <v>21.58</v>
      </c>
      <c r="I35" s="134">
        <v>5.44</v>
      </c>
      <c r="J35" s="134">
        <v>0.28000000000000003</v>
      </c>
      <c r="K35" s="134">
        <v>35.08</v>
      </c>
      <c r="L35" s="134">
        <v>19.46</v>
      </c>
      <c r="M35" s="134">
        <v>88.45</v>
      </c>
      <c r="N35" s="134">
        <v>11.8</v>
      </c>
      <c r="O35" s="134">
        <v>0</v>
      </c>
      <c r="P35" s="134">
        <v>0.53</v>
      </c>
      <c r="Q35" s="134">
        <v>4.57</v>
      </c>
    </row>
    <row r="36" spans="1:17" customFormat="1">
      <c r="A36" s="112" t="s">
        <v>2090</v>
      </c>
      <c r="B36" s="134">
        <v>15.35</v>
      </c>
      <c r="C36" s="134">
        <v>24.37</v>
      </c>
      <c r="D36" s="134">
        <v>26.39</v>
      </c>
      <c r="E36" s="134">
        <v>8.19</v>
      </c>
      <c r="F36" s="134">
        <v>2.5099999999999998</v>
      </c>
      <c r="G36" s="134">
        <v>49.81</v>
      </c>
      <c r="H36" s="134">
        <v>21.58</v>
      </c>
      <c r="I36" s="134">
        <v>5.54</v>
      </c>
      <c r="J36" s="134">
        <v>0.41</v>
      </c>
      <c r="K36" s="134">
        <v>33.840000000000003</v>
      </c>
      <c r="L36" s="134">
        <v>19.73</v>
      </c>
      <c r="M36" s="134">
        <v>87.24</v>
      </c>
      <c r="N36" s="134">
        <v>24.2</v>
      </c>
      <c r="O36" s="134">
        <v>0</v>
      </c>
      <c r="P36" s="134">
        <v>0.55000000000000004</v>
      </c>
      <c r="Q36" s="134">
        <v>4.5999999999999996</v>
      </c>
    </row>
    <row r="37" spans="1:17" customFormat="1">
      <c r="A37" s="112" t="s">
        <v>2091</v>
      </c>
      <c r="B37" s="134">
        <v>15.92</v>
      </c>
      <c r="C37" s="134">
        <v>23.28</v>
      </c>
      <c r="D37" s="134">
        <v>26.28</v>
      </c>
      <c r="E37" s="134">
        <v>8.2799999999999994</v>
      </c>
      <c r="F37" s="134">
        <v>2.75</v>
      </c>
      <c r="G37" s="134">
        <v>49.81</v>
      </c>
      <c r="H37" s="134">
        <v>21.58</v>
      </c>
      <c r="I37" s="134">
        <v>5.58</v>
      </c>
      <c r="J37" s="134">
        <v>0.48</v>
      </c>
      <c r="K37" s="134">
        <v>39.479999999999997</v>
      </c>
      <c r="L37" s="134">
        <v>20.03</v>
      </c>
      <c r="M37" s="134">
        <v>86.17</v>
      </c>
      <c r="N37" s="134">
        <v>37.6</v>
      </c>
      <c r="O37" s="134">
        <v>0</v>
      </c>
      <c r="P37" s="134">
        <v>0.55000000000000004</v>
      </c>
      <c r="Q37" s="134">
        <v>4.6500000000000004</v>
      </c>
    </row>
    <row r="38" spans="1:17" customFormat="1">
      <c r="A38" s="112" t="s">
        <v>2092</v>
      </c>
      <c r="B38" s="134">
        <v>16.34</v>
      </c>
      <c r="C38" s="134">
        <v>24.18</v>
      </c>
      <c r="D38" s="134">
        <v>27.09</v>
      </c>
      <c r="E38" s="134">
        <v>8.09</v>
      </c>
      <c r="F38" s="134">
        <v>2.5499999999999998</v>
      </c>
      <c r="G38" s="134">
        <v>62.73</v>
      </c>
      <c r="H38" s="134">
        <v>22.44</v>
      </c>
      <c r="I38" s="134">
        <v>5.67</v>
      </c>
      <c r="J38" s="134">
        <v>0.51</v>
      </c>
      <c r="K38" s="134">
        <v>35.33</v>
      </c>
      <c r="L38" s="134">
        <v>20.420000000000002</v>
      </c>
      <c r="M38" s="134">
        <v>85.27</v>
      </c>
      <c r="N38" s="134">
        <v>54.3</v>
      </c>
      <c r="O38" s="134">
        <v>0</v>
      </c>
      <c r="P38" s="134">
        <v>0.56999999999999995</v>
      </c>
      <c r="Q38" s="134">
        <v>4.6500000000000004</v>
      </c>
    </row>
    <row r="39" spans="1:17" customFormat="1">
      <c r="A39" s="112" t="s">
        <v>2093</v>
      </c>
      <c r="B39" s="134">
        <v>16.66</v>
      </c>
      <c r="C39" s="134">
        <v>22.61</v>
      </c>
      <c r="D39" s="134">
        <v>26.52</v>
      </c>
      <c r="E39" s="134">
        <v>7.99</v>
      </c>
      <c r="F39" s="134">
        <v>2.81</v>
      </c>
      <c r="G39" s="134">
        <v>65.31</v>
      </c>
      <c r="H39" s="134">
        <v>22.44</v>
      </c>
      <c r="I39" s="134">
        <v>5.71</v>
      </c>
      <c r="J39" s="134">
        <v>0.64</v>
      </c>
      <c r="K39" s="134">
        <v>44.29</v>
      </c>
      <c r="L39" s="134">
        <v>20.9</v>
      </c>
      <c r="M39" s="134">
        <v>82.48</v>
      </c>
      <c r="N39" s="134">
        <v>105.9</v>
      </c>
      <c r="O39" s="134">
        <v>0</v>
      </c>
      <c r="P39" s="134">
        <v>0.55000000000000004</v>
      </c>
      <c r="Q39" s="134">
        <v>4.68</v>
      </c>
    </row>
    <row r="40" spans="1:17" customFormat="1">
      <c r="A40" s="112" t="s">
        <v>2094</v>
      </c>
      <c r="B40" s="134">
        <v>16.75</v>
      </c>
      <c r="C40" s="134">
        <v>23.9</v>
      </c>
      <c r="D40" s="134">
        <v>27.27</v>
      </c>
      <c r="E40" s="134">
        <v>8.61</v>
      </c>
      <c r="F40" s="134">
        <v>2.64</v>
      </c>
      <c r="G40" s="134">
        <v>65.31</v>
      </c>
      <c r="H40" s="134">
        <v>22.44</v>
      </c>
      <c r="I40" s="134">
        <v>5.82</v>
      </c>
      <c r="J40" s="134">
        <v>0.66</v>
      </c>
      <c r="K40" s="134">
        <v>39.409999999999997</v>
      </c>
      <c r="L40" s="134">
        <v>21.7</v>
      </c>
      <c r="M40" s="134">
        <v>79.62</v>
      </c>
      <c r="N40" s="134">
        <v>193.5</v>
      </c>
      <c r="O40" s="134">
        <v>0</v>
      </c>
      <c r="P40" s="134">
        <v>0.57999999999999996</v>
      </c>
      <c r="Q40" s="134">
        <v>4.6900000000000004</v>
      </c>
    </row>
    <row r="41" spans="1:17" customFormat="1">
      <c r="A41" s="112" t="s">
        <v>2095</v>
      </c>
      <c r="B41" s="134">
        <v>16.940000000000001</v>
      </c>
      <c r="C41" s="134">
        <v>23.03</v>
      </c>
      <c r="D41" s="134">
        <v>26.97</v>
      </c>
      <c r="E41" s="134">
        <v>7.94</v>
      </c>
      <c r="F41" s="134">
        <v>2.73</v>
      </c>
      <c r="G41" s="134">
        <v>65.31</v>
      </c>
      <c r="H41" s="134">
        <v>22.44</v>
      </c>
      <c r="I41" s="134">
        <v>5.89</v>
      </c>
      <c r="J41" s="134">
        <v>0.64</v>
      </c>
      <c r="K41" s="134">
        <v>45.27</v>
      </c>
      <c r="L41" s="134">
        <v>22.62</v>
      </c>
      <c r="M41" s="134">
        <v>75.540000000000006</v>
      </c>
      <c r="N41" s="134">
        <v>235.8</v>
      </c>
      <c r="O41" s="134">
        <v>0</v>
      </c>
      <c r="P41" s="134">
        <v>0.59</v>
      </c>
      <c r="Q41" s="134">
        <v>4.68</v>
      </c>
    </row>
    <row r="42" spans="1:17" customFormat="1">
      <c r="A42" s="112" t="s">
        <v>2096</v>
      </c>
      <c r="B42" s="134">
        <v>16.84</v>
      </c>
      <c r="C42" s="134">
        <v>22.04</v>
      </c>
      <c r="D42" s="134">
        <v>26.37</v>
      </c>
      <c r="E42" s="134">
        <v>8.06</v>
      </c>
      <c r="F42" s="134">
        <v>3</v>
      </c>
      <c r="G42" s="134">
        <v>63.9</v>
      </c>
      <c r="H42" s="134">
        <v>23.77</v>
      </c>
      <c r="I42" s="134">
        <v>5.99</v>
      </c>
      <c r="J42" s="134">
        <v>0.62</v>
      </c>
      <c r="K42" s="134">
        <v>42.84</v>
      </c>
      <c r="L42" s="134">
        <v>23.45</v>
      </c>
      <c r="M42" s="134">
        <v>72.8</v>
      </c>
      <c r="N42" s="134">
        <v>257.2</v>
      </c>
      <c r="O42" s="134">
        <v>0</v>
      </c>
      <c r="P42" s="134">
        <v>0.59</v>
      </c>
      <c r="Q42" s="134">
        <v>4.68</v>
      </c>
    </row>
    <row r="43" spans="1:17" customFormat="1">
      <c r="A43" s="112" t="s">
        <v>2097</v>
      </c>
      <c r="B43" s="134">
        <v>16.73</v>
      </c>
      <c r="C43" s="134">
        <v>23.36</v>
      </c>
      <c r="D43" s="134">
        <v>26.98</v>
      </c>
      <c r="E43" s="134">
        <v>7.76</v>
      </c>
      <c r="F43" s="134">
        <v>2.78</v>
      </c>
      <c r="G43" s="134">
        <v>63.62</v>
      </c>
      <c r="H43" s="134">
        <v>23.77</v>
      </c>
      <c r="I43" s="134">
        <v>6.1</v>
      </c>
      <c r="J43" s="134">
        <v>0.42</v>
      </c>
      <c r="K43" s="134">
        <v>50.37</v>
      </c>
      <c r="L43" s="134">
        <v>24.49</v>
      </c>
      <c r="M43" s="134">
        <v>68.930000000000007</v>
      </c>
      <c r="N43" s="134">
        <v>294.89999999999998</v>
      </c>
      <c r="O43" s="134">
        <v>0</v>
      </c>
      <c r="P43" s="134">
        <v>0.61</v>
      </c>
      <c r="Q43" s="134">
        <v>4.68</v>
      </c>
    </row>
    <row r="44" spans="1:17" customFormat="1">
      <c r="A44" s="112" t="s">
        <v>2098</v>
      </c>
      <c r="B44" s="134">
        <v>16.5</v>
      </c>
      <c r="C44" s="134">
        <v>21.95</v>
      </c>
      <c r="D44" s="134">
        <v>26.05</v>
      </c>
      <c r="E44" s="134">
        <v>7.8</v>
      </c>
      <c r="F44" s="134">
        <v>3</v>
      </c>
      <c r="G44" s="134">
        <v>63.62</v>
      </c>
      <c r="H44" s="134">
        <v>23.77</v>
      </c>
      <c r="I44" s="134">
        <v>6.14</v>
      </c>
      <c r="J44" s="134">
        <v>0.42</v>
      </c>
      <c r="K44" s="134">
        <v>60.45</v>
      </c>
      <c r="L44" s="134">
        <v>25.34</v>
      </c>
      <c r="M44" s="134">
        <v>65.150000000000006</v>
      </c>
      <c r="N44" s="134">
        <v>298.3</v>
      </c>
      <c r="O44" s="134">
        <v>0</v>
      </c>
      <c r="P44" s="134">
        <v>0.6</v>
      </c>
      <c r="Q44" s="134">
        <v>4.6900000000000004</v>
      </c>
    </row>
    <row r="45" spans="1:17" customFormat="1">
      <c r="A45" s="112" t="s">
        <v>2099</v>
      </c>
      <c r="B45" s="134">
        <v>16.010000000000002</v>
      </c>
      <c r="C45" s="134">
        <v>20.91</v>
      </c>
      <c r="D45" s="134">
        <v>25.12</v>
      </c>
      <c r="E45" s="134">
        <v>7.83</v>
      </c>
      <c r="F45" s="134">
        <v>3.05</v>
      </c>
      <c r="G45" s="134">
        <v>63.62</v>
      </c>
      <c r="H45" s="134">
        <v>23.77</v>
      </c>
      <c r="I45" s="134">
        <v>6.23</v>
      </c>
      <c r="J45" s="134">
        <v>0.33</v>
      </c>
      <c r="K45" s="134">
        <v>78.44</v>
      </c>
      <c r="L45" s="134">
        <v>26.12</v>
      </c>
      <c r="M45" s="134">
        <v>62.71</v>
      </c>
      <c r="N45" s="134">
        <v>303.10000000000002</v>
      </c>
      <c r="O45" s="134">
        <v>0</v>
      </c>
      <c r="P45" s="134">
        <v>0.59</v>
      </c>
      <c r="Q45" s="134">
        <v>4.66</v>
      </c>
    </row>
    <row r="46" spans="1:17" customFormat="1">
      <c r="A46" s="112" t="s">
        <v>2100</v>
      </c>
      <c r="B46" s="134">
        <v>15.24</v>
      </c>
      <c r="C46" s="134">
        <v>20.54</v>
      </c>
      <c r="D46" s="134">
        <v>24.31</v>
      </c>
      <c r="E46" s="134">
        <v>7.99</v>
      </c>
      <c r="F46" s="134">
        <v>3.32</v>
      </c>
      <c r="G46" s="134">
        <v>69.67</v>
      </c>
      <c r="H46" s="134">
        <v>24.42</v>
      </c>
      <c r="I46" s="134">
        <v>6.3</v>
      </c>
      <c r="J46" s="134">
        <v>0.3</v>
      </c>
      <c r="K46" s="134">
        <v>86.92</v>
      </c>
      <c r="L46" s="134">
        <v>26.84</v>
      </c>
      <c r="M46" s="134">
        <v>59.28</v>
      </c>
      <c r="N46" s="134">
        <v>233.4</v>
      </c>
      <c r="O46" s="134">
        <v>0</v>
      </c>
      <c r="P46" s="134">
        <v>0.57999999999999996</v>
      </c>
      <c r="Q46" s="134">
        <v>4.6399999999999997</v>
      </c>
    </row>
    <row r="47" spans="1:17" customFormat="1">
      <c r="A47" s="112" t="s">
        <v>2101</v>
      </c>
      <c r="B47" s="134">
        <v>14.57</v>
      </c>
      <c r="C47" s="134">
        <v>22.12</v>
      </c>
      <c r="D47" s="134">
        <v>24.59</v>
      </c>
      <c r="E47" s="134">
        <v>8.14</v>
      </c>
      <c r="F47" s="134">
        <v>3.31</v>
      </c>
      <c r="G47" s="134">
        <v>70.89</v>
      </c>
      <c r="H47" s="134">
        <v>24.42</v>
      </c>
      <c r="I47" s="134">
        <v>6.36</v>
      </c>
      <c r="J47" s="134">
        <v>0.47</v>
      </c>
      <c r="K47" s="134">
        <v>45.32</v>
      </c>
      <c r="L47" s="134">
        <v>26.92</v>
      </c>
      <c r="M47" s="134">
        <v>60.52</v>
      </c>
      <c r="N47" s="134">
        <v>399.9</v>
      </c>
      <c r="O47" s="134">
        <v>0</v>
      </c>
      <c r="P47" s="134">
        <v>0.6</v>
      </c>
      <c r="Q47" s="134">
        <v>4.59</v>
      </c>
    </row>
    <row r="48" spans="1:17" customFormat="1">
      <c r="A48" s="112" t="s">
        <v>2102</v>
      </c>
      <c r="B48" s="134">
        <v>14.17</v>
      </c>
      <c r="C48" s="134">
        <v>24.18</v>
      </c>
      <c r="D48" s="134">
        <v>25.34</v>
      </c>
      <c r="E48" s="134">
        <v>8.73</v>
      </c>
      <c r="F48" s="134">
        <v>2.95</v>
      </c>
      <c r="G48" s="134">
        <v>70.89</v>
      </c>
      <c r="H48" s="134">
        <v>24.42</v>
      </c>
      <c r="I48" s="134">
        <v>6.32</v>
      </c>
      <c r="J48" s="134">
        <v>0.37</v>
      </c>
      <c r="K48" s="134">
        <v>62.06</v>
      </c>
      <c r="L48" s="134">
        <v>27.47</v>
      </c>
      <c r="M48" s="134">
        <v>58.65</v>
      </c>
      <c r="N48" s="134">
        <v>452.4</v>
      </c>
      <c r="O48" s="134">
        <v>0</v>
      </c>
      <c r="P48" s="134">
        <v>0.62</v>
      </c>
      <c r="Q48" s="134">
        <v>4.58</v>
      </c>
    </row>
    <row r="49" spans="1:17" customFormat="1">
      <c r="A49" s="112" t="s">
        <v>2103</v>
      </c>
      <c r="B49" s="134">
        <v>13.36</v>
      </c>
      <c r="C49" s="134">
        <v>23.8</v>
      </c>
      <c r="D49" s="134">
        <v>24.5</v>
      </c>
      <c r="E49" s="134">
        <v>6.82</v>
      </c>
      <c r="F49" s="134">
        <v>2.95</v>
      </c>
      <c r="G49" s="134">
        <v>70.89</v>
      </c>
      <c r="H49" s="134">
        <v>24.42</v>
      </c>
      <c r="I49" s="134">
        <v>6.27</v>
      </c>
      <c r="J49" s="134">
        <v>0.23</v>
      </c>
      <c r="K49" s="134">
        <v>74.56</v>
      </c>
      <c r="L49" s="134">
        <v>28.05</v>
      </c>
      <c r="M49" s="134">
        <v>55.98</v>
      </c>
      <c r="N49" s="134">
        <v>502.4</v>
      </c>
      <c r="O49" s="134">
        <v>0</v>
      </c>
      <c r="P49" s="134">
        <v>0.63</v>
      </c>
      <c r="Q49" s="134">
        <v>4.57</v>
      </c>
    </row>
    <row r="50" spans="1:17" customFormat="1">
      <c r="A50" s="112" t="s">
        <v>2104</v>
      </c>
      <c r="B50" s="134">
        <v>11.36</v>
      </c>
      <c r="C50" s="134">
        <v>24.56</v>
      </c>
      <c r="D50" s="134">
        <v>23.29</v>
      </c>
      <c r="E50" s="134">
        <v>7.54</v>
      </c>
      <c r="F50" s="134">
        <v>3.46</v>
      </c>
      <c r="G50" s="134">
        <v>57.82</v>
      </c>
      <c r="H50" s="134">
        <v>23.4</v>
      </c>
      <c r="I50" s="134">
        <v>6.24</v>
      </c>
      <c r="J50" s="134">
        <v>0.24</v>
      </c>
      <c r="K50" s="134">
        <v>87.1</v>
      </c>
      <c r="L50" s="134">
        <v>28.96</v>
      </c>
      <c r="M50" s="134">
        <v>52.31</v>
      </c>
      <c r="N50" s="134">
        <v>512.79999999999995</v>
      </c>
      <c r="O50" s="134">
        <v>0</v>
      </c>
      <c r="P50" s="134">
        <v>0.63</v>
      </c>
      <c r="Q50" s="134">
        <v>4.5199999999999996</v>
      </c>
    </row>
    <row r="51" spans="1:17" customFormat="1">
      <c r="A51" s="112" t="s">
        <v>2105</v>
      </c>
      <c r="B51" s="134">
        <v>9.36</v>
      </c>
      <c r="C51" s="134">
        <v>25.17</v>
      </c>
      <c r="D51" s="134">
        <v>22.01</v>
      </c>
      <c r="E51" s="134">
        <v>8.01</v>
      </c>
      <c r="F51" s="134">
        <v>3.99</v>
      </c>
      <c r="G51" s="134">
        <v>55.21</v>
      </c>
      <c r="H51" s="134">
        <v>23.4</v>
      </c>
      <c r="I51" s="134">
        <v>6.21</v>
      </c>
      <c r="J51" s="134">
        <v>0.24</v>
      </c>
      <c r="K51" s="134">
        <v>134.94</v>
      </c>
      <c r="L51" s="134">
        <v>29.1</v>
      </c>
      <c r="M51" s="134">
        <v>50.1</v>
      </c>
      <c r="N51" s="134">
        <v>482.5</v>
      </c>
      <c r="O51" s="134">
        <v>0</v>
      </c>
      <c r="P51" s="134">
        <v>0.62</v>
      </c>
      <c r="Q51" s="134">
        <v>4.45</v>
      </c>
    </row>
    <row r="52" spans="1:17" customFormat="1">
      <c r="A52" s="112" t="s">
        <v>2106</v>
      </c>
      <c r="B52" s="134">
        <v>7.75</v>
      </c>
      <c r="C52" s="134">
        <v>25.39</v>
      </c>
      <c r="D52" s="134">
        <v>20.83</v>
      </c>
      <c r="E52" s="134">
        <v>8.3699999999999992</v>
      </c>
      <c r="F52" s="134">
        <v>4.45</v>
      </c>
      <c r="G52" s="134">
        <v>55.21</v>
      </c>
      <c r="H52" s="134">
        <v>23.4</v>
      </c>
      <c r="I52" s="134">
        <v>6.01</v>
      </c>
      <c r="J52" s="134">
        <v>0.33</v>
      </c>
      <c r="K52" s="134">
        <v>136.93</v>
      </c>
      <c r="L52" s="134">
        <v>29.63</v>
      </c>
      <c r="M52" s="134">
        <v>47.25</v>
      </c>
      <c r="N52" s="134">
        <v>495.4</v>
      </c>
      <c r="O52" s="134">
        <v>0</v>
      </c>
      <c r="P52" s="134">
        <v>0.61</v>
      </c>
      <c r="Q52" s="134">
        <v>4.38</v>
      </c>
    </row>
    <row r="53" spans="1:17" customFormat="1">
      <c r="A53" s="112" t="s">
        <v>2107</v>
      </c>
      <c r="B53" s="134">
        <v>6.52</v>
      </c>
      <c r="C53" s="134">
        <v>25.12</v>
      </c>
      <c r="D53" s="134">
        <v>19.71</v>
      </c>
      <c r="E53" s="134">
        <v>7.52</v>
      </c>
      <c r="F53" s="134">
        <v>4.6399999999999997</v>
      </c>
      <c r="G53" s="134">
        <v>55.21</v>
      </c>
      <c r="H53" s="134">
        <v>23.4</v>
      </c>
      <c r="I53" s="134">
        <v>5.86</v>
      </c>
      <c r="J53" s="134">
        <v>0.26</v>
      </c>
      <c r="K53" s="134">
        <v>106.18</v>
      </c>
      <c r="L53" s="134">
        <v>29.68</v>
      </c>
      <c r="M53" s="134">
        <v>45.89</v>
      </c>
      <c r="N53" s="134">
        <v>536.79999999999995</v>
      </c>
      <c r="O53" s="134">
        <v>0</v>
      </c>
      <c r="P53" s="134">
        <v>0.6</v>
      </c>
      <c r="Q53" s="134">
        <v>4.32</v>
      </c>
    </row>
    <row r="54" spans="1:17" customFormat="1">
      <c r="A54" s="112" t="s">
        <v>2108</v>
      </c>
      <c r="B54" s="134">
        <v>5.78</v>
      </c>
      <c r="C54" s="134">
        <v>24.55</v>
      </c>
      <c r="D54" s="134">
        <v>18.809999999999999</v>
      </c>
      <c r="E54" s="134">
        <v>7.91</v>
      </c>
      <c r="F54" s="134">
        <v>4.82</v>
      </c>
      <c r="G54" s="134">
        <v>51.01</v>
      </c>
      <c r="H54" s="134">
        <v>23.83</v>
      </c>
      <c r="I54" s="134">
        <v>5.67</v>
      </c>
      <c r="J54" s="134">
        <v>0.21</v>
      </c>
      <c r="K54" s="134">
        <v>57.41</v>
      </c>
      <c r="L54" s="134">
        <v>29.75</v>
      </c>
      <c r="M54" s="134">
        <v>44.3</v>
      </c>
      <c r="N54" s="134">
        <v>465.3</v>
      </c>
      <c r="O54" s="134">
        <v>0</v>
      </c>
      <c r="P54" s="134">
        <v>0.57999999999999996</v>
      </c>
      <c r="Q54" s="134">
        <v>4.29</v>
      </c>
    </row>
    <row r="55" spans="1:17" customFormat="1">
      <c r="A55" s="112" t="s">
        <v>2109</v>
      </c>
      <c r="B55" s="134">
        <v>5.3</v>
      </c>
      <c r="C55" s="134">
        <v>24.28</v>
      </c>
      <c r="D55" s="134">
        <v>18.28</v>
      </c>
      <c r="E55" s="134">
        <v>7.47</v>
      </c>
      <c r="F55" s="134">
        <v>4.9800000000000004</v>
      </c>
      <c r="G55" s="134">
        <v>50.17</v>
      </c>
      <c r="H55" s="134">
        <v>23.83</v>
      </c>
      <c r="I55" s="134">
        <v>5.49</v>
      </c>
      <c r="J55" s="134">
        <v>0.24</v>
      </c>
      <c r="K55" s="134">
        <v>78.790000000000006</v>
      </c>
      <c r="L55" s="134">
        <v>29.79</v>
      </c>
      <c r="M55" s="134">
        <v>43.94</v>
      </c>
      <c r="N55" s="134">
        <v>484.9</v>
      </c>
      <c r="O55" s="134">
        <v>0</v>
      </c>
      <c r="P55" s="134">
        <v>0.56999999999999995</v>
      </c>
      <c r="Q55" s="134">
        <v>4.26</v>
      </c>
    </row>
    <row r="56" spans="1:17" customFormat="1">
      <c r="A56" s="112" t="s">
        <v>2110</v>
      </c>
      <c r="B56" s="134">
        <v>5.0199999999999996</v>
      </c>
      <c r="C56" s="134">
        <v>23.83</v>
      </c>
      <c r="D56" s="134">
        <v>17.829999999999998</v>
      </c>
      <c r="E56" s="134">
        <v>7.57</v>
      </c>
      <c r="F56" s="134">
        <v>4.96</v>
      </c>
      <c r="G56" s="134">
        <v>50.17</v>
      </c>
      <c r="H56" s="134">
        <v>23.83</v>
      </c>
      <c r="I56" s="134">
        <v>5.33</v>
      </c>
      <c r="J56" s="134">
        <v>0.38</v>
      </c>
      <c r="K56" s="134">
        <v>56.57</v>
      </c>
      <c r="L56" s="134">
        <v>30.29</v>
      </c>
      <c r="M56" s="134">
        <v>42.98</v>
      </c>
      <c r="N56" s="134">
        <v>516</v>
      </c>
      <c r="O56" s="134">
        <v>0</v>
      </c>
      <c r="P56" s="134">
        <v>0.56000000000000005</v>
      </c>
      <c r="Q56" s="134">
        <v>4.26</v>
      </c>
    </row>
    <row r="57" spans="1:17" customFormat="1">
      <c r="A57" s="112" t="s">
        <v>2111</v>
      </c>
      <c r="B57" s="134">
        <v>4.7</v>
      </c>
      <c r="C57" s="134">
        <v>22.41</v>
      </c>
      <c r="D57" s="134">
        <v>16.829999999999998</v>
      </c>
      <c r="E57" s="134">
        <v>10</v>
      </c>
      <c r="F57" s="134">
        <v>16.27</v>
      </c>
      <c r="G57" s="134">
        <v>50.17</v>
      </c>
      <c r="H57" s="134">
        <v>23.83</v>
      </c>
      <c r="I57" s="134">
        <v>5.17</v>
      </c>
      <c r="J57" s="134">
        <v>0.33</v>
      </c>
      <c r="K57" s="134">
        <v>99.22</v>
      </c>
      <c r="L57" s="134">
        <v>30.34</v>
      </c>
      <c r="M57" s="134">
        <v>42.74</v>
      </c>
      <c r="N57" s="134">
        <v>562.4</v>
      </c>
      <c r="O57" s="134">
        <v>0</v>
      </c>
      <c r="P57" s="134">
        <v>0.53</v>
      </c>
      <c r="Q57" s="134">
        <v>4.22</v>
      </c>
    </row>
    <row r="58" spans="1:17" customFormat="1">
      <c r="A58" s="112" t="s">
        <v>2112</v>
      </c>
      <c r="B58" s="134">
        <v>4.2</v>
      </c>
      <c r="C58" s="134">
        <v>19.690000000000001</v>
      </c>
      <c r="D58" s="134">
        <v>15.01</v>
      </c>
      <c r="E58" s="134">
        <v>13.83</v>
      </c>
      <c r="F58" s="134">
        <v>17.850000000000001</v>
      </c>
      <c r="G58" s="134">
        <v>45.85</v>
      </c>
      <c r="H58" s="134">
        <v>19.88</v>
      </c>
      <c r="I58" s="134">
        <v>5.04</v>
      </c>
      <c r="J58" s="134">
        <v>0.2</v>
      </c>
      <c r="K58" s="134">
        <v>70.239999999999995</v>
      </c>
      <c r="L58" s="134">
        <v>30.47</v>
      </c>
      <c r="M58" s="134">
        <v>42.46</v>
      </c>
      <c r="N58" s="134">
        <v>562.6</v>
      </c>
      <c r="O58" s="134">
        <v>0</v>
      </c>
      <c r="P58" s="134">
        <v>0.49</v>
      </c>
      <c r="Q58" s="134">
        <v>4.21</v>
      </c>
    </row>
    <row r="59" spans="1:17" customFormat="1">
      <c r="A59" s="112" t="s">
        <v>2113</v>
      </c>
      <c r="B59" s="134">
        <v>3.52</v>
      </c>
      <c r="C59" s="134">
        <v>17.850000000000001</v>
      </c>
      <c r="D59" s="134">
        <v>13.5</v>
      </c>
      <c r="E59" s="134">
        <v>12.48</v>
      </c>
      <c r="F59" s="134">
        <v>18.329999999999998</v>
      </c>
      <c r="G59" s="134">
        <v>44.99</v>
      </c>
      <c r="H59" s="134">
        <v>19.88</v>
      </c>
      <c r="I59" s="134">
        <v>4.5</v>
      </c>
      <c r="J59" s="134">
        <v>0.38</v>
      </c>
      <c r="K59" s="134">
        <v>151.13999999999999</v>
      </c>
      <c r="L59" s="134">
        <v>30.86</v>
      </c>
      <c r="M59" s="134">
        <v>41.1</v>
      </c>
      <c r="N59" s="134">
        <v>566.5</v>
      </c>
      <c r="O59" s="134">
        <v>0</v>
      </c>
      <c r="P59" s="134">
        <v>0.46</v>
      </c>
      <c r="Q59" s="134">
        <v>4.1900000000000004</v>
      </c>
    </row>
    <row r="60" spans="1:17" customFormat="1">
      <c r="A60" s="112" t="s">
        <v>2114</v>
      </c>
      <c r="B60" s="134">
        <v>3.03</v>
      </c>
      <c r="C60" s="134">
        <v>16.37</v>
      </c>
      <c r="D60" s="134">
        <v>12.33</v>
      </c>
      <c r="E60" s="134">
        <v>14.5</v>
      </c>
      <c r="F60" s="134">
        <v>21.16</v>
      </c>
      <c r="G60" s="134">
        <v>44.99</v>
      </c>
      <c r="H60" s="134">
        <v>19.88</v>
      </c>
      <c r="I60" s="134">
        <v>4</v>
      </c>
      <c r="J60" s="134">
        <v>0.2</v>
      </c>
      <c r="K60" s="134">
        <v>60.72</v>
      </c>
      <c r="L60" s="134">
        <v>30.93</v>
      </c>
      <c r="M60" s="134">
        <v>41.15</v>
      </c>
      <c r="N60" s="134">
        <v>492.5</v>
      </c>
      <c r="O60" s="134">
        <v>0</v>
      </c>
      <c r="P60" s="134">
        <v>0.42</v>
      </c>
      <c r="Q60" s="134">
        <v>4.18</v>
      </c>
    </row>
    <row r="61" spans="1:17" customFormat="1">
      <c r="A61" s="112" t="s">
        <v>2115</v>
      </c>
      <c r="B61" s="134">
        <v>2.87</v>
      </c>
      <c r="C61" s="134">
        <v>17.05</v>
      </c>
      <c r="D61" s="134">
        <v>12.56</v>
      </c>
      <c r="E61" s="134">
        <v>11.88</v>
      </c>
      <c r="F61" s="134">
        <v>15.33</v>
      </c>
      <c r="G61" s="134">
        <v>44.99</v>
      </c>
      <c r="H61" s="134">
        <v>19.88</v>
      </c>
      <c r="I61" s="134">
        <v>3.2</v>
      </c>
      <c r="J61" s="134">
        <v>0.25</v>
      </c>
      <c r="K61" s="134">
        <v>148.94999999999999</v>
      </c>
      <c r="L61" s="134">
        <v>30.78</v>
      </c>
      <c r="M61" s="134">
        <v>40.299999999999997</v>
      </c>
      <c r="N61" s="134">
        <v>383.4</v>
      </c>
      <c r="O61" s="134">
        <v>0</v>
      </c>
      <c r="P61" s="134">
        <v>0.41</v>
      </c>
      <c r="Q61" s="134">
        <v>4.17</v>
      </c>
    </row>
    <row r="62" spans="1:17" customFormat="1">
      <c r="A62" s="112" t="s">
        <v>2116</v>
      </c>
      <c r="B62" s="134">
        <v>2.54</v>
      </c>
      <c r="C62" s="134">
        <v>15.89</v>
      </c>
      <c r="D62" s="134">
        <v>11.69</v>
      </c>
      <c r="E62" s="134">
        <v>13.44</v>
      </c>
      <c r="F62" s="134">
        <v>23.08</v>
      </c>
      <c r="G62" s="134">
        <v>44.21</v>
      </c>
      <c r="H62" s="134">
        <v>18.32</v>
      </c>
      <c r="I62" s="134">
        <v>2.9</v>
      </c>
      <c r="J62" s="134">
        <v>0.22</v>
      </c>
      <c r="K62" s="134">
        <v>108.37</v>
      </c>
      <c r="L62" s="134">
        <v>30.99</v>
      </c>
      <c r="M62" s="134">
        <v>39.799999999999997</v>
      </c>
      <c r="N62" s="134">
        <v>484</v>
      </c>
      <c r="O62" s="134">
        <v>0</v>
      </c>
      <c r="P62" s="134">
        <v>0.38</v>
      </c>
      <c r="Q62" s="134">
        <v>4.18</v>
      </c>
    </row>
    <row r="63" spans="1:17" customFormat="1">
      <c r="A63" s="112" t="s">
        <v>2117</v>
      </c>
      <c r="B63" s="134">
        <v>2.5099999999999998</v>
      </c>
      <c r="C63" s="134">
        <v>15.76</v>
      </c>
      <c r="D63" s="134">
        <v>11.59</v>
      </c>
      <c r="E63" s="134">
        <v>12.42</v>
      </c>
      <c r="F63" s="134">
        <v>16.16</v>
      </c>
      <c r="G63" s="134">
        <v>44.05</v>
      </c>
      <c r="H63" s="134">
        <v>18.32</v>
      </c>
      <c r="I63" s="134">
        <v>2.85</v>
      </c>
      <c r="J63" s="134">
        <v>0.3</v>
      </c>
      <c r="K63" s="134">
        <v>115.95</v>
      </c>
      <c r="L63" s="134">
        <v>30.23</v>
      </c>
      <c r="M63" s="134">
        <v>41.59</v>
      </c>
      <c r="N63" s="134">
        <v>174.2</v>
      </c>
      <c r="O63" s="134">
        <v>0</v>
      </c>
      <c r="P63" s="134">
        <v>0.38</v>
      </c>
      <c r="Q63" s="134">
        <v>4.16</v>
      </c>
    </row>
    <row r="64" spans="1:17" customFormat="1">
      <c r="A64" s="112" t="s">
        <v>2118</v>
      </c>
      <c r="B64" s="134">
        <v>2.65</v>
      </c>
      <c r="C64" s="134">
        <v>16.079999999999998</v>
      </c>
      <c r="D64" s="134">
        <v>11.87</v>
      </c>
      <c r="E64" s="134">
        <v>12.03</v>
      </c>
      <c r="F64" s="134">
        <v>19.420000000000002</v>
      </c>
      <c r="G64" s="134">
        <v>44.05</v>
      </c>
      <c r="H64" s="134">
        <v>18.32</v>
      </c>
      <c r="I64" s="134">
        <v>2.52</v>
      </c>
      <c r="J64" s="134">
        <v>0.37</v>
      </c>
      <c r="K64" s="134">
        <v>50.21</v>
      </c>
      <c r="L64" s="134">
        <v>29.65</v>
      </c>
      <c r="M64" s="134">
        <v>42.08</v>
      </c>
      <c r="N64" s="134">
        <v>273.89999999999998</v>
      </c>
      <c r="O64" s="134">
        <v>0</v>
      </c>
      <c r="P64" s="134">
        <v>0.38</v>
      </c>
      <c r="Q64" s="134">
        <v>4.1500000000000004</v>
      </c>
    </row>
    <row r="65" spans="1:17" customFormat="1">
      <c r="A65" s="112" t="s">
        <v>2119</v>
      </c>
      <c r="B65" s="134">
        <v>3.37</v>
      </c>
      <c r="C65" s="134">
        <v>16.059999999999999</v>
      </c>
      <c r="D65" s="134">
        <v>12.44</v>
      </c>
      <c r="E65" s="134">
        <v>13.36</v>
      </c>
      <c r="F65" s="134">
        <v>18.25</v>
      </c>
      <c r="G65" s="134">
        <v>44.05</v>
      </c>
      <c r="H65" s="134">
        <v>18.32</v>
      </c>
      <c r="I65" s="134">
        <v>2.5299999999999998</v>
      </c>
      <c r="J65" s="134">
        <v>0.32</v>
      </c>
      <c r="K65" s="134">
        <v>136.25</v>
      </c>
      <c r="L65" s="134">
        <v>30.08</v>
      </c>
      <c r="M65" s="134">
        <v>41.02</v>
      </c>
      <c r="N65" s="134">
        <v>155.5</v>
      </c>
      <c r="O65" s="134">
        <v>0</v>
      </c>
      <c r="P65" s="134">
        <v>0.36</v>
      </c>
      <c r="Q65" s="134">
        <v>4.1500000000000004</v>
      </c>
    </row>
    <row r="66" spans="1:17" customFormat="1">
      <c r="A66" s="112" t="s">
        <v>2120</v>
      </c>
      <c r="B66" s="134">
        <v>2.63</v>
      </c>
      <c r="C66" s="134">
        <v>16.41</v>
      </c>
      <c r="D66" s="134">
        <v>12.04</v>
      </c>
      <c r="E66" s="134">
        <v>11.96</v>
      </c>
      <c r="F66" s="134">
        <v>16.11</v>
      </c>
      <c r="G66" s="134">
        <v>38.47</v>
      </c>
      <c r="H66" s="134">
        <v>17.34</v>
      </c>
      <c r="I66" s="134">
        <v>2.42</v>
      </c>
      <c r="J66" s="134">
        <v>0.25</v>
      </c>
      <c r="K66" s="134">
        <v>118.26</v>
      </c>
      <c r="L66" s="134">
        <v>29.53</v>
      </c>
      <c r="M66" s="134">
        <v>43.35</v>
      </c>
      <c r="N66" s="134">
        <v>81.3</v>
      </c>
      <c r="O66" s="134">
        <v>0</v>
      </c>
      <c r="P66" s="134">
        <v>0.37</v>
      </c>
      <c r="Q66" s="134">
        <v>4.1399999999999997</v>
      </c>
    </row>
    <row r="67" spans="1:17" customFormat="1">
      <c r="A67" s="112" t="s">
        <v>2121</v>
      </c>
      <c r="B67" s="134">
        <v>2.31</v>
      </c>
      <c r="C67" s="134">
        <v>15.49</v>
      </c>
      <c r="D67" s="134">
        <v>11.29</v>
      </c>
      <c r="E67" s="134">
        <v>13.83</v>
      </c>
      <c r="F67" s="134">
        <v>23.57</v>
      </c>
      <c r="G67" s="134">
        <v>37.35</v>
      </c>
      <c r="H67" s="134">
        <v>17.34</v>
      </c>
      <c r="I67" s="134">
        <v>2.38</v>
      </c>
      <c r="J67" s="134">
        <v>0.25</v>
      </c>
      <c r="K67" s="134">
        <v>169.08</v>
      </c>
      <c r="L67" s="134">
        <v>29.42</v>
      </c>
      <c r="M67" s="134">
        <v>42.75</v>
      </c>
      <c r="N67" s="134">
        <v>122.4</v>
      </c>
      <c r="O67" s="134">
        <v>0</v>
      </c>
      <c r="P67" s="134">
        <v>0.35</v>
      </c>
      <c r="Q67" s="134">
        <v>4.1500000000000004</v>
      </c>
    </row>
    <row r="68" spans="1:17" customFormat="1">
      <c r="A68" s="112" t="s">
        <v>2122</v>
      </c>
      <c r="B68" s="134">
        <v>2.0299999999999998</v>
      </c>
      <c r="C68" s="134">
        <v>17.940000000000001</v>
      </c>
      <c r="D68" s="134">
        <v>12.35</v>
      </c>
      <c r="E68" s="134">
        <v>12.68</v>
      </c>
      <c r="F68" s="134">
        <v>16.850000000000001</v>
      </c>
      <c r="G68" s="134">
        <v>37.35</v>
      </c>
      <c r="H68" s="134">
        <v>17.34</v>
      </c>
      <c r="I68" s="134">
        <v>2.71</v>
      </c>
      <c r="J68" s="134">
        <v>0.22</v>
      </c>
      <c r="K68" s="134">
        <v>123.44</v>
      </c>
      <c r="L68" s="134">
        <v>29.45</v>
      </c>
      <c r="M68" s="134">
        <v>43.28</v>
      </c>
      <c r="N68" s="134">
        <v>78</v>
      </c>
      <c r="O68" s="134">
        <v>0</v>
      </c>
      <c r="P68" s="134">
        <v>0.36</v>
      </c>
      <c r="Q68" s="134">
        <v>4.1399999999999997</v>
      </c>
    </row>
    <row r="69" spans="1:17" customFormat="1">
      <c r="A69" s="112" t="s">
        <v>2123</v>
      </c>
      <c r="B69" s="134">
        <v>2.0699999999999998</v>
      </c>
      <c r="C69" s="134">
        <v>16.420000000000002</v>
      </c>
      <c r="D69" s="134">
        <v>11.59</v>
      </c>
      <c r="E69" s="134">
        <v>12.86</v>
      </c>
      <c r="F69" s="134">
        <v>16.559999999999999</v>
      </c>
      <c r="G69" s="134">
        <v>37.35</v>
      </c>
      <c r="H69" s="134">
        <v>17.34</v>
      </c>
      <c r="I69" s="134">
        <v>2.5099999999999998</v>
      </c>
      <c r="J69" s="134">
        <v>0.27</v>
      </c>
      <c r="K69" s="134">
        <v>153.85</v>
      </c>
      <c r="L69" s="134">
        <v>29.01</v>
      </c>
      <c r="M69" s="134">
        <v>45.89</v>
      </c>
      <c r="N69" s="134">
        <v>87.5</v>
      </c>
      <c r="O69" s="134">
        <v>0</v>
      </c>
      <c r="P69" s="134">
        <v>0.37</v>
      </c>
      <c r="Q69" s="134">
        <v>4.13</v>
      </c>
    </row>
    <row r="70" spans="1:17" customFormat="1">
      <c r="A70" s="112" t="s">
        <v>2124</v>
      </c>
      <c r="B70" s="134">
        <v>2.15</v>
      </c>
      <c r="C70" s="134">
        <v>15.71</v>
      </c>
      <c r="D70" s="134">
        <v>11.28</v>
      </c>
      <c r="E70" s="134">
        <v>12.92</v>
      </c>
      <c r="F70" s="134">
        <v>20.55</v>
      </c>
      <c r="G70" s="134">
        <v>37.14</v>
      </c>
      <c r="H70" s="134">
        <v>14.07</v>
      </c>
      <c r="I70" s="134">
        <v>2.61</v>
      </c>
      <c r="J70" s="134">
        <v>0.15</v>
      </c>
      <c r="K70" s="134">
        <v>137.68</v>
      </c>
      <c r="L70" s="134">
        <v>28.77</v>
      </c>
      <c r="M70" s="134">
        <v>45.55</v>
      </c>
      <c r="N70" s="134">
        <v>68.3</v>
      </c>
      <c r="O70" s="134">
        <v>0</v>
      </c>
      <c r="P70" s="134">
        <v>0.37</v>
      </c>
      <c r="Q70" s="134">
        <v>4.0999999999999996</v>
      </c>
    </row>
    <row r="71" spans="1:17" customFormat="1">
      <c r="A71" s="112" t="s">
        <v>2125</v>
      </c>
      <c r="B71" s="134">
        <v>2.12</v>
      </c>
      <c r="C71" s="134">
        <v>13.29</v>
      </c>
      <c r="D71" s="134">
        <v>9.99</v>
      </c>
      <c r="E71" s="134">
        <v>12.34</v>
      </c>
      <c r="F71" s="134">
        <v>23.72</v>
      </c>
      <c r="G71" s="134">
        <v>37.1</v>
      </c>
      <c r="H71" s="134">
        <v>14.07</v>
      </c>
      <c r="I71" s="134">
        <v>2.64</v>
      </c>
      <c r="J71" s="134">
        <v>0.2</v>
      </c>
      <c r="K71" s="134">
        <v>148.69</v>
      </c>
      <c r="L71" s="134">
        <v>28.43</v>
      </c>
      <c r="M71" s="134">
        <v>47.79</v>
      </c>
      <c r="N71" s="134">
        <v>71.5</v>
      </c>
      <c r="O71" s="134">
        <v>0</v>
      </c>
      <c r="P71" s="134">
        <v>0.34</v>
      </c>
      <c r="Q71" s="134">
        <v>4.12</v>
      </c>
    </row>
    <row r="72" spans="1:17" customFormat="1">
      <c r="A72" s="112" t="s">
        <v>2126</v>
      </c>
      <c r="B72" s="134">
        <v>2.2799999999999998</v>
      </c>
      <c r="C72" s="134">
        <v>13.05</v>
      </c>
      <c r="D72" s="134">
        <v>10</v>
      </c>
      <c r="E72" s="134">
        <v>9.56</v>
      </c>
      <c r="F72" s="134">
        <v>12.03</v>
      </c>
      <c r="G72" s="134">
        <v>37.1</v>
      </c>
      <c r="H72" s="134">
        <v>14.07</v>
      </c>
      <c r="I72" s="134">
        <v>2.5099999999999998</v>
      </c>
      <c r="J72" s="134">
        <v>0.14000000000000001</v>
      </c>
      <c r="K72" s="134">
        <v>146.83000000000001</v>
      </c>
      <c r="L72" s="134">
        <v>28.07</v>
      </c>
      <c r="M72" s="134">
        <v>49.12</v>
      </c>
      <c r="N72" s="134">
        <v>47.4</v>
      </c>
      <c r="O72" s="134">
        <v>0</v>
      </c>
      <c r="P72" s="134">
        <v>0.34</v>
      </c>
      <c r="Q72" s="134">
        <v>4.08</v>
      </c>
    </row>
    <row r="73" spans="1:17" customFormat="1">
      <c r="A73" s="112" t="s">
        <v>2127</v>
      </c>
      <c r="B73" s="134">
        <v>2.4300000000000002</v>
      </c>
      <c r="C73" s="134">
        <v>13.16</v>
      </c>
      <c r="D73" s="134">
        <v>10.18</v>
      </c>
      <c r="E73" s="134">
        <v>8.44</v>
      </c>
      <c r="F73" s="134">
        <v>7.44</v>
      </c>
      <c r="G73" s="134">
        <v>37.1</v>
      </c>
      <c r="H73" s="134">
        <v>14.07</v>
      </c>
      <c r="I73" s="134">
        <v>2.2599999999999998</v>
      </c>
      <c r="J73" s="134">
        <v>0.17</v>
      </c>
      <c r="K73" s="134">
        <v>134.41</v>
      </c>
      <c r="L73" s="134">
        <v>27.56</v>
      </c>
      <c r="M73" s="134">
        <v>50.13</v>
      </c>
      <c r="N73" s="134">
        <v>34</v>
      </c>
      <c r="O73" s="134">
        <v>0</v>
      </c>
      <c r="P73" s="134">
        <v>0.34</v>
      </c>
      <c r="Q73" s="134">
        <v>4.09</v>
      </c>
    </row>
    <row r="74" spans="1:17" customFormat="1">
      <c r="A74" s="112" t="s">
        <v>2128</v>
      </c>
      <c r="B74" s="134">
        <v>2.62</v>
      </c>
      <c r="C74" s="134">
        <v>14.22</v>
      </c>
      <c r="D74" s="134">
        <v>10.88</v>
      </c>
      <c r="E74" s="134">
        <v>8.5500000000000007</v>
      </c>
      <c r="F74" s="134">
        <v>6.13</v>
      </c>
      <c r="G74" s="134">
        <v>37.07</v>
      </c>
      <c r="H74" s="134">
        <v>14.9</v>
      </c>
      <c r="I74" s="134">
        <v>2.39</v>
      </c>
      <c r="J74" s="134">
        <v>0.21</v>
      </c>
      <c r="K74" s="134">
        <v>144.56</v>
      </c>
      <c r="L74" s="134">
        <v>27.26</v>
      </c>
      <c r="M74" s="134">
        <v>50.54</v>
      </c>
      <c r="N74" s="134">
        <v>23.9</v>
      </c>
      <c r="O74" s="134">
        <v>0</v>
      </c>
      <c r="P74" s="134">
        <v>0.34</v>
      </c>
      <c r="Q74" s="134">
        <v>4.07</v>
      </c>
    </row>
    <row r="75" spans="1:17" customFormat="1">
      <c r="A75" s="112" t="s">
        <v>2129</v>
      </c>
      <c r="B75" s="134">
        <v>2.87</v>
      </c>
      <c r="C75" s="134">
        <v>15.27</v>
      </c>
      <c r="D75" s="134">
        <v>11.63</v>
      </c>
      <c r="E75" s="134">
        <v>7.75</v>
      </c>
      <c r="F75" s="134">
        <v>4.8</v>
      </c>
      <c r="G75" s="134">
        <v>37.06</v>
      </c>
      <c r="H75" s="134">
        <v>14.9</v>
      </c>
      <c r="I75" s="134">
        <v>2.4700000000000002</v>
      </c>
      <c r="J75" s="134">
        <v>0.22</v>
      </c>
      <c r="K75" s="134">
        <v>149.71</v>
      </c>
      <c r="L75" s="134">
        <v>26.89</v>
      </c>
      <c r="M75" s="134">
        <v>50.58</v>
      </c>
      <c r="N75" s="134">
        <v>12.5</v>
      </c>
      <c r="O75" s="134">
        <v>0</v>
      </c>
      <c r="P75" s="134">
        <v>0.35</v>
      </c>
      <c r="Q75" s="134">
        <v>4.08</v>
      </c>
    </row>
    <row r="76" spans="1:17" customFormat="1">
      <c r="A76" s="112" t="s">
        <v>2130</v>
      </c>
      <c r="B76" s="134">
        <v>3.09</v>
      </c>
      <c r="C76" s="134">
        <v>14.24</v>
      </c>
      <c r="D76" s="134">
        <v>11.27</v>
      </c>
      <c r="E76" s="134">
        <v>7.53</v>
      </c>
      <c r="F76" s="134">
        <v>4.45</v>
      </c>
      <c r="G76" s="134">
        <v>37.06</v>
      </c>
      <c r="H76" s="134">
        <v>14.9</v>
      </c>
      <c r="I76" s="134">
        <v>2.5499999999999998</v>
      </c>
      <c r="J76" s="134">
        <v>0.16</v>
      </c>
      <c r="K76" s="134">
        <v>166.78</v>
      </c>
      <c r="L76" s="134">
        <v>26.44</v>
      </c>
      <c r="M76" s="134">
        <v>51.42</v>
      </c>
      <c r="N76" s="134">
        <v>2.2999999999999998</v>
      </c>
      <c r="O76" s="134">
        <v>0</v>
      </c>
      <c r="P76" s="134">
        <v>0.34</v>
      </c>
      <c r="Q76" s="134">
        <v>4.08</v>
      </c>
    </row>
    <row r="77" spans="1:17" customFormat="1">
      <c r="A77" s="112" t="s">
        <v>2131</v>
      </c>
      <c r="B77" s="134">
        <v>3.22</v>
      </c>
      <c r="C77" s="134">
        <v>15.67</v>
      </c>
      <c r="D77" s="134">
        <v>12.12</v>
      </c>
      <c r="E77" s="134">
        <v>7.08</v>
      </c>
      <c r="F77" s="134">
        <v>3.9</v>
      </c>
      <c r="G77" s="134">
        <v>37.06</v>
      </c>
      <c r="H77" s="134">
        <v>14.9</v>
      </c>
      <c r="I77" s="134">
        <v>2.2599999999999998</v>
      </c>
      <c r="J77" s="134">
        <v>0.17</v>
      </c>
      <c r="K77" s="134">
        <v>172.06</v>
      </c>
      <c r="L77" s="134">
        <v>25.63</v>
      </c>
      <c r="M77" s="134">
        <v>55.05</v>
      </c>
      <c r="N77" s="134">
        <v>0</v>
      </c>
      <c r="O77" s="134">
        <v>0</v>
      </c>
      <c r="P77" s="134">
        <v>0.35</v>
      </c>
      <c r="Q77" s="134">
        <v>4.08</v>
      </c>
    </row>
    <row r="78" spans="1:17" customFormat="1">
      <c r="A78" s="112" t="s">
        <v>2132</v>
      </c>
      <c r="B78" s="134">
        <v>3.45</v>
      </c>
      <c r="C78" s="134">
        <v>15.67</v>
      </c>
      <c r="D78" s="134">
        <v>12.31</v>
      </c>
      <c r="E78" s="134">
        <v>7.39</v>
      </c>
      <c r="F78" s="134">
        <v>3.71</v>
      </c>
      <c r="G78" s="134">
        <v>37.43</v>
      </c>
      <c r="H78" s="134">
        <v>14.3</v>
      </c>
      <c r="I78" s="134">
        <v>2.2999999999999998</v>
      </c>
      <c r="J78" s="134">
        <v>0.2</v>
      </c>
      <c r="K78" s="134">
        <v>184.03</v>
      </c>
      <c r="L78" s="134">
        <v>25</v>
      </c>
      <c r="M78" s="134">
        <v>57.31</v>
      </c>
      <c r="N78" s="134">
        <v>0</v>
      </c>
      <c r="O78" s="134">
        <v>0</v>
      </c>
      <c r="P78" s="134">
        <v>0.35</v>
      </c>
      <c r="Q78" s="134">
        <v>4.08</v>
      </c>
    </row>
    <row r="79" spans="1:17" customFormat="1">
      <c r="A79" s="112" t="s">
        <v>2133</v>
      </c>
      <c r="B79" s="134">
        <v>3.72</v>
      </c>
      <c r="C79" s="134">
        <v>16.46</v>
      </c>
      <c r="D79" s="134">
        <v>12.93</v>
      </c>
      <c r="E79" s="134">
        <v>6.8</v>
      </c>
      <c r="F79" s="134">
        <v>3.42</v>
      </c>
      <c r="G79" s="134">
        <v>37.5</v>
      </c>
      <c r="H79" s="134">
        <v>14.3</v>
      </c>
      <c r="I79" s="134">
        <v>2.35</v>
      </c>
      <c r="J79" s="134">
        <v>0.11</v>
      </c>
      <c r="K79" s="134">
        <v>199.15</v>
      </c>
      <c r="L79" s="134">
        <v>24.39</v>
      </c>
      <c r="M79" s="134">
        <v>61.92</v>
      </c>
      <c r="N79" s="134">
        <v>0</v>
      </c>
      <c r="O79" s="134">
        <v>0</v>
      </c>
      <c r="P79" s="134">
        <v>0.37</v>
      </c>
      <c r="Q79" s="134">
        <v>4.0999999999999996</v>
      </c>
    </row>
    <row r="80" spans="1:17" customFormat="1">
      <c r="A80" s="112" t="s">
        <v>2134</v>
      </c>
      <c r="B80" s="134">
        <v>3.97</v>
      </c>
      <c r="C80" s="134">
        <v>16.260000000000002</v>
      </c>
      <c r="D80" s="134">
        <v>13.03</v>
      </c>
      <c r="E80" s="134">
        <v>7.07</v>
      </c>
      <c r="F80" s="134">
        <v>3.49</v>
      </c>
      <c r="G80" s="134">
        <v>37.5</v>
      </c>
      <c r="H80" s="134">
        <v>14.3</v>
      </c>
      <c r="I80" s="134">
        <v>2.37</v>
      </c>
      <c r="J80" s="134">
        <v>0.12</v>
      </c>
      <c r="K80" s="134">
        <v>195.05</v>
      </c>
      <c r="L80" s="134">
        <v>23.87</v>
      </c>
      <c r="M80" s="134">
        <v>65.680000000000007</v>
      </c>
      <c r="N80" s="134">
        <v>0</v>
      </c>
      <c r="O80" s="134">
        <v>0</v>
      </c>
      <c r="P80" s="134">
        <v>0.36</v>
      </c>
      <c r="Q80" s="134">
        <v>4.1399999999999997</v>
      </c>
    </row>
    <row r="81" spans="1:17" customFormat="1">
      <c r="A81" s="112" t="s">
        <v>2135</v>
      </c>
      <c r="B81" s="134">
        <v>4.21</v>
      </c>
      <c r="C81" s="134">
        <v>17.37</v>
      </c>
      <c r="D81" s="134">
        <v>13.8</v>
      </c>
      <c r="E81" s="134">
        <v>6.28</v>
      </c>
      <c r="F81" s="134">
        <v>3.19</v>
      </c>
      <c r="G81" s="134">
        <v>37.5</v>
      </c>
      <c r="H81" s="134">
        <v>14.3</v>
      </c>
      <c r="I81" s="134">
        <v>2.46</v>
      </c>
      <c r="J81" s="134">
        <v>0.15</v>
      </c>
      <c r="K81" s="134">
        <v>193.12</v>
      </c>
      <c r="L81" s="134">
        <v>23.53</v>
      </c>
      <c r="M81" s="134">
        <v>68.989999999999995</v>
      </c>
      <c r="N81" s="134">
        <v>0</v>
      </c>
      <c r="O81" s="134">
        <v>0</v>
      </c>
      <c r="P81" s="134">
        <v>0.38</v>
      </c>
      <c r="Q81" s="134">
        <v>4.12</v>
      </c>
    </row>
    <row r="82" spans="1:17" customFormat="1">
      <c r="A82" s="112" t="s">
        <v>2136</v>
      </c>
      <c r="B82" s="134">
        <v>4.46</v>
      </c>
      <c r="C82" s="134">
        <v>17.5</v>
      </c>
      <c r="D82" s="134">
        <v>14.07</v>
      </c>
      <c r="E82" s="134">
        <v>7.18</v>
      </c>
      <c r="F82" s="134">
        <v>3.12</v>
      </c>
      <c r="G82" s="134">
        <v>49.7</v>
      </c>
      <c r="H82" s="134">
        <v>18.149999999999999</v>
      </c>
      <c r="I82" s="134">
        <v>2.86</v>
      </c>
      <c r="J82" s="134">
        <v>0.17</v>
      </c>
      <c r="K82" s="134">
        <v>225.35</v>
      </c>
      <c r="L82" s="134">
        <v>23.11</v>
      </c>
      <c r="M82" s="134">
        <v>73.069999999999993</v>
      </c>
      <c r="N82" s="134">
        <v>0</v>
      </c>
      <c r="O82" s="134">
        <v>0</v>
      </c>
      <c r="P82" s="134">
        <v>0.4</v>
      </c>
      <c r="Q82" s="134">
        <v>4.1500000000000004</v>
      </c>
    </row>
    <row r="83" spans="1:17" customFormat="1">
      <c r="A83" s="112" t="s">
        <v>2137</v>
      </c>
      <c r="B83" s="134">
        <v>4.79</v>
      </c>
      <c r="C83" s="134">
        <v>18.190000000000001</v>
      </c>
      <c r="D83" s="134">
        <v>14.7</v>
      </c>
      <c r="E83" s="134">
        <v>6.69</v>
      </c>
      <c r="F83" s="134">
        <v>3.02</v>
      </c>
      <c r="G83" s="134">
        <v>52.14</v>
      </c>
      <c r="H83" s="134">
        <v>18.149999999999999</v>
      </c>
      <c r="I83" s="134">
        <v>2.98</v>
      </c>
      <c r="J83" s="134">
        <v>0.1</v>
      </c>
      <c r="K83" s="134">
        <v>212.59</v>
      </c>
      <c r="L83" s="134">
        <v>22.76</v>
      </c>
      <c r="M83" s="134">
        <v>72.67</v>
      </c>
      <c r="N83" s="134">
        <v>0</v>
      </c>
      <c r="O83" s="134">
        <v>0</v>
      </c>
      <c r="P83" s="134">
        <v>0.41</v>
      </c>
      <c r="Q83" s="134">
        <v>4.1900000000000004</v>
      </c>
    </row>
    <row r="84" spans="1:17" customFormat="1">
      <c r="A84" s="112" t="s">
        <v>2138</v>
      </c>
      <c r="B84" s="134">
        <v>5.17</v>
      </c>
      <c r="C84" s="134">
        <v>18.88</v>
      </c>
      <c r="D84" s="134">
        <v>15.36</v>
      </c>
      <c r="E84" s="134">
        <v>6.63</v>
      </c>
      <c r="F84" s="134">
        <v>2.92</v>
      </c>
      <c r="G84" s="134">
        <v>52.14</v>
      </c>
      <c r="H84" s="134">
        <v>18.149999999999999</v>
      </c>
      <c r="I84" s="134">
        <v>3.18</v>
      </c>
      <c r="J84" s="134">
        <v>0.11</v>
      </c>
      <c r="K84" s="134">
        <v>207.76</v>
      </c>
      <c r="L84" s="134">
        <v>22.61</v>
      </c>
      <c r="M84" s="134">
        <v>72.150000000000006</v>
      </c>
      <c r="N84" s="134">
        <v>0</v>
      </c>
      <c r="O84" s="134">
        <v>0</v>
      </c>
      <c r="P84" s="134">
        <v>0.42</v>
      </c>
      <c r="Q84" s="134">
        <v>4.2</v>
      </c>
    </row>
    <row r="85" spans="1:17" customFormat="1">
      <c r="A85" s="112" t="s">
        <v>2139</v>
      </c>
      <c r="B85" s="134">
        <v>5.57</v>
      </c>
      <c r="C85" s="134">
        <v>18.72</v>
      </c>
      <c r="D85" s="134">
        <v>15.6</v>
      </c>
      <c r="E85" s="134">
        <v>6.8</v>
      </c>
      <c r="F85" s="134">
        <v>3.01</v>
      </c>
      <c r="G85" s="134">
        <v>52.14</v>
      </c>
      <c r="H85" s="134">
        <v>18.149999999999999</v>
      </c>
      <c r="I85" s="134">
        <v>3.3</v>
      </c>
      <c r="J85" s="134">
        <v>0.08</v>
      </c>
      <c r="K85" s="134">
        <v>226.7</v>
      </c>
      <c r="L85" s="134">
        <v>22.49</v>
      </c>
      <c r="M85" s="134">
        <v>74.02</v>
      </c>
      <c r="N85" s="134">
        <v>0</v>
      </c>
      <c r="O85" s="134">
        <v>0</v>
      </c>
      <c r="P85" s="134">
        <v>0.43</v>
      </c>
      <c r="Q85" s="134">
        <v>4.21</v>
      </c>
    </row>
    <row r="86" spans="1:17" customFormat="1">
      <c r="A86" s="112" t="s">
        <v>2140</v>
      </c>
      <c r="B86" s="134">
        <v>5.8</v>
      </c>
      <c r="C86" s="134">
        <v>19.739999999999998</v>
      </c>
      <c r="D86" s="134">
        <v>16.32</v>
      </c>
      <c r="E86" s="134">
        <v>7.04</v>
      </c>
      <c r="F86" s="134">
        <v>2.9</v>
      </c>
      <c r="G86" s="134">
        <v>69.260000000000005</v>
      </c>
      <c r="H86" s="134">
        <v>21.11</v>
      </c>
      <c r="I86" s="134">
        <v>3.41</v>
      </c>
      <c r="J86" s="134">
        <v>0.11</v>
      </c>
      <c r="K86" s="134">
        <v>213.45</v>
      </c>
      <c r="L86" s="134">
        <v>22.27</v>
      </c>
      <c r="M86" s="134">
        <v>73.739999999999995</v>
      </c>
      <c r="N86" s="134">
        <v>0</v>
      </c>
      <c r="O86" s="134">
        <v>0</v>
      </c>
      <c r="P86" s="134">
        <v>0.43</v>
      </c>
      <c r="Q86" s="134">
        <v>4.2300000000000004</v>
      </c>
    </row>
    <row r="87" spans="1:17" customFormat="1">
      <c r="A87" s="112" t="s">
        <v>2141</v>
      </c>
      <c r="B87" s="134">
        <v>6.14</v>
      </c>
      <c r="C87" s="134">
        <v>20.09</v>
      </c>
      <c r="D87" s="134">
        <v>16.77</v>
      </c>
      <c r="E87" s="134">
        <v>7.5</v>
      </c>
      <c r="F87" s="134">
        <v>2.87</v>
      </c>
      <c r="G87" s="134">
        <v>72.680000000000007</v>
      </c>
      <c r="H87" s="134">
        <v>21.11</v>
      </c>
      <c r="I87" s="134">
        <v>3.48</v>
      </c>
      <c r="J87" s="134">
        <v>0.1</v>
      </c>
      <c r="K87" s="134">
        <v>217.11</v>
      </c>
      <c r="L87" s="134">
        <v>22.09</v>
      </c>
      <c r="M87" s="134">
        <v>76.98</v>
      </c>
      <c r="N87" s="134">
        <v>0</v>
      </c>
      <c r="O87" s="134">
        <v>0</v>
      </c>
      <c r="P87" s="134">
        <v>0.43</v>
      </c>
      <c r="Q87" s="134">
        <v>4.25</v>
      </c>
    </row>
    <row r="88" spans="1:17" customFormat="1">
      <c r="A88" s="112" t="s">
        <v>2142</v>
      </c>
      <c r="B88" s="134">
        <v>6.35</v>
      </c>
      <c r="C88" s="134">
        <v>20.32</v>
      </c>
      <c r="D88" s="134">
        <v>17.059999999999999</v>
      </c>
      <c r="E88" s="134">
        <v>7.41</v>
      </c>
      <c r="F88" s="134">
        <v>2.9</v>
      </c>
      <c r="G88" s="134">
        <v>72.680000000000007</v>
      </c>
      <c r="H88" s="134">
        <v>21.11</v>
      </c>
      <c r="I88" s="134">
        <v>3.57</v>
      </c>
      <c r="J88" s="134">
        <v>0.2</v>
      </c>
      <c r="K88" s="134">
        <v>215.03</v>
      </c>
      <c r="L88" s="134">
        <v>21.9</v>
      </c>
      <c r="M88" s="134">
        <v>79.150000000000006</v>
      </c>
      <c r="N88" s="134">
        <v>0</v>
      </c>
      <c r="O88" s="134">
        <v>0</v>
      </c>
      <c r="P88" s="134">
        <v>0.45</v>
      </c>
      <c r="Q88" s="134">
        <v>4.25</v>
      </c>
    </row>
    <row r="89" spans="1:17" customFormat="1">
      <c r="A89" s="112" t="s">
        <v>2143</v>
      </c>
      <c r="B89" s="134">
        <v>6.43</v>
      </c>
      <c r="C89" s="134">
        <v>21.13</v>
      </c>
      <c r="D89" s="134">
        <v>17.55</v>
      </c>
      <c r="E89" s="134">
        <v>7.56</v>
      </c>
      <c r="F89" s="134">
        <v>3.01</v>
      </c>
      <c r="G89" s="134">
        <v>72.680000000000007</v>
      </c>
      <c r="H89" s="134">
        <v>21.11</v>
      </c>
      <c r="I89" s="134">
        <v>3.69</v>
      </c>
      <c r="J89" s="134">
        <v>0.18</v>
      </c>
      <c r="K89" s="134">
        <v>229.65</v>
      </c>
      <c r="L89" s="134">
        <v>21.72</v>
      </c>
      <c r="M89" s="134">
        <v>79.239999999999995</v>
      </c>
      <c r="N89" s="134">
        <v>0</v>
      </c>
      <c r="O89" s="134">
        <v>0</v>
      </c>
      <c r="P89" s="134">
        <v>0.46</v>
      </c>
      <c r="Q89" s="134">
        <v>4.25</v>
      </c>
    </row>
    <row r="90" spans="1:17" customFormat="1">
      <c r="A90" s="112" t="s">
        <v>2144</v>
      </c>
      <c r="B90" s="134">
        <v>6.35</v>
      </c>
      <c r="C90" s="134">
        <v>21.35</v>
      </c>
      <c r="D90" s="134">
        <v>17.600000000000001</v>
      </c>
      <c r="E90" s="134">
        <v>7.99</v>
      </c>
      <c r="F90" s="134">
        <v>3.13</v>
      </c>
      <c r="G90" s="134">
        <v>72.89</v>
      </c>
      <c r="H90" s="134">
        <v>21.27</v>
      </c>
      <c r="I90" s="134">
        <v>3.79</v>
      </c>
      <c r="J90" s="134">
        <v>0.09</v>
      </c>
      <c r="K90" s="134">
        <v>208.57</v>
      </c>
      <c r="L90" s="134">
        <v>21.44</v>
      </c>
      <c r="M90" s="134">
        <v>80.95</v>
      </c>
      <c r="N90" s="134">
        <v>0</v>
      </c>
      <c r="O90" s="134">
        <v>0</v>
      </c>
      <c r="P90" s="134">
        <v>0.47</v>
      </c>
      <c r="Q90" s="134">
        <v>4.26</v>
      </c>
    </row>
    <row r="91" spans="1:17" customFormat="1">
      <c r="A91" s="112" t="s">
        <v>2145</v>
      </c>
      <c r="B91" s="134">
        <v>6.13</v>
      </c>
      <c r="C91" s="134">
        <v>21.76</v>
      </c>
      <c r="D91" s="134">
        <v>17.63</v>
      </c>
      <c r="E91" s="134">
        <v>7.93</v>
      </c>
      <c r="F91" s="134">
        <v>3.15</v>
      </c>
      <c r="G91" s="134">
        <v>72.930000000000007</v>
      </c>
      <c r="H91" s="134">
        <v>21.27</v>
      </c>
      <c r="I91" s="134">
        <v>3.87</v>
      </c>
      <c r="J91" s="134">
        <v>0.28000000000000003</v>
      </c>
      <c r="K91" s="134">
        <v>184.93</v>
      </c>
      <c r="L91" s="134">
        <v>21.63</v>
      </c>
      <c r="M91" s="134">
        <v>75.22</v>
      </c>
      <c r="N91" s="134">
        <v>0</v>
      </c>
      <c r="O91" s="134">
        <v>0</v>
      </c>
      <c r="P91" s="134">
        <v>0.49</v>
      </c>
      <c r="Q91" s="134">
        <v>4.28</v>
      </c>
    </row>
    <row r="92" spans="1:17" customFormat="1">
      <c r="A92" s="112" t="s">
        <v>2146</v>
      </c>
      <c r="B92" s="134">
        <v>5.81</v>
      </c>
      <c r="C92" s="134">
        <v>21.98</v>
      </c>
      <c r="D92" s="134">
        <v>17.489999999999998</v>
      </c>
      <c r="E92" s="134">
        <v>8.36</v>
      </c>
      <c r="F92" s="134">
        <v>3.36</v>
      </c>
      <c r="G92" s="134">
        <v>72.930000000000007</v>
      </c>
      <c r="H92" s="134">
        <v>21.27</v>
      </c>
      <c r="I92" s="134">
        <v>3.98</v>
      </c>
      <c r="J92" s="134">
        <v>0.27</v>
      </c>
      <c r="K92" s="134">
        <v>177.11</v>
      </c>
      <c r="L92" s="134">
        <v>22.12</v>
      </c>
      <c r="M92" s="134">
        <v>72.260000000000005</v>
      </c>
      <c r="N92" s="134">
        <v>0</v>
      </c>
      <c r="O92" s="134">
        <v>0</v>
      </c>
      <c r="P92" s="134">
        <v>0.51</v>
      </c>
      <c r="Q92" s="134">
        <v>4.28</v>
      </c>
    </row>
    <row r="93" spans="1:17" customFormat="1">
      <c r="A93" s="112" t="s">
        <v>2147</v>
      </c>
      <c r="B93" s="134">
        <v>5.52</v>
      </c>
      <c r="C93" s="134">
        <v>22.07</v>
      </c>
      <c r="D93" s="134">
        <v>17.309999999999999</v>
      </c>
      <c r="E93" s="134">
        <v>8.0299999999999994</v>
      </c>
      <c r="F93" s="134">
        <v>3.51</v>
      </c>
      <c r="G93" s="134">
        <v>72.930000000000007</v>
      </c>
      <c r="H93" s="134">
        <v>21.27</v>
      </c>
      <c r="I93" s="134">
        <v>4.08</v>
      </c>
      <c r="J93" s="134">
        <v>0.18</v>
      </c>
      <c r="K93" s="134">
        <v>164.14</v>
      </c>
      <c r="L93" s="134">
        <v>21.88</v>
      </c>
      <c r="M93" s="134">
        <v>73.31</v>
      </c>
      <c r="N93" s="134">
        <v>0</v>
      </c>
      <c r="O93" s="134">
        <v>0</v>
      </c>
      <c r="P93" s="134">
        <v>0.52</v>
      </c>
      <c r="Q93" s="134">
        <v>4.25</v>
      </c>
    </row>
    <row r="94" spans="1:17" customFormat="1">
      <c r="A94" s="112" t="s">
        <v>2148</v>
      </c>
      <c r="B94" s="134">
        <v>5.19</v>
      </c>
      <c r="C94" s="134">
        <v>22.05</v>
      </c>
      <c r="D94" s="134">
        <v>17.03</v>
      </c>
      <c r="E94" s="134">
        <v>8.19</v>
      </c>
      <c r="F94" s="134">
        <v>3.53</v>
      </c>
      <c r="G94" s="134">
        <v>77.03</v>
      </c>
      <c r="H94" s="134">
        <v>20.59</v>
      </c>
      <c r="I94" s="134">
        <v>4.18</v>
      </c>
      <c r="J94" s="134">
        <v>0.12</v>
      </c>
      <c r="K94" s="134">
        <v>164.58</v>
      </c>
      <c r="L94" s="134">
        <v>21.63</v>
      </c>
      <c r="M94" s="134">
        <v>74.56</v>
      </c>
      <c r="N94" s="134">
        <v>0</v>
      </c>
      <c r="O94" s="134">
        <v>0</v>
      </c>
      <c r="P94" s="134">
        <v>0.52</v>
      </c>
      <c r="Q94" s="134">
        <v>4.24</v>
      </c>
    </row>
    <row r="95" spans="1:17" customFormat="1">
      <c r="A95" s="112" t="s">
        <v>2149</v>
      </c>
      <c r="B95" s="134">
        <v>5.0599999999999996</v>
      </c>
      <c r="C95" s="134">
        <v>21.65</v>
      </c>
      <c r="D95" s="134">
        <v>16.72</v>
      </c>
      <c r="E95" s="134">
        <v>8.32</v>
      </c>
      <c r="F95" s="134">
        <v>3.41</v>
      </c>
      <c r="G95" s="134">
        <v>77.86</v>
      </c>
      <c r="H95" s="134">
        <v>20.59</v>
      </c>
      <c r="I95" s="134">
        <v>4.2300000000000004</v>
      </c>
      <c r="J95" s="134">
        <v>7.0000000000000007E-2</v>
      </c>
      <c r="K95" s="134">
        <v>163.62</v>
      </c>
      <c r="L95" s="134">
        <v>21.28</v>
      </c>
      <c r="M95" s="134">
        <v>77.25</v>
      </c>
      <c r="N95" s="134">
        <v>0</v>
      </c>
      <c r="O95" s="134">
        <v>0</v>
      </c>
      <c r="P95" s="134">
        <v>0.51</v>
      </c>
      <c r="Q95" s="134">
        <v>4.25</v>
      </c>
    </row>
    <row r="96" spans="1:17" customFormat="1">
      <c r="A96" s="112" t="s">
        <v>2150</v>
      </c>
      <c r="B96" s="134">
        <v>4.95</v>
      </c>
      <c r="C96" s="134">
        <v>21.42</v>
      </c>
      <c r="D96" s="134">
        <v>16.510000000000002</v>
      </c>
      <c r="E96" s="134">
        <v>8.15</v>
      </c>
      <c r="F96" s="134">
        <v>3.5</v>
      </c>
      <c r="G96" s="134">
        <v>77.86</v>
      </c>
      <c r="H96" s="134">
        <v>20.59</v>
      </c>
      <c r="I96" s="134">
        <v>4.28</v>
      </c>
      <c r="J96" s="134">
        <v>0.08</v>
      </c>
      <c r="K96" s="134">
        <v>156.02000000000001</v>
      </c>
      <c r="L96" s="134">
        <v>21.14</v>
      </c>
      <c r="M96" s="134">
        <v>78.05</v>
      </c>
      <c r="N96" s="134">
        <v>0</v>
      </c>
      <c r="O96" s="134">
        <v>0</v>
      </c>
      <c r="P96" s="134">
        <v>0.52</v>
      </c>
      <c r="Q96" s="134">
        <v>4.22</v>
      </c>
    </row>
    <row r="97" spans="1:22" customFormat="1">
      <c r="A97" s="112" t="s">
        <v>2151</v>
      </c>
      <c r="B97" s="134">
        <v>4.82</v>
      </c>
      <c r="C97" s="134">
        <v>21.25</v>
      </c>
      <c r="D97" s="134">
        <v>16.32</v>
      </c>
      <c r="E97" s="134">
        <v>8.5</v>
      </c>
      <c r="F97" s="134">
        <v>3.54</v>
      </c>
      <c r="G97" s="134">
        <v>77.86</v>
      </c>
      <c r="H97" s="134">
        <v>20.59</v>
      </c>
      <c r="I97" s="134">
        <v>4.29</v>
      </c>
      <c r="J97" s="134">
        <v>0.06</v>
      </c>
      <c r="K97" s="134">
        <v>178.48</v>
      </c>
      <c r="L97" s="134">
        <v>21.08</v>
      </c>
      <c r="M97" s="134">
        <v>77.510000000000005</v>
      </c>
      <c r="N97" s="134">
        <v>0</v>
      </c>
      <c r="O97" s="134">
        <v>0</v>
      </c>
      <c r="P97" s="134">
        <v>0.51</v>
      </c>
      <c r="Q97" s="134">
        <v>4.21</v>
      </c>
    </row>
    <row r="98" spans="1:22" customFormat="1">
      <c r="A98" s="112" t="s">
        <v>2152</v>
      </c>
      <c r="B98" s="134">
        <v>4.83</v>
      </c>
      <c r="C98" s="134">
        <v>20.86</v>
      </c>
      <c r="D98" s="134">
        <v>16.12</v>
      </c>
      <c r="E98" s="134">
        <v>8.56</v>
      </c>
      <c r="F98" s="134">
        <v>3.48</v>
      </c>
      <c r="G98" s="134">
        <v>64.8</v>
      </c>
      <c r="H98" s="134">
        <v>20.6</v>
      </c>
      <c r="I98" s="134">
        <v>4.33</v>
      </c>
      <c r="J98" s="134">
        <v>0.18</v>
      </c>
      <c r="K98" s="134">
        <v>172.92</v>
      </c>
      <c r="L98" s="134">
        <v>21</v>
      </c>
      <c r="M98" s="134">
        <v>77.75</v>
      </c>
      <c r="N98" s="134">
        <v>0</v>
      </c>
      <c r="O98" s="134">
        <v>0</v>
      </c>
      <c r="P98" s="134">
        <v>0.51</v>
      </c>
      <c r="Q98" s="134">
        <v>4.22</v>
      </c>
    </row>
    <row r="99" spans="1:22" customFormat="1">
      <c r="A99" s="112" t="s">
        <v>2153</v>
      </c>
      <c r="B99" s="134">
        <v>4.84</v>
      </c>
      <c r="C99" s="134">
        <v>20.66</v>
      </c>
      <c r="D99" s="134">
        <v>16.03</v>
      </c>
      <c r="E99" s="134">
        <v>8.2899999999999991</v>
      </c>
      <c r="F99" s="134">
        <v>3.54</v>
      </c>
      <c r="G99" s="134">
        <v>62.18</v>
      </c>
      <c r="H99" s="134">
        <v>20.6</v>
      </c>
      <c r="I99" s="134">
        <v>4.34</v>
      </c>
      <c r="J99" s="134">
        <v>0.16</v>
      </c>
      <c r="K99" s="134">
        <v>181.54</v>
      </c>
      <c r="L99" s="134">
        <v>21.16</v>
      </c>
      <c r="M99" s="134">
        <v>77.349999999999994</v>
      </c>
      <c r="N99" s="134">
        <v>0</v>
      </c>
      <c r="O99" s="134">
        <v>0</v>
      </c>
      <c r="P99" s="134">
        <v>0.51</v>
      </c>
      <c r="Q99" s="134">
        <v>4.22</v>
      </c>
    </row>
    <row r="100" spans="1:22" customFormat="1">
      <c r="A100" s="112" t="s">
        <v>2154</v>
      </c>
      <c r="B100" s="134">
        <v>4.76</v>
      </c>
      <c r="C100" s="134">
        <v>20.7</v>
      </c>
      <c r="D100" s="134">
        <v>15.99</v>
      </c>
      <c r="E100" s="134">
        <v>8.4600000000000009</v>
      </c>
      <c r="F100" s="134">
        <v>3.74</v>
      </c>
      <c r="G100" s="134">
        <v>62.18</v>
      </c>
      <c r="H100" s="134">
        <v>20.6</v>
      </c>
      <c r="I100" s="134">
        <v>4.38</v>
      </c>
      <c r="J100" s="134">
        <v>0.14000000000000001</v>
      </c>
      <c r="K100" s="134">
        <v>186.68</v>
      </c>
      <c r="L100" s="134">
        <v>21.13</v>
      </c>
      <c r="M100" s="134">
        <v>77.790000000000006</v>
      </c>
      <c r="N100" s="134">
        <v>0</v>
      </c>
      <c r="O100" s="134">
        <v>0</v>
      </c>
      <c r="P100" s="134">
        <v>0.51</v>
      </c>
      <c r="Q100" s="134">
        <v>4.1900000000000004</v>
      </c>
    </row>
    <row r="101" spans="1:22" customFormat="1">
      <c r="A101" s="112" t="s">
        <v>2155</v>
      </c>
      <c r="B101" s="134">
        <v>4.7300000000000004</v>
      </c>
      <c r="C101" s="134">
        <v>20.56</v>
      </c>
      <c r="D101" s="134">
        <v>15.89</v>
      </c>
      <c r="E101" s="134">
        <v>7.97</v>
      </c>
      <c r="F101" s="134">
        <v>3.95</v>
      </c>
      <c r="G101" s="134">
        <v>62.18</v>
      </c>
      <c r="H101" s="134">
        <v>20.6</v>
      </c>
      <c r="I101" s="134">
        <v>4.4000000000000004</v>
      </c>
      <c r="J101" s="134">
        <v>0.12</v>
      </c>
      <c r="K101" s="134">
        <v>204.7</v>
      </c>
      <c r="L101" s="134">
        <v>20.84</v>
      </c>
      <c r="M101" s="134">
        <v>79.08</v>
      </c>
      <c r="N101" s="134">
        <v>0</v>
      </c>
      <c r="O101" s="134">
        <v>0</v>
      </c>
      <c r="P101" s="134">
        <v>0.5</v>
      </c>
      <c r="Q101" s="134">
        <v>4.1900000000000004</v>
      </c>
    </row>
    <row r="102" spans="1:22" customFormat="1">
      <c r="A102" s="112" t="s">
        <v>2156</v>
      </c>
      <c r="B102" s="134">
        <v>4.55</v>
      </c>
      <c r="C102" s="134">
        <v>20.46</v>
      </c>
      <c r="D102" s="134">
        <v>15.69</v>
      </c>
      <c r="E102" s="134">
        <v>8.35</v>
      </c>
      <c r="F102" s="134">
        <v>4</v>
      </c>
      <c r="G102" s="134">
        <v>59.99</v>
      </c>
      <c r="H102" s="134">
        <v>18.73</v>
      </c>
      <c r="I102" s="134">
        <v>4.41</v>
      </c>
      <c r="J102" s="134">
        <v>0.06</v>
      </c>
      <c r="K102" s="134">
        <v>240.65</v>
      </c>
      <c r="L102" s="134">
        <v>20.55</v>
      </c>
      <c r="M102" s="134">
        <v>81.55</v>
      </c>
      <c r="N102" s="134">
        <v>0</v>
      </c>
      <c r="O102" s="134">
        <v>0</v>
      </c>
      <c r="P102" s="134">
        <v>0.5</v>
      </c>
      <c r="Q102" s="134">
        <v>4.1900000000000004</v>
      </c>
    </row>
    <row r="103" spans="1:22" customFormat="1">
      <c r="A103" s="112" t="s">
        <v>2157</v>
      </c>
      <c r="B103" s="134">
        <v>4.5599999999999996</v>
      </c>
      <c r="C103" s="134">
        <v>20.100000000000001</v>
      </c>
      <c r="D103" s="134">
        <v>15.51</v>
      </c>
      <c r="E103" s="134">
        <v>7.93</v>
      </c>
      <c r="F103" s="134">
        <v>3.96</v>
      </c>
      <c r="G103" s="134">
        <v>59.55</v>
      </c>
      <c r="H103" s="134">
        <v>18.73</v>
      </c>
      <c r="I103" s="134">
        <v>4.3499999999999996</v>
      </c>
      <c r="J103" s="134">
        <v>7.0000000000000007E-2</v>
      </c>
      <c r="K103" s="134">
        <v>201.66</v>
      </c>
      <c r="L103" s="134">
        <v>20.37</v>
      </c>
      <c r="M103" s="134">
        <v>81.58</v>
      </c>
      <c r="N103" s="134">
        <v>0</v>
      </c>
      <c r="O103" s="134">
        <v>0</v>
      </c>
      <c r="P103" s="134">
        <v>0.49</v>
      </c>
      <c r="Q103" s="134">
        <v>4.1900000000000004</v>
      </c>
    </row>
    <row r="104" spans="1:22" customFormat="1">
      <c r="A104" s="112" t="s">
        <v>2158</v>
      </c>
      <c r="B104" s="134">
        <v>4.55</v>
      </c>
      <c r="C104" s="134">
        <v>19.79</v>
      </c>
      <c r="D104" s="134">
        <v>15.34</v>
      </c>
      <c r="E104" s="134">
        <v>7.81</v>
      </c>
      <c r="F104" s="134">
        <v>3.76</v>
      </c>
      <c r="G104" s="134">
        <v>59.55</v>
      </c>
      <c r="H104" s="134">
        <v>18.73</v>
      </c>
      <c r="I104" s="134">
        <v>4.29</v>
      </c>
      <c r="J104" s="134">
        <v>0.04</v>
      </c>
      <c r="K104" s="134">
        <v>218.53</v>
      </c>
      <c r="L104" s="134">
        <v>20.190000000000001</v>
      </c>
      <c r="M104" s="134">
        <v>83.21</v>
      </c>
      <c r="N104" s="134">
        <v>0</v>
      </c>
      <c r="O104" s="134">
        <v>0</v>
      </c>
      <c r="P104" s="134">
        <v>0.49</v>
      </c>
      <c r="Q104" s="134">
        <v>4.1900000000000004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2.0299999999999998</v>
      </c>
      <c r="C106" s="183">
        <f>MIN(C9:C104)</f>
        <v>13.05</v>
      </c>
      <c r="D106" s="183">
        <f t="shared" ref="D106:Q106" si="0">MIN(D9:D104)</f>
        <v>9.99</v>
      </c>
      <c r="E106" s="183">
        <f t="shared" si="0"/>
        <v>5.37</v>
      </c>
      <c r="F106" s="183">
        <f t="shared" si="0"/>
        <v>2.4</v>
      </c>
      <c r="G106" s="183">
        <f t="shared" si="0"/>
        <v>36</v>
      </c>
      <c r="H106" s="183">
        <f t="shared" si="0"/>
        <v>14.07</v>
      </c>
      <c r="I106" s="183">
        <f t="shared" si="0"/>
        <v>2.2599999999999998</v>
      </c>
      <c r="J106" s="183">
        <f t="shared" si="0"/>
        <v>0.02</v>
      </c>
      <c r="K106" s="183">
        <f t="shared" si="0"/>
        <v>17.100000000000001</v>
      </c>
      <c r="L106" s="183">
        <f t="shared" si="0"/>
        <v>19.28</v>
      </c>
      <c r="M106" s="183">
        <f t="shared" si="0"/>
        <v>39.799999999999997</v>
      </c>
      <c r="N106" s="183">
        <f t="shared" si="0"/>
        <v>0</v>
      </c>
      <c r="O106" s="183">
        <f t="shared" si="0"/>
        <v>0</v>
      </c>
      <c r="P106" s="183">
        <f t="shared" si="0"/>
        <v>0.34</v>
      </c>
      <c r="Q106" s="183">
        <f t="shared" si="0"/>
        <v>4.07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16.940000000000001</v>
      </c>
      <c r="C107" s="184">
        <f t="shared" ref="C107:Q107" si="1">MAX(C9:C104)</f>
        <v>26.58</v>
      </c>
      <c r="D107" s="184">
        <f t="shared" si="1"/>
        <v>27.27</v>
      </c>
      <c r="E107" s="184">
        <f t="shared" si="1"/>
        <v>14.5</v>
      </c>
      <c r="F107" s="184">
        <f t="shared" si="1"/>
        <v>23.72</v>
      </c>
      <c r="G107" s="184">
        <f t="shared" si="1"/>
        <v>77.86</v>
      </c>
      <c r="H107" s="184">
        <f t="shared" si="1"/>
        <v>32.28</v>
      </c>
      <c r="I107" s="184">
        <f t="shared" si="1"/>
        <v>7.39</v>
      </c>
      <c r="J107" s="184">
        <f t="shared" si="1"/>
        <v>0.66</v>
      </c>
      <c r="K107" s="184">
        <f t="shared" si="1"/>
        <v>240.65</v>
      </c>
      <c r="L107" s="184">
        <f t="shared" si="1"/>
        <v>30.99</v>
      </c>
      <c r="M107" s="184">
        <f t="shared" si="1"/>
        <v>95.06</v>
      </c>
      <c r="N107" s="184">
        <f t="shared" si="1"/>
        <v>566.5</v>
      </c>
      <c r="O107" s="184">
        <f t="shared" si="1"/>
        <v>0</v>
      </c>
      <c r="P107" s="184">
        <f t="shared" si="1"/>
        <v>0.76</v>
      </c>
      <c r="Q107" s="184">
        <f t="shared" si="1"/>
        <v>4.6900000000000004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7.9784374999999983</v>
      </c>
      <c r="C108" s="183">
        <f t="shared" ref="C108:Q108" si="2">AVERAGE(C9:C104)</f>
        <v>21.091979166666665</v>
      </c>
      <c r="D108" s="183">
        <f t="shared" si="2"/>
        <v>18.768854166666653</v>
      </c>
      <c r="E108" s="183">
        <f t="shared" si="2"/>
        <v>8.5535416666666624</v>
      </c>
      <c r="F108" s="183">
        <f t="shared" si="2"/>
        <v>5.8254166666666656</v>
      </c>
      <c r="G108" s="183">
        <f t="shared" si="2"/>
        <v>52.730416666666656</v>
      </c>
      <c r="H108" s="183">
        <f t="shared" si="2"/>
        <v>20.671562499999986</v>
      </c>
      <c r="I108" s="183">
        <f t="shared" si="2"/>
        <v>4.6405208333333343</v>
      </c>
      <c r="J108" s="183">
        <f t="shared" si="2"/>
        <v>0.21843750000000003</v>
      </c>
      <c r="K108" s="183">
        <f t="shared" si="2"/>
        <v>130.40427083333338</v>
      </c>
      <c r="L108" s="183">
        <f t="shared" si="2"/>
        <v>23.900729166666668</v>
      </c>
      <c r="M108" s="183">
        <f t="shared" si="2"/>
        <v>69.790104166666694</v>
      </c>
      <c r="N108" s="183">
        <f t="shared" si="2"/>
        <v>116.49583333333329</v>
      </c>
      <c r="O108" s="183">
        <f t="shared" si="2"/>
        <v>0</v>
      </c>
      <c r="P108" s="183">
        <f t="shared" si="2"/>
        <v>0.5135416666666669</v>
      </c>
      <c r="Q108" s="183">
        <f t="shared" si="2"/>
        <v>4.3433333333333319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4.6344102737593671</v>
      </c>
      <c r="C109" s="183">
        <f t="shared" ref="C109:Q109" si="3">STDEV(C9:C104)</f>
        <v>3.6243566746148059</v>
      </c>
      <c r="D109" s="183">
        <f t="shared" si="3"/>
        <v>5.2364013094152808</v>
      </c>
      <c r="E109" s="183">
        <f t="shared" si="3"/>
        <v>1.9898505520009058</v>
      </c>
      <c r="F109" s="183">
        <f t="shared" si="3"/>
        <v>5.8747713803968411</v>
      </c>
      <c r="G109" s="183">
        <f t="shared" si="3"/>
        <v>12.572149413572594</v>
      </c>
      <c r="H109" s="183">
        <f t="shared" si="3"/>
        <v>3.4902122777020268</v>
      </c>
      <c r="I109" s="183">
        <f t="shared" si="3"/>
        <v>1.4690672800268902</v>
      </c>
      <c r="J109" s="183">
        <f t="shared" si="3"/>
        <v>0.13776660755747278</v>
      </c>
      <c r="K109" s="183">
        <f t="shared" si="3"/>
        <v>66.405849120069604</v>
      </c>
      <c r="L109" s="183">
        <f t="shared" si="3"/>
        <v>3.9273709553101548</v>
      </c>
      <c r="M109" s="183">
        <f t="shared" si="3"/>
        <v>17.989904332257279</v>
      </c>
      <c r="N109" s="183">
        <f t="shared" si="3"/>
        <v>186.8156788848114</v>
      </c>
      <c r="O109" s="183">
        <f t="shared" si="3"/>
        <v>0</v>
      </c>
      <c r="P109" s="183">
        <f t="shared" si="3"/>
        <v>0.10787887131960965</v>
      </c>
      <c r="Q109" s="183">
        <f t="shared" si="3"/>
        <v>0.19235201648444247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21/11/2023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2159</v>
      </c>
      <c r="B9" s="134">
        <v>4.45</v>
      </c>
      <c r="C9" s="134">
        <v>19.93</v>
      </c>
      <c r="D9" s="134">
        <v>15.33</v>
      </c>
      <c r="E9" s="134">
        <v>8.44</v>
      </c>
      <c r="F9" s="134">
        <v>3.68</v>
      </c>
      <c r="G9" s="134">
        <v>59.55</v>
      </c>
      <c r="H9" s="134">
        <v>18.73</v>
      </c>
      <c r="I9" s="134">
        <v>4.2699999999999996</v>
      </c>
      <c r="J9" s="134">
        <v>7.0000000000000007E-2</v>
      </c>
      <c r="K9" s="134">
        <v>163.13</v>
      </c>
      <c r="L9" s="134">
        <v>20.14</v>
      </c>
      <c r="M9" s="134">
        <v>82.65</v>
      </c>
      <c r="N9" s="134">
        <v>0</v>
      </c>
      <c r="O9" s="134">
        <v>0</v>
      </c>
      <c r="P9" s="134">
        <v>0.48</v>
      </c>
      <c r="Q9" s="134">
        <v>4.18</v>
      </c>
    </row>
    <row r="10" spans="1:21" customFormat="1">
      <c r="A10" s="112" t="s">
        <v>2160</v>
      </c>
      <c r="B10" s="134">
        <v>4.45</v>
      </c>
      <c r="C10" s="134">
        <v>19.309999999999999</v>
      </c>
      <c r="D10" s="134">
        <v>15.01</v>
      </c>
      <c r="E10" s="134">
        <v>8.23</v>
      </c>
      <c r="F10" s="134">
        <v>3.76</v>
      </c>
      <c r="G10" s="134">
        <v>51.59</v>
      </c>
      <c r="H10" s="134">
        <v>19.149999999999999</v>
      </c>
      <c r="I10" s="134">
        <v>4.24</v>
      </c>
      <c r="J10" s="134">
        <v>0.08</v>
      </c>
      <c r="K10" s="134">
        <v>222.47</v>
      </c>
      <c r="L10" s="134">
        <v>19.95</v>
      </c>
      <c r="M10" s="134">
        <v>83.9</v>
      </c>
      <c r="N10" s="134">
        <v>0</v>
      </c>
      <c r="O10" s="134">
        <v>0</v>
      </c>
      <c r="P10" s="134">
        <v>0.47</v>
      </c>
      <c r="Q10" s="134">
        <v>4.1900000000000004</v>
      </c>
    </row>
    <row r="11" spans="1:21" customFormat="1">
      <c r="A11" s="112" t="s">
        <v>2161</v>
      </c>
      <c r="B11" s="134">
        <v>4.5</v>
      </c>
      <c r="C11" s="134">
        <v>18.96</v>
      </c>
      <c r="D11" s="134">
        <v>14.87</v>
      </c>
      <c r="E11" s="134">
        <v>8.27</v>
      </c>
      <c r="F11" s="134">
        <v>3.54</v>
      </c>
      <c r="G11" s="134">
        <v>50</v>
      </c>
      <c r="H11" s="134">
        <v>19.149999999999999</v>
      </c>
      <c r="I11" s="134">
        <v>4.1399999999999997</v>
      </c>
      <c r="J11" s="134">
        <v>7.0000000000000007E-2</v>
      </c>
      <c r="K11" s="134">
        <v>173.1</v>
      </c>
      <c r="L11" s="134">
        <v>19.82</v>
      </c>
      <c r="M11" s="134">
        <v>84.77</v>
      </c>
      <c r="N11" s="134">
        <v>0</v>
      </c>
      <c r="O11" s="134">
        <v>0</v>
      </c>
      <c r="P11" s="134">
        <v>0.47</v>
      </c>
      <c r="Q11" s="134">
        <v>4.2</v>
      </c>
    </row>
    <row r="12" spans="1:21" customFormat="1">
      <c r="A12" s="112" t="s">
        <v>2162</v>
      </c>
      <c r="B12" s="134">
        <v>4.4000000000000004</v>
      </c>
      <c r="C12" s="134">
        <v>19</v>
      </c>
      <c r="D12" s="134">
        <v>14.81</v>
      </c>
      <c r="E12" s="134">
        <v>8.06</v>
      </c>
      <c r="F12" s="134">
        <v>3.54</v>
      </c>
      <c r="G12" s="134">
        <v>50</v>
      </c>
      <c r="H12" s="134">
        <v>19.149999999999999</v>
      </c>
      <c r="I12" s="134">
        <v>4.1399999999999997</v>
      </c>
      <c r="J12" s="134">
        <v>0.1</v>
      </c>
      <c r="K12" s="134">
        <v>203</v>
      </c>
      <c r="L12" s="134">
        <v>19.73</v>
      </c>
      <c r="M12" s="134">
        <v>85.13</v>
      </c>
      <c r="N12" s="134">
        <v>0</v>
      </c>
      <c r="O12" s="134">
        <v>0</v>
      </c>
      <c r="P12" s="134">
        <v>0.47</v>
      </c>
      <c r="Q12" s="134">
        <v>4.17</v>
      </c>
    </row>
    <row r="13" spans="1:21" customFormat="1">
      <c r="A13" s="112" t="s">
        <v>2163</v>
      </c>
      <c r="B13" s="134">
        <v>4.47</v>
      </c>
      <c r="C13" s="134">
        <v>18.920000000000002</v>
      </c>
      <c r="D13" s="134">
        <v>14.82</v>
      </c>
      <c r="E13" s="134">
        <v>8.1300000000000008</v>
      </c>
      <c r="F13" s="134">
        <v>3.49</v>
      </c>
      <c r="G13" s="134">
        <v>50</v>
      </c>
      <c r="H13" s="134">
        <v>19.149999999999999</v>
      </c>
      <c r="I13" s="134">
        <v>4.07</v>
      </c>
      <c r="J13" s="134">
        <v>0.11</v>
      </c>
      <c r="K13" s="134">
        <v>248.35</v>
      </c>
      <c r="L13" s="134">
        <v>19.53</v>
      </c>
      <c r="M13" s="134">
        <v>87.2</v>
      </c>
      <c r="N13" s="134">
        <v>0</v>
      </c>
      <c r="O13" s="134">
        <v>0</v>
      </c>
      <c r="P13" s="134">
        <v>0.46</v>
      </c>
      <c r="Q13" s="134">
        <v>4.18</v>
      </c>
    </row>
    <row r="14" spans="1:21" customFormat="1">
      <c r="A14" s="112" t="s">
        <v>2164</v>
      </c>
      <c r="B14" s="134">
        <v>4.68</v>
      </c>
      <c r="C14" s="134">
        <v>17.760000000000002</v>
      </c>
      <c r="D14" s="134">
        <v>14.39</v>
      </c>
      <c r="E14" s="134">
        <v>7.56</v>
      </c>
      <c r="F14" s="134">
        <v>3.23</v>
      </c>
      <c r="G14" s="134">
        <v>45.64</v>
      </c>
      <c r="H14" s="134">
        <v>17.649999999999999</v>
      </c>
      <c r="I14" s="134">
        <v>4.04</v>
      </c>
      <c r="J14" s="134">
        <v>0.11</v>
      </c>
      <c r="K14" s="134">
        <v>174.7</v>
      </c>
      <c r="L14" s="134">
        <v>19.39</v>
      </c>
      <c r="M14" s="134">
        <v>88.75</v>
      </c>
      <c r="N14" s="134">
        <v>0</v>
      </c>
      <c r="O14" s="134">
        <v>0</v>
      </c>
      <c r="P14" s="134">
        <v>0.45</v>
      </c>
      <c r="Q14" s="134">
        <v>4.2</v>
      </c>
    </row>
    <row r="15" spans="1:21" customFormat="1">
      <c r="A15" s="112" t="s">
        <v>2165</v>
      </c>
      <c r="B15" s="134">
        <v>5.04</v>
      </c>
      <c r="C15" s="134">
        <v>16.670000000000002</v>
      </c>
      <c r="D15" s="134">
        <v>14.1</v>
      </c>
      <c r="E15" s="134">
        <v>7.34</v>
      </c>
      <c r="F15" s="134">
        <v>3.12</v>
      </c>
      <c r="G15" s="134">
        <v>44.77</v>
      </c>
      <c r="H15" s="134">
        <v>17.649999999999999</v>
      </c>
      <c r="I15" s="134">
        <v>4.03</v>
      </c>
      <c r="J15" s="134">
        <v>7.0000000000000007E-2</v>
      </c>
      <c r="K15" s="134">
        <v>147.81</v>
      </c>
      <c r="L15" s="134">
        <v>19.38</v>
      </c>
      <c r="M15" s="134">
        <v>88.05</v>
      </c>
      <c r="N15" s="134">
        <v>0</v>
      </c>
      <c r="O15" s="134">
        <v>0</v>
      </c>
      <c r="P15" s="134">
        <v>0.43</v>
      </c>
      <c r="Q15" s="134">
        <v>4.22</v>
      </c>
    </row>
    <row r="16" spans="1:21" customFormat="1">
      <c r="A16" s="112" t="s">
        <v>2166</v>
      </c>
      <c r="B16" s="134">
        <v>5.49</v>
      </c>
      <c r="C16" s="134">
        <v>17.559999999999999</v>
      </c>
      <c r="D16" s="134">
        <v>14.93</v>
      </c>
      <c r="E16" s="134">
        <v>7.19</v>
      </c>
      <c r="F16" s="134">
        <v>2.7</v>
      </c>
      <c r="G16" s="134">
        <v>44.77</v>
      </c>
      <c r="H16" s="134">
        <v>17.649999999999999</v>
      </c>
      <c r="I16" s="134">
        <v>4.04</v>
      </c>
      <c r="J16" s="134">
        <v>0.09</v>
      </c>
      <c r="K16" s="134">
        <v>125.62</v>
      </c>
      <c r="L16" s="134">
        <v>19.38</v>
      </c>
      <c r="M16" s="134">
        <v>87.45</v>
      </c>
      <c r="N16" s="134">
        <v>0</v>
      </c>
      <c r="O16" s="134">
        <v>0</v>
      </c>
      <c r="P16" s="134">
        <v>0.43</v>
      </c>
      <c r="Q16" s="134">
        <v>4.21</v>
      </c>
    </row>
    <row r="17" spans="1:17" customFormat="1">
      <c r="A17" s="112" t="s">
        <v>2167</v>
      </c>
      <c r="B17" s="134">
        <v>6.19</v>
      </c>
      <c r="C17" s="134">
        <v>18.09</v>
      </c>
      <c r="D17" s="134">
        <v>15.77</v>
      </c>
      <c r="E17" s="134">
        <v>6.9</v>
      </c>
      <c r="F17" s="134">
        <v>2.72</v>
      </c>
      <c r="G17" s="134">
        <v>44.77</v>
      </c>
      <c r="H17" s="134">
        <v>17.649999999999999</v>
      </c>
      <c r="I17" s="134">
        <v>4.0199999999999996</v>
      </c>
      <c r="J17" s="134">
        <v>0.11</v>
      </c>
      <c r="K17" s="134">
        <v>93.84</v>
      </c>
      <c r="L17" s="134">
        <v>19.399999999999999</v>
      </c>
      <c r="M17" s="134">
        <v>86.92</v>
      </c>
      <c r="N17" s="134">
        <v>0</v>
      </c>
      <c r="O17" s="134">
        <v>0</v>
      </c>
      <c r="P17" s="134">
        <v>0.44</v>
      </c>
      <c r="Q17" s="134">
        <v>4.2</v>
      </c>
    </row>
    <row r="18" spans="1:17" customFormat="1">
      <c r="A18" s="112" t="s">
        <v>2168</v>
      </c>
      <c r="B18" s="134">
        <v>6.91</v>
      </c>
      <c r="C18" s="134">
        <v>18.649999999999999</v>
      </c>
      <c r="D18" s="134">
        <v>16.63</v>
      </c>
      <c r="E18" s="134">
        <v>7.46</v>
      </c>
      <c r="F18" s="134">
        <v>2.67</v>
      </c>
      <c r="G18" s="134">
        <v>49.26</v>
      </c>
      <c r="H18" s="134">
        <v>15.58</v>
      </c>
      <c r="I18" s="134">
        <v>4.05</v>
      </c>
      <c r="J18" s="134">
        <v>0.1</v>
      </c>
      <c r="K18" s="134">
        <v>187.94</v>
      </c>
      <c r="L18" s="134">
        <v>19.350000000000001</v>
      </c>
      <c r="M18" s="134">
        <v>87.58</v>
      </c>
      <c r="N18" s="134">
        <v>0</v>
      </c>
      <c r="O18" s="134">
        <v>0</v>
      </c>
      <c r="P18" s="134">
        <v>0.44</v>
      </c>
      <c r="Q18" s="134">
        <v>4.24</v>
      </c>
    </row>
    <row r="19" spans="1:17" customFormat="1">
      <c r="A19" s="112" t="s">
        <v>2169</v>
      </c>
      <c r="B19" s="134">
        <v>7.49</v>
      </c>
      <c r="C19" s="134">
        <v>19.75</v>
      </c>
      <c r="D19" s="134">
        <v>17.68</v>
      </c>
      <c r="E19" s="134">
        <v>7.17</v>
      </c>
      <c r="F19" s="134">
        <v>2.57</v>
      </c>
      <c r="G19" s="134">
        <v>50.16</v>
      </c>
      <c r="H19" s="134">
        <v>15.58</v>
      </c>
      <c r="I19" s="134">
        <v>4.07</v>
      </c>
      <c r="J19" s="134">
        <v>0.1</v>
      </c>
      <c r="K19" s="134">
        <v>154.15</v>
      </c>
      <c r="L19" s="134">
        <v>19.29</v>
      </c>
      <c r="M19" s="134">
        <v>89.11</v>
      </c>
      <c r="N19" s="134">
        <v>0</v>
      </c>
      <c r="O19" s="134">
        <v>0</v>
      </c>
      <c r="P19" s="134">
        <v>0.45</v>
      </c>
      <c r="Q19" s="134">
        <v>4.26</v>
      </c>
    </row>
    <row r="20" spans="1:17" customFormat="1">
      <c r="A20" s="112" t="s">
        <v>2170</v>
      </c>
      <c r="B20" s="134">
        <v>7.94</v>
      </c>
      <c r="C20" s="134">
        <v>19.89</v>
      </c>
      <c r="D20" s="134">
        <v>18.11</v>
      </c>
      <c r="E20" s="134">
        <v>7.2</v>
      </c>
      <c r="F20" s="134">
        <v>2.6</v>
      </c>
      <c r="G20" s="134">
        <v>50.16</v>
      </c>
      <c r="H20" s="134">
        <v>15.58</v>
      </c>
      <c r="I20" s="134">
        <v>4.09</v>
      </c>
      <c r="J20" s="134">
        <v>0.05</v>
      </c>
      <c r="K20" s="134">
        <v>252.42</v>
      </c>
      <c r="L20" s="134">
        <v>19.21</v>
      </c>
      <c r="M20" s="134">
        <v>91.64</v>
      </c>
      <c r="N20" s="134">
        <v>0</v>
      </c>
      <c r="O20" s="134">
        <v>0</v>
      </c>
      <c r="P20" s="134">
        <v>0.45</v>
      </c>
      <c r="Q20" s="134">
        <v>4.2699999999999996</v>
      </c>
    </row>
    <row r="21" spans="1:17" customFormat="1">
      <c r="A21" s="112" t="s">
        <v>2171</v>
      </c>
      <c r="B21" s="134">
        <v>8.2799999999999994</v>
      </c>
      <c r="C21" s="134">
        <v>19.71</v>
      </c>
      <c r="D21" s="134">
        <v>18.29</v>
      </c>
      <c r="E21" s="134">
        <v>7.14</v>
      </c>
      <c r="F21" s="134">
        <v>2.78</v>
      </c>
      <c r="G21" s="134">
        <v>50.16</v>
      </c>
      <c r="H21" s="134">
        <v>15.58</v>
      </c>
      <c r="I21" s="134">
        <v>4.17</v>
      </c>
      <c r="J21" s="134">
        <v>0.45</v>
      </c>
      <c r="K21" s="134">
        <v>24.36</v>
      </c>
      <c r="L21" s="134">
        <v>19.149999999999999</v>
      </c>
      <c r="M21" s="134">
        <v>89.42</v>
      </c>
      <c r="N21" s="134">
        <v>0</v>
      </c>
      <c r="O21" s="134">
        <v>0</v>
      </c>
      <c r="P21" s="134">
        <v>0.45</v>
      </c>
      <c r="Q21" s="134">
        <v>4.3099999999999996</v>
      </c>
    </row>
    <row r="22" spans="1:17" customFormat="1">
      <c r="A22" s="112" t="s">
        <v>2172</v>
      </c>
      <c r="B22" s="134">
        <v>8.6199999999999992</v>
      </c>
      <c r="C22" s="134">
        <v>20.059999999999999</v>
      </c>
      <c r="D22" s="134">
        <v>18.75</v>
      </c>
      <c r="E22" s="134">
        <v>7.24</v>
      </c>
      <c r="F22" s="134">
        <v>2.79</v>
      </c>
      <c r="G22" s="134">
        <v>50.78</v>
      </c>
      <c r="H22" s="134">
        <v>16.53</v>
      </c>
      <c r="I22" s="134">
        <v>4.18</v>
      </c>
      <c r="J22" s="134">
        <v>0.41</v>
      </c>
      <c r="K22" s="134">
        <v>44.43</v>
      </c>
      <c r="L22" s="134">
        <v>19.2</v>
      </c>
      <c r="M22" s="134">
        <v>88.16</v>
      </c>
      <c r="N22" s="134">
        <v>0</v>
      </c>
      <c r="O22" s="134">
        <v>0</v>
      </c>
      <c r="P22" s="134">
        <v>0.46</v>
      </c>
      <c r="Q22" s="134">
        <v>4.32</v>
      </c>
    </row>
    <row r="23" spans="1:17" customFormat="1">
      <c r="A23" s="112" t="s">
        <v>2173</v>
      </c>
      <c r="B23" s="134">
        <v>8.86</v>
      </c>
      <c r="C23" s="134">
        <v>19.98</v>
      </c>
      <c r="D23" s="134">
        <v>18.89</v>
      </c>
      <c r="E23" s="134">
        <v>7.44</v>
      </c>
      <c r="F23" s="134">
        <v>2.81</v>
      </c>
      <c r="G23" s="134">
        <v>50.9</v>
      </c>
      <c r="H23" s="134">
        <v>16.53</v>
      </c>
      <c r="I23" s="134">
        <v>4.2</v>
      </c>
      <c r="J23" s="134">
        <v>0.38</v>
      </c>
      <c r="K23" s="134">
        <v>39.299999999999997</v>
      </c>
      <c r="L23" s="134">
        <v>19.11</v>
      </c>
      <c r="M23" s="134">
        <v>87.7</v>
      </c>
      <c r="N23" s="134">
        <v>0</v>
      </c>
      <c r="O23" s="134">
        <v>0</v>
      </c>
      <c r="P23" s="134">
        <v>0.46</v>
      </c>
      <c r="Q23" s="134">
        <v>4.34</v>
      </c>
    </row>
    <row r="24" spans="1:17" customFormat="1">
      <c r="A24" s="112" t="s">
        <v>2174</v>
      </c>
      <c r="B24" s="134">
        <v>8.9499999999999993</v>
      </c>
      <c r="C24" s="134">
        <v>20.74</v>
      </c>
      <c r="D24" s="134">
        <v>19.36</v>
      </c>
      <c r="E24" s="134">
        <v>7.38</v>
      </c>
      <c r="F24" s="134">
        <v>2.78</v>
      </c>
      <c r="G24" s="134">
        <v>50.9</v>
      </c>
      <c r="H24" s="134">
        <v>16.53</v>
      </c>
      <c r="I24" s="134">
        <v>4.3</v>
      </c>
      <c r="J24" s="134">
        <v>0.24</v>
      </c>
      <c r="K24" s="134">
        <v>56.27</v>
      </c>
      <c r="L24" s="134">
        <v>19.03</v>
      </c>
      <c r="M24" s="134">
        <v>87.45</v>
      </c>
      <c r="N24" s="134">
        <v>0</v>
      </c>
      <c r="O24" s="134">
        <v>0</v>
      </c>
      <c r="P24" s="134">
        <v>0.47</v>
      </c>
      <c r="Q24" s="134">
        <v>4.34</v>
      </c>
    </row>
    <row r="25" spans="1:17" customFormat="1">
      <c r="A25" s="112" t="s">
        <v>2175</v>
      </c>
      <c r="B25" s="134">
        <v>9.14</v>
      </c>
      <c r="C25" s="134">
        <v>20.23</v>
      </c>
      <c r="D25" s="134">
        <v>19.25</v>
      </c>
      <c r="E25" s="134">
        <v>7.72</v>
      </c>
      <c r="F25" s="134">
        <v>2.88</v>
      </c>
      <c r="G25" s="134">
        <v>50.9</v>
      </c>
      <c r="H25" s="134">
        <v>16.53</v>
      </c>
      <c r="I25" s="134">
        <v>4.2699999999999996</v>
      </c>
      <c r="J25" s="134">
        <v>0.14000000000000001</v>
      </c>
      <c r="K25" s="134">
        <v>81.349999999999994</v>
      </c>
      <c r="L25" s="134">
        <v>18.93</v>
      </c>
      <c r="M25" s="134">
        <v>87.66</v>
      </c>
      <c r="N25" s="134">
        <v>0</v>
      </c>
      <c r="O25" s="134">
        <v>0</v>
      </c>
      <c r="P25" s="134">
        <v>0.47</v>
      </c>
      <c r="Q25" s="134">
        <v>4.37</v>
      </c>
    </row>
    <row r="26" spans="1:17" customFormat="1">
      <c r="A26" s="112" t="s">
        <v>2176</v>
      </c>
      <c r="B26" s="134">
        <v>9.4600000000000009</v>
      </c>
      <c r="C26" s="134">
        <v>20.41</v>
      </c>
      <c r="D26" s="134">
        <v>19.600000000000001</v>
      </c>
      <c r="E26" s="134">
        <v>7.15</v>
      </c>
      <c r="F26" s="134">
        <v>2.73</v>
      </c>
      <c r="G26" s="134">
        <v>51.26</v>
      </c>
      <c r="H26" s="134">
        <v>19.440000000000001</v>
      </c>
      <c r="I26" s="134">
        <v>4.3099999999999996</v>
      </c>
      <c r="J26" s="134">
        <v>0.11</v>
      </c>
      <c r="K26" s="134">
        <v>81.209999999999994</v>
      </c>
      <c r="L26" s="134">
        <v>18.84</v>
      </c>
      <c r="M26" s="134">
        <v>88.53</v>
      </c>
      <c r="N26" s="134">
        <v>0</v>
      </c>
      <c r="O26" s="134">
        <v>0</v>
      </c>
      <c r="P26" s="134">
        <v>0.47</v>
      </c>
      <c r="Q26" s="134">
        <v>4.3899999999999997</v>
      </c>
    </row>
    <row r="27" spans="1:17" customFormat="1">
      <c r="A27" s="112" t="s">
        <v>2177</v>
      </c>
      <c r="B27" s="134">
        <v>9.8800000000000008</v>
      </c>
      <c r="C27" s="134">
        <v>21.02</v>
      </c>
      <c r="D27" s="134">
        <v>20.25</v>
      </c>
      <c r="E27" s="134">
        <v>7.29</v>
      </c>
      <c r="F27" s="134">
        <v>2.4700000000000002</v>
      </c>
      <c r="G27" s="134">
        <v>51.34</v>
      </c>
      <c r="H27" s="134">
        <v>19.440000000000001</v>
      </c>
      <c r="I27" s="134">
        <v>4.33</v>
      </c>
      <c r="J27" s="134">
        <v>0.05</v>
      </c>
      <c r="K27" s="134">
        <v>321.61</v>
      </c>
      <c r="L27" s="134">
        <v>18.45</v>
      </c>
      <c r="M27" s="134">
        <v>91.78</v>
      </c>
      <c r="N27" s="134">
        <v>0</v>
      </c>
      <c r="O27" s="134">
        <v>0</v>
      </c>
      <c r="P27" s="134">
        <v>0.47</v>
      </c>
      <c r="Q27" s="134">
        <v>4.3899999999999997</v>
      </c>
    </row>
    <row r="28" spans="1:17" customFormat="1">
      <c r="A28" s="112" t="s">
        <v>2178</v>
      </c>
      <c r="B28" s="134">
        <v>10.29</v>
      </c>
      <c r="C28" s="134">
        <v>20.58</v>
      </c>
      <c r="D28" s="134">
        <v>20.350000000000001</v>
      </c>
      <c r="E28" s="134">
        <v>7.18</v>
      </c>
      <c r="F28" s="134">
        <v>2.5499999999999998</v>
      </c>
      <c r="G28" s="134">
        <v>51.34</v>
      </c>
      <c r="H28" s="134">
        <v>19.440000000000001</v>
      </c>
      <c r="I28" s="134">
        <v>4.3600000000000003</v>
      </c>
      <c r="J28" s="134">
        <v>7.0000000000000007E-2</v>
      </c>
      <c r="K28" s="134">
        <v>121.35</v>
      </c>
      <c r="L28" s="134">
        <v>18.670000000000002</v>
      </c>
      <c r="M28" s="134">
        <v>89.27</v>
      </c>
      <c r="N28" s="134">
        <v>0</v>
      </c>
      <c r="O28" s="134">
        <v>0</v>
      </c>
      <c r="P28" s="134">
        <v>0.46</v>
      </c>
      <c r="Q28" s="134">
        <v>4.41</v>
      </c>
    </row>
    <row r="29" spans="1:17" customFormat="1">
      <c r="A29" s="112" t="s">
        <v>2179</v>
      </c>
      <c r="B29" s="134">
        <v>10.55</v>
      </c>
      <c r="C29" s="134">
        <v>21</v>
      </c>
      <c r="D29" s="134">
        <v>20.78</v>
      </c>
      <c r="E29" s="134">
        <v>7.19</v>
      </c>
      <c r="F29" s="134">
        <v>2.58</v>
      </c>
      <c r="G29" s="134">
        <v>51.34</v>
      </c>
      <c r="H29" s="134">
        <v>19.440000000000001</v>
      </c>
      <c r="I29" s="134">
        <v>4.46</v>
      </c>
      <c r="J29" s="134">
        <v>0.14000000000000001</v>
      </c>
      <c r="K29" s="134">
        <v>169.63</v>
      </c>
      <c r="L29" s="134">
        <v>18.670000000000002</v>
      </c>
      <c r="M29" s="134">
        <v>89.85</v>
      </c>
      <c r="N29" s="134">
        <v>0</v>
      </c>
      <c r="O29" s="134">
        <v>0</v>
      </c>
      <c r="P29" s="134">
        <v>0.47</v>
      </c>
      <c r="Q29" s="134">
        <v>4.42</v>
      </c>
    </row>
    <row r="30" spans="1:17" customFormat="1">
      <c r="A30" s="112" t="s">
        <v>2180</v>
      </c>
      <c r="B30" s="134">
        <v>10.76</v>
      </c>
      <c r="C30" s="134">
        <v>21.04</v>
      </c>
      <c r="D30" s="134">
        <v>20.98</v>
      </c>
      <c r="E30" s="134">
        <v>7.68</v>
      </c>
      <c r="F30" s="134">
        <v>2.5299999999999998</v>
      </c>
      <c r="G30" s="134">
        <v>50.56</v>
      </c>
      <c r="H30" s="134">
        <v>19.149999999999999</v>
      </c>
      <c r="I30" s="134">
        <v>4.4800000000000004</v>
      </c>
      <c r="J30" s="134">
        <v>0.04</v>
      </c>
      <c r="K30" s="134">
        <v>51.51</v>
      </c>
      <c r="L30" s="134">
        <v>18.59</v>
      </c>
      <c r="M30" s="134">
        <v>90.07</v>
      </c>
      <c r="N30" s="134">
        <v>0</v>
      </c>
      <c r="O30" s="134">
        <v>0</v>
      </c>
      <c r="P30" s="134">
        <v>0.48</v>
      </c>
      <c r="Q30" s="134">
        <v>4.43</v>
      </c>
    </row>
    <row r="31" spans="1:17" customFormat="1">
      <c r="A31" s="112" t="s">
        <v>2181</v>
      </c>
      <c r="B31" s="134">
        <v>11.32</v>
      </c>
      <c r="C31" s="134">
        <v>20.76</v>
      </c>
      <c r="D31" s="134">
        <v>21.27</v>
      </c>
      <c r="E31" s="134">
        <v>7.77</v>
      </c>
      <c r="F31" s="134">
        <v>2.61</v>
      </c>
      <c r="G31" s="134">
        <v>50.41</v>
      </c>
      <c r="H31" s="134">
        <v>19.149999999999999</v>
      </c>
      <c r="I31" s="134">
        <v>4.49</v>
      </c>
      <c r="J31" s="134">
        <v>0.17</v>
      </c>
      <c r="K31" s="134">
        <v>41.61</v>
      </c>
      <c r="L31" s="134">
        <v>18.600000000000001</v>
      </c>
      <c r="M31" s="134">
        <v>89.15</v>
      </c>
      <c r="N31" s="134">
        <v>0</v>
      </c>
      <c r="O31" s="134">
        <v>0</v>
      </c>
      <c r="P31" s="134">
        <v>0.48</v>
      </c>
      <c r="Q31" s="134">
        <v>4.45</v>
      </c>
    </row>
    <row r="32" spans="1:17" customFormat="1">
      <c r="A32" s="112" t="s">
        <v>2182</v>
      </c>
      <c r="B32" s="134">
        <v>12.13</v>
      </c>
      <c r="C32" s="134">
        <v>22.01</v>
      </c>
      <c r="D32" s="134">
        <v>22.58</v>
      </c>
      <c r="E32" s="134">
        <v>7.6</v>
      </c>
      <c r="F32" s="134">
        <v>2.54</v>
      </c>
      <c r="G32" s="134">
        <v>50.41</v>
      </c>
      <c r="H32" s="134">
        <v>19.149999999999999</v>
      </c>
      <c r="I32" s="134">
        <v>4.54</v>
      </c>
      <c r="J32" s="134">
        <v>0.22</v>
      </c>
      <c r="K32" s="134">
        <v>47.24</v>
      </c>
      <c r="L32" s="134">
        <v>18.66</v>
      </c>
      <c r="M32" s="134">
        <v>88.57</v>
      </c>
      <c r="N32" s="134">
        <v>0</v>
      </c>
      <c r="O32" s="134">
        <v>0</v>
      </c>
      <c r="P32" s="134">
        <v>0.5</v>
      </c>
      <c r="Q32" s="134">
        <v>4.47</v>
      </c>
    </row>
    <row r="33" spans="1:17" customFormat="1">
      <c r="A33" s="112" t="s">
        <v>2183</v>
      </c>
      <c r="B33" s="134">
        <v>12.94</v>
      </c>
      <c r="C33" s="134">
        <v>23.38</v>
      </c>
      <c r="D33" s="134">
        <v>23.94</v>
      </c>
      <c r="E33" s="134">
        <v>7.71</v>
      </c>
      <c r="F33" s="134">
        <v>2.42</v>
      </c>
      <c r="G33" s="134">
        <v>50.41</v>
      </c>
      <c r="H33" s="134">
        <v>19.149999999999999</v>
      </c>
      <c r="I33" s="134">
        <v>4.57</v>
      </c>
      <c r="J33" s="134">
        <v>0.21</v>
      </c>
      <c r="K33" s="134">
        <v>47.59</v>
      </c>
      <c r="L33" s="134">
        <v>18.690000000000001</v>
      </c>
      <c r="M33" s="134">
        <v>88.73</v>
      </c>
      <c r="N33" s="134">
        <v>0</v>
      </c>
      <c r="O33" s="134">
        <v>0</v>
      </c>
      <c r="P33" s="134">
        <v>0.51</v>
      </c>
      <c r="Q33" s="134">
        <v>4.5</v>
      </c>
    </row>
    <row r="34" spans="1:17" customFormat="1">
      <c r="A34" s="112" t="s">
        <v>2184</v>
      </c>
      <c r="B34" s="134">
        <v>13.47</v>
      </c>
      <c r="C34" s="134">
        <v>24.25</v>
      </c>
      <c r="D34" s="134">
        <v>24.82</v>
      </c>
      <c r="E34" s="134">
        <v>8.31</v>
      </c>
      <c r="F34" s="134">
        <v>2.75</v>
      </c>
      <c r="G34" s="134">
        <v>52.29</v>
      </c>
      <c r="H34" s="134">
        <v>21.31</v>
      </c>
      <c r="I34" s="134">
        <v>4.6399999999999997</v>
      </c>
      <c r="J34" s="134">
        <v>0.18</v>
      </c>
      <c r="K34" s="134">
        <v>54.8</v>
      </c>
      <c r="L34" s="134">
        <v>18.71</v>
      </c>
      <c r="M34" s="134">
        <v>88.89</v>
      </c>
      <c r="N34" s="134">
        <v>0</v>
      </c>
      <c r="O34" s="134">
        <v>0</v>
      </c>
      <c r="P34" s="134">
        <v>0.54</v>
      </c>
      <c r="Q34" s="134">
        <v>4.49</v>
      </c>
    </row>
    <row r="35" spans="1:17" customFormat="1">
      <c r="A35" s="112" t="s">
        <v>2185</v>
      </c>
      <c r="B35" s="134">
        <v>14.16</v>
      </c>
      <c r="C35" s="134">
        <v>24.98</v>
      </c>
      <c r="D35" s="134">
        <v>25.76</v>
      </c>
      <c r="E35" s="134">
        <v>8.2200000000000006</v>
      </c>
      <c r="F35" s="134">
        <v>2.76</v>
      </c>
      <c r="G35" s="134">
        <v>52.67</v>
      </c>
      <c r="H35" s="134">
        <v>21.31</v>
      </c>
      <c r="I35" s="134">
        <v>4.71</v>
      </c>
      <c r="J35" s="134">
        <v>0.28000000000000003</v>
      </c>
      <c r="K35" s="134">
        <v>49.76</v>
      </c>
      <c r="L35" s="134">
        <v>18.86</v>
      </c>
      <c r="M35" s="134">
        <v>88.04</v>
      </c>
      <c r="N35" s="134">
        <v>5.7</v>
      </c>
      <c r="O35" s="134">
        <v>0</v>
      </c>
      <c r="P35" s="134">
        <v>0.56000000000000005</v>
      </c>
      <c r="Q35" s="134">
        <v>4.55</v>
      </c>
    </row>
    <row r="36" spans="1:17" customFormat="1">
      <c r="A36" s="112" t="s">
        <v>2186</v>
      </c>
      <c r="B36" s="134">
        <v>14.65</v>
      </c>
      <c r="C36" s="134">
        <v>25.72</v>
      </c>
      <c r="D36" s="134">
        <v>26.54</v>
      </c>
      <c r="E36" s="134">
        <v>8.41</v>
      </c>
      <c r="F36" s="134">
        <v>2.64</v>
      </c>
      <c r="G36" s="134">
        <v>52.67</v>
      </c>
      <c r="H36" s="134">
        <v>21.31</v>
      </c>
      <c r="I36" s="134">
        <v>4.82</v>
      </c>
      <c r="J36" s="134">
        <v>0.33</v>
      </c>
      <c r="K36" s="134">
        <v>56.39</v>
      </c>
      <c r="L36" s="134">
        <v>19.18</v>
      </c>
      <c r="M36" s="134">
        <v>86.76</v>
      </c>
      <c r="N36" s="134">
        <v>18.8</v>
      </c>
      <c r="O36" s="134">
        <v>0</v>
      </c>
      <c r="P36" s="134">
        <v>0.6</v>
      </c>
      <c r="Q36" s="134">
        <v>4.59</v>
      </c>
    </row>
    <row r="37" spans="1:17" customFormat="1">
      <c r="A37" s="112" t="s">
        <v>2187</v>
      </c>
      <c r="B37" s="134">
        <v>15.08</v>
      </c>
      <c r="C37" s="134">
        <v>26.39</v>
      </c>
      <c r="D37" s="134">
        <v>27.23</v>
      </c>
      <c r="E37" s="134">
        <v>8.18</v>
      </c>
      <c r="F37" s="134">
        <v>2.68</v>
      </c>
      <c r="G37" s="134">
        <v>52.67</v>
      </c>
      <c r="H37" s="134">
        <v>21.31</v>
      </c>
      <c r="I37" s="134">
        <v>4.95</v>
      </c>
      <c r="J37" s="134">
        <v>0.36</v>
      </c>
      <c r="K37" s="134">
        <v>56.67</v>
      </c>
      <c r="L37" s="134">
        <v>19.510000000000002</v>
      </c>
      <c r="M37" s="134">
        <v>85.41</v>
      </c>
      <c r="N37" s="134">
        <v>31.6</v>
      </c>
      <c r="O37" s="134">
        <v>0</v>
      </c>
      <c r="P37" s="134">
        <v>0.62</v>
      </c>
      <c r="Q37" s="134">
        <v>4.6399999999999997</v>
      </c>
    </row>
    <row r="38" spans="1:17" customFormat="1">
      <c r="A38" s="112" t="s">
        <v>2188</v>
      </c>
      <c r="B38" s="134">
        <v>15.13</v>
      </c>
      <c r="C38" s="134">
        <v>26.99</v>
      </c>
      <c r="D38" s="134">
        <v>27.58</v>
      </c>
      <c r="E38" s="134">
        <v>8.51</v>
      </c>
      <c r="F38" s="134">
        <v>2.72</v>
      </c>
      <c r="G38" s="134">
        <v>57.06</v>
      </c>
      <c r="H38" s="134">
        <v>23</v>
      </c>
      <c r="I38" s="134">
        <v>5.09</v>
      </c>
      <c r="J38" s="134">
        <v>0.33</v>
      </c>
      <c r="K38" s="134">
        <v>52.97</v>
      </c>
      <c r="L38" s="134">
        <v>19.989999999999998</v>
      </c>
      <c r="M38" s="134">
        <v>83.59</v>
      </c>
      <c r="N38" s="134">
        <v>43.7</v>
      </c>
      <c r="O38" s="134">
        <v>0</v>
      </c>
      <c r="P38" s="134">
        <v>0.63</v>
      </c>
      <c r="Q38" s="134">
        <v>4.6500000000000004</v>
      </c>
    </row>
    <row r="39" spans="1:17" customFormat="1">
      <c r="A39" s="112" t="s">
        <v>2189</v>
      </c>
      <c r="B39" s="134">
        <v>14.96</v>
      </c>
      <c r="C39" s="134">
        <v>27.05</v>
      </c>
      <c r="D39" s="134">
        <v>27.48</v>
      </c>
      <c r="E39" s="134">
        <v>8.83</v>
      </c>
      <c r="F39" s="134">
        <v>2.7</v>
      </c>
      <c r="G39" s="134">
        <v>57.94</v>
      </c>
      <c r="H39" s="134">
        <v>23</v>
      </c>
      <c r="I39" s="134">
        <v>5.27</v>
      </c>
      <c r="J39" s="134">
        <v>0.53</v>
      </c>
      <c r="K39" s="134">
        <v>42.89</v>
      </c>
      <c r="L39" s="134">
        <v>20.63</v>
      </c>
      <c r="M39" s="134">
        <v>81.14</v>
      </c>
      <c r="N39" s="134">
        <v>84.4</v>
      </c>
      <c r="O39" s="134">
        <v>0</v>
      </c>
      <c r="P39" s="134">
        <v>0.65</v>
      </c>
      <c r="Q39" s="134">
        <v>4.66</v>
      </c>
    </row>
    <row r="40" spans="1:17" customFormat="1">
      <c r="A40" s="112" t="s">
        <v>2190</v>
      </c>
      <c r="B40" s="134">
        <v>14.83</v>
      </c>
      <c r="C40" s="134">
        <v>27.4</v>
      </c>
      <c r="D40" s="134">
        <v>27.56</v>
      </c>
      <c r="E40" s="134">
        <v>8.9600000000000009</v>
      </c>
      <c r="F40" s="134">
        <v>2.64</v>
      </c>
      <c r="G40" s="134">
        <v>57.94</v>
      </c>
      <c r="H40" s="134">
        <v>23</v>
      </c>
      <c r="I40" s="134">
        <v>5.44</v>
      </c>
      <c r="J40" s="134">
        <v>0.46</v>
      </c>
      <c r="K40" s="134">
        <v>43.3</v>
      </c>
      <c r="L40" s="134">
        <v>21.36</v>
      </c>
      <c r="M40" s="134">
        <v>79.209999999999994</v>
      </c>
      <c r="N40" s="134">
        <v>169.5</v>
      </c>
      <c r="O40" s="134">
        <v>0</v>
      </c>
      <c r="P40" s="134">
        <v>0.68</v>
      </c>
      <c r="Q40" s="134">
        <v>4.6500000000000004</v>
      </c>
    </row>
    <row r="41" spans="1:17" customFormat="1">
      <c r="A41" s="112" t="s">
        <v>2191</v>
      </c>
      <c r="B41" s="134">
        <v>14.89</v>
      </c>
      <c r="C41" s="134">
        <v>27.7</v>
      </c>
      <c r="D41" s="134">
        <v>27.77</v>
      </c>
      <c r="E41" s="134">
        <v>9.08</v>
      </c>
      <c r="F41" s="134">
        <v>2.76</v>
      </c>
      <c r="G41" s="134">
        <v>57.94</v>
      </c>
      <c r="H41" s="134">
        <v>23</v>
      </c>
      <c r="I41" s="134">
        <v>5.65</v>
      </c>
      <c r="J41" s="134">
        <v>0.56999999999999995</v>
      </c>
      <c r="K41" s="134">
        <v>46.45</v>
      </c>
      <c r="L41" s="134">
        <v>22.24</v>
      </c>
      <c r="M41" s="134">
        <v>75.22</v>
      </c>
      <c r="N41" s="134">
        <v>206.4</v>
      </c>
      <c r="O41" s="134">
        <v>0</v>
      </c>
      <c r="P41" s="134">
        <v>0.7</v>
      </c>
      <c r="Q41" s="134">
        <v>4.62</v>
      </c>
    </row>
    <row r="42" spans="1:17" customFormat="1">
      <c r="A42" s="112" t="s">
        <v>2192</v>
      </c>
      <c r="B42" s="134">
        <v>14.32</v>
      </c>
      <c r="C42" s="134">
        <v>27.78</v>
      </c>
      <c r="D42" s="134">
        <v>27.35</v>
      </c>
      <c r="E42" s="134">
        <v>9.07</v>
      </c>
      <c r="F42" s="134">
        <v>2.85</v>
      </c>
      <c r="G42" s="134">
        <v>67.86</v>
      </c>
      <c r="H42" s="134">
        <v>24.96</v>
      </c>
      <c r="I42" s="134">
        <v>5.8</v>
      </c>
      <c r="J42" s="134">
        <v>0.52</v>
      </c>
      <c r="K42" s="134">
        <v>54.8</v>
      </c>
      <c r="L42" s="134">
        <v>23.15</v>
      </c>
      <c r="M42" s="134">
        <v>71.37</v>
      </c>
      <c r="N42" s="134">
        <v>248.8</v>
      </c>
      <c r="O42" s="134">
        <v>0</v>
      </c>
      <c r="P42" s="134">
        <v>0.7</v>
      </c>
      <c r="Q42" s="134">
        <v>4.6100000000000003</v>
      </c>
    </row>
    <row r="43" spans="1:17" customFormat="1">
      <c r="A43" s="112" t="s">
        <v>2193</v>
      </c>
      <c r="B43" s="134">
        <v>13.07</v>
      </c>
      <c r="C43" s="134">
        <v>28.11</v>
      </c>
      <c r="D43" s="134">
        <v>26.52</v>
      </c>
      <c r="E43" s="134">
        <v>9.01</v>
      </c>
      <c r="F43" s="134">
        <v>3</v>
      </c>
      <c r="G43" s="134">
        <v>69.84</v>
      </c>
      <c r="H43" s="134">
        <v>24.96</v>
      </c>
      <c r="I43" s="134">
        <v>5.93</v>
      </c>
      <c r="J43" s="134">
        <v>0.47</v>
      </c>
      <c r="K43" s="134">
        <v>63.42</v>
      </c>
      <c r="L43" s="134">
        <v>24.16</v>
      </c>
      <c r="M43" s="134">
        <v>68.11</v>
      </c>
      <c r="N43" s="134">
        <v>290.39999999999998</v>
      </c>
      <c r="O43" s="134">
        <v>0</v>
      </c>
      <c r="P43" s="134">
        <v>0.7</v>
      </c>
      <c r="Q43" s="134">
        <v>4.57</v>
      </c>
    </row>
    <row r="44" spans="1:17" customFormat="1">
      <c r="A44" s="112" t="s">
        <v>2194</v>
      </c>
      <c r="B44" s="134">
        <v>11.61</v>
      </c>
      <c r="C44" s="134">
        <v>28.29</v>
      </c>
      <c r="D44" s="134">
        <v>25.44</v>
      </c>
      <c r="E44" s="134">
        <v>8.7100000000000009</v>
      </c>
      <c r="F44" s="134">
        <v>3.17</v>
      </c>
      <c r="G44" s="134">
        <v>69.84</v>
      </c>
      <c r="H44" s="134">
        <v>24.96</v>
      </c>
      <c r="I44" s="134">
        <v>6.1</v>
      </c>
      <c r="J44" s="134">
        <v>0.44</v>
      </c>
      <c r="K44" s="134">
        <v>57.2</v>
      </c>
      <c r="L44" s="134">
        <v>24.93</v>
      </c>
      <c r="M44" s="134">
        <v>65.3</v>
      </c>
      <c r="N44" s="134">
        <v>321.89999999999998</v>
      </c>
      <c r="O44" s="134">
        <v>0</v>
      </c>
      <c r="P44" s="134">
        <v>0.71</v>
      </c>
      <c r="Q44" s="134">
        <v>4.54</v>
      </c>
    </row>
    <row r="45" spans="1:17" customFormat="1">
      <c r="A45" s="112" t="s">
        <v>2195</v>
      </c>
      <c r="B45" s="134">
        <v>10.16</v>
      </c>
      <c r="C45" s="134">
        <v>27.99</v>
      </c>
      <c r="D45" s="134">
        <v>24.13</v>
      </c>
      <c r="E45" s="134">
        <v>8.2799999999999994</v>
      </c>
      <c r="F45" s="134">
        <v>3.54</v>
      </c>
      <c r="G45" s="134">
        <v>69.84</v>
      </c>
      <c r="H45" s="134">
        <v>24.96</v>
      </c>
      <c r="I45" s="134">
        <v>6.24</v>
      </c>
      <c r="J45" s="134">
        <v>0.54</v>
      </c>
      <c r="K45" s="134">
        <v>60.71</v>
      </c>
      <c r="L45" s="134">
        <v>25.44</v>
      </c>
      <c r="M45" s="134">
        <v>62.86</v>
      </c>
      <c r="N45" s="134">
        <v>286.60000000000002</v>
      </c>
      <c r="O45" s="134">
        <v>0</v>
      </c>
      <c r="P45" s="134">
        <v>0.71</v>
      </c>
      <c r="Q45" s="134">
        <v>4.4800000000000004</v>
      </c>
    </row>
    <row r="46" spans="1:17" customFormat="1">
      <c r="A46" s="112" t="s">
        <v>2196</v>
      </c>
      <c r="B46" s="134">
        <v>8.86</v>
      </c>
      <c r="C46" s="134">
        <v>27.83</v>
      </c>
      <c r="D46" s="134">
        <v>23</v>
      </c>
      <c r="E46" s="134">
        <v>8.41</v>
      </c>
      <c r="F46" s="134">
        <v>3.57</v>
      </c>
      <c r="G46" s="134">
        <v>66.84</v>
      </c>
      <c r="H46" s="134">
        <v>24.99</v>
      </c>
      <c r="I46" s="134">
        <v>6.2</v>
      </c>
      <c r="J46" s="134">
        <v>0.44</v>
      </c>
      <c r="K46" s="134">
        <v>64.3</v>
      </c>
      <c r="L46" s="134">
        <v>26.03</v>
      </c>
      <c r="M46" s="134">
        <v>60.9</v>
      </c>
      <c r="N46" s="134">
        <v>248.6</v>
      </c>
      <c r="O46" s="134">
        <v>0</v>
      </c>
      <c r="P46" s="134">
        <v>0.71</v>
      </c>
      <c r="Q46" s="134">
        <v>4.46</v>
      </c>
    </row>
    <row r="47" spans="1:17" customFormat="1">
      <c r="A47" s="112" t="s">
        <v>2197</v>
      </c>
      <c r="B47" s="134">
        <v>7.89</v>
      </c>
      <c r="C47" s="134">
        <v>27.45</v>
      </c>
      <c r="D47" s="134">
        <v>22.02</v>
      </c>
      <c r="E47" s="134">
        <v>9.09</v>
      </c>
      <c r="F47" s="134">
        <v>3.56</v>
      </c>
      <c r="G47" s="134">
        <v>66.23</v>
      </c>
      <c r="H47" s="134">
        <v>24.99</v>
      </c>
      <c r="I47" s="134">
        <v>6.15</v>
      </c>
      <c r="J47" s="134">
        <v>0.68</v>
      </c>
      <c r="K47" s="134">
        <v>47.7</v>
      </c>
      <c r="L47" s="134">
        <v>26.11</v>
      </c>
      <c r="M47" s="134">
        <v>61.87</v>
      </c>
      <c r="N47" s="134">
        <v>413.7</v>
      </c>
      <c r="O47" s="134">
        <v>0</v>
      </c>
      <c r="P47" s="134">
        <v>0.71</v>
      </c>
      <c r="Q47" s="134">
        <v>4.42</v>
      </c>
    </row>
    <row r="48" spans="1:17" customFormat="1">
      <c r="A48" s="112" t="s">
        <v>2198</v>
      </c>
      <c r="B48" s="134">
        <v>7.49</v>
      </c>
      <c r="C48" s="134">
        <v>27.32</v>
      </c>
      <c r="D48" s="134">
        <v>21.63</v>
      </c>
      <c r="E48" s="134">
        <v>8.83</v>
      </c>
      <c r="F48" s="134">
        <v>3.55</v>
      </c>
      <c r="G48" s="134">
        <v>66.23</v>
      </c>
      <c r="H48" s="134">
        <v>24.99</v>
      </c>
      <c r="I48" s="134">
        <v>6.13</v>
      </c>
      <c r="J48" s="134">
        <v>0.55000000000000004</v>
      </c>
      <c r="K48" s="134">
        <v>52.11</v>
      </c>
      <c r="L48" s="134">
        <v>26.81</v>
      </c>
      <c r="M48" s="134">
        <v>59.22</v>
      </c>
      <c r="N48" s="134">
        <v>442.7</v>
      </c>
      <c r="O48" s="134">
        <v>0</v>
      </c>
      <c r="P48" s="134">
        <v>0.73</v>
      </c>
      <c r="Q48" s="134">
        <v>4.37</v>
      </c>
    </row>
    <row r="49" spans="1:17" customFormat="1">
      <c r="A49" s="112" t="s">
        <v>2199</v>
      </c>
      <c r="B49" s="134">
        <v>7.12</v>
      </c>
      <c r="C49" s="134">
        <v>27.66</v>
      </c>
      <c r="D49" s="134">
        <v>21.52</v>
      </c>
      <c r="E49" s="134">
        <v>8.6</v>
      </c>
      <c r="F49" s="134">
        <v>3.67</v>
      </c>
      <c r="G49" s="134">
        <v>66.23</v>
      </c>
      <c r="H49" s="134">
        <v>24.99</v>
      </c>
      <c r="I49" s="134">
        <v>6.1</v>
      </c>
      <c r="J49" s="134">
        <v>0.14000000000000001</v>
      </c>
      <c r="K49" s="134">
        <v>107.68</v>
      </c>
      <c r="L49" s="134">
        <v>27.52</v>
      </c>
      <c r="M49" s="134">
        <v>55.82</v>
      </c>
      <c r="N49" s="134">
        <v>477.8</v>
      </c>
      <c r="O49" s="134">
        <v>0</v>
      </c>
      <c r="P49" s="134">
        <v>0.73</v>
      </c>
      <c r="Q49" s="134">
        <v>4.33</v>
      </c>
    </row>
    <row r="50" spans="1:17" customFormat="1">
      <c r="A50" s="112" t="s">
        <v>2200</v>
      </c>
      <c r="B50" s="134">
        <v>6.52</v>
      </c>
      <c r="C50" s="134">
        <v>26.95</v>
      </c>
      <c r="D50" s="134">
        <v>20.66</v>
      </c>
      <c r="E50" s="134">
        <v>9.7100000000000009</v>
      </c>
      <c r="F50" s="134">
        <v>4.18</v>
      </c>
      <c r="G50" s="134">
        <v>65.75</v>
      </c>
      <c r="H50" s="134">
        <v>24.48</v>
      </c>
      <c r="I50" s="134">
        <v>6.09</v>
      </c>
      <c r="J50" s="134">
        <v>0.5</v>
      </c>
      <c r="K50" s="134">
        <v>37.51</v>
      </c>
      <c r="L50" s="134">
        <v>28.1</v>
      </c>
      <c r="M50" s="134">
        <v>52.87</v>
      </c>
      <c r="N50" s="134">
        <v>500.6</v>
      </c>
      <c r="O50" s="134">
        <v>0</v>
      </c>
      <c r="P50" s="134">
        <v>0.71</v>
      </c>
      <c r="Q50" s="134">
        <v>4.32</v>
      </c>
    </row>
    <row r="51" spans="1:17" customFormat="1">
      <c r="A51" s="112" t="s">
        <v>2201</v>
      </c>
      <c r="B51" s="134">
        <v>6.02</v>
      </c>
      <c r="C51" s="134">
        <v>26.59</v>
      </c>
      <c r="D51" s="134">
        <v>20.07</v>
      </c>
      <c r="E51" s="134">
        <v>10.11</v>
      </c>
      <c r="F51" s="134">
        <v>4.2300000000000004</v>
      </c>
      <c r="G51" s="134">
        <v>65.650000000000006</v>
      </c>
      <c r="H51" s="134">
        <v>24.48</v>
      </c>
      <c r="I51" s="134">
        <v>6.03</v>
      </c>
      <c r="J51" s="134">
        <v>0.55000000000000004</v>
      </c>
      <c r="K51" s="134">
        <v>64.45</v>
      </c>
      <c r="L51" s="134">
        <v>28.2</v>
      </c>
      <c r="M51" s="134">
        <v>49.78</v>
      </c>
      <c r="N51" s="134">
        <v>520.79999999999995</v>
      </c>
      <c r="O51" s="134">
        <v>0</v>
      </c>
      <c r="P51" s="134">
        <v>0.72</v>
      </c>
      <c r="Q51" s="134">
        <v>4.28</v>
      </c>
    </row>
    <row r="52" spans="1:17" customFormat="1">
      <c r="A52" s="112" t="s">
        <v>2202</v>
      </c>
      <c r="B52" s="134">
        <v>5.63</v>
      </c>
      <c r="C52" s="134">
        <v>26.12</v>
      </c>
      <c r="D52" s="134">
        <v>19.510000000000002</v>
      </c>
      <c r="E52" s="134">
        <v>10.220000000000001</v>
      </c>
      <c r="F52" s="134">
        <v>4.24</v>
      </c>
      <c r="G52" s="134">
        <v>65.650000000000006</v>
      </c>
      <c r="H52" s="134">
        <v>24.48</v>
      </c>
      <c r="I52" s="134">
        <v>5.94</v>
      </c>
      <c r="J52" s="134">
        <v>0.38</v>
      </c>
      <c r="K52" s="134">
        <v>97.01</v>
      </c>
      <c r="L52" s="134">
        <v>28.69</v>
      </c>
      <c r="M52" s="134">
        <v>47.43</v>
      </c>
      <c r="N52" s="134">
        <v>498</v>
      </c>
      <c r="O52" s="134">
        <v>0</v>
      </c>
      <c r="P52" s="134">
        <v>0.7</v>
      </c>
      <c r="Q52" s="134">
        <v>4.26</v>
      </c>
    </row>
    <row r="53" spans="1:17" customFormat="1">
      <c r="A53" s="112" t="s">
        <v>2203</v>
      </c>
      <c r="B53" s="134">
        <v>5.38</v>
      </c>
      <c r="C53" s="134">
        <v>25.25</v>
      </c>
      <c r="D53" s="134">
        <v>18.86</v>
      </c>
      <c r="E53" s="134">
        <v>10.02</v>
      </c>
      <c r="F53" s="134">
        <v>4.59</v>
      </c>
      <c r="G53" s="134">
        <v>65.650000000000006</v>
      </c>
      <c r="H53" s="134">
        <v>24.48</v>
      </c>
      <c r="I53" s="134">
        <v>5.83</v>
      </c>
      <c r="J53" s="134">
        <v>0.28000000000000003</v>
      </c>
      <c r="K53" s="134">
        <v>122.07</v>
      </c>
      <c r="L53" s="134">
        <v>29.12</v>
      </c>
      <c r="M53" s="134">
        <v>45.28</v>
      </c>
      <c r="N53" s="134">
        <v>559.29999999999995</v>
      </c>
      <c r="O53" s="134">
        <v>0</v>
      </c>
      <c r="P53" s="134">
        <v>0.69</v>
      </c>
      <c r="Q53" s="134">
        <v>4.26</v>
      </c>
    </row>
    <row r="54" spans="1:17" customFormat="1">
      <c r="A54" s="112" t="s">
        <v>2204</v>
      </c>
      <c r="B54" s="134">
        <v>5.34</v>
      </c>
      <c r="C54" s="134">
        <v>23.02</v>
      </c>
      <c r="D54" s="134">
        <v>17.66</v>
      </c>
      <c r="E54" s="134">
        <v>10.29</v>
      </c>
      <c r="F54" s="134">
        <v>5.23</v>
      </c>
      <c r="G54" s="134">
        <v>58.24</v>
      </c>
      <c r="H54" s="134">
        <v>21.78</v>
      </c>
      <c r="I54" s="134">
        <v>5.71</v>
      </c>
      <c r="J54" s="134">
        <v>0.21</v>
      </c>
      <c r="K54" s="134">
        <v>138.88</v>
      </c>
      <c r="L54" s="134">
        <v>29.49</v>
      </c>
      <c r="M54" s="134">
        <v>44.87</v>
      </c>
      <c r="N54" s="134">
        <v>578.1</v>
      </c>
      <c r="O54" s="134">
        <v>0</v>
      </c>
      <c r="P54" s="134">
        <v>0.68</v>
      </c>
      <c r="Q54" s="134">
        <v>4.22</v>
      </c>
    </row>
    <row r="55" spans="1:17" customFormat="1">
      <c r="A55" s="112" t="s">
        <v>2205</v>
      </c>
      <c r="B55" s="134">
        <v>5.32</v>
      </c>
      <c r="C55" s="134">
        <v>21.96</v>
      </c>
      <c r="D55" s="134">
        <v>17.09</v>
      </c>
      <c r="E55" s="134">
        <v>10.02</v>
      </c>
      <c r="F55" s="134">
        <v>4.8600000000000003</v>
      </c>
      <c r="G55" s="134">
        <v>56.76</v>
      </c>
      <c r="H55" s="134">
        <v>21.78</v>
      </c>
      <c r="I55" s="134">
        <v>5.58</v>
      </c>
      <c r="J55" s="134">
        <v>0.21</v>
      </c>
      <c r="K55" s="134">
        <v>47.69</v>
      </c>
      <c r="L55" s="134">
        <v>29.53</v>
      </c>
      <c r="M55" s="134">
        <v>45.08</v>
      </c>
      <c r="N55" s="134">
        <v>595.4</v>
      </c>
      <c r="O55" s="134">
        <v>0</v>
      </c>
      <c r="P55" s="134">
        <v>0.65</v>
      </c>
      <c r="Q55" s="134">
        <v>4.21</v>
      </c>
    </row>
    <row r="56" spans="1:17" customFormat="1">
      <c r="A56" s="112" t="s">
        <v>2206</v>
      </c>
      <c r="B56" s="134">
        <v>5.31</v>
      </c>
      <c r="C56" s="134">
        <v>21.43</v>
      </c>
      <c r="D56" s="134">
        <v>16.809999999999999</v>
      </c>
      <c r="E56" s="134">
        <v>9.93</v>
      </c>
      <c r="F56" s="134">
        <v>4.49</v>
      </c>
      <c r="G56" s="134">
        <v>56.76</v>
      </c>
      <c r="H56" s="134">
        <v>21.78</v>
      </c>
      <c r="I56" s="134">
        <v>5.53</v>
      </c>
      <c r="J56" s="134">
        <v>0.33</v>
      </c>
      <c r="K56" s="134">
        <v>73</v>
      </c>
      <c r="L56" s="134">
        <v>29.92</v>
      </c>
      <c r="M56" s="134">
        <v>44.09</v>
      </c>
      <c r="N56" s="134">
        <v>597.4</v>
      </c>
      <c r="O56" s="134">
        <v>0</v>
      </c>
      <c r="P56" s="134">
        <v>0.65</v>
      </c>
      <c r="Q56" s="134">
        <v>4.2</v>
      </c>
    </row>
    <row r="57" spans="1:17" customFormat="1">
      <c r="A57" s="112" t="s">
        <v>2207</v>
      </c>
      <c r="B57" s="134">
        <v>5.55</v>
      </c>
      <c r="C57" s="134">
        <v>20.79</v>
      </c>
      <c r="D57" s="134">
        <v>16.66</v>
      </c>
      <c r="E57" s="134">
        <v>10.45</v>
      </c>
      <c r="F57" s="134">
        <v>4.4800000000000004</v>
      </c>
      <c r="G57" s="134">
        <v>56.76</v>
      </c>
      <c r="H57" s="134">
        <v>21.78</v>
      </c>
      <c r="I57" s="134">
        <v>5.45</v>
      </c>
      <c r="J57" s="134">
        <v>0.53</v>
      </c>
      <c r="K57" s="134">
        <v>52.65</v>
      </c>
      <c r="L57" s="134">
        <v>29.39</v>
      </c>
      <c r="M57" s="134">
        <v>45.64</v>
      </c>
      <c r="N57" s="134">
        <v>388.8</v>
      </c>
      <c r="O57" s="134">
        <v>0</v>
      </c>
      <c r="P57" s="134">
        <v>0.64</v>
      </c>
      <c r="Q57" s="134">
        <v>4.1900000000000004</v>
      </c>
    </row>
    <row r="58" spans="1:17" customFormat="1">
      <c r="A58" s="112" t="s">
        <v>2208</v>
      </c>
      <c r="B58" s="134">
        <v>5.7</v>
      </c>
      <c r="C58" s="134">
        <v>20.54</v>
      </c>
      <c r="D58" s="134">
        <v>16.649999999999999</v>
      </c>
      <c r="E58" s="134">
        <v>9.76</v>
      </c>
      <c r="F58" s="134">
        <v>4.0999999999999996</v>
      </c>
      <c r="G58" s="134">
        <v>59.09</v>
      </c>
      <c r="H58" s="134">
        <v>22.06</v>
      </c>
      <c r="I58" s="134">
        <v>5.44</v>
      </c>
      <c r="J58" s="134">
        <v>0.55000000000000004</v>
      </c>
      <c r="K58" s="134">
        <v>51.18</v>
      </c>
      <c r="L58" s="134">
        <v>29.8</v>
      </c>
      <c r="M58" s="134">
        <v>44.24</v>
      </c>
      <c r="N58" s="134">
        <v>543.9</v>
      </c>
      <c r="O58" s="134">
        <v>0</v>
      </c>
      <c r="P58" s="134">
        <v>0.63</v>
      </c>
      <c r="Q58" s="134">
        <v>4.18</v>
      </c>
    </row>
    <row r="59" spans="1:17" customFormat="1">
      <c r="A59" s="112" t="s">
        <v>2209</v>
      </c>
      <c r="B59" s="134">
        <v>5.77</v>
      </c>
      <c r="C59" s="134">
        <v>20.41</v>
      </c>
      <c r="D59" s="134">
        <v>16.64</v>
      </c>
      <c r="E59" s="134">
        <v>9.4700000000000006</v>
      </c>
      <c r="F59" s="134">
        <v>4.05</v>
      </c>
      <c r="G59" s="134">
        <v>59.56</v>
      </c>
      <c r="H59" s="134">
        <v>22.06</v>
      </c>
      <c r="I59" s="134">
        <v>5.38</v>
      </c>
      <c r="J59" s="134">
        <v>0.13</v>
      </c>
      <c r="K59" s="134">
        <v>353.63</v>
      </c>
      <c r="L59" s="134">
        <v>29.48</v>
      </c>
      <c r="M59" s="134">
        <v>44.48</v>
      </c>
      <c r="N59" s="134">
        <v>370.3</v>
      </c>
      <c r="O59" s="134">
        <v>0</v>
      </c>
      <c r="P59" s="134">
        <v>0.62</v>
      </c>
      <c r="Q59" s="134">
        <v>4.18</v>
      </c>
    </row>
    <row r="60" spans="1:17" customFormat="1">
      <c r="A60" s="112" t="s">
        <v>2210</v>
      </c>
      <c r="B60" s="134">
        <v>5.78</v>
      </c>
      <c r="C60" s="134">
        <v>20.21</v>
      </c>
      <c r="D60" s="134">
        <v>16.54</v>
      </c>
      <c r="E60" s="134">
        <v>8.92</v>
      </c>
      <c r="F60" s="134">
        <v>3.96</v>
      </c>
      <c r="G60" s="134">
        <v>59.56</v>
      </c>
      <c r="H60" s="134">
        <v>22.06</v>
      </c>
      <c r="I60" s="134">
        <v>5.34</v>
      </c>
      <c r="J60" s="134">
        <v>0.49</v>
      </c>
      <c r="K60" s="134">
        <v>53.35</v>
      </c>
      <c r="L60" s="134">
        <v>29.52</v>
      </c>
      <c r="M60" s="134">
        <v>45.09</v>
      </c>
      <c r="N60" s="134">
        <v>264.8</v>
      </c>
      <c r="O60" s="134">
        <v>0</v>
      </c>
      <c r="P60" s="134">
        <v>0.62</v>
      </c>
      <c r="Q60" s="134">
        <v>4.18</v>
      </c>
    </row>
    <row r="61" spans="1:17" customFormat="1">
      <c r="A61" s="112" t="s">
        <v>2211</v>
      </c>
      <c r="B61" s="134">
        <v>5.84</v>
      </c>
      <c r="C61" s="134">
        <v>19.96</v>
      </c>
      <c r="D61" s="134">
        <v>16.46</v>
      </c>
      <c r="E61" s="134">
        <v>8.99</v>
      </c>
      <c r="F61" s="134">
        <v>4.4400000000000004</v>
      </c>
      <c r="G61" s="134">
        <v>59.56</v>
      </c>
      <c r="H61" s="134">
        <v>22.06</v>
      </c>
      <c r="I61" s="134">
        <v>5.31</v>
      </c>
      <c r="J61" s="134">
        <v>0.35</v>
      </c>
      <c r="K61" s="134">
        <v>79.31</v>
      </c>
      <c r="L61" s="134">
        <v>29.27</v>
      </c>
      <c r="M61" s="134">
        <v>44.65</v>
      </c>
      <c r="N61" s="134">
        <v>403</v>
      </c>
      <c r="O61" s="134">
        <v>0</v>
      </c>
      <c r="P61" s="134">
        <v>0.61</v>
      </c>
      <c r="Q61" s="134">
        <v>4.1900000000000004</v>
      </c>
    </row>
    <row r="62" spans="1:17" customFormat="1">
      <c r="A62" s="112" t="s">
        <v>2212</v>
      </c>
      <c r="B62" s="134">
        <v>5.76</v>
      </c>
      <c r="C62" s="134">
        <v>19.809999999999999</v>
      </c>
      <c r="D62" s="134">
        <v>16.32</v>
      </c>
      <c r="E62" s="134">
        <v>9.76</v>
      </c>
      <c r="F62" s="134">
        <v>5.5</v>
      </c>
      <c r="G62" s="134">
        <v>56.55</v>
      </c>
      <c r="H62" s="134">
        <v>21.73</v>
      </c>
      <c r="I62" s="134">
        <v>5.26</v>
      </c>
      <c r="J62" s="134">
        <v>0.32</v>
      </c>
      <c r="K62" s="134">
        <v>31.84</v>
      </c>
      <c r="L62" s="134">
        <v>30.08</v>
      </c>
      <c r="M62" s="134">
        <v>43</v>
      </c>
      <c r="N62" s="134">
        <v>504.1</v>
      </c>
      <c r="O62" s="134">
        <v>0</v>
      </c>
      <c r="P62" s="134">
        <v>0.6</v>
      </c>
      <c r="Q62" s="134">
        <v>4.2</v>
      </c>
    </row>
    <row r="63" spans="1:17" customFormat="1">
      <c r="A63" s="112" t="s">
        <v>2213</v>
      </c>
      <c r="B63" s="134">
        <v>5.76</v>
      </c>
      <c r="C63" s="134">
        <v>19.8</v>
      </c>
      <c r="D63" s="134">
        <v>16.309999999999999</v>
      </c>
      <c r="E63" s="134">
        <v>9.02</v>
      </c>
      <c r="F63" s="134">
        <v>4.8600000000000003</v>
      </c>
      <c r="G63" s="134">
        <v>55.95</v>
      </c>
      <c r="H63" s="134">
        <v>21.73</v>
      </c>
      <c r="I63" s="134">
        <v>5.22</v>
      </c>
      <c r="J63" s="134">
        <v>0.43</v>
      </c>
      <c r="K63" s="134">
        <v>72.099999999999994</v>
      </c>
      <c r="L63" s="134">
        <v>29.25</v>
      </c>
      <c r="M63" s="134">
        <v>45.51</v>
      </c>
      <c r="N63" s="134">
        <v>191.8</v>
      </c>
      <c r="O63" s="134">
        <v>0</v>
      </c>
      <c r="P63" s="134">
        <v>0.59</v>
      </c>
      <c r="Q63" s="134">
        <v>4.18</v>
      </c>
    </row>
    <row r="64" spans="1:17" customFormat="1">
      <c r="A64" s="112" t="s">
        <v>2214</v>
      </c>
      <c r="B64" s="134">
        <v>5.74</v>
      </c>
      <c r="C64" s="134">
        <v>19.64</v>
      </c>
      <c r="D64" s="134">
        <v>16.21</v>
      </c>
      <c r="E64" s="134">
        <v>8.76</v>
      </c>
      <c r="F64" s="134">
        <v>4.5999999999999996</v>
      </c>
      <c r="G64" s="134">
        <v>55.95</v>
      </c>
      <c r="H64" s="134">
        <v>21.73</v>
      </c>
      <c r="I64" s="134">
        <v>5.15</v>
      </c>
      <c r="J64" s="134">
        <v>0.28999999999999998</v>
      </c>
      <c r="K64" s="134">
        <v>50.67</v>
      </c>
      <c r="L64" s="134">
        <v>29.33</v>
      </c>
      <c r="M64" s="134">
        <v>44.23</v>
      </c>
      <c r="N64" s="134">
        <v>299.39999999999998</v>
      </c>
      <c r="O64" s="134">
        <v>0</v>
      </c>
      <c r="P64" s="134">
        <v>0.6</v>
      </c>
      <c r="Q64" s="134">
        <v>4.18</v>
      </c>
    </row>
    <row r="65" spans="1:17" customFormat="1">
      <c r="A65" s="112" t="s">
        <v>2215</v>
      </c>
      <c r="B65" s="134">
        <v>5.62</v>
      </c>
      <c r="C65" s="134">
        <v>19.87</v>
      </c>
      <c r="D65" s="134">
        <v>16.239999999999998</v>
      </c>
      <c r="E65" s="134">
        <v>8.0500000000000007</v>
      </c>
      <c r="F65" s="134">
        <v>3.96</v>
      </c>
      <c r="G65" s="134">
        <v>55.95</v>
      </c>
      <c r="H65" s="134">
        <v>21.73</v>
      </c>
      <c r="I65" s="134">
        <v>5.12</v>
      </c>
      <c r="J65" s="134">
        <v>0.2</v>
      </c>
      <c r="K65" s="134">
        <v>173.39</v>
      </c>
      <c r="L65" s="134">
        <v>29.53</v>
      </c>
      <c r="M65" s="134">
        <v>43.58</v>
      </c>
      <c r="N65" s="134">
        <v>166.8</v>
      </c>
      <c r="O65" s="134">
        <v>0</v>
      </c>
      <c r="P65" s="134">
        <v>0.59</v>
      </c>
      <c r="Q65" s="134">
        <v>4.18</v>
      </c>
    </row>
    <row r="66" spans="1:17" customFormat="1">
      <c r="A66" s="112" t="s">
        <v>2216</v>
      </c>
      <c r="B66" s="134">
        <v>5.43</v>
      </c>
      <c r="C66" s="134">
        <v>19.45</v>
      </c>
      <c r="D66" s="134">
        <v>15.87</v>
      </c>
      <c r="E66" s="134">
        <v>9.23</v>
      </c>
      <c r="F66" s="134">
        <v>5.33</v>
      </c>
      <c r="G66" s="134">
        <v>55.47</v>
      </c>
      <c r="H66" s="134">
        <v>21.99</v>
      </c>
      <c r="I66" s="134">
        <v>5.08</v>
      </c>
      <c r="J66" s="134">
        <v>0.57999999999999996</v>
      </c>
      <c r="K66" s="134">
        <v>56.06</v>
      </c>
      <c r="L66" s="134">
        <v>29.45</v>
      </c>
      <c r="M66" s="134">
        <v>43.45</v>
      </c>
      <c r="N66" s="134">
        <v>140.1</v>
      </c>
      <c r="O66" s="134">
        <v>0</v>
      </c>
      <c r="P66" s="134">
        <v>0.62</v>
      </c>
      <c r="Q66" s="134">
        <v>4.18</v>
      </c>
    </row>
    <row r="67" spans="1:17" customFormat="1">
      <c r="A67" s="112" t="s">
        <v>2217</v>
      </c>
      <c r="B67" s="134">
        <v>5.44</v>
      </c>
      <c r="C67" s="134">
        <v>19.18</v>
      </c>
      <c r="D67" s="134">
        <v>15.74</v>
      </c>
      <c r="E67" s="134">
        <v>8.7899999999999991</v>
      </c>
      <c r="F67" s="134">
        <v>4.9400000000000004</v>
      </c>
      <c r="G67" s="134">
        <v>55.37</v>
      </c>
      <c r="H67" s="134">
        <v>21.99</v>
      </c>
      <c r="I67" s="134">
        <v>5.0599999999999996</v>
      </c>
      <c r="J67" s="134">
        <v>0.28000000000000003</v>
      </c>
      <c r="K67" s="134">
        <v>62.51</v>
      </c>
      <c r="L67" s="134">
        <v>28.83</v>
      </c>
      <c r="M67" s="134">
        <v>45.76</v>
      </c>
      <c r="N67" s="134">
        <v>80.5</v>
      </c>
      <c r="O67" s="134">
        <v>0</v>
      </c>
      <c r="P67" s="134">
        <v>0.62</v>
      </c>
      <c r="Q67" s="134">
        <v>4.18</v>
      </c>
    </row>
    <row r="68" spans="1:17" customFormat="1">
      <c r="A68" s="112" t="s">
        <v>2218</v>
      </c>
      <c r="B68" s="134">
        <v>5.45</v>
      </c>
      <c r="C68" s="134">
        <v>19.14</v>
      </c>
      <c r="D68" s="134">
        <v>15.72</v>
      </c>
      <c r="E68" s="134">
        <v>9.1999999999999993</v>
      </c>
      <c r="F68" s="134">
        <v>5.37</v>
      </c>
      <c r="G68" s="134">
        <v>55.37</v>
      </c>
      <c r="H68" s="134">
        <v>21.99</v>
      </c>
      <c r="I68" s="134">
        <v>4.9800000000000004</v>
      </c>
      <c r="J68" s="134">
        <v>0.37</v>
      </c>
      <c r="K68" s="134">
        <v>34.51</v>
      </c>
      <c r="L68" s="134">
        <v>28.52</v>
      </c>
      <c r="M68" s="134">
        <v>45.42</v>
      </c>
      <c r="N68" s="134">
        <v>75.599999999999994</v>
      </c>
      <c r="O68" s="134">
        <v>0</v>
      </c>
      <c r="P68" s="134">
        <v>0.62</v>
      </c>
      <c r="Q68" s="134">
        <v>4.16</v>
      </c>
    </row>
    <row r="69" spans="1:17" customFormat="1">
      <c r="A69" s="112" t="s">
        <v>2219</v>
      </c>
      <c r="B69" s="134">
        <v>5.28</v>
      </c>
      <c r="C69" s="134">
        <v>19.25</v>
      </c>
      <c r="D69" s="134">
        <v>15.64</v>
      </c>
      <c r="E69" s="134">
        <v>8.74</v>
      </c>
      <c r="F69" s="134">
        <v>5.84</v>
      </c>
      <c r="G69" s="134">
        <v>55.37</v>
      </c>
      <c r="H69" s="134">
        <v>21.99</v>
      </c>
      <c r="I69" s="134">
        <v>4.99</v>
      </c>
      <c r="J69" s="134">
        <v>0.18</v>
      </c>
      <c r="K69" s="134">
        <v>24.58</v>
      </c>
      <c r="L69" s="134">
        <v>28.7</v>
      </c>
      <c r="M69" s="134">
        <v>44.27</v>
      </c>
      <c r="N69" s="134">
        <v>67.8</v>
      </c>
      <c r="O69" s="134">
        <v>0</v>
      </c>
      <c r="P69" s="134">
        <v>0.61</v>
      </c>
      <c r="Q69" s="134">
        <v>4.17</v>
      </c>
    </row>
    <row r="70" spans="1:17" customFormat="1">
      <c r="A70" s="112" t="s">
        <v>2220</v>
      </c>
      <c r="B70" s="134">
        <v>5.31</v>
      </c>
      <c r="C70" s="134">
        <v>19.36</v>
      </c>
      <c r="D70" s="134">
        <v>15.73</v>
      </c>
      <c r="E70" s="134">
        <v>10.73</v>
      </c>
      <c r="F70" s="134">
        <v>7.49</v>
      </c>
      <c r="G70" s="134">
        <v>54.03</v>
      </c>
      <c r="H70" s="134">
        <v>19.920000000000002</v>
      </c>
      <c r="I70" s="134">
        <v>4.92</v>
      </c>
      <c r="J70" s="134">
        <v>0.12</v>
      </c>
      <c r="K70" s="134">
        <v>33.49</v>
      </c>
      <c r="L70" s="134">
        <v>28.64</v>
      </c>
      <c r="M70" s="134">
        <v>42.59</v>
      </c>
      <c r="N70" s="134">
        <v>64.900000000000006</v>
      </c>
      <c r="O70" s="134">
        <v>0</v>
      </c>
      <c r="P70" s="134">
        <v>0.61</v>
      </c>
      <c r="Q70" s="134">
        <v>4.1900000000000004</v>
      </c>
    </row>
    <row r="71" spans="1:17" customFormat="1">
      <c r="A71" s="112" t="s">
        <v>2221</v>
      </c>
      <c r="B71" s="134">
        <v>5.32</v>
      </c>
      <c r="C71" s="134">
        <v>18.93</v>
      </c>
      <c r="D71" s="134">
        <v>15.51</v>
      </c>
      <c r="E71" s="134">
        <v>8.4</v>
      </c>
      <c r="F71" s="134">
        <v>4.83</v>
      </c>
      <c r="G71" s="134">
        <v>53.76</v>
      </c>
      <c r="H71" s="134">
        <v>19.920000000000002</v>
      </c>
      <c r="I71" s="134">
        <v>4.9000000000000004</v>
      </c>
      <c r="J71" s="134">
        <v>0.15</v>
      </c>
      <c r="K71" s="134">
        <v>95.16</v>
      </c>
      <c r="L71" s="134">
        <v>28.51</v>
      </c>
      <c r="M71" s="134">
        <v>45.45</v>
      </c>
      <c r="N71" s="134">
        <v>60.9</v>
      </c>
      <c r="O71" s="134">
        <v>0</v>
      </c>
      <c r="P71" s="134">
        <v>0.6</v>
      </c>
      <c r="Q71" s="134">
        <v>4.17</v>
      </c>
    </row>
    <row r="72" spans="1:17" customFormat="1">
      <c r="A72" s="112" t="s">
        <v>2222</v>
      </c>
      <c r="B72" s="134">
        <v>5.0599999999999996</v>
      </c>
      <c r="C72" s="134">
        <v>19.559999999999999</v>
      </c>
      <c r="D72" s="134">
        <v>15.63</v>
      </c>
      <c r="E72" s="134">
        <v>8.81</v>
      </c>
      <c r="F72" s="134">
        <v>4.57</v>
      </c>
      <c r="G72" s="134">
        <v>53.76</v>
      </c>
      <c r="H72" s="134">
        <v>19.920000000000002</v>
      </c>
      <c r="I72" s="134">
        <v>4.8499999999999996</v>
      </c>
      <c r="J72" s="134">
        <v>0.35</v>
      </c>
      <c r="K72" s="134">
        <v>63.12</v>
      </c>
      <c r="L72" s="134">
        <v>28.35</v>
      </c>
      <c r="M72" s="134">
        <v>44.65</v>
      </c>
      <c r="N72" s="134">
        <v>44.8</v>
      </c>
      <c r="O72" s="134">
        <v>0</v>
      </c>
      <c r="P72" s="134">
        <v>0.59</v>
      </c>
      <c r="Q72" s="134">
        <v>4.17</v>
      </c>
    </row>
    <row r="73" spans="1:17" customFormat="1">
      <c r="A73" s="112" t="s">
        <v>2223</v>
      </c>
      <c r="B73" s="134">
        <v>4.7699999999999996</v>
      </c>
      <c r="C73" s="134">
        <v>21.01</v>
      </c>
      <c r="D73" s="134">
        <v>16.16</v>
      </c>
      <c r="E73" s="134">
        <v>9.5399999999999991</v>
      </c>
      <c r="F73" s="134">
        <v>4.78</v>
      </c>
      <c r="G73" s="134">
        <v>53.76</v>
      </c>
      <c r="H73" s="134">
        <v>19.920000000000002</v>
      </c>
      <c r="I73" s="134">
        <v>4.84</v>
      </c>
      <c r="J73" s="134">
        <v>0.2</v>
      </c>
      <c r="K73" s="134">
        <v>70.91</v>
      </c>
      <c r="L73" s="134">
        <v>28.31</v>
      </c>
      <c r="M73" s="134">
        <v>45.85</v>
      </c>
      <c r="N73" s="134">
        <v>33.700000000000003</v>
      </c>
      <c r="O73" s="134">
        <v>0</v>
      </c>
      <c r="P73" s="134">
        <v>0.59</v>
      </c>
      <c r="Q73" s="134">
        <v>4.16</v>
      </c>
    </row>
    <row r="74" spans="1:17" customFormat="1">
      <c r="A74" s="112" t="s">
        <v>2224</v>
      </c>
      <c r="B74" s="134">
        <v>4.63</v>
      </c>
      <c r="C74" s="134">
        <v>22.01</v>
      </c>
      <c r="D74" s="134">
        <v>16.559999999999999</v>
      </c>
      <c r="E74" s="134">
        <v>9.4700000000000006</v>
      </c>
      <c r="F74" s="134">
        <v>4.75</v>
      </c>
      <c r="G74" s="134">
        <v>54.13</v>
      </c>
      <c r="H74" s="134">
        <v>23.16</v>
      </c>
      <c r="I74" s="134">
        <v>4.74</v>
      </c>
      <c r="J74" s="134">
        <v>0.19</v>
      </c>
      <c r="K74" s="134">
        <v>95.39</v>
      </c>
      <c r="L74" s="134">
        <v>28.03</v>
      </c>
      <c r="M74" s="134">
        <v>46.85</v>
      </c>
      <c r="N74" s="134">
        <v>24.9</v>
      </c>
      <c r="O74" s="134">
        <v>0</v>
      </c>
      <c r="P74" s="134">
        <v>0.6</v>
      </c>
      <c r="Q74" s="134">
        <v>4.16</v>
      </c>
    </row>
    <row r="75" spans="1:17" customFormat="1">
      <c r="A75" s="112" t="s">
        <v>2225</v>
      </c>
      <c r="B75" s="134">
        <v>4.3899999999999997</v>
      </c>
      <c r="C75" s="134">
        <v>22.62</v>
      </c>
      <c r="D75" s="134">
        <v>16.690000000000001</v>
      </c>
      <c r="E75" s="134">
        <v>9.01</v>
      </c>
      <c r="F75" s="134">
        <v>4.87</v>
      </c>
      <c r="G75" s="134">
        <v>54.21</v>
      </c>
      <c r="H75" s="134">
        <v>23.16</v>
      </c>
      <c r="I75" s="134">
        <v>4.5999999999999996</v>
      </c>
      <c r="J75" s="134">
        <v>0.2</v>
      </c>
      <c r="K75" s="134">
        <v>165.41</v>
      </c>
      <c r="L75" s="134">
        <v>27.53</v>
      </c>
      <c r="M75" s="134">
        <v>51.56</v>
      </c>
      <c r="N75" s="134">
        <v>14.2</v>
      </c>
      <c r="O75" s="134">
        <v>0</v>
      </c>
      <c r="P75" s="134">
        <v>0.6</v>
      </c>
      <c r="Q75" s="134">
        <v>4.16</v>
      </c>
    </row>
    <row r="76" spans="1:17" customFormat="1">
      <c r="A76" s="112" t="s">
        <v>2226</v>
      </c>
      <c r="B76" s="134">
        <v>4.28</v>
      </c>
      <c r="C76" s="134">
        <v>22.82</v>
      </c>
      <c r="D76" s="134">
        <v>16.71</v>
      </c>
      <c r="E76" s="134">
        <v>9.23</v>
      </c>
      <c r="F76" s="134">
        <v>4.87</v>
      </c>
      <c r="G76" s="134">
        <v>54.21</v>
      </c>
      <c r="H76" s="134">
        <v>23.16</v>
      </c>
      <c r="I76" s="134">
        <v>4.54</v>
      </c>
      <c r="J76" s="134">
        <v>0.21</v>
      </c>
      <c r="K76" s="134">
        <v>151.28</v>
      </c>
      <c r="L76" s="134">
        <v>27.15</v>
      </c>
      <c r="M76" s="134">
        <v>52.86</v>
      </c>
      <c r="N76" s="134">
        <v>2.5</v>
      </c>
      <c r="O76" s="134">
        <v>0</v>
      </c>
      <c r="P76" s="134">
        <v>0.6</v>
      </c>
      <c r="Q76" s="134">
        <v>4.16</v>
      </c>
    </row>
    <row r="77" spans="1:17" customFormat="1">
      <c r="A77" s="112" t="s">
        <v>2227</v>
      </c>
      <c r="B77" s="134">
        <v>4.29</v>
      </c>
      <c r="C77" s="134">
        <v>23.3</v>
      </c>
      <c r="D77" s="134">
        <v>16.97</v>
      </c>
      <c r="E77" s="134">
        <v>9.17</v>
      </c>
      <c r="F77" s="134">
        <v>4.4800000000000004</v>
      </c>
      <c r="G77" s="134">
        <v>54.21</v>
      </c>
      <c r="H77" s="134">
        <v>23.16</v>
      </c>
      <c r="I77" s="134">
        <v>4.4400000000000004</v>
      </c>
      <c r="J77" s="134">
        <v>0.24</v>
      </c>
      <c r="K77" s="134">
        <v>162.79</v>
      </c>
      <c r="L77" s="134">
        <v>26.41</v>
      </c>
      <c r="M77" s="134">
        <v>56.54</v>
      </c>
      <c r="N77" s="134">
        <v>0</v>
      </c>
      <c r="O77" s="134">
        <v>0</v>
      </c>
      <c r="P77" s="134">
        <v>0.61</v>
      </c>
      <c r="Q77" s="134">
        <v>4.1500000000000004</v>
      </c>
    </row>
    <row r="78" spans="1:17" customFormat="1">
      <c r="A78" s="112" t="s">
        <v>2228</v>
      </c>
      <c r="B78" s="134">
        <v>4.43</v>
      </c>
      <c r="C78" s="134">
        <v>23.9</v>
      </c>
      <c r="D78" s="134">
        <v>17.39</v>
      </c>
      <c r="E78" s="134">
        <v>9.36</v>
      </c>
      <c r="F78" s="134">
        <v>4.1100000000000003</v>
      </c>
      <c r="G78" s="134">
        <v>64.790000000000006</v>
      </c>
      <c r="H78" s="134">
        <v>24.41</v>
      </c>
      <c r="I78" s="134">
        <v>4.37</v>
      </c>
      <c r="J78" s="134">
        <v>0.19</v>
      </c>
      <c r="K78" s="134">
        <v>153.63999999999999</v>
      </c>
      <c r="L78" s="134">
        <v>25.6</v>
      </c>
      <c r="M78" s="134">
        <v>60.55</v>
      </c>
      <c r="N78" s="134">
        <v>0</v>
      </c>
      <c r="O78" s="134">
        <v>0</v>
      </c>
      <c r="P78" s="134">
        <v>0.62</v>
      </c>
      <c r="Q78" s="134">
        <v>4.17</v>
      </c>
    </row>
    <row r="79" spans="1:17" customFormat="1">
      <c r="A79" s="112" t="s">
        <v>2229</v>
      </c>
      <c r="B79" s="134">
        <v>4.6100000000000003</v>
      </c>
      <c r="C79" s="134">
        <v>24.99</v>
      </c>
      <c r="D79" s="134">
        <v>18.11</v>
      </c>
      <c r="E79" s="134">
        <v>9.23</v>
      </c>
      <c r="F79" s="134">
        <v>3.5</v>
      </c>
      <c r="G79" s="134">
        <v>66.91</v>
      </c>
      <c r="H79" s="134">
        <v>24.41</v>
      </c>
      <c r="I79" s="134">
        <v>4.3499999999999996</v>
      </c>
      <c r="J79" s="134">
        <v>0.21</v>
      </c>
      <c r="K79" s="134">
        <v>152.03</v>
      </c>
      <c r="L79" s="134">
        <v>25.47</v>
      </c>
      <c r="M79" s="134">
        <v>61.1</v>
      </c>
      <c r="N79" s="134">
        <v>0</v>
      </c>
      <c r="O79" s="134">
        <v>0</v>
      </c>
      <c r="P79" s="134">
        <v>0.66</v>
      </c>
      <c r="Q79" s="134">
        <v>4.1900000000000004</v>
      </c>
    </row>
    <row r="80" spans="1:17" customFormat="1">
      <c r="A80" s="112" t="s">
        <v>2230</v>
      </c>
      <c r="B80" s="134">
        <v>4.99</v>
      </c>
      <c r="C80" s="134">
        <v>26.62</v>
      </c>
      <c r="D80" s="134">
        <v>19.260000000000002</v>
      </c>
      <c r="E80" s="134">
        <v>9.17</v>
      </c>
      <c r="F80" s="134">
        <v>2.94</v>
      </c>
      <c r="G80" s="134">
        <v>66.91</v>
      </c>
      <c r="H80" s="134">
        <v>24.41</v>
      </c>
      <c r="I80" s="134">
        <v>4.43</v>
      </c>
      <c r="J80" s="134">
        <v>0.15</v>
      </c>
      <c r="K80" s="134">
        <v>74.48</v>
      </c>
      <c r="L80" s="134">
        <v>25.34</v>
      </c>
      <c r="M80" s="134">
        <v>59.12</v>
      </c>
      <c r="N80" s="134">
        <v>0</v>
      </c>
      <c r="O80" s="134">
        <v>0</v>
      </c>
      <c r="P80" s="134">
        <v>0.73</v>
      </c>
      <c r="Q80" s="134">
        <v>4.2300000000000004</v>
      </c>
    </row>
    <row r="81" spans="1:17" customFormat="1">
      <c r="A81" s="112" t="s">
        <v>2231</v>
      </c>
      <c r="B81" s="134">
        <v>6.04</v>
      </c>
      <c r="C81" s="134">
        <v>28.4</v>
      </c>
      <c r="D81" s="134">
        <v>21.03</v>
      </c>
      <c r="E81" s="134">
        <v>7.39</v>
      </c>
      <c r="F81" s="134">
        <v>2.59</v>
      </c>
      <c r="G81" s="134">
        <v>66.91</v>
      </c>
      <c r="H81" s="134">
        <v>24.41</v>
      </c>
      <c r="I81" s="134">
        <v>4.66</v>
      </c>
      <c r="J81" s="134">
        <v>0.26</v>
      </c>
      <c r="K81" s="134">
        <v>167.09</v>
      </c>
      <c r="L81" s="134">
        <v>25.01</v>
      </c>
      <c r="M81" s="134">
        <v>62.19</v>
      </c>
      <c r="N81" s="134">
        <v>0</v>
      </c>
      <c r="O81" s="134">
        <v>0</v>
      </c>
      <c r="P81" s="134">
        <v>0.77</v>
      </c>
      <c r="Q81" s="134">
        <v>4.2699999999999996</v>
      </c>
    </row>
    <row r="82" spans="1:17" customFormat="1">
      <c r="A82" s="112" t="s">
        <v>2232</v>
      </c>
      <c r="B82" s="134">
        <v>6.61</v>
      </c>
      <c r="C82" s="134">
        <v>29.86</v>
      </c>
      <c r="D82" s="134">
        <v>22.26</v>
      </c>
      <c r="E82" s="134">
        <v>8.57</v>
      </c>
      <c r="F82" s="134">
        <v>2.69</v>
      </c>
      <c r="G82" s="134">
        <v>88.56</v>
      </c>
      <c r="H82" s="134">
        <v>29.44</v>
      </c>
      <c r="I82" s="134">
        <v>5.12</v>
      </c>
      <c r="J82" s="134">
        <v>0.28000000000000003</v>
      </c>
      <c r="K82" s="134">
        <v>167.07</v>
      </c>
      <c r="L82" s="134">
        <v>24.46</v>
      </c>
      <c r="M82" s="134">
        <v>68.33</v>
      </c>
      <c r="N82" s="134">
        <v>0</v>
      </c>
      <c r="O82" s="134">
        <v>0</v>
      </c>
      <c r="P82" s="134">
        <v>0.79</v>
      </c>
      <c r="Q82" s="134">
        <v>4.3</v>
      </c>
    </row>
    <row r="83" spans="1:17" customFormat="1">
      <c r="A83" s="112" t="s">
        <v>2233</v>
      </c>
      <c r="B83" s="134">
        <v>6.91</v>
      </c>
      <c r="C83" s="134">
        <v>30.98</v>
      </c>
      <c r="D83" s="134">
        <v>23.08</v>
      </c>
      <c r="E83" s="134">
        <v>8.5399999999999991</v>
      </c>
      <c r="F83" s="134">
        <v>2.5299999999999998</v>
      </c>
      <c r="G83" s="134">
        <v>92.89</v>
      </c>
      <c r="H83" s="134">
        <v>29.44</v>
      </c>
      <c r="I83" s="134">
        <v>5.48</v>
      </c>
      <c r="J83" s="134">
        <v>0.17</v>
      </c>
      <c r="K83" s="134">
        <v>139.56</v>
      </c>
      <c r="L83" s="134">
        <v>24.33</v>
      </c>
      <c r="M83" s="134">
        <v>65.88</v>
      </c>
      <c r="N83" s="134">
        <v>0</v>
      </c>
      <c r="O83" s="134">
        <v>0</v>
      </c>
      <c r="P83" s="134">
        <v>0.84</v>
      </c>
      <c r="Q83" s="134">
        <v>4.33</v>
      </c>
    </row>
    <row r="84" spans="1:17" customFormat="1">
      <c r="A84" s="112" t="s">
        <v>2234</v>
      </c>
      <c r="B84" s="134">
        <v>7.63</v>
      </c>
      <c r="C84" s="134">
        <v>32.04</v>
      </c>
      <c r="D84" s="134">
        <v>24.21</v>
      </c>
      <c r="E84" s="134">
        <v>8.76</v>
      </c>
      <c r="F84" s="134">
        <v>2.5099999999999998</v>
      </c>
      <c r="G84" s="134">
        <v>92.89</v>
      </c>
      <c r="H84" s="134">
        <v>29.44</v>
      </c>
      <c r="I84" s="134">
        <v>5.84</v>
      </c>
      <c r="J84" s="134">
        <v>0.22</v>
      </c>
      <c r="K84" s="134">
        <v>170.3</v>
      </c>
      <c r="L84" s="134">
        <v>23.91</v>
      </c>
      <c r="M84" s="134">
        <v>69.760000000000005</v>
      </c>
      <c r="N84" s="134">
        <v>0</v>
      </c>
      <c r="O84" s="134">
        <v>0</v>
      </c>
      <c r="P84" s="134">
        <v>0.89</v>
      </c>
      <c r="Q84" s="134">
        <v>4.37</v>
      </c>
    </row>
    <row r="85" spans="1:17" customFormat="1">
      <c r="A85" s="112" t="s">
        <v>2235</v>
      </c>
      <c r="B85" s="134">
        <v>8.25</v>
      </c>
      <c r="C85" s="134">
        <v>32.090000000000003</v>
      </c>
      <c r="D85" s="134">
        <v>24.74</v>
      </c>
      <c r="E85" s="134">
        <v>8.43</v>
      </c>
      <c r="F85" s="134">
        <v>2.5099999999999998</v>
      </c>
      <c r="G85" s="134">
        <v>92.89</v>
      </c>
      <c r="H85" s="134">
        <v>29.44</v>
      </c>
      <c r="I85" s="134">
        <v>6.17</v>
      </c>
      <c r="J85" s="134">
        <v>0.11</v>
      </c>
      <c r="K85" s="134">
        <v>151.41</v>
      </c>
      <c r="L85" s="134">
        <v>23.59</v>
      </c>
      <c r="M85" s="134">
        <v>70.83</v>
      </c>
      <c r="N85" s="134">
        <v>0</v>
      </c>
      <c r="O85" s="134">
        <v>0</v>
      </c>
      <c r="P85" s="134">
        <v>0.92</v>
      </c>
      <c r="Q85" s="134">
        <v>4.38</v>
      </c>
    </row>
    <row r="86" spans="1:17" customFormat="1">
      <c r="A86" s="112" t="s">
        <v>2236</v>
      </c>
      <c r="B86" s="134">
        <v>9.24</v>
      </c>
      <c r="C86" s="134">
        <v>33.090000000000003</v>
      </c>
      <c r="D86" s="134">
        <v>26.05</v>
      </c>
      <c r="E86" s="134">
        <v>8.85</v>
      </c>
      <c r="F86" s="134">
        <v>2.56</v>
      </c>
      <c r="G86" s="134">
        <v>109.17</v>
      </c>
      <c r="H86" s="134">
        <v>30.65</v>
      </c>
      <c r="I86" s="134">
        <v>6.52</v>
      </c>
      <c r="J86" s="134">
        <v>0.1</v>
      </c>
      <c r="K86" s="134">
        <v>150.91999999999999</v>
      </c>
      <c r="L86" s="134">
        <v>23.5</v>
      </c>
      <c r="M86" s="134">
        <v>68.69</v>
      </c>
      <c r="N86" s="134">
        <v>0</v>
      </c>
      <c r="O86" s="134">
        <v>0</v>
      </c>
      <c r="P86" s="134">
        <v>0.95</v>
      </c>
      <c r="Q86" s="134">
        <v>4.43</v>
      </c>
    </row>
    <row r="87" spans="1:17" customFormat="1">
      <c r="A87" s="112" t="s">
        <v>2237</v>
      </c>
      <c r="B87" s="134">
        <v>11.39</v>
      </c>
      <c r="C87" s="134">
        <v>34.450000000000003</v>
      </c>
      <c r="D87" s="134">
        <v>28.48</v>
      </c>
      <c r="E87" s="134">
        <v>8.66</v>
      </c>
      <c r="F87" s="134">
        <v>2.61</v>
      </c>
      <c r="G87" s="134">
        <v>112.42</v>
      </c>
      <c r="H87" s="134">
        <v>30.65</v>
      </c>
      <c r="I87" s="134">
        <v>6.78</v>
      </c>
      <c r="J87" s="134">
        <v>0.13</v>
      </c>
      <c r="K87" s="134">
        <v>160.07</v>
      </c>
      <c r="L87" s="134">
        <v>23.29</v>
      </c>
      <c r="M87" s="134">
        <v>70.150000000000006</v>
      </c>
      <c r="N87" s="134">
        <v>0</v>
      </c>
      <c r="O87" s="134">
        <v>0</v>
      </c>
      <c r="P87" s="134">
        <v>0.99</v>
      </c>
      <c r="Q87" s="134">
        <v>4.53</v>
      </c>
    </row>
    <row r="88" spans="1:17" customFormat="1">
      <c r="A88" s="112" t="s">
        <v>2238</v>
      </c>
      <c r="B88" s="134">
        <v>14.11</v>
      </c>
      <c r="C88" s="134">
        <v>35.619999999999997</v>
      </c>
      <c r="D88" s="134">
        <v>31.28</v>
      </c>
      <c r="E88" s="134">
        <v>8.91</v>
      </c>
      <c r="F88" s="134">
        <v>2.5</v>
      </c>
      <c r="G88" s="134">
        <v>112.42</v>
      </c>
      <c r="H88" s="134">
        <v>30.65</v>
      </c>
      <c r="I88" s="134">
        <v>7.12</v>
      </c>
      <c r="J88" s="134">
        <v>0.09</v>
      </c>
      <c r="K88" s="134">
        <v>168.67</v>
      </c>
      <c r="L88" s="134">
        <v>23.05</v>
      </c>
      <c r="M88" s="134">
        <v>71.260000000000005</v>
      </c>
      <c r="N88" s="134">
        <v>0</v>
      </c>
      <c r="O88" s="134">
        <v>0</v>
      </c>
      <c r="P88" s="134">
        <v>1.04</v>
      </c>
      <c r="Q88" s="134">
        <v>4.62</v>
      </c>
    </row>
    <row r="89" spans="1:17" customFormat="1">
      <c r="A89" s="112" t="s">
        <v>2239</v>
      </c>
      <c r="B89" s="134">
        <v>17.309999999999999</v>
      </c>
      <c r="C89" s="134">
        <v>36.520000000000003</v>
      </c>
      <c r="D89" s="134">
        <v>34.31</v>
      </c>
      <c r="E89" s="134">
        <v>8.73</v>
      </c>
      <c r="F89" s="134">
        <v>2.52</v>
      </c>
      <c r="G89" s="134">
        <v>112.42</v>
      </c>
      <c r="H89" s="134">
        <v>30.65</v>
      </c>
      <c r="I89" s="134">
        <v>7.54</v>
      </c>
      <c r="J89" s="134">
        <v>0.16</v>
      </c>
      <c r="K89" s="134">
        <v>151.09</v>
      </c>
      <c r="L89" s="134">
        <v>22.86</v>
      </c>
      <c r="M89" s="134">
        <v>72.34</v>
      </c>
      <c r="N89" s="134">
        <v>0</v>
      </c>
      <c r="O89" s="134">
        <v>0</v>
      </c>
      <c r="P89" s="134">
        <v>1.0900000000000001</v>
      </c>
      <c r="Q89" s="134">
        <v>4.7300000000000004</v>
      </c>
    </row>
    <row r="90" spans="1:17" customFormat="1">
      <c r="A90" s="112" t="s">
        <v>2240</v>
      </c>
      <c r="B90" s="134">
        <v>20.36</v>
      </c>
      <c r="C90" s="134">
        <v>36.880000000000003</v>
      </c>
      <c r="D90" s="134">
        <v>36.950000000000003</v>
      </c>
      <c r="E90" s="134">
        <v>8.67</v>
      </c>
      <c r="F90" s="134">
        <v>2.81</v>
      </c>
      <c r="G90" s="134">
        <v>140.44</v>
      </c>
      <c r="H90" s="134">
        <v>35.25</v>
      </c>
      <c r="I90" s="134">
        <v>8</v>
      </c>
      <c r="J90" s="134">
        <v>0.1</v>
      </c>
      <c r="K90" s="134">
        <v>68.02</v>
      </c>
      <c r="L90" s="134">
        <v>22.85</v>
      </c>
      <c r="M90" s="134">
        <v>70.3</v>
      </c>
      <c r="N90" s="134">
        <v>0</v>
      </c>
      <c r="O90" s="134">
        <v>0</v>
      </c>
      <c r="P90" s="134">
        <v>1.1200000000000001</v>
      </c>
      <c r="Q90" s="134">
        <v>4.88</v>
      </c>
    </row>
    <row r="91" spans="1:17" customFormat="1">
      <c r="A91" s="112" t="s">
        <v>2241</v>
      </c>
      <c r="B91" s="134">
        <v>22.5</v>
      </c>
      <c r="C91" s="134">
        <v>37.4</v>
      </c>
      <c r="D91" s="134">
        <v>38.94</v>
      </c>
      <c r="E91" s="134">
        <v>9.1300000000000008</v>
      </c>
      <c r="F91" s="134">
        <v>2.84</v>
      </c>
      <c r="G91" s="134">
        <v>146.04</v>
      </c>
      <c r="H91" s="134">
        <v>35.25</v>
      </c>
      <c r="I91" s="134">
        <v>8.3800000000000008</v>
      </c>
      <c r="J91" s="134">
        <v>0.13</v>
      </c>
      <c r="K91" s="134">
        <v>158.61000000000001</v>
      </c>
      <c r="L91" s="134">
        <v>22.85</v>
      </c>
      <c r="M91" s="134">
        <v>70.819999999999993</v>
      </c>
      <c r="N91" s="134">
        <v>0</v>
      </c>
      <c r="O91" s="134">
        <v>0</v>
      </c>
      <c r="P91" s="134">
        <v>1.1399999999999999</v>
      </c>
      <c r="Q91" s="134">
        <v>4.96</v>
      </c>
    </row>
    <row r="92" spans="1:17" customFormat="1">
      <c r="A92" s="112" t="s">
        <v>2242</v>
      </c>
      <c r="B92" s="134">
        <v>23.05</v>
      </c>
      <c r="C92" s="134">
        <v>36.909999999999997</v>
      </c>
      <c r="D92" s="134">
        <v>39.119999999999997</v>
      </c>
      <c r="E92" s="134">
        <v>8.66</v>
      </c>
      <c r="F92" s="134">
        <v>2.74</v>
      </c>
      <c r="G92" s="134">
        <v>146.04</v>
      </c>
      <c r="H92" s="134">
        <v>35.25</v>
      </c>
      <c r="I92" s="134">
        <v>8.7100000000000009</v>
      </c>
      <c r="J92" s="134">
        <v>0.18</v>
      </c>
      <c r="K92" s="134">
        <v>190.3</v>
      </c>
      <c r="L92" s="134">
        <v>22.44</v>
      </c>
      <c r="M92" s="134">
        <v>74.92</v>
      </c>
      <c r="N92" s="134">
        <v>0</v>
      </c>
      <c r="O92" s="134">
        <v>0</v>
      </c>
      <c r="P92" s="134">
        <v>1.1399999999999999</v>
      </c>
      <c r="Q92" s="134">
        <v>4.97</v>
      </c>
    </row>
    <row r="93" spans="1:17" customFormat="1">
      <c r="A93" s="112" t="s">
        <v>2243</v>
      </c>
      <c r="B93" s="134">
        <v>22.94</v>
      </c>
      <c r="C93" s="134">
        <v>34.67</v>
      </c>
      <c r="D93" s="134">
        <v>37.86</v>
      </c>
      <c r="E93" s="134">
        <v>7.76</v>
      </c>
      <c r="F93" s="134">
        <v>2.84</v>
      </c>
      <c r="G93" s="134">
        <v>146.04</v>
      </c>
      <c r="H93" s="134">
        <v>35.25</v>
      </c>
      <c r="I93" s="134">
        <v>8.9</v>
      </c>
      <c r="J93" s="134">
        <v>0.19</v>
      </c>
      <c r="K93" s="134">
        <v>218.03</v>
      </c>
      <c r="L93" s="134">
        <v>21.57</v>
      </c>
      <c r="M93" s="134">
        <v>84.79</v>
      </c>
      <c r="N93" s="134">
        <v>0</v>
      </c>
      <c r="O93" s="134">
        <v>0</v>
      </c>
      <c r="P93" s="134">
        <v>1.1200000000000001</v>
      </c>
      <c r="Q93" s="134">
        <v>4.97</v>
      </c>
    </row>
    <row r="94" spans="1:17" customFormat="1">
      <c r="A94" s="112" t="s">
        <v>2244</v>
      </c>
      <c r="B94" s="134">
        <v>22.61</v>
      </c>
      <c r="C94" s="134">
        <v>31.97</v>
      </c>
      <c r="D94" s="134">
        <v>36.19</v>
      </c>
      <c r="E94" s="134">
        <v>7.71</v>
      </c>
      <c r="F94" s="134">
        <v>2.9</v>
      </c>
      <c r="G94" s="134">
        <v>144.26</v>
      </c>
      <c r="H94" s="134">
        <v>39.82</v>
      </c>
      <c r="I94" s="134">
        <v>8.9499999999999993</v>
      </c>
      <c r="J94" s="134">
        <v>0.12</v>
      </c>
      <c r="K94" s="134">
        <v>195.29</v>
      </c>
      <c r="L94" s="134">
        <v>21.09</v>
      </c>
      <c r="M94" s="134">
        <v>84.79</v>
      </c>
      <c r="N94" s="134">
        <v>0</v>
      </c>
      <c r="O94" s="134">
        <v>0</v>
      </c>
      <c r="P94" s="134">
        <v>1.1000000000000001</v>
      </c>
      <c r="Q94" s="134">
        <v>4.97</v>
      </c>
    </row>
    <row r="95" spans="1:17" customFormat="1">
      <c r="A95" s="112" t="s">
        <v>2245</v>
      </c>
      <c r="B95" s="134">
        <v>22.19</v>
      </c>
      <c r="C95" s="134">
        <v>31.3</v>
      </c>
      <c r="D95" s="134">
        <v>35.49</v>
      </c>
      <c r="E95" s="134">
        <v>7.26</v>
      </c>
      <c r="F95" s="134">
        <v>2.62</v>
      </c>
      <c r="G95" s="134">
        <v>143.9</v>
      </c>
      <c r="H95" s="134">
        <v>39.82</v>
      </c>
      <c r="I95" s="134">
        <v>9.0299999999999994</v>
      </c>
      <c r="J95" s="134">
        <v>0.11</v>
      </c>
      <c r="K95" s="134">
        <v>195.47</v>
      </c>
      <c r="L95" s="134">
        <v>20.98</v>
      </c>
      <c r="M95" s="134">
        <v>83.06</v>
      </c>
      <c r="N95" s="134">
        <v>0</v>
      </c>
      <c r="O95" s="134">
        <v>0</v>
      </c>
      <c r="P95" s="134">
        <v>1.0900000000000001</v>
      </c>
      <c r="Q95" s="134">
        <v>4.93</v>
      </c>
    </row>
    <row r="96" spans="1:17" customFormat="1">
      <c r="A96" s="112" t="s">
        <v>2246</v>
      </c>
      <c r="B96" s="134">
        <v>21.72</v>
      </c>
      <c r="C96" s="134">
        <v>29.41</v>
      </c>
      <c r="D96" s="134">
        <v>34.130000000000003</v>
      </c>
      <c r="E96" s="134">
        <v>7.54</v>
      </c>
      <c r="F96" s="134">
        <v>2.81</v>
      </c>
      <c r="G96" s="134">
        <v>143.9</v>
      </c>
      <c r="H96" s="134">
        <v>39.82</v>
      </c>
      <c r="I96" s="134">
        <v>9.07</v>
      </c>
      <c r="J96" s="134">
        <v>0.11</v>
      </c>
      <c r="K96" s="134">
        <v>209.74</v>
      </c>
      <c r="L96" s="134">
        <v>20.86</v>
      </c>
      <c r="M96" s="134">
        <v>84.35</v>
      </c>
      <c r="N96" s="134">
        <v>0</v>
      </c>
      <c r="O96" s="134">
        <v>0</v>
      </c>
      <c r="P96" s="134">
        <v>1.06</v>
      </c>
      <c r="Q96" s="134">
        <v>4.9000000000000004</v>
      </c>
    </row>
    <row r="97" spans="1:22" customFormat="1">
      <c r="A97" s="112" t="s">
        <v>2247</v>
      </c>
      <c r="B97" s="134">
        <v>21.26</v>
      </c>
      <c r="C97" s="134">
        <v>27.74</v>
      </c>
      <c r="D97" s="134">
        <v>32.89</v>
      </c>
      <c r="E97" s="134">
        <v>6.82</v>
      </c>
      <c r="F97" s="134">
        <v>2.87</v>
      </c>
      <c r="G97" s="134">
        <v>143.9</v>
      </c>
      <c r="H97" s="134">
        <v>39.82</v>
      </c>
      <c r="I97" s="134">
        <v>9.1199999999999992</v>
      </c>
      <c r="J97" s="134">
        <v>0.16</v>
      </c>
      <c r="K97" s="134">
        <v>232.82</v>
      </c>
      <c r="L97" s="134">
        <v>20.7</v>
      </c>
      <c r="M97" s="134">
        <v>85.22</v>
      </c>
      <c r="N97" s="134">
        <v>0</v>
      </c>
      <c r="O97" s="134">
        <v>0</v>
      </c>
      <c r="P97" s="134">
        <v>1.05</v>
      </c>
      <c r="Q97" s="134">
        <v>4.8600000000000003</v>
      </c>
    </row>
    <row r="98" spans="1:22" customFormat="1">
      <c r="A98" s="112" t="s">
        <v>2248</v>
      </c>
      <c r="B98" s="134">
        <v>20.76</v>
      </c>
      <c r="C98" s="134">
        <v>28.85</v>
      </c>
      <c r="D98" s="134">
        <v>33.07</v>
      </c>
      <c r="E98" s="134">
        <v>6.96</v>
      </c>
      <c r="F98" s="134">
        <v>2.46</v>
      </c>
      <c r="G98" s="134">
        <v>126.86</v>
      </c>
      <c r="H98" s="134">
        <v>38.43</v>
      </c>
      <c r="I98" s="134">
        <v>9.1199999999999992</v>
      </c>
      <c r="J98" s="134">
        <v>0.15</v>
      </c>
      <c r="K98" s="134">
        <v>239.59</v>
      </c>
      <c r="L98" s="134">
        <v>20.48</v>
      </c>
      <c r="M98" s="134">
        <v>86.24</v>
      </c>
      <c r="N98" s="134">
        <v>0</v>
      </c>
      <c r="O98" s="134">
        <v>0</v>
      </c>
      <c r="P98" s="134">
        <v>1.05</v>
      </c>
      <c r="Q98" s="134">
        <v>4.8600000000000003</v>
      </c>
    </row>
    <row r="99" spans="1:22" customFormat="1">
      <c r="A99" s="112" t="s">
        <v>2249</v>
      </c>
      <c r="B99" s="134">
        <v>20.34</v>
      </c>
      <c r="C99" s="134">
        <v>27.37</v>
      </c>
      <c r="D99" s="134">
        <v>31.96</v>
      </c>
      <c r="E99" s="134">
        <v>6.82</v>
      </c>
      <c r="F99" s="134">
        <v>2.75</v>
      </c>
      <c r="G99" s="134">
        <v>123.45</v>
      </c>
      <c r="H99" s="134">
        <v>38.43</v>
      </c>
      <c r="I99" s="134">
        <v>9.07</v>
      </c>
      <c r="J99" s="134">
        <v>7.0000000000000007E-2</v>
      </c>
      <c r="K99" s="134">
        <v>207.87</v>
      </c>
      <c r="L99" s="134">
        <v>20.329999999999998</v>
      </c>
      <c r="M99" s="134">
        <v>86.36</v>
      </c>
      <c r="N99" s="134">
        <v>0</v>
      </c>
      <c r="O99" s="134">
        <v>0</v>
      </c>
      <c r="P99" s="134">
        <v>1.03</v>
      </c>
      <c r="Q99" s="134">
        <v>4.82</v>
      </c>
    </row>
    <row r="100" spans="1:22" customFormat="1">
      <c r="A100" s="112" t="s">
        <v>2250</v>
      </c>
      <c r="B100" s="134">
        <v>19.829999999999998</v>
      </c>
      <c r="C100" s="134">
        <v>27.58</v>
      </c>
      <c r="D100" s="134">
        <v>31.66</v>
      </c>
      <c r="E100" s="134">
        <v>6.43</v>
      </c>
      <c r="F100" s="134">
        <v>2.68</v>
      </c>
      <c r="G100" s="134">
        <v>123.45</v>
      </c>
      <c r="H100" s="134">
        <v>38.43</v>
      </c>
      <c r="I100" s="134">
        <v>9.0399999999999991</v>
      </c>
      <c r="J100" s="134">
        <v>0.14000000000000001</v>
      </c>
      <c r="K100" s="134">
        <v>212.57</v>
      </c>
      <c r="L100" s="134">
        <v>20.260000000000002</v>
      </c>
      <c r="M100" s="134">
        <v>86.07</v>
      </c>
      <c r="N100" s="134">
        <v>0</v>
      </c>
      <c r="O100" s="134">
        <v>0</v>
      </c>
      <c r="P100" s="134">
        <v>1.02</v>
      </c>
      <c r="Q100" s="134">
        <v>4.8099999999999996</v>
      </c>
    </row>
    <row r="101" spans="1:22" customFormat="1">
      <c r="A101" s="112" t="s">
        <v>2251</v>
      </c>
      <c r="B101" s="134">
        <v>19.329999999999998</v>
      </c>
      <c r="C101" s="134">
        <v>27.08</v>
      </c>
      <c r="D101" s="134">
        <v>31.01</v>
      </c>
      <c r="E101" s="134">
        <v>6.76</v>
      </c>
      <c r="F101" s="134">
        <v>2.54</v>
      </c>
      <c r="G101" s="134">
        <v>123.45</v>
      </c>
      <c r="H101" s="134">
        <v>38.43</v>
      </c>
      <c r="I101" s="134">
        <v>8.92</v>
      </c>
      <c r="J101" s="134">
        <v>0.14000000000000001</v>
      </c>
      <c r="K101" s="134">
        <v>169.46</v>
      </c>
      <c r="L101" s="134">
        <v>20.260000000000002</v>
      </c>
      <c r="M101" s="134">
        <v>89.7</v>
      </c>
      <c r="N101" s="134">
        <v>0</v>
      </c>
      <c r="O101" s="134">
        <v>0</v>
      </c>
      <c r="P101" s="134">
        <v>1.01</v>
      </c>
      <c r="Q101" s="134">
        <v>4.7699999999999996</v>
      </c>
    </row>
    <row r="102" spans="1:22" customFormat="1">
      <c r="A102" s="112" t="s">
        <v>2252</v>
      </c>
      <c r="B102" s="134">
        <v>19.38</v>
      </c>
      <c r="C102" s="134">
        <v>25.97</v>
      </c>
      <c r="D102" s="134">
        <v>30.46</v>
      </c>
      <c r="E102" s="134">
        <v>6.67</v>
      </c>
      <c r="F102" s="134">
        <v>2.59</v>
      </c>
      <c r="G102" s="134">
        <v>103.18</v>
      </c>
      <c r="H102" s="134">
        <v>37.33</v>
      </c>
      <c r="I102" s="134">
        <v>8.8699999999999992</v>
      </c>
      <c r="J102" s="134">
        <v>0.11</v>
      </c>
      <c r="K102" s="134">
        <v>203.69</v>
      </c>
      <c r="L102" s="134">
        <v>20.079999999999998</v>
      </c>
      <c r="M102" s="134">
        <v>86.58</v>
      </c>
      <c r="N102" s="134">
        <v>0</v>
      </c>
      <c r="O102" s="134">
        <v>0</v>
      </c>
      <c r="P102" s="134">
        <v>1.01</v>
      </c>
      <c r="Q102" s="134">
        <v>4.78</v>
      </c>
    </row>
    <row r="103" spans="1:22" customFormat="1">
      <c r="A103" s="112" t="s">
        <v>2253</v>
      </c>
      <c r="B103" s="134">
        <v>19.489999999999998</v>
      </c>
      <c r="C103" s="134">
        <v>26.37</v>
      </c>
      <c r="D103" s="134">
        <v>30.76</v>
      </c>
      <c r="E103" s="134">
        <v>6.76</v>
      </c>
      <c r="F103" s="134">
        <v>2.61</v>
      </c>
      <c r="G103" s="134">
        <v>99.13</v>
      </c>
      <c r="H103" s="134">
        <v>37.33</v>
      </c>
      <c r="I103" s="134">
        <v>8.83</v>
      </c>
      <c r="J103" s="134">
        <v>0.1</v>
      </c>
      <c r="K103" s="134">
        <v>203.11</v>
      </c>
      <c r="L103" s="134">
        <v>19.940000000000001</v>
      </c>
      <c r="M103" s="134">
        <v>86.67</v>
      </c>
      <c r="N103" s="134">
        <v>0</v>
      </c>
      <c r="O103" s="134">
        <v>0</v>
      </c>
      <c r="P103" s="134">
        <v>1.01</v>
      </c>
      <c r="Q103" s="134">
        <v>4.79</v>
      </c>
    </row>
    <row r="104" spans="1:22" customFormat="1">
      <c r="A104" s="112" t="s">
        <v>2254</v>
      </c>
      <c r="B104" s="134">
        <v>19.190000000000001</v>
      </c>
      <c r="C104" s="134">
        <v>25.16</v>
      </c>
      <c r="D104" s="134">
        <v>29.89</v>
      </c>
      <c r="E104" s="134">
        <v>6.91</v>
      </c>
      <c r="F104" s="134">
        <v>2.75</v>
      </c>
      <c r="G104" s="134">
        <v>99.13</v>
      </c>
      <c r="H104" s="134">
        <v>37.33</v>
      </c>
      <c r="I104" s="134">
        <v>8.8000000000000007</v>
      </c>
      <c r="J104" s="134">
        <v>0.11</v>
      </c>
      <c r="K104" s="134">
        <v>192.87</v>
      </c>
      <c r="L104" s="134">
        <v>19.79</v>
      </c>
      <c r="M104" s="134">
        <v>88.66</v>
      </c>
      <c r="N104" s="134">
        <v>0</v>
      </c>
      <c r="O104" s="134">
        <v>0</v>
      </c>
      <c r="P104" s="134">
        <v>0.98</v>
      </c>
      <c r="Q104" s="134">
        <v>4.78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4.28</v>
      </c>
      <c r="C106" s="183">
        <f>MIN(C9:C104)</f>
        <v>16.670000000000002</v>
      </c>
      <c r="D106" s="183">
        <f t="shared" ref="D106:Q106" si="0">MIN(D9:D104)</f>
        <v>14.1</v>
      </c>
      <c r="E106" s="183">
        <f t="shared" si="0"/>
        <v>6.43</v>
      </c>
      <c r="F106" s="183">
        <f t="shared" si="0"/>
        <v>2.42</v>
      </c>
      <c r="G106" s="183">
        <f t="shared" si="0"/>
        <v>44.77</v>
      </c>
      <c r="H106" s="183">
        <f t="shared" si="0"/>
        <v>15.58</v>
      </c>
      <c r="I106" s="183">
        <f t="shared" si="0"/>
        <v>4.0199999999999996</v>
      </c>
      <c r="J106" s="183">
        <f t="shared" si="0"/>
        <v>0.04</v>
      </c>
      <c r="K106" s="183">
        <f t="shared" si="0"/>
        <v>24.36</v>
      </c>
      <c r="L106" s="183">
        <f t="shared" si="0"/>
        <v>18.45</v>
      </c>
      <c r="M106" s="183">
        <f t="shared" si="0"/>
        <v>42.59</v>
      </c>
      <c r="N106" s="183">
        <f t="shared" si="0"/>
        <v>0</v>
      </c>
      <c r="O106" s="183">
        <f t="shared" si="0"/>
        <v>0</v>
      </c>
      <c r="P106" s="183">
        <f t="shared" si="0"/>
        <v>0.43</v>
      </c>
      <c r="Q106" s="183">
        <f t="shared" si="0"/>
        <v>4.1500000000000004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23.05</v>
      </c>
      <c r="C107" s="184">
        <f t="shared" ref="C107:Q107" si="1">MAX(C9:C104)</f>
        <v>37.4</v>
      </c>
      <c r="D107" s="184">
        <f t="shared" si="1"/>
        <v>39.119999999999997</v>
      </c>
      <c r="E107" s="184">
        <f t="shared" si="1"/>
        <v>10.73</v>
      </c>
      <c r="F107" s="184">
        <f t="shared" si="1"/>
        <v>7.49</v>
      </c>
      <c r="G107" s="184">
        <f t="shared" si="1"/>
        <v>146.04</v>
      </c>
      <c r="H107" s="184">
        <f t="shared" si="1"/>
        <v>39.82</v>
      </c>
      <c r="I107" s="184">
        <f t="shared" si="1"/>
        <v>9.1199999999999992</v>
      </c>
      <c r="J107" s="184">
        <f t="shared" si="1"/>
        <v>0.68</v>
      </c>
      <c r="K107" s="184">
        <f t="shared" si="1"/>
        <v>353.63</v>
      </c>
      <c r="L107" s="184">
        <f t="shared" si="1"/>
        <v>30.08</v>
      </c>
      <c r="M107" s="184">
        <f t="shared" si="1"/>
        <v>91.78</v>
      </c>
      <c r="N107" s="184">
        <f t="shared" si="1"/>
        <v>597.4</v>
      </c>
      <c r="O107" s="184">
        <f t="shared" si="1"/>
        <v>0</v>
      </c>
      <c r="P107" s="184">
        <f t="shared" si="1"/>
        <v>1.1399999999999999</v>
      </c>
      <c r="Q107" s="184">
        <f t="shared" si="1"/>
        <v>4.97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10.021249999999998</v>
      </c>
      <c r="C108" s="183">
        <f t="shared" ref="C108:Q108" si="2">AVERAGE(C9:C104)</f>
        <v>24.484583333333322</v>
      </c>
      <c r="D108" s="183">
        <f t="shared" si="2"/>
        <v>22.18010416666667</v>
      </c>
      <c r="E108" s="183">
        <f t="shared" si="2"/>
        <v>8.3979166666666636</v>
      </c>
      <c r="F108" s="183">
        <f t="shared" si="2"/>
        <v>3.4262499999999996</v>
      </c>
      <c r="G108" s="183">
        <f t="shared" si="2"/>
        <v>71.613125000000011</v>
      </c>
      <c r="H108" s="183">
        <f t="shared" si="2"/>
        <v>24.481666666666669</v>
      </c>
      <c r="I108" s="183">
        <f t="shared" si="2"/>
        <v>5.651979166666667</v>
      </c>
      <c r="J108" s="183">
        <f t="shared" si="2"/>
        <v>0.24291666666666678</v>
      </c>
      <c r="K108" s="183">
        <f t="shared" si="2"/>
        <v>118.77968750000004</v>
      </c>
      <c r="L108" s="183">
        <f t="shared" si="2"/>
        <v>23.498020833333328</v>
      </c>
      <c r="M108" s="183">
        <f t="shared" si="2"/>
        <v>69.968750000000014</v>
      </c>
      <c r="N108" s="183">
        <f t="shared" si="2"/>
        <v>113.3645833333333</v>
      </c>
      <c r="O108" s="183">
        <f t="shared" si="2"/>
        <v>0</v>
      </c>
      <c r="P108" s="183">
        <f t="shared" si="2"/>
        <v>0.68812500000000032</v>
      </c>
      <c r="Q108" s="183">
        <f t="shared" si="2"/>
        <v>4.4094791666666682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5.7689683926842159</v>
      </c>
      <c r="C109" s="183">
        <f t="shared" ref="C109:Q109" si="3">STDEV(C9:C104)</f>
        <v>5.1886927502156999</v>
      </c>
      <c r="D109" s="183">
        <f t="shared" si="3"/>
        <v>6.7309313494597456</v>
      </c>
      <c r="E109" s="183">
        <f t="shared" si="3"/>
        <v>1.0017531124212657</v>
      </c>
      <c r="F109" s="183">
        <f t="shared" si="3"/>
        <v>1.0087170068953952</v>
      </c>
      <c r="G109" s="183">
        <f t="shared" si="3"/>
        <v>29.797062882897862</v>
      </c>
      <c r="H109" s="183">
        <f t="shared" si="3"/>
        <v>6.7251278472162603</v>
      </c>
      <c r="I109" s="183">
        <f t="shared" si="3"/>
        <v>1.5754241666372133</v>
      </c>
      <c r="J109" s="183">
        <f t="shared" si="3"/>
        <v>0.15843920744607479</v>
      </c>
      <c r="K109" s="183">
        <f t="shared" si="3"/>
        <v>72.302151594295324</v>
      </c>
      <c r="L109" s="183">
        <f t="shared" si="3"/>
        <v>4.0636342613586534</v>
      </c>
      <c r="M109" s="183">
        <f t="shared" si="3"/>
        <v>17.76531968989606</v>
      </c>
      <c r="N109" s="183">
        <f t="shared" si="3"/>
        <v>184.64141348722774</v>
      </c>
      <c r="O109" s="183">
        <f t="shared" si="3"/>
        <v>0</v>
      </c>
      <c r="P109" s="183">
        <f t="shared" si="3"/>
        <v>0.21016941787644938</v>
      </c>
      <c r="Q109" s="183">
        <f t="shared" si="3"/>
        <v>0.24958647817481422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22/11/2023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2255</v>
      </c>
      <c r="B9" s="134">
        <v>19.350000000000001</v>
      </c>
      <c r="C9" s="134">
        <v>26.2</v>
      </c>
      <c r="D9" s="134">
        <v>30.56</v>
      </c>
      <c r="E9" s="134">
        <v>6.82</v>
      </c>
      <c r="F9" s="134">
        <v>2.57</v>
      </c>
      <c r="G9" s="134">
        <v>99.13</v>
      </c>
      <c r="H9" s="134">
        <v>37.33</v>
      </c>
      <c r="I9" s="134">
        <v>8.7899999999999991</v>
      </c>
      <c r="J9" s="134">
        <v>7.0000000000000007E-2</v>
      </c>
      <c r="K9" s="134">
        <v>211.56</v>
      </c>
      <c r="L9" s="134">
        <v>19.61</v>
      </c>
      <c r="M9" s="134">
        <v>87.99</v>
      </c>
      <c r="N9" s="134">
        <v>0</v>
      </c>
      <c r="O9" s="134">
        <v>0</v>
      </c>
      <c r="P9" s="134">
        <v>0.97</v>
      </c>
      <c r="Q9" s="134">
        <v>4.76</v>
      </c>
    </row>
    <row r="10" spans="1:21" customFormat="1">
      <c r="A10" s="112" t="s">
        <v>2256</v>
      </c>
      <c r="B10" s="134">
        <v>19.2</v>
      </c>
      <c r="C10" s="134">
        <v>24.6</v>
      </c>
      <c r="D10" s="134">
        <v>29.6</v>
      </c>
      <c r="E10" s="134">
        <v>6.38</v>
      </c>
      <c r="F10" s="134">
        <v>2.75</v>
      </c>
      <c r="G10" s="134">
        <v>91.44</v>
      </c>
      <c r="H10" s="134">
        <v>35.99</v>
      </c>
      <c r="I10" s="134">
        <v>8.65</v>
      </c>
      <c r="J10" s="134">
        <v>0.09</v>
      </c>
      <c r="K10" s="134">
        <v>115.25</v>
      </c>
      <c r="L10" s="134">
        <v>19.64</v>
      </c>
      <c r="M10" s="134">
        <v>86.56</v>
      </c>
      <c r="N10" s="134">
        <v>0</v>
      </c>
      <c r="O10" s="134">
        <v>0</v>
      </c>
      <c r="P10" s="134">
        <v>0.96</v>
      </c>
      <c r="Q10" s="134">
        <v>4.76</v>
      </c>
    </row>
    <row r="11" spans="1:21" customFormat="1">
      <c r="A11" s="112" t="s">
        <v>2257</v>
      </c>
      <c r="B11" s="134">
        <v>20.93</v>
      </c>
      <c r="C11" s="134">
        <v>26.07</v>
      </c>
      <c r="D11" s="134">
        <v>31.76</v>
      </c>
      <c r="E11" s="134">
        <v>6.64</v>
      </c>
      <c r="F11" s="134">
        <v>2.5499999999999998</v>
      </c>
      <c r="G11" s="134">
        <v>89.9</v>
      </c>
      <c r="H11" s="134">
        <v>35.99</v>
      </c>
      <c r="I11" s="134">
        <v>8.64</v>
      </c>
      <c r="J11" s="134">
        <v>0.1</v>
      </c>
      <c r="K11" s="134">
        <v>179.58</v>
      </c>
      <c r="L11" s="134">
        <v>19.72</v>
      </c>
      <c r="M11" s="134">
        <v>86.97</v>
      </c>
      <c r="N11" s="134">
        <v>0</v>
      </c>
      <c r="O11" s="134">
        <v>0</v>
      </c>
      <c r="P11" s="134">
        <v>0.96</v>
      </c>
      <c r="Q11" s="134">
        <v>4.8</v>
      </c>
    </row>
    <row r="12" spans="1:21" customFormat="1">
      <c r="A12" s="112" t="s">
        <v>2258</v>
      </c>
      <c r="B12" s="134">
        <v>24.06</v>
      </c>
      <c r="C12" s="134">
        <v>26.01</v>
      </c>
      <c r="D12" s="134">
        <v>34.24</v>
      </c>
      <c r="E12" s="134">
        <v>6.91</v>
      </c>
      <c r="F12" s="134">
        <v>2.59</v>
      </c>
      <c r="G12" s="134">
        <v>89.9</v>
      </c>
      <c r="H12" s="134">
        <v>35.99</v>
      </c>
      <c r="I12" s="134">
        <v>8.52</v>
      </c>
      <c r="J12" s="134">
        <v>0.04</v>
      </c>
      <c r="K12" s="134">
        <v>205.39</v>
      </c>
      <c r="L12" s="134">
        <v>19.559999999999999</v>
      </c>
      <c r="M12" s="134">
        <v>89.33</v>
      </c>
      <c r="N12" s="134">
        <v>0</v>
      </c>
      <c r="O12" s="134">
        <v>0</v>
      </c>
      <c r="P12" s="134">
        <v>0.96</v>
      </c>
      <c r="Q12" s="134">
        <v>4.9000000000000004</v>
      </c>
    </row>
    <row r="13" spans="1:21" customFormat="1">
      <c r="A13" s="112" t="s">
        <v>2259</v>
      </c>
      <c r="B13" s="134">
        <v>26.94</v>
      </c>
      <c r="C13" s="134">
        <v>26.9</v>
      </c>
      <c r="D13" s="134">
        <v>37.01</v>
      </c>
      <c r="E13" s="134">
        <v>6.8</v>
      </c>
      <c r="F13" s="134">
        <v>2.57</v>
      </c>
      <c r="G13" s="134">
        <v>89.9</v>
      </c>
      <c r="H13" s="134">
        <v>35.99</v>
      </c>
      <c r="I13" s="134">
        <v>8.5399999999999991</v>
      </c>
      <c r="J13" s="134">
        <v>0.1</v>
      </c>
      <c r="K13" s="134">
        <v>36.880000000000003</v>
      </c>
      <c r="L13" s="134">
        <v>19.57</v>
      </c>
      <c r="M13" s="134">
        <v>86.63</v>
      </c>
      <c r="N13" s="134">
        <v>0</v>
      </c>
      <c r="O13" s="134">
        <v>0</v>
      </c>
      <c r="P13" s="134">
        <v>0.96</v>
      </c>
      <c r="Q13" s="134">
        <v>4.99</v>
      </c>
    </row>
    <row r="14" spans="1:21" customFormat="1">
      <c r="A14" s="112" t="s">
        <v>2260</v>
      </c>
      <c r="B14" s="134">
        <v>28.63</v>
      </c>
      <c r="C14" s="134">
        <v>26.57</v>
      </c>
      <c r="D14" s="134">
        <v>38.19</v>
      </c>
      <c r="E14" s="134">
        <v>6.79</v>
      </c>
      <c r="F14" s="134">
        <v>2.72</v>
      </c>
      <c r="G14" s="134">
        <v>87.76</v>
      </c>
      <c r="H14" s="134">
        <v>35.82</v>
      </c>
      <c r="I14" s="134">
        <v>8.51</v>
      </c>
      <c r="J14" s="134">
        <v>0.21</v>
      </c>
      <c r="K14" s="134">
        <v>57.08</v>
      </c>
      <c r="L14" s="134">
        <v>19.79</v>
      </c>
      <c r="M14" s="134">
        <v>83.19</v>
      </c>
      <c r="N14" s="134">
        <v>0</v>
      </c>
      <c r="O14" s="134">
        <v>0</v>
      </c>
      <c r="P14" s="134">
        <v>0.95</v>
      </c>
      <c r="Q14" s="134">
        <v>5.07</v>
      </c>
    </row>
    <row r="15" spans="1:21" customFormat="1">
      <c r="A15" s="112" t="s">
        <v>2261</v>
      </c>
      <c r="B15" s="134">
        <v>28.46</v>
      </c>
      <c r="C15" s="134">
        <v>28.07</v>
      </c>
      <c r="D15" s="134">
        <v>38.840000000000003</v>
      </c>
      <c r="E15" s="134">
        <v>7.37</v>
      </c>
      <c r="F15" s="134">
        <v>2.31</v>
      </c>
      <c r="G15" s="134">
        <v>87.33</v>
      </c>
      <c r="H15" s="134">
        <v>35.82</v>
      </c>
      <c r="I15" s="134">
        <v>8.52</v>
      </c>
      <c r="J15" s="134">
        <v>0.1</v>
      </c>
      <c r="K15" s="134">
        <v>164.6</v>
      </c>
      <c r="L15" s="134">
        <v>19.78</v>
      </c>
      <c r="M15" s="134">
        <v>83.54</v>
      </c>
      <c r="N15" s="134">
        <v>0</v>
      </c>
      <c r="O15" s="134">
        <v>0</v>
      </c>
      <c r="P15" s="134">
        <v>0.93</v>
      </c>
      <c r="Q15" s="134">
        <v>5.0999999999999996</v>
      </c>
    </row>
    <row r="16" spans="1:21" customFormat="1">
      <c r="A16" s="112" t="s">
        <v>2262</v>
      </c>
      <c r="B16" s="134">
        <v>26.94</v>
      </c>
      <c r="C16" s="134">
        <v>28.1</v>
      </c>
      <c r="D16" s="134">
        <v>37.64</v>
      </c>
      <c r="E16" s="134">
        <v>7.03</v>
      </c>
      <c r="F16" s="134">
        <v>2.48</v>
      </c>
      <c r="G16" s="134">
        <v>87.33</v>
      </c>
      <c r="H16" s="134">
        <v>35.82</v>
      </c>
      <c r="I16" s="134">
        <v>8.42</v>
      </c>
      <c r="J16" s="134">
        <v>0.11</v>
      </c>
      <c r="K16" s="134">
        <v>260.64</v>
      </c>
      <c r="L16" s="134">
        <v>19.13</v>
      </c>
      <c r="M16" s="134">
        <v>87.26</v>
      </c>
      <c r="N16" s="134">
        <v>0</v>
      </c>
      <c r="O16" s="134">
        <v>0</v>
      </c>
      <c r="P16" s="134">
        <v>0.91</v>
      </c>
      <c r="Q16" s="134">
        <v>5.0599999999999996</v>
      </c>
    </row>
    <row r="17" spans="1:17" customFormat="1">
      <c r="A17" s="112" t="s">
        <v>2263</v>
      </c>
      <c r="B17" s="134">
        <v>25.68</v>
      </c>
      <c r="C17" s="134">
        <v>28.29</v>
      </c>
      <c r="D17" s="134">
        <v>36.729999999999997</v>
      </c>
      <c r="E17" s="134">
        <v>7.3</v>
      </c>
      <c r="F17" s="134">
        <v>2.66</v>
      </c>
      <c r="G17" s="134">
        <v>87.33</v>
      </c>
      <c r="H17" s="134">
        <v>35.82</v>
      </c>
      <c r="I17" s="134">
        <v>8.2899999999999991</v>
      </c>
      <c r="J17" s="134">
        <v>0.13</v>
      </c>
      <c r="K17" s="134">
        <v>271.51</v>
      </c>
      <c r="L17" s="134">
        <v>18.91</v>
      </c>
      <c r="M17" s="134">
        <v>88.11</v>
      </c>
      <c r="N17" s="134">
        <v>0</v>
      </c>
      <c r="O17" s="134">
        <v>0</v>
      </c>
      <c r="P17" s="134">
        <v>0.91</v>
      </c>
      <c r="Q17" s="134">
        <v>5.03</v>
      </c>
    </row>
    <row r="18" spans="1:17" customFormat="1">
      <c r="A18" s="112" t="s">
        <v>2264</v>
      </c>
      <c r="B18" s="134">
        <v>25.89</v>
      </c>
      <c r="C18" s="134">
        <v>28.9</v>
      </c>
      <c r="D18" s="134">
        <v>37.21</v>
      </c>
      <c r="E18" s="134">
        <v>8.8000000000000007</v>
      </c>
      <c r="F18" s="134">
        <v>2.65</v>
      </c>
      <c r="G18" s="134">
        <v>76.040000000000006</v>
      </c>
      <c r="H18" s="134">
        <v>34.07</v>
      </c>
      <c r="I18" s="134">
        <v>8.14</v>
      </c>
      <c r="J18" s="134">
        <v>7.0000000000000007E-2</v>
      </c>
      <c r="K18" s="134">
        <v>172.59</v>
      </c>
      <c r="L18" s="134">
        <v>19.04</v>
      </c>
      <c r="M18" s="134">
        <v>87.47</v>
      </c>
      <c r="N18" s="134">
        <v>0</v>
      </c>
      <c r="O18" s="134">
        <v>0</v>
      </c>
      <c r="P18" s="134">
        <v>0.91</v>
      </c>
      <c r="Q18" s="134">
        <v>5.0199999999999996</v>
      </c>
    </row>
    <row r="19" spans="1:17" customFormat="1">
      <c r="A19" s="112" t="s">
        <v>2265</v>
      </c>
      <c r="B19" s="134">
        <v>27.23</v>
      </c>
      <c r="C19" s="134">
        <v>29.87</v>
      </c>
      <c r="D19" s="134">
        <v>38.79</v>
      </c>
      <c r="E19" s="134">
        <v>8.9</v>
      </c>
      <c r="F19" s="134">
        <v>2.5</v>
      </c>
      <c r="G19" s="134">
        <v>73.78</v>
      </c>
      <c r="H19" s="134">
        <v>34.07</v>
      </c>
      <c r="I19" s="134">
        <v>8.06</v>
      </c>
      <c r="J19" s="134">
        <v>0.13</v>
      </c>
      <c r="K19" s="134">
        <v>45.88</v>
      </c>
      <c r="L19" s="134">
        <v>19.05</v>
      </c>
      <c r="M19" s="134">
        <v>87.53</v>
      </c>
      <c r="N19" s="134">
        <v>0</v>
      </c>
      <c r="O19" s="134">
        <v>0</v>
      </c>
      <c r="P19" s="134">
        <v>0.91</v>
      </c>
      <c r="Q19" s="134">
        <v>5.05</v>
      </c>
    </row>
    <row r="20" spans="1:17" customFormat="1">
      <c r="A20" s="112" t="s">
        <v>2266</v>
      </c>
      <c r="B20" s="134">
        <v>26.8</v>
      </c>
      <c r="C20" s="134">
        <v>30.14</v>
      </c>
      <c r="D20" s="134">
        <v>38.590000000000003</v>
      </c>
      <c r="E20" s="134">
        <v>9.1199999999999992</v>
      </c>
      <c r="F20" s="134">
        <v>2.58</v>
      </c>
      <c r="G20" s="134">
        <v>73.78</v>
      </c>
      <c r="H20" s="134">
        <v>34.07</v>
      </c>
      <c r="I20" s="134">
        <v>8.1</v>
      </c>
      <c r="J20" s="134">
        <v>0.3</v>
      </c>
      <c r="K20" s="134">
        <v>64.41</v>
      </c>
      <c r="L20" s="134">
        <v>19.41</v>
      </c>
      <c r="M20" s="134">
        <v>84.15</v>
      </c>
      <c r="N20" s="134">
        <v>0</v>
      </c>
      <c r="O20" s="134">
        <v>0</v>
      </c>
      <c r="P20" s="134">
        <v>0.89</v>
      </c>
      <c r="Q20" s="134">
        <v>5.0599999999999996</v>
      </c>
    </row>
    <row r="21" spans="1:17" customFormat="1">
      <c r="A21" s="112" t="s">
        <v>2267</v>
      </c>
      <c r="B21" s="134">
        <v>25.34</v>
      </c>
      <c r="C21" s="134">
        <v>30.32</v>
      </c>
      <c r="D21" s="134">
        <v>37.51</v>
      </c>
      <c r="E21" s="134">
        <v>8.91</v>
      </c>
      <c r="F21" s="134">
        <v>2.67</v>
      </c>
      <c r="G21" s="134">
        <v>73.78</v>
      </c>
      <c r="H21" s="134">
        <v>34.07</v>
      </c>
      <c r="I21" s="134">
        <v>8.02</v>
      </c>
      <c r="J21" s="134">
        <v>0.17</v>
      </c>
      <c r="K21" s="134">
        <v>73.38</v>
      </c>
      <c r="L21" s="134">
        <v>19.260000000000002</v>
      </c>
      <c r="M21" s="134">
        <v>83.63</v>
      </c>
      <c r="N21" s="134">
        <v>0</v>
      </c>
      <c r="O21" s="134">
        <v>0</v>
      </c>
      <c r="P21" s="134">
        <v>0.9</v>
      </c>
      <c r="Q21" s="134">
        <v>5.01</v>
      </c>
    </row>
    <row r="22" spans="1:17" customFormat="1">
      <c r="A22" s="112" t="s">
        <v>2268</v>
      </c>
      <c r="B22" s="134">
        <v>24.43</v>
      </c>
      <c r="C22" s="134">
        <v>30.44</v>
      </c>
      <c r="D22" s="134">
        <v>36.840000000000003</v>
      </c>
      <c r="E22" s="134">
        <v>9.34</v>
      </c>
      <c r="F22" s="134">
        <v>2.5</v>
      </c>
      <c r="G22" s="134">
        <v>84.11</v>
      </c>
      <c r="H22" s="134">
        <v>35.32</v>
      </c>
      <c r="I22" s="134">
        <v>7.93</v>
      </c>
      <c r="J22" s="134">
        <v>0.19</v>
      </c>
      <c r="K22" s="134">
        <v>58.21</v>
      </c>
      <c r="L22" s="134">
        <v>18.86</v>
      </c>
      <c r="M22" s="134">
        <v>85.32</v>
      </c>
      <c r="N22" s="134">
        <v>0</v>
      </c>
      <c r="O22" s="134">
        <v>0</v>
      </c>
      <c r="P22" s="134">
        <v>0.91</v>
      </c>
      <c r="Q22" s="134">
        <v>4.9800000000000004</v>
      </c>
    </row>
    <row r="23" spans="1:17" customFormat="1">
      <c r="A23" s="112" t="s">
        <v>2269</v>
      </c>
      <c r="B23" s="134">
        <v>24.12</v>
      </c>
      <c r="C23" s="134">
        <v>30.56</v>
      </c>
      <c r="D23" s="134">
        <v>36.659999999999997</v>
      </c>
      <c r="E23" s="134">
        <v>9.8000000000000007</v>
      </c>
      <c r="F23" s="134">
        <v>2.36</v>
      </c>
      <c r="G23" s="134">
        <v>86.18</v>
      </c>
      <c r="H23" s="134">
        <v>35.32</v>
      </c>
      <c r="I23" s="134">
        <v>8.0500000000000007</v>
      </c>
      <c r="J23" s="134">
        <v>0.09</v>
      </c>
      <c r="K23" s="134">
        <v>35.18</v>
      </c>
      <c r="L23" s="134">
        <v>18.66</v>
      </c>
      <c r="M23" s="134">
        <v>86.31</v>
      </c>
      <c r="N23" s="134">
        <v>0</v>
      </c>
      <c r="O23" s="134">
        <v>0</v>
      </c>
      <c r="P23" s="134">
        <v>0.95</v>
      </c>
      <c r="Q23" s="134">
        <v>4.95</v>
      </c>
    </row>
    <row r="24" spans="1:17" customFormat="1">
      <c r="A24" s="112" t="s">
        <v>2270</v>
      </c>
      <c r="B24" s="134">
        <v>23.76</v>
      </c>
      <c r="C24" s="134">
        <v>30.1</v>
      </c>
      <c r="D24" s="134">
        <v>36.130000000000003</v>
      </c>
      <c r="E24" s="134">
        <v>9.92</v>
      </c>
      <c r="F24" s="134">
        <v>2.5499999999999998</v>
      </c>
      <c r="G24" s="134">
        <v>86.18</v>
      </c>
      <c r="H24" s="134">
        <v>35.32</v>
      </c>
      <c r="I24" s="134">
        <v>8.31</v>
      </c>
      <c r="J24" s="134">
        <v>0.15</v>
      </c>
      <c r="K24" s="134">
        <v>188.11</v>
      </c>
      <c r="L24" s="134">
        <v>18.73</v>
      </c>
      <c r="M24" s="134">
        <v>87</v>
      </c>
      <c r="N24" s="134">
        <v>0</v>
      </c>
      <c r="O24" s="134">
        <v>0</v>
      </c>
      <c r="P24" s="134">
        <v>0.97</v>
      </c>
      <c r="Q24" s="134">
        <v>4.96</v>
      </c>
    </row>
    <row r="25" spans="1:17" customFormat="1">
      <c r="A25" s="112" t="s">
        <v>2271</v>
      </c>
      <c r="B25" s="134">
        <v>22.79</v>
      </c>
      <c r="C25" s="134">
        <v>29.61</v>
      </c>
      <c r="D25" s="134">
        <v>35.1</v>
      </c>
      <c r="E25" s="134">
        <v>10.039999999999999</v>
      </c>
      <c r="F25" s="134">
        <v>2.66</v>
      </c>
      <c r="G25" s="134">
        <v>86.18</v>
      </c>
      <c r="H25" s="134">
        <v>35.32</v>
      </c>
      <c r="I25" s="134">
        <v>8.6199999999999992</v>
      </c>
      <c r="J25" s="134">
        <v>0.09</v>
      </c>
      <c r="K25" s="134">
        <v>225.63</v>
      </c>
      <c r="L25" s="134">
        <v>18.57</v>
      </c>
      <c r="M25" s="134">
        <v>89.87</v>
      </c>
      <c r="N25" s="134">
        <v>0</v>
      </c>
      <c r="O25" s="134">
        <v>0</v>
      </c>
      <c r="P25" s="134">
        <v>0.99</v>
      </c>
      <c r="Q25" s="134">
        <v>4.95</v>
      </c>
    </row>
    <row r="26" spans="1:17" customFormat="1">
      <c r="A26" s="112" t="s">
        <v>2272</v>
      </c>
      <c r="B26" s="134">
        <v>21.51</v>
      </c>
      <c r="C26" s="134">
        <v>29.13</v>
      </c>
      <c r="D26" s="134">
        <v>33.82</v>
      </c>
      <c r="E26" s="134">
        <v>10.130000000000001</v>
      </c>
      <c r="F26" s="134">
        <v>2.6</v>
      </c>
      <c r="G26" s="134">
        <v>113.18</v>
      </c>
      <c r="H26" s="134">
        <v>42.88</v>
      </c>
      <c r="I26" s="134">
        <v>8.86</v>
      </c>
      <c r="J26" s="134">
        <v>0.13</v>
      </c>
      <c r="K26" s="134">
        <v>164.11</v>
      </c>
      <c r="L26" s="134">
        <v>18.46</v>
      </c>
      <c r="M26" s="134">
        <v>93.5</v>
      </c>
      <c r="N26" s="134">
        <v>0</v>
      </c>
      <c r="O26" s="134">
        <v>0</v>
      </c>
      <c r="P26" s="134">
        <v>1</v>
      </c>
      <c r="Q26" s="134">
        <v>4.87</v>
      </c>
    </row>
    <row r="27" spans="1:17" customFormat="1">
      <c r="A27" s="112" t="s">
        <v>2273</v>
      </c>
      <c r="B27" s="134">
        <v>20.93</v>
      </c>
      <c r="C27" s="134">
        <v>28.65</v>
      </c>
      <c r="D27" s="134">
        <v>33.1</v>
      </c>
      <c r="E27" s="134">
        <v>10.26</v>
      </c>
      <c r="F27" s="134">
        <v>2.5299999999999998</v>
      </c>
      <c r="G27" s="134">
        <v>118.58</v>
      </c>
      <c r="H27" s="134">
        <v>42.88</v>
      </c>
      <c r="I27" s="134">
        <v>9.01</v>
      </c>
      <c r="J27" s="134">
        <v>7.0000000000000007E-2</v>
      </c>
      <c r="K27" s="134">
        <v>138.80000000000001</v>
      </c>
      <c r="L27" s="134">
        <v>18.45</v>
      </c>
      <c r="M27" s="134">
        <v>91.78</v>
      </c>
      <c r="N27" s="134">
        <v>0</v>
      </c>
      <c r="O27" s="134">
        <v>0</v>
      </c>
      <c r="P27" s="134">
        <v>1</v>
      </c>
      <c r="Q27" s="134">
        <v>4.84</v>
      </c>
    </row>
    <row r="28" spans="1:17" customFormat="1">
      <c r="A28" s="112" t="s">
        <v>2274</v>
      </c>
      <c r="B28" s="134">
        <v>22.22</v>
      </c>
      <c r="C28" s="134">
        <v>29.02</v>
      </c>
      <c r="D28" s="134">
        <v>34.33</v>
      </c>
      <c r="E28" s="134">
        <v>10.119999999999999</v>
      </c>
      <c r="F28" s="134">
        <v>2.5499999999999998</v>
      </c>
      <c r="G28" s="134">
        <v>118.58</v>
      </c>
      <c r="H28" s="134">
        <v>42.88</v>
      </c>
      <c r="I28" s="134">
        <v>9.1300000000000008</v>
      </c>
      <c r="J28" s="134">
        <v>0.09</v>
      </c>
      <c r="K28" s="134">
        <v>191.62</v>
      </c>
      <c r="L28" s="134">
        <v>18.399999999999999</v>
      </c>
      <c r="M28" s="134">
        <v>92.12</v>
      </c>
      <c r="N28" s="134">
        <v>0</v>
      </c>
      <c r="O28" s="134">
        <v>0</v>
      </c>
      <c r="P28" s="134">
        <v>1.01</v>
      </c>
      <c r="Q28" s="134">
        <v>4.87</v>
      </c>
    </row>
    <row r="29" spans="1:17" customFormat="1">
      <c r="A29" s="112" t="s">
        <v>2275</v>
      </c>
      <c r="B29" s="134">
        <v>24.29</v>
      </c>
      <c r="C29" s="134">
        <v>29.2</v>
      </c>
      <c r="D29" s="134">
        <v>36.090000000000003</v>
      </c>
      <c r="E29" s="134">
        <v>10.16</v>
      </c>
      <c r="F29" s="134">
        <v>2.63</v>
      </c>
      <c r="G29" s="134">
        <v>118.58</v>
      </c>
      <c r="H29" s="134">
        <v>42.88</v>
      </c>
      <c r="I29" s="134">
        <v>9.25</v>
      </c>
      <c r="J29" s="134">
        <v>0.14000000000000001</v>
      </c>
      <c r="K29" s="134">
        <v>133.55000000000001</v>
      </c>
      <c r="L29" s="134">
        <v>18.3</v>
      </c>
      <c r="M29" s="134">
        <v>93.75</v>
      </c>
      <c r="N29" s="134">
        <v>0</v>
      </c>
      <c r="O29" s="134">
        <v>0</v>
      </c>
      <c r="P29" s="134">
        <v>1</v>
      </c>
      <c r="Q29" s="134">
        <v>4.9400000000000004</v>
      </c>
    </row>
    <row r="30" spans="1:17" customFormat="1">
      <c r="A30" s="112" t="s">
        <v>2276</v>
      </c>
      <c r="B30" s="134">
        <v>25.31</v>
      </c>
      <c r="C30" s="134">
        <v>29.08</v>
      </c>
      <c r="D30" s="134">
        <v>36.840000000000003</v>
      </c>
      <c r="E30" s="134">
        <v>9.8699999999999992</v>
      </c>
      <c r="F30" s="134">
        <v>2.52</v>
      </c>
      <c r="G30" s="134">
        <v>112.75</v>
      </c>
      <c r="H30" s="134">
        <v>40.89</v>
      </c>
      <c r="I30" s="134">
        <v>9.34</v>
      </c>
      <c r="J30" s="134">
        <v>0.23</v>
      </c>
      <c r="K30" s="134">
        <v>256.08</v>
      </c>
      <c r="L30" s="134">
        <v>18.28</v>
      </c>
      <c r="M30" s="134">
        <v>94.64</v>
      </c>
      <c r="N30" s="134">
        <v>0</v>
      </c>
      <c r="O30" s="134">
        <v>0</v>
      </c>
      <c r="P30" s="134">
        <v>1.01</v>
      </c>
      <c r="Q30" s="134">
        <v>4.97</v>
      </c>
    </row>
    <row r="31" spans="1:17" customFormat="1">
      <c r="A31" s="112" t="s">
        <v>2277</v>
      </c>
      <c r="B31" s="134">
        <v>25.61</v>
      </c>
      <c r="C31" s="134">
        <v>28.77</v>
      </c>
      <c r="D31" s="134">
        <v>36.909999999999997</v>
      </c>
      <c r="E31" s="134">
        <v>10.02</v>
      </c>
      <c r="F31" s="134">
        <v>2.5299999999999998</v>
      </c>
      <c r="G31" s="134">
        <v>111.58</v>
      </c>
      <c r="H31" s="134">
        <v>40.89</v>
      </c>
      <c r="I31" s="134">
        <v>9.41</v>
      </c>
      <c r="J31" s="134">
        <v>0.05</v>
      </c>
      <c r="K31" s="134">
        <v>237.38</v>
      </c>
      <c r="L31" s="134">
        <v>18.079999999999998</v>
      </c>
      <c r="M31" s="134">
        <v>93.6</v>
      </c>
      <c r="N31" s="134">
        <v>0</v>
      </c>
      <c r="O31" s="134">
        <v>0</v>
      </c>
      <c r="P31" s="134">
        <v>0.99</v>
      </c>
      <c r="Q31" s="134">
        <v>4.9800000000000004</v>
      </c>
    </row>
    <row r="32" spans="1:17" customFormat="1">
      <c r="A32" s="112" t="s">
        <v>2278</v>
      </c>
      <c r="B32" s="134">
        <v>25.1</v>
      </c>
      <c r="C32" s="134">
        <v>28.57</v>
      </c>
      <c r="D32" s="134">
        <v>36.4</v>
      </c>
      <c r="E32" s="134">
        <v>10.19</v>
      </c>
      <c r="F32" s="134">
        <v>2.56</v>
      </c>
      <c r="G32" s="134">
        <v>111.58</v>
      </c>
      <c r="H32" s="134">
        <v>40.89</v>
      </c>
      <c r="I32" s="134">
        <v>9.44</v>
      </c>
      <c r="J32" s="134">
        <v>7.0000000000000007E-2</v>
      </c>
      <c r="K32" s="134">
        <v>346.4</v>
      </c>
      <c r="L32" s="134">
        <v>17.87</v>
      </c>
      <c r="M32" s="134">
        <v>93.8</v>
      </c>
      <c r="N32" s="134">
        <v>0</v>
      </c>
      <c r="O32" s="134">
        <v>0</v>
      </c>
      <c r="P32" s="134">
        <v>1</v>
      </c>
      <c r="Q32" s="134">
        <v>4.95</v>
      </c>
    </row>
    <row r="33" spans="1:17" customFormat="1">
      <c r="A33" s="112" t="s">
        <v>2279</v>
      </c>
      <c r="B33" s="134">
        <v>27.5</v>
      </c>
      <c r="C33" s="134">
        <v>28.6</v>
      </c>
      <c r="D33" s="134">
        <v>38.35</v>
      </c>
      <c r="E33" s="134">
        <v>9.9</v>
      </c>
      <c r="F33" s="134">
        <v>2.56</v>
      </c>
      <c r="G33" s="134">
        <v>111.58</v>
      </c>
      <c r="H33" s="134">
        <v>40.89</v>
      </c>
      <c r="I33" s="134">
        <v>9.42</v>
      </c>
      <c r="J33" s="134">
        <v>0.17</v>
      </c>
      <c r="K33" s="134">
        <v>159.11000000000001</v>
      </c>
      <c r="L33" s="134">
        <v>18.21</v>
      </c>
      <c r="M33" s="134">
        <v>90.89</v>
      </c>
      <c r="N33" s="134">
        <v>0</v>
      </c>
      <c r="O33" s="134">
        <v>0</v>
      </c>
      <c r="P33" s="134">
        <v>1.01</v>
      </c>
      <c r="Q33" s="134">
        <v>5.0199999999999996</v>
      </c>
    </row>
    <row r="34" spans="1:17" customFormat="1">
      <c r="A34" s="112" t="s">
        <v>2280</v>
      </c>
      <c r="B34" s="134">
        <v>30.29</v>
      </c>
      <c r="C34" s="134">
        <v>28.85</v>
      </c>
      <c r="D34" s="134">
        <v>40.72</v>
      </c>
      <c r="E34" s="134">
        <v>10.38</v>
      </c>
      <c r="F34" s="134">
        <v>2.58</v>
      </c>
      <c r="G34" s="134">
        <v>106.99</v>
      </c>
      <c r="H34" s="134">
        <v>43.46</v>
      </c>
      <c r="I34" s="134">
        <v>9.4499999999999993</v>
      </c>
      <c r="J34" s="134">
        <v>0.11</v>
      </c>
      <c r="K34" s="134">
        <v>162.37</v>
      </c>
      <c r="L34" s="134">
        <v>18.13</v>
      </c>
      <c r="M34" s="134">
        <v>92.23</v>
      </c>
      <c r="N34" s="134">
        <v>0.7</v>
      </c>
      <c r="O34" s="134">
        <v>0</v>
      </c>
      <c r="P34" s="134">
        <v>1.01</v>
      </c>
      <c r="Q34" s="134">
        <v>5.12</v>
      </c>
    </row>
    <row r="35" spans="1:17" customFormat="1">
      <c r="A35" s="112" t="s">
        <v>2281</v>
      </c>
      <c r="B35" s="134">
        <v>33.08</v>
      </c>
      <c r="C35" s="134">
        <v>29.31</v>
      </c>
      <c r="D35" s="134">
        <v>43.19</v>
      </c>
      <c r="E35" s="134">
        <v>10.54</v>
      </c>
      <c r="F35" s="134">
        <v>2.44</v>
      </c>
      <c r="G35" s="134">
        <v>106.07</v>
      </c>
      <c r="H35" s="134">
        <v>43.46</v>
      </c>
      <c r="I35" s="134">
        <v>9.52</v>
      </c>
      <c r="J35" s="134">
        <v>0.12</v>
      </c>
      <c r="K35" s="134">
        <v>151.25</v>
      </c>
      <c r="L35" s="134">
        <v>18.399999999999999</v>
      </c>
      <c r="M35" s="134">
        <v>92.44</v>
      </c>
      <c r="N35" s="134">
        <v>8.3000000000000007</v>
      </c>
      <c r="O35" s="134">
        <v>0</v>
      </c>
      <c r="P35" s="134">
        <v>1.02</v>
      </c>
      <c r="Q35" s="134">
        <v>5.22</v>
      </c>
    </row>
    <row r="36" spans="1:17" customFormat="1">
      <c r="A36" s="112" t="s">
        <v>2282</v>
      </c>
      <c r="B36" s="134">
        <v>35.799999999999997</v>
      </c>
      <c r="C36" s="134">
        <v>29.08</v>
      </c>
      <c r="D36" s="134">
        <v>45.25</v>
      </c>
      <c r="E36" s="134">
        <v>10.34</v>
      </c>
      <c r="F36" s="134">
        <v>2.62</v>
      </c>
      <c r="G36" s="134">
        <v>106.07</v>
      </c>
      <c r="H36" s="134">
        <v>43.46</v>
      </c>
      <c r="I36" s="134">
        <v>9.67</v>
      </c>
      <c r="J36" s="134">
        <v>0.09</v>
      </c>
      <c r="K36" s="134">
        <v>96.83</v>
      </c>
      <c r="L36" s="134">
        <v>18.77</v>
      </c>
      <c r="M36" s="134">
        <v>89.77</v>
      </c>
      <c r="N36" s="134">
        <v>20</v>
      </c>
      <c r="O36" s="134">
        <v>0</v>
      </c>
      <c r="P36" s="134">
        <v>1.04</v>
      </c>
      <c r="Q36" s="134">
        <v>5.27</v>
      </c>
    </row>
    <row r="37" spans="1:17" customFormat="1">
      <c r="A37" s="112" t="s">
        <v>2283</v>
      </c>
      <c r="B37" s="134">
        <v>38.409999999999997</v>
      </c>
      <c r="C37" s="134">
        <v>27.28</v>
      </c>
      <c r="D37" s="134">
        <v>46.41</v>
      </c>
      <c r="E37" s="134">
        <v>9.4</v>
      </c>
      <c r="F37" s="134">
        <v>2.82</v>
      </c>
      <c r="G37" s="134">
        <v>106.07</v>
      </c>
      <c r="H37" s="134">
        <v>43.46</v>
      </c>
      <c r="I37" s="134">
        <v>9.8000000000000007</v>
      </c>
      <c r="J37" s="134">
        <v>0.33</v>
      </c>
      <c r="K37" s="134">
        <v>31.97</v>
      </c>
      <c r="L37" s="134">
        <v>19.239999999999998</v>
      </c>
      <c r="M37" s="134">
        <v>84.96</v>
      </c>
      <c r="N37" s="134">
        <v>32.299999999999997</v>
      </c>
      <c r="O37" s="134">
        <v>0</v>
      </c>
      <c r="P37" s="134">
        <v>1.04</v>
      </c>
      <c r="Q37" s="134">
        <v>5.36</v>
      </c>
    </row>
    <row r="38" spans="1:17" customFormat="1">
      <c r="A38" s="112" t="s">
        <v>2284</v>
      </c>
      <c r="B38" s="134">
        <v>38.96</v>
      </c>
      <c r="C38" s="134">
        <v>27.96</v>
      </c>
      <c r="D38" s="134">
        <v>47.2</v>
      </c>
      <c r="E38" s="134">
        <v>8.86</v>
      </c>
      <c r="F38" s="134">
        <v>2.63</v>
      </c>
      <c r="G38" s="134">
        <v>107.06</v>
      </c>
      <c r="H38" s="134">
        <v>46.09</v>
      </c>
      <c r="I38" s="134">
        <v>9.99</v>
      </c>
      <c r="J38" s="134">
        <v>0.32</v>
      </c>
      <c r="K38" s="134">
        <v>51.29</v>
      </c>
      <c r="L38" s="134">
        <v>19.73</v>
      </c>
      <c r="M38" s="134">
        <v>83.06</v>
      </c>
      <c r="N38" s="134">
        <v>46.2</v>
      </c>
      <c r="O38" s="134">
        <v>0</v>
      </c>
      <c r="P38" s="134">
        <v>1.04</v>
      </c>
      <c r="Q38" s="134">
        <v>5.4</v>
      </c>
    </row>
    <row r="39" spans="1:17" customFormat="1">
      <c r="A39" s="112" t="s">
        <v>2285</v>
      </c>
      <c r="B39" s="134">
        <v>38.49</v>
      </c>
      <c r="C39" s="134">
        <v>29.23</v>
      </c>
      <c r="D39" s="134">
        <v>47.49</v>
      </c>
      <c r="E39" s="134">
        <v>9.23</v>
      </c>
      <c r="F39" s="134">
        <v>2.52</v>
      </c>
      <c r="G39" s="134">
        <v>107.26</v>
      </c>
      <c r="H39" s="134">
        <v>46.09</v>
      </c>
      <c r="I39" s="134">
        <v>10.119999999999999</v>
      </c>
      <c r="J39" s="134">
        <v>0.42</v>
      </c>
      <c r="K39" s="134">
        <v>37.15</v>
      </c>
      <c r="L39" s="134">
        <v>20.329999999999998</v>
      </c>
      <c r="M39" s="134">
        <v>80.8</v>
      </c>
      <c r="N39" s="134">
        <v>81.5</v>
      </c>
      <c r="O39" s="134">
        <v>0</v>
      </c>
      <c r="P39" s="134">
        <v>1.03</v>
      </c>
      <c r="Q39" s="134">
        <v>5.38</v>
      </c>
    </row>
    <row r="40" spans="1:17" customFormat="1">
      <c r="A40" s="112" t="s">
        <v>2286</v>
      </c>
      <c r="B40" s="134">
        <v>38.14</v>
      </c>
      <c r="C40" s="134">
        <v>27.79</v>
      </c>
      <c r="D40" s="134">
        <v>46.45</v>
      </c>
      <c r="E40" s="134">
        <v>8.9</v>
      </c>
      <c r="F40" s="134">
        <v>2.7</v>
      </c>
      <c r="G40" s="134">
        <v>107.26</v>
      </c>
      <c r="H40" s="134">
        <v>46.09</v>
      </c>
      <c r="I40" s="134">
        <v>10.210000000000001</v>
      </c>
      <c r="J40" s="134">
        <v>0.56000000000000005</v>
      </c>
      <c r="K40" s="134">
        <v>34.71</v>
      </c>
      <c r="L40" s="134">
        <v>20.97</v>
      </c>
      <c r="M40" s="134">
        <v>79.34</v>
      </c>
      <c r="N40" s="134">
        <v>158.19999999999999</v>
      </c>
      <c r="O40" s="134">
        <v>0</v>
      </c>
      <c r="P40" s="134">
        <v>1.02</v>
      </c>
      <c r="Q40" s="134">
        <v>5.33</v>
      </c>
    </row>
    <row r="41" spans="1:17" customFormat="1">
      <c r="A41" s="112" t="s">
        <v>2287</v>
      </c>
      <c r="B41" s="134">
        <v>37.25</v>
      </c>
      <c r="C41" s="134">
        <v>28.39</v>
      </c>
      <c r="D41" s="134">
        <v>46.06</v>
      </c>
      <c r="E41" s="134">
        <v>8.9600000000000009</v>
      </c>
      <c r="F41" s="134">
        <v>2.64</v>
      </c>
      <c r="G41" s="134">
        <v>107.26</v>
      </c>
      <c r="H41" s="134">
        <v>46.09</v>
      </c>
      <c r="I41" s="134">
        <v>10.28</v>
      </c>
      <c r="J41" s="134">
        <v>0.5</v>
      </c>
      <c r="K41" s="134">
        <v>48.62</v>
      </c>
      <c r="L41" s="134">
        <v>21.69</v>
      </c>
      <c r="M41" s="134">
        <v>75.209999999999994</v>
      </c>
      <c r="N41" s="134">
        <v>183.7</v>
      </c>
      <c r="O41" s="134">
        <v>0</v>
      </c>
      <c r="P41" s="134">
        <v>1.03</v>
      </c>
      <c r="Q41" s="134">
        <v>5.33</v>
      </c>
    </row>
    <row r="42" spans="1:17" customFormat="1">
      <c r="A42" s="112" t="s">
        <v>2288</v>
      </c>
      <c r="B42" s="134">
        <v>36.29</v>
      </c>
      <c r="C42" s="134">
        <v>27.55</v>
      </c>
      <c r="D42" s="134">
        <v>44.84</v>
      </c>
      <c r="E42" s="134">
        <v>8.5</v>
      </c>
      <c r="F42" s="134">
        <v>2.66</v>
      </c>
      <c r="G42" s="134">
        <v>104.21</v>
      </c>
      <c r="H42" s="134">
        <v>42.59</v>
      </c>
      <c r="I42" s="134">
        <v>10.210000000000001</v>
      </c>
      <c r="J42" s="134">
        <v>0.52</v>
      </c>
      <c r="K42" s="134">
        <v>45.52</v>
      </c>
      <c r="L42" s="134">
        <v>22.6</v>
      </c>
      <c r="M42" s="134">
        <v>71.260000000000005</v>
      </c>
      <c r="N42" s="134">
        <v>223.1</v>
      </c>
      <c r="O42" s="134">
        <v>0</v>
      </c>
      <c r="P42" s="134">
        <v>1.02</v>
      </c>
      <c r="Q42" s="134">
        <v>5.34</v>
      </c>
    </row>
    <row r="43" spans="1:17" customFormat="1">
      <c r="A43" s="112" t="s">
        <v>2289</v>
      </c>
      <c r="B43" s="134">
        <v>35.200000000000003</v>
      </c>
      <c r="C43" s="134">
        <v>28.07</v>
      </c>
      <c r="D43" s="134">
        <v>44.24</v>
      </c>
      <c r="E43" s="134">
        <v>8.7799999999999994</v>
      </c>
      <c r="F43" s="134">
        <v>2.78</v>
      </c>
      <c r="G43" s="134">
        <v>103.6</v>
      </c>
      <c r="H43" s="134">
        <v>42.59</v>
      </c>
      <c r="I43" s="134">
        <v>10.18</v>
      </c>
      <c r="J43" s="134">
        <v>0.61</v>
      </c>
      <c r="K43" s="134">
        <v>43.38</v>
      </c>
      <c r="L43" s="134">
        <v>23.2</v>
      </c>
      <c r="M43" s="134">
        <v>68.05</v>
      </c>
      <c r="N43" s="134">
        <v>252.7</v>
      </c>
      <c r="O43" s="134">
        <v>0</v>
      </c>
      <c r="P43" s="134">
        <v>1.03</v>
      </c>
      <c r="Q43" s="134">
        <v>5.3</v>
      </c>
    </row>
    <row r="44" spans="1:17" customFormat="1">
      <c r="A44" s="112" t="s">
        <v>2290</v>
      </c>
      <c r="B44" s="134">
        <v>34.33</v>
      </c>
      <c r="C44" s="134">
        <v>26.57</v>
      </c>
      <c r="D44" s="134">
        <v>42.76</v>
      </c>
      <c r="E44" s="134">
        <v>8.25</v>
      </c>
      <c r="F44" s="134">
        <v>2.96</v>
      </c>
      <c r="G44" s="134">
        <v>103.6</v>
      </c>
      <c r="H44" s="134">
        <v>42.59</v>
      </c>
      <c r="I44" s="134">
        <v>10.1</v>
      </c>
      <c r="J44" s="134">
        <v>0.59</v>
      </c>
      <c r="K44" s="134">
        <v>46.15</v>
      </c>
      <c r="L44" s="134">
        <v>23.84</v>
      </c>
      <c r="M44" s="134">
        <v>64.709999999999994</v>
      </c>
      <c r="N44" s="134">
        <v>277.8</v>
      </c>
      <c r="O44" s="134">
        <v>0</v>
      </c>
      <c r="P44" s="134">
        <v>1</v>
      </c>
      <c r="Q44" s="134">
        <v>5.24</v>
      </c>
    </row>
    <row r="45" spans="1:17" customFormat="1">
      <c r="A45" s="112" t="s">
        <v>2291</v>
      </c>
      <c r="B45" s="134">
        <v>33.22</v>
      </c>
      <c r="C45" s="134">
        <v>27.78</v>
      </c>
      <c r="D45" s="134">
        <v>42.51</v>
      </c>
      <c r="E45" s="134">
        <v>8.1999999999999993</v>
      </c>
      <c r="F45" s="134">
        <v>2.84</v>
      </c>
      <c r="G45" s="134">
        <v>103.6</v>
      </c>
      <c r="H45" s="134">
        <v>42.59</v>
      </c>
      <c r="I45" s="134">
        <v>10.01</v>
      </c>
      <c r="J45" s="134">
        <v>0.79</v>
      </c>
      <c r="K45" s="134">
        <v>45.72</v>
      </c>
      <c r="L45" s="134">
        <v>24.31</v>
      </c>
      <c r="M45" s="134">
        <v>63.22</v>
      </c>
      <c r="N45" s="134">
        <v>252.7</v>
      </c>
      <c r="O45" s="134">
        <v>0</v>
      </c>
      <c r="P45" s="134">
        <v>1</v>
      </c>
      <c r="Q45" s="134">
        <v>5.2</v>
      </c>
    </row>
    <row r="46" spans="1:17" customFormat="1">
      <c r="A46" s="112" t="s">
        <v>2292</v>
      </c>
      <c r="B46" s="134">
        <v>32.159999999999997</v>
      </c>
      <c r="C46" s="134">
        <v>27.2</v>
      </c>
      <c r="D46" s="134">
        <v>41.35</v>
      </c>
      <c r="E46" s="134">
        <v>8.61</v>
      </c>
      <c r="F46" s="134">
        <v>3.08</v>
      </c>
      <c r="G46" s="134">
        <v>97.99</v>
      </c>
      <c r="H46" s="134">
        <v>42.04</v>
      </c>
      <c r="I46" s="134">
        <v>9.8800000000000008</v>
      </c>
      <c r="J46" s="134">
        <v>0.68</v>
      </c>
      <c r="K46" s="134">
        <v>42.68</v>
      </c>
      <c r="L46" s="134">
        <v>24.86</v>
      </c>
      <c r="M46" s="134">
        <v>61.78</v>
      </c>
      <c r="N46" s="134">
        <v>241</v>
      </c>
      <c r="O46" s="134">
        <v>0</v>
      </c>
      <c r="P46" s="134">
        <v>0.99</v>
      </c>
      <c r="Q46" s="134">
        <v>5.19</v>
      </c>
    </row>
    <row r="47" spans="1:17" customFormat="1">
      <c r="A47" s="112" t="s">
        <v>2293</v>
      </c>
      <c r="B47" s="134">
        <v>31.14</v>
      </c>
      <c r="C47" s="134">
        <v>27.31</v>
      </c>
      <c r="D47" s="134">
        <v>40.590000000000003</v>
      </c>
      <c r="E47" s="134">
        <v>8.5299999999999994</v>
      </c>
      <c r="F47" s="134">
        <v>3.11</v>
      </c>
      <c r="G47" s="134">
        <v>96.87</v>
      </c>
      <c r="H47" s="134">
        <v>42.04</v>
      </c>
      <c r="I47" s="134">
        <v>9.7899999999999991</v>
      </c>
      <c r="J47" s="134">
        <v>0.73</v>
      </c>
      <c r="K47" s="134">
        <v>45.73</v>
      </c>
      <c r="L47" s="134">
        <v>25.44</v>
      </c>
      <c r="M47" s="134">
        <v>58.37</v>
      </c>
      <c r="N47" s="134">
        <v>376.5</v>
      </c>
      <c r="O47" s="134">
        <v>0</v>
      </c>
      <c r="P47" s="134">
        <v>1</v>
      </c>
      <c r="Q47" s="134">
        <v>5.16</v>
      </c>
    </row>
    <row r="48" spans="1:17" customFormat="1">
      <c r="A48" s="112" t="s">
        <v>2294</v>
      </c>
      <c r="B48" s="134">
        <v>29.98</v>
      </c>
      <c r="C48" s="134">
        <v>29.05</v>
      </c>
      <c r="D48" s="134">
        <v>40.57</v>
      </c>
      <c r="E48" s="134">
        <v>8.98</v>
      </c>
      <c r="F48" s="134">
        <v>2.86</v>
      </c>
      <c r="G48" s="134">
        <v>96.87</v>
      </c>
      <c r="H48" s="134">
        <v>42.04</v>
      </c>
      <c r="I48" s="134">
        <v>9.68</v>
      </c>
      <c r="J48" s="134">
        <v>0.69</v>
      </c>
      <c r="K48" s="134">
        <v>46.55</v>
      </c>
      <c r="L48" s="134">
        <v>25.87</v>
      </c>
      <c r="M48" s="134">
        <v>57.26</v>
      </c>
      <c r="N48" s="134">
        <v>411.4</v>
      </c>
      <c r="O48" s="134">
        <v>0</v>
      </c>
      <c r="P48" s="134">
        <v>1</v>
      </c>
      <c r="Q48" s="134">
        <v>5.1100000000000003</v>
      </c>
    </row>
    <row r="49" spans="1:17" customFormat="1">
      <c r="A49" s="112" t="s">
        <v>2295</v>
      </c>
      <c r="B49" s="134">
        <v>28.86</v>
      </c>
      <c r="C49" s="134">
        <v>28.12</v>
      </c>
      <c r="D49" s="134">
        <v>39.19</v>
      </c>
      <c r="E49" s="134">
        <v>7.09</v>
      </c>
      <c r="F49" s="134">
        <v>3.04</v>
      </c>
      <c r="G49" s="134">
        <v>96.87</v>
      </c>
      <c r="H49" s="134">
        <v>42.04</v>
      </c>
      <c r="I49" s="134">
        <v>9.56</v>
      </c>
      <c r="J49" s="134">
        <v>0.53</v>
      </c>
      <c r="K49" s="134">
        <v>62.51</v>
      </c>
      <c r="L49" s="134">
        <v>26.36</v>
      </c>
      <c r="M49" s="134">
        <v>55.1</v>
      </c>
      <c r="N49" s="134">
        <v>440.1</v>
      </c>
      <c r="O49" s="134">
        <v>0</v>
      </c>
      <c r="P49" s="134">
        <v>0.99</v>
      </c>
      <c r="Q49" s="134">
        <v>5.08</v>
      </c>
    </row>
    <row r="50" spans="1:17" customFormat="1">
      <c r="A50" s="112" t="s">
        <v>2296</v>
      </c>
      <c r="B50" s="134">
        <v>27.49</v>
      </c>
      <c r="C50" s="134">
        <v>27.42</v>
      </c>
      <c r="D50" s="134">
        <v>37.72</v>
      </c>
      <c r="E50" s="134">
        <v>8.2100000000000009</v>
      </c>
      <c r="F50" s="134">
        <v>3.24</v>
      </c>
      <c r="G50" s="134">
        <v>101.46</v>
      </c>
      <c r="H50" s="134">
        <v>41.62</v>
      </c>
      <c r="I50" s="134">
        <v>9.44</v>
      </c>
      <c r="J50" s="134">
        <v>0.71</v>
      </c>
      <c r="K50" s="134">
        <v>48.4</v>
      </c>
      <c r="L50" s="134">
        <v>26.9</v>
      </c>
      <c r="M50" s="134">
        <v>53.16</v>
      </c>
      <c r="N50" s="134">
        <v>461.3</v>
      </c>
      <c r="O50" s="134">
        <v>0</v>
      </c>
      <c r="P50" s="134">
        <v>0.96</v>
      </c>
      <c r="Q50" s="134">
        <v>5.04</v>
      </c>
    </row>
    <row r="51" spans="1:17" customFormat="1">
      <c r="A51" s="112" t="s">
        <v>2297</v>
      </c>
      <c r="B51" s="134">
        <v>26.3</v>
      </c>
      <c r="C51" s="134">
        <v>27.24</v>
      </c>
      <c r="D51" s="134">
        <v>36.67</v>
      </c>
      <c r="E51" s="134">
        <v>7.49</v>
      </c>
      <c r="F51" s="134">
        <v>3.54</v>
      </c>
      <c r="G51" s="134">
        <v>102.37</v>
      </c>
      <c r="H51" s="134">
        <v>41.62</v>
      </c>
      <c r="I51" s="134">
        <v>9.31</v>
      </c>
      <c r="J51" s="134">
        <v>0.36</v>
      </c>
      <c r="K51" s="134">
        <v>70.48</v>
      </c>
      <c r="L51" s="134">
        <v>27.45</v>
      </c>
      <c r="M51" s="134">
        <v>51.42</v>
      </c>
      <c r="N51" s="134">
        <v>476.8</v>
      </c>
      <c r="O51" s="134">
        <v>0</v>
      </c>
      <c r="P51" s="134">
        <v>0.95</v>
      </c>
      <c r="Q51" s="134">
        <v>5.0199999999999996</v>
      </c>
    </row>
    <row r="52" spans="1:17" customFormat="1">
      <c r="A52" s="112" t="s">
        <v>2298</v>
      </c>
      <c r="B52" s="134">
        <v>24.59</v>
      </c>
      <c r="C52" s="134">
        <v>27.45</v>
      </c>
      <c r="D52" s="134">
        <v>35.409999999999997</v>
      </c>
      <c r="E52" s="134">
        <v>6.36</v>
      </c>
      <c r="F52" s="134">
        <v>3.2</v>
      </c>
      <c r="G52" s="134">
        <v>102.37</v>
      </c>
      <c r="H52" s="134">
        <v>41.62</v>
      </c>
      <c r="I52" s="134">
        <v>9.15</v>
      </c>
      <c r="J52" s="134">
        <v>0.23</v>
      </c>
      <c r="K52" s="134">
        <v>52.99</v>
      </c>
      <c r="L52" s="134">
        <v>28.28</v>
      </c>
      <c r="M52" s="134">
        <v>49.36</v>
      </c>
      <c r="N52" s="134">
        <v>459</v>
      </c>
      <c r="O52" s="134">
        <v>0</v>
      </c>
      <c r="P52" s="134">
        <v>0.94</v>
      </c>
      <c r="Q52" s="134">
        <v>4.96</v>
      </c>
    </row>
    <row r="53" spans="1:17" customFormat="1">
      <c r="A53" s="112" t="s">
        <v>2299</v>
      </c>
      <c r="B53" s="134">
        <v>22.8</v>
      </c>
      <c r="C53" s="134">
        <v>27.96</v>
      </c>
      <c r="D53" s="134">
        <v>34.25</v>
      </c>
      <c r="E53" s="134">
        <v>7.29</v>
      </c>
      <c r="F53" s="134">
        <v>3.61</v>
      </c>
      <c r="G53" s="134">
        <v>102.37</v>
      </c>
      <c r="H53" s="134">
        <v>41.62</v>
      </c>
      <c r="I53" s="134">
        <v>8.98</v>
      </c>
      <c r="J53" s="134">
        <v>0.47</v>
      </c>
      <c r="K53" s="134">
        <v>60.85</v>
      </c>
      <c r="L53" s="134">
        <v>28.26</v>
      </c>
      <c r="M53" s="134">
        <v>48.19</v>
      </c>
      <c r="N53" s="134">
        <v>511.1</v>
      </c>
      <c r="O53" s="134">
        <v>0</v>
      </c>
      <c r="P53" s="134">
        <v>0.93</v>
      </c>
      <c r="Q53" s="134">
        <v>4.88</v>
      </c>
    </row>
    <row r="54" spans="1:17" customFormat="1">
      <c r="A54" s="112" t="s">
        <v>2300</v>
      </c>
      <c r="B54" s="134">
        <v>19.3</v>
      </c>
      <c r="C54" s="134">
        <v>27.42</v>
      </c>
      <c r="D54" s="134">
        <v>31.15</v>
      </c>
      <c r="E54" s="134">
        <v>10.53</v>
      </c>
      <c r="F54" s="134">
        <v>6.15</v>
      </c>
      <c r="G54" s="134">
        <v>99.07</v>
      </c>
      <c r="H54" s="134">
        <v>38.85</v>
      </c>
      <c r="I54" s="134">
        <v>8.81</v>
      </c>
      <c r="J54" s="134">
        <v>0.18</v>
      </c>
      <c r="K54" s="134">
        <v>98.78</v>
      </c>
      <c r="L54" s="134">
        <v>28.82</v>
      </c>
      <c r="M54" s="134">
        <v>45.54</v>
      </c>
      <c r="N54" s="134">
        <v>508.4</v>
      </c>
      <c r="O54" s="134">
        <v>0</v>
      </c>
      <c r="P54" s="134">
        <v>0.9</v>
      </c>
      <c r="Q54" s="134">
        <v>4.8099999999999996</v>
      </c>
    </row>
    <row r="55" spans="1:17" customFormat="1">
      <c r="A55" s="112" t="s">
        <v>2301</v>
      </c>
      <c r="B55" s="134">
        <v>12.51</v>
      </c>
      <c r="C55" s="134">
        <v>28.16</v>
      </c>
      <c r="D55" s="134">
        <v>26.09</v>
      </c>
      <c r="E55" s="134">
        <v>10.08</v>
      </c>
      <c r="F55" s="134">
        <v>5.39</v>
      </c>
      <c r="G55" s="134">
        <v>98.41</v>
      </c>
      <c r="H55" s="134">
        <v>38.85</v>
      </c>
      <c r="I55" s="134">
        <v>8.6199999999999992</v>
      </c>
      <c r="J55" s="134">
        <v>0.49</v>
      </c>
      <c r="K55" s="134">
        <v>21.5</v>
      </c>
      <c r="L55" s="134">
        <v>29.06</v>
      </c>
      <c r="M55" s="134">
        <v>45.66</v>
      </c>
      <c r="N55" s="134">
        <v>514.5</v>
      </c>
      <c r="O55" s="134">
        <v>0</v>
      </c>
      <c r="P55" s="134">
        <v>0.86</v>
      </c>
      <c r="Q55" s="134">
        <v>4.6500000000000004</v>
      </c>
    </row>
    <row r="56" spans="1:17" customFormat="1">
      <c r="A56" s="112" t="s">
        <v>2302</v>
      </c>
      <c r="B56" s="134">
        <v>8.85</v>
      </c>
      <c r="C56" s="134">
        <v>30.65</v>
      </c>
      <c r="D56" s="134">
        <v>24.46</v>
      </c>
      <c r="E56" s="134">
        <v>8.99</v>
      </c>
      <c r="F56" s="134">
        <v>4.45</v>
      </c>
      <c r="G56" s="134">
        <v>98.41</v>
      </c>
      <c r="H56" s="134">
        <v>38.85</v>
      </c>
      <c r="I56" s="134">
        <v>8.1300000000000008</v>
      </c>
      <c r="J56" s="134">
        <v>0.41</v>
      </c>
      <c r="K56" s="134">
        <v>65.84</v>
      </c>
      <c r="L56" s="134">
        <v>28.98</v>
      </c>
      <c r="M56" s="134">
        <v>44</v>
      </c>
      <c r="N56" s="134">
        <v>524.70000000000005</v>
      </c>
      <c r="O56" s="134">
        <v>0</v>
      </c>
      <c r="P56" s="134">
        <v>0.84</v>
      </c>
      <c r="Q56" s="134">
        <v>4.49</v>
      </c>
    </row>
    <row r="57" spans="1:17" customFormat="1">
      <c r="A57" s="112" t="s">
        <v>2303</v>
      </c>
      <c r="B57" s="134">
        <v>6.73</v>
      </c>
      <c r="C57" s="134">
        <v>31.2</v>
      </c>
      <c r="D57" s="134">
        <v>23.05</v>
      </c>
      <c r="E57" s="134">
        <v>8.36</v>
      </c>
      <c r="F57" s="134">
        <v>4.84</v>
      </c>
      <c r="G57" s="134">
        <v>98.41</v>
      </c>
      <c r="H57" s="134">
        <v>38.85</v>
      </c>
      <c r="I57" s="134">
        <v>7.63</v>
      </c>
      <c r="J57" s="134">
        <v>0.47</v>
      </c>
      <c r="K57" s="134">
        <v>33.64</v>
      </c>
      <c r="L57" s="134">
        <v>29.3</v>
      </c>
      <c r="M57" s="134">
        <v>42.27</v>
      </c>
      <c r="N57" s="134">
        <v>521.4</v>
      </c>
      <c r="O57" s="134">
        <v>0</v>
      </c>
      <c r="P57" s="134">
        <v>0.82</v>
      </c>
      <c r="Q57" s="134">
        <v>4.3899999999999997</v>
      </c>
    </row>
    <row r="58" spans="1:17" customFormat="1">
      <c r="A58" s="112" t="s">
        <v>2304</v>
      </c>
      <c r="B58" s="134">
        <v>5.71</v>
      </c>
      <c r="C58" s="134">
        <v>30.71</v>
      </c>
      <c r="D58" s="134">
        <v>21.97</v>
      </c>
      <c r="E58" s="134">
        <v>8.4</v>
      </c>
      <c r="F58" s="134">
        <v>5.59</v>
      </c>
      <c r="G58" s="134">
        <v>93.2</v>
      </c>
      <c r="H58" s="134">
        <v>37.58</v>
      </c>
      <c r="I58" s="134">
        <v>7.31</v>
      </c>
      <c r="J58" s="134">
        <v>0.15</v>
      </c>
      <c r="K58" s="134">
        <v>193.45</v>
      </c>
      <c r="L58" s="134">
        <v>29.63</v>
      </c>
      <c r="M58" s="134">
        <v>41.61</v>
      </c>
      <c r="N58" s="134">
        <v>527.79999999999995</v>
      </c>
      <c r="O58" s="134">
        <v>0</v>
      </c>
      <c r="P58" s="134">
        <v>0.8</v>
      </c>
      <c r="Q58" s="134">
        <v>4.3099999999999996</v>
      </c>
    </row>
    <row r="59" spans="1:17" customFormat="1">
      <c r="A59" s="112" t="s">
        <v>2305</v>
      </c>
      <c r="B59" s="134">
        <v>4.97</v>
      </c>
      <c r="C59" s="134">
        <v>29.82</v>
      </c>
      <c r="D59" s="134">
        <v>20.91</v>
      </c>
      <c r="E59" s="134">
        <v>8.16</v>
      </c>
      <c r="F59" s="134">
        <v>5.52</v>
      </c>
      <c r="G59" s="134">
        <v>92.16</v>
      </c>
      <c r="H59" s="134">
        <v>37.58</v>
      </c>
      <c r="I59" s="134">
        <v>7.01</v>
      </c>
      <c r="J59" s="134">
        <v>0.25</v>
      </c>
      <c r="K59" s="134">
        <v>27.13</v>
      </c>
      <c r="L59" s="134">
        <v>29.76</v>
      </c>
      <c r="M59" s="134">
        <v>42.42</v>
      </c>
      <c r="N59" s="134">
        <v>479.8</v>
      </c>
      <c r="O59" s="134">
        <v>0</v>
      </c>
      <c r="P59" s="134">
        <v>0.77</v>
      </c>
      <c r="Q59" s="134">
        <v>4.29</v>
      </c>
    </row>
    <row r="60" spans="1:17" customFormat="1">
      <c r="A60" s="112" t="s">
        <v>2306</v>
      </c>
      <c r="B60" s="134">
        <v>4.34</v>
      </c>
      <c r="C60" s="134">
        <v>29.17</v>
      </c>
      <c r="D60" s="134">
        <v>20.07</v>
      </c>
      <c r="E60" s="134">
        <v>7.91</v>
      </c>
      <c r="F60" s="134">
        <v>6.06</v>
      </c>
      <c r="G60" s="134">
        <v>92.16</v>
      </c>
      <c r="H60" s="134">
        <v>37.58</v>
      </c>
      <c r="I60" s="134">
        <v>6.78</v>
      </c>
      <c r="J60" s="134">
        <v>0.34</v>
      </c>
      <c r="K60" s="134">
        <v>114.34</v>
      </c>
      <c r="L60" s="134">
        <v>30.36</v>
      </c>
      <c r="M60" s="134">
        <v>39.89</v>
      </c>
      <c r="N60" s="134">
        <v>443.9</v>
      </c>
      <c r="O60" s="134">
        <v>0</v>
      </c>
      <c r="P60" s="134">
        <v>0.75</v>
      </c>
      <c r="Q60" s="134">
        <v>4.2699999999999996</v>
      </c>
    </row>
    <row r="61" spans="1:17" customFormat="1">
      <c r="A61" s="112" t="s">
        <v>2307</v>
      </c>
      <c r="B61" s="134">
        <v>4.05</v>
      </c>
      <c r="C61" s="134">
        <v>28.02</v>
      </c>
      <c r="D61" s="134">
        <v>19.239999999999998</v>
      </c>
      <c r="E61" s="134">
        <v>8.56</v>
      </c>
      <c r="F61" s="134">
        <v>6.17</v>
      </c>
      <c r="G61" s="134">
        <v>92.16</v>
      </c>
      <c r="H61" s="134">
        <v>37.58</v>
      </c>
      <c r="I61" s="134">
        <v>6.5</v>
      </c>
      <c r="J61" s="134">
        <v>0.25</v>
      </c>
      <c r="K61" s="134">
        <v>18.04</v>
      </c>
      <c r="L61" s="134">
        <v>30.01</v>
      </c>
      <c r="M61" s="134">
        <v>40.72</v>
      </c>
      <c r="N61" s="134">
        <v>455.8</v>
      </c>
      <c r="O61" s="134">
        <v>0</v>
      </c>
      <c r="P61" s="134">
        <v>0.73</v>
      </c>
      <c r="Q61" s="134">
        <v>4.24</v>
      </c>
    </row>
    <row r="62" spans="1:17" customFormat="1">
      <c r="A62" s="112" t="s">
        <v>2308</v>
      </c>
      <c r="B62" s="134">
        <v>4.04</v>
      </c>
      <c r="C62" s="134">
        <v>27.57</v>
      </c>
      <c r="D62" s="134">
        <v>18.989999999999998</v>
      </c>
      <c r="E62" s="134">
        <v>8.0399999999999991</v>
      </c>
      <c r="F62" s="134">
        <v>6.15</v>
      </c>
      <c r="G62" s="134">
        <v>82.88</v>
      </c>
      <c r="H62" s="134">
        <v>33.75</v>
      </c>
      <c r="I62" s="134">
        <v>6.26</v>
      </c>
      <c r="J62" s="134">
        <v>0.15</v>
      </c>
      <c r="K62" s="134">
        <v>330.4</v>
      </c>
      <c r="L62" s="134">
        <v>29.92</v>
      </c>
      <c r="M62" s="134">
        <v>41.51</v>
      </c>
      <c r="N62" s="134">
        <v>421.4</v>
      </c>
      <c r="O62" s="134">
        <v>0</v>
      </c>
      <c r="P62" s="134">
        <v>0.73</v>
      </c>
      <c r="Q62" s="134">
        <v>4.2300000000000004</v>
      </c>
    </row>
    <row r="63" spans="1:17" customFormat="1">
      <c r="A63" s="112" t="s">
        <v>2309</v>
      </c>
      <c r="B63" s="134">
        <v>4.08</v>
      </c>
      <c r="C63" s="134">
        <v>27.11</v>
      </c>
      <c r="D63" s="134">
        <v>18.79</v>
      </c>
      <c r="E63" s="134">
        <v>8.61</v>
      </c>
      <c r="F63" s="134">
        <v>5.95</v>
      </c>
      <c r="G63" s="134">
        <v>81.03</v>
      </c>
      <c r="H63" s="134">
        <v>33.75</v>
      </c>
      <c r="I63" s="134">
        <v>6.03</v>
      </c>
      <c r="J63" s="134">
        <v>0.41</v>
      </c>
      <c r="K63" s="134">
        <v>27.78</v>
      </c>
      <c r="L63" s="134">
        <v>29.83</v>
      </c>
      <c r="M63" s="134">
        <v>42.17</v>
      </c>
      <c r="N63" s="134">
        <v>373.4</v>
      </c>
      <c r="O63" s="134">
        <v>0</v>
      </c>
      <c r="P63" s="134">
        <v>0.71</v>
      </c>
      <c r="Q63" s="134">
        <v>4.21</v>
      </c>
    </row>
    <row r="64" spans="1:17" customFormat="1">
      <c r="A64" s="112" t="s">
        <v>2310</v>
      </c>
      <c r="B64" s="134">
        <v>4.26</v>
      </c>
      <c r="C64" s="134">
        <v>26.99</v>
      </c>
      <c r="D64" s="134">
        <v>18.86</v>
      </c>
      <c r="E64" s="134">
        <v>8.57</v>
      </c>
      <c r="F64" s="134">
        <v>5.79</v>
      </c>
      <c r="G64" s="134">
        <v>81.03</v>
      </c>
      <c r="H64" s="134">
        <v>33.75</v>
      </c>
      <c r="I64" s="134">
        <v>5.84</v>
      </c>
      <c r="J64" s="134">
        <v>0.24</v>
      </c>
      <c r="K64" s="134">
        <v>158.41999999999999</v>
      </c>
      <c r="L64" s="134">
        <v>29.9</v>
      </c>
      <c r="M64" s="134">
        <v>41.21</v>
      </c>
      <c r="N64" s="134">
        <v>263.3</v>
      </c>
      <c r="O64" s="134">
        <v>0</v>
      </c>
      <c r="P64" s="134">
        <v>0.71</v>
      </c>
      <c r="Q64" s="134">
        <v>4.21</v>
      </c>
    </row>
    <row r="65" spans="1:17" customFormat="1">
      <c r="A65" s="112" t="s">
        <v>2311</v>
      </c>
      <c r="B65" s="134">
        <v>4.1900000000000004</v>
      </c>
      <c r="C65" s="134">
        <v>27.16</v>
      </c>
      <c r="D65" s="134">
        <v>18.899999999999999</v>
      </c>
      <c r="E65" s="134">
        <v>8.8000000000000007</v>
      </c>
      <c r="F65" s="134">
        <v>5.57</v>
      </c>
      <c r="G65" s="134">
        <v>81.03</v>
      </c>
      <c r="H65" s="134">
        <v>33.75</v>
      </c>
      <c r="I65" s="134">
        <v>5.71</v>
      </c>
      <c r="J65" s="134">
        <v>0.14000000000000001</v>
      </c>
      <c r="K65" s="134">
        <v>148.72999999999999</v>
      </c>
      <c r="L65" s="134">
        <v>29.69</v>
      </c>
      <c r="M65" s="134">
        <v>42.29</v>
      </c>
      <c r="N65" s="134">
        <v>146.80000000000001</v>
      </c>
      <c r="O65" s="134">
        <v>0</v>
      </c>
      <c r="P65" s="134">
        <v>0.67</v>
      </c>
      <c r="Q65" s="134">
        <v>4.22</v>
      </c>
    </row>
    <row r="66" spans="1:17" customFormat="1">
      <c r="A66" s="112" t="s">
        <v>2312</v>
      </c>
      <c r="B66" s="134">
        <v>4.37</v>
      </c>
      <c r="C66" s="134">
        <v>26.72</v>
      </c>
      <c r="D66" s="134">
        <v>18.809999999999999</v>
      </c>
      <c r="E66" s="134">
        <v>8.59</v>
      </c>
      <c r="F66" s="134">
        <v>5.49</v>
      </c>
      <c r="G66" s="134">
        <v>77.86</v>
      </c>
      <c r="H66" s="134">
        <v>29.48</v>
      </c>
      <c r="I66" s="134">
        <v>5.58</v>
      </c>
      <c r="J66" s="134">
        <v>0.44</v>
      </c>
      <c r="K66" s="134">
        <v>57.76</v>
      </c>
      <c r="L66" s="134">
        <v>29.42</v>
      </c>
      <c r="M66" s="134">
        <v>42.47</v>
      </c>
      <c r="N66" s="134">
        <v>133</v>
      </c>
      <c r="O66" s="134">
        <v>0</v>
      </c>
      <c r="P66" s="134">
        <v>0.69</v>
      </c>
      <c r="Q66" s="134">
        <v>4.2300000000000004</v>
      </c>
    </row>
    <row r="67" spans="1:17" customFormat="1">
      <c r="A67" s="112" t="s">
        <v>2313</v>
      </c>
      <c r="B67" s="134">
        <v>4.41</v>
      </c>
      <c r="C67" s="134">
        <v>26.69</v>
      </c>
      <c r="D67" s="134">
        <v>18.829999999999998</v>
      </c>
      <c r="E67" s="134">
        <v>8.9600000000000009</v>
      </c>
      <c r="F67" s="134">
        <v>5.75</v>
      </c>
      <c r="G67" s="134">
        <v>77.22</v>
      </c>
      <c r="H67" s="134">
        <v>29.48</v>
      </c>
      <c r="I67" s="134">
        <v>5.42</v>
      </c>
      <c r="J67" s="134">
        <v>0.1</v>
      </c>
      <c r="K67" s="134">
        <v>40.159999999999997</v>
      </c>
      <c r="L67" s="134">
        <v>29.26</v>
      </c>
      <c r="M67" s="134">
        <v>42.61</v>
      </c>
      <c r="N67" s="134">
        <v>109.7</v>
      </c>
      <c r="O67" s="134">
        <v>0</v>
      </c>
      <c r="P67" s="134">
        <v>0.69</v>
      </c>
      <c r="Q67" s="134">
        <v>4.21</v>
      </c>
    </row>
    <row r="68" spans="1:17" customFormat="1">
      <c r="A68" s="112" t="s">
        <v>2314</v>
      </c>
      <c r="B68" s="134">
        <v>4.41</v>
      </c>
      <c r="C68" s="134">
        <v>26.85</v>
      </c>
      <c r="D68" s="134">
        <v>18.91</v>
      </c>
      <c r="E68" s="134">
        <v>8.5299999999999994</v>
      </c>
      <c r="F68" s="134">
        <v>5.86</v>
      </c>
      <c r="G68" s="134">
        <v>77.22</v>
      </c>
      <c r="H68" s="134">
        <v>29.48</v>
      </c>
      <c r="I68" s="134">
        <v>5.37</v>
      </c>
      <c r="J68" s="134">
        <v>0.32</v>
      </c>
      <c r="K68" s="134">
        <v>33.74</v>
      </c>
      <c r="L68" s="134">
        <v>29.06</v>
      </c>
      <c r="M68" s="134">
        <v>43.03</v>
      </c>
      <c r="N68" s="134">
        <v>94.7</v>
      </c>
      <c r="O68" s="134">
        <v>0</v>
      </c>
      <c r="P68" s="134">
        <v>0.69</v>
      </c>
      <c r="Q68" s="134">
        <v>4.2300000000000004</v>
      </c>
    </row>
    <row r="69" spans="1:17" customFormat="1">
      <c r="A69" s="112" t="s">
        <v>2315</v>
      </c>
      <c r="B69" s="134">
        <v>4.47</v>
      </c>
      <c r="C69" s="134">
        <v>27.15</v>
      </c>
      <c r="D69" s="134">
        <v>19.12</v>
      </c>
      <c r="E69" s="134">
        <v>8.44</v>
      </c>
      <c r="F69" s="134">
        <v>5.49</v>
      </c>
      <c r="G69" s="134">
        <v>77.22</v>
      </c>
      <c r="H69" s="134">
        <v>29.48</v>
      </c>
      <c r="I69" s="134">
        <v>5.25</v>
      </c>
      <c r="J69" s="134">
        <v>0.34</v>
      </c>
      <c r="K69" s="134">
        <v>286.49</v>
      </c>
      <c r="L69" s="134">
        <v>28.69</v>
      </c>
      <c r="M69" s="134">
        <v>43.8</v>
      </c>
      <c r="N69" s="134">
        <v>77.5</v>
      </c>
      <c r="O69" s="134">
        <v>0</v>
      </c>
      <c r="P69" s="134">
        <v>0.69</v>
      </c>
      <c r="Q69" s="134">
        <v>4.2300000000000004</v>
      </c>
    </row>
    <row r="70" spans="1:17" customFormat="1">
      <c r="A70" s="112" t="s">
        <v>2316</v>
      </c>
      <c r="B70" s="134">
        <v>4.54</v>
      </c>
      <c r="C70" s="134">
        <v>26.8</v>
      </c>
      <c r="D70" s="134">
        <v>18.989999999999998</v>
      </c>
      <c r="E70" s="134">
        <v>8.33</v>
      </c>
      <c r="F70" s="134">
        <v>5.35</v>
      </c>
      <c r="G70" s="134">
        <v>74.180000000000007</v>
      </c>
      <c r="H70" s="134">
        <v>33.479999999999997</v>
      </c>
      <c r="I70" s="134">
        <v>5.14</v>
      </c>
      <c r="J70" s="134">
        <v>0.05</v>
      </c>
      <c r="K70" s="134">
        <v>281.74</v>
      </c>
      <c r="L70" s="134">
        <v>28.64</v>
      </c>
      <c r="M70" s="134">
        <v>46.22</v>
      </c>
      <c r="N70" s="134">
        <v>63.1</v>
      </c>
      <c r="O70" s="134">
        <v>0</v>
      </c>
      <c r="P70" s="134">
        <v>0.69</v>
      </c>
      <c r="Q70" s="134">
        <v>4.1900000000000004</v>
      </c>
    </row>
    <row r="71" spans="1:17" customFormat="1">
      <c r="A71" s="112" t="s">
        <v>2317</v>
      </c>
      <c r="B71" s="134">
        <v>4.58</v>
      </c>
      <c r="C71" s="134">
        <v>26.52</v>
      </c>
      <c r="D71" s="134">
        <v>18.88</v>
      </c>
      <c r="E71" s="134">
        <v>8.5</v>
      </c>
      <c r="F71" s="134">
        <v>5.35</v>
      </c>
      <c r="G71" s="134">
        <v>73.569999999999993</v>
      </c>
      <c r="H71" s="134">
        <v>33.479999999999997</v>
      </c>
      <c r="I71" s="134">
        <v>5.03</v>
      </c>
      <c r="J71" s="134">
        <v>0.24</v>
      </c>
      <c r="K71" s="134">
        <v>299.13</v>
      </c>
      <c r="L71" s="134">
        <v>28.39</v>
      </c>
      <c r="M71" s="134">
        <v>45.02</v>
      </c>
      <c r="N71" s="134">
        <v>61.8</v>
      </c>
      <c r="O71" s="134">
        <v>0</v>
      </c>
      <c r="P71" s="134">
        <v>0.68</v>
      </c>
      <c r="Q71" s="134">
        <v>4.21</v>
      </c>
    </row>
    <row r="72" spans="1:17" customFormat="1">
      <c r="A72" s="112" t="s">
        <v>2318</v>
      </c>
      <c r="B72" s="134">
        <v>4.58</v>
      </c>
      <c r="C72" s="134">
        <v>26.62</v>
      </c>
      <c r="D72" s="134">
        <v>18.93</v>
      </c>
      <c r="E72" s="134">
        <v>8.4499999999999993</v>
      </c>
      <c r="F72" s="134">
        <v>5.32</v>
      </c>
      <c r="G72" s="134">
        <v>73.569999999999993</v>
      </c>
      <c r="H72" s="134">
        <v>33.479999999999997</v>
      </c>
      <c r="I72" s="134">
        <v>4.97</v>
      </c>
      <c r="J72" s="134">
        <v>0.11</v>
      </c>
      <c r="K72" s="134">
        <v>4.5199999999999996</v>
      </c>
      <c r="L72" s="134">
        <v>28.4</v>
      </c>
      <c r="M72" s="134">
        <v>44.47</v>
      </c>
      <c r="N72" s="134">
        <v>50.9</v>
      </c>
      <c r="O72" s="134">
        <v>0</v>
      </c>
      <c r="P72" s="134">
        <v>0.68</v>
      </c>
      <c r="Q72" s="134">
        <v>4.21</v>
      </c>
    </row>
    <row r="73" spans="1:17" customFormat="1">
      <c r="A73" s="112" t="s">
        <v>2319</v>
      </c>
      <c r="B73" s="134">
        <v>4.63</v>
      </c>
      <c r="C73" s="134">
        <v>26.68</v>
      </c>
      <c r="D73" s="134">
        <v>19</v>
      </c>
      <c r="E73" s="134">
        <v>8.48</v>
      </c>
      <c r="F73" s="134">
        <v>5.36</v>
      </c>
      <c r="G73" s="134">
        <v>73.569999999999993</v>
      </c>
      <c r="H73" s="134">
        <v>33.479999999999997</v>
      </c>
      <c r="I73" s="134">
        <v>4.91</v>
      </c>
      <c r="J73" s="134">
        <v>0.19</v>
      </c>
      <c r="K73" s="134">
        <v>16.2</v>
      </c>
      <c r="L73" s="134">
        <v>28.24</v>
      </c>
      <c r="M73" s="134">
        <v>45.51</v>
      </c>
      <c r="N73" s="134">
        <v>30.6</v>
      </c>
      <c r="O73" s="134">
        <v>0</v>
      </c>
      <c r="P73" s="134">
        <v>0.67</v>
      </c>
      <c r="Q73" s="134">
        <v>4.2</v>
      </c>
    </row>
    <row r="74" spans="1:17" customFormat="1">
      <c r="A74" s="112" t="s">
        <v>2320</v>
      </c>
      <c r="B74" s="134">
        <v>4.7300000000000004</v>
      </c>
      <c r="C74" s="134">
        <v>27.24</v>
      </c>
      <c r="D74" s="134">
        <v>19.38</v>
      </c>
      <c r="E74" s="134">
        <v>8.23</v>
      </c>
      <c r="F74" s="134">
        <v>4.87</v>
      </c>
      <c r="G74" s="134">
        <v>75.56</v>
      </c>
      <c r="H74" s="134">
        <v>34.07</v>
      </c>
      <c r="I74" s="134">
        <v>4.87</v>
      </c>
      <c r="J74" s="134">
        <v>0.25</v>
      </c>
      <c r="K74" s="134">
        <v>36.25</v>
      </c>
      <c r="L74" s="134">
        <v>27.77</v>
      </c>
      <c r="M74" s="134">
        <v>47.39</v>
      </c>
      <c r="N74" s="134">
        <v>21.2</v>
      </c>
      <c r="O74" s="134">
        <v>0</v>
      </c>
      <c r="P74" s="134">
        <v>0.68</v>
      </c>
      <c r="Q74" s="134">
        <v>4.21</v>
      </c>
    </row>
    <row r="75" spans="1:17" customFormat="1">
      <c r="A75" s="112" t="s">
        <v>2321</v>
      </c>
      <c r="B75" s="134">
        <v>5.0199999999999996</v>
      </c>
      <c r="C75" s="134">
        <v>28.23</v>
      </c>
      <c r="D75" s="134">
        <v>20.13</v>
      </c>
      <c r="E75" s="134">
        <v>8.25</v>
      </c>
      <c r="F75" s="134">
        <v>4.29</v>
      </c>
      <c r="G75" s="134">
        <v>75.95</v>
      </c>
      <c r="H75" s="134">
        <v>34.07</v>
      </c>
      <c r="I75" s="134">
        <v>4.8600000000000003</v>
      </c>
      <c r="J75" s="134">
        <v>0.17</v>
      </c>
      <c r="K75" s="134">
        <v>30.15</v>
      </c>
      <c r="L75" s="134">
        <v>27.45</v>
      </c>
      <c r="M75" s="134">
        <v>49.06</v>
      </c>
      <c r="N75" s="134">
        <v>9.6999999999999993</v>
      </c>
      <c r="O75" s="134">
        <v>0</v>
      </c>
      <c r="P75" s="134">
        <v>0.69</v>
      </c>
      <c r="Q75" s="134">
        <v>4.24</v>
      </c>
    </row>
    <row r="76" spans="1:17" customFormat="1">
      <c r="A76" s="112" t="s">
        <v>2322</v>
      </c>
      <c r="B76" s="134">
        <v>5.47</v>
      </c>
      <c r="C76" s="134">
        <v>28.25</v>
      </c>
      <c r="D76" s="134">
        <v>20.5</v>
      </c>
      <c r="E76" s="134">
        <v>7.32</v>
      </c>
      <c r="F76" s="134">
        <v>3.54</v>
      </c>
      <c r="G76" s="134">
        <v>75.95</v>
      </c>
      <c r="H76" s="134">
        <v>34.07</v>
      </c>
      <c r="I76" s="134">
        <v>4.87</v>
      </c>
      <c r="J76" s="134">
        <v>0.22</v>
      </c>
      <c r="K76" s="134">
        <v>59.33</v>
      </c>
      <c r="L76" s="134">
        <v>27.09</v>
      </c>
      <c r="M76" s="134">
        <v>49.82</v>
      </c>
      <c r="N76" s="134">
        <v>1.6</v>
      </c>
      <c r="O76" s="134">
        <v>0</v>
      </c>
      <c r="P76" s="134">
        <v>0.71</v>
      </c>
      <c r="Q76" s="134">
        <v>4.26</v>
      </c>
    </row>
    <row r="77" spans="1:17" customFormat="1">
      <c r="A77" s="112" t="s">
        <v>2323</v>
      </c>
      <c r="B77" s="134">
        <v>5.98</v>
      </c>
      <c r="C77" s="134">
        <v>26.48</v>
      </c>
      <c r="D77" s="134">
        <v>19.98</v>
      </c>
      <c r="E77" s="134">
        <v>6.38</v>
      </c>
      <c r="F77" s="134">
        <v>3.33</v>
      </c>
      <c r="G77" s="134">
        <v>75.95</v>
      </c>
      <c r="H77" s="134">
        <v>34.07</v>
      </c>
      <c r="I77" s="134">
        <v>4.91</v>
      </c>
      <c r="J77" s="134">
        <v>0.13</v>
      </c>
      <c r="K77" s="134">
        <v>60.51</v>
      </c>
      <c r="L77" s="134">
        <v>26.62</v>
      </c>
      <c r="M77" s="134">
        <v>52.8</v>
      </c>
      <c r="N77" s="134">
        <v>0</v>
      </c>
      <c r="O77" s="134">
        <v>0</v>
      </c>
      <c r="P77" s="134">
        <v>0.71</v>
      </c>
      <c r="Q77" s="134">
        <v>4.25</v>
      </c>
    </row>
    <row r="78" spans="1:17" customFormat="1">
      <c r="A78" s="112" t="s">
        <v>2324</v>
      </c>
      <c r="B78" s="134">
        <v>6.37</v>
      </c>
      <c r="C78" s="134">
        <v>25.39</v>
      </c>
      <c r="D78" s="134">
        <v>19.73</v>
      </c>
      <c r="E78" s="134">
        <v>6.15</v>
      </c>
      <c r="F78" s="134">
        <v>3.07</v>
      </c>
      <c r="G78" s="134">
        <v>88.45</v>
      </c>
      <c r="H78" s="134">
        <v>36.159999999999997</v>
      </c>
      <c r="I78" s="134">
        <v>4.97</v>
      </c>
      <c r="J78" s="134">
        <v>0.23</v>
      </c>
      <c r="K78" s="134">
        <v>62.27</v>
      </c>
      <c r="L78" s="134">
        <v>26.02</v>
      </c>
      <c r="M78" s="134">
        <v>53.85</v>
      </c>
      <c r="N78" s="134">
        <v>0</v>
      </c>
      <c r="O78" s="134">
        <v>0</v>
      </c>
      <c r="P78" s="134">
        <v>0.71</v>
      </c>
      <c r="Q78" s="134">
        <v>4.2699999999999996</v>
      </c>
    </row>
    <row r="79" spans="1:17" customFormat="1">
      <c r="A79" s="112" t="s">
        <v>2325</v>
      </c>
      <c r="B79" s="134">
        <v>6.71</v>
      </c>
      <c r="C79" s="134">
        <v>24.41</v>
      </c>
      <c r="D79" s="134">
        <v>19.489999999999998</v>
      </c>
      <c r="E79" s="134">
        <v>5.94</v>
      </c>
      <c r="F79" s="134">
        <v>3.07</v>
      </c>
      <c r="G79" s="134">
        <v>90.95</v>
      </c>
      <c r="H79" s="134">
        <v>36.159999999999997</v>
      </c>
      <c r="I79" s="134">
        <v>5.1100000000000003</v>
      </c>
      <c r="J79" s="134">
        <v>0.09</v>
      </c>
      <c r="K79" s="134">
        <v>98.83</v>
      </c>
      <c r="L79" s="134">
        <v>25.32</v>
      </c>
      <c r="M79" s="134">
        <v>59.44</v>
      </c>
      <c r="N79" s="134">
        <v>0</v>
      </c>
      <c r="O79" s="134">
        <v>0</v>
      </c>
      <c r="P79" s="134">
        <v>0.72</v>
      </c>
      <c r="Q79" s="134">
        <v>4.2699999999999996</v>
      </c>
    </row>
    <row r="80" spans="1:17" customFormat="1">
      <c r="A80" s="112" t="s">
        <v>2326</v>
      </c>
      <c r="B80" s="134">
        <v>7.23</v>
      </c>
      <c r="C80" s="134">
        <v>24.91</v>
      </c>
      <c r="D80" s="134">
        <v>20.16</v>
      </c>
      <c r="E80" s="134">
        <v>6.09</v>
      </c>
      <c r="F80" s="134">
        <v>2.94</v>
      </c>
      <c r="G80" s="134">
        <v>90.95</v>
      </c>
      <c r="H80" s="134">
        <v>36.159999999999997</v>
      </c>
      <c r="I80" s="134">
        <v>5.23</v>
      </c>
      <c r="J80" s="134">
        <v>0.31</v>
      </c>
      <c r="K80" s="134">
        <v>55.76</v>
      </c>
      <c r="L80" s="134">
        <v>25.22</v>
      </c>
      <c r="M80" s="134">
        <v>55.97</v>
      </c>
      <c r="N80" s="134">
        <v>0</v>
      </c>
      <c r="O80" s="134">
        <v>0</v>
      </c>
      <c r="P80" s="134">
        <v>0.74</v>
      </c>
      <c r="Q80" s="134">
        <v>4.29</v>
      </c>
    </row>
    <row r="81" spans="1:17" customFormat="1">
      <c r="A81" s="112" t="s">
        <v>2327</v>
      </c>
      <c r="B81" s="134">
        <v>7.99</v>
      </c>
      <c r="C81" s="134">
        <v>25.69</v>
      </c>
      <c r="D81" s="134">
        <v>21.17</v>
      </c>
      <c r="E81" s="134">
        <v>6.12</v>
      </c>
      <c r="F81" s="134">
        <v>2.79</v>
      </c>
      <c r="G81" s="134">
        <v>90.95</v>
      </c>
      <c r="H81" s="134">
        <v>36.159999999999997</v>
      </c>
      <c r="I81" s="134">
        <v>5.35</v>
      </c>
      <c r="J81" s="134">
        <v>0.2</v>
      </c>
      <c r="K81" s="134">
        <v>60.63</v>
      </c>
      <c r="L81" s="134">
        <v>25.45</v>
      </c>
      <c r="M81" s="134">
        <v>55.17</v>
      </c>
      <c r="N81" s="134">
        <v>0</v>
      </c>
      <c r="O81" s="134">
        <v>0</v>
      </c>
      <c r="P81" s="134">
        <v>0.75</v>
      </c>
      <c r="Q81" s="134">
        <v>4.29</v>
      </c>
    </row>
    <row r="82" spans="1:17" customFormat="1">
      <c r="A82" s="112" t="s">
        <v>2328</v>
      </c>
      <c r="B82" s="134">
        <v>8.56</v>
      </c>
      <c r="C82" s="134">
        <v>24.9</v>
      </c>
      <c r="D82" s="134">
        <v>21.23</v>
      </c>
      <c r="E82" s="134">
        <v>7.22</v>
      </c>
      <c r="F82" s="134">
        <v>2.78</v>
      </c>
      <c r="G82" s="134">
        <v>107.86</v>
      </c>
      <c r="H82" s="134">
        <v>37.299999999999997</v>
      </c>
      <c r="I82" s="134">
        <v>5.47</v>
      </c>
      <c r="J82" s="134">
        <v>0.13</v>
      </c>
      <c r="K82" s="134">
        <v>54.91</v>
      </c>
      <c r="L82" s="134">
        <v>25.13</v>
      </c>
      <c r="M82" s="134">
        <v>57.98</v>
      </c>
      <c r="N82" s="134">
        <v>0</v>
      </c>
      <c r="O82" s="134">
        <v>0</v>
      </c>
      <c r="P82" s="134">
        <v>0.77</v>
      </c>
      <c r="Q82" s="134">
        <v>4.34</v>
      </c>
    </row>
    <row r="83" spans="1:17" customFormat="1">
      <c r="A83" s="112" t="s">
        <v>2329</v>
      </c>
      <c r="B83" s="134">
        <v>9.15</v>
      </c>
      <c r="C83" s="134">
        <v>26.5</v>
      </c>
      <c r="D83" s="134">
        <v>22.54</v>
      </c>
      <c r="E83" s="134">
        <v>7.28</v>
      </c>
      <c r="F83" s="134">
        <v>2.62</v>
      </c>
      <c r="G83" s="134">
        <v>111.24</v>
      </c>
      <c r="H83" s="134">
        <v>37.299999999999997</v>
      </c>
      <c r="I83" s="134">
        <v>5.61</v>
      </c>
      <c r="J83" s="134">
        <v>0.1</v>
      </c>
      <c r="K83" s="134">
        <v>128.19</v>
      </c>
      <c r="L83" s="134">
        <v>24.4</v>
      </c>
      <c r="M83" s="134">
        <v>62.58</v>
      </c>
      <c r="N83" s="134">
        <v>0</v>
      </c>
      <c r="O83" s="134">
        <v>0</v>
      </c>
      <c r="P83" s="134">
        <v>0.79</v>
      </c>
      <c r="Q83" s="134">
        <v>4.34</v>
      </c>
    </row>
    <row r="84" spans="1:17" customFormat="1">
      <c r="A84" s="112" t="s">
        <v>2330</v>
      </c>
      <c r="B84" s="134">
        <v>9.68</v>
      </c>
      <c r="C84" s="134">
        <v>26.32</v>
      </c>
      <c r="D84" s="134">
        <v>22.87</v>
      </c>
      <c r="E84" s="134">
        <v>7.31</v>
      </c>
      <c r="F84" s="134">
        <v>2.7</v>
      </c>
      <c r="G84" s="134">
        <v>111.24</v>
      </c>
      <c r="H84" s="134">
        <v>37.299999999999997</v>
      </c>
      <c r="I84" s="134">
        <v>5.74</v>
      </c>
      <c r="J84" s="134">
        <v>0.19</v>
      </c>
      <c r="K84" s="134">
        <v>139.66</v>
      </c>
      <c r="L84" s="134">
        <v>23.95</v>
      </c>
      <c r="M84" s="134">
        <v>64.22</v>
      </c>
      <c r="N84" s="134">
        <v>0</v>
      </c>
      <c r="O84" s="134">
        <v>0</v>
      </c>
      <c r="P84" s="134">
        <v>0.81</v>
      </c>
      <c r="Q84" s="134">
        <v>4.37</v>
      </c>
    </row>
    <row r="85" spans="1:17" customFormat="1">
      <c r="A85" s="112" t="s">
        <v>2331</v>
      </c>
      <c r="B85" s="134">
        <v>9.9</v>
      </c>
      <c r="C85" s="134">
        <v>26.02</v>
      </c>
      <c r="D85" s="134">
        <v>22.88</v>
      </c>
      <c r="E85" s="134">
        <v>7.04</v>
      </c>
      <c r="F85" s="134">
        <v>2.74</v>
      </c>
      <c r="G85" s="134">
        <v>111.24</v>
      </c>
      <c r="H85" s="134">
        <v>37.299999999999997</v>
      </c>
      <c r="I85" s="134">
        <v>5.9</v>
      </c>
      <c r="J85" s="134">
        <v>0.13</v>
      </c>
      <c r="K85" s="134">
        <v>130.54</v>
      </c>
      <c r="L85" s="134">
        <v>23.78</v>
      </c>
      <c r="M85" s="134">
        <v>63.59</v>
      </c>
      <c r="N85" s="134">
        <v>0</v>
      </c>
      <c r="O85" s="134">
        <v>0</v>
      </c>
      <c r="P85" s="134">
        <v>0.81</v>
      </c>
      <c r="Q85" s="134">
        <v>4.3899999999999997</v>
      </c>
    </row>
    <row r="86" spans="1:17" customFormat="1">
      <c r="A86" s="112" t="s">
        <v>2332</v>
      </c>
      <c r="B86" s="134">
        <v>10.119999999999999</v>
      </c>
      <c r="C86" s="134">
        <v>26.98</v>
      </c>
      <c r="D86" s="134">
        <v>23.56</v>
      </c>
      <c r="E86" s="134">
        <v>7.21</v>
      </c>
      <c r="F86" s="134">
        <v>2.56</v>
      </c>
      <c r="G86" s="134">
        <v>115.29</v>
      </c>
      <c r="H86" s="134">
        <v>40.33</v>
      </c>
      <c r="I86" s="134">
        <v>6.08</v>
      </c>
      <c r="J86" s="134">
        <v>0.15</v>
      </c>
      <c r="K86" s="134">
        <v>147.62</v>
      </c>
      <c r="L86" s="134">
        <v>23.49</v>
      </c>
      <c r="M86" s="134">
        <v>65.34</v>
      </c>
      <c r="N86" s="134">
        <v>0</v>
      </c>
      <c r="O86" s="134">
        <v>0</v>
      </c>
      <c r="P86" s="134">
        <v>0.84</v>
      </c>
      <c r="Q86" s="134">
        <v>4.4000000000000004</v>
      </c>
    </row>
    <row r="87" spans="1:17" customFormat="1">
      <c r="A87" s="112" t="s">
        <v>2333</v>
      </c>
      <c r="B87" s="134">
        <v>10.28</v>
      </c>
      <c r="C87" s="134">
        <v>27.25</v>
      </c>
      <c r="D87" s="134">
        <v>23.83</v>
      </c>
      <c r="E87" s="134">
        <v>6.83</v>
      </c>
      <c r="F87" s="134">
        <v>2.6</v>
      </c>
      <c r="G87" s="134">
        <v>116.1</v>
      </c>
      <c r="H87" s="134">
        <v>40.33</v>
      </c>
      <c r="I87" s="134">
        <v>6.2</v>
      </c>
      <c r="J87" s="134">
        <v>0.14000000000000001</v>
      </c>
      <c r="K87" s="134">
        <v>208.81</v>
      </c>
      <c r="L87" s="134">
        <v>22.85</v>
      </c>
      <c r="M87" s="134">
        <v>72.47</v>
      </c>
      <c r="N87" s="134">
        <v>0</v>
      </c>
      <c r="O87" s="134">
        <v>0</v>
      </c>
      <c r="P87" s="134">
        <v>0.85</v>
      </c>
      <c r="Q87" s="134">
        <v>4.4000000000000004</v>
      </c>
    </row>
    <row r="88" spans="1:17" customFormat="1">
      <c r="A88" s="112" t="s">
        <v>2334</v>
      </c>
      <c r="B88" s="134">
        <v>10.35</v>
      </c>
      <c r="C88" s="134">
        <v>26.74</v>
      </c>
      <c r="D88" s="134">
        <v>23.63</v>
      </c>
      <c r="E88" s="134">
        <v>7.27</v>
      </c>
      <c r="F88" s="134">
        <v>2.63</v>
      </c>
      <c r="G88" s="134">
        <v>116.1</v>
      </c>
      <c r="H88" s="134">
        <v>40.33</v>
      </c>
      <c r="I88" s="134">
        <v>6.31</v>
      </c>
      <c r="J88" s="134">
        <v>0.11</v>
      </c>
      <c r="K88" s="134">
        <v>191.99</v>
      </c>
      <c r="L88" s="134">
        <v>22.3</v>
      </c>
      <c r="M88" s="134">
        <v>76.61</v>
      </c>
      <c r="N88" s="134">
        <v>0</v>
      </c>
      <c r="O88" s="134">
        <v>0</v>
      </c>
      <c r="P88" s="134">
        <v>0.86</v>
      </c>
      <c r="Q88" s="134">
        <v>4.4000000000000004</v>
      </c>
    </row>
    <row r="89" spans="1:17" customFormat="1">
      <c r="A89" s="112" t="s">
        <v>2335</v>
      </c>
      <c r="B89" s="134">
        <v>10.4</v>
      </c>
      <c r="C89" s="134">
        <v>25.77</v>
      </c>
      <c r="D89" s="134">
        <v>23.16</v>
      </c>
      <c r="E89" s="134">
        <v>7.52</v>
      </c>
      <c r="F89" s="134">
        <v>2.85</v>
      </c>
      <c r="G89" s="134">
        <v>116.1</v>
      </c>
      <c r="H89" s="134">
        <v>40.33</v>
      </c>
      <c r="I89" s="134">
        <v>6.47</v>
      </c>
      <c r="J89" s="134">
        <v>7.0000000000000007E-2</v>
      </c>
      <c r="K89" s="134">
        <v>183.17</v>
      </c>
      <c r="L89" s="134">
        <v>22.15</v>
      </c>
      <c r="M89" s="134">
        <v>73.319999999999993</v>
      </c>
      <c r="N89" s="134">
        <v>0</v>
      </c>
      <c r="O89" s="134">
        <v>0</v>
      </c>
      <c r="P89" s="134">
        <v>0.87</v>
      </c>
      <c r="Q89" s="134">
        <v>4.43</v>
      </c>
    </row>
    <row r="90" spans="1:17" customFormat="1">
      <c r="A90" s="112" t="s">
        <v>2336</v>
      </c>
      <c r="B90" s="134">
        <v>10.77</v>
      </c>
      <c r="C90" s="134">
        <v>26.82</v>
      </c>
      <c r="D90" s="134">
        <v>24</v>
      </c>
      <c r="E90" s="134">
        <v>7.19</v>
      </c>
      <c r="F90" s="134">
        <v>2.78</v>
      </c>
      <c r="G90" s="134">
        <v>117.75</v>
      </c>
      <c r="H90" s="134">
        <v>41.76</v>
      </c>
      <c r="I90" s="134">
        <v>6.57</v>
      </c>
      <c r="J90" s="134">
        <v>0.03</v>
      </c>
      <c r="K90" s="134">
        <v>132.47999999999999</v>
      </c>
      <c r="L90" s="134">
        <v>22.19</v>
      </c>
      <c r="M90" s="134">
        <v>71.06</v>
      </c>
      <c r="N90" s="134">
        <v>0</v>
      </c>
      <c r="O90" s="134">
        <v>0</v>
      </c>
      <c r="P90" s="134">
        <v>0.89</v>
      </c>
      <c r="Q90" s="134">
        <v>4.4400000000000004</v>
      </c>
    </row>
    <row r="91" spans="1:17" customFormat="1">
      <c r="A91" s="112" t="s">
        <v>2337</v>
      </c>
      <c r="B91" s="134">
        <v>11.55</v>
      </c>
      <c r="C91" s="134">
        <v>26.75</v>
      </c>
      <c r="D91" s="134">
        <v>24.59</v>
      </c>
      <c r="E91" s="134">
        <v>7.51</v>
      </c>
      <c r="F91" s="134">
        <v>2.57</v>
      </c>
      <c r="G91" s="134">
        <v>118.08</v>
      </c>
      <c r="H91" s="134">
        <v>41.76</v>
      </c>
      <c r="I91" s="134">
        <v>6.63</v>
      </c>
      <c r="J91" s="134">
        <v>0.15</v>
      </c>
      <c r="K91" s="134">
        <v>132.53</v>
      </c>
      <c r="L91" s="134">
        <v>22.5</v>
      </c>
      <c r="M91" s="134">
        <v>68.12</v>
      </c>
      <c r="N91" s="134">
        <v>0</v>
      </c>
      <c r="O91" s="134">
        <v>0</v>
      </c>
      <c r="P91" s="134">
        <v>0.89</v>
      </c>
      <c r="Q91" s="134">
        <v>4.45</v>
      </c>
    </row>
    <row r="92" spans="1:17" customFormat="1">
      <c r="A92" s="112" t="s">
        <v>2338</v>
      </c>
      <c r="B92" s="134">
        <v>12.09</v>
      </c>
      <c r="C92" s="134">
        <v>27.58</v>
      </c>
      <c r="D92" s="134">
        <v>25.45</v>
      </c>
      <c r="E92" s="134">
        <v>7.68</v>
      </c>
      <c r="F92" s="134">
        <v>2.6</v>
      </c>
      <c r="G92" s="134">
        <v>118.08</v>
      </c>
      <c r="H92" s="134">
        <v>41.76</v>
      </c>
      <c r="I92" s="134">
        <v>6.75</v>
      </c>
      <c r="J92" s="134">
        <v>0.18</v>
      </c>
      <c r="K92" s="134">
        <v>96.19</v>
      </c>
      <c r="L92" s="134">
        <v>22.76</v>
      </c>
      <c r="M92" s="134">
        <v>64.7</v>
      </c>
      <c r="N92" s="134">
        <v>0</v>
      </c>
      <c r="O92" s="134">
        <v>0</v>
      </c>
      <c r="P92" s="134">
        <v>0.91</v>
      </c>
      <c r="Q92" s="134">
        <v>4.47</v>
      </c>
    </row>
    <row r="93" spans="1:17" customFormat="1">
      <c r="A93" s="112" t="s">
        <v>2339</v>
      </c>
      <c r="B93" s="134">
        <v>12.24</v>
      </c>
      <c r="C93" s="134">
        <v>27.03</v>
      </c>
      <c r="D93" s="134">
        <v>25.29</v>
      </c>
      <c r="E93" s="134">
        <v>7.53</v>
      </c>
      <c r="F93" s="134">
        <v>2.69</v>
      </c>
      <c r="G93" s="134">
        <v>118.08</v>
      </c>
      <c r="H93" s="134">
        <v>41.76</v>
      </c>
      <c r="I93" s="134">
        <v>6.82</v>
      </c>
      <c r="J93" s="134">
        <v>0.16</v>
      </c>
      <c r="K93" s="134">
        <v>99.41</v>
      </c>
      <c r="L93" s="134">
        <v>22.87</v>
      </c>
      <c r="M93" s="134">
        <v>62.52</v>
      </c>
      <c r="N93" s="134">
        <v>0</v>
      </c>
      <c r="O93" s="134">
        <v>0</v>
      </c>
      <c r="P93" s="134">
        <v>0.91</v>
      </c>
      <c r="Q93" s="134">
        <v>4.4800000000000004</v>
      </c>
    </row>
    <row r="94" spans="1:17" customFormat="1">
      <c r="A94" s="112" t="s">
        <v>2340</v>
      </c>
      <c r="B94" s="134">
        <v>12.24</v>
      </c>
      <c r="C94" s="134">
        <v>27.83</v>
      </c>
      <c r="D94" s="134">
        <v>25.71</v>
      </c>
      <c r="E94" s="134">
        <v>7.37</v>
      </c>
      <c r="F94" s="134">
        <v>2.68</v>
      </c>
      <c r="G94" s="134">
        <v>114.6</v>
      </c>
      <c r="H94" s="134">
        <v>39.72</v>
      </c>
      <c r="I94" s="134">
        <v>6.89</v>
      </c>
      <c r="J94" s="134">
        <v>0.15</v>
      </c>
      <c r="K94" s="134">
        <v>124.35</v>
      </c>
      <c r="L94" s="134">
        <v>22.78</v>
      </c>
      <c r="M94" s="134">
        <v>63.19</v>
      </c>
      <c r="N94" s="134">
        <v>0</v>
      </c>
      <c r="O94" s="134">
        <v>0</v>
      </c>
      <c r="P94" s="134">
        <v>0.9</v>
      </c>
      <c r="Q94" s="134">
        <v>4.49</v>
      </c>
    </row>
    <row r="95" spans="1:17" customFormat="1">
      <c r="A95" s="112" t="s">
        <v>2341</v>
      </c>
      <c r="B95" s="134">
        <v>11.78</v>
      </c>
      <c r="C95" s="134">
        <v>27.41</v>
      </c>
      <c r="D95" s="134">
        <v>25.12</v>
      </c>
      <c r="E95" s="134">
        <v>7.8</v>
      </c>
      <c r="F95" s="134">
        <v>3.06</v>
      </c>
      <c r="G95" s="134">
        <v>113.9</v>
      </c>
      <c r="H95" s="134">
        <v>39.72</v>
      </c>
      <c r="I95" s="134">
        <v>6.85</v>
      </c>
      <c r="J95" s="134">
        <v>0.14000000000000001</v>
      </c>
      <c r="K95" s="134">
        <v>198.7</v>
      </c>
      <c r="L95" s="134">
        <v>21.92</v>
      </c>
      <c r="M95" s="134">
        <v>71.09</v>
      </c>
      <c r="N95" s="134">
        <v>0</v>
      </c>
      <c r="O95" s="134">
        <v>0</v>
      </c>
      <c r="P95" s="134">
        <v>0.89</v>
      </c>
      <c r="Q95" s="134">
        <v>4.4800000000000004</v>
      </c>
    </row>
    <row r="96" spans="1:17" customFormat="1">
      <c r="A96" s="112" t="s">
        <v>2342</v>
      </c>
      <c r="B96" s="134">
        <v>10.42</v>
      </c>
      <c r="C96" s="134">
        <v>27.32</v>
      </c>
      <c r="D96" s="134">
        <v>23.98</v>
      </c>
      <c r="E96" s="134">
        <v>8.18</v>
      </c>
      <c r="F96" s="134">
        <v>3.26</v>
      </c>
      <c r="G96" s="134">
        <v>113.9</v>
      </c>
      <c r="H96" s="134">
        <v>39.72</v>
      </c>
      <c r="I96" s="134">
        <v>6.83</v>
      </c>
      <c r="J96" s="134">
        <v>0.12</v>
      </c>
      <c r="K96" s="134">
        <v>215.15</v>
      </c>
      <c r="L96" s="134">
        <v>21.26</v>
      </c>
      <c r="M96" s="134">
        <v>74.62</v>
      </c>
      <c r="N96" s="134">
        <v>0</v>
      </c>
      <c r="O96" s="134">
        <v>0</v>
      </c>
      <c r="P96" s="134">
        <v>0.88</v>
      </c>
      <c r="Q96" s="134">
        <v>4.4400000000000004</v>
      </c>
    </row>
    <row r="97" spans="1:22" customFormat="1">
      <c r="A97" s="112" t="s">
        <v>2343</v>
      </c>
      <c r="B97" s="134">
        <v>9.19</v>
      </c>
      <c r="C97" s="134">
        <v>27.12</v>
      </c>
      <c r="D97" s="134">
        <v>22.89</v>
      </c>
      <c r="E97" s="134">
        <v>7.43</v>
      </c>
      <c r="F97" s="134">
        <v>3.37</v>
      </c>
      <c r="G97" s="134">
        <v>113.9</v>
      </c>
      <c r="H97" s="134">
        <v>39.72</v>
      </c>
      <c r="I97" s="134">
        <v>6.77</v>
      </c>
      <c r="J97" s="134">
        <v>0.13</v>
      </c>
      <c r="K97" s="134">
        <v>178.23</v>
      </c>
      <c r="L97" s="134">
        <v>21.06</v>
      </c>
      <c r="M97" s="134">
        <v>75.11</v>
      </c>
      <c r="N97" s="134">
        <v>0</v>
      </c>
      <c r="O97" s="134">
        <v>0</v>
      </c>
      <c r="P97" s="134">
        <v>0.88</v>
      </c>
      <c r="Q97" s="134">
        <v>4.3899999999999997</v>
      </c>
    </row>
    <row r="98" spans="1:22" customFormat="1">
      <c r="A98" s="112" t="s">
        <v>2344</v>
      </c>
      <c r="B98" s="134">
        <v>8.2100000000000009</v>
      </c>
      <c r="C98" s="134">
        <v>26.87</v>
      </c>
      <c r="D98" s="134">
        <v>21.97</v>
      </c>
      <c r="E98" s="134">
        <v>7.94</v>
      </c>
      <c r="F98" s="134">
        <v>3.24</v>
      </c>
      <c r="G98" s="134">
        <v>103.04</v>
      </c>
      <c r="H98" s="134">
        <v>40.409999999999997</v>
      </c>
      <c r="I98" s="134">
        <v>6.69</v>
      </c>
      <c r="J98" s="134">
        <v>0.11</v>
      </c>
      <c r="K98" s="134">
        <v>185.82</v>
      </c>
      <c r="L98" s="134">
        <v>20.8</v>
      </c>
      <c r="M98" s="134">
        <v>74.180000000000007</v>
      </c>
      <c r="N98" s="134">
        <v>0</v>
      </c>
      <c r="O98" s="134">
        <v>0</v>
      </c>
      <c r="P98" s="134">
        <v>0.86</v>
      </c>
      <c r="Q98" s="134">
        <v>4.38</v>
      </c>
    </row>
    <row r="99" spans="1:22" customFormat="1">
      <c r="A99" s="112" t="s">
        <v>2345</v>
      </c>
      <c r="B99" s="134">
        <v>7.44</v>
      </c>
      <c r="C99" s="134">
        <v>26.76</v>
      </c>
      <c r="D99" s="134">
        <v>21.3</v>
      </c>
      <c r="E99" s="134">
        <v>8.34</v>
      </c>
      <c r="F99" s="134">
        <v>3.4</v>
      </c>
      <c r="G99" s="134">
        <v>100.87</v>
      </c>
      <c r="H99" s="134">
        <v>40.409999999999997</v>
      </c>
      <c r="I99" s="134">
        <v>6.6</v>
      </c>
      <c r="J99" s="134">
        <v>0.15</v>
      </c>
      <c r="K99" s="134">
        <v>221.65</v>
      </c>
      <c r="L99" s="134">
        <v>20.62</v>
      </c>
      <c r="M99" s="134">
        <v>78.209999999999994</v>
      </c>
      <c r="N99" s="134">
        <v>0</v>
      </c>
      <c r="O99" s="134">
        <v>0</v>
      </c>
      <c r="P99" s="134">
        <v>0.85</v>
      </c>
      <c r="Q99" s="134">
        <v>4.34</v>
      </c>
    </row>
    <row r="100" spans="1:22" customFormat="1">
      <c r="A100" s="112" t="s">
        <v>2346</v>
      </c>
      <c r="B100" s="134">
        <v>6.9</v>
      </c>
      <c r="C100" s="134">
        <v>26.48</v>
      </c>
      <c r="D100" s="134">
        <v>20.72</v>
      </c>
      <c r="E100" s="134">
        <v>8.1199999999999992</v>
      </c>
      <c r="F100" s="134">
        <v>3.36</v>
      </c>
      <c r="G100" s="134">
        <v>100.87</v>
      </c>
      <c r="H100" s="134">
        <v>40.409999999999997</v>
      </c>
      <c r="I100" s="134">
        <v>6.53</v>
      </c>
      <c r="J100" s="134">
        <v>0.13</v>
      </c>
      <c r="K100" s="134">
        <v>157.62</v>
      </c>
      <c r="L100" s="134">
        <v>20.440000000000001</v>
      </c>
      <c r="M100" s="134">
        <v>77.819999999999993</v>
      </c>
      <c r="N100" s="134">
        <v>0</v>
      </c>
      <c r="O100" s="134">
        <v>0</v>
      </c>
      <c r="P100" s="134">
        <v>0.84</v>
      </c>
      <c r="Q100" s="134">
        <v>4.29</v>
      </c>
    </row>
    <row r="101" spans="1:22" customFormat="1">
      <c r="A101" s="112" t="s">
        <v>2347</v>
      </c>
      <c r="B101" s="134">
        <v>6.72</v>
      </c>
      <c r="C101" s="134">
        <v>26.39</v>
      </c>
      <c r="D101" s="134">
        <v>20.53</v>
      </c>
      <c r="E101" s="134">
        <v>7.95</v>
      </c>
      <c r="F101" s="134">
        <v>3.12</v>
      </c>
      <c r="G101" s="134">
        <v>100.87</v>
      </c>
      <c r="H101" s="134">
        <v>40.409999999999997</v>
      </c>
      <c r="I101" s="134">
        <v>6.43</v>
      </c>
      <c r="J101" s="134">
        <v>0.12</v>
      </c>
      <c r="K101" s="134">
        <v>179.61</v>
      </c>
      <c r="L101" s="134">
        <v>20.3</v>
      </c>
      <c r="M101" s="134">
        <v>75.63</v>
      </c>
      <c r="N101" s="134">
        <v>0</v>
      </c>
      <c r="O101" s="134">
        <v>0</v>
      </c>
      <c r="P101" s="134">
        <v>0.84</v>
      </c>
      <c r="Q101" s="134">
        <v>4.3</v>
      </c>
    </row>
    <row r="102" spans="1:22" customFormat="1">
      <c r="A102" s="112" t="s">
        <v>2348</v>
      </c>
      <c r="B102" s="134">
        <v>6.43</v>
      </c>
      <c r="C102" s="134">
        <v>26.24</v>
      </c>
      <c r="D102" s="134">
        <v>20.21</v>
      </c>
      <c r="E102" s="134">
        <v>8.49</v>
      </c>
      <c r="F102" s="134">
        <v>3.32</v>
      </c>
      <c r="G102" s="134">
        <v>96.28</v>
      </c>
      <c r="H102" s="134">
        <v>39.33</v>
      </c>
      <c r="I102" s="134">
        <v>6.35</v>
      </c>
      <c r="J102" s="134">
        <v>0.1</v>
      </c>
      <c r="K102" s="134">
        <v>213.58</v>
      </c>
      <c r="L102" s="134">
        <v>20.149999999999999</v>
      </c>
      <c r="M102" s="134">
        <v>80.87</v>
      </c>
      <c r="N102" s="134">
        <v>0</v>
      </c>
      <c r="O102" s="134">
        <v>0</v>
      </c>
      <c r="P102" s="134">
        <v>0.82</v>
      </c>
      <c r="Q102" s="134">
        <v>4.3</v>
      </c>
    </row>
    <row r="103" spans="1:22" customFormat="1">
      <c r="A103" s="112" t="s">
        <v>2349</v>
      </c>
      <c r="B103" s="134">
        <v>6.16</v>
      </c>
      <c r="C103" s="134">
        <v>25.73</v>
      </c>
      <c r="D103" s="134">
        <v>19.73</v>
      </c>
      <c r="E103" s="134">
        <v>8.48</v>
      </c>
      <c r="F103" s="134">
        <v>3.25</v>
      </c>
      <c r="G103" s="134">
        <v>95.36</v>
      </c>
      <c r="H103" s="134">
        <v>39.33</v>
      </c>
      <c r="I103" s="134">
        <v>6.33</v>
      </c>
      <c r="J103" s="134">
        <v>0.13</v>
      </c>
      <c r="K103" s="134">
        <v>180.1</v>
      </c>
      <c r="L103" s="134">
        <v>19.95</v>
      </c>
      <c r="M103" s="134">
        <v>81.739999999999995</v>
      </c>
      <c r="N103" s="134">
        <v>0</v>
      </c>
      <c r="O103" s="134">
        <v>0</v>
      </c>
      <c r="P103" s="134">
        <v>0.8</v>
      </c>
      <c r="Q103" s="134">
        <v>4.29</v>
      </c>
    </row>
    <row r="104" spans="1:22" customFormat="1">
      <c r="A104" s="112" t="s">
        <v>2350</v>
      </c>
      <c r="B104" s="134">
        <v>6.01</v>
      </c>
      <c r="C104" s="134">
        <v>25.19</v>
      </c>
      <c r="D104" s="134">
        <v>19.329999999999998</v>
      </c>
      <c r="E104" s="134">
        <v>8.14</v>
      </c>
      <c r="F104" s="134">
        <v>3.27</v>
      </c>
      <c r="G104" s="134">
        <v>95.36</v>
      </c>
      <c r="H104" s="134">
        <v>39.33</v>
      </c>
      <c r="I104" s="134">
        <v>6.3</v>
      </c>
      <c r="J104" s="134">
        <v>0.13</v>
      </c>
      <c r="K104" s="134">
        <v>212.05</v>
      </c>
      <c r="L104" s="134">
        <v>19.93</v>
      </c>
      <c r="M104" s="134">
        <v>82.12</v>
      </c>
      <c r="N104" s="134">
        <v>0</v>
      </c>
      <c r="O104" s="134">
        <v>0</v>
      </c>
      <c r="P104" s="134">
        <v>0.8</v>
      </c>
      <c r="Q104" s="134">
        <v>4.29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4.04</v>
      </c>
      <c r="C106" s="183">
        <f>MIN(C9:C104)</f>
        <v>24.41</v>
      </c>
      <c r="D106" s="183">
        <f t="shared" ref="D106:Q106" si="0">MIN(D9:D104)</f>
        <v>18.79</v>
      </c>
      <c r="E106" s="183">
        <f t="shared" si="0"/>
        <v>5.94</v>
      </c>
      <c r="F106" s="183">
        <f t="shared" si="0"/>
        <v>2.31</v>
      </c>
      <c r="G106" s="183">
        <f t="shared" si="0"/>
        <v>73.569999999999993</v>
      </c>
      <c r="H106" s="183">
        <f t="shared" si="0"/>
        <v>29.48</v>
      </c>
      <c r="I106" s="183">
        <f t="shared" si="0"/>
        <v>4.8600000000000003</v>
      </c>
      <c r="J106" s="183">
        <f t="shared" si="0"/>
        <v>0.03</v>
      </c>
      <c r="K106" s="183">
        <f t="shared" si="0"/>
        <v>4.5199999999999996</v>
      </c>
      <c r="L106" s="183">
        <f t="shared" si="0"/>
        <v>17.87</v>
      </c>
      <c r="M106" s="183">
        <f t="shared" si="0"/>
        <v>39.89</v>
      </c>
      <c r="N106" s="183">
        <f t="shared" si="0"/>
        <v>0</v>
      </c>
      <c r="O106" s="183">
        <f t="shared" si="0"/>
        <v>0</v>
      </c>
      <c r="P106" s="183">
        <f t="shared" si="0"/>
        <v>0.67</v>
      </c>
      <c r="Q106" s="183">
        <f t="shared" si="0"/>
        <v>4.1900000000000004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38.96</v>
      </c>
      <c r="C107" s="184">
        <f t="shared" ref="C107:Q107" si="1">MAX(C9:C104)</f>
        <v>31.2</v>
      </c>
      <c r="D107" s="184">
        <f t="shared" si="1"/>
        <v>47.49</v>
      </c>
      <c r="E107" s="184">
        <f t="shared" si="1"/>
        <v>10.54</v>
      </c>
      <c r="F107" s="184">
        <f t="shared" si="1"/>
        <v>6.17</v>
      </c>
      <c r="G107" s="184">
        <f t="shared" si="1"/>
        <v>118.58</v>
      </c>
      <c r="H107" s="184">
        <f t="shared" si="1"/>
        <v>46.09</v>
      </c>
      <c r="I107" s="184">
        <f t="shared" si="1"/>
        <v>10.28</v>
      </c>
      <c r="J107" s="184">
        <f t="shared" si="1"/>
        <v>0.79</v>
      </c>
      <c r="K107" s="184">
        <f t="shared" si="1"/>
        <v>346.4</v>
      </c>
      <c r="L107" s="184">
        <f t="shared" si="1"/>
        <v>30.36</v>
      </c>
      <c r="M107" s="184">
        <f t="shared" si="1"/>
        <v>94.64</v>
      </c>
      <c r="N107" s="184">
        <f t="shared" si="1"/>
        <v>527.79999999999995</v>
      </c>
      <c r="O107" s="184">
        <f t="shared" si="1"/>
        <v>0</v>
      </c>
      <c r="P107" s="184">
        <f t="shared" si="1"/>
        <v>1.04</v>
      </c>
      <c r="Q107" s="184">
        <f t="shared" si="1"/>
        <v>5.4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17.196979166666669</v>
      </c>
      <c r="C108" s="183">
        <f t="shared" ref="C108:Q108" si="2">AVERAGE(C9:C104)</f>
        <v>27.624895833333341</v>
      </c>
      <c r="D108" s="183">
        <f t="shared" si="2"/>
        <v>29.574166666666656</v>
      </c>
      <c r="E108" s="183">
        <f t="shared" si="2"/>
        <v>8.2710416666666688</v>
      </c>
      <c r="F108" s="183">
        <f t="shared" si="2"/>
        <v>3.4267708333333329</v>
      </c>
      <c r="G108" s="183">
        <f t="shared" si="2"/>
        <v>97.061041666666668</v>
      </c>
      <c r="H108" s="183">
        <f t="shared" si="2"/>
        <v>38.437083333333312</v>
      </c>
      <c r="I108" s="183">
        <f t="shared" si="2"/>
        <v>7.5509374999999999</v>
      </c>
      <c r="J108" s="183">
        <f t="shared" si="2"/>
        <v>0.23197916666666663</v>
      </c>
      <c r="K108" s="183">
        <f t="shared" si="2"/>
        <v>121.37458333333336</v>
      </c>
      <c r="L108" s="183">
        <f t="shared" si="2"/>
        <v>23.352604166666676</v>
      </c>
      <c r="M108" s="183">
        <f t="shared" si="2"/>
        <v>67.89208333333336</v>
      </c>
      <c r="N108" s="183">
        <f t="shared" si="2"/>
        <v>111.97291666666666</v>
      </c>
      <c r="O108" s="183">
        <f t="shared" si="2"/>
        <v>0</v>
      </c>
      <c r="P108" s="183">
        <f t="shared" si="2"/>
        <v>0.87541666666666662</v>
      </c>
      <c r="Q108" s="183">
        <f t="shared" si="2"/>
        <v>4.6753125000000004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11.233700718424911</v>
      </c>
      <c r="C109" s="183">
        <f t="shared" ref="C109:Q109" si="3">STDEV(C9:C104)</f>
        <v>1.4627040530911761</v>
      </c>
      <c r="D109" s="183">
        <f t="shared" si="3"/>
        <v>9.3163272260294026</v>
      </c>
      <c r="E109" s="183">
        <f t="shared" si="3"/>
        <v>1.1633178315460138</v>
      </c>
      <c r="F109" s="183">
        <f t="shared" si="3"/>
        <v>1.1891062497714875</v>
      </c>
      <c r="G109" s="183">
        <f t="shared" si="3"/>
        <v>14.006265175508526</v>
      </c>
      <c r="H109" s="183">
        <f t="shared" si="3"/>
        <v>3.9247108955993029</v>
      </c>
      <c r="I109" s="183">
        <f t="shared" si="3"/>
        <v>1.7214009460626203</v>
      </c>
      <c r="J109" s="183">
        <f t="shared" si="3"/>
        <v>0.17905376899965691</v>
      </c>
      <c r="K109" s="183">
        <f t="shared" si="3"/>
        <v>82.428919745140831</v>
      </c>
      <c r="L109" s="183">
        <f t="shared" si="3"/>
        <v>4.0948661683140513</v>
      </c>
      <c r="M109" s="183">
        <f t="shared" si="3"/>
        <v>18.00831474137879</v>
      </c>
      <c r="N109" s="183">
        <f t="shared" si="3"/>
        <v>178.9818511700156</v>
      </c>
      <c r="O109" s="183">
        <f t="shared" si="3"/>
        <v>0</v>
      </c>
      <c r="P109" s="183">
        <f t="shared" si="3"/>
        <v>0.11621139238172393</v>
      </c>
      <c r="Q109" s="183">
        <f t="shared" si="3"/>
        <v>0.3938847096215729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23/11/2023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2351</v>
      </c>
      <c r="B9" s="134">
        <v>5.65</v>
      </c>
      <c r="C9" s="134">
        <v>24.17</v>
      </c>
      <c r="D9" s="134">
        <v>18.510000000000002</v>
      </c>
      <c r="E9" s="134">
        <v>8.2899999999999991</v>
      </c>
      <c r="F9" s="134">
        <v>3.39</v>
      </c>
      <c r="G9" s="134">
        <v>95.36</v>
      </c>
      <c r="H9" s="134">
        <v>39.33</v>
      </c>
      <c r="I9" s="134">
        <v>6.28</v>
      </c>
      <c r="J9" s="134">
        <v>7.0000000000000007E-2</v>
      </c>
      <c r="K9" s="134">
        <v>231.77</v>
      </c>
      <c r="L9" s="134">
        <v>19.649999999999999</v>
      </c>
      <c r="M9" s="134">
        <v>84.97</v>
      </c>
      <c r="N9" s="134">
        <v>0</v>
      </c>
      <c r="O9" s="134">
        <v>0</v>
      </c>
      <c r="P9" s="134">
        <v>0</v>
      </c>
      <c r="Q9" s="134">
        <v>0</v>
      </c>
    </row>
    <row r="10" spans="1:21" customFormat="1">
      <c r="A10" s="112" t="s">
        <v>2352</v>
      </c>
      <c r="B10" s="134">
        <v>5.37</v>
      </c>
      <c r="C10" s="134">
        <v>24.12</v>
      </c>
      <c r="D10" s="134">
        <v>18.260000000000002</v>
      </c>
      <c r="E10" s="134">
        <v>8.14</v>
      </c>
      <c r="F10" s="134">
        <v>3.26</v>
      </c>
      <c r="G10" s="134">
        <v>86.1</v>
      </c>
      <c r="H10" s="134">
        <v>38.31</v>
      </c>
      <c r="I10" s="134">
        <v>6.21</v>
      </c>
      <c r="J10" s="134">
        <v>0.04</v>
      </c>
      <c r="K10" s="134">
        <v>172.35</v>
      </c>
      <c r="L10" s="134">
        <v>19.45</v>
      </c>
      <c r="M10" s="134">
        <v>84.06</v>
      </c>
      <c r="N10" s="134">
        <v>0</v>
      </c>
      <c r="O10" s="134">
        <v>0</v>
      </c>
      <c r="P10" s="134">
        <v>0</v>
      </c>
      <c r="Q10" s="134">
        <v>0</v>
      </c>
    </row>
    <row r="11" spans="1:21" customFormat="1">
      <c r="A11" s="112" t="s">
        <v>2353</v>
      </c>
      <c r="B11" s="134">
        <v>5.53</v>
      </c>
      <c r="C11" s="134">
        <v>24.56</v>
      </c>
      <c r="D11" s="134">
        <v>18.62</v>
      </c>
      <c r="E11" s="134">
        <v>8.33</v>
      </c>
      <c r="F11" s="134">
        <v>3.11</v>
      </c>
      <c r="G11" s="134">
        <v>84.25</v>
      </c>
      <c r="H11" s="134">
        <v>38.31</v>
      </c>
      <c r="I11" s="134">
        <v>6.16</v>
      </c>
      <c r="J11" s="134">
        <v>0.09</v>
      </c>
      <c r="K11" s="134">
        <v>170.86</v>
      </c>
      <c r="L11" s="134">
        <v>19.64</v>
      </c>
      <c r="M11" s="134">
        <v>82.26</v>
      </c>
      <c r="N11" s="134">
        <v>0</v>
      </c>
      <c r="O11" s="134">
        <v>0</v>
      </c>
      <c r="P11" s="134">
        <v>0</v>
      </c>
      <c r="Q11" s="134">
        <v>0</v>
      </c>
    </row>
    <row r="12" spans="1:21" customFormat="1">
      <c r="A12" s="112" t="s">
        <v>2354</v>
      </c>
      <c r="B12" s="134">
        <v>6.33</v>
      </c>
      <c r="C12" s="134">
        <v>25.66</v>
      </c>
      <c r="D12" s="134">
        <v>19.829999999999998</v>
      </c>
      <c r="E12" s="134">
        <v>8.61</v>
      </c>
      <c r="F12" s="134">
        <v>2.76</v>
      </c>
      <c r="G12" s="134">
        <v>84.25</v>
      </c>
      <c r="H12" s="134">
        <v>38.31</v>
      </c>
      <c r="I12" s="134">
        <v>6.13</v>
      </c>
      <c r="J12" s="134">
        <v>0.09</v>
      </c>
      <c r="K12" s="134">
        <v>17.75</v>
      </c>
      <c r="L12" s="134">
        <v>19.57</v>
      </c>
      <c r="M12" s="134">
        <v>82.21</v>
      </c>
      <c r="N12" s="134">
        <v>0</v>
      </c>
      <c r="O12" s="134">
        <v>0</v>
      </c>
      <c r="P12" s="134">
        <v>0</v>
      </c>
      <c r="Q12" s="134">
        <v>0</v>
      </c>
    </row>
    <row r="13" spans="1:21" customFormat="1">
      <c r="A13" s="112" t="s">
        <v>2355</v>
      </c>
      <c r="B13" s="134">
        <v>7.94</v>
      </c>
      <c r="C13" s="134">
        <v>27.18</v>
      </c>
      <c r="D13" s="134">
        <v>21.92</v>
      </c>
      <c r="E13" s="134">
        <v>8.1</v>
      </c>
      <c r="F13" s="134">
        <v>2.61</v>
      </c>
      <c r="G13" s="134">
        <v>84.25</v>
      </c>
      <c r="H13" s="134">
        <v>38.31</v>
      </c>
      <c r="I13" s="134">
        <v>6.06</v>
      </c>
      <c r="J13" s="134">
        <v>0.1</v>
      </c>
      <c r="K13" s="134">
        <v>35.29</v>
      </c>
      <c r="L13" s="134">
        <v>19.45</v>
      </c>
      <c r="M13" s="134">
        <v>81.84</v>
      </c>
      <c r="N13" s="134">
        <v>0</v>
      </c>
      <c r="O13" s="134">
        <v>0</v>
      </c>
      <c r="P13" s="134">
        <v>0</v>
      </c>
      <c r="Q13" s="134">
        <v>0</v>
      </c>
    </row>
    <row r="14" spans="1:21" customFormat="1">
      <c r="A14" s="112" t="s">
        <v>2356</v>
      </c>
      <c r="B14" s="134">
        <v>8.73</v>
      </c>
      <c r="C14" s="134">
        <v>28.25</v>
      </c>
      <c r="D14" s="134">
        <v>23.11</v>
      </c>
      <c r="E14" s="134">
        <v>8.34</v>
      </c>
      <c r="F14" s="134">
        <v>2.66</v>
      </c>
      <c r="G14" s="134">
        <v>82.3</v>
      </c>
      <c r="H14" s="134">
        <v>37.08</v>
      </c>
      <c r="I14" s="134">
        <v>6.04</v>
      </c>
      <c r="J14" s="134">
        <v>0.09</v>
      </c>
      <c r="K14" s="134">
        <v>64.14</v>
      </c>
      <c r="L14" s="134">
        <v>19.54</v>
      </c>
      <c r="M14" s="134">
        <v>81.150000000000006</v>
      </c>
      <c r="N14" s="134">
        <v>0</v>
      </c>
      <c r="O14" s="134">
        <v>0</v>
      </c>
      <c r="P14" s="134">
        <v>0</v>
      </c>
      <c r="Q14" s="134">
        <v>0</v>
      </c>
    </row>
    <row r="15" spans="1:21" customFormat="1">
      <c r="A15" s="112" t="s">
        <v>2357</v>
      </c>
      <c r="B15" s="134">
        <v>9.5</v>
      </c>
      <c r="C15" s="134">
        <v>28.77</v>
      </c>
      <c r="D15" s="134">
        <v>24.01</v>
      </c>
      <c r="E15" s="134">
        <v>8.6</v>
      </c>
      <c r="F15" s="134">
        <v>2.56</v>
      </c>
      <c r="G15" s="134">
        <v>81.900000000000006</v>
      </c>
      <c r="H15" s="134">
        <v>37.08</v>
      </c>
      <c r="I15" s="134">
        <v>6.06</v>
      </c>
      <c r="J15" s="134">
        <v>0.14000000000000001</v>
      </c>
      <c r="K15" s="134">
        <v>48.86</v>
      </c>
      <c r="L15" s="134">
        <v>19.559999999999999</v>
      </c>
      <c r="M15" s="134">
        <v>81.38</v>
      </c>
      <c r="N15" s="134">
        <v>0</v>
      </c>
      <c r="O15" s="134">
        <v>0</v>
      </c>
      <c r="P15" s="134">
        <v>0</v>
      </c>
      <c r="Q15" s="134">
        <v>0</v>
      </c>
    </row>
    <row r="16" spans="1:21" customFormat="1">
      <c r="A16" s="112" t="s">
        <v>2358</v>
      </c>
      <c r="B16" s="134">
        <v>9.81</v>
      </c>
      <c r="C16" s="134">
        <v>28.91</v>
      </c>
      <c r="D16" s="134">
        <v>24.33</v>
      </c>
      <c r="E16" s="134">
        <v>8.3699999999999992</v>
      </c>
      <c r="F16" s="134">
        <v>2.61</v>
      </c>
      <c r="G16" s="134">
        <v>81.900000000000006</v>
      </c>
      <c r="H16" s="134">
        <v>37.08</v>
      </c>
      <c r="I16" s="134">
        <v>6.01</v>
      </c>
      <c r="J16" s="134">
        <v>0.28999999999999998</v>
      </c>
      <c r="K16" s="134">
        <v>36.409999999999997</v>
      </c>
      <c r="L16" s="134">
        <v>19.440000000000001</v>
      </c>
      <c r="M16" s="134">
        <v>81.14</v>
      </c>
      <c r="N16" s="134">
        <v>0</v>
      </c>
      <c r="O16" s="134">
        <v>0</v>
      </c>
      <c r="P16" s="134">
        <v>0</v>
      </c>
      <c r="Q16" s="134">
        <v>0</v>
      </c>
    </row>
    <row r="17" spans="1:17" customFormat="1">
      <c r="A17" s="112" t="s">
        <v>2359</v>
      </c>
      <c r="B17" s="134">
        <v>9.5500000000000007</v>
      </c>
      <c r="C17" s="134">
        <v>28.68</v>
      </c>
      <c r="D17" s="134">
        <v>24</v>
      </c>
      <c r="E17" s="134">
        <v>5.97</v>
      </c>
      <c r="F17" s="134">
        <v>2.84</v>
      </c>
      <c r="G17" s="134">
        <v>81.900000000000006</v>
      </c>
      <c r="H17" s="134">
        <v>37.08</v>
      </c>
      <c r="I17" s="134">
        <v>6.05</v>
      </c>
      <c r="J17" s="134">
        <v>0.16</v>
      </c>
      <c r="K17" s="134">
        <v>40.71</v>
      </c>
      <c r="L17" s="134">
        <v>19.3</v>
      </c>
      <c r="M17" s="134">
        <v>81.75</v>
      </c>
      <c r="N17" s="134">
        <v>0</v>
      </c>
      <c r="O17" s="134">
        <v>0</v>
      </c>
      <c r="P17" s="134">
        <v>0</v>
      </c>
      <c r="Q17" s="134">
        <v>0</v>
      </c>
    </row>
    <row r="18" spans="1:17" customFormat="1">
      <c r="A18" s="112" t="s">
        <v>2360</v>
      </c>
      <c r="B18" s="134">
        <v>9.43</v>
      </c>
      <c r="C18" s="134">
        <v>28.6</v>
      </c>
      <c r="D18" s="134">
        <v>23.85</v>
      </c>
      <c r="E18" s="134">
        <v>7.19</v>
      </c>
      <c r="F18" s="134">
        <v>2.8</v>
      </c>
      <c r="G18" s="134">
        <v>79.55</v>
      </c>
      <c r="H18" s="134">
        <v>33.35</v>
      </c>
      <c r="I18" s="134">
        <v>6.12</v>
      </c>
      <c r="J18" s="134">
        <v>0.16</v>
      </c>
      <c r="K18" s="134">
        <v>40.049999999999997</v>
      </c>
      <c r="L18" s="134">
        <v>19.260000000000002</v>
      </c>
      <c r="M18" s="134">
        <v>81.84</v>
      </c>
      <c r="N18" s="134">
        <v>0</v>
      </c>
      <c r="O18" s="134">
        <v>0</v>
      </c>
      <c r="P18" s="134">
        <v>0</v>
      </c>
      <c r="Q18" s="134">
        <v>0</v>
      </c>
    </row>
    <row r="19" spans="1:17" customFormat="1">
      <c r="A19" s="112" t="s">
        <v>2361</v>
      </c>
      <c r="B19" s="134">
        <v>9.7200000000000006</v>
      </c>
      <c r="C19" s="134">
        <v>28.6</v>
      </c>
      <c r="D19" s="134">
        <v>24.08</v>
      </c>
      <c r="E19" s="134">
        <v>6.77</v>
      </c>
      <c r="F19" s="134">
        <v>2.85</v>
      </c>
      <c r="G19" s="134">
        <v>79.08</v>
      </c>
      <c r="H19" s="134">
        <v>33.35</v>
      </c>
      <c r="I19" s="134">
        <v>6.22</v>
      </c>
      <c r="J19" s="134">
        <v>0.28999999999999998</v>
      </c>
      <c r="K19" s="134">
        <v>57.89</v>
      </c>
      <c r="L19" s="134">
        <v>19.22</v>
      </c>
      <c r="M19" s="134">
        <v>81.72</v>
      </c>
      <c r="N19" s="134">
        <v>0</v>
      </c>
      <c r="O19" s="134">
        <v>0</v>
      </c>
      <c r="P19" s="134">
        <v>0</v>
      </c>
      <c r="Q19" s="134">
        <v>0</v>
      </c>
    </row>
    <row r="20" spans="1:17" customFormat="1">
      <c r="A20" s="112" t="s">
        <v>2362</v>
      </c>
      <c r="B20" s="134">
        <v>9.74</v>
      </c>
      <c r="C20" s="134">
        <v>26.57</v>
      </c>
      <c r="D20" s="134">
        <v>23.04</v>
      </c>
      <c r="E20" s="134">
        <v>6.51</v>
      </c>
      <c r="F20" s="134">
        <v>3.04</v>
      </c>
      <c r="G20" s="134">
        <v>79.08</v>
      </c>
      <c r="H20" s="134">
        <v>33.35</v>
      </c>
      <c r="I20" s="134">
        <v>6.38</v>
      </c>
      <c r="J20" s="134">
        <v>0.23</v>
      </c>
      <c r="K20" s="134">
        <v>42.63</v>
      </c>
      <c r="L20" s="134">
        <v>19</v>
      </c>
      <c r="M20" s="134">
        <v>84.71</v>
      </c>
      <c r="N20" s="134">
        <v>0</v>
      </c>
      <c r="O20" s="134">
        <v>0</v>
      </c>
      <c r="P20" s="134">
        <v>0</v>
      </c>
      <c r="Q20" s="134">
        <v>0</v>
      </c>
    </row>
    <row r="21" spans="1:17" customFormat="1">
      <c r="A21" s="112" t="s">
        <v>2363</v>
      </c>
      <c r="B21" s="134">
        <v>9.9600000000000009</v>
      </c>
      <c r="C21" s="134">
        <v>24.81</v>
      </c>
      <c r="D21" s="134">
        <v>22.3</v>
      </c>
      <c r="E21" s="134">
        <v>6.12</v>
      </c>
      <c r="F21" s="134">
        <v>3.06</v>
      </c>
      <c r="G21" s="134">
        <v>79.08</v>
      </c>
      <c r="H21" s="134">
        <v>33.35</v>
      </c>
      <c r="I21" s="134">
        <v>6.51</v>
      </c>
      <c r="J21" s="134">
        <v>0.28000000000000003</v>
      </c>
      <c r="K21" s="134">
        <v>32.950000000000003</v>
      </c>
      <c r="L21" s="134">
        <v>18.850000000000001</v>
      </c>
      <c r="M21" s="134">
        <v>83.15</v>
      </c>
      <c r="N21" s="134">
        <v>0</v>
      </c>
      <c r="O21" s="134">
        <v>0</v>
      </c>
      <c r="P21" s="134">
        <v>0</v>
      </c>
      <c r="Q21" s="134">
        <v>0</v>
      </c>
    </row>
    <row r="22" spans="1:17" customFormat="1">
      <c r="A22" s="112" t="s">
        <v>2364</v>
      </c>
      <c r="B22" s="134">
        <v>10.26</v>
      </c>
      <c r="C22" s="134">
        <v>25.66</v>
      </c>
      <c r="D22" s="134">
        <v>22.99</v>
      </c>
      <c r="E22" s="134">
        <v>5.89</v>
      </c>
      <c r="F22" s="134">
        <v>2.73</v>
      </c>
      <c r="G22" s="134">
        <v>86.4</v>
      </c>
      <c r="H22" s="134">
        <v>37.21</v>
      </c>
      <c r="I22" s="134">
        <v>6.53</v>
      </c>
      <c r="J22" s="134">
        <v>0.08</v>
      </c>
      <c r="K22" s="134">
        <v>44.25</v>
      </c>
      <c r="L22" s="134">
        <v>18.77</v>
      </c>
      <c r="M22" s="134">
        <v>85.53</v>
      </c>
      <c r="N22" s="134">
        <v>0</v>
      </c>
      <c r="O22" s="134">
        <v>0</v>
      </c>
      <c r="P22" s="134">
        <v>0</v>
      </c>
      <c r="Q22" s="134">
        <v>0</v>
      </c>
    </row>
    <row r="23" spans="1:17" customFormat="1">
      <c r="A23" s="112" t="s">
        <v>2365</v>
      </c>
      <c r="B23" s="134">
        <v>10.31</v>
      </c>
      <c r="C23" s="134">
        <v>25.1</v>
      </c>
      <c r="D23" s="134">
        <v>22.73</v>
      </c>
      <c r="E23" s="134">
        <v>5.99</v>
      </c>
      <c r="F23" s="134">
        <v>2.84</v>
      </c>
      <c r="G23" s="134">
        <v>87.87</v>
      </c>
      <c r="H23" s="134">
        <v>37.21</v>
      </c>
      <c r="I23" s="134">
        <v>6.48</v>
      </c>
      <c r="J23" s="134">
        <v>0.14000000000000001</v>
      </c>
      <c r="K23" s="134">
        <v>38.340000000000003</v>
      </c>
      <c r="L23" s="134">
        <v>18.45</v>
      </c>
      <c r="M23" s="134">
        <v>84.18</v>
      </c>
      <c r="N23" s="134">
        <v>0</v>
      </c>
      <c r="O23" s="134">
        <v>0</v>
      </c>
      <c r="P23" s="134">
        <v>0</v>
      </c>
      <c r="Q23" s="134">
        <v>0</v>
      </c>
    </row>
    <row r="24" spans="1:17" customFormat="1">
      <c r="A24" s="112" t="s">
        <v>2366</v>
      </c>
      <c r="B24" s="134">
        <v>10.89</v>
      </c>
      <c r="C24" s="134">
        <v>25.99</v>
      </c>
      <c r="D24" s="134">
        <v>23.66</v>
      </c>
      <c r="E24" s="134">
        <v>6.04</v>
      </c>
      <c r="F24" s="134">
        <v>2.57</v>
      </c>
      <c r="G24" s="134">
        <v>87.87</v>
      </c>
      <c r="H24" s="134">
        <v>37.21</v>
      </c>
      <c r="I24" s="134">
        <v>6.5</v>
      </c>
      <c r="J24" s="134">
        <v>0.17</v>
      </c>
      <c r="K24" s="134">
        <v>52.26</v>
      </c>
      <c r="L24" s="134">
        <v>18.489999999999998</v>
      </c>
      <c r="M24" s="134">
        <v>82.22</v>
      </c>
      <c r="N24" s="134">
        <v>0</v>
      </c>
      <c r="O24" s="134">
        <v>0</v>
      </c>
      <c r="P24" s="134">
        <v>0</v>
      </c>
      <c r="Q24" s="134">
        <v>0</v>
      </c>
    </row>
    <row r="25" spans="1:17" customFormat="1">
      <c r="A25" s="112" t="s">
        <v>2367</v>
      </c>
      <c r="B25" s="134">
        <v>11.69</v>
      </c>
      <c r="C25" s="134">
        <v>25.99</v>
      </c>
      <c r="D25" s="134">
        <v>24.3</v>
      </c>
      <c r="E25" s="134">
        <v>5.36</v>
      </c>
      <c r="F25" s="134">
        <v>2.5299999999999998</v>
      </c>
      <c r="G25" s="134">
        <v>87.87</v>
      </c>
      <c r="H25" s="134">
        <v>37.21</v>
      </c>
      <c r="I25" s="134">
        <v>6.41</v>
      </c>
      <c r="J25" s="134">
        <v>0.1</v>
      </c>
      <c r="K25" s="134">
        <v>93.15</v>
      </c>
      <c r="L25" s="134">
        <v>18.52</v>
      </c>
      <c r="M25" s="134">
        <v>82.28</v>
      </c>
      <c r="N25" s="134">
        <v>0</v>
      </c>
      <c r="O25" s="134">
        <v>0</v>
      </c>
      <c r="P25" s="134">
        <v>0</v>
      </c>
      <c r="Q25" s="134">
        <v>0</v>
      </c>
    </row>
    <row r="26" spans="1:17" customFormat="1">
      <c r="A26" s="112" t="s">
        <v>2368</v>
      </c>
      <c r="B26" s="134">
        <v>12</v>
      </c>
      <c r="C26" s="134">
        <v>25.86</v>
      </c>
      <c r="D26" s="134">
        <v>24.49</v>
      </c>
      <c r="E26" s="134">
        <v>5.54</v>
      </c>
      <c r="F26" s="134">
        <v>2.71</v>
      </c>
      <c r="G26" s="134">
        <v>84.15</v>
      </c>
      <c r="H26" s="134">
        <v>37.119999999999997</v>
      </c>
      <c r="I26" s="134">
        <v>6.43</v>
      </c>
      <c r="J26" s="134">
        <v>0.12</v>
      </c>
      <c r="K26" s="134">
        <v>79.59</v>
      </c>
      <c r="L26" s="134">
        <v>18.420000000000002</v>
      </c>
      <c r="M26" s="134">
        <v>83.1</v>
      </c>
      <c r="N26" s="134">
        <v>0</v>
      </c>
      <c r="O26" s="134">
        <v>0</v>
      </c>
      <c r="P26" s="134">
        <v>0</v>
      </c>
      <c r="Q26" s="134">
        <v>0</v>
      </c>
    </row>
    <row r="27" spans="1:17" customFormat="1">
      <c r="A27" s="112" t="s">
        <v>2369</v>
      </c>
      <c r="B27" s="134">
        <v>12.1</v>
      </c>
      <c r="C27" s="134">
        <v>26.49</v>
      </c>
      <c r="D27" s="134">
        <v>24.89</v>
      </c>
      <c r="E27" s="134">
        <v>5.74</v>
      </c>
      <c r="F27" s="134">
        <v>2.48</v>
      </c>
      <c r="G27" s="134">
        <v>83.41</v>
      </c>
      <c r="H27" s="134">
        <v>37.119999999999997</v>
      </c>
      <c r="I27" s="134">
        <v>6.36</v>
      </c>
      <c r="J27" s="134">
        <v>0.12</v>
      </c>
      <c r="K27" s="134">
        <v>56.74</v>
      </c>
      <c r="L27" s="134">
        <v>18.440000000000001</v>
      </c>
      <c r="M27" s="134">
        <v>82.63</v>
      </c>
      <c r="N27" s="134">
        <v>0</v>
      </c>
      <c r="O27" s="134">
        <v>0</v>
      </c>
      <c r="P27" s="134">
        <v>0</v>
      </c>
      <c r="Q27" s="134">
        <v>0</v>
      </c>
    </row>
    <row r="28" spans="1:17" customFormat="1">
      <c r="A28" s="112" t="s">
        <v>2370</v>
      </c>
      <c r="B28" s="134">
        <v>12.31</v>
      </c>
      <c r="C28" s="134">
        <v>26.04</v>
      </c>
      <c r="D28" s="134">
        <v>24.83</v>
      </c>
      <c r="E28" s="134">
        <v>5.43</v>
      </c>
      <c r="F28" s="134">
        <v>2.67</v>
      </c>
      <c r="G28" s="134">
        <v>83.41</v>
      </c>
      <c r="H28" s="134">
        <v>37.119999999999997</v>
      </c>
      <c r="I28" s="134">
        <v>6.32</v>
      </c>
      <c r="J28" s="134">
        <v>0.09</v>
      </c>
      <c r="K28" s="134">
        <v>90.31</v>
      </c>
      <c r="L28" s="134">
        <v>18.489999999999998</v>
      </c>
      <c r="M28" s="134">
        <v>83.1</v>
      </c>
      <c r="N28" s="134">
        <v>0</v>
      </c>
      <c r="O28" s="134">
        <v>0</v>
      </c>
      <c r="P28" s="134">
        <v>0</v>
      </c>
      <c r="Q28" s="134">
        <v>0</v>
      </c>
    </row>
    <row r="29" spans="1:17" customFormat="1">
      <c r="A29" s="112" t="s">
        <v>2371</v>
      </c>
      <c r="B29" s="134">
        <v>12.62</v>
      </c>
      <c r="C29" s="134">
        <v>26.41</v>
      </c>
      <c r="D29" s="134">
        <v>25.27</v>
      </c>
      <c r="E29" s="134">
        <v>5.39</v>
      </c>
      <c r="F29" s="134">
        <v>2.62</v>
      </c>
      <c r="G29" s="134">
        <v>83.41</v>
      </c>
      <c r="H29" s="134">
        <v>37.119999999999997</v>
      </c>
      <c r="I29" s="134">
        <v>6.36</v>
      </c>
      <c r="J29" s="134">
        <v>0.08</v>
      </c>
      <c r="K29" s="134">
        <v>52.93</v>
      </c>
      <c r="L29" s="134">
        <v>18.420000000000002</v>
      </c>
      <c r="M29" s="134">
        <v>83.72</v>
      </c>
      <c r="N29" s="134">
        <v>0</v>
      </c>
      <c r="O29" s="134">
        <v>0</v>
      </c>
      <c r="P29" s="134">
        <v>0</v>
      </c>
      <c r="Q29" s="134">
        <v>0</v>
      </c>
    </row>
    <row r="30" spans="1:17" customFormat="1">
      <c r="A30" s="112" t="s">
        <v>2372</v>
      </c>
      <c r="B30" s="134">
        <v>12.98</v>
      </c>
      <c r="C30" s="134">
        <v>26.94</v>
      </c>
      <c r="D30" s="134">
        <v>25.83</v>
      </c>
      <c r="E30" s="134">
        <v>5.59</v>
      </c>
      <c r="F30" s="134">
        <v>2.4900000000000002</v>
      </c>
      <c r="G30" s="134">
        <v>86.48</v>
      </c>
      <c r="H30" s="134">
        <v>37.79</v>
      </c>
      <c r="I30" s="134">
        <v>6.26</v>
      </c>
      <c r="J30" s="134">
        <v>0.17</v>
      </c>
      <c r="K30" s="134">
        <v>53</v>
      </c>
      <c r="L30" s="134">
        <v>18.440000000000001</v>
      </c>
      <c r="M30" s="134">
        <v>83.23</v>
      </c>
      <c r="N30" s="134">
        <v>0</v>
      </c>
      <c r="O30" s="134">
        <v>0</v>
      </c>
      <c r="P30" s="134">
        <v>0</v>
      </c>
      <c r="Q30" s="134">
        <v>0</v>
      </c>
    </row>
    <row r="31" spans="1:17" customFormat="1">
      <c r="A31" s="112" t="s">
        <v>2373</v>
      </c>
      <c r="B31" s="134">
        <v>13.5</v>
      </c>
      <c r="C31" s="134">
        <v>26.63</v>
      </c>
      <c r="D31" s="134">
        <v>26.09</v>
      </c>
      <c r="E31" s="134">
        <v>5.78</v>
      </c>
      <c r="F31" s="134">
        <v>2.59</v>
      </c>
      <c r="G31" s="134">
        <v>87.1</v>
      </c>
      <c r="H31" s="134">
        <v>37.79</v>
      </c>
      <c r="I31" s="134">
        <v>6.25</v>
      </c>
      <c r="J31" s="134">
        <v>0.11</v>
      </c>
      <c r="K31" s="134">
        <v>56.87</v>
      </c>
      <c r="L31" s="134">
        <v>18.43</v>
      </c>
      <c r="M31" s="134">
        <v>83.5</v>
      </c>
      <c r="N31" s="134">
        <v>0</v>
      </c>
      <c r="O31" s="134">
        <v>0</v>
      </c>
      <c r="P31" s="134">
        <v>0</v>
      </c>
      <c r="Q31" s="134">
        <v>0</v>
      </c>
    </row>
    <row r="32" spans="1:17" customFormat="1">
      <c r="A32" s="112" t="s">
        <v>2374</v>
      </c>
      <c r="B32" s="134">
        <v>13.95</v>
      </c>
      <c r="C32" s="134">
        <v>27.06</v>
      </c>
      <c r="D32" s="134">
        <v>26.67</v>
      </c>
      <c r="E32" s="134">
        <v>5.85</v>
      </c>
      <c r="F32" s="134">
        <v>2.48</v>
      </c>
      <c r="G32" s="134">
        <v>87.1</v>
      </c>
      <c r="H32" s="134">
        <v>37.79</v>
      </c>
      <c r="I32" s="134">
        <v>6.22</v>
      </c>
      <c r="J32" s="134">
        <v>0.2</v>
      </c>
      <c r="K32" s="134">
        <v>54.14</v>
      </c>
      <c r="L32" s="134">
        <v>18.29</v>
      </c>
      <c r="M32" s="134">
        <v>83.87</v>
      </c>
      <c r="N32" s="134">
        <v>0</v>
      </c>
      <c r="O32" s="134">
        <v>0</v>
      </c>
      <c r="P32" s="134">
        <v>0</v>
      </c>
      <c r="Q32" s="134">
        <v>0</v>
      </c>
    </row>
    <row r="33" spans="1:17" customFormat="1">
      <c r="A33" s="112" t="s">
        <v>2375</v>
      </c>
      <c r="B33" s="134">
        <v>14.39</v>
      </c>
      <c r="C33" s="134">
        <v>26.78</v>
      </c>
      <c r="D33" s="134">
        <v>26.88</v>
      </c>
      <c r="E33" s="134">
        <v>5.58</v>
      </c>
      <c r="F33" s="134">
        <v>2.58</v>
      </c>
      <c r="G33" s="134">
        <v>87.1</v>
      </c>
      <c r="H33" s="134">
        <v>37.79</v>
      </c>
      <c r="I33" s="134">
        <v>6.19</v>
      </c>
      <c r="J33" s="134">
        <v>0.31</v>
      </c>
      <c r="K33" s="134">
        <v>52.79</v>
      </c>
      <c r="L33" s="134">
        <v>18.32</v>
      </c>
      <c r="M33" s="134">
        <v>83.46</v>
      </c>
      <c r="N33" s="134">
        <v>0</v>
      </c>
      <c r="O33" s="134">
        <v>0</v>
      </c>
      <c r="P33" s="134">
        <v>0</v>
      </c>
      <c r="Q33" s="134">
        <v>0</v>
      </c>
    </row>
    <row r="34" spans="1:17" customFormat="1">
      <c r="A34" s="112" t="s">
        <v>2376</v>
      </c>
      <c r="B34" s="134">
        <v>14.46</v>
      </c>
      <c r="C34" s="134">
        <v>27.32</v>
      </c>
      <c r="D34" s="134">
        <v>27.22</v>
      </c>
      <c r="E34" s="134">
        <v>6.18</v>
      </c>
      <c r="F34" s="134">
        <v>2.46</v>
      </c>
      <c r="G34" s="134">
        <v>86.19</v>
      </c>
      <c r="H34" s="134">
        <v>39.18</v>
      </c>
      <c r="I34" s="134">
        <v>6.17</v>
      </c>
      <c r="J34" s="134">
        <v>0.35</v>
      </c>
      <c r="K34" s="134">
        <v>54.4</v>
      </c>
      <c r="L34" s="134">
        <v>18.399999999999999</v>
      </c>
      <c r="M34" s="134">
        <v>83.19</v>
      </c>
      <c r="N34" s="134">
        <v>0.6</v>
      </c>
      <c r="O34" s="134">
        <v>0</v>
      </c>
      <c r="P34" s="134">
        <v>0</v>
      </c>
      <c r="Q34" s="134">
        <v>0</v>
      </c>
    </row>
    <row r="35" spans="1:17" customFormat="1">
      <c r="A35" s="112" t="s">
        <v>2377</v>
      </c>
      <c r="B35" s="134">
        <v>14.71</v>
      </c>
      <c r="C35" s="134">
        <v>27.38</v>
      </c>
      <c r="D35" s="134">
        <v>27.45</v>
      </c>
      <c r="E35" s="134">
        <v>5.34</v>
      </c>
      <c r="F35" s="134">
        <v>2.66</v>
      </c>
      <c r="G35" s="134">
        <v>86.01</v>
      </c>
      <c r="H35" s="134">
        <v>39.18</v>
      </c>
      <c r="I35" s="134">
        <v>6.14</v>
      </c>
      <c r="J35" s="134">
        <v>0.24</v>
      </c>
      <c r="K35" s="134">
        <v>51.05</v>
      </c>
      <c r="L35" s="134">
        <v>18.440000000000001</v>
      </c>
      <c r="M35" s="134">
        <v>83.41</v>
      </c>
      <c r="N35" s="134">
        <v>8.3000000000000007</v>
      </c>
      <c r="O35" s="134">
        <v>0</v>
      </c>
      <c r="P35" s="134">
        <v>0</v>
      </c>
      <c r="Q35" s="134">
        <v>0</v>
      </c>
    </row>
    <row r="36" spans="1:17" customFormat="1">
      <c r="A36" s="112" t="s">
        <v>2378</v>
      </c>
      <c r="B36" s="134">
        <v>14.89</v>
      </c>
      <c r="C36" s="134">
        <v>27.49</v>
      </c>
      <c r="D36" s="134">
        <v>27.65</v>
      </c>
      <c r="E36" s="134">
        <v>5.79</v>
      </c>
      <c r="F36" s="134">
        <v>2.68</v>
      </c>
      <c r="G36" s="134">
        <v>86.01</v>
      </c>
      <c r="H36" s="134">
        <v>39.18</v>
      </c>
      <c r="I36" s="134">
        <v>6.16</v>
      </c>
      <c r="J36" s="134">
        <v>0.08</v>
      </c>
      <c r="K36" s="134">
        <v>163.93</v>
      </c>
      <c r="L36" s="134">
        <v>18.68</v>
      </c>
      <c r="M36" s="134">
        <v>85.06</v>
      </c>
      <c r="N36" s="134">
        <v>19.100000000000001</v>
      </c>
      <c r="O36" s="134">
        <v>0</v>
      </c>
      <c r="P36" s="134">
        <v>0</v>
      </c>
      <c r="Q36" s="134">
        <v>0</v>
      </c>
    </row>
    <row r="37" spans="1:17" customFormat="1">
      <c r="A37" s="112" t="s">
        <v>2379</v>
      </c>
      <c r="B37" s="134">
        <v>14.9</v>
      </c>
      <c r="C37" s="134">
        <v>27.99</v>
      </c>
      <c r="D37" s="134">
        <v>27.92</v>
      </c>
      <c r="E37" s="134">
        <v>6.11</v>
      </c>
      <c r="F37" s="134">
        <v>2.5299999999999998</v>
      </c>
      <c r="G37" s="134">
        <v>86.01</v>
      </c>
      <c r="H37" s="134">
        <v>39.18</v>
      </c>
      <c r="I37" s="134">
        <v>6.15</v>
      </c>
      <c r="J37" s="134">
        <v>0.21</v>
      </c>
      <c r="K37" s="134">
        <v>56.54</v>
      </c>
      <c r="L37" s="134">
        <v>18.989999999999998</v>
      </c>
      <c r="M37" s="134">
        <v>84.47</v>
      </c>
      <c r="N37" s="134">
        <v>32.799999999999997</v>
      </c>
      <c r="O37" s="134">
        <v>0</v>
      </c>
      <c r="P37" s="134">
        <v>0</v>
      </c>
      <c r="Q37" s="134">
        <v>0</v>
      </c>
    </row>
    <row r="38" spans="1:17" customFormat="1">
      <c r="A38" s="112" t="s">
        <v>2380</v>
      </c>
      <c r="B38" s="134">
        <v>14.88</v>
      </c>
      <c r="C38" s="134">
        <v>26.89</v>
      </c>
      <c r="D38" s="134">
        <v>27.33</v>
      </c>
      <c r="E38" s="134">
        <v>5.73</v>
      </c>
      <c r="F38" s="134">
        <v>2.76</v>
      </c>
      <c r="G38" s="134">
        <v>85.12</v>
      </c>
      <c r="H38" s="134">
        <v>40.56</v>
      </c>
      <c r="I38" s="134">
        <v>6.17</v>
      </c>
      <c r="J38" s="134">
        <v>0.28999999999999998</v>
      </c>
      <c r="K38" s="134">
        <v>48.83</v>
      </c>
      <c r="L38" s="134">
        <v>19.43</v>
      </c>
      <c r="M38" s="134">
        <v>81.260000000000005</v>
      </c>
      <c r="N38" s="134">
        <v>47.2</v>
      </c>
      <c r="O38" s="134">
        <v>0</v>
      </c>
      <c r="P38" s="134">
        <v>0</v>
      </c>
      <c r="Q38" s="134">
        <v>0</v>
      </c>
    </row>
    <row r="39" spans="1:17" customFormat="1">
      <c r="A39" s="112" t="s">
        <v>2381</v>
      </c>
      <c r="B39" s="134">
        <v>14.4</v>
      </c>
      <c r="C39" s="134">
        <v>27.06</v>
      </c>
      <c r="D39" s="134">
        <v>27.03</v>
      </c>
      <c r="E39" s="134">
        <v>6.28</v>
      </c>
      <c r="F39" s="134">
        <v>2.74</v>
      </c>
      <c r="G39" s="134">
        <v>84.94</v>
      </c>
      <c r="H39" s="134">
        <v>40.56</v>
      </c>
      <c r="I39" s="134">
        <v>6.24</v>
      </c>
      <c r="J39" s="134">
        <v>0.35</v>
      </c>
      <c r="K39" s="134">
        <v>45.17</v>
      </c>
      <c r="L39" s="134">
        <v>19.88</v>
      </c>
      <c r="M39" s="134">
        <v>79.73</v>
      </c>
      <c r="N39" s="134">
        <v>74.2</v>
      </c>
      <c r="O39" s="134">
        <v>0</v>
      </c>
      <c r="P39" s="134">
        <v>0</v>
      </c>
      <c r="Q39" s="134">
        <v>0</v>
      </c>
    </row>
    <row r="40" spans="1:17" customFormat="1">
      <c r="A40" s="112" t="s">
        <v>2382</v>
      </c>
      <c r="B40" s="134">
        <v>14.02</v>
      </c>
      <c r="C40" s="134">
        <v>28.05</v>
      </c>
      <c r="D40" s="134">
        <v>27.25</v>
      </c>
      <c r="E40" s="134">
        <v>6.47</v>
      </c>
      <c r="F40" s="134">
        <v>2.84</v>
      </c>
      <c r="G40" s="134">
        <v>84.94</v>
      </c>
      <c r="H40" s="134">
        <v>40.56</v>
      </c>
      <c r="I40" s="134">
        <v>6.33</v>
      </c>
      <c r="J40" s="134">
        <v>0.41</v>
      </c>
      <c r="K40" s="134">
        <v>40.01</v>
      </c>
      <c r="L40" s="134">
        <v>20.43</v>
      </c>
      <c r="M40" s="134">
        <v>76.95</v>
      </c>
      <c r="N40" s="134">
        <v>130.5</v>
      </c>
      <c r="O40" s="134">
        <v>0</v>
      </c>
      <c r="P40" s="134">
        <v>0</v>
      </c>
      <c r="Q40" s="134">
        <v>0</v>
      </c>
    </row>
    <row r="41" spans="1:17" customFormat="1">
      <c r="A41" s="112" t="s">
        <v>2383</v>
      </c>
      <c r="B41" s="134">
        <v>13.7</v>
      </c>
      <c r="C41" s="134">
        <v>28.97</v>
      </c>
      <c r="D41" s="134">
        <v>27.47</v>
      </c>
      <c r="E41" s="134">
        <v>6.85</v>
      </c>
      <c r="F41" s="134">
        <v>2.98</v>
      </c>
      <c r="G41" s="134">
        <v>84.94</v>
      </c>
      <c r="H41" s="134">
        <v>40.56</v>
      </c>
      <c r="I41" s="134">
        <v>6.48</v>
      </c>
      <c r="J41" s="134">
        <v>0.42</v>
      </c>
      <c r="K41" s="134">
        <v>45.63</v>
      </c>
      <c r="L41" s="134">
        <v>20.99</v>
      </c>
      <c r="M41" s="134">
        <v>74.67</v>
      </c>
      <c r="N41" s="134">
        <v>158.19999999999999</v>
      </c>
      <c r="O41" s="134">
        <v>0</v>
      </c>
      <c r="P41" s="134">
        <v>0</v>
      </c>
      <c r="Q41" s="134">
        <v>0</v>
      </c>
    </row>
    <row r="42" spans="1:17" customFormat="1">
      <c r="A42" s="112" t="s">
        <v>2384</v>
      </c>
      <c r="B42" s="134">
        <v>13</v>
      </c>
      <c r="C42" s="134">
        <v>29.92</v>
      </c>
      <c r="D42" s="134">
        <v>27.41</v>
      </c>
      <c r="E42" s="134">
        <v>6.78</v>
      </c>
      <c r="F42" s="134">
        <v>2.91</v>
      </c>
      <c r="G42" s="134">
        <v>90.59</v>
      </c>
      <c r="H42" s="134">
        <v>42.71</v>
      </c>
      <c r="I42" s="134">
        <v>6.66</v>
      </c>
      <c r="J42" s="134">
        <v>0.31</v>
      </c>
      <c r="K42" s="134">
        <v>51.05</v>
      </c>
      <c r="L42" s="134">
        <v>21.77</v>
      </c>
      <c r="M42" s="134">
        <v>72</v>
      </c>
      <c r="N42" s="134">
        <v>186.4</v>
      </c>
      <c r="O42" s="134">
        <v>0</v>
      </c>
      <c r="P42" s="134">
        <v>0</v>
      </c>
      <c r="Q42" s="134">
        <v>0</v>
      </c>
    </row>
    <row r="43" spans="1:17" customFormat="1">
      <c r="A43" s="112" t="s">
        <v>2385</v>
      </c>
      <c r="B43" s="134">
        <v>12.3</v>
      </c>
      <c r="C43" s="134">
        <v>30.78</v>
      </c>
      <c r="D43" s="134">
        <v>27.3</v>
      </c>
      <c r="E43" s="134">
        <v>7.31</v>
      </c>
      <c r="F43" s="134">
        <v>3.01</v>
      </c>
      <c r="G43" s="134">
        <v>91.72</v>
      </c>
      <c r="H43" s="134">
        <v>42.71</v>
      </c>
      <c r="I43" s="134">
        <v>6.83</v>
      </c>
      <c r="J43" s="134">
        <v>0.28000000000000003</v>
      </c>
      <c r="K43" s="134">
        <v>92.8</v>
      </c>
      <c r="L43" s="134">
        <v>22.91</v>
      </c>
      <c r="M43" s="134">
        <v>67.510000000000005</v>
      </c>
      <c r="N43" s="134">
        <v>223.4</v>
      </c>
      <c r="O43" s="134">
        <v>0</v>
      </c>
      <c r="P43" s="134">
        <v>0</v>
      </c>
      <c r="Q43" s="134">
        <v>0</v>
      </c>
    </row>
    <row r="44" spans="1:17" customFormat="1">
      <c r="A44" s="112" t="s">
        <v>2386</v>
      </c>
      <c r="B44" s="134">
        <v>11.42</v>
      </c>
      <c r="C44" s="134">
        <v>31.17</v>
      </c>
      <c r="D44" s="134">
        <v>26.79</v>
      </c>
      <c r="E44" s="134">
        <v>6.78</v>
      </c>
      <c r="F44" s="134">
        <v>3.21</v>
      </c>
      <c r="G44" s="134">
        <v>91.72</v>
      </c>
      <c r="H44" s="134">
        <v>42.71</v>
      </c>
      <c r="I44" s="134">
        <v>7.07</v>
      </c>
      <c r="J44" s="134">
        <v>0.35</v>
      </c>
      <c r="K44" s="134">
        <v>57.24</v>
      </c>
      <c r="L44" s="134">
        <v>23.45</v>
      </c>
      <c r="M44" s="134">
        <v>66.53</v>
      </c>
      <c r="N44" s="134">
        <v>246.5</v>
      </c>
      <c r="O44" s="134">
        <v>0</v>
      </c>
      <c r="P44" s="134">
        <v>0</v>
      </c>
      <c r="Q44" s="134">
        <v>0</v>
      </c>
    </row>
    <row r="45" spans="1:17" customFormat="1">
      <c r="A45" s="112" t="s">
        <v>2387</v>
      </c>
      <c r="B45" s="134">
        <v>10.41</v>
      </c>
      <c r="C45" s="134">
        <v>31.08</v>
      </c>
      <c r="D45" s="134">
        <v>25.94</v>
      </c>
      <c r="E45" s="134">
        <v>7.61</v>
      </c>
      <c r="F45" s="134">
        <v>3.25</v>
      </c>
      <c r="G45" s="134">
        <v>91.72</v>
      </c>
      <c r="H45" s="134">
        <v>42.71</v>
      </c>
      <c r="I45" s="134">
        <v>7.3</v>
      </c>
      <c r="J45" s="134">
        <v>0.3</v>
      </c>
      <c r="K45" s="134">
        <v>54.74</v>
      </c>
      <c r="L45" s="134">
        <v>24.33</v>
      </c>
      <c r="M45" s="134">
        <v>63.46</v>
      </c>
      <c r="N45" s="134">
        <v>231.4</v>
      </c>
      <c r="O45" s="134">
        <v>0</v>
      </c>
      <c r="P45" s="134">
        <v>0</v>
      </c>
      <c r="Q45" s="134">
        <v>0</v>
      </c>
    </row>
    <row r="46" spans="1:17" customFormat="1">
      <c r="A46" s="112" t="s">
        <v>2388</v>
      </c>
      <c r="B46" s="134">
        <v>9.2200000000000006</v>
      </c>
      <c r="C46" s="134">
        <v>31.23</v>
      </c>
      <c r="D46" s="134">
        <v>25.06</v>
      </c>
      <c r="E46" s="134">
        <v>7.57</v>
      </c>
      <c r="F46" s="134">
        <v>3.45</v>
      </c>
      <c r="G46" s="134">
        <v>104.88</v>
      </c>
      <c r="H46" s="134">
        <v>44.2</v>
      </c>
      <c r="I46" s="134">
        <v>7.67</v>
      </c>
      <c r="J46" s="134">
        <v>0.43</v>
      </c>
      <c r="K46" s="134">
        <v>65.099999999999994</v>
      </c>
      <c r="L46" s="134">
        <v>24.94</v>
      </c>
      <c r="M46" s="134">
        <v>59.36</v>
      </c>
      <c r="N46" s="134">
        <v>232</v>
      </c>
      <c r="O46" s="134">
        <v>0</v>
      </c>
      <c r="P46" s="134">
        <v>0</v>
      </c>
      <c r="Q46" s="134">
        <v>0</v>
      </c>
    </row>
    <row r="47" spans="1:17" customFormat="1">
      <c r="A47" s="112" t="s">
        <v>2389</v>
      </c>
      <c r="B47" s="134">
        <v>7.99</v>
      </c>
      <c r="C47" s="134">
        <v>31.16</v>
      </c>
      <c r="D47" s="134">
        <v>24.03</v>
      </c>
      <c r="E47" s="134">
        <v>7.36</v>
      </c>
      <c r="F47" s="134">
        <v>3.69</v>
      </c>
      <c r="G47" s="134">
        <v>107.51</v>
      </c>
      <c r="H47" s="134">
        <v>44.2</v>
      </c>
      <c r="I47" s="134">
        <v>8.06</v>
      </c>
      <c r="J47" s="134">
        <v>0.44</v>
      </c>
      <c r="K47" s="134">
        <v>43.7</v>
      </c>
      <c r="L47" s="134">
        <v>25.7</v>
      </c>
      <c r="M47" s="134">
        <v>57.01</v>
      </c>
      <c r="N47" s="134">
        <v>344.8</v>
      </c>
      <c r="O47" s="134">
        <v>0</v>
      </c>
      <c r="P47" s="134">
        <v>0</v>
      </c>
      <c r="Q47" s="134">
        <v>0</v>
      </c>
    </row>
    <row r="48" spans="1:17" customFormat="1">
      <c r="A48" s="112" t="s">
        <v>2390</v>
      </c>
      <c r="B48" s="134">
        <v>7.27</v>
      </c>
      <c r="C48" s="134">
        <v>31.58</v>
      </c>
      <c r="D48" s="134">
        <v>23.68</v>
      </c>
      <c r="E48" s="134">
        <v>7.63</v>
      </c>
      <c r="F48" s="134">
        <v>3.63</v>
      </c>
      <c r="G48" s="134">
        <v>107.51</v>
      </c>
      <c r="H48" s="134">
        <v>44.2</v>
      </c>
      <c r="I48" s="134">
        <v>8.1300000000000008</v>
      </c>
      <c r="J48" s="134">
        <v>0.42</v>
      </c>
      <c r="K48" s="134">
        <v>49.13</v>
      </c>
      <c r="L48" s="134">
        <v>26.16</v>
      </c>
      <c r="M48" s="134">
        <v>54.81</v>
      </c>
      <c r="N48" s="134">
        <v>376</v>
      </c>
      <c r="O48" s="134">
        <v>0</v>
      </c>
      <c r="P48" s="134">
        <v>0</v>
      </c>
      <c r="Q48" s="134">
        <v>0</v>
      </c>
    </row>
    <row r="49" spans="1:17" customFormat="1">
      <c r="A49" s="112" t="s">
        <v>2391</v>
      </c>
      <c r="B49" s="134">
        <v>6.42</v>
      </c>
      <c r="C49" s="134">
        <v>31.18</v>
      </c>
      <c r="D49" s="134">
        <v>22.79</v>
      </c>
      <c r="E49" s="134">
        <v>9.41</v>
      </c>
      <c r="F49" s="134">
        <v>4.25</v>
      </c>
      <c r="G49" s="134">
        <v>107.51</v>
      </c>
      <c r="H49" s="134">
        <v>44.2</v>
      </c>
      <c r="I49" s="134">
        <v>8</v>
      </c>
      <c r="J49" s="134">
        <v>0.21</v>
      </c>
      <c r="K49" s="134">
        <v>99.03</v>
      </c>
      <c r="L49" s="134">
        <v>26.82</v>
      </c>
      <c r="M49" s="134">
        <v>51.23</v>
      </c>
      <c r="N49" s="134">
        <v>397</v>
      </c>
      <c r="O49" s="134">
        <v>0</v>
      </c>
      <c r="P49" s="134">
        <v>0</v>
      </c>
      <c r="Q49" s="134">
        <v>0</v>
      </c>
    </row>
    <row r="50" spans="1:17" customFormat="1">
      <c r="A50" s="112" t="s">
        <v>2392</v>
      </c>
      <c r="B50" s="134">
        <v>5.4</v>
      </c>
      <c r="C50" s="134">
        <v>30.32</v>
      </c>
      <c r="D50" s="134">
        <v>21.52</v>
      </c>
      <c r="E50" s="134">
        <v>10.85</v>
      </c>
      <c r="F50" s="134">
        <v>4.8499999999999996</v>
      </c>
      <c r="G50" s="134">
        <v>98.32</v>
      </c>
      <c r="H50" s="134">
        <v>42.85</v>
      </c>
      <c r="I50" s="134">
        <v>7.89</v>
      </c>
      <c r="J50" s="134">
        <v>0.49</v>
      </c>
      <c r="K50" s="134">
        <v>47.23</v>
      </c>
      <c r="L50" s="134">
        <v>27.08</v>
      </c>
      <c r="M50" s="134">
        <v>50.86</v>
      </c>
      <c r="N50" s="134">
        <v>418.3</v>
      </c>
      <c r="O50" s="134">
        <v>0</v>
      </c>
      <c r="P50" s="134">
        <v>0</v>
      </c>
      <c r="Q50" s="134">
        <v>0</v>
      </c>
    </row>
    <row r="51" spans="1:17" customFormat="1">
      <c r="A51" s="112" t="s">
        <v>2393</v>
      </c>
      <c r="B51" s="134">
        <v>4.79</v>
      </c>
      <c r="C51" s="134">
        <v>29.74</v>
      </c>
      <c r="D51" s="134">
        <v>20.73</v>
      </c>
      <c r="E51" s="134">
        <v>11.25</v>
      </c>
      <c r="F51" s="134">
        <v>5.25</v>
      </c>
      <c r="G51" s="134">
        <v>96.48</v>
      </c>
      <c r="H51" s="134">
        <v>42.85</v>
      </c>
      <c r="I51" s="134">
        <v>7.68</v>
      </c>
      <c r="J51" s="134">
        <v>0.16</v>
      </c>
      <c r="K51" s="134">
        <v>74.36</v>
      </c>
      <c r="L51" s="134">
        <v>27.56</v>
      </c>
      <c r="M51" s="134">
        <v>49.29</v>
      </c>
      <c r="N51" s="134">
        <v>427.6</v>
      </c>
      <c r="O51" s="134">
        <v>0</v>
      </c>
      <c r="P51" s="134">
        <v>0</v>
      </c>
      <c r="Q51" s="134">
        <v>0</v>
      </c>
    </row>
    <row r="52" spans="1:17" customFormat="1">
      <c r="A52" s="112" t="s">
        <v>2394</v>
      </c>
      <c r="B52" s="134">
        <v>4.32</v>
      </c>
      <c r="C52" s="134">
        <v>28.75</v>
      </c>
      <c r="D52" s="134">
        <v>19.84</v>
      </c>
      <c r="E52" s="134">
        <v>11.56</v>
      </c>
      <c r="F52" s="134">
        <v>5.75</v>
      </c>
      <c r="G52" s="134">
        <v>96.48</v>
      </c>
      <c r="H52" s="134">
        <v>42.85</v>
      </c>
      <c r="I52" s="134">
        <v>7.47</v>
      </c>
      <c r="J52" s="134">
        <v>0.21</v>
      </c>
      <c r="K52" s="134">
        <v>90.4</v>
      </c>
      <c r="L52" s="134">
        <v>28.33</v>
      </c>
      <c r="M52" s="134">
        <v>47.01</v>
      </c>
      <c r="N52" s="134">
        <v>417.1</v>
      </c>
      <c r="O52" s="134">
        <v>0</v>
      </c>
      <c r="P52" s="134">
        <v>0</v>
      </c>
      <c r="Q52" s="134">
        <v>0</v>
      </c>
    </row>
    <row r="53" spans="1:17" customFormat="1">
      <c r="A53" s="112" t="s">
        <v>2395</v>
      </c>
      <c r="B53" s="134">
        <v>3.96</v>
      </c>
      <c r="C53" s="134">
        <v>27.78</v>
      </c>
      <c r="D53" s="134">
        <v>19.04</v>
      </c>
      <c r="E53" s="134">
        <v>11.08</v>
      </c>
      <c r="F53" s="134">
        <v>6.34</v>
      </c>
      <c r="G53" s="134">
        <v>96.48</v>
      </c>
      <c r="H53" s="134">
        <v>42.85</v>
      </c>
      <c r="I53" s="134">
        <v>7.21</v>
      </c>
      <c r="J53" s="134">
        <v>0.14000000000000001</v>
      </c>
      <c r="K53" s="134">
        <v>269.66000000000003</v>
      </c>
      <c r="L53" s="134">
        <v>28.33</v>
      </c>
      <c r="M53" s="134">
        <v>45.55</v>
      </c>
      <c r="N53" s="134">
        <v>457.5</v>
      </c>
      <c r="O53" s="134">
        <v>0</v>
      </c>
      <c r="P53" s="134">
        <v>0</v>
      </c>
      <c r="Q53" s="134">
        <v>0</v>
      </c>
    </row>
    <row r="54" spans="1:17" customFormat="1">
      <c r="A54" s="112" t="s">
        <v>2396</v>
      </c>
      <c r="B54" s="134">
        <v>3.85</v>
      </c>
      <c r="C54" s="134">
        <v>26.66</v>
      </c>
      <c r="D54" s="134">
        <v>18.36</v>
      </c>
      <c r="E54" s="134">
        <v>11.26</v>
      </c>
      <c r="F54" s="134">
        <v>6.6</v>
      </c>
      <c r="G54" s="134">
        <v>87.6</v>
      </c>
      <c r="H54" s="134">
        <v>39.93</v>
      </c>
      <c r="I54" s="134">
        <v>6.99</v>
      </c>
      <c r="J54" s="134">
        <v>0.06</v>
      </c>
      <c r="K54" s="134">
        <v>159.31</v>
      </c>
      <c r="L54" s="134">
        <v>28.9</v>
      </c>
      <c r="M54" s="134">
        <v>43.46</v>
      </c>
      <c r="N54" s="134">
        <v>476.9</v>
      </c>
      <c r="O54" s="134">
        <v>0</v>
      </c>
      <c r="P54" s="134">
        <v>0</v>
      </c>
      <c r="Q54" s="134">
        <v>0</v>
      </c>
    </row>
    <row r="55" spans="1:17" customFormat="1">
      <c r="A55" s="112" t="s">
        <v>2397</v>
      </c>
      <c r="B55" s="134">
        <v>3.77</v>
      </c>
      <c r="C55" s="134">
        <v>25.63</v>
      </c>
      <c r="D55" s="134">
        <v>17.77</v>
      </c>
      <c r="E55" s="134">
        <v>11.43</v>
      </c>
      <c r="F55" s="134">
        <v>6.8</v>
      </c>
      <c r="G55" s="134">
        <v>85.82</v>
      </c>
      <c r="H55" s="134">
        <v>39.93</v>
      </c>
      <c r="I55" s="134">
        <v>6.79</v>
      </c>
      <c r="J55" s="134">
        <v>0.31</v>
      </c>
      <c r="K55" s="134">
        <v>96.4</v>
      </c>
      <c r="L55" s="134">
        <v>29.2</v>
      </c>
      <c r="M55" s="134">
        <v>42.08</v>
      </c>
      <c r="N55" s="134">
        <v>463.7</v>
      </c>
      <c r="O55" s="134">
        <v>0</v>
      </c>
      <c r="P55" s="134">
        <v>0</v>
      </c>
      <c r="Q55" s="134">
        <v>0</v>
      </c>
    </row>
    <row r="56" spans="1:17" customFormat="1">
      <c r="A56" s="112" t="s">
        <v>2398</v>
      </c>
      <c r="B56" s="134">
        <v>3.71</v>
      </c>
      <c r="C56" s="134">
        <v>25.02</v>
      </c>
      <c r="D56" s="134">
        <v>17.39</v>
      </c>
      <c r="E56" s="134">
        <v>11.69</v>
      </c>
      <c r="F56" s="134">
        <v>6.73</v>
      </c>
      <c r="G56" s="134">
        <v>85.82</v>
      </c>
      <c r="H56" s="134">
        <v>39.93</v>
      </c>
      <c r="I56" s="134">
        <v>6.56</v>
      </c>
      <c r="J56" s="134">
        <v>0.51</v>
      </c>
      <c r="K56" s="134">
        <v>41.47</v>
      </c>
      <c r="L56" s="134">
        <v>28.86</v>
      </c>
      <c r="M56" s="134">
        <v>42.04</v>
      </c>
      <c r="N56" s="134">
        <v>396.7</v>
      </c>
      <c r="O56" s="134">
        <v>0</v>
      </c>
      <c r="P56" s="134">
        <v>0</v>
      </c>
      <c r="Q56" s="134">
        <v>0</v>
      </c>
    </row>
    <row r="57" spans="1:17" customFormat="1">
      <c r="A57" s="112" t="s">
        <v>2399</v>
      </c>
      <c r="B57" s="134">
        <v>3.77</v>
      </c>
      <c r="C57" s="134">
        <v>24.85</v>
      </c>
      <c r="D57" s="134">
        <v>17.36</v>
      </c>
      <c r="E57" s="134">
        <v>12.09</v>
      </c>
      <c r="F57" s="134">
        <v>6.6</v>
      </c>
      <c r="G57" s="134">
        <v>85.82</v>
      </c>
      <c r="H57" s="134">
        <v>39.93</v>
      </c>
      <c r="I57" s="134">
        <v>6.37</v>
      </c>
      <c r="J57" s="134">
        <v>0.1</v>
      </c>
      <c r="K57" s="134">
        <v>152.13</v>
      </c>
      <c r="L57" s="134">
        <v>28.95</v>
      </c>
      <c r="M57" s="134">
        <v>41.34</v>
      </c>
      <c r="N57" s="134">
        <v>469.2</v>
      </c>
      <c r="O57" s="134">
        <v>0</v>
      </c>
      <c r="P57" s="134">
        <v>0</v>
      </c>
      <c r="Q57" s="134">
        <v>0</v>
      </c>
    </row>
    <row r="58" spans="1:17" customFormat="1">
      <c r="A58" s="112" t="s">
        <v>2400</v>
      </c>
      <c r="B58" s="134">
        <v>3.88</v>
      </c>
      <c r="C58" s="134">
        <v>24.3</v>
      </c>
      <c r="D58" s="134">
        <v>17.16</v>
      </c>
      <c r="E58" s="134">
        <v>11.13</v>
      </c>
      <c r="F58" s="134">
        <v>6.52</v>
      </c>
      <c r="G58" s="134">
        <v>84.93</v>
      </c>
      <c r="H58" s="134">
        <v>39.549999999999997</v>
      </c>
      <c r="I58" s="134">
        <v>6.13</v>
      </c>
      <c r="J58" s="134">
        <v>0.45</v>
      </c>
      <c r="K58" s="134">
        <v>46.19</v>
      </c>
      <c r="L58" s="134">
        <v>29.31</v>
      </c>
      <c r="M58" s="134">
        <v>41.2</v>
      </c>
      <c r="N58" s="134">
        <v>485.5</v>
      </c>
      <c r="O58" s="134">
        <v>0</v>
      </c>
      <c r="P58" s="134">
        <v>0</v>
      </c>
      <c r="Q58" s="134">
        <v>0</v>
      </c>
    </row>
    <row r="59" spans="1:17" customFormat="1">
      <c r="A59" s="112" t="s">
        <v>2401</v>
      </c>
      <c r="B59" s="134">
        <v>3.91</v>
      </c>
      <c r="C59" s="134">
        <v>24.03</v>
      </c>
      <c r="D59" s="134">
        <v>17.04</v>
      </c>
      <c r="E59" s="134">
        <v>10.44</v>
      </c>
      <c r="F59" s="134">
        <v>5.73</v>
      </c>
      <c r="G59" s="134">
        <v>84.75</v>
      </c>
      <c r="H59" s="134">
        <v>39.549999999999997</v>
      </c>
      <c r="I59" s="134">
        <v>5.96</v>
      </c>
      <c r="J59" s="134">
        <v>0.31</v>
      </c>
      <c r="K59" s="134">
        <v>46.21</v>
      </c>
      <c r="L59" s="134">
        <v>29.27</v>
      </c>
      <c r="M59" s="134">
        <v>40.520000000000003</v>
      </c>
      <c r="N59" s="134">
        <v>455.6</v>
      </c>
      <c r="O59" s="134">
        <v>0</v>
      </c>
      <c r="P59" s="134">
        <v>0</v>
      </c>
      <c r="Q59" s="134">
        <v>0</v>
      </c>
    </row>
    <row r="60" spans="1:17" customFormat="1">
      <c r="A60" s="112" t="s">
        <v>2402</v>
      </c>
      <c r="B60" s="134">
        <v>4.04</v>
      </c>
      <c r="C60" s="134">
        <v>22.43</v>
      </c>
      <c r="D60" s="134">
        <v>16.309999999999999</v>
      </c>
      <c r="E60" s="134">
        <v>10.77</v>
      </c>
      <c r="F60" s="134">
        <v>5.5</v>
      </c>
      <c r="G60" s="134">
        <v>84.75</v>
      </c>
      <c r="H60" s="134">
        <v>39.549999999999997</v>
      </c>
      <c r="I60" s="134">
        <v>5.78</v>
      </c>
      <c r="J60" s="134">
        <v>0.46</v>
      </c>
      <c r="K60" s="134">
        <v>2.09</v>
      </c>
      <c r="L60" s="134">
        <v>29.2</v>
      </c>
      <c r="M60" s="134">
        <v>40.86</v>
      </c>
      <c r="N60" s="134">
        <v>419.7</v>
      </c>
      <c r="O60" s="134">
        <v>0</v>
      </c>
      <c r="P60" s="134">
        <v>0</v>
      </c>
      <c r="Q60" s="134">
        <v>0</v>
      </c>
    </row>
    <row r="61" spans="1:17" customFormat="1">
      <c r="A61" s="112" t="s">
        <v>2403</v>
      </c>
      <c r="B61" s="134">
        <v>4.24</v>
      </c>
      <c r="C61" s="134">
        <v>21.46</v>
      </c>
      <c r="D61" s="134">
        <v>15.96</v>
      </c>
      <c r="E61" s="134">
        <v>10.62</v>
      </c>
      <c r="F61" s="134">
        <v>6.01</v>
      </c>
      <c r="G61" s="134">
        <v>84.75</v>
      </c>
      <c r="H61" s="134">
        <v>39.549999999999997</v>
      </c>
      <c r="I61" s="134">
        <v>5.72</v>
      </c>
      <c r="J61" s="134">
        <v>0.08</v>
      </c>
      <c r="K61" s="134">
        <v>86.31</v>
      </c>
      <c r="L61" s="134">
        <v>29.35</v>
      </c>
      <c r="M61" s="134">
        <v>39.92</v>
      </c>
      <c r="N61" s="134">
        <v>411.6</v>
      </c>
      <c r="O61" s="134">
        <v>0</v>
      </c>
      <c r="P61" s="134">
        <v>0</v>
      </c>
      <c r="Q61" s="134">
        <v>0</v>
      </c>
    </row>
    <row r="62" spans="1:17" customFormat="1">
      <c r="A62" s="112" t="s">
        <v>2404</v>
      </c>
      <c r="B62" s="134">
        <v>4.26</v>
      </c>
      <c r="C62" s="134">
        <v>20.74</v>
      </c>
      <c r="D62" s="134">
        <v>15.61</v>
      </c>
      <c r="E62" s="134">
        <v>9.7100000000000009</v>
      </c>
      <c r="F62" s="134">
        <v>5.45</v>
      </c>
      <c r="G62" s="134">
        <v>76.98</v>
      </c>
      <c r="H62" s="134">
        <v>39.520000000000003</v>
      </c>
      <c r="I62" s="134">
        <v>5.68</v>
      </c>
      <c r="J62" s="134">
        <v>0.05</v>
      </c>
      <c r="K62" s="134">
        <v>16.260000000000002</v>
      </c>
      <c r="L62" s="134">
        <v>29.52</v>
      </c>
      <c r="M62" s="134">
        <v>40.42</v>
      </c>
      <c r="N62" s="134">
        <v>401.1</v>
      </c>
      <c r="O62" s="134">
        <v>0</v>
      </c>
      <c r="P62" s="134">
        <v>0</v>
      </c>
      <c r="Q62" s="134">
        <v>0</v>
      </c>
    </row>
    <row r="63" spans="1:17" customFormat="1">
      <c r="A63" s="112" t="s">
        <v>2405</v>
      </c>
      <c r="B63" s="134">
        <v>4.37</v>
      </c>
      <c r="C63" s="134">
        <v>20.2</v>
      </c>
      <c r="D63" s="134">
        <v>15.4</v>
      </c>
      <c r="E63" s="134">
        <v>8.85</v>
      </c>
      <c r="F63" s="134">
        <v>4.58</v>
      </c>
      <c r="G63" s="134">
        <v>75.430000000000007</v>
      </c>
      <c r="H63" s="134">
        <v>39.520000000000003</v>
      </c>
      <c r="I63" s="134">
        <v>5.61</v>
      </c>
      <c r="J63" s="134">
        <v>0.28000000000000003</v>
      </c>
      <c r="K63" s="134">
        <v>72.42</v>
      </c>
      <c r="L63" s="134">
        <v>30.02</v>
      </c>
      <c r="M63" s="134">
        <v>38.950000000000003</v>
      </c>
      <c r="N63" s="134">
        <v>391.9</v>
      </c>
      <c r="O63" s="134">
        <v>0</v>
      </c>
      <c r="P63" s="134">
        <v>0</v>
      </c>
      <c r="Q63" s="134">
        <v>0</v>
      </c>
    </row>
    <row r="64" spans="1:17" customFormat="1">
      <c r="A64" s="112" t="s">
        <v>2406</v>
      </c>
      <c r="B64" s="134">
        <v>4.3600000000000003</v>
      </c>
      <c r="C64" s="134">
        <v>19.71</v>
      </c>
      <c r="D64" s="134">
        <v>15.15</v>
      </c>
      <c r="E64" s="134">
        <v>8.86</v>
      </c>
      <c r="F64" s="134">
        <v>4.2300000000000004</v>
      </c>
      <c r="G64" s="134">
        <v>75.430000000000007</v>
      </c>
      <c r="H64" s="134">
        <v>39.520000000000003</v>
      </c>
      <c r="I64" s="134">
        <v>5.57</v>
      </c>
      <c r="J64" s="134">
        <v>0.26</v>
      </c>
      <c r="K64" s="134">
        <v>94.73</v>
      </c>
      <c r="L64" s="134">
        <v>29.44</v>
      </c>
      <c r="M64" s="134">
        <v>39.71</v>
      </c>
      <c r="N64" s="134">
        <v>293</v>
      </c>
      <c r="O64" s="134">
        <v>0</v>
      </c>
      <c r="P64" s="134">
        <v>0</v>
      </c>
      <c r="Q64" s="134">
        <v>0</v>
      </c>
    </row>
    <row r="65" spans="1:17" customFormat="1">
      <c r="A65" s="112" t="s">
        <v>2407</v>
      </c>
      <c r="B65" s="134">
        <v>4.3</v>
      </c>
      <c r="C65" s="134">
        <v>19.59</v>
      </c>
      <c r="D65" s="134">
        <v>15.04</v>
      </c>
      <c r="E65" s="134">
        <v>9.5</v>
      </c>
      <c r="F65" s="134">
        <v>5.29</v>
      </c>
      <c r="G65" s="134">
        <v>75.430000000000007</v>
      </c>
      <c r="H65" s="134">
        <v>39.520000000000003</v>
      </c>
      <c r="I65" s="134">
        <v>5.55</v>
      </c>
      <c r="J65" s="134">
        <v>0.39</v>
      </c>
      <c r="K65" s="134">
        <v>342.75</v>
      </c>
      <c r="L65" s="134">
        <v>29.29</v>
      </c>
      <c r="M65" s="134">
        <v>40.06</v>
      </c>
      <c r="N65" s="134">
        <v>161.5</v>
      </c>
      <c r="O65" s="134">
        <v>0</v>
      </c>
      <c r="P65" s="134">
        <v>0</v>
      </c>
      <c r="Q65" s="134">
        <v>0</v>
      </c>
    </row>
    <row r="66" spans="1:17" customFormat="1">
      <c r="A66" s="112" t="s">
        <v>2408</v>
      </c>
      <c r="B66" s="134">
        <v>4.41</v>
      </c>
      <c r="C66" s="134">
        <v>19.68</v>
      </c>
      <c r="D66" s="134">
        <v>15.17</v>
      </c>
      <c r="E66" s="134">
        <v>9.99</v>
      </c>
      <c r="F66" s="134">
        <v>8</v>
      </c>
      <c r="G66" s="134">
        <v>66.08</v>
      </c>
      <c r="H66" s="134">
        <v>35.24</v>
      </c>
      <c r="I66" s="134">
        <v>5.48</v>
      </c>
      <c r="J66" s="134">
        <v>0.21</v>
      </c>
      <c r="K66" s="134">
        <v>15.33</v>
      </c>
      <c r="L66" s="134">
        <v>29.08</v>
      </c>
      <c r="M66" s="134">
        <v>40.590000000000003</v>
      </c>
      <c r="N66" s="134">
        <v>143.19999999999999</v>
      </c>
      <c r="O66" s="134">
        <v>0</v>
      </c>
      <c r="P66" s="134">
        <v>0</v>
      </c>
      <c r="Q66" s="134">
        <v>0</v>
      </c>
    </row>
    <row r="67" spans="1:17" customFormat="1">
      <c r="A67" s="112" t="s">
        <v>2409</v>
      </c>
      <c r="B67" s="134">
        <v>4.33</v>
      </c>
      <c r="C67" s="134">
        <v>19.73</v>
      </c>
      <c r="D67" s="134">
        <v>15.13</v>
      </c>
      <c r="E67" s="134">
        <v>8.81</v>
      </c>
      <c r="F67" s="134">
        <v>4.8099999999999996</v>
      </c>
      <c r="G67" s="134">
        <v>64.2</v>
      </c>
      <c r="H67" s="134">
        <v>35.24</v>
      </c>
      <c r="I67" s="134">
        <v>5.39</v>
      </c>
      <c r="J67" s="134">
        <v>0.27</v>
      </c>
      <c r="K67" s="134">
        <v>306.47000000000003</v>
      </c>
      <c r="L67" s="134">
        <v>28.91</v>
      </c>
      <c r="M67" s="134">
        <v>41.72</v>
      </c>
      <c r="N67" s="134">
        <v>118.4</v>
      </c>
      <c r="O67" s="134">
        <v>0</v>
      </c>
      <c r="P67" s="134">
        <v>0</v>
      </c>
      <c r="Q67" s="134">
        <v>0</v>
      </c>
    </row>
    <row r="68" spans="1:17" customFormat="1">
      <c r="A68" s="112" t="s">
        <v>2410</v>
      </c>
      <c r="B68" s="134">
        <v>4.3</v>
      </c>
      <c r="C68" s="134">
        <v>19.48</v>
      </c>
      <c r="D68" s="134">
        <v>14.97</v>
      </c>
      <c r="E68" s="134">
        <v>8.5</v>
      </c>
      <c r="F68" s="134">
        <v>4.43</v>
      </c>
      <c r="G68" s="134">
        <v>64.2</v>
      </c>
      <c r="H68" s="134">
        <v>35.24</v>
      </c>
      <c r="I68" s="134">
        <v>5.38</v>
      </c>
      <c r="J68" s="134">
        <v>0.23</v>
      </c>
      <c r="K68" s="134">
        <v>190.89</v>
      </c>
      <c r="L68" s="134">
        <v>28.59</v>
      </c>
      <c r="M68" s="134">
        <v>42.42</v>
      </c>
      <c r="N68" s="134">
        <v>105.1</v>
      </c>
      <c r="O68" s="134">
        <v>0</v>
      </c>
      <c r="P68" s="134">
        <v>0</v>
      </c>
      <c r="Q68" s="134">
        <v>0</v>
      </c>
    </row>
    <row r="69" spans="1:17" customFormat="1">
      <c r="A69" s="112" t="s">
        <v>2411</v>
      </c>
      <c r="B69" s="134">
        <v>4.38</v>
      </c>
      <c r="C69" s="134">
        <v>19.04</v>
      </c>
      <c r="D69" s="134">
        <v>14.82</v>
      </c>
      <c r="E69" s="134">
        <v>8.3699999999999992</v>
      </c>
      <c r="F69" s="134">
        <v>4.29</v>
      </c>
      <c r="G69" s="134">
        <v>64.2</v>
      </c>
      <c r="H69" s="134">
        <v>35.24</v>
      </c>
      <c r="I69" s="134">
        <v>5.36</v>
      </c>
      <c r="J69" s="134">
        <v>0.37</v>
      </c>
      <c r="K69" s="134">
        <v>160.37</v>
      </c>
      <c r="L69" s="134">
        <v>28.38</v>
      </c>
      <c r="M69" s="134">
        <v>43.95</v>
      </c>
      <c r="N69" s="134">
        <v>84.7</v>
      </c>
      <c r="O69" s="134">
        <v>0</v>
      </c>
      <c r="P69" s="134">
        <v>0</v>
      </c>
      <c r="Q69" s="134">
        <v>0</v>
      </c>
    </row>
    <row r="70" spans="1:17" customFormat="1">
      <c r="A70" s="112" t="s">
        <v>2412</v>
      </c>
      <c r="B70" s="134">
        <v>4.33</v>
      </c>
      <c r="C70" s="134">
        <v>18.87</v>
      </c>
      <c r="D70" s="134">
        <v>14.68</v>
      </c>
      <c r="E70" s="134">
        <v>8.42</v>
      </c>
      <c r="F70" s="134">
        <v>4.09</v>
      </c>
      <c r="G70" s="134">
        <v>62.42</v>
      </c>
      <c r="H70" s="134">
        <v>34.76</v>
      </c>
      <c r="I70" s="134">
        <v>5.29</v>
      </c>
      <c r="J70" s="134">
        <v>0.16</v>
      </c>
      <c r="K70" s="134">
        <v>191.81</v>
      </c>
      <c r="L70" s="134">
        <v>27.8</v>
      </c>
      <c r="M70" s="134">
        <v>46.38</v>
      </c>
      <c r="N70" s="134">
        <v>75.400000000000006</v>
      </c>
      <c r="O70" s="134">
        <v>0</v>
      </c>
      <c r="P70" s="134">
        <v>0</v>
      </c>
      <c r="Q70" s="134">
        <v>0</v>
      </c>
    </row>
    <row r="71" spans="1:17" customFormat="1">
      <c r="A71" s="112" t="s">
        <v>2413</v>
      </c>
      <c r="B71" s="134">
        <v>4.26</v>
      </c>
      <c r="C71" s="134">
        <v>18.75</v>
      </c>
      <c r="D71" s="134">
        <v>14.56</v>
      </c>
      <c r="E71" s="134">
        <v>8.33</v>
      </c>
      <c r="F71" s="134">
        <v>4.01</v>
      </c>
      <c r="G71" s="134">
        <v>62.06</v>
      </c>
      <c r="H71" s="134">
        <v>34.76</v>
      </c>
      <c r="I71" s="134">
        <v>5.27</v>
      </c>
      <c r="J71" s="134">
        <v>0.16</v>
      </c>
      <c r="K71" s="134">
        <v>182.23</v>
      </c>
      <c r="L71" s="134">
        <v>27.72</v>
      </c>
      <c r="M71" s="134">
        <v>45.45</v>
      </c>
      <c r="N71" s="134">
        <v>59</v>
      </c>
      <c r="O71" s="134">
        <v>0</v>
      </c>
      <c r="P71" s="134">
        <v>0</v>
      </c>
      <c r="Q71" s="134">
        <v>0</v>
      </c>
    </row>
    <row r="72" spans="1:17" customFormat="1">
      <c r="A72" s="112" t="s">
        <v>2414</v>
      </c>
      <c r="B72" s="134">
        <v>4.4000000000000004</v>
      </c>
      <c r="C72" s="134">
        <v>18.309999999999999</v>
      </c>
      <c r="D72" s="134">
        <v>14.44</v>
      </c>
      <c r="E72" s="134">
        <v>8.6199999999999992</v>
      </c>
      <c r="F72" s="134">
        <v>4.09</v>
      </c>
      <c r="G72" s="134">
        <v>62.06</v>
      </c>
      <c r="H72" s="134">
        <v>34.76</v>
      </c>
      <c r="I72" s="134">
        <v>5.23</v>
      </c>
      <c r="J72" s="134">
        <v>0.2</v>
      </c>
      <c r="K72" s="134">
        <v>162.66</v>
      </c>
      <c r="L72" s="134">
        <v>27.48</v>
      </c>
      <c r="M72" s="134">
        <v>47.8</v>
      </c>
      <c r="N72" s="134">
        <v>47</v>
      </c>
      <c r="O72" s="134">
        <v>0</v>
      </c>
      <c r="P72" s="134">
        <v>0</v>
      </c>
      <c r="Q72" s="134">
        <v>0</v>
      </c>
    </row>
    <row r="73" spans="1:17" customFormat="1">
      <c r="A73" s="112" t="s">
        <v>2415</v>
      </c>
      <c r="B73" s="134">
        <v>4.47</v>
      </c>
      <c r="C73" s="134">
        <v>18.190000000000001</v>
      </c>
      <c r="D73" s="134">
        <v>14.44</v>
      </c>
      <c r="E73" s="134">
        <v>8.7899999999999991</v>
      </c>
      <c r="F73" s="134">
        <v>4.12</v>
      </c>
      <c r="G73" s="134">
        <v>62.06</v>
      </c>
      <c r="H73" s="134">
        <v>34.76</v>
      </c>
      <c r="I73" s="134">
        <v>5.21</v>
      </c>
      <c r="J73" s="134">
        <v>0.14000000000000001</v>
      </c>
      <c r="K73" s="134">
        <v>37.83</v>
      </c>
      <c r="L73" s="134">
        <v>27.26</v>
      </c>
      <c r="M73" s="134">
        <v>46.12</v>
      </c>
      <c r="N73" s="134">
        <v>37.4</v>
      </c>
      <c r="O73" s="134">
        <v>0</v>
      </c>
      <c r="P73" s="134">
        <v>0</v>
      </c>
      <c r="Q73" s="134">
        <v>0</v>
      </c>
    </row>
    <row r="74" spans="1:17" customFormat="1">
      <c r="A74" s="112" t="s">
        <v>2416</v>
      </c>
      <c r="B74" s="134">
        <v>4.4800000000000004</v>
      </c>
      <c r="C74" s="134">
        <v>18.649999999999999</v>
      </c>
      <c r="D74" s="134">
        <v>14.68</v>
      </c>
      <c r="E74" s="134">
        <v>9.35</v>
      </c>
      <c r="F74" s="134">
        <v>4.8899999999999997</v>
      </c>
      <c r="G74" s="134">
        <v>63.93</v>
      </c>
      <c r="H74" s="134">
        <v>34.46</v>
      </c>
      <c r="I74" s="134">
        <v>5.17</v>
      </c>
      <c r="J74" s="134">
        <v>0.21</v>
      </c>
      <c r="K74" s="134">
        <v>44.69</v>
      </c>
      <c r="L74" s="134">
        <v>27.3</v>
      </c>
      <c r="M74" s="134">
        <v>45.37</v>
      </c>
      <c r="N74" s="134">
        <v>21.6</v>
      </c>
      <c r="O74" s="134">
        <v>0</v>
      </c>
      <c r="P74" s="134">
        <v>0</v>
      </c>
      <c r="Q74" s="134">
        <v>0</v>
      </c>
    </row>
    <row r="75" spans="1:17" customFormat="1">
      <c r="A75" s="112" t="s">
        <v>2417</v>
      </c>
      <c r="B75" s="134">
        <v>4.58</v>
      </c>
      <c r="C75" s="134">
        <v>18.920000000000002</v>
      </c>
      <c r="D75" s="134">
        <v>14.91</v>
      </c>
      <c r="E75" s="134">
        <v>8.76</v>
      </c>
      <c r="F75" s="134">
        <v>3.64</v>
      </c>
      <c r="G75" s="134">
        <v>64.3</v>
      </c>
      <c r="H75" s="134">
        <v>34.46</v>
      </c>
      <c r="I75" s="134">
        <v>5.16</v>
      </c>
      <c r="J75" s="134">
        <v>0.14000000000000001</v>
      </c>
      <c r="K75" s="134">
        <v>157.13</v>
      </c>
      <c r="L75" s="134">
        <v>26.73</v>
      </c>
      <c r="M75" s="134">
        <v>51.62</v>
      </c>
      <c r="N75" s="134">
        <v>9.1999999999999993</v>
      </c>
      <c r="O75" s="134">
        <v>0</v>
      </c>
      <c r="P75" s="134">
        <v>0</v>
      </c>
      <c r="Q75" s="134">
        <v>0</v>
      </c>
    </row>
    <row r="76" spans="1:17" customFormat="1">
      <c r="A76" s="112" t="s">
        <v>2418</v>
      </c>
      <c r="B76" s="134">
        <v>4.84</v>
      </c>
      <c r="C76" s="134">
        <v>20.84</v>
      </c>
      <c r="D76" s="134">
        <v>16.12</v>
      </c>
      <c r="E76" s="134">
        <v>8.36</v>
      </c>
      <c r="F76" s="134">
        <v>3.08</v>
      </c>
      <c r="G76" s="134">
        <v>64.3</v>
      </c>
      <c r="H76" s="134">
        <v>34.46</v>
      </c>
      <c r="I76" s="134">
        <v>5.13</v>
      </c>
      <c r="J76" s="134">
        <v>0.21</v>
      </c>
      <c r="K76" s="134">
        <v>156.22999999999999</v>
      </c>
      <c r="L76" s="134">
        <v>25.76</v>
      </c>
      <c r="M76" s="134">
        <v>55.64</v>
      </c>
      <c r="N76" s="134">
        <v>1.2</v>
      </c>
      <c r="O76" s="134">
        <v>0</v>
      </c>
      <c r="P76" s="134">
        <v>0</v>
      </c>
      <c r="Q76" s="134">
        <v>0</v>
      </c>
    </row>
    <row r="77" spans="1:17" customFormat="1">
      <c r="A77" s="112" t="s">
        <v>2419</v>
      </c>
      <c r="B77" s="134">
        <v>5.18</v>
      </c>
      <c r="C77" s="134">
        <v>20.94</v>
      </c>
      <c r="D77" s="134">
        <v>16.440000000000001</v>
      </c>
      <c r="E77" s="134">
        <v>8.7899999999999991</v>
      </c>
      <c r="F77" s="134">
        <v>3.36</v>
      </c>
      <c r="G77" s="134">
        <v>64.3</v>
      </c>
      <c r="H77" s="134">
        <v>34.46</v>
      </c>
      <c r="I77" s="134">
        <v>5.2</v>
      </c>
      <c r="J77" s="134">
        <v>0.28999999999999998</v>
      </c>
      <c r="K77" s="134">
        <v>169.65</v>
      </c>
      <c r="L77" s="134">
        <v>25.15</v>
      </c>
      <c r="M77" s="134">
        <v>58.24</v>
      </c>
      <c r="N77" s="134">
        <v>0</v>
      </c>
      <c r="O77" s="134">
        <v>0</v>
      </c>
      <c r="P77" s="134">
        <v>0</v>
      </c>
      <c r="Q77" s="134">
        <v>0</v>
      </c>
    </row>
    <row r="78" spans="1:17" customFormat="1">
      <c r="A78" s="112" t="s">
        <v>2420</v>
      </c>
      <c r="B78" s="134">
        <v>5.18</v>
      </c>
      <c r="C78" s="134">
        <v>21.4</v>
      </c>
      <c r="D78" s="134">
        <v>16.68</v>
      </c>
      <c r="E78" s="134">
        <v>9.16</v>
      </c>
      <c r="F78" s="134">
        <v>3.27</v>
      </c>
      <c r="G78" s="134">
        <v>86.6</v>
      </c>
      <c r="H78" s="134">
        <v>39.17</v>
      </c>
      <c r="I78" s="134">
        <v>5.22</v>
      </c>
      <c r="J78" s="134">
        <v>0.27</v>
      </c>
      <c r="K78" s="134">
        <v>170.58</v>
      </c>
      <c r="L78" s="134">
        <v>24.55</v>
      </c>
      <c r="M78" s="134">
        <v>62.32</v>
      </c>
      <c r="N78" s="134">
        <v>0</v>
      </c>
      <c r="O78" s="134">
        <v>0</v>
      </c>
      <c r="P78" s="134">
        <v>0</v>
      </c>
      <c r="Q78" s="134">
        <v>0</v>
      </c>
    </row>
    <row r="79" spans="1:17" customFormat="1">
      <c r="A79" s="112" t="s">
        <v>2421</v>
      </c>
      <c r="B79" s="134">
        <v>5.09</v>
      </c>
      <c r="C79" s="134">
        <v>23.02</v>
      </c>
      <c r="D79" s="134">
        <v>17.46</v>
      </c>
      <c r="E79" s="134">
        <v>9.68</v>
      </c>
      <c r="F79" s="134">
        <v>3.38</v>
      </c>
      <c r="G79" s="134">
        <v>91.05</v>
      </c>
      <c r="H79" s="134">
        <v>39.17</v>
      </c>
      <c r="I79" s="134">
        <v>5.23</v>
      </c>
      <c r="J79" s="134">
        <v>0.28999999999999998</v>
      </c>
      <c r="K79" s="134">
        <v>170.34</v>
      </c>
      <c r="L79" s="134">
        <v>24.05</v>
      </c>
      <c r="M79" s="134">
        <v>64.36</v>
      </c>
      <c r="N79" s="134">
        <v>0</v>
      </c>
      <c r="O79" s="134">
        <v>0</v>
      </c>
      <c r="P79" s="134">
        <v>0</v>
      </c>
      <c r="Q79" s="134">
        <v>0</v>
      </c>
    </row>
    <row r="80" spans="1:17" customFormat="1">
      <c r="A80" s="112" t="s">
        <v>2422</v>
      </c>
      <c r="B80" s="134">
        <v>5.09</v>
      </c>
      <c r="C80" s="134">
        <v>25.24</v>
      </c>
      <c r="D80" s="134">
        <v>18.62</v>
      </c>
      <c r="E80" s="134">
        <v>9.91</v>
      </c>
      <c r="F80" s="134">
        <v>3.08</v>
      </c>
      <c r="G80" s="134">
        <v>91.05</v>
      </c>
      <c r="H80" s="134">
        <v>39.17</v>
      </c>
      <c r="I80" s="134">
        <v>5.28</v>
      </c>
      <c r="J80" s="134">
        <v>0.24</v>
      </c>
      <c r="K80" s="134">
        <v>167.83</v>
      </c>
      <c r="L80" s="134">
        <v>23.98</v>
      </c>
      <c r="M80" s="134">
        <v>64.349999999999994</v>
      </c>
      <c r="N80" s="134">
        <v>0</v>
      </c>
      <c r="O80" s="134">
        <v>0</v>
      </c>
      <c r="P80" s="134">
        <v>0</v>
      </c>
      <c r="Q80" s="134">
        <v>0</v>
      </c>
    </row>
    <row r="81" spans="1:17" customFormat="1">
      <c r="A81" s="112" t="s">
        <v>2423</v>
      </c>
      <c r="B81" s="134">
        <v>5.65</v>
      </c>
      <c r="C81" s="134">
        <v>27.55</v>
      </c>
      <c r="D81" s="134">
        <v>20.28</v>
      </c>
      <c r="E81" s="134">
        <v>8.76</v>
      </c>
      <c r="F81" s="134">
        <v>2.67</v>
      </c>
      <c r="G81" s="134">
        <v>91.05</v>
      </c>
      <c r="H81" s="134">
        <v>39.17</v>
      </c>
      <c r="I81" s="134">
        <v>5.52</v>
      </c>
      <c r="J81" s="134">
        <v>0.11</v>
      </c>
      <c r="K81" s="134">
        <v>52.13</v>
      </c>
      <c r="L81" s="134">
        <v>23.97</v>
      </c>
      <c r="M81" s="134">
        <v>61.62</v>
      </c>
      <c r="N81" s="134">
        <v>0</v>
      </c>
      <c r="O81" s="134">
        <v>0</v>
      </c>
      <c r="P81" s="134">
        <v>0</v>
      </c>
      <c r="Q81" s="134">
        <v>0</v>
      </c>
    </row>
    <row r="82" spans="1:17" customFormat="1">
      <c r="A82" s="112" t="s">
        <v>2424</v>
      </c>
      <c r="B82" s="134">
        <v>7.32</v>
      </c>
      <c r="C82" s="134">
        <v>30.2</v>
      </c>
      <c r="D82" s="134">
        <v>23</v>
      </c>
      <c r="E82" s="134">
        <v>9.67</v>
      </c>
      <c r="F82" s="134">
        <v>2.63</v>
      </c>
      <c r="G82" s="134">
        <v>117.77</v>
      </c>
      <c r="H82" s="134">
        <v>39.42</v>
      </c>
      <c r="I82" s="134">
        <v>5.89</v>
      </c>
      <c r="J82" s="134">
        <v>0.18</v>
      </c>
      <c r="K82" s="134">
        <v>136.72</v>
      </c>
      <c r="L82" s="134">
        <v>24.12</v>
      </c>
      <c r="M82" s="134">
        <v>61.09</v>
      </c>
      <c r="N82" s="134">
        <v>0</v>
      </c>
      <c r="O82" s="134">
        <v>0</v>
      </c>
      <c r="P82" s="134">
        <v>0</v>
      </c>
      <c r="Q82" s="134">
        <v>0</v>
      </c>
    </row>
    <row r="83" spans="1:17" customFormat="1">
      <c r="A83" s="112" t="s">
        <v>2425</v>
      </c>
      <c r="B83" s="134">
        <v>8.41</v>
      </c>
      <c r="C83" s="134">
        <v>31.83</v>
      </c>
      <c r="D83" s="134">
        <v>24.73</v>
      </c>
      <c r="E83" s="134">
        <v>9.85</v>
      </c>
      <c r="F83" s="134">
        <v>2.6</v>
      </c>
      <c r="G83" s="134">
        <v>123.12</v>
      </c>
      <c r="H83" s="134">
        <v>39.42</v>
      </c>
      <c r="I83" s="134">
        <v>6.25</v>
      </c>
      <c r="J83" s="134">
        <v>0.14000000000000001</v>
      </c>
      <c r="K83" s="134">
        <v>147.59</v>
      </c>
      <c r="L83" s="134">
        <v>23.87</v>
      </c>
      <c r="M83" s="134">
        <v>62.73</v>
      </c>
      <c r="N83" s="134">
        <v>0</v>
      </c>
      <c r="O83" s="134">
        <v>0</v>
      </c>
      <c r="P83" s="134">
        <v>0</v>
      </c>
      <c r="Q83" s="134">
        <v>0</v>
      </c>
    </row>
    <row r="84" spans="1:17" customFormat="1">
      <c r="A84" s="112" t="s">
        <v>2426</v>
      </c>
      <c r="B84" s="134">
        <v>8.93</v>
      </c>
      <c r="C84" s="134">
        <v>33.08</v>
      </c>
      <c r="D84" s="134">
        <v>25.8</v>
      </c>
      <c r="E84" s="134">
        <v>10.31</v>
      </c>
      <c r="F84" s="134">
        <v>2.58</v>
      </c>
      <c r="G84" s="134">
        <v>123.12</v>
      </c>
      <c r="H84" s="134">
        <v>39.42</v>
      </c>
      <c r="I84" s="134">
        <v>6.62</v>
      </c>
      <c r="J84" s="134">
        <v>0.17</v>
      </c>
      <c r="K84" s="134">
        <v>155.13</v>
      </c>
      <c r="L84" s="134">
        <v>23.63</v>
      </c>
      <c r="M84" s="134">
        <v>63.44</v>
      </c>
      <c r="N84" s="134">
        <v>0</v>
      </c>
      <c r="O84" s="134">
        <v>0</v>
      </c>
      <c r="P84" s="134">
        <v>0</v>
      </c>
      <c r="Q84" s="134">
        <v>0</v>
      </c>
    </row>
    <row r="85" spans="1:17" customFormat="1">
      <c r="A85" s="112" t="s">
        <v>2427</v>
      </c>
      <c r="B85" s="134">
        <v>9.82</v>
      </c>
      <c r="C85" s="134">
        <v>34.58</v>
      </c>
      <c r="D85" s="134">
        <v>27.29</v>
      </c>
      <c r="E85" s="134">
        <v>10.93</v>
      </c>
      <c r="F85" s="134">
        <v>2.62</v>
      </c>
      <c r="G85" s="134">
        <v>123.12</v>
      </c>
      <c r="H85" s="134">
        <v>39.42</v>
      </c>
      <c r="I85" s="134">
        <v>6.91</v>
      </c>
      <c r="J85" s="134">
        <v>0.14000000000000001</v>
      </c>
      <c r="K85" s="134">
        <v>143.1</v>
      </c>
      <c r="L85" s="134">
        <v>23.41</v>
      </c>
      <c r="M85" s="134">
        <v>65.05</v>
      </c>
      <c r="N85" s="134">
        <v>0</v>
      </c>
      <c r="O85" s="134">
        <v>0</v>
      </c>
      <c r="P85" s="134">
        <v>0</v>
      </c>
      <c r="Q85" s="134">
        <v>0</v>
      </c>
    </row>
    <row r="86" spans="1:17" customFormat="1">
      <c r="A86" s="112" t="s">
        <v>2428</v>
      </c>
      <c r="B86" s="134">
        <v>10.76</v>
      </c>
      <c r="C86" s="134">
        <v>35.51</v>
      </c>
      <c r="D86" s="134">
        <v>28.53</v>
      </c>
      <c r="E86" s="134">
        <v>10.61</v>
      </c>
      <c r="F86" s="134">
        <v>2.5499999999999998</v>
      </c>
      <c r="G86" s="134">
        <v>150.54</v>
      </c>
      <c r="H86" s="134">
        <v>49.28</v>
      </c>
      <c r="I86" s="134">
        <v>7.2</v>
      </c>
      <c r="J86" s="134">
        <v>0.2</v>
      </c>
      <c r="K86" s="134">
        <v>61.72</v>
      </c>
      <c r="L86" s="134">
        <v>23.34</v>
      </c>
      <c r="M86" s="134">
        <v>62.52</v>
      </c>
      <c r="N86" s="134">
        <v>0</v>
      </c>
      <c r="O86" s="134">
        <v>0</v>
      </c>
      <c r="P86" s="134">
        <v>0</v>
      </c>
      <c r="Q86" s="134">
        <v>0</v>
      </c>
    </row>
    <row r="87" spans="1:17" customFormat="1">
      <c r="A87" s="112" t="s">
        <v>2429</v>
      </c>
      <c r="B87" s="134">
        <v>11.66</v>
      </c>
      <c r="C87" s="134">
        <v>36.619999999999997</v>
      </c>
      <c r="D87" s="134">
        <v>29.83</v>
      </c>
      <c r="E87" s="134">
        <v>10.89</v>
      </c>
      <c r="F87" s="134">
        <v>2.6</v>
      </c>
      <c r="G87" s="134">
        <v>156.02000000000001</v>
      </c>
      <c r="H87" s="134">
        <v>49.28</v>
      </c>
      <c r="I87" s="134">
        <v>7.59</v>
      </c>
      <c r="J87" s="134">
        <v>0.36</v>
      </c>
      <c r="K87" s="134">
        <v>54.87</v>
      </c>
      <c r="L87" s="134">
        <v>23.52</v>
      </c>
      <c r="M87" s="134">
        <v>60.24</v>
      </c>
      <c r="N87" s="134">
        <v>0</v>
      </c>
      <c r="O87" s="134">
        <v>0</v>
      </c>
      <c r="P87" s="134">
        <v>0</v>
      </c>
      <c r="Q87" s="134">
        <v>0</v>
      </c>
    </row>
    <row r="88" spans="1:17" customFormat="1">
      <c r="A88" s="112" t="s">
        <v>2430</v>
      </c>
      <c r="B88" s="134">
        <v>12.49</v>
      </c>
      <c r="C88" s="134">
        <v>37.36</v>
      </c>
      <c r="D88" s="134">
        <v>30.89</v>
      </c>
      <c r="E88" s="134">
        <v>11.44</v>
      </c>
      <c r="F88" s="134">
        <v>2.6</v>
      </c>
      <c r="G88" s="134">
        <v>156.02000000000001</v>
      </c>
      <c r="H88" s="134">
        <v>49.28</v>
      </c>
      <c r="I88" s="134">
        <v>7.97</v>
      </c>
      <c r="J88" s="134">
        <v>0.17</v>
      </c>
      <c r="K88" s="134">
        <v>63.72</v>
      </c>
      <c r="L88" s="134">
        <v>23.45</v>
      </c>
      <c r="M88" s="134">
        <v>60.36</v>
      </c>
      <c r="N88" s="134">
        <v>0</v>
      </c>
      <c r="O88" s="134">
        <v>0</v>
      </c>
      <c r="P88" s="134">
        <v>0</v>
      </c>
      <c r="Q88" s="134">
        <v>0</v>
      </c>
    </row>
    <row r="89" spans="1:17" customFormat="1">
      <c r="A89" s="112" t="s">
        <v>2431</v>
      </c>
      <c r="B89" s="134">
        <v>12.48</v>
      </c>
      <c r="C89" s="134">
        <v>37.85</v>
      </c>
      <c r="D89" s="134">
        <v>31.14</v>
      </c>
      <c r="E89" s="134">
        <v>11.32</v>
      </c>
      <c r="F89" s="134">
        <v>2.8</v>
      </c>
      <c r="G89" s="134">
        <v>156.02000000000001</v>
      </c>
      <c r="H89" s="134">
        <v>49.28</v>
      </c>
      <c r="I89" s="134">
        <v>8.2100000000000009</v>
      </c>
      <c r="J89" s="134">
        <v>0.13</v>
      </c>
      <c r="K89" s="134">
        <v>79.040000000000006</v>
      </c>
      <c r="L89" s="134">
        <v>23.18</v>
      </c>
      <c r="M89" s="134">
        <v>61.77</v>
      </c>
      <c r="N89" s="134">
        <v>0</v>
      </c>
      <c r="O89" s="134">
        <v>0</v>
      </c>
      <c r="P89" s="134">
        <v>0</v>
      </c>
      <c r="Q89" s="134">
        <v>0</v>
      </c>
    </row>
    <row r="90" spans="1:17" customFormat="1">
      <c r="A90" s="112" t="s">
        <v>2432</v>
      </c>
      <c r="B90" s="134">
        <v>11.92</v>
      </c>
      <c r="C90" s="134">
        <v>37.6</v>
      </c>
      <c r="D90" s="134">
        <v>30.56</v>
      </c>
      <c r="E90" s="134">
        <v>11.23</v>
      </c>
      <c r="F90" s="134">
        <v>2.73</v>
      </c>
      <c r="G90" s="134">
        <v>174.37</v>
      </c>
      <c r="H90" s="134">
        <v>62.11</v>
      </c>
      <c r="I90" s="134">
        <v>8.32</v>
      </c>
      <c r="J90" s="134">
        <v>0.14000000000000001</v>
      </c>
      <c r="K90" s="134">
        <v>137.38999999999999</v>
      </c>
      <c r="L90" s="134">
        <v>22.91</v>
      </c>
      <c r="M90" s="134">
        <v>64.92</v>
      </c>
      <c r="N90" s="134">
        <v>0</v>
      </c>
      <c r="O90" s="134">
        <v>0</v>
      </c>
      <c r="P90" s="134">
        <v>0</v>
      </c>
      <c r="Q90" s="134">
        <v>0</v>
      </c>
    </row>
    <row r="91" spans="1:17" customFormat="1">
      <c r="A91" s="112" t="s">
        <v>2433</v>
      </c>
      <c r="B91" s="134">
        <v>11.38</v>
      </c>
      <c r="C91" s="134">
        <v>37.22</v>
      </c>
      <c r="D91" s="134">
        <v>29.92</v>
      </c>
      <c r="E91" s="134">
        <v>11.39</v>
      </c>
      <c r="F91" s="134">
        <v>2.67</v>
      </c>
      <c r="G91" s="134">
        <v>178.04</v>
      </c>
      <c r="H91" s="134">
        <v>62.11</v>
      </c>
      <c r="I91" s="134">
        <v>8.3800000000000008</v>
      </c>
      <c r="J91" s="134">
        <v>0.14000000000000001</v>
      </c>
      <c r="K91" s="134">
        <v>132.72</v>
      </c>
      <c r="L91" s="134">
        <v>22.54</v>
      </c>
      <c r="M91" s="134">
        <v>66.290000000000006</v>
      </c>
      <c r="N91" s="134">
        <v>0</v>
      </c>
      <c r="O91" s="134">
        <v>0</v>
      </c>
      <c r="P91" s="134">
        <v>0</v>
      </c>
      <c r="Q91" s="134">
        <v>0</v>
      </c>
    </row>
    <row r="92" spans="1:17" customFormat="1">
      <c r="A92" s="112" t="s">
        <v>2434</v>
      </c>
      <c r="B92" s="134">
        <v>10.96</v>
      </c>
      <c r="C92" s="134">
        <v>36.75</v>
      </c>
      <c r="D92" s="134">
        <v>29.34</v>
      </c>
      <c r="E92" s="134">
        <v>11.25</v>
      </c>
      <c r="F92" s="134">
        <v>2.57</v>
      </c>
      <c r="G92" s="134">
        <v>178.04</v>
      </c>
      <c r="H92" s="134">
        <v>62.11</v>
      </c>
      <c r="I92" s="134">
        <v>8.42</v>
      </c>
      <c r="J92" s="134">
        <v>0.16</v>
      </c>
      <c r="K92" s="134">
        <v>61.41</v>
      </c>
      <c r="L92" s="134">
        <v>22.48</v>
      </c>
      <c r="M92" s="134">
        <v>64.13</v>
      </c>
      <c r="N92" s="134">
        <v>0</v>
      </c>
      <c r="O92" s="134">
        <v>0</v>
      </c>
      <c r="P92" s="134">
        <v>0</v>
      </c>
      <c r="Q92" s="134">
        <v>0</v>
      </c>
    </row>
    <row r="93" spans="1:17" customFormat="1">
      <c r="A93" s="112" t="s">
        <v>2435</v>
      </c>
      <c r="B93" s="134">
        <v>11.05</v>
      </c>
      <c r="C93" s="134">
        <v>36.869999999999997</v>
      </c>
      <c r="D93" s="134">
        <v>29.47</v>
      </c>
      <c r="E93" s="134">
        <v>11.14</v>
      </c>
      <c r="F93" s="134">
        <v>2.62</v>
      </c>
      <c r="G93" s="134">
        <v>178.04</v>
      </c>
      <c r="H93" s="134">
        <v>62.11</v>
      </c>
      <c r="I93" s="134">
        <v>8.4700000000000006</v>
      </c>
      <c r="J93" s="134">
        <v>0.15</v>
      </c>
      <c r="K93" s="134">
        <v>123.29</v>
      </c>
      <c r="L93" s="134">
        <v>22.49</v>
      </c>
      <c r="M93" s="134">
        <v>64.39</v>
      </c>
      <c r="N93" s="134">
        <v>0</v>
      </c>
      <c r="O93" s="134">
        <v>0</v>
      </c>
      <c r="P93" s="134">
        <v>0</v>
      </c>
      <c r="Q93" s="134">
        <v>0</v>
      </c>
    </row>
    <row r="94" spans="1:17" customFormat="1">
      <c r="A94" s="112" t="s">
        <v>2436</v>
      </c>
      <c r="B94" s="134">
        <v>10.95</v>
      </c>
      <c r="C94" s="134">
        <v>36.68</v>
      </c>
      <c r="D94" s="134">
        <v>29.29</v>
      </c>
      <c r="E94" s="134">
        <v>11.34</v>
      </c>
      <c r="F94" s="134">
        <v>2.75</v>
      </c>
      <c r="G94" s="134">
        <v>175.75</v>
      </c>
      <c r="H94" s="134">
        <v>65.2</v>
      </c>
      <c r="I94" s="134">
        <v>8.4600000000000009</v>
      </c>
      <c r="J94" s="134">
        <v>0.2</v>
      </c>
      <c r="K94" s="134">
        <v>56.83</v>
      </c>
      <c r="L94" s="134">
        <v>22.37</v>
      </c>
      <c r="M94" s="134">
        <v>64.12</v>
      </c>
      <c r="N94" s="134">
        <v>0</v>
      </c>
      <c r="O94" s="134">
        <v>0</v>
      </c>
      <c r="P94" s="134">
        <v>0</v>
      </c>
      <c r="Q94" s="134">
        <v>0</v>
      </c>
    </row>
    <row r="95" spans="1:17" customFormat="1">
      <c r="A95" s="112" t="s">
        <v>2437</v>
      </c>
      <c r="B95" s="134">
        <v>10.95</v>
      </c>
      <c r="C95" s="134">
        <v>36.54</v>
      </c>
      <c r="D95" s="134">
        <v>29.22</v>
      </c>
      <c r="E95" s="134">
        <v>11.59</v>
      </c>
      <c r="F95" s="134">
        <v>2.67</v>
      </c>
      <c r="G95" s="134">
        <v>175.3</v>
      </c>
      <c r="H95" s="134">
        <v>65.2</v>
      </c>
      <c r="I95" s="134">
        <v>8.5</v>
      </c>
      <c r="J95" s="134">
        <v>0.12</v>
      </c>
      <c r="K95" s="134">
        <v>99.79</v>
      </c>
      <c r="L95" s="134">
        <v>22.37</v>
      </c>
      <c r="M95" s="134">
        <v>64.709999999999994</v>
      </c>
      <c r="N95" s="134">
        <v>0</v>
      </c>
      <c r="O95" s="134">
        <v>0</v>
      </c>
      <c r="P95" s="134">
        <v>0</v>
      </c>
      <c r="Q95" s="134">
        <v>0</v>
      </c>
    </row>
    <row r="96" spans="1:17" customFormat="1">
      <c r="A96" s="112" t="s">
        <v>2438</v>
      </c>
      <c r="B96" s="134">
        <v>10.57</v>
      </c>
      <c r="C96" s="134">
        <v>36.43</v>
      </c>
      <c r="D96" s="134">
        <v>28.86</v>
      </c>
      <c r="E96" s="134">
        <v>10.85</v>
      </c>
      <c r="F96" s="134">
        <v>2.93</v>
      </c>
      <c r="G96" s="134">
        <v>175.3</v>
      </c>
      <c r="H96" s="134">
        <v>65.2</v>
      </c>
      <c r="I96" s="134">
        <v>8.82</v>
      </c>
      <c r="J96" s="134">
        <v>0.13</v>
      </c>
      <c r="K96" s="134">
        <v>239.65</v>
      </c>
      <c r="L96" s="134">
        <v>21.87</v>
      </c>
      <c r="M96" s="134">
        <v>68.900000000000006</v>
      </c>
      <c r="N96" s="134">
        <v>0</v>
      </c>
      <c r="O96" s="134">
        <v>0</v>
      </c>
      <c r="P96" s="134">
        <v>0</v>
      </c>
      <c r="Q96" s="134">
        <v>0</v>
      </c>
    </row>
    <row r="97" spans="1:22" customFormat="1">
      <c r="A97" s="112" t="s">
        <v>2439</v>
      </c>
      <c r="B97" s="134">
        <v>10.09</v>
      </c>
      <c r="C97" s="134">
        <v>35.880000000000003</v>
      </c>
      <c r="D97" s="134">
        <v>28.19</v>
      </c>
      <c r="E97" s="134">
        <v>10.93</v>
      </c>
      <c r="F97" s="134">
        <v>3.12</v>
      </c>
      <c r="G97" s="134">
        <v>175.3</v>
      </c>
      <c r="H97" s="134">
        <v>65.2</v>
      </c>
      <c r="I97" s="134">
        <v>9.3699999999999992</v>
      </c>
      <c r="J97" s="134">
        <v>0.16</v>
      </c>
      <c r="K97" s="134">
        <v>196.73</v>
      </c>
      <c r="L97" s="134">
        <v>21.34</v>
      </c>
      <c r="M97" s="134">
        <v>72.33</v>
      </c>
      <c r="N97" s="134">
        <v>0</v>
      </c>
      <c r="O97" s="134">
        <v>0</v>
      </c>
      <c r="P97" s="134">
        <v>0</v>
      </c>
      <c r="Q97" s="134">
        <v>0</v>
      </c>
    </row>
    <row r="98" spans="1:22" customFormat="1">
      <c r="A98" s="112" t="s">
        <v>2440</v>
      </c>
      <c r="B98" s="134">
        <v>9.7200000000000006</v>
      </c>
      <c r="C98" s="134">
        <v>34.79</v>
      </c>
      <c r="D98" s="134">
        <v>27.33</v>
      </c>
      <c r="E98" s="134">
        <v>10.47</v>
      </c>
      <c r="F98" s="134">
        <v>2.81</v>
      </c>
      <c r="G98" s="134">
        <v>163.98</v>
      </c>
      <c r="H98" s="134">
        <v>67.59</v>
      </c>
      <c r="I98" s="134">
        <v>9.67</v>
      </c>
      <c r="J98" s="134">
        <v>0.12</v>
      </c>
      <c r="K98" s="134">
        <v>215.54</v>
      </c>
      <c r="L98" s="134">
        <v>20.74</v>
      </c>
      <c r="M98" s="134">
        <v>78.91</v>
      </c>
      <c r="N98" s="134">
        <v>0</v>
      </c>
      <c r="O98" s="134">
        <v>0</v>
      </c>
      <c r="P98" s="134">
        <v>0</v>
      </c>
      <c r="Q98" s="134">
        <v>0</v>
      </c>
    </row>
    <row r="99" spans="1:22" customFormat="1">
      <c r="A99" s="112" t="s">
        <v>2441</v>
      </c>
      <c r="B99" s="134">
        <v>9.73</v>
      </c>
      <c r="C99" s="134">
        <v>32</v>
      </c>
      <c r="D99" s="134">
        <v>25.87</v>
      </c>
      <c r="E99" s="134">
        <v>9.1199999999999992</v>
      </c>
      <c r="F99" s="134">
        <v>2.98</v>
      </c>
      <c r="G99" s="134">
        <v>161.72</v>
      </c>
      <c r="H99" s="134">
        <v>67.59</v>
      </c>
      <c r="I99" s="134">
        <v>9.6199999999999992</v>
      </c>
      <c r="J99" s="134">
        <v>0.11</v>
      </c>
      <c r="K99" s="134">
        <v>175.07</v>
      </c>
      <c r="L99" s="134">
        <v>20.37</v>
      </c>
      <c r="M99" s="134">
        <v>82.6</v>
      </c>
      <c r="N99" s="134">
        <v>0</v>
      </c>
      <c r="O99" s="134">
        <v>0</v>
      </c>
      <c r="P99" s="134">
        <v>0</v>
      </c>
      <c r="Q99" s="134">
        <v>0</v>
      </c>
    </row>
    <row r="100" spans="1:22" customFormat="1">
      <c r="A100" s="112" t="s">
        <v>2442</v>
      </c>
      <c r="B100" s="134">
        <v>9.68</v>
      </c>
      <c r="C100" s="134">
        <v>28.93</v>
      </c>
      <c r="D100" s="134">
        <v>24.23</v>
      </c>
      <c r="E100" s="134">
        <v>9.09</v>
      </c>
      <c r="F100" s="134">
        <v>2.99</v>
      </c>
      <c r="G100" s="134">
        <v>161.72</v>
      </c>
      <c r="H100" s="134">
        <v>67.59</v>
      </c>
      <c r="I100" s="134">
        <v>9.6300000000000008</v>
      </c>
      <c r="J100" s="134">
        <v>0.11</v>
      </c>
      <c r="K100" s="134">
        <v>195.89</v>
      </c>
      <c r="L100" s="134">
        <v>20.239999999999998</v>
      </c>
      <c r="M100" s="134">
        <v>79.819999999999993</v>
      </c>
      <c r="N100" s="134">
        <v>0</v>
      </c>
      <c r="O100" s="134">
        <v>0</v>
      </c>
      <c r="P100" s="134">
        <v>0</v>
      </c>
      <c r="Q100" s="134">
        <v>0</v>
      </c>
    </row>
    <row r="101" spans="1:22" customFormat="1">
      <c r="A101" s="112" t="s">
        <v>2443</v>
      </c>
      <c r="B101" s="134">
        <v>9.52</v>
      </c>
      <c r="C101" s="134">
        <v>26.9</v>
      </c>
      <c r="D101" s="134">
        <v>23.04</v>
      </c>
      <c r="E101" s="134">
        <v>8.7100000000000009</v>
      </c>
      <c r="F101" s="134">
        <v>2.89</v>
      </c>
      <c r="G101" s="134">
        <v>161.72</v>
      </c>
      <c r="H101" s="134">
        <v>67.59</v>
      </c>
      <c r="I101" s="134">
        <v>9.64</v>
      </c>
      <c r="J101" s="134">
        <v>0.16</v>
      </c>
      <c r="K101" s="134">
        <v>221.3</v>
      </c>
      <c r="L101" s="134">
        <v>20</v>
      </c>
      <c r="M101" s="134">
        <v>79.38</v>
      </c>
      <c r="N101" s="134">
        <v>0</v>
      </c>
      <c r="O101" s="134">
        <v>0</v>
      </c>
      <c r="P101" s="134">
        <v>0</v>
      </c>
      <c r="Q101" s="134">
        <v>0</v>
      </c>
    </row>
    <row r="102" spans="1:22" customFormat="1">
      <c r="A102" s="112" t="s">
        <v>2444</v>
      </c>
      <c r="B102" s="134">
        <v>9.24</v>
      </c>
      <c r="C102" s="134">
        <v>26.26</v>
      </c>
      <c r="D102" s="134">
        <v>22.48</v>
      </c>
      <c r="E102" s="134">
        <v>7.88</v>
      </c>
      <c r="F102" s="134">
        <v>2.66</v>
      </c>
      <c r="G102" s="134">
        <v>138.55000000000001</v>
      </c>
      <c r="H102" s="134">
        <v>62.51</v>
      </c>
      <c r="I102" s="134">
        <v>9.59</v>
      </c>
      <c r="J102" s="134">
        <v>0.08</v>
      </c>
      <c r="K102" s="134">
        <v>166.9</v>
      </c>
      <c r="L102" s="134">
        <v>19.809999999999999</v>
      </c>
      <c r="M102" s="134">
        <v>81.98</v>
      </c>
      <c r="N102" s="134">
        <v>0</v>
      </c>
      <c r="O102" s="134">
        <v>0</v>
      </c>
      <c r="P102" s="134">
        <v>0</v>
      </c>
      <c r="Q102" s="134">
        <v>0</v>
      </c>
    </row>
    <row r="103" spans="1:22" customFormat="1">
      <c r="A103" s="112" t="s">
        <v>2445</v>
      </c>
      <c r="B103" s="134">
        <v>9.01</v>
      </c>
      <c r="C103" s="134">
        <v>25.77</v>
      </c>
      <c r="D103" s="134">
        <v>22.04</v>
      </c>
      <c r="E103" s="134">
        <v>7.63</v>
      </c>
      <c r="F103" s="134">
        <v>2.7</v>
      </c>
      <c r="G103" s="134">
        <v>133.91999999999999</v>
      </c>
      <c r="H103" s="134">
        <v>62.51</v>
      </c>
      <c r="I103" s="134">
        <v>9.48</v>
      </c>
      <c r="J103" s="134">
        <v>7.0000000000000007E-2</v>
      </c>
      <c r="K103" s="134">
        <v>231.76</v>
      </c>
      <c r="L103" s="134">
        <v>19.670000000000002</v>
      </c>
      <c r="M103" s="134">
        <v>82.69</v>
      </c>
      <c r="N103" s="134">
        <v>0</v>
      </c>
      <c r="O103" s="134">
        <v>0</v>
      </c>
      <c r="P103" s="134">
        <v>0</v>
      </c>
      <c r="Q103" s="134">
        <v>0</v>
      </c>
    </row>
    <row r="104" spans="1:22" customFormat="1">
      <c r="A104" s="112" t="s">
        <v>2446</v>
      </c>
      <c r="B104" s="134">
        <v>8.8000000000000007</v>
      </c>
      <c r="C104" s="134">
        <v>26.45</v>
      </c>
      <c r="D104" s="134">
        <v>22.22</v>
      </c>
      <c r="E104" s="134">
        <v>7.84</v>
      </c>
      <c r="F104" s="134">
        <v>2.68</v>
      </c>
      <c r="G104" s="134">
        <v>133.91999999999999</v>
      </c>
      <c r="H104" s="134">
        <v>62.51</v>
      </c>
      <c r="I104" s="134">
        <v>9.3699999999999992</v>
      </c>
      <c r="J104" s="134">
        <v>0.13</v>
      </c>
      <c r="K104" s="134">
        <v>164.74</v>
      </c>
      <c r="L104" s="134">
        <v>19.64</v>
      </c>
      <c r="M104" s="134">
        <v>83.99</v>
      </c>
      <c r="N104" s="134">
        <v>0</v>
      </c>
      <c r="O104" s="134">
        <v>0</v>
      </c>
      <c r="P104" s="134">
        <v>0</v>
      </c>
      <c r="Q104" s="134">
        <v>0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3.71</v>
      </c>
      <c r="C106" s="183">
        <f>MIN(C9:C104)</f>
        <v>18.190000000000001</v>
      </c>
      <c r="D106" s="183">
        <f t="shared" ref="D106:Q106" si="0">MIN(D9:D104)</f>
        <v>14.44</v>
      </c>
      <c r="E106" s="183">
        <f t="shared" si="0"/>
        <v>5.34</v>
      </c>
      <c r="F106" s="183">
        <f t="shared" si="0"/>
        <v>2.46</v>
      </c>
      <c r="G106" s="183">
        <f t="shared" si="0"/>
        <v>62.06</v>
      </c>
      <c r="H106" s="183">
        <f t="shared" si="0"/>
        <v>33.35</v>
      </c>
      <c r="I106" s="183">
        <f t="shared" si="0"/>
        <v>5.13</v>
      </c>
      <c r="J106" s="183">
        <f t="shared" si="0"/>
        <v>0.04</v>
      </c>
      <c r="K106" s="183">
        <f t="shared" si="0"/>
        <v>2.09</v>
      </c>
      <c r="L106" s="183">
        <f t="shared" si="0"/>
        <v>18.29</v>
      </c>
      <c r="M106" s="183">
        <f t="shared" si="0"/>
        <v>38.950000000000003</v>
      </c>
      <c r="N106" s="183">
        <f t="shared" si="0"/>
        <v>0</v>
      </c>
      <c r="O106" s="183">
        <f t="shared" si="0"/>
        <v>0</v>
      </c>
      <c r="P106" s="183">
        <f t="shared" si="0"/>
        <v>0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14.9</v>
      </c>
      <c r="C107" s="184">
        <f t="shared" ref="C107:Q107" si="1">MAX(C9:C104)</f>
        <v>37.85</v>
      </c>
      <c r="D107" s="184">
        <f t="shared" si="1"/>
        <v>31.14</v>
      </c>
      <c r="E107" s="184">
        <f t="shared" si="1"/>
        <v>12.09</v>
      </c>
      <c r="F107" s="184">
        <f t="shared" si="1"/>
        <v>8</v>
      </c>
      <c r="G107" s="184">
        <f t="shared" si="1"/>
        <v>178.04</v>
      </c>
      <c r="H107" s="184">
        <f t="shared" si="1"/>
        <v>67.59</v>
      </c>
      <c r="I107" s="184">
        <f t="shared" si="1"/>
        <v>9.67</v>
      </c>
      <c r="J107" s="184">
        <f t="shared" si="1"/>
        <v>0.51</v>
      </c>
      <c r="K107" s="184">
        <f t="shared" si="1"/>
        <v>342.75</v>
      </c>
      <c r="L107" s="184">
        <f t="shared" si="1"/>
        <v>30.02</v>
      </c>
      <c r="M107" s="184">
        <f t="shared" si="1"/>
        <v>85.53</v>
      </c>
      <c r="N107" s="184">
        <f t="shared" si="1"/>
        <v>485.5</v>
      </c>
      <c r="O107" s="184">
        <f t="shared" si="1"/>
        <v>0</v>
      </c>
      <c r="P107" s="184">
        <f t="shared" si="1"/>
        <v>0</v>
      </c>
      <c r="Q107" s="184">
        <f t="shared" si="1"/>
        <v>0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8.5998958333333331</v>
      </c>
      <c r="C108" s="183">
        <f t="shared" ref="C108:Q108" si="2">AVERAGE(C9:C104)</f>
        <v>27.343749999999989</v>
      </c>
      <c r="D108" s="183">
        <f t="shared" si="2"/>
        <v>22.532916666666665</v>
      </c>
      <c r="E108" s="183">
        <f t="shared" si="2"/>
        <v>8.6030208333333338</v>
      </c>
      <c r="F108" s="183">
        <f t="shared" si="2"/>
        <v>3.5216666666666678</v>
      </c>
      <c r="G108" s="183">
        <f t="shared" si="2"/>
        <v>100.61479166666668</v>
      </c>
      <c r="H108" s="183">
        <f t="shared" si="2"/>
        <v>43.054375000000022</v>
      </c>
      <c r="I108" s="183">
        <f t="shared" si="2"/>
        <v>6.7287500000000016</v>
      </c>
      <c r="J108" s="183">
        <f t="shared" si="2"/>
        <v>0.20875000000000002</v>
      </c>
      <c r="K108" s="183">
        <f t="shared" si="2"/>
        <v>103.84760416666667</v>
      </c>
      <c r="L108" s="183">
        <f t="shared" si="2"/>
        <v>23.139687499999994</v>
      </c>
      <c r="M108" s="183">
        <f t="shared" si="2"/>
        <v>65.741979166666653</v>
      </c>
      <c r="N108" s="183">
        <f t="shared" si="2"/>
        <v>103.72395833333336</v>
      </c>
      <c r="O108" s="183">
        <f t="shared" si="2"/>
        <v>0</v>
      </c>
      <c r="P108" s="183">
        <f t="shared" si="2"/>
        <v>0</v>
      </c>
      <c r="Q108" s="183">
        <f t="shared" si="2"/>
        <v>0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3.5775885717945637</v>
      </c>
      <c r="C109" s="183">
        <f t="shared" ref="C109:Q109" si="3">STDEV(C9:C104)</f>
        <v>5.2523996019864958</v>
      </c>
      <c r="D109" s="183">
        <f t="shared" si="3"/>
        <v>4.9697452898125691</v>
      </c>
      <c r="E109" s="183">
        <f t="shared" si="3"/>
        <v>1.9979105505458585</v>
      </c>
      <c r="F109" s="183">
        <f t="shared" si="3"/>
        <v>1.2802250350430067</v>
      </c>
      <c r="G109" s="183">
        <f t="shared" si="3"/>
        <v>33.807882854654359</v>
      </c>
      <c r="H109" s="183">
        <f t="shared" si="3"/>
        <v>9.8843524200200541</v>
      </c>
      <c r="I109" s="183">
        <f t="shared" si="3"/>
        <v>1.2594311581445181</v>
      </c>
      <c r="J109" s="183">
        <f t="shared" si="3"/>
        <v>0.11359438459064018</v>
      </c>
      <c r="K109" s="183">
        <f t="shared" si="3"/>
        <v>70.931482888248397</v>
      </c>
      <c r="L109" s="183">
        <f t="shared" si="3"/>
        <v>3.9332468048206191</v>
      </c>
      <c r="M109" s="183">
        <f t="shared" si="3"/>
        <v>16.226110706920753</v>
      </c>
      <c r="N109" s="183">
        <f t="shared" si="3"/>
        <v>163.24041859190817</v>
      </c>
      <c r="O109" s="183">
        <f t="shared" si="3"/>
        <v>0</v>
      </c>
      <c r="P109" s="183">
        <f t="shared" si="3"/>
        <v>0</v>
      </c>
      <c r="Q109" s="183">
        <f t="shared" si="3"/>
        <v>0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24/11/2023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s="11" customFormat="1">
      <c r="A9" s="6" t="s">
        <v>2447</v>
      </c>
      <c r="B9" s="189">
        <v>9.2899999999999991</v>
      </c>
      <c r="C9" s="189">
        <v>24.58</v>
      </c>
      <c r="D9" s="189">
        <v>21.64</v>
      </c>
      <c r="E9" s="189">
        <v>7.77</v>
      </c>
      <c r="F9" s="189">
        <v>2.8</v>
      </c>
      <c r="G9" s="189">
        <v>133.91999999999999</v>
      </c>
      <c r="H9" s="189">
        <v>62.51</v>
      </c>
      <c r="I9" s="189">
        <v>9.1999999999999993</v>
      </c>
      <c r="J9" s="189">
        <v>0.1</v>
      </c>
      <c r="K9" s="189">
        <v>191.75</v>
      </c>
      <c r="L9" s="189">
        <v>19.64</v>
      </c>
      <c r="M9" s="189">
        <v>82.87</v>
      </c>
      <c r="N9" s="189">
        <v>0</v>
      </c>
      <c r="O9" s="189">
        <v>0</v>
      </c>
      <c r="P9" s="189">
        <v>0.98</v>
      </c>
      <c r="Q9" s="190">
        <v>4.3499999999999996</v>
      </c>
    </row>
    <row r="10" spans="1:21" s="11" customFormat="1">
      <c r="A10" s="6" t="s">
        <v>2448</v>
      </c>
      <c r="B10" s="189">
        <v>9.1</v>
      </c>
      <c r="C10" s="189">
        <v>25.61</v>
      </c>
      <c r="D10" s="189">
        <v>22.03</v>
      </c>
      <c r="E10" s="189">
        <v>7.82</v>
      </c>
      <c r="F10" s="189">
        <v>2.67</v>
      </c>
      <c r="G10" s="189">
        <v>106.41</v>
      </c>
      <c r="H10" s="189">
        <v>54.6</v>
      </c>
      <c r="I10" s="189">
        <v>9.08</v>
      </c>
      <c r="J10" s="189">
        <v>0.12</v>
      </c>
      <c r="K10" s="189">
        <v>232.8</v>
      </c>
      <c r="L10" s="189">
        <v>19.579999999999998</v>
      </c>
      <c r="M10" s="189">
        <v>88.53</v>
      </c>
      <c r="N10" s="189">
        <v>0</v>
      </c>
      <c r="O10" s="189">
        <v>0</v>
      </c>
      <c r="P10" s="189">
        <v>0.97</v>
      </c>
      <c r="Q10" s="190">
        <v>4.3499999999999996</v>
      </c>
    </row>
    <row r="11" spans="1:21" s="11" customFormat="1">
      <c r="A11" s="6" t="s">
        <v>2449</v>
      </c>
      <c r="B11" s="189">
        <v>9.07</v>
      </c>
      <c r="C11" s="189">
        <v>24.81</v>
      </c>
      <c r="D11" s="189">
        <v>21.59</v>
      </c>
      <c r="E11" s="189">
        <v>7.79</v>
      </c>
      <c r="F11" s="189">
        <v>2.84</v>
      </c>
      <c r="G11" s="189">
        <v>100.91</v>
      </c>
      <c r="H11" s="189">
        <v>54.6</v>
      </c>
      <c r="I11" s="189">
        <v>8.92</v>
      </c>
      <c r="J11" s="189">
        <v>0.12</v>
      </c>
      <c r="K11" s="189">
        <v>225.66</v>
      </c>
      <c r="L11" s="189">
        <v>19.32</v>
      </c>
      <c r="M11" s="189">
        <v>87.22</v>
      </c>
      <c r="N11" s="189">
        <v>0</v>
      </c>
      <c r="O11" s="189">
        <v>0</v>
      </c>
      <c r="P11" s="189">
        <v>0.94</v>
      </c>
      <c r="Q11" s="190">
        <v>4.37</v>
      </c>
    </row>
    <row r="12" spans="1:21" s="11" customFormat="1">
      <c r="A12" s="6" t="s">
        <v>2450</v>
      </c>
      <c r="B12" s="189">
        <v>9</v>
      </c>
      <c r="C12" s="189">
        <v>25.04</v>
      </c>
      <c r="D12" s="189">
        <v>21.65</v>
      </c>
      <c r="E12" s="189">
        <v>7.68</v>
      </c>
      <c r="F12" s="189">
        <v>2.68</v>
      </c>
      <c r="G12" s="189">
        <v>100.91</v>
      </c>
      <c r="H12" s="189">
        <v>54.6</v>
      </c>
      <c r="I12" s="189">
        <v>8.82</v>
      </c>
      <c r="J12" s="189">
        <v>0.08</v>
      </c>
      <c r="K12" s="189">
        <v>205.14</v>
      </c>
      <c r="L12" s="189">
        <v>19.260000000000002</v>
      </c>
      <c r="M12" s="189">
        <v>88.33</v>
      </c>
      <c r="N12" s="189">
        <v>0</v>
      </c>
      <c r="O12" s="189">
        <v>0</v>
      </c>
      <c r="P12" s="189">
        <v>0.94</v>
      </c>
      <c r="Q12" s="190">
        <v>4.37</v>
      </c>
    </row>
    <row r="13" spans="1:21" s="11" customFormat="1">
      <c r="A13" s="6" t="s">
        <v>2451</v>
      </c>
      <c r="B13" s="189">
        <v>9.08</v>
      </c>
      <c r="C13" s="189">
        <v>24.02</v>
      </c>
      <c r="D13" s="189">
        <v>21.18</v>
      </c>
      <c r="E13" s="189">
        <v>7.78</v>
      </c>
      <c r="F13" s="189">
        <v>2.5499999999999998</v>
      </c>
      <c r="G13" s="189">
        <v>100.91</v>
      </c>
      <c r="H13" s="189">
        <v>54.6</v>
      </c>
      <c r="I13" s="189">
        <v>8.64</v>
      </c>
      <c r="J13" s="189">
        <v>0.11</v>
      </c>
      <c r="K13" s="189">
        <v>90.24</v>
      </c>
      <c r="L13" s="189">
        <v>19.18</v>
      </c>
      <c r="M13" s="189">
        <v>86.51</v>
      </c>
      <c r="N13" s="189">
        <v>0</v>
      </c>
      <c r="O13" s="189">
        <v>0</v>
      </c>
      <c r="P13" s="189">
        <v>0.92</v>
      </c>
      <c r="Q13" s="190">
        <v>4.3600000000000003</v>
      </c>
    </row>
    <row r="14" spans="1:21" s="11" customFormat="1">
      <c r="A14" s="6" t="s">
        <v>2452</v>
      </c>
      <c r="B14" s="189">
        <v>9.17</v>
      </c>
      <c r="C14" s="189">
        <v>24.29</v>
      </c>
      <c r="D14" s="189">
        <v>21.39</v>
      </c>
      <c r="E14" s="189">
        <v>7.85</v>
      </c>
      <c r="F14" s="189">
        <v>2.52</v>
      </c>
      <c r="G14" s="189">
        <v>105.09</v>
      </c>
      <c r="H14" s="189">
        <v>53.32</v>
      </c>
      <c r="I14" s="189">
        <v>8.5500000000000007</v>
      </c>
      <c r="J14" s="189">
        <v>0.14000000000000001</v>
      </c>
      <c r="K14" s="189">
        <v>74.36</v>
      </c>
      <c r="L14" s="189">
        <v>19.41</v>
      </c>
      <c r="M14" s="189">
        <v>82.7</v>
      </c>
      <c r="N14" s="189">
        <v>0</v>
      </c>
      <c r="O14" s="189">
        <v>0</v>
      </c>
      <c r="P14" s="189">
        <v>0.92</v>
      </c>
      <c r="Q14" s="190">
        <v>4.38</v>
      </c>
    </row>
    <row r="15" spans="1:21" s="11" customFormat="1">
      <c r="A15" s="6" t="s">
        <v>2453</v>
      </c>
      <c r="B15" s="189">
        <v>9.65</v>
      </c>
      <c r="C15" s="189">
        <v>25.3</v>
      </c>
      <c r="D15" s="189">
        <v>22.31</v>
      </c>
      <c r="E15" s="189">
        <v>7.66</v>
      </c>
      <c r="F15" s="189">
        <v>2.54</v>
      </c>
      <c r="G15" s="189">
        <v>105.92</v>
      </c>
      <c r="H15" s="189">
        <v>53.32</v>
      </c>
      <c r="I15" s="189">
        <v>8.4700000000000006</v>
      </c>
      <c r="J15" s="189">
        <v>0.09</v>
      </c>
      <c r="K15" s="189">
        <v>287.05</v>
      </c>
      <c r="L15" s="189">
        <v>19.670000000000002</v>
      </c>
      <c r="M15" s="189">
        <v>81.78</v>
      </c>
      <c r="N15" s="189">
        <v>0</v>
      </c>
      <c r="O15" s="189">
        <v>0</v>
      </c>
      <c r="P15" s="189">
        <v>0.9</v>
      </c>
      <c r="Q15" s="190">
        <v>4.38</v>
      </c>
    </row>
    <row r="16" spans="1:21" s="11" customFormat="1">
      <c r="A16" s="6" t="s">
        <v>2454</v>
      </c>
      <c r="B16" s="189">
        <v>10.38</v>
      </c>
      <c r="C16" s="189">
        <v>25.59</v>
      </c>
      <c r="D16" s="189">
        <v>23.05</v>
      </c>
      <c r="E16" s="189">
        <v>7.83</v>
      </c>
      <c r="F16" s="189">
        <v>2.58</v>
      </c>
      <c r="G16" s="189">
        <v>105.92</v>
      </c>
      <c r="H16" s="189">
        <v>53.32</v>
      </c>
      <c r="I16" s="189">
        <v>8.35</v>
      </c>
      <c r="J16" s="189">
        <v>0.06</v>
      </c>
      <c r="K16" s="189">
        <v>211.26</v>
      </c>
      <c r="L16" s="189">
        <v>19.32</v>
      </c>
      <c r="M16" s="189">
        <v>84.1</v>
      </c>
      <c r="N16" s="189">
        <v>0</v>
      </c>
      <c r="O16" s="189">
        <v>0</v>
      </c>
      <c r="P16" s="189">
        <v>0.9</v>
      </c>
      <c r="Q16" s="190">
        <v>4.41</v>
      </c>
    </row>
    <row r="17" spans="1:17" s="11" customFormat="1">
      <c r="A17" s="6" t="s">
        <v>2455</v>
      </c>
      <c r="B17" s="189">
        <v>11.78</v>
      </c>
      <c r="C17" s="189">
        <v>26.72</v>
      </c>
      <c r="D17" s="189">
        <v>24.76</v>
      </c>
      <c r="E17" s="189">
        <v>7.73</v>
      </c>
      <c r="F17" s="189">
        <v>2.38</v>
      </c>
      <c r="G17" s="189">
        <v>105.92</v>
      </c>
      <c r="H17" s="189">
        <v>53.32</v>
      </c>
      <c r="I17" s="189">
        <v>8.27</v>
      </c>
      <c r="J17" s="189">
        <v>0.1</v>
      </c>
      <c r="K17" s="189">
        <v>253.39</v>
      </c>
      <c r="L17" s="189">
        <v>19.11</v>
      </c>
      <c r="M17" s="189">
        <v>85.81</v>
      </c>
      <c r="N17" s="189">
        <v>0</v>
      </c>
      <c r="O17" s="189">
        <v>0</v>
      </c>
      <c r="P17" s="189">
        <v>0.89</v>
      </c>
      <c r="Q17" s="190">
        <v>4.47</v>
      </c>
    </row>
    <row r="18" spans="1:17" s="11" customFormat="1">
      <c r="A18" s="6" t="s">
        <v>2456</v>
      </c>
      <c r="B18" s="189">
        <v>13.21</v>
      </c>
      <c r="C18" s="189">
        <v>26.64</v>
      </c>
      <c r="D18" s="189">
        <v>25.86</v>
      </c>
      <c r="E18" s="189">
        <v>8.02</v>
      </c>
      <c r="F18" s="189">
        <v>2.4300000000000002</v>
      </c>
      <c r="G18" s="189">
        <v>107.05</v>
      </c>
      <c r="H18" s="189">
        <v>48.96</v>
      </c>
      <c r="I18" s="189">
        <v>8.14</v>
      </c>
      <c r="J18" s="189">
        <v>0.13</v>
      </c>
      <c r="K18" s="189">
        <v>56.16</v>
      </c>
      <c r="L18" s="189">
        <v>19.059999999999999</v>
      </c>
      <c r="M18" s="189">
        <v>85.63</v>
      </c>
      <c r="N18" s="189">
        <v>0</v>
      </c>
      <c r="O18" s="189">
        <v>0</v>
      </c>
      <c r="P18" s="189">
        <v>0.89</v>
      </c>
      <c r="Q18" s="190">
        <v>4.5199999999999996</v>
      </c>
    </row>
    <row r="19" spans="1:17" s="11" customFormat="1">
      <c r="A19" s="6" t="s">
        <v>2457</v>
      </c>
      <c r="B19" s="189">
        <v>14.37</v>
      </c>
      <c r="C19" s="189">
        <v>27.88</v>
      </c>
      <c r="D19" s="189">
        <v>27.44</v>
      </c>
      <c r="E19" s="189">
        <v>8.35</v>
      </c>
      <c r="F19" s="189">
        <v>2.57</v>
      </c>
      <c r="G19" s="189">
        <v>107.28</v>
      </c>
      <c r="H19" s="189">
        <v>48.96</v>
      </c>
      <c r="I19" s="189">
        <v>8.1300000000000008</v>
      </c>
      <c r="J19" s="189">
        <v>0.11</v>
      </c>
      <c r="K19" s="189">
        <v>39.229999999999997</v>
      </c>
      <c r="L19" s="189">
        <v>19.489999999999998</v>
      </c>
      <c r="M19" s="189">
        <v>84.3</v>
      </c>
      <c r="N19" s="189">
        <v>0</v>
      </c>
      <c r="O19" s="189">
        <v>0</v>
      </c>
      <c r="P19" s="189">
        <v>0.88</v>
      </c>
      <c r="Q19" s="190">
        <v>4.5599999999999996</v>
      </c>
    </row>
    <row r="20" spans="1:17" s="11" customFormat="1">
      <c r="A20" s="6" t="s">
        <v>2458</v>
      </c>
      <c r="B20" s="189">
        <v>14.78</v>
      </c>
      <c r="C20" s="189">
        <v>27.75</v>
      </c>
      <c r="D20" s="189">
        <v>27.7</v>
      </c>
      <c r="E20" s="189">
        <v>7.69</v>
      </c>
      <c r="F20" s="189">
        <v>2.5099999999999998</v>
      </c>
      <c r="G20" s="189">
        <v>107.28</v>
      </c>
      <c r="H20" s="189">
        <v>48.96</v>
      </c>
      <c r="I20" s="189">
        <v>8.09</v>
      </c>
      <c r="J20" s="189">
        <v>0.03</v>
      </c>
      <c r="K20" s="189">
        <v>17.649999999999999</v>
      </c>
      <c r="L20" s="189">
        <v>19.39</v>
      </c>
      <c r="M20" s="189">
        <v>85.27</v>
      </c>
      <c r="N20" s="189">
        <v>0</v>
      </c>
      <c r="O20" s="189">
        <v>0</v>
      </c>
      <c r="P20" s="189">
        <v>0.87</v>
      </c>
      <c r="Q20" s="190">
        <v>4.59</v>
      </c>
    </row>
    <row r="21" spans="1:17" s="11" customFormat="1">
      <c r="A21" s="6" t="s">
        <v>2459</v>
      </c>
      <c r="B21" s="189">
        <v>14.64</v>
      </c>
      <c r="C21" s="189">
        <v>27.42</v>
      </c>
      <c r="D21" s="189">
        <v>27.42</v>
      </c>
      <c r="E21" s="189">
        <v>8.44</v>
      </c>
      <c r="F21" s="189">
        <v>2.5</v>
      </c>
      <c r="G21" s="189">
        <v>107.28</v>
      </c>
      <c r="H21" s="189">
        <v>48.96</v>
      </c>
      <c r="I21" s="189">
        <v>8.01</v>
      </c>
      <c r="J21" s="189">
        <v>0.1</v>
      </c>
      <c r="K21" s="189">
        <v>190.81</v>
      </c>
      <c r="L21" s="189">
        <v>19.149999999999999</v>
      </c>
      <c r="M21" s="189">
        <v>86.16</v>
      </c>
      <c r="N21" s="189">
        <v>0</v>
      </c>
      <c r="O21" s="189">
        <v>0</v>
      </c>
      <c r="P21" s="189">
        <v>0.86</v>
      </c>
      <c r="Q21" s="190">
        <v>4.5999999999999996</v>
      </c>
    </row>
    <row r="22" spans="1:17" s="11" customFormat="1">
      <c r="A22" s="6" t="s">
        <v>2460</v>
      </c>
      <c r="B22" s="189">
        <v>14.03</v>
      </c>
      <c r="C22" s="189">
        <v>27.2</v>
      </c>
      <c r="D22" s="189">
        <v>26.81</v>
      </c>
      <c r="E22" s="189">
        <v>8.5500000000000007</v>
      </c>
      <c r="F22" s="189">
        <v>2.69</v>
      </c>
      <c r="G22" s="189">
        <v>97.97</v>
      </c>
      <c r="H22" s="189">
        <v>46.98</v>
      </c>
      <c r="I22" s="189">
        <v>7.93</v>
      </c>
      <c r="J22" s="189">
        <v>0.09</v>
      </c>
      <c r="K22" s="189">
        <v>235.07</v>
      </c>
      <c r="L22" s="189">
        <v>18.88</v>
      </c>
      <c r="M22" s="189">
        <v>90.31</v>
      </c>
      <c r="N22" s="189">
        <v>0</v>
      </c>
      <c r="O22" s="189">
        <v>0</v>
      </c>
      <c r="P22" s="189">
        <v>0.84</v>
      </c>
      <c r="Q22" s="190">
        <v>4.57</v>
      </c>
    </row>
    <row r="23" spans="1:17" s="11" customFormat="1">
      <c r="A23" s="6" t="s">
        <v>2461</v>
      </c>
      <c r="B23" s="189">
        <v>13.77</v>
      </c>
      <c r="C23" s="189">
        <v>27.55</v>
      </c>
      <c r="D23" s="189">
        <v>26.79</v>
      </c>
      <c r="E23" s="189">
        <v>8.98</v>
      </c>
      <c r="F23" s="189">
        <v>2.73</v>
      </c>
      <c r="G23" s="189">
        <v>96.11</v>
      </c>
      <c r="H23" s="189">
        <v>46.98</v>
      </c>
      <c r="I23" s="189">
        <v>7.76</v>
      </c>
      <c r="J23" s="189">
        <v>0.17</v>
      </c>
      <c r="K23" s="189">
        <v>56.2</v>
      </c>
      <c r="L23" s="189">
        <v>18.690000000000001</v>
      </c>
      <c r="M23" s="189">
        <v>89.84</v>
      </c>
      <c r="N23" s="189">
        <v>0</v>
      </c>
      <c r="O23" s="189">
        <v>0</v>
      </c>
      <c r="P23" s="189">
        <v>0.84</v>
      </c>
      <c r="Q23" s="190">
        <v>4.5599999999999996</v>
      </c>
    </row>
    <row r="24" spans="1:17" s="11" customFormat="1">
      <c r="A24" s="6" t="s">
        <v>2462</v>
      </c>
      <c r="B24" s="189">
        <v>14.64</v>
      </c>
      <c r="C24" s="189">
        <v>28.51</v>
      </c>
      <c r="D24" s="189">
        <v>27.98</v>
      </c>
      <c r="E24" s="189">
        <v>8.85</v>
      </c>
      <c r="F24" s="189">
        <v>2.68</v>
      </c>
      <c r="G24" s="189">
        <v>96.11</v>
      </c>
      <c r="H24" s="189">
        <v>46.98</v>
      </c>
      <c r="I24" s="189">
        <v>7.61</v>
      </c>
      <c r="J24" s="189">
        <v>0.26</v>
      </c>
      <c r="K24" s="189">
        <v>33.950000000000003</v>
      </c>
      <c r="L24" s="189">
        <v>18.809999999999999</v>
      </c>
      <c r="M24" s="189">
        <v>85.85</v>
      </c>
      <c r="N24" s="189">
        <v>0</v>
      </c>
      <c r="O24" s="189">
        <v>0</v>
      </c>
      <c r="P24" s="189">
        <v>0.84</v>
      </c>
      <c r="Q24" s="190">
        <v>4.58</v>
      </c>
    </row>
    <row r="25" spans="1:17" s="11" customFormat="1">
      <c r="A25" s="6" t="s">
        <v>2463</v>
      </c>
      <c r="B25" s="189">
        <v>14.85</v>
      </c>
      <c r="C25" s="189">
        <v>29.14</v>
      </c>
      <c r="D25" s="189">
        <v>28.49</v>
      </c>
      <c r="E25" s="189">
        <v>9.14</v>
      </c>
      <c r="F25" s="189">
        <v>2.78</v>
      </c>
      <c r="G25" s="189">
        <v>96.11</v>
      </c>
      <c r="H25" s="189">
        <v>46.98</v>
      </c>
      <c r="I25" s="189">
        <v>7.42</v>
      </c>
      <c r="J25" s="189">
        <v>0.39</v>
      </c>
      <c r="K25" s="189">
        <v>44.38</v>
      </c>
      <c r="L25" s="189">
        <v>18.73</v>
      </c>
      <c r="M25" s="189">
        <v>85.36</v>
      </c>
      <c r="N25" s="189">
        <v>0</v>
      </c>
      <c r="O25" s="189">
        <v>0</v>
      </c>
      <c r="P25" s="189">
        <v>0.83</v>
      </c>
      <c r="Q25" s="190">
        <v>4.59</v>
      </c>
    </row>
    <row r="26" spans="1:17" s="11" customFormat="1">
      <c r="A26" s="6" t="s">
        <v>2464</v>
      </c>
      <c r="B26" s="189">
        <v>14.52</v>
      </c>
      <c r="C26" s="189">
        <v>29.15</v>
      </c>
      <c r="D26" s="189">
        <v>28.23</v>
      </c>
      <c r="E26" s="189">
        <v>9.02</v>
      </c>
      <c r="F26" s="189">
        <v>2.85</v>
      </c>
      <c r="G26" s="189">
        <v>87.84</v>
      </c>
      <c r="H26" s="189">
        <v>45.09</v>
      </c>
      <c r="I26" s="189">
        <v>7.4</v>
      </c>
      <c r="J26" s="189">
        <v>0.34</v>
      </c>
      <c r="K26" s="189">
        <v>52.81</v>
      </c>
      <c r="L26" s="189">
        <v>18.690000000000001</v>
      </c>
      <c r="M26" s="189">
        <v>84.53</v>
      </c>
      <c r="N26" s="189">
        <v>0</v>
      </c>
      <c r="O26" s="189">
        <v>0</v>
      </c>
      <c r="P26" s="189">
        <v>0.82</v>
      </c>
      <c r="Q26" s="190">
        <v>4.5999999999999996</v>
      </c>
    </row>
    <row r="27" spans="1:17" s="11" customFormat="1">
      <c r="A27" s="6" t="s">
        <v>2465</v>
      </c>
      <c r="B27" s="189">
        <v>14.15</v>
      </c>
      <c r="C27" s="189">
        <v>29.58</v>
      </c>
      <c r="D27" s="189">
        <v>28.15</v>
      </c>
      <c r="E27" s="189">
        <v>8.94</v>
      </c>
      <c r="F27" s="189">
        <v>2.79</v>
      </c>
      <c r="G27" s="189">
        <v>86.18</v>
      </c>
      <c r="H27" s="189">
        <v>45.09</v>
      </c>
      <c r="I27" s="189">
        <v>7.34</v>
      </c>
      <c r="J27" s="189">
        <v>0.25</v>
      </c>
      <c r="K27" s="189">
        <v>49.75</v>
      </c>
      <c r="L27" s="189">
        <v>18.690000000000001</v>
      </c>
      <c r="M27" s="189">
        <v>84.86</v>
      </c>
      <c r="N27" s="189">
        <v>0</v>
      </c>
      <c r="O27" s="189">
        <v>0</v>
      </c>
      <c r="P27" s="189">
        <v>0.81</v>
      </c>
      <c r="Q27" s="190">
        <v>4.59</v>
      </c>
    </row>
    <row r="28" spans="1:17" s="11" customFormat="1">
      <c r="A28" s="6" t="s">
        <v>2466</v>
      </c>
      <c r="B28" s="189">
        <v>13.87</v>
      </c>
      <c r="C28" s="189">
        <v>29.73</v>
      </c>
      <c r="D28" s="189">
        <v>28.01</v>
      </c>
      <c r="E28" s="189">
        <v>8.73</v>
      </c>
      <c r="F28" s="189">
        <v>2.8</v>
      </c>
      <c r="G28" s="189">
        <v>86.18</v>
      </c>
      <c r="H28" s="189">
        <v>45.09</v>
      </c>
      <c r="I28" s="189">
        <v>7.33</v>
      </c>
      <c r="J28" s="189">
        <v>0.39</v>
      </c>
      <c r="K28" s="189">
        <v>40.99</v>
      </c>
      <c r="L28" s="189">
        <v>18.66</v>
      </c>
      <c r="M28" s="189">
        <v>84.5</v>
      </c>
      <c r="N28" s="189">
        <v>0</v>
      </c>
      <c r="O28" s="189">
        <v>0</v>
      </c>
      <c r="P28" s="189">
        <v>0.81</v>
      </c>
      <c r="Q28" s="190">
        <v>4.58</v>
      </c>
    </row>
    <row r="29" spans="1:17" s="11" customFormat="1">
      <c r="A29" s="6" t="s">
        <v>2467</v>
      </c>
      <c r="B29" s="189">
        <v>13.48</v>
      </c>
      <c r="C29" s="189">
        <v>29.77</v>
      </c>
      <c r="D29" s="189">
        <v>27.72</v>
      </c>
      <c r="E29" s="189">
        <v>9.06</v>
      </c>
      <c r="F29" s="189">
        <v>2.76</v>
      </c>
      <c r="G29" s="189">
        <v>86.18</v>
      </c>
      <c r="H29" s="189">
        <v>45.09</v>
      </c>
      <c r="I29" s="189">
        <v>7.24</v>
      </c>
      <c r="J29" s="189">
        <v>0.33</v>
      </c>
      <c r="K29" s="189">
        <v>39.29</v>
      </c>
      <c r="L29" s="189">
        <v>18.63</v>
      </c>
      <c r="M29" s="189">
        <v>83.33</v>
      </c>
      <c r="N29" s="189">
        <v>0</v>
      </c>
      <c r="O29" s="189">
        <v>0</v>
      </c>
      <c r="P29" s="189">
        <v>0.8</v>
      </c>
      <c r="Q29" s="190">
        <v>4.57</v>
      </c>
    </row>
    <row r="30" spans="1:17" s="11" customFormat="1">
      <c r="A30" s="6" t="s">
        <v>2468</v>
      </c>
      <c r="B30" s="189">
        <v>13.38</v>
      </c>
      <c r="C30" s="189">
        <v>30.16</v>
      </c>
      <c r="D30" s="189">
        <v>27.84</v>
      </c>
      <c r="E30" s="189">
        <v>9.3699999999999992</v>
      </c>
      <c r="F30" s="189">
        <v>2.75</v>
      </c>
      <c r="G30" s="189">
        <v>90.47</v>
      </c>
      <c r="H30" s="189">
        <v>45.26</v>
      </c>
      <c r="I30" s="189">
        <v>7.12</v>
      </c>
      <c r="J30" s="189">
        <v>0.28000000000000003</v>
      </c>
      <c r="K30" s="189">
        <v>42.6</v>
      </c>
      <c r="L30" s="189">
        <v>18.61</v>
      </c>
      <c r="M30" s="189">
        <v>82.89</v>
      </c>
      <c r="N30" s="189">
        <v>0</v>
      </c>
      <c r="O30" s="189">
        <v>0</v>
      </c>
      <c r="P30" s="189">
        <v>0.8</v>
      </c>
      <c r="Q30" s="190">
        <v>4.58</v>
      </c>
    </row>
    <row r="31" spans="1:17" s="11" customFormat="1">
      <c r="A31" s="6" t="s">
        <v>2469</v>
      </c>
      <c r="B31" s="189">
        <v>13.34</v>
      </c>
      <c r="C31" s="189">
        <v>30.52</v>
      </c>
      <c r="D31" s="189">
        <v>27.99</v>
      </c>
      <c r="E31" s="189">
        <v>9.1999999999999993</v>
      </c>
      <c r="F31" s="189">
        <v>2.65</v>
      </c>
      <c r="G31" s="189">
        <v>91.33</v>
      </c>
      <c r="H31" s="189">
        <v>45.26</v>
      </c>
      <c r="I31" s="189">
        <v>6.98</v>
      </c>
      <c r="J31" s="189">
        <v>0.32</v>
      </c>
      <c r="K31" s="189">
        <v>48.1</v>
      </c>
      <c r="L31" s="189">
        <v>18.78</v>
      </c>
      <c r="M31" s="189">
        <v>81.89</v>
      </c>
      <c r="N31" s="189">
        <v>0</v>
      </c>
      <c r="O31" s="189">
        <v>0</v>
      </c>
      <c r="P31" s="189">
        <v>0.79</v>
      </c>
      <c r="Q31" s="190">
        <v>4.58</v>
      </c>
    </row>
    <row r="32" spans="1:17" s="11" customFormat="1">
      <c r="A32" s="6" t="s">
        <v>2470</v>
      </c>
      <c r="B32" s="189">
        <v>13.63</v>
      </c>
      <c r="C32" s="189">
        <v>30.95</v>
      </c>
      <c r="D32" s="189">
        <v>28.45</v>
      </c>
      <c r="E32" s="189">
        <v>9.33</v>
      </c>
      <c r="F32" s="189">
        <v>2.64</v>
      </c>
      <c r="G32" s="189">
        <v>91.33</v>
      </c>
      <c r="H32" s="189">
        <v>45.26</v>
      </c>
      <c r="I32" s="189">
        <v>6.91</v>
      </c>
      <c r="J32" s="189">
        <v>0.41</v>
      </c>
      <c r="K32" s="189">
        <v>34.630000000000003</v>
      </c>
      <c r="L32" s="189">
        <v>18.89</v>
      </c>
      <c r="M32" s="189">
        <v>80.94</v>
      </c>
      <c r="N32" s="189">
        <v>0</v>
      </c>
      <c r="O32" s="189">
        <v>0</v>
      </c>
      <c r="P32" s="189">
        <v>0.8</v>
      </c>
      <c r="Q32" s="190">
        <v>4.59</v>
      </c>
    </row>
    <row r="33" spans="1:17" s="11" customFormat="1">
      <c r="A33" s="6" t="s">
        <v>2471</v>
      </c>
      <c r="B33" s="189">
        <v>13.76</v>
      </c>
      <c r="C33" s="189">
        <v>31.28</v>
      </c>
      <c r="D33" s="189">
        <v>28.73</v>
      </c>
      <c r="E33" s="189">
        <v>9.51</v>
      </c>
      <c r="F33" s="189">
        <v>2.76</v>
      </c>
      <c r="G33" s="189">
        <v>91.33</v>
      </c>
      <c r="H33" s="189">
        <v>45.26</v>
      </c>
      <c r="I33" s="189">
        <v>6.81</v>
      </c>
      <c r="J33" s="189">
        <v>0.38</v>
      </c>
      <c r="K33" s="189">
        <v>23.6</v>
      </c>
      <c r="L33" s="189">
        <v>18.899999999999999</v>
      </c>
      <c r="M33" s="189">
        <v>81.239999999999995</v>
      </c>
      <c r="N33" s="189">
        <v>0</v>
      </c>
      <c r="O33" s="189">
        <v>0</v>
      </c>
      <c r="P33" s="189">
        <v>0.8</v>
      </c>
      <c r="Q33" s="190">
        <v>4.57</v>
      </c>
    </row>
    <row r="34" spans="1:17" s="11" customFormat="1">
      <c r="A34" s="6" t="s">
        <v>2472</v>
      </c>
      <c r="B34" s="189">
        <v>13.79</v>
      </c>
      <c r="C34" s="189">
        <v>31.47</v>
      </c>
      <c r="D34" s="189">
        <v>28.85</v>
      </c>
      <c r="E34" s="189">
        <v>9.92</v>
      </c>
      <c r="F34" s="189">
        <v>2.67</v>
      </c>
      <c r="G34" s="189">
        <v>97.12</v>
      </c>
      <c r="H34" s="189">
        <v>44.69</v>
      </c>
      <c r="I34" s="189">
        <v>6.74</v>
      </c>
      <c r="J34" s="189">
        <v>0.28999999999999998</v>
      </c>
      <c r="K34" s="189">
        <v>36.42</v>
      </c>
      <c r="L34" s="189">
        <v>18.89</v>
      </c>
      <c r="M34" s="189">
        <v>83.38</v>
      </c>
      <c r="N34" s="189">
        <v>0.1</v>
      </c>
      <c r="O34" s="189">
        <v>0</v>
      </c>
      <c r="P34" s="189">
        <v>0.8</v>
      </c>
      <c r="Q34" s="190">
        <v>4.59</v>
      </c>
    </row>
    <row r="35" spans="1:17" s="11" customFormat="1">
      <c r="A35" s="6" t="s">
        <v>2473</v>
      </c>
      <c r="B35" s="189">
        <v>14.11</v>
      </c>
      <c r="C35" s="189">
        <v>31.32</v>
      </c>
      <c r="D35" s="189">
        <v>29.03</v>
      </c>
      <c r="E35" s="189">
        <v>10.17</v>
      </c>
      <c r="F35" s="189">
        <v>2.67</v>
      </c>
      <c r="G35" s="189">
        <v>98.28</v>
      </c>
      <c r="H35" s="189">
        <v>44.69</v>
      </c>
      <c r="I35" s="189">
        <v>6.72</v>
      </c>
      <c r="J35" s="189">
        <v>0.3</v>
      </c>
      <c r="K35" s="189">
        <v>33.01</v>
      </c>
      <c r="L35" s="189">
        <v>18.95</v>
      </c>
      <c r="M35" s="189">
        <v>83.61</v>
      </c>
      <c r="N35" s="189">
        <v>2.1</v>
      </c>
      <c r="O35" s="189">
        <v>0</v>
      </c>
      <c r="P35" s="189">
        <v>0.81</v>
      </c>
      <c r="Q35" s="190">
        <v>4.5999999999999996</v>
      </c>
    </row>
    <row r="36" spans="1:17" s="11" customFormat="1">
      <c r="A36" s="6" t="s">
        <v>2474</v>
      </c>
      <c r="B36" s="189">
        <v>14.4</v>
      </c>
      <c r="C36" s="189">
        <v>31.46</v>
      </c>
      <c r="D36" s="189">
        <v>29.33</v>
      </c>
      <c r="E36" s="189">
        <v>10.130000000000001</v>
      </c>
      <c r="F36" s="189">
        <v>2.73</v>
      </c>
      <c r="G36" s="189">
        <v>98.28</v>
      </c>
      <c r="H36" s="189">
        <v>44.69</v>
      </c>
      <c r="I36" s="189">
        <v>6.82</v>
      </c>
      <c r="J36" s="189">
        <v>0.35</v>
      </c>
      <c r="K36" s="189">
        <v>46.38</v>
      </c>
      <c r="L36" s="189">
        <v>19.079999999999998</v>
      </c>
      <c r="M36" s="189">
        <v>82.75</v>
      </c>
      <c r="N36" s="189">
        <v>21.7</v>
      </c>
      <c r="O36" s="189">
        <v>0</v>
      </c>
      <c r="P36" s="189">
        <v>0.83</v>
      </c>
      <c r="Q36" s="190">
        <v>4.6100000000000003</v>
      </c>
    </row>
    <row r="37" spans="1:17" s="11" customFormat="1">
      <c r="A37" s="6" t="s">
        <v>2475</v>
      </c>
      <c r="B37" s="189">
        <v>14.48</v>
      </c>
      <c r="C37" s="189">
        <v>31.52</v>
      </c>
      <c r="D37" s="189">
        <v>29.43</v>
      </c>
      <c r="E37" s="189">
        <v>9.89</v>
      </c>
      <c r="F37" s="189">
        <v>2.75</v>
      </c>
      <c r="G37" s="189">
        <v>98.28</v>
      </c>
      <c r="H37" s="189">
        <v>44.69</v>
      </c>
      <c r="I37" s="189">
        <v>6.99</v>
      </c>
      <c r="J37" s="189">
        <v>0.36</v>
      </c>
      <c r="K37" s="189">
        <v>38.97</v>
      </c>
      <c r="L37" s="189">
        <v>19.489999999999998</v>
      </c>
      <c r="M37" s="189">
        <v>81.45</v>
      </c>
      <c r="N37" s="189">
        <v>33.6</v>
      </c>
      <c r="O37" s="189">
        <v>0</v>
      </c>
      <c r="P37" s="189">
        <v>0.85</v>
      </c>
      <c r="Q37" s="190">
        <v>4.6100000000000003</v>
      </c>
    </row>
    <row r="38" spans="1:17" s="11" customFormat="1">
      <c r="A38" s="6" t="s">
        <v>2476</v>
      </c>
      <c r="B38" s="189">
        <v>14.57</v>
      </c>
      <c r="C38" s="189">
        <v>31.71</v>
      </c>
      <c r="D38" s="189">
        <v>29.61</v>
      </c>
      <c r="E38" s="189">
        <v>10.31</v>
      </c>
      <c r="F38" s="189">
        <v>2.69</v>
      </c>
      <c r="G38" s="189">
        <v>101.29</v>
      </c>
      <c r="H38" s="189">
        <v>47.54</v>
      </c>
      <c r="I38" s="189">
        <v>7.04</v>
      </c>
      <c r="J38" s="189">
        <v>0.44</v>
      </c>
      <c r="K38" s="189">
        <v>39.979999999999997</v>
      </c>
      <c r="L38" s="189">
        <v>19.670000000000002</v>
      </c>
      <c r="M38" s="189">
        <v>81.650000000000006</v>
      </c>
      <c r="N38" s="189">
        <v>42.6</v>
      </c>
      <c r="O38" s="189">
        <v>0</v>
      </c>
      <c r="P38" s="189">
        <v>0.86</v>
      </c>
      <c r="Q38" s="190">
        <v>4.63</v>
      </c>
    </row>
    <row r="39" spans="1:17" s="11" customFormat="1">
      <c r="A39" s="6" t="s">
        <v>2477</v>
      </c>
      <c r="B39" s="189">
        <v>14.49</v>
      </c>
      <c r="C39" s="189">
        <v>31.67</v>
      </c>
      <c r="D39" s="189">
        <v>29.52</v>
      </c>
      <c r="E39" s="189">
        <v>10.54</v>
      </c>
      <c r="F39" s="189">
        <v>2.85</v>
      </c>
      <c r="G39" s="189">
        <v>101.89</v>
      </c>
      <c r="H39" s="189">
        <v>47.54</v>
      </c>
      <c r="I39" s="189">
        <v>7.05</v>
      </c>
      <c r="J39" s="189">
        <v>0.59</v>
      </c>
      <c r="K39" s="189">
        <v>56.33</v>
      </c>
      <c r="L39" s="189">
        <v>19.89</v>
      </c>
      <c r="M39" s="189">
        <v>79.47</v>
      </c>
      <c r="N39" s="189">
        <v>46.1</v>
      </c>
      <c r="O39" s="189">
        <v>0</v>
      </c>
      <c r="P39" s="189">
        <v>0.87</v>
      </c>
      <c r="Q39" s="190">
        <v>4.6399999999999997</v>
      </c>
    </row>
    <row r="40" spans="1:17" s="11" customFormat="1">
      <c r="A40" s="6" t="s">
        <v>2478</v>
      </c>
      <c r="B40" s="189">
        <v>14</v>
      </c>
      <c r="C40" s="189">
        <v>31.72</v>
      </c>
      <c r="D40" s="189">
        <v>29.15</v>
      </c>
      <c r="E40" s="189">
        <v>10.210000000000001</v>
      </c>
      <c r="F40" s="189">
        <v>2.84</v>
      </c>
      <c r="G40" s="189">
        <v>101.89</v>
      </c>
      <c r="H40" s="189">
        <v>47.54</v>
      </c>
      <c r="I40" s="189">
        <v>7.14</v>
      </c>
      <c r="J40" s="189">
        <v>0.39</v>
      </c>
      <c r="K40" s="189">
        <v>34.92</v>
      </c>
      <c r="L40" s="189">
        <v>20.36</v>
      </c>
      <c r="M40" s="189">
        <v>78.58</v>
      </c>
      <c r="N40" s="189">
        <v>94.3</v>
      </c>
      <c r="O40" s="189">
        <v>0</v>
      </c>
      <c r="P40" s="189">
        <v>0.88</v>
      </c>
      <c r="Q40" s="190">
        <v>4.62</v>
      </c>
    </row>
    <row r="41" spans="1:17" s="11" customFormat="1">
      <c r="A41" s="6" t="s">
        <v>2479</v>
      </c>
      <c r="B41" s="189">
        <v>13.7</v>
      </c>
      <c r="C41" s="189">
        <v>31.89</v>
      </c>
      <c r="D41" s="189">
        <v>28.99</v>
      </c>
      <c r="E41" s="189">
        <v>10.24</v>
      </c>
      <c r="F41" s="189">
        <v>2.7</v>
      </c>
      <c r="G41" s="189">
        <v>101.89</v>
      </c>
      <c r="H41" s="189">
        <v>47.54</v>
      </c>
      <c r="I41" s="189">
        <v>7.18</v>
      </c>
      <c r="J41" s="189">
        <v>0.56999999999999995</v>
      </c>
      <c r="K41" s="189">
        <v>36.270000000000003</v>
      </c>
      <c r="L41" s="189">
        <v>20.95</v>
      </c>
      <c r="M41" s="189">
        <v>74.930000000000007</v>
      </c>
      <c r="N41" s="189">
        <v>123.1</v>
      </c>
      <c r="O41" s="189">
        <v>0</v>
      </c>
      <c r="P41" s="189">
        <v>0.9</v>
      </c>
      <c r="Q41" s="190">
        <v>4.62</v>
      </c>
    </row>
    <row r="42" spans="1:17" s="11" customFormat="1">
      <c r="A42" s="6" t="s">
        <v>2480</v>
      </c>
      <c r="B42" s="189">
        <v>13.49</v>
      </c>
      <c r="C42" s="189">
        <v>31.55</v>
      </c>
      <c r="D42" s="189">
        <v>28.65</v>
      </c>
      <c r="E42" s="189">
        <v>9.86</v>
      </c>
      <c r="F42" s="189">
        <v>2.71</v>
      </c>
      <c r="G42" s="189">
        <v>104.69</v>
      </c>
      <c r="H42" s="189">
        <v>47.57</v>
      </c>
      <c r="I42" s="189">
        <v>7.27</v>
      </c>
      <c r="J42" s="189">
        <v>0.54</v>
      </c>
      <c r="K42" s="189">
        <v>41.24</v>
      </c>
      <c r="L42" s="189">
        <v>21.37</v>
      </c>
      <c r="M42" s="189">
        <v>72.95</v>
      </c>
      <c r="N42" s="189">
        <v>131.6</v>
      </c>
      <c r="O42" s="189">
        <v>0</v>
      </c>
      <c r="P42" s="189">
        <v>0.9</v>
      </c>
      <c r="Q42" s="190">
        <v>4.59</v>
      </c>
    </row>
    <row r="43" spans="1:17" s="11" customFormat="1">
      <c r="A43" s="6" t="s">
        <v>2481</v>
      </c>
      <c r="B43" s="189">
        <v>13.46</v>
      </c>
      <c r="C43" s="189">
        <v>28.82</v>
      </c>
      <c r="D43" s="189">
        <v>27.2</v>
      </c>
      <c r="E43" s="189">
        <v>9.08</v>
      </c>
      <c r="F43" s="189">
        <v>3.05</v>
      </c>
      <c r="G43" s="189">
        <v>105.25</v>
      </c>
      <c r="H43" s="189">
        <v>47.57</v>
      </c>
      <c r="I43" s="189">
        <v>7.31</v>
      </c>
      <c r="J43" s="189">
        <v>0.62</v>
      </c>
      <c r="K43" s="189">
        <v>40.270000000000003</v>
      </c>
      <c r="L43" s="189">
        <v>21.89</v>
      </c>
      <c r="M43" s="189">
        <v>72.59</v>
      </c>
      <c r="N43" s="189">
        <v>174.4</v>
      </c>
      <c r="O43" s="189">
        <v>0</v>
      </c>
      <c r="P43" s="189">
        <v>0.89</v>
      </c>
      <c r="Q43" s="190">
        <v>4.57</v>
      </c>
    </row>
    <row r="44" spans="1:17" s="11" customFormat="1">
      <c r="A44" s="6" t="s">
        <v>2482</v>
      </c>
      <c r="B44" s="189">
        <v>13.35</v>
      </c>
      <c r="C44" s="189">
        <v>26.76</v>
      </c>
      <c r="D44" s="189">
        <v>26.04</v>
      </c>
      <c r="E44" s="189">
        <v>8.8000000000000007</v>
      </c>
      <c r="F44" s="189">
        <v>3.09</v>
      </c>
      <c r="G44" s="189">
        <v>105.25</v>
      </c>
      <c r="H44" s="189">
        <v>47.57</v>
      </c>
      <c r="I44" s="189">
        <v>7.35</v>
      </c>
      <c r="J44" s="189">
        <v>0.56999999999999995</v>
      </c>
      <c r="K44" s="189">
        <v>51.98</v>
      </c>
      <c r="L44" s="189">
        <v>22.71</v>
      </c>
      <c r="M44" s="189">
        <v>69.94</v>
      </c>
      <c r="N44" s="189">
        <v>215</v>
      </c>
      <c r="O44" s="189">
        <v>0</v>
      </c>
      <c r="P44" s="189">
        <v>0.87</v>
      </c>
      <c r="Q44" s="190">
        <v>4.54</v>
      </c>
    </row>
    <row r="45" spans="1:17" s="11" customFormat="1">
      <c r="A45" s="6" t="s">
        <v>2483</v>
      </c>
      <c r="B45" s="189">
        <v>13.1</v>
      </c>
      <c r="C45" s="189">
        <v>25.62</v>
      </c>
      <c r="D45" s="189">
        <v>25.24</v>
      </c>
      <c r="E45" s="189">
        <v>7.96</v>
      </c>
      <c r="F45" s="189">
        <v>3.02</v>
      </c>
      <c r="G45" s="189">
        <v>105.25</v>
      </c>
      <c r="H45" s="189">
        <v>47.57</v>
      </c>
      <c r="I45" s="189">
        <v>7.37</v>
      </c>
      <c r="J45" s="189">
        <v>0.57999999999999996</v>
      </c>
      <c r="K45" s="189">
        <v>48.14</v>
      </c>
      <c r="L45" s="189">
        <v>23.12</v>
      </c>
      <c r="M45" s="189">
        <v>68.8</v>
      </c>
      <c r="N45" s="189">
        <v>171.2</v>
      </c>
      <c r="O45" s="189">
        <v>0</v>
      </c>
      <c r="P45" s="189">
        <v>0.85</v>
      </c>
      <c r="Q45" s="190">
        <v>4.51</v>
      </c>
    </row>
    <row r="46" spans="1:17" s="11" customFormat="1">
      <c r="A46" s="6" t="s">
        <v>2484</v>
      </c>
      <c r="B46" s="189">
        <v>12.87</v>
      </c>
      <c r="C46" s="189">
        <v>27.15</v>
      </c>
      <c r="D46" s="189">
        <v>25.85</v>
      </c>
      <c r="E46" s="189">
        <v>8.1199999999999992</v>
      </c>
      <c r="F46" s="189">
        <v>2.78</v>
      </c>
      <c r="G46" s="189">
        <v>107.33</v>
      </c>
      <c r="H46" s="189">
        <v>47.27</v>
      </c>
      <c r="I46" s="189">
        <v>7.38</v>
      </c>
      <c r="J46" s="189">
        <v>0.65</v>
      </c>
      <c r="K46" s="189">
        <v>47.07</v>
      </c>
      <c r="L46" s="189">
        <v>23.84</v>
      </c>
      <c r="M46" s="189">
        <v>66.650000000000006</v>
      </c>
      <c r="N46" s="189">
        <v>221.6</v>
      </c>
      <c r="O46" s="189">
        <v>0</v>
      </c>
      <c r="P46" s="189">
        <v>0.88</v>
      </c>
      <c r="Q46" s="190">
        <v>4.49</v>
      </c>
    </row>
    <row r="47" spans="1:17" s="11" customFormat="1">
      <c r="A47" s="6" t="s">
        <v>2485</v>
      </c>
      <c r="B47" s="189">
        <v>12.62</v>
      </c>
      <c r="C47" s="189">
        <v>26.51</v>
      </c>
      <c r="D47" s="189">
        <v>25.32</v>
      </c>
      <c r="E47" s="189">
        <v>8.34</v>
      </c>
      <c r="F47" s="189">
        <v>3</v>
      </c>
      <c r="G47" s="189">
        <v>107.75</v>
      </c>
      <c r="H47" s="189">
        <v>47.27</v>
      </c>
      <c r="I47" s="189">
        <v>7.33</v>
      </c>
      <c r="J47" s="189">
        <v>0.77</v>
      </c>
      <c r="K47" s="189">
        <v>42.11</v>
      </c>
      <c r="L47" s="189">
        <v>24.08</v>
      </c>
      <c r="M47" s="189">
        <v>65.63</v>
      </c>
      <c r="N47" s="189">
        <v>306</v>
      </c>
      <c r="O47" s="189">
        <v>0</v>
      </c>
      <c r="P47" s="189">
        <v>0.88</v>
      </c>
      <c r="Q47" s="190">
        <v>4.49</v>
      </c>
    </row>
    <row r="48" spans="1:17" s="11" customFormat="1">
      <c r="A48" s="6" t="s">
        <v>2486</v>
      </c>
      <c r="B48" s="189">
        <v>12.29</v>
      </c>
      <c r="C48" s="189">
        <v>25.44</v>
      </c>
      <c r="D48" s="189">
        <v>24.5</v>
      </c>
      <c r="E48" s="189">
        <v>7.96</v>
      </c>
      <c r="F48" s="189">
        <v>3.1</v>
      </c>
      <c r="G48" s="189">
        <v>107.75</v>
      </c>
      <c r="H48" s="189">
        <v>47.27</v>
      </c>
      <c r="I48" s="189">
        <v>7.37</v>
      </c>
      <c r="J48" s="189">
        <v>0.55000000000000004</v>
      </c>
      <c r="K48" s="189">
        <v>44.56</v>
      </c>
      <c r="L48" s="189">
        <v>24.79</v>
      </c>
      <c r="M48" s="189">
        <v>62.39</v>
      </c>
      <c r="N48" s="189">
        <v>329.8</v>
      </c>
      <c r="O48" s="189">
        <v>0</v>
      </c>
      <c r="P48" s="189">
        <v>0.87</v>
      </c>
      <c r="Q48" s="190">
        <v>4.4800000000000004</v>
      </c>
    </row>
    <row r="49" spans="1:17" s="11" customFormat="1">
      <c r="A49" s="6" t="s">
        <v>2487</v>
      </c>
      <c r="B49" s="189">
        <v>11.72</v>
      </c>
      <c r="C49" s="189">
        <v>25</v>
      </c>
      <c r="D49" s="189">
        <v>23.81</v>
      </c>
      <c r="E49" s="189">
        <v>5.0199999999999996</v>
      </c>
      <c r="F49" s="189">
        <v>3.36</v>
      </c>
      <c r="G49" s="189">
        <v>107.75</v>
      </c>
      <c r="H49" s="189">
        <v>47.27</v>
      </c>
      <c r="I49" s="189">
        <v>7.35</v>
      </c>
      <c r="J49" s="189">
        <v>0.44</v>
      </c>
      <c r="K49" s="189">
        <v>52.77</v>
      </c>
      <c r="L49" s="189">
        <v>25.46</v>
      </c>
      <c r="M49" s="189">
        <v>60.26</v>
      </c>
      <c r="N49" s="189">
        <v>344.6</v>
      </c>
      <c r="O49" s="189">
        <v>0</v>
      </c>
      <c r="P49" s="189">
        <v>0.87</v>
      </c>
      <c r="Q49" s="190">
        <v>4.46</v>
      </c>
    </row>
    <row r="50" spans="1:17" s="11" customFormat="1">
      <c r="A50" s="6" t="s">
        <v>2488</v>
      </c>
      <c r="B50" s="189">
        <v>10.96</v>
      </c>
      <c r="C50" s="189">
        <v>25.34</v>
      </c>
      <c r="D50" s="189">
        <v>23.38</v>
      </c>
      <c r="E50" s="189">
        <v>6.04</v>
      </c>
      <c r="F50" s="189">
        <v>3.6</v>
      </c>
      <c r="G50" s="189">
        <v>101.68</v>
      </c>
      <c r="H50" s="189">
        <v>46.77</v>
      </c>
      <c r="I50" s="189">
        <v>7.33</v>
      </c>
      <c r="J50" s="189">
        <v>0.68</v>
      </c>
      <c r="K50" s="189">
        <v>38.94</v>
      </c>
      <c r="L50" s="189">
        <v>25.73</v>
      </c>
      <c r="M50" s="189">
        <v>58.62</v>
      </c>
      <c r="N50" s="189">
        <v>361.1</v>
      </c>
      <c r="O50" s="189">
        <v>0</v>
      </c>
      <c r="P50" s="189">
        <v>0.87</v>
      </c>
      <c r="Q50" s="190">
        <v>4.45</v>
      </c>
    </row>
    <row r="51" spans="1:17" s="11" customFormat="1">
      <c r="A51" s="6" t="s">
        <v>2489</v>
      </c>
      <c r="B51" s="189">
        <v>10.48</v>
      </c>
      <c r="C51" s="189">
        <v>27.5</v>
      </c>
      <c r="D51" s="189">
        <v>24.12</v>
      </c>
      <c r="E51" s="189">
        <v>6.11</v>
      </c>
      <c r="F51" s="189">
        <v>3.42</v>
      </c>
      <c r="G51" s="189">
        <v>100.46</v>
      </c>
      <c r="H51" s="189">
        <v>46.77</v>
      </c>
      <c r="I51" s="189">
        <v>7.29</v>
      </c>
      <c r="J51" s="189">
        <v>0.25</v>
      </c>
      <c r="K51" s="189">
        <v>60.98</v>
      </c>
      <c r="L51" s="189">
        <v>26.8</v>
      </c>
      <c r="M51" s="189">
        <v>55.42</v>
      </c>
      <c r="N51" s="189">
        <v>376.2</v>
      </c>
      <c r="O51" s="189">
        <v>0</v>
      </c>
      <c r="P51" s="189">
        <v>0.89</v>
      </c>
      <c r="Q51" s="190">
        <v>4.42</v>
      </c>
    </row>
    <row r="52" spans="1:17" s="11" customFormat="1">
      <c r="A52" s="6" t="s">
        <v>2490</v>
      </c>
      <c r="B52" s="189">
        <v>10</v>
      </c>
      <c r="C52" s="189">
        <v>26.5</v>
      </c>
      <c r="D52" s="189">
        <v>23.22</v>
      </c>
      <c r="E52" s="189">
        <v>5.71</v>
      </c>
      <c r="F52" s="189">
        <v>3.46</v>
      </c>
      <c r="G52" s="189">
        <v>100.46</v>
      </c>
      <c r="H52" s="189">
        <v>46.77</v>
      </c>
      <c r="I52" s="189">
        <v>7.25</v>
      </c>
      <c r="J52" s="189">
        <v>0.6</v>
      </c>
      <c r="K52" s="189">
        <v>46.8</v>
      </c>
      <c r="L52" s="189">
        <v>26.93</v>
      </c>
      <c r="M52" s="189">
        <v>53.83</v>
      </c>
      <c r="N52" s="189">
        <v>378.2</v>
      </c>
      <c r="O52" s="189">
        <v>0</v>
      </c>
      <c r="P52" s="189">
        <v>0.89</v>
      </c>
      <c r="Q52" s="190">
        <v>4.3899999999999997</v>
      </c>
    </row>
    <row r="53" spans="1:17" s="11" customFormat="1">
      <c r="A53" s="6" t="s">
        <v>2491</v>
      </c>
      <c r="B53" s="189">
        <v>9.3800000000000008</v>
      </c>
      <c r="C53" s="189">
        <v>25.79</v>
      </c>
      <c r="D53" s="189">
        <v>22.35</v>
      </c>
      <c r="E53" s="189">
        <v>6.06</v>
      </c>
      <c r="F53" s="189">
        <v>3.33</v>
      </c>
      <c r="G53" s="189">
        <v>100.46</v>
      </c>
      <c r="H53" s="189">
        <v>46.77</v>
      </c>
      <c r="I53" s="189">
        <v>7.23</v>
      </c>
      <c r="J53" s="189">
        <v>0.43</v>
      </c>
      <c r="K53" s="189">
        <v>61.29</v>
      </c>
      <c r="L53" s="189">
        <v>27.43</v>
      </c>
      <c r="M53" s="189">
        <v>50.88</v>
      </c>
      <c r="N53" s="189">
        <v>405.6</v>
      </c>
      <c r="O53" s="189">
        <v>0</v>
      </c>
      <c r="P53" s="189">
        <v>0.88</v>
      </c>
      <c r="Q53" s="190">
        <v>4.3899999999999997</v>
      </c>
    </row>
    <row r="54" spans="1:17" s="11" customFormat="1">
      <c r="A54" s="6" t="s">
        <v>2492</v>
      </c>
      <c r="B54" s="189">
        <v>8.58</v>
      </c>
      <c r="C54" s="189">
        <v>25.17</v>
      </c>
      <c r="D54" s="189">
        <v>21.38</v>
      </c>
      <c r="E54" s="189">
        <v>6.49</v>
      </c>
      <c r="F54" s="189">
        <v>3.54</v>
      </c>
      <c r="G54" s="189">
        <v>100.4</v>
      </c>
      <c r="H54" s="189">
        <v>47.76</v>
      </c>
      <c r="I54" s="189">
        <v>7.21</v>
      </c>
      <c r="J54" s="189">
        <v>0.41</v>
      </c>
      <c r="K54" s="189">
        <v>66.61</v>
      </c>
      <c r="L54" s="189">
        <v>28.08</v>
      </c>
      <c r="M54" s="189">
        <v>44.8</v>
      </c>
      <c r="N54" s="189">
        <v>433.5</v>
      </c>
      <c r="O54" s="189">
        <v>0</v>
      </c>
      <c r="P54" s="189">
        <v>0.87</v>
      </c>
      <c r="Q54" s="190">
        <v>4.37</v>
      </c>
    </row>
    <row r="55" spans="1:17" s="11" customFormat="1">
      <c r="A55" s="6" t="s">
        <v>2493</v>
      </c>
      <c r="B55" s="189">
        <v>7.69</v>
      </c>
      <c r="C55" s="189">
        <v>24.55</v>
      </c>
      <c r="D55" s="189">
        <v>20.34</v>
      </c>
      <c r="E55" s="189">
        <v>6.91</v>
      </c>
      <c r="F55" s="189">
        <v>4.6399999999999997</v>
      </c>
      <c r="G55" s="189">
        <v>100.39</v>
      </c>
      <c r="H55" s="189">
        <v>47.76</v>
      </c>
      <c r="I55" s="189">
        <v>7.13</v>
      </c>
      <c r="J55" s="189">
        <v>0.44</v>
      </c>
      <c r="K55" s="189">
        <v>68.27</v>
      </c>
      <c r="L55" s="189">
        <v>28.3</v>
      </c>
      <c r="M55" s="189">
        <v>43.05</v>
      </c>
      <c r="N55" s="189">
        <v>430.9</v>
      </c>
      <c r="O55" s="189">
        <v>0</v>
      </c>
      <c r="P55" s="189">
        <v>0.86</v>
      </c>
      <c r="Q55" s="190">
        <v>4.37</v>
      </c>
    </row>
    <row r="56" spans="1:17" s="11" customFormat="1">
      <c r="A56" s="6" t="s">
        <v>2494</v>
      </c>
      <c r="B56" s="189">
        <v>6.99</v>
      </c>
      <c r="C56" s="189">
        <v>24.22</v>
      </c>
      <c r="D56" s="189">
        <v>19.61</v>
      </c>
      <c r="E56" s="189">
        <v>6.7</v>
      </c>
      <c r="F56" s="189">
        <v>4.8099999999999996</v>
      </c>
      <c r="G56" s="189">
        <v>100.39</v>
      </c>
      <c r="H56" s="189">
        <v>47.76</v>
      </c>
      <c r="I56" s="189">
        <v>7.04</v>
      </c>
      <c r="J56" s="189">
        <v>0.45</v>
      </c>
      <c r="K56" s="189">
        <v>56.3</v>
      </c>
      <c r="L56" s="189">
        <v>28.28</v>
      </c>
      <c r="M56" s="189">
        <v>43.95</v>
      </c>
      <c r="N56" s="189">
        <v>433.3</v>
      </c>
      <c r="O56" s="189">
        <v>0</v>
      </c>
      <c r="P56" s="189">
        <v>0.85</v>
      </c>
      <c r="Q56" s="190">
        <v>4.32</v>
      </c>
    </row>
    <row r="57" spans="1:17" s="11" customFormat="1">
      <c r="A57" s="6" t="s">
        <v>2495</v>
      </c>
      <c r="B57" s="189">
        <v>6.38</v>
      </c>
      <c r="C57" s="189">
        <v>23.85</v>
      </c>
      <c r="D57" s="189">
        <v>18.93</v>
      </c>
      <c r="E57" s="189">
        <v>6.74</v>
      </c>
      <c r="F57" s="189">
        <v>4.51</v>
      </c>
      <c r="G57" s="189">
        <v>100.39</v>
      </c>
      <c r="H57" s="189">
        <v>47.76</v>
      </c>
      <c r="I57" s="189">
        <v>6.89</v>
      </c>
      <c r="J57" s="189">
        <v>0.33</v>
      </c>
      <c r="K57" s="189">
        <v>76.69</v>
      </c>
      <c r="L57" s="189">
        <v>28.73</v>
      </c>
      <c r="M57" s="189">
        <v>43.16</v>
      </c>
      <c r="N57" s="189">
        <v>416.7</v>
      </c>
      <c r="O57" s="189">
        <v>0</v>
      </c>
      <c r="P57" s="189">
        <v>0.84</v>
      </c>
      <c r="Q57" s="190">
        <v>4.2699999999999996</v>
      </c>
    </row>
    <row r="58" spans="1:17" s="11" customFormat="1">
      <c r="A58" s="6" t="s">
        <v>2496</v>
      </c>
      <c r="B58" s="189">
        <v>5.71</v>
      </c>
      <c r="C58" s="189">
        <v>23.3</v>
      </c>
      <c r="D58" s="189">
        <v>18.11</v>
      </c>
      <c r="E58" s="189">
        <v>7.36</v>
      </c>
      <c r="F58" s="189">
        <v>5.68</v>
      </c>
      <c r="G58" s="189">
        <v>95.78</v>
      </c>
      <c r="H58" s="189">
        <v>45.2</v>
      </c>
      <c r="I58" s="189">
        <v>6.74</v>
      </c>
      <c r="J58" s="189">
        <v>0.26</v>
      </c>
      <c r="K58" s="189">
        <v>69.099999999999994</v>
      </c>
      <c r="L58" s="189">
        <v>28.84</v>
      </c>
      <c r="M58" s="189">
        <v>43.43</v>
      </c>
      <c r="N58" s="189">
        <v>411.8</v>
      </c>
      <c r="O58" s="189">
        <v>0</v>
      </c>
      <c r="P58" s="189">
        <v>0.83</v>
      </c>
      <c r="Q58" s="190">
        <v>4.25</v>
      </c>
    </row>
    <row r="59" spans="1:17" s="11" customFormat="1">
      <c r="A59" s="6" t="s">
        <v>2497</v>
      </c>
      <c r="B59" s="189">
        <v>5.25</v>
      </c>
      <c r="C59" s="189">
        <v>22.66</v>
      </c>
      <c r="D59" s="189">
        <v>17.399999999999999</v>
      </c>
      <c r="E59" s="189">
        <v>6.62</v>
      </c>
      <c r="F59" s="189">
        <v>5.19</v>
      </c>
      <c r="G59" s="189">
        <v>94.85</v>
      </c>
      <c r="H59" s="189">
        <v>45.2</v>
      </c>
      <c r="I59" s="189">
        <v>6.69</v>
      </c>
      <c r="J59" s="189">
        <v>0.32</v>
      </c>
      <c r="K59" s="189">
        <v>77.489999999999995</v>
      </c>
      <c r="L59" s="189">
        <v>28.83</v>
      </c>
      <c r="M59" s="189">
        <v>42.99</v>
      </c>
      <c r="N59" s="189">
        <v>329</v>
      </c>
      <c r="O59" s="189">
        <v>0</v>
      </c>
      <c r="P59" s="189">
        <v>0.82</v>
      </c>
      <c r="Q59" s="190">
        <v>4.21</v>
      </c>
    </row>
    <row r="60" spans="1:17" s="11" customFormat="1">
      <c r="A60" s="6" t="s">
        <v>2498</v>
      </c>
      <c r="B60" s="189">
        <v>5.0599999999999996</v>
      </c>
      <c r="C60" s="189">
        <v>22.12</v>
      </c>
      <c r="D60" s="189">
        <v>16.97</v>
      </c>
      <c r="E60" s="189">
        <v>6.62</v>
      </c>
      <c r="F60" s="189">
        <v>5.21</v>
      </c>
      <c r="G60" s="189">
        <v>94.85</v>
      </c>
      <c r="H60" s="189">
        <v>45.2</v>
      </c>
      <c r="I60" s="189">
        <v>6.51</v>
      </c>
      <c r="J60" s="189">
        <v>0.47</v>
      </c>
      <c r="K60" s="189">
        <v>60.6</v>
      </c>
      <c r="L60" s="189">
        <v>28.59</v>
      </c>
      <c r="M60" s="189">
        <v>43.57</v>
      </c>
      <c r="N60" s="189">
        <v>347.1</v>
      </c>
      <c r="O60" s="189">
        <v>0</v>
      </c>
      <c r="P60" s="189">
        <v>0.8</v>
      </c>
      <c r="Q60" s="190">
        <v>4.21</v>
      </c>
    </row>
    <row r="61" spans="1:17" s="11" customFormat="1">
      <c r="A61" s="6" t="s">
        <v>2499</v>
      </c>
      <c r="B61" s="189">
        <v>4.6500000000000004</v>
      </c>
      <c r="C61" s="189">
        <v>22.37</v>
      </c>
      <c r="D61" s="189">
        <v>16.77</v>
      </c>
      <c r="E61" s="189">
        <v>6.76</v>
      </c>
      <c r="F61" s="189">
        <v>5.32</v>
      </c>
      <c r="G61" s="189">
        <v>94.85</v>
      </c>
      <c r="H61" s="189">
        <v>45.2</v>
      </c>
      <c r="I61" s="189">
        <v>6.41</v>
      </c>
      <c r="J61" s="189">
        <v>0.44</v>
      </c>
      <c r="K61" s="189">
        <v>55.15</v>
      </c>
      <c r="L61" s="189">
        <v>28.65</v>
      </c>
      <c r="M61" s="189">
        <v>42.72</v>
      </c>
      <c r="N61" s="189">
        <v>340.6</v>
      </c>
      <c r="O61" s="189">
        <v>0</v>
      </c>
      <c r="P61" s="189">
        <v>0.79</v>
      </c>
      <c r="Q61" s="190">
        <v>4.1900000000000004</v>
      </c>
    </row>
    <row r="62" spans="1:17" s="11" customFormat="1">
      <c r="A62" s="6" t="s">
        <v>2500</v>
      </c>
      <c r="B62" s="189">
        <v>4.17</v>
      </c>
      <c r="C62" s="189">
        <v>23.06</v>
      </c>
      <c r="D62" s="189">
        <v>16.75</v>
      </c>
      <c r="E62" s="189">
        <v>7.19</v>
      </c>
      <c r="F62" s="189">
        <v>6.07</v>
      </c>
      <c r="G62" s="189">
        <v>92.16</v>
      </c>
      <c r="H62" s="189">
        <v>42.41</v>
      </c>
      <c r="I62" s="189">
        <v>6.28</v>
      </c>
      <c r="J62" s="189">
        <v>0.26</v>
      </c>
      <c r="K62" s="189">
        <v>70.260000000000005</v>
      </c>
      <c r="L62" s="189">
        <v>28.98</v>
      </c>
      <c r="M62" s="189">
        <v>42.38</v>
      </c>
      <c r="N62" s="189">
        <v>348.9</v>
      </c>
      <c r="O62" s="189">
        <v>0</v>
      </c>
      <c r="P62" s="189">
        <v>0.79</v>
      </c>
      <c r="Q62" s="190">
        <v>4.17</v>
      </c>
    </row>
    <row r="63" spans="1:17" s="11" customFormat="1">
      <c r="A63" s="6" t="s">
        <v>2501</v>
      </c>
      <c r="B63" s="189">
        <v>3.95</v>
      </c>
      <c r="C63" s="189">
        <v>23.33</v>
      </c>
      <c r="D63" s="189">
        <v>16.71</v>
      </c>
      <c r="E63" s="189">
        <v>7.46</v>
      </c>
      <c r="F63" s="189">
        <v>6.56</v>
      </c>
      <c r="G63" s="189">
        <v>91.62</v>
      </c>
      <c r="H63" s="189">
        <v>42.41</v>
      </c>
      <c r="I63" s="189">
        <v>6.14</v>
      </c>
      <c r="J63" s="189">
        <v>0.45</v>
      </c>
      <c r="K63" s="189">
        <v>51.07</v>
      </c>
      <c r="L63" s="189">
        <v>29.05</v>
      </c>
      <c r="M63" s="189">
        <v>42.67</v>
      </c>
      <c r="N63" s="189">
        <v>276</v>
      </c>
      <c r="O63" s="189">
        <v>0</v>
      </c>
      <c r="P63" s="189">
        <v>0.79</v>
      </c>
      <c r="Q63" s="190">
        <v>4.1500000000000004</v>
      </c>
    </row>
    <row r="64" spans="1:17" s="11" customFormat="1">
      <c r="A64" s="6" t="s">
        <v>2502</v>
      </c>
      <c r="B64" s="189">
        <v>3.85</v>
      </c>
      <c r="C64" s="189">
        <v>23.81</v>
      </c>
      <c r="D64" s="189">
        <v>16.88</v>
      </c>
      <c r="E64" s="189">
        <v>7.93</v>
      </c>
      <c r="F64" s="189">
        <v>6.67</v>
      </c>
      <c r="G64" s="189">
        <v>91.62</v>
      </c>
      <c r="H64" s="189">
        <v>42.41</v>
      </c>
      <c r="I64" s="189">
        <v>5.98</v>
      </c>
      <c r="J64" s="189">
        <v>0.18</v>
      </c>
      <c r="K64" s="189">
        <v>60.45</v>
      </c>
      <c r="L64" s="189">
        <v>28.98</v>
      </c>
      <c r="M64" s="189">
        <v>42.32</v>
      </c>
      <c r="N64" s="189">
        <v>248.6</v>
      </c>
      <c r="O64" s="189">
        <v>0</v>
      </c>
      <c r="P64" s="189">
        <v>0.78</v>
      </c>
      <c r="Q64" s="190">
        <v>4.1399999999999997</v>
      </c>
    </row>
    <row r="65" spans="1:17" s="11" customFormat="1">
      <c r="A65" s="6" t="s">
        <v>2503</v>
      </c>
      <c r="B65" s="189">
        <v>3.89</v>
      </c>
      <c r="C65" s="189">
        <v>23.93</v>
      </c>
      <c r="D65" s="189">
        <v>16.98</v>
      </c>
      <c r="E65" s="189">
        <v>7.7</v>
      </c>
      <c r="F65" s="189">
        <v>6.8</v>
      </c>
      <c r="G65" s="189">
        <v>91.62</v>
      </c>
      <c r="H65" s="189">
        <v>42.41</v>
      </c>
      <c r="I65" s="189">
        <v>5.82</v>
      </c>
      <c r="J65" s="189">
        <v>0.33</v>
      </c>
      <c r="K65" s="189">
        <v>54.73</v>
      </c>
      <c r="L65" s="189">
        <v>28.79</v>
      </c>
      <c r="M65" s="189">
        <v>43.42</v>
      </c>
      <c r="N65" s="189">
        <v>168.4</v>
      </c>
      <c r="O65" s="189">
        <v>0</v>
      </c>
      <c r="P65" s="189">
        <v>0.74</v>
      </c>
      <c r="Q65" s="190">
        <v>4.16</v>
      </c>
    </row>
    <row r="66" spans="1:17" s="11" customFormat="1">
      <c r="A66" s="6" t="s">
        <v>2504</v>
      </c>
      <c r="B66" s="189">
        <v>3.82</v>
      </c>
      <c r="C66" s="189">
        <v>24.19</v>
      </c>
      <c r="D66" s="189">
        <v>17.05</v>
      </c>
      <c r="E66" s="189">
        <v>7.77</v>
      </c>
      <c r="F66" s="189">
        <v>6.96</v>
      </c>
      <c r="G66" s="189">
        <v>91.15</v>
      </c>
      <c r="H66" s="189">
        <v>40.32</v>
      </c>
      <c r="I66" s="189">
        <v>5.66</v>
      </c>
      <c r="J66" s="189">
        <v>0.56000000000000005</v>
      </c>
      <c r="K66" s="189">
        <v>41.76</v>
      </c>
      <c r="L66" s="189">
        <v>28.3</v>
      </c>
      <c r="M66" s="189">
        <v>43.71</v>
      </c>
      <c r="N66" s="189">
        <v>121.7</v>
      </c>
      <c r="O66" s="189">
        <v>0</v>
      </c>
      <c r="P66" s="189">
        <v>0.76</v>
      </c>
      <c r="Q66" s="190">
        <v>4.1500000000000004</v>
      </c>
    </row>
    <row r="67" spans="1:17" s="11" customFormat="1">
      <c r="A67" s="6" t="s">
        <v>2505</v>
      </c>
      <c r="B67" s="189">
        <v>3.86</v>
      </c>
      <c r="C67" s="189">
        <v>24.57</v>
      </c>
      <c r="D67" s="189">
        <v>17.28</v>
      </c>
      <c r="E67" s="189">
        <v>8.08</v>
      </c>
      <c r="F67" s="189">
        <v>6.71</v>
      </c>
      <c r="G67" s="189">
        <v>91.06</v>
      </c>
      <c r="H67" s="189">
        <v>40.32</v>
      </c>
      <c r="I67" s="189">
        <v>5.53</v>
      </c>
      <c r="J67" s="189">
        <v>0.49</v>
      </c>
      <c r="K67" s="189">
        <v>61.81</v>
      </c>
      <c r="L67" s="189">
        <v>28.05</v>
      </c>
      <c r="M67" s="189">
        <v>43.19</v>
      </c>
      <c r="N67" s="189">
        <v>121.1</v>
      </c>
      <c r="O67" s="189">
        <v>0</v>
      </c>
      <c r="P67" s="189">
        <v>0.77</v>
      </c>
      <c r="Q67" s="190">
        <v>4.1500000000000004</v>
      </c>
    </row>
    <row r="68" spans="1:17" s="11" customFormat="1">
      <c r="A68" s="6" t="s">
        <v>2506</v>
      </c>
      <c r="B68" s="189">
        <v>3.93</v>
      </c>
      <c r="C68" s="189">
        <v>25.04</v>
      </c>
      <c r="D68" s="189">
        <v>17.579999999999998</v>
      </c>
      <c r="E68" s="189">
        <v>8.73</v>
      </c>
      <c r="F68" s="189">
        <v>6.66</v>
      </c>
      <c r="G68" s="189">
        <v>91.06</v>
      </c>
      <c r="H68" s="189">
        <v>40.32</v>
      </c>
      <c r="I68" s="189">
        <v>5.39</v>
      </c>
      <c r="J68" s="189">
        <v>0.54</v>
      </c>
      <c r="K68" s="189">
        <v>53.56</v>
      </c>
      <c r="L68" s="189">
        <v>28.19</v>
      </c>
      <c r="M68" s="189">
        <v>43.15</v>
      </c>
      <c r="N68" s="189">
        <v>103.9</v>
      </c>
      <c r="O68" s="189">
        <v>0</v>
      </c>
      <c r="P68" s="189">
        <v>0.75</v>
      </c>
      <c r="Q68" s="190">
        <v>4.17</v>
      </c>
    </row>
    <row r="69" spans="1:17" s="11" customFormat="1">
      <c r="A69" s="6" t="s">
        <v>2507</v>
      </c>
      <c r="B69" s="189">
        <v>4.01</v>
      </c>
      <c r="C69" s="189">
        <v>25.5</v>
      </c>
      <c r="D69" s="189">
        <v>17.89</v>
      </c>
      <c r="E69" s="189">
        <v>8.1300000000000008</v>
      </c>
      <c r="F69" s="189">
        <v>6.56</v>
      </c>
      <c r="G69" s="189">
        <v>91.06</v>
      </c>
      <c r="H69" s="189">
        <v>40.32</v>
      </c>
      <c r="I69" s="189">
        <v>5.32</v>
      </c>
      <c r="J69" s="189">
        <v>0.33</v>
      </c>
      <c r="K69" s="189">
        <v>57.65</v>
      </c>
      <c r="L69" s="189">
        <v>28.13</v>
      </c>
      <c r="M69" s="189">
        <v>44.08</v>
      </c>
      <c r="N69" s="189">
        <v>97.4</v>
      </c>
      <c r="O69" s="189">
        <v>0</v>
      </c>
      <c r="P69" s="189">
        <v>0.75</v>
      </c>
      <c r="Q69" s="190">
        <v>4.17</v>
      </c>
    </row>
    <row r="70" spans="1:17" s="11" customFormat="1">
      <c r="A70" s="6" t="s">
        <v>2508</v>
      </c>
      <c r="B70" s="189">
        <v>3.92</v>
      </c>
      <c r="C70" s="189">
        <v>25.73</v>
      </c>
      <c r="D70" s="189">
        <v>17.940000000000001</v>
      </c>
      <c r="E70" s="189">
        <v>8.39</v>
      </c>
      <c r="F70" s="189">
        <v>6.57</v>
      </c>
      <c r="G70" s="189">
        <v>90.6</v>
      </c>
      <c r="H70" s="189">
        <v>40.5</v>
      </c>
      <c r="I70" s="189">
        <v>5.24</v>
      </c>
      <c r="J70" s="189">
        <v>0.28999999999999998</v>
      </c>
      <c r="K70" s="189">
        <v>40.630000000000003</v>
      </c>
      <c r="L70" s="189">
        <v>27.96</v>
      </c>
      <c r="M70" s="189">
        <v>44.75</v>
      </c>
      <c r="N70" s="189">
        <v>64.900000000000006</v>
      </c>
      <c r="O70" s="189">
        <v>0</v>
      </c>
      <c r="P70" s="189">
        <v>0.75</v>
      </c>
      <c r="Q70" s="190">
        <v>4.18</v>
      </c>
    </row>
    <row r="71" spans="1:17" s="11" customFormat="1">
      <c r="A71" s="6" t="s">
        <v>2509</v>
      </c>
      <c r="B71" s="189">
        <v>3.97</v>
      </c>
      <c r="C71" s="189">
        <v>26.09</v>
      </c>
      <c r="D71" s="189">
        <v>18.16</v>
      </c>
      <c r="E71" s="189">
        <v>9.11</v>
      </c>
      <c r="F71" s="189">
        <v>6.3</v>
      </c>
      <c r="G71" s="189">
        <v>90.51</v>
      </c>
      <c r="H71" s="189">
        <v>40.5</v>
      </c>
      <c r="I71" s="189">
        <v>5.0999999999999996</v>
      </c>
      <c r="J71" s="189">
        <v>0.23</v>
      </c>
      <c r="K71" s="189">
        <v>91.53</v>
      </c>
      <c r="L71" s="189">
        <v>27.97</v>
      </c>
      <c r="M71" s="189">
        <v>44.01</v>
      </c>
      <c r="N71" s="189">
        <v>72.099999999999994</v>
      </c>
      <c r="O71" s="189">
        <v>0</v>
      </c>
      <c r="P71" s="189">
        <v>0.75</v>
      </c>
      <c r="Q71" s="190">
        <v>4.18</v>
      </c>
    </row>
    <row r="72" spans="1:17" s="11" customFormat="1">
      <c r="A72" s="6" t="s">
        <v>2510</v>
      </c>
      <c r="B72" s="189">
        <v>3.99</v>
      </c>
      <c r="C72" s="189">
        <v>26.18</v>
      </c>
      <c r="D72" s="189">
        <v>18.23</v>
      </c>
      <c r="E72" s="189">
        <v>8.74</v>
      </c>
      <c r="F72" s="189">
        <v>6.41</v>
      </c>
      <c r="G72" s="189">
        <v>90.51</v>
      </c>
      <c r="H72" s="189">
        <v>40.5</v>
      </c>
      <c r="I72" s="189">
        <v>5.03</v>
      </c>
      <c r="J72" s="189">
        <v>0.37</v>
      </c>
      <c r="K72" s="189">
        <v>60.03</v>
      </c>
      <c r="L72" s="189">
        <v>27.64</v>
      </c>
      <c r="M72" s="189">
        <v>44.77</v>
      </c>
      <c r="N72" s="189">
        <v>36.799999999999997</v>
      </c>
      <c r="O72" s="189">
        <v>0</v>
      </c>
      <c r="P72" s="189">
        <v>0.76</v>
      </c>
      <c r="Q72" s="190">
        <v>4.2</v>
      </c>
    </row>
    <row r="73" spans="1:17" s="11" customFormat="1">
      <c r="A73" s="6" t="s">
        <v>2511</v>
      </c>
      <c r="B73" s="189">
        <v>4.01</v>
      </c>
      <c r="C73" s="189">
        <v>26.91</v>
      </c>
      <c r="D73" s="189">
        <v>18.62</v>
      </c>
      <c r="E73" s="189">
        <v>8.76</v>
      </c>
      <c r="F73" s="189">
        <v>6</v>
      </c>
      <c r="G73" s="189">
        <v>90.51</v>
      </c>
      <c r="H73" s="189">
        <v>40.5</v>
      </c>
      <c r="I73" s="189">
        <v>4.9800000000000004</v>
      </c>
      <c r="J73" s="189">
        <v>0.28000000000000003</v>
      </c>
      <c r="K73" s="189">
        <v>63.41</v>
      </c>
      <c r="L73" s="189">
        <v>27.44</v>
      </c>
      <c r="M73" s="189">
        <v>45.56</v>
      </c>
      <c r="N73" s="189">
        <v>42</v>
      </c>
      <c r="O73" s="189">
        <v>0</v>
      </c>
      <c r="P73" s="189">
        <v>0.75</v>
      </c>
      <c r="Q73" s="190">
        <v>4.21</v>
      </c>
    </row>
    <row r="74" spans="1:17" s="11" customFormat="1">
      <c r="A74" s="6" t="s">
        <v>2512</v>
      </c>
      <c r="B74" s="189">
        <v>4.12</v>
      </c>
      <c r="C74" s="189">
        <v>27.61</v>
      </c>
      <c r="D74" s="189">
        <v>19.079999999999998</v>
      </c>
      <c r="E74" s="189">
        <v>8.9700000000000006</v>
      </c>
      <c r="F74" s="189">
        <v>5.54</v>
      </c>
      <c r="G74" s="189">
        <v>91.92</v>
      </c>
      <c r="H74" s="189">
        <v>42.12</v>
      </c>
      <c r="I74" s="189">
        <v>4.92</v>
      </c>
      <c r="J74" s="189">
        <v>0.26</v>
      </c>
      <c r="K74" s="189">
        <v>75.819999999999993</v>
      </c>
      <c r="L74" s="189">
        <v>27.2</v>
      </c>
      <c r="M74" s="189">
        <v>46.48</v>
      </c>
      <c r="N74" s="189">
        <v>17.2</v>
      </c>
      <c r="O74" s="189">
        <v>0</v>
      </c>
      <c r="P74" s="189">
        <v>0.76</v>
      </c>
      <c r="Q74" s="190">
        <v>4.2</v>
      </c>
    </row>
    <row r="75" spans="1:17" s="11" customFormat="1">
      <c r="A75" s="6" t="s">
        <v>2513</v>
      </c>
      <c r="B75" s="189">
        <v>4.2300000000000004</v>
      </c>
      <c r="C75" s="189">
        <v>27.83</v>
      </c>
      <c r="D75" s="189">
        <v>19.28</v>
      </c>
      <c r="E75" s="189">
        <v>8.9499999999999993</v>
      </c>
      <c r="F75" s="189">
        <v>5.3</v>
      </c>
      <c r="G75" s="189">
        <v>92.21</v>
      </c>
      <c r="H75" s="189">
        <v>42.12</v>
      </c>
      <c r="I75" s="189">
        <v>4.92</v>
      </c>
      <c r="J75" s="189">
        <v>0.19</v>
      </c>
      <c r="K75" s="189">
        <v>83.67</v>
      </c>
      <c r="L75" s="189">
        <v>26.76</v>
      </c>
      <c r="M75" s="189">
        <v>48.63</v>
      </c>
      <c r="N75" s="189">
        <v>5.9</v>
      </c>
      <c r="O75" s="189">
        <v>0</v>
      </c>
      <c r="P75" s="189">
        <v>0.76</v>
      </c>
      <c r="Q75" s="190">
        <v>4.2</v>
      </c>
    </row>
    <row r="76" spans="1:17" s="11" customFormat="1">
      <c r="A76" s="6" t="s">
        <v>2514</v>
      </c>
      <c r="B76" s="189">
        <v>4.28</v>
      </c>
      <c r="C76" s="189">
        <v>28.17</v>
      </c>
      <c r="D76" s="189">
        <v>19.5</v>
      </c>
      <c r="E76" s="189">
        <v>9.07</v>
      </c>
      <c r="F76" s="189">
        <v>4.91</v>
      </c>
      <c r="G76" s="189">
        <v>92.21</v>
      </c>
      <c r="H76" s="189">
        <v>42.12</v>
      </c>
      <c r="I76" s="189">
        <v>4.96</v>
      </c>
      <c r="J76" s="189">
        <v>0.17</v>
      </c>
      <c r="K76" s="189">
        <v>135.27000000000001</v>
      </c>
      <c r="L76" s="189">
        <v>26.38</v>
      </c>
      <c r="M76" s="189">
        <v>53</v>
      </c>
      <c r="N76" s="189">
        <v>0.8</v>
      </c>
      <c r="O76" s="189">
        <v>0</v>
      </c>
      <c r="P76" s="189">
        <v>0.78</v>
      </c>
      <c r="Q76" s="190">
        <v>4.2</v>
      </c>
    </row>
    <row r="77" spans="1:17" s="11" customFormat="1">
      <c r="A77" s="6" t="s">
        <v>2515</v>
      </c>
      <c r="B77" s="189">
        <v>4.41</v>
      </c>
      <c r="C77" s="189">
        <v>28.03</v>
      </c>
      <c r="D77" s="189">
        <v>19.53</v>
      </c>
      <c r="E77" s="189">
        <v>9.15</v>
      </c>
      <c r="F77" s="189">
        <v>4.6900000000000004</v>
      </c>
      <c r="G77" s="189">
        <v>92.21</v>
      </c>
      <c r="H77" s="189">
        <v>42.12</v>
      </c>
      <c r="I77" s="189">
        <v>5.0199999999999996</v>
      </c>
      <c r="J77" s="189">
        <v>0.23</v>
      </c>
      <c r="K77" s="189">
        <v>159.63</v>
      </c>
      <c r="L77" s="189">
        <v>25.88</v>
      </c>
      <c r="M77" s="189">
        <v>57.01</v>
      </c>
      <c r="N77" s="189">
        <v>0</v>
      </c>
      <c r="O77" s="189">
        <v>0</v>
      </c>
      <c r="P77" s="189">
        <v>0.79</v>
      </c>
      <c r="Q77" s="190">
        <v>4.22</v>
      </c>
    </row>
    <row r="78" spans="1:17" s="11" customFormat="1">
      <c r="A78" s="6" t="s">
        <v>2516</v>
      </c>
      <c r="B78" s="189">
        <v>4.41</v>
      </c>
      <c r="C78" s="189">
        <v>28.42</v>
      </c>
      <c r="D78" s="189">
        <v>19.73</v>
      </c>
      <c r="E78" s="189">
        <v>8.9499999999999993</v>
      </c>
      <c r="F78" s="189">
        <v>4.17</v>
      </c>
      <c r="G78" s="189">
        <v>103.31</v>
      </c>
      <c r="H78" s="189">
        <v>46.62</v>
      </c>
      <c r="I78" s="189">
        <v>5.19</v>
      </c>
      <c r="J78" s="189">
        <v>0.18</v>
      </c>
      <c r="K78" s="189">
        <v>165.82</v>
      </c>
      <c r="L78" s="189">
        <v>25.28</v>
      </c>
      <c r="M78" s="189">
        <v>60.09</v>
      </c>
      <c r="N78" s="189">
        <v>0</v>
      </c>
      <c r="O78" s="189">
        <v>0</v>
      </c>
      <c r="P78" s="189">
        <v>0.81</v>
      </c>
      <c r="Q78" s="190">
        <v>4.2</v>
      </c>
    </row>
    <row r="79" spans="1:17" s="11" customFormat="1">
      <c r="A79" s="6" t="s">
        <v>2517</v>
      </c>
      <c r="B79" s="189">
        <v>4.63</v>
      </c>
      <c r="C79" s="189">
        <v>29.32</v>
      </c>
      <c r="D79" s="189">
        <v>20.38</v>
      </c>
      <c r="E79" s="189">
        <v>8.75</v>
      </c>
      <c r="F79" s="189">
        <v>3.69</v>
      </c>
      <c r="G79" s="189">
        <v>105.53</v>
      </c>
      <c r="H79" s="189">
        <v>46.62</v>
      </c>
      <c r="I79" s="189">
        <v>5.39</v>
      </c>
      <c r="J79" s="189">
        <v>0.16</v>
      </c>
      <c r="K79" s="189">
        <v>69.489999999999995</v>
      </c>
      <c r="L79" s="189">
        <v>25.02</v>
      </c>
      <c r="M79" s="189">
        <v>58.39</v>
      </c>
      <c r="N79" s="189">
        <v>0</v>
      </c>
      <c r="O79" s="189">
        <v>0</v>
      </c>
      <c r="P79" s="189">
        <v>0.85</v>
      </c>
      <c r="Q79" s="190">
        <v>4.24</v>
      </c>
    </row>
    <row r="80" spans="1:17" s="11" customFormat="1">
      <c r="A80" s="6" t="s">
        <v>2518</v>
      </c>
      <c r="B80" s="189">
        <v>5.1100000000000003</v>
      </c>
      <c r="C80" s="189">
        <v>30.91</v>
      </c>
      <c r="D80" s="189">
        <v>21.6</v>
      </c>
      <c r="E80" s="189">
        <v>8.74</v>
      </c>
      <c r="F80" s="189">
        <v>3.18</v>
      </c>
      <c r="G80" s="189">
        <v>105.53</v>
      </c>
      <c r="H80" s="189">
        <v>46.62</v>
      </c>
      <c r="I80" s="189">
        <v>5.56</v>
      </c>
      <c r="J80" s="189">
        <v>0.21</v>
      </c>
      <c r="K80" s="189">
        <v>57.18</v>
      </c>
      <c r="L80" s="189">
        <v>25.02</v>
      </c>
      <c r="M80" s="189">
        <v>57.92</v>
      </c>
      <c r="N80" s="189">
        <v>0</v>
      </c>
      <c r="O80" s="189">
        <v>0</v>
      </c>
      <c r="P80" s="189">
        <v>0.91</v>
      </c>
      <c r="Q80" s="190">
        <v>4.26</v>
      </c>
    </row>
    <row r="81" spans="1:17" s="11" customFormat="1">
      <c r="A81" s="6" t="s">
        <v>2519</v>
      </c>
      <c r="B81" s="189">
        <v>5.86</v>
      </c>
      <c r="C81" s="189">
        <v>32.76</v>
      </c>
      <c r="D81" s="189">
        <v>23.17</v>
      </c>
      <c r="E81" s="189">
        <v>7.89</v>
      </c>
      <c r="F81" s="189">
        <v>2.99</v>
      </c>
      <c r="G81" s="189">
        <v>105.53</v>
      </c>
      <c r="H81" s="189">
        <v>46.62</v>
      </c>
      <c r="I81" s="189">
        <v>5.84</v>
      </c>
      <c r="J81" s="189">
        <v>0.21</v>
      </c>
      <c r="K81" s="189">
        <v>53.99</v>
      </c>
      <c r="L81" s="189">
        <v>25.01</v>
      </c>
      <c r="M81" s="189">
        <v>58.56</v>
      </c>
      <c r="N81" s="189">
        <v>0</v>
      </c>
      <c r="O81" s="189">
        <v>0</v>
      </c>
      <c r="P81" s="189">
        <v>0.95</v>
      </c>
      <c r="Q81" s="190">
        <v>4.28</v>
      </c>
    </row>
    <row r="82" spans="1:17" s="11" customFormat="1">
      <c r="A82" s="6" t="s">
        <v>2520</v>
      </c>
      <c r="B82" s="189">
        <v>6.55</v>
      </c>
      <c r="C82" s="189">
        <v>32.21</v>
      </c>
      <c r="D82" s="189">
        <v>23.43</v>
      </c>
      <c r="E82" s="189">
        <v>8.2100000000000009</v>
      </c>
      <c r="F82" s="189">
        <v>3.14</v>
      </c>
      <c r="G82" s="189">
        <v>127.81</v>
      </c>
      <c r="H82" s="189">
        <v>50.58</v>
      </c>
      <c r="I82" s="189">
        <v>6.2</v>
      </c>
      <c r="J82" s="189">
        <v>0.21</v>
      </c>
      <c r="K82" s="189">
        <v>59.75</v>
      </c>
      <c r="L82" s="189">
        <v>24.97</v>
      </c>
      <c r="M82" s="189">
        <v>58.84</v>
      </c>
      <c r="N82" s="189">
        <v>0</v>
      </c>
      <c r="O82" s="189">
        <v>0</v>
      </c>
      <c r="P82" s="189">
        <v>0.97</v>
      </c>
      <c r="Q82" s="190">
        <v>4.3</v>
      </c>
    </row>
    <row r="83" spans="1:17" s="11" customFormat="1">
      <c r="A83" s="6" t="s">
        <v>2521</v>
      </c>
      <c r="B83" s="189">
        <v>6.98</v>
      </c>
      <c r="C83" s="189">
        <v>30</v>
      </c>
      <c r="D83" s="189">
        <v>22.62</v>
      </c>
      <c r="E83" s="189">
        <v>7.52</v>
      </c>
      <c r="F83" s="189">
        <v>3.26</v>
      </c>
      <c r="G83" s="189">
        <v>132.26</v>
      </c>
      <c r="H83" s="189">
        <v>50.58</v>
      </c>
      <c r="I83" s="189">
        <v>6.34</v>
      </c>
      <c r="J83" s="189">
        <v>0.14000000000000001</v>
      </c>
      <c r="K83" s="189">
        <v>75.94</v>
      </c>
      <c r="L83" s="189">
        <v>24.85</v>
      </c>
      <c r="M83" s="189">
        <v>60.81</v>
      </c>
      <c r="N83" s="189">
        <v>0</v>
      </c>
      <c r="O83" s="189">
        <v>0</v>
      </c>
      <c r="P83" s="189">
        <v>0.96</v>
      </c>
      <c r="Q83" s="190">
        <v>4.3099999999999996</v>
      </c>
    </row>
    <row r="84" spans="1:17" s="11" customFormat="1">
      <c r="A84" s="6" t="s">
        <v>2522</v>
      </c>
      <c r="B84" s="189">
        <v>7.22</v>
      </c>
      <c r="C84" s="189">
        <v>28.48</v>
      </c>
      <c r="D84" s="189">
        <v>22.02</v>
      </c>
      <c r="E84" s="189">
        <v>6.86</v>
      </c>
      <c r="F84" s="189">
        <v>3.1</v>
      </c>
      <c r="G84" s="189">
        <v>132.26</v>
      </c>
      <c r="H84" s="189">
        <v>50.58</v>
      </c>
      <c r="I84" s="189">
        <v>6.48</v>
      </c>
      <c r="J84" s="189">
        <v>0.13</v>
      </c>
      <c r="K84" s="189">
        <v>122.23</v>
      </c>
      <c r="L84" s="189">
        <v>24.55</v>
      </c>
      <c r="M84" s="189">
        <v>62.4</v>
      </c>
      <c r="N84" s="189">
        <v>0</v>
      </c>
      <c r="O84" s="189">
        <v>0</v>
      </c>
      <c r="P84" s="189">
        <v>0.95</v>
      </c>
      <c r="Q84" s="190">
        <v>4.33</v>
      </c>
    </row>
    <row r="85" spans="1:17" s="11" customFormat="1">
      <c r="A85" s="6" t="s">
        <v>2523</v>
      </c>
      <c r="B85" s="189">
        <v>7.42</v>
      </c>
      <c r="C85" s="189">
        <v>27.56</v>
      </c>
      <c r="D85" s="189">
        <v>21.7</v>
      </c>
      <c r="E85" s="189">
        <v>6.28</v>
      </c>
      <c r="F85" s="189">
        <v>2.97</v>
      </c>
      <c r="G85" s="189">
        <v>132.26</v>
      </c>
      <c r="H85" s="189">
        <v>50.58</v>
      </c>
      <c r="I85" s="189">
        <v>6.58</v>
      </c>
      <c r="J85" s="189">
        <v>0.13</v>
      </c>
      <c r="K85" s="189">
        <v>91.66</v>
      </c>
      <c r="L85" s="189">
        <v>24.42</v>
      </c>
      <c r="M85" s="189">
        <v>61.43</v>
      </c>
      <c r="N85" s="189">
        <v>0</v>
      </c>
      <c r="O85" s="189">
        <v>0</v>
      </c>
      <c r="P85" s="189">
        <v>0.95</v>
      </c>
      <c r="Q85" s="190">
        <v>4.3099999999999996</v>
      </c>
    </row>
    <row r="86" spans="1:17" s="11" customFormat="1">
      <c r="A86" s="6" t="s">
        <v>2524</v>
      </c>
      <c r="B86" s="189">
        <v>7.66</v>
      </c>
      <c r="C86" s="189">
        <v>27.93</v>
      </c>
      <c r="D86" s="189">
        <v>22.09</v>
      </c>
      <c r="E86" s="189">
        <v>6.17</v>
      </c>
      <c r="F86" s="189">
        <v>2.76</v>
      </c>
      <c r="G86" s="189">
        <v>141.6</v>
      </c>
      <c r="H86" s="189">
        <v>54.64</v>
      </c>
      <c r="I86" s="189">
        <v>6.66</v>
      </c>
      <c r="J86" s="189">
        <v>0.12</v>
      </c>
      <c r="K86" s="189">
        <v>100.24</v>
      </c>
      <c r="L86" s="189">
        <v>24.28</v>
      </c>
      <c r="M86" s="189">
        <v>61.04</v>
      </c>
      <c r="N86" s="189">
        <v>0</v>
      </c>
      <c r="O86" s="189">
        <v>0</v>
      </c>
      <c r="P86" s="189">
        <v>0.97</v>
      </c>
      <c r="Q86" s="190">
        <v>4.32</v>
      </c>
    </row>
    <row r="87" spans="1:17" s="11" customFormat="1">
      <c r="A87" s="6" t="s">
        <v>2525</v>
      </c>
      <c r="B87" s="189">
        <v>7.93</v>
      </c>
      <c r="C87" s="189">
        <v>29.25</v>
      </c>
      <c r="D87" s="189">
        <v>23</v>
      </c>
      <c r="E87" s="189">
        <v>6.64</v>
      </c>
      <c r="F87" s="189">
        <v>2.56</v>
      </c>
      <c r="G87" s="189">
        <v>143.46</v>
      </c>
      <c r="H87" s="189">
        <v>54.64</v>
      </c>
      <c r="I87" s="189">
        <v>6.77</v>
      </c>
      <c r="J87" s="189">
        <v>0.12</v>
      </c>
      <c r="K87" s="189">
        <v>110.62</v>
      </c>
      <c r="L87" s="189">
        <v>23.93</v>
      </c>
      <c r="M87" s="189">
        <v>62.28</v>
      </c>
      <c r="N87" s="189">
        <v>0</v>
      </c>
      <c r="O87" s="189">
        <v>0</v>
      </c>
      <c r="P87" s="189">
        <v>0.98</v>
      </c>
      <c r="Q87" s="190">
        <v>4.34</v>
      </c>
    </row>
    <row r="88" spans="1:17" s="11" customFormat="1">
      <c r="A88" s="6" t="s">
        <v>2526</v>
      </c>
      <c r="B88" s="189">
        <v>8.33</v>
      </c>
      <c r="C88" s="189">
        <v>27.87</v>
      </c>
      <c r="D88" s="189">
        <v>22.59</v>
      </c>
      <c r="E88" s="189">
        <v>6.64</v>
      </c>
      <c r="F88" s="189">
        <v>2.72</v>
      </c>
      <c r="G88" s="189">
        <v>143.46</v>
      </c>
      <c r="H88" s="189">
        <v>54.64</v>
      </c>
      <c r="I88" s="189">
        <v>6.82</v>
      </c>
      <c r="J88" s="189">
        <v>0.14000000000000001</v>
      </c>
      <c r="K88" s="189">
        <v>177.4</v>
      </c>
      <c r="L88" s="189">
        <v>23.55</v>
      </c>
      <c r="M88" s="189">
        <v>65.010000000000005</v>
      </c>
      <c r="N88" s="189">
        <v>0</v>
      </c>
      <c r="O88" s="189">
        <v>0</v>
      </c>
      <c r="P88" s="189">
        <v>0.98</v>
      </c>
      <c r="Q88" s="190">
        <v>4.37</v>
      </c>
    </row>
    <row r="89" spans="1:17" s="11" customFormat="1">
      <c r="A89" s="6" t="s">
        <v>2527</v>
      </c>
      <c r="B89" s="189">
        <v>8.52</v>
      </c>
      <c r="C89" s="189">
        <v>28.42</v>
      </c>
      <c r="D89" s="189">
        <v>23.03</v>
      </c>
      <c r="E89" s="189">
        <v>6.15</v>
      </c>
      <c r="F89" s="189">
        <v>2.68</v>
      </c>
      <c r="G89" s="189">
        <v>143.46</v>
      </c>
      <c r="H89" s="189">
        <v>54.64</v>
      </c>
      <c r="I89" s="189">
        <v>6.93</v>
      </c>
      <c r="J89" s="189">
        <v>0.11</v>
      </c>
      <c r="K89" s="189">
        <v>157.96</v>
      </c>
      <c r="L89" s="189">
        <v>23.04</v>
      </c>
      <c r="M89" s="189">
        <v>69.510000000000005</v>
      </c>
      <c r="N89" s="189">
        <v>0</v>
      </c>
      <c r="O89" s="189">
        <v>0</v>
      </c>
      <c r="P89" s="189">
        <v>1</v>
      </c>
      <c r="Q89" s="190">
        <v>4.38</v>
      </c>
    </row>
    <row r="90" spans="1:17" s="11" customFormat="1">
      <c r="A90" s="6" t="s">
        <v>2528</v>
      </c>
      <c r="B90" s="189">
        <v>8.9600000000000009</v>
      </c>
      <c r="C90" s="189">
        <v>29.06</v>
      </c>
      <c r="D90" s="189">
        <v>23.72</v>
      </c>
      <c r="E90" s="189">
        <v>5.98</v>
      </c>
      <c r="F90" s="189">
        <v>2.65</v>
      </c>
      <c r="G90" s="189">
        <v>165.35</v>
      </c>
      <c r="H90" s="189">
        <v>57.11</v>
      </c>
      <c r="I90" s="189">
        <v>7.02</v>
      </c>
      <c r="J90" s="189">
        <v>0.11</v>
      </c>
      <c r="K90" s="189">
        <v>95.55</v>
      </c>
      <c r="L90" s="189">
        <v>23.05</v>
      </c>
      <c r="M90" s="189">
        <v>69.959999999999994</v>
      </c>
      <c r="N90" s="189">
        <v>0</v>
      </c>
      <c r="O90" s="189">
        <v>0</v>
      </c>
      <c r="P90" s="189">
        <v>1.01</v>
      </c>
      <c r="Q90" s="190">
        <v>4.3600000000000003</v>
      </c>
    </row>
    <row r="91" spans="1:17" s="11" customFormat="1">
      <c r="A91" s="6" t="s">
        <v>2529</v>
      </c>
      <c r="B91" s="189">
        <v>9.6300000000000008</v>
      </c>
      <c r="C91" s="189">
        <v>28.71</v>
      </c>
      <c r="D91" s="189">
        <v>24.07</v>
      </c>
      <c r="E91" s="189">
        <v>6.6</v>
      </c>
      <c r="F91" s="189">
        <v>2.56</v>
      </c>
      <c r="G91" s="189">
        <v>169.72</v>
      </c>
      <c r="H91" s="189">
        <v>57.11</v>
      </c>
      <c r="I91" s="189">
        <v>7.08</v>
      </c>
      <c r="J91" s="189">
        <v>0.12</v>
      </c>
      <c r="K91" s="189">
        <v>53.07</v>
      </c>
      <c r="L91" s="189">
        <v>23.21</v>
      </c>
      <c r="M91" s="189">
        <v>66.84</v>
      </c>
      <c r="N91" s="189">
        <v>0</v>
      </c>
      <c r="O91" s="189">
        <v>0</v>
      </c>
      <c r="P91" s="189">
        <v>1.02</v>
      </c>
      <c r="Q91" s="190">
        <v>4.4000000000000004</v>
      </c>
    </row>
    <row r="92" spans="1:17" s="11" customFormat="1">
      <c r="A92" s="6" t="s">
        <v>2530</v>
      </c>
      <c r="B92" s="189">
        <v>10.210000000000001</v>
      </c>
      <c r="C92" s="189">
        <v>29.79</v>
      </c>
      <c r="D92" s="189">
        <v>25.1</v>
      </c>
      <c r="E92" s="189">
        <v>6.43</v>
      </c>
      <c r="F92" s="189">
        <v>2.59</v>
      </c>
      <c r="G92" s="189">
        <v>169.72</v>
      </c>
      <c r="H92" s="189">
        <v>57.11</v>
      </c>
      <c r="I92" s="189">
        <v>7.2</v>
      </c>
      <c r="J92" s="189">
        <v>0.14000000000000001</v>
      </c>
      <c r="K92" s="189">
        <v>156.72999999999999</v>
      </c>
      <c r="L92" s="189">
        <v>22.96</v>
      </c>
      <c r="M92" s="189">
        <v>71.37</v>
      </c>
      <c r="N92" s="189">
        <v>0</v>
      </c>
      <c r="O92" s="189">
        <v>0</v>
      </c>
      <c r="P92" s="189">
        <v>1.04</v>
      </c>
      <c r="Q92" s="190">
        <v>4.42</v>
      </c>
    </row>
    <row r="93" spans="1:17" s="11" customFormat="1">
      <c r="A93" s="6" t="s">
        <v>2531</v>
      </c>
      <c r="B93" s="189">
        <v>10.39</v>
      </c>
      <c r="C93" s="189">
        <v>28.34</v>
      </c>
      <c r="D93" s="189">
        <v>24.49</v>
      </c>
      <c r="E93" s="189">
        <v>6.23</v>
      </c>
      <c r="F93" s="189">
        <v>2.82</v>
      </c>
      <c r="G93" s="189">
        <v>169.72</v>
      </c>
      <c r="H93" s="189">
        <v>57.11</v>
      </c>
      <c r="I93" s="189">
        <v>7.29</v>
      </c>
      <c r="J93" s="189">
        <v>0.19</v>
      </c>
      <c r="K93" s="189">
        <v>186.82</v>
      </c>
      <c r="L93" s="189">
        <v>22.26</v>
      </c>
      <c r="M93" s="189">
        <v>76.47</v>
      </c>
      <c r="N93" s="189">
        <v>0</v>
      </c>
      <c r="O93" s="189">
        <v>0</v>
      </c>
      <c r="P93" s="189">
        <v>1.03</v>
      </c>
      <c r="Q93" s="190">
        <v>4.4400000000000004</v>
      </c>
    </row>
    <row r="94" spans="1:17" s="11" customFormat="1">
      <c r="A94" s="6" t="s">
        <v>2532</v>
      </c>
      <c r="B94" s="189">
        <v>10.26</v>
      </c>
      <c r="C94" s="189">
        <v>29.08</v>
      </c>
      <c r="D94" s="189">
        <v>24.77</v>
      </c>
      <c r="E94" s="189">
        <v>6.63</v>
      </c>
      <c r="F94" s="189">
        <v>2.69</v>
      </c>
      <c r="G94" s="189">
        <v>158.13999999999999</v>
      </c>
      <c r="H94" s="189">
        <v>59.75</v>
      </c>
      <c r="I94" s="189">
        <v>7.38</v>
      </c>
      <c r="J94" s="189">
        <v>0.1</v>
      </c>
      <c r="K94" s="189">
        <v>198.12</v>
      </c>
      <c r="L94" s="189">
        <v>21.89</v>
      </c>
      <c r="M94" s="189">
        <v>77.930000000000007</v>
      </c>
      <c r="N94" s="189">
        <v>0</v>
      </c>
      <c r="O94" s="189">
        <v>0</v>
      </c>
      <c r="P94" s="189">
        <v>1.04</v>
      </c>
      <c r="Q94" s="190">
        <v>4.45</v>
      </c>
    </row>
    <row r="95" spans="1:17" s="11" customFormat="1">
      <c r="A95" s="6" t="s">
        <v>2533</v>
      </c>
      <c r="B95" s="189">
        <v>10.11</v>
      </c>
      <c r="C95" s="189">
        <v>27.71</v>
      </c>
      <c r="D95" s="189">
        <v>23.94</v>
      </c>
      <c r="E95" s="189">
        <v>6.69</v>
      </c>
      <c r="F95" s="189">
        <v>2.89</v>
      </c>
      <c r="G95" s="189">
        <v>155.83000000000001</v>
      </c>
      <c r="H95" s="189">
        <v>59.75</v>
      </c>
      <c r="I95" s="189">
        <v>7.39</v>
      </c>
      <c r="J95" s="189">
        <v>0.15</v>
      </c>
      <c r="K95" s="189">
        <v>192.88</v>
      </c>
      <c r="L95" s="189">
        <v>21.77</v>
      </c>
      <c r="M95" s="189">
        <v>79.290000000000006</v>
      </c>
      <c r="N95" s="189">
        <v>0</v>
      </c>
      <c r="O95" s="189">
        <v>0</v>
      </c>
      <c r="P95" s="189">
        <v>1.01</v>
      </c>
      <c r="Q95" s="190">
        <v>4.42</v>
      </c>
    </row>
    <row r="96" spans="1:17" s="11" customFormat="1">
      <c r="A96" s="6" t="s">
        <v>2534</v>
      </c>
      <c r="B96" s="189">
        <v>10.14</v>
      </c>
      <c r="C96" s="189">
        <v>28.42</v>
      </c>
      <c r="D96" s="189">
        <v>24.33</v>
      </c>
      <c r="E96" s="189">
        <v>6.58</v>
      </c>
      <c r="F96" s="189">
        <v>2.7</v>
      </c>
      <c r="G96" s="189">
        <v>155.83000000000001</v>
      </c>
      <c r="H96" s="189">
        <v>59.75</v>
      </c>
      <c r="I96" s="189">
        <v>7.4</v>
      </c>
      <c r="J96" s="189">
        <v>0.15</v>
      </c>
      <c r="K96" s="189">
        <v>168.8</v>
      </c>
      <c r="L96" s="189">
        <v>21.71</v>
      </c>
      <c r="M96" s="189">
        <v>82.22</v>
      </c>
      <c r="N96" s="189">
        <v>0</v>
      </c>
      <c r="O96" s="189">
        <v>0</v>
      </c>
      <c r="P96" s="189">
        <v>1.01</v>
      </c>
      <c r="Q96" s="190">
        <v>4.4000000000000004</v>
      </c>
    </row>
    <row r="97" spans="1:22" s="11" customFormat="1">
      <c r="A97" s="6" t="s">
        <v>2535</v>
      </c>
      <c r="B97" s="189">
        <v>10.26</v>
      </c>
      <c r="C97" s="189">
        <v>26.54</v>
      </c>
      <c r="D97" s="189">
        <v>23.44</v>
      </c>
      <c r="E97" s="189">
        <v>6.21</v>
      </c>
      <c r="F97" s="189">
        <v>2.93</v>
      </c>
      <c r="G97" s="189">
        <v>155.83000000000001</v>
      </c>
      <c r="H97" s="189">
        <v>59.75</v>
      </c>
      <c r="I97" s="189">
        <v>7.36</v>
      </c>
      <c r="J97" s="189">
        <v>0.17</v>
      </c>
      <c r="K97" s="189">
        <v>175.61</v>
      </c>
      <c r="L97" s="189">
        <v>21.62</v>
      </c>
      <c r="M97" s="189">
        <v>84.03</v>
      </c>
      <c r="N97" s="189">
        <v>0</v>
      </c>
      <c r="O97" s="189">
        <v>0</v>
      </c>
      <c r="P97" s="189">
        <v>1</v>
      </c>
      <c r="Q97" s="190">
        <v>4.41</v>
      </c>
    </row>
    <row r="98" spans="1:22" s="11" customFormat="1">
      <c r="A98" s="6" t="s">
        <v>2536</v>
      </c>
      <c r="B98" s="189">
        <v>10.210000000000001</v>
      </c>
      <c r="C98" s="189">
        <v>27.9</v>
      </c>
      <c r="D98" s="189">
        <v>24.12</v>
      </c>
      <c r="E98" s="189">
        <v>6.21</v>
      </c>
      <c r="F98" s="189">
        <v>2.71</v>
      </c>
      <c r="G98" s="189">
        <v>132.93</v>
      </c>
      <c r="H98" s="189">
        <v>59.07</v>
      </c>
      <c r="I98" s="189">
        <v>7.37</v>
      </c>
      <c r="J98" s="189">
        <v>0.13</v>
      </c>
      <c r="K98" s="189">
        <v>197</v>
      </c>
      <c r="L98" s="189">
        <v>21.34</v>
      </c>
      <c r="M98" s="189">
        <v>83.09</v>
      </c>
      <c r="N98" s="189">
        <v>0</v>
      </c>
      <c r="O98" s="189">
        <v>0</v>
      </c>
      <c r="P98" s="189">
        <v>1.02</v>
      </c>
      <c r="Q98" s="190">
        <v>4.41</v>
      </c>
    </row>
    <row r="99" spans="1:22" s="11" customFormat="1">
      <c r="A99" s="6" t="s">
        <v>2537</v>
      </c>
      <c r="B99" s="189">
        <v>10.24</v>
      </c>
      <c r="C99" s="189">
        <v>26.68</v>
      </c>
      <c r="D99" s="189">
        <v>23.5</v>
      </c>
      <c r="E99" s="189">
        <v>6.77</v>
      </c>
      <c r="F99" s="189">
        <v>2.72</v>
      </c>
      <c r="G99" s="189">
        <v>128.35</v>
      </c>
      <c r="H99" s="189">
        <v>59.07</v>
      </c>
      <c r="I99" s="189">
        <v>7.35</v>
      </c>
      <c r="J99" s="189">
        <v>0.14000000000000001</v>
      </c>
      <c r="K99" s="189">
        <v>172.25</v>
      </c>
      <c r="L99" s="189">
        <v>21.17</v>
      </c>
      <c r="M99" s="189">
        <v>85.29</v>
      </c>
      <c r="N99" s="189">
        <v>0</v>
      </c>
      <c r="O99" s="189">
        <v>0</v>
      </c>
      <c r="P99" s="189">
        <v>1</v>
      </c>
      <c r="Q99" s="190">
        <v>4.4400000000000004</v>
      </c>
    </row>
    <row r="100" spans="1:22" s="11" customFormat="1">
      <c r="A100" s="6" t="s">
        <v>2538</v>
      </c>
      <c r="B100" s="189">
        <v>10.1</v>
      </c>
      <c r="C100" s="189">
        <v>27.69</v>
      </c>
      <c r="D100" s="189">
        <v>23.92</v>
      </c>
      <c r="E100" s="189">
        <v>7.2</v>
      </c>
      <c r="F100" s="189">
        <v>2.52</v>
      </c>
      <c r="G100" s="189">
        <v>128.35</v>
      </c>
      <c r="H100" s="189">
        <v>59.07</v>
      </c>
      <c r="I100" s="189">
        <v>7.36</v>
      </c>
      <c r="J100" s="189">
        <v>0.12</v>
      </c>
      <c r="K100" s="189">
        <v>190.7</v>
      </c>
      <c r="L100" s="189">
        <v>21.05</v>
      </c>
      <c r="M100" s="189">
        <v>83.34</v>
      </c>
      <c r="N100" s="189">
        <v>0</v>
      </c>
      <c r="O100" s="189">
        <v>0</v>
      </c>
      <c r="P100" s="189">
        <v>1</v>
      </c>
      <c r="Q100" s="190">
        <v>4.43</v>
      </c>
    </row>
    <row r="101" spans="1:22" s="11" customFormat="1">
      <c r="A101" s="6" t="s">
        <v>2539</v>
      </c>
      <c r="B101" s="189">
        <v>9.67</v>
      </c>
      <c r="C101" s="189">
        <v>28.8</v>
      </c>
      <c r="D101" s="189">
        <v>24.15</v>
      </c>
      <c r="E101" s="189">
        <v>7.19</v>
      </c>
      <c r="F101" s="189">
        <v>2.57</v>
      </c>
      <c r="G101" s="189">
        <v>128.35</v>
      </c>
      <c r="H101" s="189">
        <v>59.07</v>
      </c>
      <c r="I101" s="189">
        <v>7.32</v>
      </c>
      <c r="J101" s="189">
        <v>0.13</v>
      </c>
      <c r="K101" s="189">
        <v>211.55</v>
      </c>
      <c r="L101" s="189">
        <v>20.98</v>
      </c>
      <c r="M101" s="189">
        <v>85.32</v>
      </c>
      <c r="N101" s="189">
        <v>0</v>
      </c>
      <c r="O101" s="189">
        <v>0</v>
      </c>
      <c r="P101" s="189">
        <v>1.01</v>
      </c>
      <c r="Q101" s="190">
        <v>4.42</v>
      </c>
    </row>
    <row r="102" spans="1:22" s="11" customFormat="1">
      <c r="A102" s="6" t="s">
        <v>2540</v>
      </c>
      <c r="B102" s="189">
        <v>9.1300000000000008</v>
      </c>
      <c r="C102" s="189">
        <v>28.97</v>
      </c>
      <c r="D102" s="189">
        <v>23.81</v>
      </c>
      <c r="E102" s="189">
        <v>7.5</v>
      </c>
      <c r="F102" s="189">
        <v>2.77</v>
      </c>
      <c r="G102" s="189">
        <v>114.24</v>
      </c>
      <c r="H102" s="189">
        <v>56.09</v>
      </c>
      <c r="I102" s="189">
        <v>7.3</v>
      </c>
      <c r="J102" s="189">
        <v>0.12</v>
      </c>
      <c r="K102" s="189">
        <v>155.53</v>
      </c>
      <c r="L102" s="189">
        <v>20.9</v>
      </c>
      <c r="M102" s="189">
        <v>87.53</v>
      </c>
      <c r="N102" s="189">
        <v>0</v>
      </c>
      <c r="O102" s="189">
        <v>0</v>
      </c>
      <c r="P102" s="189">
        <v>1</v>
      </c>
      <c r="Q102" s="190">
        <v>4.41</v>
      </c>
    </row>
    <row r="103" spans="1:22" s="11" customFormat="1">
      <c r="A103" s="6" t="s">
        <v>2541</v>
      </c>
      <c r="B103" s="189">
        <v>8.93</v>
      </c>
      <c r="C103" s="189">
        <v>28.94</v>
      </c>
      <c r="D103" s="189">
        <v>23.63</v>
      </c>
      <c r="E103" s="189">
        <v>7.35</v>
      </c>
      <c r="F103" s="189">
        <v>2.81</v>
      </c>
      <c r="G103" s="189">
        <v>111.64</v>
      </c>
      <c r="H103" s="189">
        <v>56.09</v>
      </c>
      <c r="I103" s="189">
        <v>7.23</v>
      </c>
      <c r="J103" s="189">
        <v>0.12</v>
      </c>
      <c r="K103" s="189">
        <v>188.77</v>
      </c>
      <c r="L103" s="189">
        <v>21.1</v>
      </c>
      <c r="M103" s="189">
        <v>84.15</v>
      </c>
      <c r="N103" s="189">
        <v>0</v>
      </c>
      <c r="O103" s="189">
        <v>0</v>
      </c>
      <c r="P103" s="189">
        <v>1</v>
      </c>
      <c r="Q103" s="190">
        <v>4.42</v>
      </c>
    </row>
    <row r="104" spans="1:22" s="11" customFormat="1">
      <c r="A104" s="6" t="s">
        <v>2542</v>
      </c>
      <c r="B104" s="189">
        <v>9.9</v>
      </c>
      <c r="C104" s="189">
        <v>30.15</v>
      </c>
      <c r="D104" s="189">
        <v>25.04</v>
      </c>
      <c r="E104" s="189">
        <v>7.58</v>
      </c>
      <c r="F104" s="189">
        <v>2.59</v>
      </c>
      <c r="G104" s="189">
        <v>111.64</v>
      </c>
      <c r="H104" s="189">
        <v>56.09</v>
      </c>
      <c r="I104" s="189">
        <v>7.17</v>
      </c>
      <c r="J104" s="189">
        <v>0.12</v>
      </c>
      <c r="K104" s="189">
        <v>235.84</v>
      </c>
      <c r="L104" s="189">
        <v>21.05</v>
      </c>
      <c r="M104" s="189">
        <v>83.93</v>
      </c>
      <c r="N104" s="189">
        <v>0</v>
      </c>
      <c r="O104" s="189">
        <v>0</v>
      </c>
      <c r="P104" s="189">
        <v>1</v>
      </c>
      <c r="Q104" s="190">
        <v>4.45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3.82</v>
      </c>
      <c r="C106" s="183">
        <f>MIN(C9:C104)</f>
        <v>22.12</v>
      </c>
      <c r="D106" s="183">
        <f t="shared" ref="D106:Q106" si="0">MIN(D9:D104)</f>
        <v>16.71</v>
      </c>
      <c r="E106" s="183">
        <f t="shared" si="0"/>
        <v>5.0199999999999996</v>
      </c>
      <c r="F106" s="183">
        <f t="shared" si="0"/>
        <v>2.38</v>
      </c>
      <c r="G106" s="183">
        <f t="shared" si="0"/>
        <v>86.18</v>
      </c>
      <c r="H106" s="183">
        <f t="shared" si="0"/>
        <v>40.32</v>
      </c>
      <c r="I106" s="183">
        <f t="shared" si="0"/>
        <v>4.92</v>
      </c>
      <c r="J106" s="183">
        <f t="shared" si="0"/>
        <v>0.03</v>
      </c>
      <c r="K106" s="183">
        <f t="shared" si="0"/>
        <v>17.649999999999999</v>
      </c>
      <c r="L106" s="183">
        <f t="shared" si="0"/>
        <v>18.61</v>
      </c>
      <c r="M106" s="183">
        <f t="shared" si="0"/>
        <v>42.32</v>
      </c>
      <c r="N106" s="183">
        <f t="shared" si="0"/>
        <v>0</v>
      </c>
      <c r="O106" s="183">
        <f t="shared" si="0"/>
        <v>0</v>
      </c>
      <c r="P106" s="183">
        <f t="shared" si="0"/>
        <v>0.74</v>
      </c>
      <c r="Q106" s="183">
        <f t="shared" si="0"/>
        <v>4.1399999999999997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14.85</v>
      </c>
      <c r="C107" s="184">
        <f t="shared" ref="C107:Q107" si="1">MAX(C9:C104)</f>
        <v>32.76</v>
      </c>
      <c r="D107" s="184">
        <f t="shared" si="1"/>
        <v>29.61</v>
      </c>
      <c r="E107" s="184">
        <f t="shared" si="1"/>
        <v>10.54</v>
      </c>
      <c r="F107" s="184">
        <f t="shared" si="1"/>
        <v>6.96</v>
      </c>
      <c r="G107" s="184">
        <f t="shared" si="1"/>
        <v>169.72</v>
      </c>
      <c r="H107" s="184">
        <f t="shared" si="1"/>
        <v>62.51</v>
      </c>
      <c r="I107" s="184">
        <f t="shared" si="1"/>
        <v>9.1999999999999993</v>
      </c>
      <c r="J107" s="184">
        <f t="shared" si="1"/>
        <v>0.77</v>
      </c>
      <c r="K107" s="184">
        <f t="shared" si="1"/>
        <v>287.05</v>
      </c>
      <c r="L107" s="184">
        <f t="shared" si="1"/>
        <v>29.05</v>
      </c>
      <c r="M107" s="184">
        <f t="shared" si="1"/>
        <v>90.31</v>
      </c>
      <c r="N107" s="184">
        <f t="shared" si="1"/>
        <v>433.5</v>
      </c>
      <c r="O107" s="184">
        <f t="shared" si="1"/>
        <v>0</v>
      </c>
      <c r="P107" s="184">
        <f t="shared" si="1"/>
        <v>1.04</v>
      </c>
      <c r="Q107" s="184">
        <f t="shared" si="1"/>
        <v>4.6399999999999997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9.4966666666666661</v>
      </c>
      <c r="C108" s="183">
        <f t="shared" ref="C108:Q108" si="2">AVERAGE(C9:C104)</f>
        <v>27.521458333333328</v>
      </c>
      <c r="D108" s="183">
        <f t="shared" si="2"/>
        <v>23.345416666666665</v>
      </c>
      <c r="E108" s="183">
        <f t="shared" si="2"/>
        <v>7.9150000000000027</v>
      </c>
      <c r="F108" s="183">
        <f t="shared" si="2"/>
        <v>3.5585416666666663</v>
      </c>
      <c r="G108" s="183">
        <f t="shared" si="2"/>
        <v>108.96854166666668</v>
      </c>
      <c r="H108" s="183">
        <f t="shared" si="2"/>
        <v>48.826041666666647</v>
      </c>
      <c r="I108" s="183">
        <f t="shared" si="2"/>
        <v>6.9470833333333344</v>
      </c>
      <c r="J108" s="183">
        <f t="shared" si="2"/>
        <v>0.28145833333333342</v>
      </c>
      <c r="K108" s="183">
        <f t="shared" si="2"/>
        <v>95.711354166666652</v>
      </c>
      <c r="L108" s="183">
        <f t="shared" si="2"/>
        <v>23.145312500000006</v>
      </c>
      <c r="M108" s="183">
        <f t="shared" si="2"/>
        <v>68.149687500000013</v>
      </c>
      <c r="N108" s="183">
        <f t="shared" si="2"/>
        <v>90.078124999999986</v>
      </c>
      <c r="O108" s="183">
        <f t="shared" si="2"/>
        <v>0</v>
      </c>
      <c r="P108" s="183">
        <f t="shared" si="2"/>
        <v>0.878541666666667</v>
      </c>
      <c r="Q108" s="183">
        <f t="shared" si="2"/>
        <v>4.3992708333333326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3.7120377909449558</v>
      </c>
      <c r="C109" s="183">
        <f t="shared" ref="C109:Q109" si="3">STDEV(C9:C104)</f>
        <v>2.5928720021046758</v>
      </c>
      <c r="D109" s="183">
        <f t="shared" si="3"/>
        <v>3.8379915023264619</v>
      </c>
      <c r="E109" s="183">
        <f t="shared" si="3"/>
        <v>1.2510223187878131</v>
      </c>
      <c r="F109" s="183">
        <f t="shared" si="3"/>
        <v>1.3684120487220663</v>
      </c>
      <c r="G109" s="183">
        <f t="shared" si="3"/>
        <v>21.401778724856101</v>
      </c>
      <c r="H109" s="183">
        <f t="shared" si="3"/>
        <v>5.7077812961398369</v>
      </c>
      <c r="I109" s="183">
        <f t="shared" si="3"/>
        <v>0.98959632032106271</v>
      </c>
      <c r="J109" s="183">
        <f t="shared" si="3"/>
        <v>0.17254734920971196</v>
      </c>
      <c r="K109" s="183">
        <f t="shared" si="3"/>
        <v>66.992801681182883</v>
      </c>
      <c r="L109" s="183">
        <f t="shared" si="3"/>
        <v>3.6341740401289071</v>
      </c>
      <c r="M109" s="183">
        <f t="shared" si="3"/>
        <v>16.580305911286437</v>
      </c>
      <c r="N109" s="183">
        <f t="shared" si="3"/>
        <v>142.29738038282994</v>
      </c>
      <c r="O109" s="183">
        <f t="shared" si="3"/>
        <v>0</v>
      </c>
      <c r="P109" s="183">
        <f t="shared" si="3"/>
        <v>8.5149764862503988E-2</v>
      </c>
      <c r="Q109" s="183">
        <f t="shared" si="3"/>
        <v>0.14985076640777129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25/11/2023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s="11" customFormat="1">
      <c r="A9" s="6" t="s">
        <v>2543</v>
      </c>
      <c r="B9" s="189">
        <v>10.81</v>
      </c>
      <c r="C9" s="189">
        <v>31.87</v>
      </c>
      <c r="D9" s="189">
        <v>26.67</v>
      </c>
      <c r="E9" s="189">
        <v>7.33</v>
      </c>
      <c r="F9" s="189">
        <v>2.6</v>
      </c>
      <c r="G9" s="189">
        <v>111.64</v>
      </c>
      <c r="H9" s="189">
        <v>56.09</v>
      </c>
      <c r="I9" s="189">
        <v>7.14</v>
      </c>
      <c r="J9" s="189">
        <v>0.14000000000000001</v>
      </c>
      <c r="K9" s="189">
        <v>181.69</v>
      </c>
      <c r="L9" s="189">
        <v>20.94</v>
      </c>
      <c r="M9" s="189">
        <v>84.47</v>
      </c>
      <c r="N9" s="189">
        <v>0</v>
      </c>
      <c r="O9" s="189">
        <v>0</v>
      </c>
      <c r="P9" s="189">
        <v>1</v>
      </c>
      <c r="Q9" s="190">
        <v>4.4800000000000004</v>
      </c>
    </row>
    <row r="10" spans="1:21" s="11" customFormat="1">
      <c r="A10" s="6" t="s">
        <v>2544</v>
      </c>
      <c r="B10" s="189">
        <v>10.89</v>
      </c>
      <c r="C10" s="189">
        <v>31.88</v>
      </c>
      <c r="D10" s="189">
        <v>26.74</v>
      </c>
      <c r="E10" s="189">
        <v>8.02</v>
      </c>
      <c r="F10" s="189">
        <v>2.68</v>
      </c>
      <c r="G10" s="189">
        <v>110.44</v>
      </c>
      <c r="H10" s="189">
        <v>53.72</v>
      </c>
      <c r="I10" s="189">
        <v>7.12</v>
      </c>
      <c r="J10" s="189">
        <v>0.16</v>
      </c>
      <c r="K10" s="189">
        <v>230.95</v>
      </c>
      <c r="L10" s="189">
        <v>20.68</v>
      </c>
      <c r="M10" s="189">
        <v>86.24</v>
      </c>
      <c r="N10" s="189">
        <v>0</v>
      </c>
      <c r="O10" s="189">
        <v>0</v>
      </c>
      <c r="P10" s="189">
        <v>0.98</v>
      </c>
      <c r="Q10" s="190">
        <v>4.4800000000000004</v>
      </c>
    </row>
    <row r="11" spans="1:21" s="11" customFormat="1">
      <c r="A11" s="6" t="s">
        <v>2545</v>
      </c>
      <c r="B11" s="189">
        <v>10.74</v>
      </c>
      <c r="C11" s="189">
        <v>31.5</v>
      </c>
      <c r="D11" s="189">
        <v>26.42</v>
      </c>
      <c r="E11" s="189">
        <v>7.73</v>
      </c>
      <c r="F11" s="189">
        <v>2.56</v>
      </c>
      <c r="G11" s="189">
        <v>110.2</v>
      </c>
      <c r="H11" s="189">
        <v>53.72</v>
      </c>
      <c r="I11" s="189">
        <v>7.1</v>
      </c>
      <c r="J11" s="189">
        <v>0.09</v>
      </c>
      <c r="K11" s="189">
        <v>211.53</v>
      </c>
      <c r="L11" s="189">
        <v>20.37</v>
      </c>
      <c r="M11" s="189">
        <v>85.02</v>
      </c>
      <c r="N11" s="189">
        <v>0</v>
      </c>
      <c r="O11" s="189">
        <v>0</v>
      </c>
      <c r="P11" s="189">
        <v>0.97</v>
      </c>
      <c r="Q11" s="190">
        <v>4.49</v>
      </c>
    </row>
    <row r="12" spans="1:21" s="11" customFormat="1">
      <c r="A12" s="6" t="s">
        <v>2546</v>
      </c>
      <c r="B12" s="189">
        <v>10.38</v>
      </c>
      <c r="C12" s="189">
        <v>31.1</v>
      </c>
      <c r="D12" s="189">
        <v>25.92</v>
      </c>
      <c r="E12" s="189">
        <v>8.1199999999999992</v>
      </c>
      <c r="F12" s="189">
        <v>2.61</v>
      </c>
      <c r="G12" s="189">
        <v>110.2</v>
      </c>
      <c r="H12" s="189">
        <v>53.72</v>
      </c>
      <c r="I12" s="189">
        <v>7.06</v>
      </c>
      <c r="J12" s="189">
        <v>0.1</v>
      </c>
      <c r="K12" s="189">
        <v>180.62</v>
      </c>
      <c r="L12" s="189">
        <v>20.41</v>
      </c>
      <c r="M12" s="189">
        <v>83.88</v>
      </c>
      <c r="N12" s="189">
        <v>0</v>
      </c>
      <c r="O12" s="189">
        <v>0</v>
      </c>
      <c r="P12" s="189">
        <v>0.97</v>
      </c>
      <c r="Q12" s="190">
        <v>4.47</v>
      </c>
    </row>
    <row r="13" spans="1:21" s="11" customFormat="1">
      <c r="A13" s="6" t="s">
        <v>2547</v>
      </c>
      <c r="B13" s="189">
        <v>9.89</v>
      </c>
      <c r="C13" s="189">
        <v>30.26</v>
      </c>
      <c r="D13" s="189">
        <v>25.09</v>
      </c>
      <c r="E13" s="189">
        <v>7.76</v>
      </c>
      <c r="F13" s="189">
        <v>2.8</v>
      </c>
      <c r="G13" s="189">
        <v>110.2</v>
      </c>
      <c r="H13" s="189">
        <v>53.72</v>
      </c>
      <c r="I13" s="189">
        <v>7.04</v>
      </c>
      <c r="J13" s="189">
        <v>0.11</v>
      </c>
      <c r="K13" s="189">
        <v>188.97</v>
      </c>
      <c r="L13" s="189">
        <v>20.38</v>
      </c>
      <c r="M13" s="189">
        <v>83.93</v>
      </c>
      <c r="N13" s="189">
        <v>0</v>
      </c>
      <c r="O13" s="189">
        <v>0</v>
      </c>
      <c r="P13" s="189">
        <v>0.96</v>
      </c>
      <c r="Q13" s="190">
        <v>4.47</v>
      </c>
    </row>
    <row r="14" spans="1:21" s="11" customFormat="1">
      <c r="A14" s="6" t="s">
        <v>2548</v>
      </c>
      <c r="B14" s="189">
        <v>9.2200000000000006</v>
      </c>
      <c r="C14" s="189">
        <v>29.58</v>
      </c>
      <c r="D14" s="189">
        <v>24.2</v>
      </c>
      <c r="E14" s="189">
        <v>7.82</v>
      </c>
      <c r="F14" s="189">
        <v>2.98</v>
      </c>
      <c r="G14" s="189">
        <v>93.95</v>
      </c>
      <c r="H14" s="189">
        <v>50.51</v>
      </c>
      <c r="I14" s="189">
        <v>7.05</v>
      </c>
      <c r="J14" s="189">
        <v>0.1</v>
      </c>
      <c r="K14" s="189">
        <v>169.89</v>
      </c>
      <c r="L14" s="189">
        <v>20.350000000000001</v>
      </c>
      <c r="M14" s="189">
        <v>83.93</v>
      </c>
      <c r="N14" s="189">
        <v>0</v>
      </c>
      <c r="O14" s="189">
        <v>0</v>
      </c>
      <c r="P14" s="189">
        <v>0.94</v>
      </c>
      <c r="Q14" s="190">
        <v>4.45</v>
      </c>
    </row>
    <row r="15" spans="1:21" s="11" customFormat="1">
      <c r="A15" s="6" t="s">
        <v>2549</v>
      </c>
      <c r="B15" s="189">
        <v>8.56</v>
      </c>
      <c r="C15" s="189">
        <v>28.84</v>
      </c>
      <c r="D15" s="189">
        <v>23.29</v>
      </c>
      <c r="E15" s="189">
        <v>7.73</v>
      </c>
      <c r="F15" s="189">
        <v>2.9</v>
      </c>
      <c r="G15" s="189">
        <v>90.7</v>
      </c>
      <c r="H15" s="189">
        <v>50.51</v>
      </c>
      <c r="I15" s="189">
        <v>6.98</v>
      </c>
      <c r="J15" s="189">
        <v>0.05</v>
      </c>
      <c r="K15" s="189">
        <v>202.01</v>
      </c>
      <c r="L15" s="189">
        <v>20.28</v>
      </c>
      <c r="M15" s="189">
        <v>83.15</v>
      </c>
      <c r="N15" s="189">
        <v>0</v>
      </c>
      <c r="O15" s="189">
        <v>0</v>
      </c>
      <c r="P15" s="189">
        <v>0.92</v>
      </c>
      <c r="Q15" s="190">
        <v>4.42</v>
      </c>
    </row>
    <row r="16" spans="1:21" s="11" customFormat="1">
      <c r="A16" s="6" t="s">
        <v>2550</v>
      </c>
      <c r="B16" s="189">
        <v>8.4</v>
      </c>
      <c r="C16" s="189">
        <v>29.12</v>
      </c>
      <c r="D16" s="189">
        <v>23.3</v>
      </c>
      <c r="E16" s="189">
        <v>7.98</v>
      </c>
      <c r="F16" s="189">
        <v>2.59</v>
      </c>
      <c r="G16" s="189">
        <v>90.7</v>
      </c>
      <c r="H16" s="189">
        <v>50.51</v>
      </c>
      <c r="I16" s="189">
        <v>6.87</v>
      </c>
      <c r="J16" s="189">
        <v>7.0000000000000007E-2</v>
      </c>
      <c r="K16" s="189">
        <v>102.19</v>
      </c>
      <c r="L16" s="189">
        <v>20.38</v>
      </c>
      <c r="M16" s="189">
        <v>81.73</v>
      </c>
      <c r="N16" s="189">
        <v>0</v>
      </c>
      <c r="O16" s="189">
        <v>0</v>
      </c>
      <c r="P16" s="189">
        <v>0.92</v>
      </c>
      <c r="Q16" s="190">
        <v>4.4000000000000004</v>
      </c>
    </row>
    <row r="17" spans="1:17" s="11" customFormat="1">
      <c r="A17" s="6" t="s">
        <v>2551</v>
      </c>
      <c r="B17" s="189">
        <v>10.3</v>
      </c>
      <c r="C17" s="189">
        <v>30.75</v>
      </c>
      <c r="D17" s="189">
        <v>25.68</v>
      </c>
      <c r="E17" s="189">
        <v>7.04</v>
      </c>
      <c r="F17" s="189">
        <v>2.4300000000000002</v>
      </c>
      <c r="G17" s="189">
        <v>90.7</v>
      </c>
      <c r="H17" s="189">
        <v>50.51</v>
      </c>
      <c r="I17" s="189">
        <v>6.8</v>
      </c>
      <c r="J17" s="189">
        <v>0.05</v>
      </c>
      <c r="K17" s="189">
        <v>184.45</v>
      </c>
      <c r="L17" s="189">
        <v>20.239999999999998</v>
      </c>
      <c r="M17" s="189">
        <v>82.69</v>
      </c>
      <c r="N17" s="189">
        <v>0</v>
      </c>
      <c r="O17" s="189">
        <v>0</v>
      </c>
      <c r="P17" s="189">
        <v>0.91</v>
      </c>
      <c r="Q17" s="190">
        <v>4.46</v>
      </c>
    </row>
    <row r="18" spans="1:17" s="11" customFormat="1">
      <c r="A18" s="6" t="s">
        <v>2552</v>
      </c>
      <c r="B18" s="189">
        <v>12.15</v>
      </c>
      <c r="C18" s="189">
        <v>31.83</v>
      </c>
      <c r="D18" s="189">
        <v>27.73</v>
      </c>
      <c r="E18" s="189">
        <v>8.19</v>
      </c>
      <c r="F18" s="189">
        <v>2.54</v>
      </c>
      <c r="G18" s="189">
        <v>96.98</v>
      </c>
      <c r="H18" s="189">
        <v>46.51</v>
      </c>
      <c r="I18" s="189">
        <v>6.69</v>
      </c>
      <c r="J18" s="189">
        <v>0.04</v>
      </c>
      <c r="K18" s="189">
        <v>109.06</v>
      </c>
      <c r="L18" s="189">
        <v>20.149999999999999</v>
      </c>
      <c r="M18" s="189">
        <v>85.09</v>
      </c>
      <c r="N18" s="189">
        <v>0</v>
      </c>
      <c r="O18" s="189">
        <v>0</v>
      </c>
      <c r="P18" s="189">
        <v>0.91</v>
      </c>
      <c r="Q18" s="190">
        <v>4.5199999999999996</v>
      </c>
    </row>
    <row r="19" spans="1:17" s="11" customFormat="1">
      <c r="A19" s="6" t="s">
        <v>2553</v>
      </c>
      <c r="B19" s="189">
        <v>13.03</v>
      </c>
      <c r="C19" s="189">
        <v>32.4</v>
      </c>
      <c r="D19" s="189">
        <v>28.73</v>
      </c>
      <c r="E19" s="189">
        <v>7.8</v>
      </c>
      <c r="F19" s="189">
        <v>2.5</v>
      </c>
      <c r="G19" s="189">
        <v>98.24</v>
      </c>
      <c r="H19" s="189">
        <v>46.51</v>
      </c>
      <c r="I19" s="189">
        <v>6.78</v>
      </c>
      <c r="J19" s="189">
        <v>0.09</v>
      </c>
      <c r="K19" s="189">
        <v>114.9</v>
      </c>
      <c r="L19" s="189">
        <v>20.28</v>
      </c>
      <c r="M19" s="189">
        <v>83.68</v>
      </c>
      <c r="N19" s="189">
        <v>0</v>
      </c>
      <c r="O19" s="189">
        <v>0</v>
      </c>
      <c r="P19" s="189">
        <v>0.91</v>
      </c>
      <c r="Q19" s="190">
        <v>4.55</v>
      </c>
    </row>
    <row r="20" spans="1:17" s="11" customFormat="1">
      <c r="A20" s="6" t="s">
        <v>2554</v>
      </c>
      <c r="B20" s="189">
        <v>13.43</v>
      </c>
      <c r="C20" s="189">
        <v>32.86</v>
      </c>
      <c r="D20" s="189">
        <v>29.29</v>
      </c>
      <c r="E20" s="189">
        <v>8.06</v>
      </c>
      <c r="F20" s="189">
        <v>2.57</v>
      </c>
      <c r="G20" s="189">
        <v>98.24</v>
      </c>
      <c r="H20" s="189">
        <v>46.51</v>
      </c>
      <c r="I20" s="189">
        <v>6.84</v>
      </c>
      <c r="J20" s="189">
        <v>0.25</v>
      </c>
      <c r="K20" s="189">
        <v>46.04</v>
      </c>
      <c r="L20" s="189">
        <v>20.149999999999999</v>
      </c>
      <c r="M20" s="189">
        <v>83.2</v>
      </c>
      <c r="N20" s="189">
        <v>0</v>
      </c>
      <c r="O20" s="189">
        <v>0</v>
      </c>
      <c r="P20" s="189">
        <v>0.9</v>
      </c>
      <c r="Q20" s="190">
        <v>4.58</v>
      </c>
    </row>
    <row r="21" spans="1:17" s="11" customFormat="1">
      <c r="A21" s="6" t="s">
        <v>2555</v>
      </c>
      <c r="B21" s="189">
        <v>13.18</v>
      </c>
      <c r="C21" s="189">
        <v>32.25</v>
      </c>
      <c r="D21" s="189">
        <v>28.77</v>
      </c>
      <c r="E21" s="189">
        <v>8.18</v>
      </c>
      <c r="F21" s="189">
        <v>2.72</v>
      </c>
      <c r="G21" s="189">
        <v>98.24</v>
      </c>
      <c r="H21" s="189">
        <v>46.51</v>
      </c>
      <c r="I21" s="189">
        <v>6.85</v>
      </c>
      <c r="J21" s="189">
        <v>0.28000000000000003</v>
      </c>
      <c r="K21" s="189">
        <v>39.369999999999997</v>
      </c>
      <c r="L21" s="189">
        <v>20.16</v>
      </c>
      <c r="M21" s="189">
        <v>83.93</v>
      </c>
      <c r="N21" s="189">
        <v>0</v>
      </c>
      <c r="O21" s="189">
        <v>0</v>
      </c>
      <c r="P21" s="189">
        <v>0.89</v>
      </c>
      <c r="Q21" s="190">
        <v>4.58</v>
      </c>
    </row>
    <row r="22" spans="1:17" s="11" customFormat="1">
      <c r="A22" s="6" t="s">
        <v>2556</v>
      </c>
      <c r="B22" s="189">
        <v>12.57</v>
      </c>
      <c r="C22" s="189">
        <v>31.97</v>
      </c>
      <c r="D22" s="189">
        <v>28.13</v>
      </c>
      <c r="E22" s="189">
        <v>8.06</v>
      </c>
      <c r="F22" s="189">
        <v>2.75</v>
      </c>
      <c r="G22" s="189">
        <v>99.39</v>
      </c>
      <c r="H22" s="189">
        <v>51.34</v>
      </c>
      <c r="I22" s="189">
        <v>6.84</v>
      </c>
      <c r="J22" s="189">
        <v>0.28000000000000003</v>
      </c>
      <c r="K22" s="189">
        <v>27.11</v>
      </c>
      <c r="L22" s="189">
        <v>20.239999999999998</v>
      </c>
      <c r="M22" s="189">
        <v>84.34</v>
      </c>
      <c r="N22" s="189">
        <v>0</v>
      </c>
      <c r="O22" s="189">
        <v>0</v>
      </c>
      <c r="P22" s="189">
        <v>0.89</v>
      </c>
      <c r="Q22" s="190">
        <v>4.57</v>
      </c>
    </row>
    <row r="23" spans="1:17" s="11" customFormat="1">
      <c r="A23" s="6" t="s">
        <v>2557</v>
      </c>
      <c r="B23" s="189">
        <v>12.23</v>
      </c>
      <c r="C23" s="189">
        <v>31.73</v>
      </c>
      <c r="D23" s="189">
        <v>27.74</v>
      </c>
      <c r="E23" s="189">
        <v>7.87</v>
      </c>
      <c r="F23" s="189">
        <v>2.85</v>
      </c>
      <c r="G23" s="189">
        <v>99.63</v>
      </c>
      <c r="H23" s="189">
        <v>51.34</v>
      </c>
      <c r="I23" s="189">
        <v>7.06</v>
      </c>
      <c r="J23" s="189">
        <v>0.38</v>
      </c>
      <c r="K23" s="189">
        <v>35.6</v>
      </c>
      <c r="L23" s="189">
        <v>20.22</v>
      </c>
      <c r="M23" s="189">
        <v>84.45</v>
      </c>
      <c r="N23" s="189">
        <v>0</v>
      </c>
      <c r="O23" s="189">
        <v>0</v>
      </c>
      <c r="P23" s="189">
        <v>0.88</v>
      </c>
      <c r="Q23" s="190">
        <v>4.57</v>
      </c>
    </row>
    <row r="24" spans="1:17" s="11" customFormat="1">
      <c r="A24" s="6" t="s">
        <v>2558</v>
      </c>
      <c r="B24" s="189">
        <v>11.59</v>
      </c>
      <c r="C24" s="189">
        <v>31.11</v>
      </c>
      <c r="D24" s="189">
        <v>26.9</v>
      </c>
      <c r="E24" s="189">
        <v>7.93</v>
      </c>
      <c r="F24" s="189">
        <v>2.76</v>
      </c>
      <c r="G24" s="189">
        <v>99.63</v>
      </c>
      <c r="H24" s="189">
        <v>51.34</v>
      </c>
      <c r="I24" s="189">
        <v>7.25</v>
      </c>
      <c r="J24" s="189">
        <v>0.44</v>
      </c>
      <c r="K24" s="189">
        <v>23.01</v>
      </c>
      <c r="L24" s="189">
        <v>20.09</v>
      </c>
      <c r="M24" s="189">
        <v>82.67</v>
      </c>
      <c r="N24" s="189">
        <v>0</v>
      </c>
      <c r="O24" s="189">
        <v>0</v>
      </c>
      <c r="P24" s="189">
        <v>0.88</v>
      </c>
      <c r="Q24" s="190">
        <v>4.54</v>
      </c>
    </row>
    <row r="25" spans="1:17" s="11" customFormat="1">
      <c r="A25" s="6" t="s">
        <v>2559</v>
      </c>
      <c r="B25" s="189">
        <v>11.16</v>
      </c>
      <c r="C25" s="189">
        <v>30.54</v>
      </c>
      <c r="D25" s="189">
        <v>26.26</v>
      </c>
      <c r="E25" s="189">
        <v>7.8</v>
      </c>
      <c r="F25" s="189">
        <v>2.75</v>
      </c>
      <c r="G25" s="189">
        <v>99.63</v>
      </c>
      <c r="H25" s="189">
        <v>51.34</v>
      </c>
      <c r="I25" s="189">
        <v>7.33</v>
      </c>
      <c r="J25" s="189">
        <v>0.35</v>
      </c>
      <c r="K25" s="189">
        <v>30.27</v>
      </c>
      <c r="L25" s="189">
        <v>19.809999999999999</v>
      </c>
      <c r="M25" s="189">
        <v>84.01</v>
      </c>
      <c r="N25" s="189">
        <v>0</v>
      </c>
      <c r="O25" s="189">
        <v>0</v>
      </c>
      <c r="P25" s="189">
        <v>0.88</v>
      </c>
      <c r="Q25" s="190">
        <v>4.49</v>
      </c>
    </row>
    <row r="26" spans="1:17" s="11" customFormat="1">
      <c r="A26" s="6" t="s">
        <v>2560</v>
      </c>
      <c r="B26" s="189">
        <v>11.27</v>
      </c>
      <c r="C26" s="189">
        <v>27.81</v>
      </c>
      <c r="D26" s="189">
        <v>24.92</v>
      </c>
      <c r="E26" s="189">
        <v>7.17</v>
      </c>
      <c r="F26" s="189">
        <v>3.02</v>
      </c>
      <c r="G26" s="189">
        <v>103.08</v>
      </c>
      <c r="H26" s="189">
        <v>53.13</v>
      </c>
      <c r="I26" s="189">
        <v>7.27</v>
      </c>
      <c r="J26" s="189">
        <v>0.45</v>
      </c>
      <c r="K26" s="189">
        <v>42.08</v>
      </c>
      <c r="L26" s="189">
        <v>19.510000000000002</v>
      </c>
      <c r="M26" s="189">
        <v>83.33</v>
      </c>
      <c r="N26" s="189">
        <v>0</v>
      </c>
      <c r="O26" s="189">
        <v>0</v>
      </c>
      <c r="P26" s="189">
        <v>0.86</v>
      </c>
      <c r="Q26" s="190">
        <v>4.4800000000000004</v>
      </c>
    </row>
    <row r="27" spans="1:17" s="11" customFormat="1">
      <c r="A27" s="6" t="s">
        <v>2561</v>
      </c>
      <c r="B27" s="189">
        <v>11.8</v>
      </c>
      <c r="C27" s="189">
        <v>25.81</v>
      </c>
      <c r="D27" s="189">
        <v>24.3</v>
      </c>
      <c r="E27" s="189">
        <v>6.54</v>
      </c>
      <c r="F27" s="189">
        <v>3</v>
      </c>
      <c r="G27" s="189">
        <v>103.77</v>
      </c>
      <c r="H27" s="189">
        <v>53.13</v>
      </c>
      <c r="I27" s="189">
        <v>7.22</v>
      </c>
      <c r="J27" s="189">
        <v>0.4</v>
      </c>
      <c r="K27" s="189">
        <v>33.31</v>
      </c>
      <c r="L27" s="189">
        <v>19.41</v>
      </c>
      <c r="M27" s="189">
        <v>81.5</v>
      </c>
      <c r="N27" s="189">
        <v>0</v>
      </c>
      <c r="O27" s="189">
        <v>0</v>
      </c>
      <c r="P27" s="189">
        <v>0.84</v>
      </c>
      <c r="Q27" s="190">
        <v>4.5</v>
      </c>
    </row>
    <row r="28" spans="1:17" s="11" customFormat="1">
      <c r="A28" s="6" t="s">
        <v>2562</v>
      </c>
      <c r="B28" s="189">
        <v>12.09</v>
      </c>
      <c r="C28" s="189">
        <v>26.54</v>
      </c>
      <c r="D28" s="189">
        <v>24.91</v>
      </c>
      <c r="E28" s="189">
        <v>6.06</v>
      </c>
      <c r="F28" s="189">
        <v>2.69</v>
      </c>
      <c r="G28" s="189">
        <v>103.77</v>
      </c>
      <c r="H28" s="189">
        <v>53.13</v>
      </c>
      <c r="I28" s="189">
        <v>7.23</v>
      </c>
      <c r="J28" s="189">
        <v>0.1</v>
      </c>
      <c r="K28" s="189">
        <v>115.3</v>
      </c>
      <c r="L28" s="189">
        <v>19.37</v>
      </c>
      <c r="M28" s="189">
        <v>81.040000000000006</v>
      </c>
      <c r="N28" s="189">
        <v>0</v>
      </c>
      <c r="O28" s="189">
        <v>0</v>
      </c>
      <c r="P28" s="189">
        <v>0.85</v>
      </c>
      <c r="Q28" s="190">
        <v>4.47</v>
      </c>
    </row>
    <row r="29" spans="1:17" s="11" customFormat="1">
      <c r="A29" s="6" t="s">
        <v>2563</v>
      </c>
      <c r="B29" s="189">
        <v>12.2</v>
      </c>
      <c r="C29" s="189">
        <v>25.91</v>
      </c>
      <c r="D29" s="189">
        <v>24.67</v>
      </c>
      <c r="E29" s="189">
        <v>6.26</v>
      </c>
      <c r="F29" s="189">
        <v>2.78</v>
      </c>
      <c r="G29" s="189">
        <v>103.77</v>
      </c>
      <c r="H29" s="189">
        <v>53.13</v>
      </c>
      <c r="I29" s="189">
        <v>7.23</v>
      </c>
      <c r="J29" s="189">
        <v>0.09</v>
      </c>
      <c r="K29" s="189">
        <v>84.42</v>
      </c>
      <c r="L29" s="189">
        <v>19.12</v>
      </c>
      <c r="M29" s="189">
        <v>83.47</v>
      </c>
      <c r="N29" s="189">
        <v>0</v>
      </c>
      <c r="O29" s="189">
        <v>0</v>
      </c>
      <c r="P29" s="189">
        <v>0.83</v>
      </c>
      <c r="Q29" s="190">
        <v>4.47</v>
      </c>
    </row>
    <row r="30" spans="1:17" s="11" customFormat="1">
      <c r="A30" s="6" t="s">
        <v>2564</v>
      </c>
      <c r="B30" s="189">
        <v>12.4</v>
      </c>
      <c r="C30" s="189">
        <v>26.78</v>
      </c>
      <c r="D30" s="189">
        <v>25.28</v>
      </c>
      <c r="E30" s="189">
        <v>6.44</v>
      </c>
      <c r="F30" s="189">
        <v>2.5</v>
      </c>
      <c r="G30" s="189">
        <v>98.57</v>
      </c>
      <c r="H30" s="189">
        <v>48.8</v>
      </c>
      <c r="I30" s="189">
        <v>7.24</v>
      </c>
      <c r="J30" s="189">
        <v>0.14000000000000001</v>
      </c>
      <c r="K30" s="189">
        <v>77.58</v>
      </c>
      <c r="L30" s="189">
        <v>19.04</v>
      </c>
      <c r="M30" s="189">
        <v>83.3</v>
      </c>
      <c r="N30" s="189">
        <v>0</v>
      </c>
      <c r="O30" s="189">
        <v>0</v>
      </c>
      <c r="P30" s="189">
        <v>0.84</v>
      </c>
      <c r="Q30" s="190">
        <v>4.47</v>
      </c>
    </row>
    <row r="31" spans="1:17" s="11" customFormat="1">
      <c r="A31" s="6" t="s">
        <v>2565</v>
      </c>
      <c r="B31" s="189">
        <v>12.7</v>
      </c>
      <c r="C31" s="189">
        <v>27.45</v>
      </c>
      <c r="D31" s="189">
        <v>25.87</v>
      </c>
      <c r="E31" s="189">
        <v>6.38</v>
      </c>
      <c r="F31" s="189">
        <v>2.42</v>
      </c>
      <c r="G31" s="189">
        <v>97.53</v>
      </c>
      <c r="H31" s="189">
        <v>48.8</v>
      </c>
      <c r="I31" s="189">
        <v>7.2</v>
      </c>
      <c r="J31" s="189">
        <v>0.13</v>
      </c>
      <c r="K31" s="189">
        <v>73.41</v>
      </c>
      <c r="L31" s="189">
        <v>19.07</v>
      </c>
      <c r="M31" s="189">
        <v>82.69</v>
      </c>
      <c r="N31" s="189">
        <v>0</v>
      </c>
      <c r="O31" s="189">
        <v>0</v>
      </c>
      <c r="P31" s="189">
        <v>0.84</v>
      </c>
      <c r="Q31" s="190">
        <v>4.49</v>
      </c>
    </row>
    <row r="32" spans="1:17" s="11" customFormat="1">
      <c r="A32" s="6" t="s">
        <v>2566</v>
      </c>
      <c r="B32" s="189">
        <v>13.24</v>
      </c>
      <c r="C32" s="189">
        <v>26.67</v>
      </c>
      <c r="D32" s="189">
        <v>25.9</v>
      </c>
      <c r="E32" s="189">
        <v>5.96</v>
      </c>
      <c r="F32" s="189">
        <v>2.6</v>
      </c>
      <c r="G32" s="189">
        <v>97.53</v>
      </c>
      <c r="H32" s="189">
        <v>48.8</v>
      </c>
      <c r="I32" s="189">
        <v>7.18</v>
      </c>
      <c r="J32" s="189">
        <v>0.08</v>
      </c>
      <c r="K32" s="189">
        <v>92</v>
      </c>
      <c r="L32" s="189">
        <v>19.010000000000002</v>
      </c>
      <c r="M32" s="189">
        <v>83.35</v>
      </c>
      <c r="N32" s="189">
        <v>0</v>
      </c>
      <c r="O32" s="189">
        <v>0</v>
      </c>
      <c r="P32" s="189">
        <v>0.83</v>
      </c>
      <c r="Q32" s="190">
        <v>4.5</v>
      </c>
    </row>
    <row r="33" spans="1:17" s="11" customFormat="1">
      <c r="A33" s="6" t="s">
        <v>2567</v>
      </c>
      <c r="B33" s="189">
        <v>13.59</v>
      </c>
      <c r="C33" s="189">
        <v>27.18</v>
      </c>
      <c r="D33" s="189">
        <v>26.45</v>
      </c>
      <c r="E33" s="189">
        <v>6.57</v>
      </c>
      <c r="F33" s="189">
        <v>2.73</v>
      </c>
      <c r="G33" s="189">
        <v>97.53</v>
      </c>
      <c r="H33" s="189">
        <v>48.8</v>
      </c>
      <c r="I33" s="189">
        <v>7.19</v>
      </c>
      <c r="J33" s="189">
        <v>7.0000000000000007E-2</v>
      </c>
      <c r="K33" s="189">
        <v>164.76</v>
      </c>
      <c r="L33" s="189">
        <v>18.989999999999998</v>
      </c>
      <c r="M33" s="189">
        <v>83.48</v>
      </c>
      <c r="N33" s="189">
        <v>0</v>
      </c>
      <c r="O33" s="189">
        <v>0</v>
      </c>
      <c r="P33" s="189">
        <v>0.84</v>
      </c>
      <c r="Q33" s="190">
        <v>4.5199999999999996</v>
      </c>
    </row>
    <row r="34" spans="1:17" s="11" customFormat="1">
      <c r="A34" s="6" t="s">
        <v>2568</v>
      </c>
      <c r="B34" s="189">
        <v>13.72</v>
      </c>
      <c r="C34" s="189">
        <v>26.4</v>
      </c>
      <c r="D34" s="189">
        <v>26.14</v>
      </c>
      <c r="E34" s="189">
        <v>6.3</v>
      </c>
      <c r="F34" s="189">
        <v>2.71</v>
      </c>
      <c r="G34" s="189">
        <v>101.15</v>
      </c>
      <c r="H34" s="189">
        <v>48.24</v>
      </c>
      <c r="I34" s="189">
        <v>7.15</v>
      </c>
      <c r="J34" s="189">
        <v>0.06</v>
      </c>
      <c r="K34" s="189">
        <v>165.2</v>
      </c>
      <c r="L34" s="189">
        <v>18.89</v>
      </c>
      <c r="M34" s="189">
        <v>83.47</v>
      </c>
      <c r="N34" s="189">
        <v>0.1</v>
      </c>
      <c r="O34" s="189">
        <v>0</v>
      </c>
      <c r="P34" s="189">
        <v>0.83</v>
      </c>
      <c r="Q34" s="190">
        <v>4.54</v>
      </c>
    </row>
    <row r="35" spans="1:17" s="11" customFormat="1">
      <c r="A35" s="6" t="s">
        <v>2569</v>
      </c>
      <c r="B35" s="189">
        <v>13.82</v>
      </c>
      <c r="C35" s="189">
        <v>27.53</v>
      </c>
      <c r="D35" s="189">
        <v>26.82</v>
      </c>
      <c r="E35" s="189">
        <v>7.01</v>
      </c>
      <c r="F35" s="189">
        <v>2.6</v>
      </c>
      <c r="G35" s="189">
        <v>101.88</v>
      </c>
      <c r="H35" s="189">
        <v>48.24</v>
      </c>
      <c r="I35" s="189">
        <v>7.13</v>
      </c>
      <c r="J35" s="189">
        <v>0.06</v>
      </c>
      <c r="K35" s="189">
        <v>229.81</v>
      </c>
      <c r="L35" s="189">
        <v>18.86</v>
      </c>
      <c r="M35" s="189">
        <v>84.92</v>
      </c>
      <c r="N35" s="189">
        <v>6.7</v>
      </c>
      <c r="O35" s="189">
        <v>0</v>
      </c>
      <c r="P35" s="189">
        <v>0.84</v>
      </c>
      <c r="Q35" s="190">
        <v>4.54</v>
      </c>
    </row>
    <row r="36" spans="1:17" s="11" customFormat="1">
      <c r="A36" s="6" t="s">
        <v>2570</v>
      </c>
      <c r="B36" s="189">
        <v>14.11</v>
      </c>
      <c r="C36" s="189">
        <v>26.41</v>
      </c>
      <c r="D36" s="189">
        <v>26.46</v>
      </c>
      <c r="E36" s="189">
        <v>6.3</v>
      </c>
      <c r="F36" s="189">
        <v>2.76</v>
      </c>
      <c r="G36" s="189">
        <v>101.88</v>
      </c>
      <c r="H36" s="189">
        <v>48.24</v>
      </c>
      <c r="I36" s="189">
        <v>7.14</v>
      </c>
      <c r="J36" s="189">
        <v>0.06</v>
      </c>
      <c r="K36" s="189">
        <v>68.14</v>
      </c>
      <c r="L36" s="189">
        <v>19.14</v>
      </c>
      <c r="M36" s="189">
        <v>83.56</v>
      </c>
      <c r="N36" s="189">
        <v>14.8</v>
      </c>
      <c r="O36" s="189">
        <v>0</v>
      </c>
      <c r="P36" s="189">
        <v>0.83</v>
      </c>
      <c r="Q36" s="190">
        <v>4.55</v>
      </c>
    </row>
    <row r="37" spans="1:17" s="11" customFormat="1">
      <c r="A37" s="6" t="s">
        <v>2571</v>
      </c>
      <c r="B37" s="189">
        <v>14.41</v>
      </c>
      <c r="C37" s="189">
        <v>27.33</v>
      </c>
      <c r="D37" s="189">
        <v>27.18</v>
      </c>
      <c r="E37" s="189">
        <v>6</v>
      </c>
      <c r="F37" s="189">
        <v>2.56</v>
      </c>
      <c r="G37" s="189">
        <v>101.88</v>
      </c>
      <c r="H37" s="189">
        <v>48.24</v>
      </c>
      <c r="I37" s="189">
        <v>7.15</v>
      </c>
      <c r="J37" s="189">
        <v>0.16</v>
      </c>
      <c r="K37" s="189">
        <v>59.96</v>
      </c>
      <c r="L37" s="189">
        <v>19.7</v>
      </c>
      <c r="M37" s="189">
        <v>77.900000000000006</v>
      </c>
      <c r="N37" s="189">
        <v>32.9</v>
      </c>
      <c r="O37" s="189">
        <v>0</v>
      </c>
      <c r="P37" s="189">
        <v>0.84</v>
      </c>
      <c r="Q37" s="190">
        <v>4.54</v>
      </c>
    </row>
    <row r="38" spans="1:17" s="11" customFormat="1">
      <c r="A38" s="6" t="s">
        <v>2572</v>
      </c>
      <c r="B38" s="189">
        <v>14.73</v>
      </c>
      <c r="C38" s="189">
        <v>27.86</v>
      </c>
      <c r="D38" s="189">
        <v>27.71</v>
      </c>
      <c r="E38" s="189">
        <v>6.38</v>
      </c>
      <c r="F38" s="189">
        <v>2.6</v>
      </c>
      <c r="G38" s="189">
        <v>100.53</v>
      </c>
      <c r="H38" s="189">
        <v>47.83</v>
      </c>
      <c r="I38" s="189">
        <v>7.14</v>
      </c>
      <c r="J38" s="189">
        <v>0.23</v>
      </c>
      <c r="K38" s="189">
        <v>61.73</v>
      </c>
      <c r="L38" s="189">
        <v>20.3</v>
      </c>
      <c r="M38" s="189">
        <v>74.400000000000006</v>
      </c>
      <c r="N38" s="189">
        <v>45.2</v>
      </c>
      <c r="O38" s="189">
        <v>0</v>
      </c>
      <c r="P38" s="189">
        <v>0.85</v>
      </c>
      <c r="Q38" s="190">
        <v>4.57</v>
      </c>
    </row>
    <row r="39" spans="1:17" s="11" customFormat="1">
      <c r="A39" s="6" t="s">
        <v>2573</v>
      </c>
      <c r="B39" s="189">
        <v>14.94</v>
      </c>
      <c r="C39" s="189">
        <v>27.91</v>
      </c>
      <c r="D39" s="189">
        <v>27.91</v>
      </c>
      <c r="E39" s="189">
        <v>6.64</v>
      </c>
      <c r="F39" s="189">
        <v>2.68</v>
      </c>
      <c r="G39" s="189">
        <v>100.27</v>
      </c>
      <c r="H39" s="189">
        <v>47.83</v>
      </c>
      <c r="I39" s="189">
        <v>7.16</v>
      </c>
      <c r="J39" s="189">
        <v>0.25</v>
      </c>
      <c r="K39" s="189">
        <v>72.95</v>
      </c>
      <c r="L39" s="189">
        <v>20.68</v>
      </c>
      <c r="M39" s="189">
        <v>72.34</v>
      </c>
      <c r="N39" s="189">
        <v>63.5</v>
      </c>
      <c r="O39" s="189">
        <v>0</v>
      </c>
      <c r="P39" s="189">
        <v>0.86</v>
      </c>
      <c r="Q39" s="190">
        <v>4.6100000000000003</v>
      </c>
    </row>
    <row r="40" spans="1:17" s="11" customFormat="1">
      <c r="A40" s="6" t="s">
        <v>2574</v>
      </c>
      <c r="B40" s="189">
        <v>15.6</v>
      </c>
      <c r="C40" s="189">
        <v>27.94</v>
      </c>
      <c r="D40" s="189">
        <v>28.46</v>
      </c>
      <c r="E40" s="189">
        <v>6.43</v>
      </c>
      <c r="F40" s="189">
        <v>2.71</v>
      </c>
      <c r="G40" s="189">
        <v>100.27</v>
      </c>
      <c r="H40" s="189">
        <v>47.83</v>
      </c>
      <c r="I40" s="189">
        <v>7.24</v>
      </c>
      <c r="J40" s="189">
        <v>0.23</v>
      </c>
      <c r="K40" s="189">
        <v>67.77</v>
      </c>
      <c r="L40" s="189">
        <v>21.22</v>
      </c>
      <c r="M40" s="189">
        <v>70.47</v>
      </c>
      <c r="N40" s="189">
        <v>100.5</v>
      </c>
      <c r="O40" s="189">
        <v>0</v>
      </c>
      <c r="P40" s="189">
        <v>0.87</v>
      </c>
      <c r="Q40" s="190">
        <v>4.6100000000000003</v>
      </c>
    </row>
    <row r="41" spans="1:17" s="11" customFormat="1">
      <c r="A41" s="6" t="s">
        <v>2575</v>
      </c>
      <c r="B41" s="189">
        <v>15.86</v>
      </c>
      <c r="C41" s="189">
        <v>28.26</v>
      </c>
      <c r="D41" s="189">
        <v>28.83</v>
      </c>
      <c r="E41" s="189">
        <v>6.75</v>
      </c>
      <c r="F41" s="189">
        <v>2.73</v>
      </c>
      <c r="G41" s="189">
        <v>100.27</v>
      </c>
      <c r="H41" s="189">
        <v>47.83</v>
      </c>
      <c r="I41" s="189">
        <v>7.37</v>
      </c>
      <c r="J41" s="189">
        <v>0.4</v>
      </c>
      <c r="K41" s="189">
        <v>63.41</v>
      </c>
      <c r="L41" s="189">
        <v>21.76</v>
      </c>
      <c r="M41" s="189">
        <v>65.900000000000006</v>
      </c>
      <c r="N41" s="189">
        <v>144</v>
      </c>
      <c r="O41" s="189">
        <v>0</v>
      </c>
      <c r="P41" s="189">
        <v>0.88</v>
      </c>
      <c r="Q41" s="190">
        <v>4.63</v>
      </c>
    </row>
    <row r="42" spans="1:17" s="11" customFormat="1">
      <c r="A42" s="6" t="s">
        <v>2576</v>
      </c>
      <c r="B42" s="189">
        <v>15.16</v>
      </c>
      <c r="C42" s="189">
        <v>28.6</v>
      </c>
      <c r="D42" s="189">
        <v>28.45</v>
      </c>
      <c r="E42" s="189">
        <v>7.33</v>
      </c>
      <c r="F42" s="189">
        <v>3.39</v>
      </c>
      <c r="G42" s="189">
        <v>98.68</v>
      </c>
      <c r="H42" s="189">
        <v>49.76</v>
      </c>
      <c r="I42" s="189">
        <v>7.46</v>
      </c>
      <c r="J42" s="189">
        <v>0.47</v>
      </c>
      <c r="K42" s="189">
        <v>61.54</v>
      </c>
      <c r="L42" s="189">
        <v>22.41</v>
      </c>
      <c r="M42" s="189">
        <v>63.53</v>
      </c>
      <c r="N42" s="189">
        <v>173.4</v>
      </c>
      <c r="O42" s="189">
        <v>0</v>
      </c>
      <c r="P42" s="189">
        <v>0.87</v>
      </c>
      <c r="Q42" s="190">
        <v>4.6100000000000003</v>
      </c>
    </row>
    <row r="43" spans="1:17" s="11" customFormat="1">
      <c r="A43" s="6" t="s">
        <v>2577</v>
      </c>
      <c r="B43" s="189">
        <v>9.1199999999999992</v>
      </c>
      <c r="C43" s="189">
        <v>27.09</v>
      </c>
      <c r="D43" s="189">
        <v>22.82</v>
      </c>
      <c r="E43" s="189">
        <v>15.92</v>
      </c>
      <c r="F43" s="189">
        <v>18.43</v>
      </c>
      <c r="G43" s="189">
        <v>98.36</v>
      </c>
      <c r="H43" s="189">
        <v>49.76</v>
      </c>
      <c r="I43" s="189">
        <v>7.5</v>
      </c>
      <c r="J43" s="189">
        <v>0.45</v>
      </c>
      <c r="K43" s="189">
        <v>60.52</v>
      </c>
      <c r="L43" s="189">
        <v>22.83</v>
      </c>
      <c r="M43" s="189">
        <v>62.59</v>
      </c>
      <c r="N43" s="189">
        <v>157.80000000000001</v>
      </c>
      <c r="O43" s="189">
        <v>0</v>
      </c>
      <c r="P43" s="189">
        <v>0.84</v>
      </c>
      <c r="Q43" s="190">
        <v>4.46</v>
      </c>
    </row>
    <row r="44" spans="1:17" s="11" customFormat="1">
      <c r="A44" s="6" t="s">
        <v>2578</v>
      </c>
      <c r="B44" s="189">
        <v>4.95</v>
      </c>
      <c r="C44" s="189">
        <v>23.42</v>
      </c>
      <c r="D44" s="189">
        <v>17.559999999999999</v>
      </c>
      <c r="E44" s="189">
        <v>34.31</v>
      </c>
      <c r="F44" s="189">
        <v>43.04</v>
      </c>
      <c r="G44" s="189">
        <v>98.36</v>
      </c>
      <c r="H44" s="189">
        <v>49.76</v>
      </c>
      <c r="I44" s="189">
        <v>7.46</v>
      </c>
      <c r="J44" s="189">
        <v>0.31</v>
      </c>
      <c r="K44" s="189">
        <v>73.13</v>
      </c>
      <c r="L44" s="189">
        <v>23.48</v>
      </c>
      <c r="M44" s="189">
        <v>60.29</v>
      </c>
      <c r="N44" s="189">
        <v>178.4</v>
      </c>
      <c r="O44" s="189">
        <v>0</v>
      </c>
      <c r="P44" s="189">
        <v>0.81</v>
      </c>
      <c r="Q44" s="190">
        <v>4.32</v>
      </c>
    </row>
    <row r="45" spans="1:17" s="11" customFormat="1">
      <c r="A45" s="6" t="s">
        <v>2579</v>
      </c>
      <c r="B45" s="189">
        <v>3.77</v>
      </c>
      <c r="C45" s="189">
        <v>17.98</v>
      </c>
      <c r="D45" s="189">
        <v>13.77</v>
      </c>
      <c r="E45" s="189">
        <v>41.94</v>
      </c>
      <c r="F45" s="189">
        <v>49.87</v>
      </c>
      <c r="G45" s="189">
        <v>98.36</v>
      </c>
      <c r="H45" s="189">
        <v>49.76</v>
      </c>
      <c r="I45" s="189">
        <v>6.59</v>
      </c>
      <c r="J45" s="189">
        <v>0.28999999999999998</v>
      </c>
      <c r="K45" s="189">
        <v>73.03</v>
      </c>
      <c r="L45" s="189">
        <v>24.29</v>
      </c>
      <c r="M45" s="189">
        <v>58.51</v>
      </c>
      <c r="N45" s="189">
        <v>173.3</v>
      </c>
      <c r="O45" s="189">
        <v>0</v>
      </c>
      <c r="P45" s="189">
        <v>0.82</v>
      </c>
      <c r="Q45" s="190">
        <v>4.1900000000000004</v>
      </c>
    </row>
    <row r="46" spans="1:17" s="11" customFormat="1">
      <c r="A46" s="6" t="s">
        <v>2580</v>
      </c>
      <c r="B46" s="189">
        <v>3.24</v>
      </c>
      <c r="C46" s="189">
        <v>13.76</v>
      </c>
      <c r="D46" s="189">
        <v>11.14</v>
      </c>
      <c r="E46" s="189">
        <v>40.54</v>
      </c>
      <c r="F46" s="189">
        <v>59.1</v>
      </c>
      <c r="G46" s="189">
        <v>101.36</v>
      </c>
      <c r="H46" s="189">
        <v>47.46</v>
      </c>
      <c r="I46" s="189">
        <v>6.39</v>
      </c>
      <c r="J46" s="189">
        <v>0.17</v>
      </c>
      <c r="K46" s="189">
        <v>157.19999999999999</v>
      </c>
      <c r="L46" s="189">
        <v>24.69</v>
      </c>
      <c r="M46" s="189">
        <v>59.33</v>
      </c>
      <c r="N46" s="189">
        <v>177.6</v>
      </c>
      <c r="O46" s="189">
        <v>0</v>
      </c>
      <c r="P46" s="189">
        <v>0.78</v>
      </c>
      <c r="Q46" s="190">
        <v>4.16</v>
      </c>
    </row>
    <row r="47" spans="1:17" s="11" customFormat="1">
      <c r="A47" s="6" t="s">
        <v>2581</v>
      </c>
      <c r="B47" s="189">
        <v>3.12</v>
      </c>
      <c r="C47" s="189">
        <v>11.44</v>
      </c>
      <c r="D47" s="189">
        <v>9.83</v>
      </c>
      <c r="E47" s="189">
        <v>44.51</v>
      </c>
      <c r="F47" s="189">
        <v>64.05</v>
      </c>
      <c r="G47" s="189">
        <v>101.96</v>
      </c>
      <c r="H47" s="189">
        <v>47.46</v>
      </c>
      <c r="I47" s="189">
        <v>6.82</v>
      </c>
      <c r="J47" s="189">
        <v>0.21</v>
      </c>
      <c r="K47" s="189">
        <v>119.3</v>
      </c>
      <c r="L47" s="189">
        <v>25.36</v>
      </c>
      <c r="M47" s="189">
        <v>57.78</v>
      </c>
      <c r="N47" s="189">
        <v>273.5</v>
      </c>
      <c r="O47" s="189">
        <v>0</v>
      </c>
      <c r="P47" s="189">
        <v>0.8</v>
      </c>
      <c r="Q47" s="190">
        <v>4.0999999999999996</v>
      </c>
    </row>
    <row r="48" spans="1:17" s="11" customFormat="1">
      <c r="A48" s="6" t="s">
        <v>2582</v>
      </c>
      <c r="B48" s="189">
        <v>2.94</v>
      </c>
      <c r="C48" s="189">
        <v>11.41</v>
      </c>
      <c r="D48" s="189">
        <v>9.67</v>
      </c>
      <c r="E48" s="189">
        <v>63.32</v>
      </c>
      <c r="F48" s="189">
        <v>71.099999999999994</v>
      </c>
      <c r="G48" s="189">
        <v>101.96</v>
      </c>
      <c r="H48" s="189">
        <v>47.46</v>
      </c>
      <c r="I48" s="189">
        <v>5.31</v>
      </c>
      <c r="J48" s="189">
        <v>0.18</v>
      </c>
      <c r="K48" s="189">
        <v>119.43</v>
      </c>
      <c r="L48" s="189">
        <v>26.21</v>
      </c>
      <c r="M48" s="189">
        <v>56.52</v>
      </c>
      <c r="N48" s="189">
        <v>295.89999999999998</v>
      </c>
      <c r="O48" s="189">
        <v>0</v>
      </c>
      <c r="P48" s="189">
        <v>0.81</v>
      </c>
      <c r="Q48" s="190">
        <v>4.08</v>
      </c>
    </row>
    <row r="49" spans="1:17" s="11" customFormat="1">
      <c r="A49" s="6" t="s">
        <v>2583</v>
      </c>
      <c r="B49" s="189">
        <v>2.72</v>
      </c>
      <c r="C49" s="189">
        <v>11.48</v>
      </c>
      <c r="D49" s="189">
        <v>9.5299999999999994</v>
      </c>
      <c r="E49" s="189">
        <v>41.25</v>
      </c>
      <c r="F49" s="189">
        <v>65.64</v>
      </c>
      <c r="G49" s="189">
        <v>101.96</v>
      </c>
      <c r="H49" s="189">
        <v>47.46</v>
      </c>
      <c r="I49" s="189">
        <v>5.01</v>
      </c>
      <c r="J49" s="189">
        <v>0.22</v>
      </c>
      <c r="K49" s="189">
        <v>101.6</v>
      </c>
      <c r="L49" s="189">
        <v>26.55</v>
      </c>
      <c r="M49" s="189">
        <v>62.87</v>
      </c>
      <c r="N49" s="189">
        <v>328.7</v>
      </c>
      <c r="O49" s="189">
        <v>0</v>
      </c>
      <c r="P49" s="189">
        <v>0.84</v>
      </c>
      <c r="Q49" s="190">
        <v>4.07</v>
      </c>
    </row>
    <row r="50" spans="1:17" s="11" customFormat="1">
      <c r="A50" s="6" t="s">
        <v>2584</v>
      </c>
      <c r="B50" s="189">
        <v>2.41</v>
      </c>
      <c r="C50" s="189">
        <v>12.24</v>
      </c>
      <c r="D50" s="189">
        <v>9.68</v>
      </c>
      <c r="E50" s="189">
        <v>35.64</v>
      </c>
      <c r="F50" s="189">
        <v>34.07</v>
      </c>
      <c r="G50" s="189">
        <v>97.81</v>
      </c>
      <c r="H50" s="189">
        <v>45.81</v>
      </c>
      <c r="I50" s="189">
        <v>5.21</v>
      </c>
      <c r="J50" s="189">
        <v>0.22</v>
      </c>
      <c r="K50" s="189">
        <v>142.54</v>
      </c>
      <c r="L50" s="189">
        <v>26.99</v>
      </c>
      <c r="M50" s="189">
        <v>61.98</v>
      </c>
      <c r="N50" s="189">
        <v>365.6</v>
      </c>
      <c r="O50" s="189">
        <v>0</v>
      </c>
      <c r="P50" s="189">
        <v>0.85</v>
      </c>
      <c r="Q50" s="190">
        <v>4.04</v>
      </c>
    </row>
    <row r="51" spans="1:17" s="11" customFormat="1">
      <c r="A51" s="6" t="s">
        <v>2585</v>
      </c>
      <c r="B51" s="189">
        <v>2.25</v>
      </c>
      <c r="C51" s="189">
        <v>14</v>
      </c>
      <c r="D51" s="189">
        <v>10.47</v>
      </c>
      <c r="E51" s="189">
        <v>24.47</v>
      </c>
      <c r="F51" s="189">
        <v>29.91</v>
      </c>
      <c r="G51" s="189">
        <v>96.98</v>
      </c>
      <c r="H51" s="189">
        <v>45.81</v>
      </c>
      <c r="I51" s="189">
        <v>6.66</v>
      </c>
      <c r="J51" s="189">
        <v>0.32</v>
      </c>
      <c r="K51" s="189">
        <v>90.26</v>
      </c>
      <c r="L51" s="189">
        <v>27.36</v>
      </c>
      <c r="M51" s="189">
        <v>70.819999999999993</v>
      </c>
      <c r="N51" s="189">
        <v>390.2</v>
      </c>
      <c r="O51" s="189">
        <v>0</v>
      </c>
      <c r="P51" s="189">
        <v>0.84</v>
      </c>
      <c r="Q51" s="190">
        <v>4.08</v>
      </c>
    </row>
    <row r="52" spans="1:17" s="11" customFormat="1">
      <c r="A52" s="6" t="s">
        <v>2586</v>
      </c>
      <c r="B52" s="189">
        <v>1.8</v>
      </c>
      <c r="C52" s="189">
        <v>12.97</v>
      </c>
      <c r="D52" s="189">
        <v>9.57</v>
      </c>
      <c r="E52" s="189">
        <v>14.26</v>
      </c>
      <c r="F52" s="189">
        <v>20.13</v>
      </c>
      <c r="G52" s="189">
        <v>96.98</v>
      </c>
      <c r="H52" s="189">
        <v>45.81</v>
      </c>
      <c r="I52" s="189">
        <v>7.57</v>
      </c>
      <c r="J52" s="189">
        <v>0.15</v>
      </c>
      <c r="K52" s="189">
        <v>111.39</v>
      </c>
      <c r="L52" s="189">
        <v>28.29</v>
      </c>
      <c r="M52" s="189">
        <v>62.99</v>
      </c>
      <c r="N52" s="189">
        <v>357.4</v>
      </c>
      <c r="O52" s="189">
        <v>0</v>
      </c>
      <c r="P52" s="189">
        <v>0.71</v>
      </c>
      <c r="Q52" s="190">
        <v>4.1500000000000004</v>
      </c>
    </row>
    <row r="53" spans="1:17" s="11" customFormat="1">
      <c r="A53" s="6" t="s">
        <v>2587</v>
      </c>
      <c r="B53" s="189">
        <v>1.54</v>
      </c>
      <c r="C53" s="189">
        <v>12.9</v>
      </c>
      <c r="D53" s="189">
        <v>9.33</v>
      </c>
      <c r="E53" s="189">
        <v>12.04</v>
      </c>
      <c r="F53" s="189">
        <v>11.25</v>
      </c>
      <c r="G53" s="189">
        <v>96.98</v>
      </c>
      <c r="H53" s="189">
        <v>45.81</v>
      </c>
      <c r="I53" s="189">
        <v>8.19</v>
      </c>
      <c r="J53" s="189">
        <v>0.3</v>
      </c>
      <c r="K53" s="189">
        <v>168.88</v>
      </c>
      <c r="L53" s="189">
        <v>28.29</v>
      </c>
      <c r="M53" s="189">
        <v>56.76</v>
      </c>
      <c r="N53" s="189">
        <v>361.4</v>
      </c>
      <c r="O53" s="189">
        <v>0</v>
      </c>
      <c r="P53" s="189">
        <v>0.74</v>
      </c>
      <c r="Q53" s="190">
        <v>4.0999999999999996</v>
      </c>
    </row>
    <row r="54" spans="1:17" s="11" customFormat="1">
      <c r="A54" s="6" t="s">
        <v>2588</v>
      </c>
      <c r="B54" s="189">
        <v>1.69</v>
      </c>
      <c r="C54" s="189">
        <v>12.35</v>
      </c>
      <c r="D54" s="189">
        <v>9.16</v>
      </c>
      <c r="E54" s="189">
        <v>12.6</v>
      </c>
      <c r="F54" s="189">
        <v>12.44</v>
      </c>
      <c r="G54" s="189">
        <v>90.96</v>
      </c>
      <c r="H54" s="189">
        <v>45.94</v>
      </c>
      <c r="I54" s="189">
        <v>7.76</v>
      </c>
      <c r="J54" s="189">
        <v>0.2</v>
      </c>
      <c r="K54" s="189">
        <v>128.78</v>
      </c>
      <c r="L54" s="189">
        <v>28.43</v>
      </c>
      <c r="M54" s="189">
        <v>54.72</v>
      </c>
      <c r="N54" s="189">
        <v>437.6</v>
      </c>
      <c r="O54" s="189">
        <v>0</v>
      </c>
      <c r="P54" s="189">
        <v>0.75</v>
      </c>
      <c r="Q54" s="190">
        <v>4.13</v>
      </c>
    </row>
    <row r="55" spans="1:17" s="11" customFormat="1">
      <c r="A55" s="6" t="s">
        <v>2589</v>
      </c>
      <c r="B55" s="189">
        <v>1.78</v>
      </c>
      <c r="C55" s="189">
        <v>12.15</v>
      </c>
      <c r="D55" s="189">
        <v>9.1300000000000008</v>
      </c>
      <c r="E55" s="189">
        <v>12.11</v>
      </c>
      <c r="F55" s="189">
        <v>21.1</v>
      </c>
      <c r="G55" s="189">
        <v>89.76</v>
      </c>
      <c r="H55" s="189">
        <v>45.94</v>
      </c>
      <c r="I55" s="189">
        <v>7.69</v>
      </c>
      <c r="J55" s="189">
        <v>0.18</v>
      </c>
      <c r="K55" s="189">
        <v>135.44</v>
      </c>
      <c r="L55" s="189">
        <v>29.06</v>
      </c>
      <c r="M55" s="189">
        <v>54.08</v>
      </c>
      <c r="N55" s="189">
        <v>447.2</v>
      </c>
      <c r="O55" s="189">
        <v>0</v>
      </c>
      <c r="P55" s="189">
        <v>0.74</v>
      </c>
      <c r="Q55" s="190">
        <v>4.16</v>
      </c>
    </row>
    <row r="56" spans="1:17" s="11" customFormat="1">
      <c r="A56" s="6" t="s">
        <v>2590</v>
      </c>
      <c r="B56" s="189">
        <v>2.0499999999999998</v>
      </c>
      <c r="C56" s="189">
        <v>12.68</v>
      </c>
      <c r="D56" s="189">
        <v>9.6199999999999992</v>
      </c>
      <c r="E56" s="189">
        <v>14.71</v>
      </c>
      <c r="F56" s="189">
        <v>31.98</v>
      </c>
      <c r="G56" s="189">
        <v>89.76</v>
      </c>
      <c r="H56" s="189">
        <v>45.94</v>
      </c>
      <c r="I56" s="189">
        <v>7.39</v>
      </c>
      <c r="J56" s="189">
        <v>0.19</v>
      </c>
      <c r="K56" s="189">
        <v>164.1</v>
      </c>
      <c r="L56" s="189">
        <v>29.25</v>
      </c>
      <c r="M56" s="189">
        <v>52.43</v>
      </c>
      <c r="N56" s="189">
        <v>412.6</v>
      </c>
      <c r="O56" s="189">
        <v>0</v>
      </c>
      <c r="P56" s="189">
        <v>0.7</v>
      </c>
      <c r="Q56" s="190">
        <v>4.16</v>
      </c>
    </row>
    <row r="57" spans="1:17" s="11" customFormat="1">
      <c r="A57" s="6" t="s">
        <v>2591</v>
      </c>
      <c r="B57" s="189">
        <v>2.36</v>
      </c>
      <c r="C57" s="189">
        <v>13.07</v>
      </c>
      <c r="D57" s="189">
        <v>10.07</v>
      </c>
      <c r="E57" s="189">
        <v>11.58</v>
      </c>
      <c r="F57" s="189">
        <v>12</v>
      </c>
      <c r="G57" s="189">
        <v>89.76</v>
      </c>
      <c r="H57" s="189">
        <v>45.94</v>
      </c>
      <c r="I57" s="189">
        <v>6.86</v>
      </c>
      <c r="J57" s="189">
        <v>0.33</v>
      </c>
      <c r="K57" s="189">
        <v>194.73</v>
      </c>
      <c r="L57" s="189">
        <v>29.13</v>
      </c>
      <c r="M57" s="189">
        <v>51.93</v>
      </c>
      <c r="N57" s="189">
        <v>440.6</v>
      </c>
      <c r="O57" s="189">
        <v>0</v>
      </c>
      <c r="P57" s="189">
        <v>0.7</v>
      </c>
      <c r="Q57" s="190">
        <v>4.17</v>
      </c>
    </row>
    <row r="58" spans="1:17" s="11" customFormat="1">
      <c r="A58" s="6" t="s">
        <v>2592</v>
      </c>
      <c r="B58" s="189">
        <v>2.7</v>
      </c>
      <c r="C58" s="189">
        <v>13.84</v>
      </c>
      <c r="D58" s="189">
        <v>10.75</v>
      </c>
      <c r="E58" s="189">
        <v>10.01</v>
      </c>
      <c r="F58" s="189">
        <v>6.08</v>
      </c>
      <c r="G58" s="189">
        <v>84.56</v>
      </c>
      <c r="H58" s="189">
        <v>41.21</v>
      </c>
      <c r="I58" s="189">
        <v>5.14</v>
      </c>
      <c r="J58" s="189">
        <v>0.31</v>
      </c>
      <c r="K58" s="189">
        <v>284.91000000000003</v>
      </c>
      <c r="L58" s="189">
        <v>28.91</v>
      </c>
      <c r="M58" s="189">
        <v>47.18</v>
      </c>
      <c r="N58" s="189">
        <v>389.6</v>
      </c>
      <c r="O58" s="189">
        <v>0</v>
      </c>
      <c r="P58" s="189">
        <v>0.7</v>
      </c>
      <c r="Q58" s="190">
        <v>4.17</v>
      </c>
    </row>
    <row r="59" spans="1:17" s="11" customFormat="1">
      <c r="A59" s="6" t="s">
        <v>2593</v>
      </c>
      <c r="B59" s="189">
        <v>3.02</v>
      </c>
      <c r="C59" s="189">
        <v>13.84</v>
      </c>
      <c r="D59" s="189">
        <v>11</v>
      </c>
      <c r="E59" s="189">
        <v>9.5299999999999994</v>
      </c>
      <c r="F59" s="189">
        <v>4.74</v>
      </c>
      <c r="G59" s="189">
        <v>83.52</v>
      </c>
      <c r="H59" s="189">
        <v>41.21</v>
      </c>
      <c r="I59" s="189">
        <v>5.18</v>
      </c>
      <c r="J59" s="189">
        <v>0.51</v>
      </c>
      <c r="K59" s="189">
        <v>294.89999999999998</v>
      </c>
      <c r="L59" s="189">
        <v>28.7</v>
      </c>
      <c r="M59" s="189">
        <v>46.61</v>
      </c>
      <c r="N59" s="189">
        <v>433.9</v>
      </c>
      <c r="O59" s="189">
        <v>0</v>
      </c>
      <c r="P59" s="189">
        <v>0.71</v>
      </c>
      <c r="Q59" s="190">
        <v>4.1900000000000004</v>
      </c>
    </row>
    <row r="60" spans="1:17" s="11" customFormat="1">
      <c r="A60" s="6" t="s">
        <v>2594</v>
      </c>
      <c r="B60" s="189">
        <v>3.1</v>
      </c>
      <c r="C60" s="189">
        <v>12.4</v>
      </c>
      <c r="D60" s="189">
        <v>10.32</v>
      </c>
      <c r="E60" s="189">
        <v>9.15</v>
      </c>
      <c r="F60" s="189">
        <v>5.09</v>
      </c>
      <c r="G60" s="189">
        <v>83.52</v>
      </c>
      <c r="H60" s="189">
        <v>41.21</v>
      </c>
      <c r="I60" s="189">
        <v>5.22</v>
      </c>
      <c r="J60" s="189">
        <v>0.31</v>
      </c>
      <c r="K60" s="189">
        <v>48.81</v>
      </c>
      <c r="L60" s="189">
        <v>29.55</v>
      </c>
      <c r="M60" s="189">
        <v>45.62</v>
      </c>
      <c r="N60" s="189">
        <v>388.2</v>
      </c>
      <c r="O60" s="189">
        <v>0</v>
      </c>
      <c r="P60" s="189">
        <v>0.69</v>
      </c>
      <c r="Q60" s="190">
        <v>4.22</v>
      </c>
    </row>
    <row r="61" spans="1:17" s="11" customFormat="1">
      <c r="A61" s="6" t="s">
        <v>2595</v>
      </c>
      <c r="B61" s="189">
        <v>3.3</v>
      </c>
      <c r="C61" s="189">
        <v>14.03</v>
      </c>
      <c r="D61" s="189">
        <v>11.32</v>
      </c>
      <c r="E61" s="189">
        <v>8.85</v>
      </c>
      <c r="F61" s="189">
        <v>4.3499999999999996</v>
      </c>
      <c r="G61" s="189">
        <v>83.52</v>
      </c>
      <c r="H61" s="189">
        <v>41.21</v>
      </c>
      <c r="I61" s="189">
        <v>5.27</v>
      </c>
      <c r="J61" s="189">
        <v>0.26</v>
      </c>
      <c r="K61" s="189">
        <v>346.55</v>
      </c>
      <c r="L61" s="189">
        <v>29.49</v>
      </c>
      <c r="M61" s="189">
        <v>44.48</v>
      </c>
      <c r="N61" s="189">
        <v>372.5</v>
      </c>
      <c r="O61" s="189">
        <v>0</v>
      </c>
      <c r="P61" s="189">
        <v>0.69</v>
      </c>
      <c r="Q61" s="190">
        <v>4.21</v>
      </c>
    </row>
    <row r="62" spans="1:17" s="11" customFormat="1">
      <c r="A62" s="6" t="s">
        <v>2596</v>
      </c>
      <c r="B62" s="189">
        <v>3.55</v>
      </c>
      <c r="C62" s="189">
        <v>15.1</v>
      </c>
      <c r="D62" s="189">
        <v>12.08</v>
      </c>
      <c r="E62" s="189">
        <v>8.4499999999999993</v>
      </c>
      <c r="F62" s="189">
        <v>4.9400000000000004</v>
      </c>
      <c r="G62" s="189">
        <v>75.650000000000006</v>
      </c>
      <c r="H62" s="189">
        <v>36.46</v>
      </c>
      <c r="I62" s="189">
        <v>5.22</v>
      </c>
      <c r="J62" s="189">
        <v>0.43</v>
      </c>
      <c r="K62" s="189">
        <v>45.72</v>
      </c>
      <c r="L62" s="189">
        <v>29.45</v>
      </c>
      <c r="M62" s="189">
        <v>43.59</v>
      </c>
      <c r="N62" s="189">
        <v>367.3</v>
      </c>
      <c r="O62" s="189">
        <v>0</v>
      </c>
      <c r="P62" s="189">
        <v>0.7</v>
      </c>
      <c r="Q62" s="190">
        <v>4.21</v>
      </c>
    </row>
    <row r="63" spans="1:17" s="11" customFormat="1">
      <c r="A63" s="6" t="s">
        <v>2597</v>
      </c>
      <c r="B63" s="189">
        <v>3.78</v>
      </c>
      <c r="C63" s="189">
        <v>14.44</v>
      </c>
      <c r="D63" s="189">
        <v>11.93</v>
      </c>
      <c r="E63" s="189">
        <v>8.35</v>
      </c>
      <c r="F63" s="189">
        <v>4.87</v>
      </c>
      <c r="G63" s="189">
        <v>74.069999999999993</v>
      </c>
      <c r="H63" s="189">
        <v>36.46</v>
      </c>
      <c r="I63" s="189">
        <v>5.17</v>
      </c>
      <c r="J63" s="189">
        <v>0.32</v>
      </c>
      <c r="K63" s="189">
        <v>25.02</v>
      </c>
      <c r="L63" s="189">
        <v>29.65</v>
      </c>
      <c r="M63" s="189">
        <v>42.68</v>
      </c>
      <c r="N63" s="189">
        <v>331.2</v>
      </c>
      <c r="O63" s="189">
        <v>0</v>
      </c>
      <c r="P63" s="189">
        <v>0.69</v>
      </c>
      <c r="Q63" s="190">
        <v>4.2300000000000004</v>
      </c>
    </row>
    <row r="64" spans="1:17" s="11" customFormat="1">
      <c r="A64" s="6" t="s">
        <v>2598</v>
      </c>
      <c r="B64" s="189">
        <v>3.9</v>
      </c>
      <c r="C64" s="189">
        <v>15.53</v>
      </c>
      <c r="D64" s="189">
        <v>12.59</v>
      </c>
      <c r="E64" s="189">
        <v>8.5299999999999994</v>
      </c>
      <c r="F64" s="189">
        <v>4.53</v>
      </c>
      <c r="G64" s="189">
        <v>74.069999999999993</v>
      </c>
      <c r="H64" s="189">
        <v>36.46</v>
      </c>
      <c r="I64" s="189">
        <v>4.68</v>
      </c>
      <c r="J64" s="189">
        <v>0.35</v>
      </c>
      <c r="K64" s="189">
        <v>102.63</v>
      </c>
      <c r="L64" s="189">
        <v>29.52</v>
      </c>
      <c r="M64" s="189">
        <v>41.32</v>
      </c>
      <c r="N64" s="189">
        <v>268.7</v>
      </c>
      <c r="O64" s="189">
        <v>0</v>
      </c>
      <c r="P64" s="189">
        <v>0.67</v>
      </c>
      <c r="Q64" s="190">
        <v>4.2699999999999996</v>
      </c>
    </row>
    <row r="65" spans="1:17" s="11" customFormat="1">
      <c r="A65" s="6" t="s">
        <v>2599</v>
      </c>
      <c r="B65" s="189">
        <v>3.96</v>
      </c>
      <c r="C65" s="189">
        <v>17.920000000000002</v>
      </c>
      <c r="D65" s="189">
        <v>13.89</v>
      </c>
      <c r="E65" s="189">
        <v>8.3699999999999992</v>
      </c>
      <c r="F65" s="189">
        <v>4.47</v>
      </c>
      <c r="G65" s="189">
        <v>74.069999999999993</v>
      </c>
      <c r="H65" s="189">
        <v>36.46</v>
      </c>
      <c r="I65" s="189">
        <v>5.18</v>
      </c>
      <c r="J65" s="189">
        <v>0.02</v>
      </c>
      <c r="K65" s="189">
        <v>112</v>
      </c>
      <c r="L65" s="189">
        <v>28.92</v>
      </c>
      <c r="M65" s="189">
        <v>43.4</v>
      </c>
      <c r="N65" s="189">
        <v>152.19999999999999</v>
      </c>
      <c r="O65" s="189">
        <v>0</v>
      </c>
      <c r="P65" s="189">
        <v>0.61</v>
      </c>
      <c r="Q65" s="190">
        <v>4.2300000000000004</v>
      </c>
    </row>
    <row r="66" spans="1:17" s="11" customFormat="1">
      <c r="A66" s="6" t="s">
        <v>2600</v>
      </c>
      <c r="B66" s="189">
        <v>3.97</v>
      </c>
      <c r="C66" s="189">
        <v>17.82</v>
      </c>
      <c r="D66" s="189">
        <v>13.85</v>
      </c>
      <c r="E66" s="189">
        <v>8.18</v>
      </c>
      <c r="F66" s="189">
        <v>4.18</v>
      </c>
      <c r="G66" s="189">
        <v>70.98</v>
      </c>
      <c r="H66" s="189">
        <v>39.549999999999997</v>
      </c>
      <c r="I66" s="189">
        <v>5.15</v>
      </c>
      <c r="J66" s="189">
        <v>0.11</v>
      </c>
      <c r="K66" s="189">
        <v>163.02000000000001</v>
      </c>
      <c r="L66" s="189">
        <v>28.87</v>
      </c>
      <c r="M66" s="189">
        <v>43.21</v>
      </c>
      <c r="N66" s="189">
        <v>132.4</v>
      </c>
      <c r="O66" s="189">
        <v>0</v>
      </c>
      <c r="P66" s="189">
        <v>0.63</v>
      </c>
      <c r="Q66" s="190">
        <v>4.21</v>
      </c>
    </row>
    <row r="67" spans="1:17" s="11" customFormat="1">
      <c r="A67" s="6" t="s">
        <v>2601</v>
      </c>
      <c r="B67" s="189">
        <v>4.01</v>
      </c>
      <c r="C67" s="189">
        <v>15.99</v>
      </c>
      <c r="D67" s="189">
        <v>12.92</v>
      </c>
      <c r="E67" s="189">
        <v>7.82</v>
      </c>
      <c r="F67" s="189">
        <v>4.51</v>
      </c>
      <c r="G67" s="189">
        <v>70.36</v>
      </c>
      <c r="H67" s="189">
        <v>39.549999999999997</v>
      </c>
      <c r="I67" s="189">
        <v>4.58</v>
      </c>
      <c r="J67" s="189">
        <v>0.14000000000000001</v>
      </c>
      <c r="K67" s="189">
        <v>129.88</v>
      </c>
      <c r="L67" s="189">
        <v>28.64</v>
      </c>
      <c r="M67" s="189">
        <v>43.32</v>
      </c>
      <c r="N67" s="189">
        <v>112.2</v>
      </c>
      <c r="O67" s="189">
        <v>0</v>
      </c>
      <c r="P67" s="189">
        <v>0.62</v>
      </c>
      <c r="Q67" s="190">
        <v>4.22</v>
      </c>
    </row>
    <row r="68" spans="1:17" s="11" customFormat="1">
      <c r="A68" s="6" t="s">
        <v>2602</v>
      </c>
      <c r="B68" s="189">
        <v>4.0199999999999996</v>
      </c>
      <c r="C68" s="189">
        <v>14.9</v>
      </c>
      <c r="D68" s="189">
        <v>12.37</v>
      </c>
      <c r="E68" s="189">
        <v>7.08</v>
      </c>
      <c r="F68" s="189">
        <v>4.4000000000000004</v>
      </c>
      <c r="G68" s="189">
        <v>70.36</v>
      </c>
      <c r="H68" s="189">
        <v>39.549999999999997</v>
      </c>
      <c r="I68" s="189">
        <v>4.5199999999999996</v>
      </c>
      <c r="J68" s="189">
        <v>0.27</v>
      </c>
      <c r="K68" s="189">
        <v>165.14</v>
      </c>
      <c r="L68" s="189">
        <v>28.46</v>
      </c>
      <c r="M68" s="189">
        <v>46.26</v>
      </c>
      <c r="N68" s="189">
        <v>96.1</v>
      </c>
      <c r="O68" s="189">
        <v>0</v>
      </c>
      <c r="P68" s="189">
        <v>0.6</v>
      </c>
      <c r="Q68" s="190">
        <v>4.24</v>
      </c>
    </row>
    <row r="69" spans="1:17" s="11" customFormat="1">
      <c r="A69" s="6" t="s">
        <v>2603</v>
      </c>
      <c r="B69" s="189">
        <v>3.89</v>
      </c>
      <c r="C69" s="189">
        <v>14.31</v>
      </c>
      <c r="D69" s="189">
        <v>11.95</v>
      </c>
      <c r="E69" s="189">
        <v>6.87</v>
      </c>
      <c r="F69" s="189">
        <v>4.6900000000000004</v>
      </c>
      <c r="G69" s="189">
        <v>70.36</v>
      </c>
      <c r="H69" s="189">
        <v>39.549999999999997</v>
      </c>
      <c r="I69" s="189">
        <v>4.47</v>
      </c>
      <c r="J69" s="189">
        <v>0.06</v>
      </c>
      <c r="K69" s="189">
        <v>331.17</v>
      </c>
      <c r="L69" s="189">
        <v>28.48</v>
      </c>
      <c r="M69" s="189">
        <v>44.23</v>
      </c>
      <c r="N69" s="189">
        <v>85.4</v>
      </c>
      <c r="O69" s="189">
        <v>0</v>
      </c>
      <c r="P69" s="189">
        <v>0.59</v>
      </c>
      <c r="Q69" s="190">
        <v>4.21</v>
      </c>
    </row>
    <row r="70" spans="1:17" s="11" customFormat="1">
      <c r="A70" s="6" t="s">
        <v>2604</v>
      </c>
      <c r="B70" s="189">
        <v>3.96</v>
      </c>
      <c r="C70" s="189">
        <v>14.05</v>
      </c>
      <c r="D70" s="189">
        <v>11.87</v>
      </c>
      <c r="E70" s="189">
        <v>6.27</v>
      </c>
      <c r="F70" s="189">
        <v>4.28</v>
      </c>
      <c r="G70" s="189">
        <v>68.39</v>
      </c>
      <c r="H70" s="189">
        <v>37.409999999999997</v>
      </c>
      <c r="I70" s="189">
        <v>4.4400000000000004</v>
      </c>
      <c r="J70" s="189">
        <v>0.04</v>
      </c>
      <c r="K70" s="189">
        <v>187.27</v>
      </c>
      <c r="L70" s="189">
        <v>28.25</v>
      </c>
      <c r="M70" s="189">
        <v>45.6</v>
      </c>
      <c r="N70" s="189">
        <v>71.8</v>
      </c>
      <c r="O70" s="189">
        <v>0</v>
      </c>
      <c r="P70" s="189">
        <v>0.57999999999999996</v>
      </c>
      <c r="Q70" s="190">
        <v>4.2</v>
      </c>
    </row>
    <row r="71" spans="1:17" s="11" customFormat="1">
      <c r="A71" s="6" t="s">
        <v>2605</v>
      </c>
      <c r="B71" s="189">
        <v>3.9</v>
      </c>
      <c r="C71" s="189">
        <v>14.5</v>
      </c>
      <c r="D71" s="189">
        <v>12.05</v>
      </c>
      <c r="E71" s="189">
        <v>6.46</v>
      </c>
      <c r="F71" s="189">
        <v>4.3899999999999997</v>
      </c>
      <c r="G71" s="189">
        <v>68</v>
      </c>
      <c r="H71" s="189">
        <v>37.409999999999997</v>
      </c>
      <c r="I71" s="189">
        <v>4.4000000000000004</v>
      </c>
      <c r="J71" s="189">
        <v>0.18</v>
      </c>
      <c r="K71" s="189">
        <v>86.35</v>
      </c>
      <c r="L71" s="189">
        <v>28.03</v>
      </c>
      <c r="M71" s="189">
        <v>45.45</v>
      </c>
      <c r="N71" s="189">
        <v>58.4</v>
      </c>
      <c r="O71" s="189">
        <v>0</v>
      </c>
      <c r="P71" s="189">
        <v>0.56999999999999995</v>
      </c>
      <c r="Q71" s="190">
        <v>4.17</v>
      </c>
    </row>
    <row r="72" spans="1:17" s="11" customFormat="1">
      <c r="A72" s="6" t="s">
        <v>2606</v>
      </c>
      <c r="B72" s="189">
        <v>3.92</v>
      </c>
      <c r="C72" s="189">
        <v>16.22</v>
      </c>
      <c r="D72" s="189">
        <v>12.97</v>
      </c>
      <c r="E72" s="189">
        <v>6.13</v>
      </c>
      <c r="F72" s="189">
        <v>3.8</v>
      </c>
      <c r="G72" s="189">
        <v>68</v>
      </c>
      <c r="H72" s="189">
        <v>37.409999999999997</v>
      </c>
      <c r="I72" s="189">
        <v>4.3600000000000003</v>
      </c>
      <c r="J72" s="189">
        <v>0.27</v>
      </c>
      <c r="K72" s="189">
        <v>56.88</v>
      </c>
      <c r="L72" s="189">
        <v>27.86</v>
      </c>
      <c r="M72" s="189">
        <v>42.11</v>
      </c>
      <c r="N72" s="189">
        <v>44.3</v>
      </c>
      <c r="O72" s="189">
        <v>0</v>
      </c>
      <c r="P72" s="189">
        <v>0.6</v>
      </c>
      <c r="Q72" s="190">
        <v>4.1500000000000004</v>
      </c>
    </row>
    <row r="73" spans="1:17" s="11" customFormat="1">
      <c r="A73" s="6" t="s">
        <v>2607</v>
      </c>
      <c r="B73" s="189">
        <v>4.1900000000000004</v>
      </c>
      <c r="C73" s="189">
        <v>15.93</v>
      </c>
      <c r="D73" s="189">
        <v>13.03</v>
      </c>
      <c r="E73" s="189">
        <v>5.87</v>
      </c>
      <c r="F73" s="189">
        <v>3.84</v>
      </c>
      <c r="G73" s="189">
        <v>68</v>
      </c>
      <c r="H73" s="189">
        <v>37.409999999999997</v>
      </c>
      <c r="I73" s="189">
        <v>4.33</v>
      </c>
      <c r="J73" s="189">
        <v>0.25</v>
      </c>
      <c r="K73" s="189">
        <v>42.67</v>
      </c>
      <c r="L73" s="189">
        <v>27.76</v>
      </c>
      <c r="M73" s="189">
        <v>42.14</v>
      </c>
      <c r="N73" s="189">
        <v>32.6</v>
      </c>
      <c r="O73" s="189">
        <v>0</v>
      </c>
      <c r="P73" s="189">
        <v>0.6</v>
      </c>
      <c r="Q73" s="190">
        <v>4.17</v>
      </c>
    </row>
    <row r="74" spans="1:17" s="11" customFormat="1">
      <c r="A74" s="6" t="s">
        <v>2608</v>
      </c>
      <c r="B74" s="189">
        <v>4.5999999999999996</v>
      </c>
      <c r="C74" s="189">
        <v>16.940000000000001</v>
      </c>
      <c r="D74" s="189">
        <v>13.89</v>
      </c>
      <c r="E74" s="189">
        <v>6.36</v>
      </c>
      <c r="F74" s="189">
        <v>5.01</v>
      </c>
      <c r="G74" s="189">
        <v>75.599999999999994</v>
      </c>
      <c r="H74" s="189">
        <v>38.71</v>
      </c>
      <c r="I74" s="189">
        <v>4.33</v>
      </c>
      <c r="J74" s="189">
        <v>0.23</v>
      </c>
      <c r="K74" s="189">
        <v>37.369999999999997</v>
      </c>
      <c r="L74" s="189">
        <v>27.36</v>
      </c>
      <c r="M74" s="189">
        <v>42.55</v>
      </c>
      <c r="N74" s="189">
        <v>21</v>
      </c>
      <c r="O74" s="189">
        <v>0</v>
      </c>
      <c r="P74" s="189">
        <v>0.6</v>
      </c>
      <c r="Q74" s="190">
        <v>4.18</v>
      </c>
    </row>
    <row r="75" spans="1:17" s="11" customFormat="1">
      <c r="A75" s="6" t="s">
        <v>2609</v>
      </c>
      <c r="B75" s="189">
        <v>4.91</v>
      </c>
      <c r="C75" s="189">
        <v>17.64</v>
      </c>
      <c r="D75" s="189">
        <v>14.5</v>
      </c>
      <c r="E75" s="189">
        <v>5.59</v>
      </c>
      <c r="F75" s="189">
        <v>3.58</v>
      </c>
      <c r="G75" s="189">
        <v>77.12</v>
      </c>
      <c r="H75" s="189">
        <v>38.71</v>
      </c>
      <c r="I75" s="189">
        <v>4.83</v>
      </c>
      <c r="J75" s="189">
        <v>0.31</v>
      </c>
      <c r="K75" s="189">
        <v>55.73</v>
      </c>
      <c r="L75" s="189">
        <v>26.93</v>
      </c>
      <c r="M75" s="189">
        <v>44.04</v>
      </c>
      <c r="N75" s="189">
        <v>9.9</v>
      </c>
      <c r="O75" s="189">
        <v>0</v>
      </c>
      <c r="P75" s="189">
        <v>0.61</v>
      </c>
      <c r="Q75" s="190">
        <v>4.17</v>
      </c>
    </row>
    <row r="76" spans="1:17" s="11" customFormat="1">
      <c r="A76" s="6" t="s">
        <v>2610</v>
      </c>
      <c r="B76" s="189">
        <v>5.23</v>
      </c>
      <c r="C76" s="189">
        <v>17.350000000000001</v>
      </c>
      <c r="D76" s="189">
        <v>14.61</v>
      </c>
      <c r="E76" s="189">
        <v>5.15</v>
      </c>
      <c r="F76" s="189">
        <v>3.28</v>
      </c>
      <c r="G76" s="189">
        <v>77.12</v>
      </c>
      <c r="H76" s="189">
        <v>38.71</v>
      </c>
      <c r="I76" s="189">
        <v>4.8499999999999996</v>
      </c>
      <c r="J76" s="189">
        <v>0.28000000000000003</v>
      </c>
      <c r="K76" s="189">
        <v>50.12</v>
      </c>
      <c r="L76" s="189">
        <v>26.46</v>
      </c>
      <c r="M76" s="189">
        <v>46.24</v>
      </c>
      <c r="N76" s="189">
        <v>1.2</v>
      </c>
      <c r="O76" s="189">
        <v>0</v>
      </c>
      <c r="P76" s="189">
        <v>0.62</v>
      </c>
      <c r="Q76" s="190">
        <v>4.22</v>
      </c>
    </row>
    <row r="77" spans="1:17" s="11" customFormat="1">
      <c r="A77" s="6" t="s">
        <v>2611</v>
      </c>
      <c r="B77" s="189">
        <v>5.67</v>
      </c>
      <c r="C77" s="189">
        <v>19.27</v>
      </c>
      <c r="D77" s="189">
        <v>15.97</v>
      </c>
      <c r="E77" s="189">
        <v>5.44</v>
      </c>
      <c r="F77" s="189">
        <v>2.9</v>
      </c>
      <c r="G77" s="189">
        <v>77.12</v>
      </c>
      <c r="H77" s="189">
        <v>38.71</v>
      </c>
      <c r="I77" s="189">
        <v>4.8899999999999997</v>
      </c>
      <c r="J77" s="189">
        <v>0.28000000000000003</v>
      </c>
      <c r="K77" s="189">
        <v>61.22</v>
      </c>
      <c r="L77" s="189">
        <v>26.01</v>
      </c>
      <c r="M77" s="189">
        <v>47.66</v>
      </c>
      <c r="N77" s="189">
        <v>0</v>
      </c>
      <c r="O77" s="189">
        <v>0</v>
      </c>
      <c r="P77" s="189">
        <v>0.65</v>
      </c>
      <c r="Q77" s="190">
        <v>4.2300000000000004</v>
      </c>
    </row>
    <row r="78" spans="1:17" s="11" customFormat="1">
      <c r="A78" s="6" t="s">
        <v>2612</v>
      </c>
      <c r="B78" s="189">
        <v>6.07</v>
      </c>
      <c r="C78" s="189">
        <v>19.43</v>
      </c>
      <c r="D78" s="189">
        <v>16.37</v>
      </c>
      <c r="E78" s="189">
        <v>5.36</v>
      </c>
      <c r="F78" s="189">
        <v>3.05</v>
      </c>
      <c r="G78" s="189">
        <v>88.86</v>
      </c>
      <c r="H78" s="189">
        <v>38.18</v>
      </c>
      <c r="I78" s="189">
        <v>4.92</v>
      </c>
      <c r="J78" s="189">
        <v>0.28999999999999998</v>
      </c>
      <c r="K78" s="189">
        <v>58.8</v>
      </c>
      <c r="L78" s="189">
        <v>25.26</v>
      </c>
      <c r="M78" s="189">
        <v>49.94</v>
      </c>
      <c r="N78" s="189">
        <v>0</v>
      </c>
      <c r="O78" s="189">
        <v>0</v>
      </c>
      <c r="P78" s="189">
        <v>0.65</v>
      </c>
      <c r="Q78" s="190">
        <v>4.25</v>
      </c>
    </row>
    <row r="79" spans="1:17" s="11" customFormat="1">
      <c r="A79" s="6" t="s">
        <v>2613</v>
      </c>
      <c r="B79" s="189">
        <v>6.52</v>
      </c>
      <c r="C79" s="189">
        <v>20.48</v>
      </c>
      <c r="D79" s="189">
        <v>17.29</v>
      </c>
      <c r="E79" s="189">
        <v>5.15</v>
      </c>
      <c r="F79" s="189">
        <v>2.89</v>
      </c>
      <c r="G79" s="189">
        <v>91.21</v>
      </c>
      <c r="H79" s="189">
        <v>38.18</v>
      </c>
      <c r="I79" s="189">
        <v>5</v>
      </c>
      <c r="J79" s="189">
        <v>0.2</v>
      </c>
      <c r="K79" s="189">
        <v>57.04</v>
      </c>
      <c r="L79" s="189">
        <v>24.93</v>
      </c>
      <c r="M79" s="189">
        <v>52.4</v>
      </c>
      <c r="N79" s="189">
        <v>0</v>
      </c>
      <c r="O79" s="189">
        <v>0</v>
      </c>
      <c r="P79" s="189">
        <v>0.68</v>
      </c>
      <c r="Q79" s="190">
        <v>4.24</v>
      </c>
    </row>
    <row r="80" spans="1:17" s="11" customFormat="1">
      <c r="A80" s="6" t="s">
        <v>2614</v>
      </c>
      <c r="B80" s="189">
        <v>7.24</v>
      </c>
      <c r="C80" s="189">
        <v>20.53</v>
      </c>
      <c r="D80" s="189">
        <v>17.89</v>
      </c>
      <c r="E80" s="189">
        <v>5.36</v>
      </c>
      <c r="F80" s="189">
        <v>2.98</v>
      </c>
      <c r="G80" s="189">
        <v>91.21</v>
      </c>
      <c r="H80" s="189">
        <v>38.18</v>
      </c>
      <c r="I80" s="189">
        <v>5.08</v>
      </c>
      <c r="J80" s="189">
        <v>0.18</v>
      </c>
      <c r="K80" s="189">
        <v>100.18</v>
      </c>
      <c r="L80" s="189">
        <v>24.7</v>
      </c>
      <c r="M80" s="189">
        <v>54.24</v>
      </c>
      <c r="N80" s="189">
        <v>0</v>
      </c>
      <c r="O80" s="189">
        <v>0</v>
      </c>
      <c r="P80" s="189">
        <v>0.71</v>
      </c>
      <c r="Q80" s="190">
        <v>4.28</v>
      </c>
    </row>
    <row r="81" spans="1:17" s="11" customFormat="1">
      <c r="A81" s="6" t="s">
        <v>2615</v>
      </c>
      <c r="B81" s="189">
        <v>7.98</v>
      </c>
      <c r="C81" s="189">
        <v>22.26</v>
      </c>
      <c r="D81" s="189">
        <v>19.38</v>
      </c>
      <c r="E81" s="189">
        <v>6.8</v>
      </c>
      <c r="F81" s="189">
        <v>2.75</v>
      </c>
      <c r="G81" s="189">
        <v>91.21</v>
      </c>
      <c r="H81" s="189">
        <v>38.18</v>
      </c>
      <c r="I81" s="189">
        <v>5.3</v>
      </c>
      <c r="J81" s="189">
        <v>0.15</v>
      </c>
      <c r="K81" s="189">
        <v>101.88</v>
      </c>
      <c r="L81" s="189">
        <v>24.08</v>
      </c>
      <c r="M81" s="189">
        <v>56.5</v>
      </c>
      <c r="N81" s="189">
        <v>0</v>
      </c>
      <c r="O81" s="189">
        <v>0</v>
      </c>
      <c r="P81" s="189">
        <v>0.74</v>
      </c>
      <c r="Q81" s="190">
        <v>4.3099999999999996</v>
      </c>
    </row>
    <row r="82" spans="1:17" s="11" customFormat="1">
      <c r="A82" s="6" t="s">
        <v>2616</v>
      </c>
      <c r="B82" s="189">
        <v>8.23</v>
      </c>
      <c r="C82" s="189">
        <v>22</v>
      </c>
      <c r="D82" s="189">
        <v>19.45</v>
      </c>
      <c r="E82" s="189">
        <v>7.83</v>
      </c>
      <c r="F82" s="189">
        <v>2.88</v>
      </c>
      <c r="G82" s="189">
        <v>111.98</v>
      </c>
      <c r="H82" s="189">
        <v>41.43</v>
      </c>
      <c r="I82" s="189">
        <v>5.5</v>
      </c>
      <c r="J82" s="189">
        <v>0.12</v>
      </c>
      <c r="K82" s="189">
        <v>105.72</v>
      </c>
      <c r="L82" s="189">
        <v>24.07</v>
      </c>
      <c r="M82" s="189">
        <v>55.62</v>
      </c>
      <c r="N82" s="189">
        <v>0</v>
      </c>
      <c r="O82" s="189">
        <v>0</v>
      </c>
      <c r="P82" s="189">
        <v>0.75</v>
      </c>
      <c r="Q82" s="190">
        <v>4.3499999999999996</v>
      </c>
    </row>
    <row r="83" spans="1:17" s="11" customFormat="1">
      <c r="A83" s="6" t="s">
        <v>2617</v>
      </c>
      <c r="B83" s="189">
        <v>8.19</v>
      </c>
      <c r="C83" s="189">
        <v>25</v>
      </c>
      <c r="D83" s="189">
        <v>20.98</v>
      </c>
      <c r="E83" s="189">
        <v>8.06</v>
      </c>
      <c r="F83" s="189">
        <v>2.76</v>
      </c>
      <c r="G83" s="189">
        <v>116.13</v>
      </c>
      <c r="H83" s="189">
        <v>41.43</v>
      </c>
      <c r="I83" s="189">
        <v>5.71</v>
      </c>
      <c r="J83" s="189">
        <v>0.16</v>
      </c>
      <c r="K83" s="189">
        <v>153.87</v>
      </c>
      <c r="L83" s="189">
        <v>23.39</v>
      </c>
      <c r="M83" s="189">
        <v>61.15</v>
      </c>
      <c r="N83" s="189">
        <v>0</v>
      </c>
      <c r="O83" s="189">
        <v>0</v>
      </c>
      <c r="P83" s="189">
        <v>0.78</v>
      </c>
      <c r="Q83" s="190">
        <v>4.34</v>
      </c>
    </row>
    <row r="84" spans="1:17" s="11" customFormat="1">
      <c r="A84" s="6" t="s">
        <v>2618</v>
      </c>
      <c r="B84" s="189">
        <v>8.2200000000000006</v>
      </c>
      <c r="C84" s="189">
        <v>36.9</v>
      </c>
      <c r="D84" s="189">
        <v>27.22</v>
      </c>
      <c r="E84" s="189">
        <v>8.51</v>
      </c>
      <c r="F84" s="189">
        <v>2.52</v>
      </c>
      <c r="G84" s="189">
        <v>116.13</v>
      </c>
      <c r="H84" s="189">
        <v>41.43</v>
      </c>
      <c r="I84" s="189">
        <v>5.83</v>
      </c>
      <c r="J84" s="189">
        <v>0.18</v>
      </c>
      <c r="K84" s="189">
        <v>146.18</v>
      </c>
      <c r="L84" s="189">
        <v>23.34</v>
      </c>
      <c r="M84" s="189">
        <v>60.81</v>
      </c>
      <c r="N84" s="189">
        <v>0</v>
      </c>
      <c r="O84" s="189">
        <v>0</v>
      </c>
      <c r="P84" s="189">
        <v>0.84</v>
      </c>
      <c r="Q84" s="190">
        <v>4.37</v>
      </c>
    </row>
    <row r="85" spans="1:17" s="11" customFormat="1">
      <c r="A85" s="6" t="s">
        <v>2619</v>
      </c>
      <c r="B85" s="189">
        <v>8.48</v>
      </c>
      <c r="C85" s="189">
        <v>39.270000000000003</v>
      </c>
      <c r="D85" s="189">
        <v>28.66</v>
      </c>
      <c r="E85" s="189">
        <v>8.8000000000000007</v>
      </c>
      <c r="F85" s="189">
        <v>2.5</v>
      </c>
      <c r="G85" s="189">
        <v>116.13</v>
      </c>
      <c r="H85" s="189">
        <v>41.43</v>
      </c>
      <c r="I85" s="189">
        <v>6.04</v>
      </c>
      <c r="J85" s="189">
        <v>0.15</v>
      </c>
      <c r="K85" s="189">
        <v>124.65</v>
      </c>
      <c r="L85" s="189">
        <v>23.17</v>
      </c>
      <c r="M85" s="189">
        <v>62.58</v>
      </c>
      <c r="N85" s="189">
        <v>0</v>
      </c>
      <c r="O85" s="189">
        <v>0</v>
      </c>
      <c r="P85" s="189">
        <v>0.87</v>
      </c>
      <c r="Q85" s="190">
        <v>4.4000000000000004</v>
      </c>
    </row>
    <row r="86" spans="1:17" s="11" customFormat="1">
      <c r="A86" s="6" t="s">
        <v>2620</v>
      </c>
      <c r="B86" s="189">
        <v>8.7899999999999991</v>
      </c>
      <c r="C86" s="189">
        <v>39.85</v>
      </c>
      <c r="D86" s="189">
        <v>29.22</v>
      </c>
      <c r="E86" s="189">
        <v>8.61</v>
      </c>
      <c r="F86" s="189">
        <v>2.56</v>
      </c>
      <c r="G86" s="189">
        <v>144.37</v>
      </c>
      <c r="H86" s="189">
        <v>49.42</v>
      </c>
      <c r="I86" s="189">
        <v>6.35</v>
      </c>
      <c r="J86" s="189">
        <v>0.17</v>
      </c>
      <c r="K86" s="189">
        <v>93.19</v>
      </c>
      <c r="L86" s="189">
        <v>23.19</v>
      </c>
      <c r="M86" s="189">
        <v>61.32</v>
      </c>
      <c r="N86" s="189">
        <v>0</v>
      </c>
      <c r="O86" s="189">
        <v>0</v>
      </c>
      <c r="P86" s="189">
        <v>0.89</v>
      </c>
      <c r="Q86" s="190">
        <v>4.41</v>
      </c>
    </row>
    <row r="87" spans="1:17" s="11" customFormat="1">
      <c r="A87" s="6" t="s">
        <v>2621</v>
      </c>
      <c r="B87" s="189">
        <v>9.2100000000000009</v>
      </c>
      <c r="C87" s="189">
        <v>38.25</v>
      </c>
      <c r="D87" s="189">
        <v>28.72</v>
      </c>
      <c r="E87" s="189">
        <v>8.7799999999999994</v>
      </c>
      <c r="F87" s="189">
        <v>2.4300000000000002</v>
      </c>
      <c r="G87" s="189">
        <v>150.02000000000001</v>
      </c>
      <c r="H87" s="189">
        <v>49.42</v>
      </c>
      <c r="I87" s="189">
        <v>6.57</v>
      </c>
      <c r="J87" s="189">
        <v>0.2</v>
      </c>
      <c r="K87" s="189">
        <v>101.1</v>
      </c>
      <c r="L87" s="189">
        <v>23.06</v>
      </c>
      <c r="M87" s="189">
        <v>62.25</v>
      </c>
      <c r="N87" s="189">
        <v>0</v>
      </c>
      <c r="O87" s="189">
        <v>0</v>
      </c>
      <c r="P87" s="189">
        <v>0.92</v>
      </c>
      <c r="Q87" s="190">
        <v>4.45</v>
      </c>
    </row>
    <row r="88" spans="1:17" s="11" customFormat="1">
      <c r="A88" s="6" t="s">
        <v>2622</v>
      </c>
      <c r="B88" s="189">
        <v>9.3699999999999992</v>
      </c>
      <c r="C88" s="189">
        <v>36.67</v>
      </c>
      <c r="D88" s="189">
        <v>28.02</v>
      </c>
      <c r="E88" s="189">
        <v>8.85</v>
      </c>
      <c r="F88" s="189">
        <v>2.65</v>
      </c>
      <c r="G88" s="189">
        <v>150.02000000000001</v>
      </c>
      <c r="H88" s="189">
        <v>49.42</v>
      </c>
      <c r="I88" s="189">
        <v>6.76</v>
      </c>
      <c r="J88" s="189">
        <v>0.12</v>
      </c>
      <c r="K88" s="189">
        <v>105.74</v>
      </c>
      <c r="L88" s="189">
        <v>22.9</v>
      </c>
      <c r="M88" s="189">
        <v>62.82</v>
      </c>
      <c r="N88" s="189">
        <v>0</v>
      </c>
      <c r="O88" s="189">
        <v>0</v>
      </c>
      <c r="P88" s="189">
        <v>0.93</v>
      </c>
      <c r="Q88" s="190">
        <v>4.47</v>
      </c>
    </row>
    <row r="89" spans="1:17" s="11" customFormat="1">
      <c r="A89" s="6" t="s">
        <v>2623</v>
      </c>
      <c r="B89" s="189">
        <v>9.4</v>
      </c>
      <c r="C89" s="189">
        <v>36.200000000000003</v>
      </c>
      <c r="D89" s="189">
        <v>27.8</v>
      </c>
      <c r="E89" s="189">
        <v>8.35</v>
      </c>
      <c r="F89" s="189">
        <v>2.71</v>
      </c>
      <c r="G89" s="189">
        <v>150.02000000000001</v>
      </c>
      <c r="H89" s="189">
        <v>49.42</v>
      </c>
      <c r="I89" s="189">
        <v>6.96</v>
      </c>
      <c r="J89" s="189">
        <v>0.15</v>
      </c>
      <c r="K89" s="189">
        <v>148.9</v>
      </c>
      <c r="L89" s="189">
        <v>22.55</v>
      </c>
      <c r="M89" s="189">
        <v>63.21</v>
      </c>
      <c r="N89" s="189">
        <v>0</v>
      </c>
      <c r="O89" s="189">
        <v>0</v>
      </c>
      <c r="P89" s="189">
        <v>0.95</v>
      </c>
      <c r="Q89" s="190">
        <v>4.49</v>
      </c>
    </row>
    <row r="90" spans="1:17" s="11" customFormat="1">
      <c r="A90" s="6" t="s">
        <v>2624</v>
      </c>
      <c r="B90" s="189">
        <v>9.43</v>
      </c>
      <c r="C90" s="189">
        <v>35.229999999999997</v>
      </c>
      <c r="D90" s="189">
        <v>27.32</v>
      </c>
      <c r="E90" s="189">
        <v>9.0299999999999994</v>
      </c>
      <c r="F90" s="189">
        <v>2.72</v>
      </c>
      <c r="G90" s="189">
        <v>148.4</v>
      </c>
      <c r="H90" s="189">
        <v>50.73</v>
      </c>
      <c r="I90" s="189">
        <v>7.1</v>
      </c>
      <c r="J90" s="189">
        <v>0.16</v>
      </c>
      <c r="K90" s="189">
        <v>168.61</v>
      </c>
      <c r="L90" s="189">
        <v>22.22</v>
      </c>
      <c r="M90" s="189">
        <v>64.7</v>
      </c>
      <c r="N90" s="189">
        <v>0</v>
      </c>
      <c r="O90" s="189">
        <v>0</v>
      </c>
      <c r="P90" s="189">
        <v>0.95</v>
      </c>
      <c r="Q90" s="190">
        <v>4.5</v>
      </c>
    </row>
    <row r="91" spans="1:17" s="11" customFormat="1">
      <c r="A91" s="6" t="s">
        <v>2625</v>
      </c>
      <c r="B91" s="189">
        <v>9.11</v>
      </c>
      <c r="C91" s="189">
        <v>33.270000000000003</v>
      </c>
      <c r="D91" s="189">
        <v>26.04</v>
      </c>
      <c r="E91" s="189">
        <v>8.68</v>
      </c>
      <c r="F91" s="189">
        <v>2.92</v>
      </c>
      <c r="G91" s="189">
        <v>148.08000000000001</v>
      </c>
      <c r="H91" s="189">
        <v>50.73</v>
      </c>
      <c r="I91" s="189">
        <v>7.2</v>
      </c>
      <c r="J91" s="189">
        <v>0.22</v>
      </c>
      <c r="K91" s="189">
        <v>174.94</v>
      </c>
      <c r="L91" s="189">
        <v>22.05</v>
      </c>
      <c r="M91" s="189">
        <v>66.569999999999993</v>
      </c>
      <c r="N91" s="189">
        <v>0</v>
      </c>
      <c r="O91" s="189">
        <v>0</v>
      </c>
      <c r="P91" s="189">
        <v>0.95</v>
      </c>
      <c r="Q91" s="190">
        <v>4.47</v>
      </c>
    </row>
    <row r="92" spans="1:17" s="11" customFormat="1">
      <c r="A92" s="6" t="s">
        <v>2626</v>
      </c>
      <c r="B92" s="189">
        <v>8.4700000000000006</v>
      </c>
      <c r="C92" s="189">
        <v>32.07</v>
      </c>
      <c r="D92" s="189">
        <v>24.9</v>
      </c>
      <c r="E92" s="189">
        <v>8.77</v>
      </c>
      <c r="F92" s="189">
        <v>3.03</v>
      </c>
      <c r="G92" s="189">
        <v>148.08000000000001</v>
      </c>
      <c r="H92" s="189">
        <v>50.73</v>
      </c>
      <c r="I92" s="189">
        <v>7.28</v>
      </c>
      <c r="J92" s="189">
        <v>0.2</v>
      </c>
      <c r="K92" s="189">
        <v>203.89</v>
      </c>
      <c r="L92" s="189">
        <v>21.84</v>
      </c>
      <c r="M92" s="189">
        <v>72.08</v>
      </c>
      <c r="N92" s="189">
        <v>0</v>
      </c>
      <c r="O92" s="189">
        <v>0</v>
      </c>
      <c r="P92" s="189">
        <v>0.94</v>
      </c>
      <c r="Q92" s="190">
        <v>4.47</v>
      </c>
    </row>
    <row r="93" spans="1:17" s="11" customFormat="1">
      <c r="A93" s="6" t="s">
        <v>2627</v>
      </c>
      <c r="B93" s="189">
        <v>7.98</v>
      </c>
      <c r="C93" s="189">
        <v>31.42</v>
      </c>
      <c r="D93" s="189">
        <v>24.17</v>
      </c>
      <c r="E93" s="189">
        <v>8.75</v>
      </c>
      <c r="F93" s="189">
        <v>3.05</v>
      </c>
      <c r="G93" s="189">
        <v>148.08000000000001</v>
      </c>
      <c r="H93" s="189">
        <v>50.73</v>
      </c>
      <c r="I93" s="189">
        <v>7.31</v>
      </c>
      <c r="J93" s="189">
        <v>0.18</v>
      </c>
      <c r="K93" s="189">
        <v>231.76</v>
      </c>
      <c r="L93" s="189">
        <v>21.01</v>
      </c>
      <c r="M93" s="189">
        <v>77.42</v>
      </c>
      <c r="N93" s="189">
        <v>0</v>
      </c>
      <c r="O93" s="189">
        <v>0</v>
      </c>
      <c r="P93" s="189">
        <v>0.93</v>
      </c>
      <c r="Q93" s="190">
        <v>4.43</v>
      </c>
    </row>
    <row r="94" spans="1:17" s="11" customFormat="1">
      <c r="A94" s="6" t="s">
        <v>2628</v>
      </c>
      <c r="B94" s="189">
        <v>7.62</v>
      </c>
      <c r="C94" s="189">
        <v>30.26</v>
      </c>
      <c r="D94" s="189">
        <v>23.28</v>
      </c>
      <c r="E94" s="189">
        <v>8.9700000000000006</v>
      </c>
      <c r="F94" s="189">
        <v>3.01</v>
      </c>
      <c r="G94" s="189">
        <v>132.16999999999999</v>
      </c>
      <c r="H94" s="189">
        <v>48.37</v>
      </c>
      <c r="I94" s="189">
        <v>7.22</v>
      </c>
      <c r="J94" s="189">
        <v>7.0000000000000007E-2</v>
      </c>
      <c r="K94" s="189">
        <v>220.27</v>
      </c>
      <c r="L94" s="189">
        <v>20.57</v>
      </c>
      <c r="M94" s="189">
        <v>75.92</v>
      </c>
      <c r="N94" s="189">
        <v>0</v>
      </c>
      <c r="O94" s="189">
        <v>0</v>
      </c>
      <c r="P94" s="189">
        <v>0.92</v>
      </c>
      <c r="Q94" s="190">
        <v>4.4000000000000004</v>
      </c>
    </row>
    <row r="95" spans="1:17" s="11" customFormat="1">
      <c r="A95" s="6" t="s">
        <v>2629</v>
      </c>
      <c r="B95" s="189">
        <v>7.49</v>
      </c>
      <c r="C95" s="189">
        <v>29.41</v>
      </c>
      <c r="D95" s="189">
        <v>22.73</v>
      </c>
      <c r="E95" s="189">
        <v>8.8000000000000007</v>
      </c>
      <c r="F95" s="189">
        <v>2.95</v>
      </c>
      <c r="G95" s="189">
        <v>128.99</v>
      </c>
      <c r="H95" s="189">
        <v>48.37</v>
      </c>
      <c r="I95" s="189">
        <v>7.14</v>
      </c>
      <c r="J95" s="189">
        <v>0.03</v>
      </c>
      <c r="K95" s="189">
        <v>154.35</v>
      </c>
      <c r="L95" s="189">
        <v>20.75</v>
      </c>
      <c r="M95" s="189">
        <v>71.819999999999993</v>
      </c>
      <c r="N95" s="189">
        <v>0</v>
      </c>
      <c r="O95" s="189">
        <v>0</v>
      </c>
      <c r="P95" s="189">
        <v>0.92</v>
      </c>
      <c r="Q95" s="190">
        <v>4.3899999999999997</v>
      </c>
    </row>
    <row r="96" spans="1:17" s="11" customFormat="1">
      <c r="A96" s="6" t="s">
        <v>2630</v>
      </c>
      <c r="B96" s="189">
        <v>7.83</v>
      </c>
      <c r="C96" s="189">
        <v>30.08</v>
      </c>
      <c r="D96" s="189">
        <v>23.34</v>
      </c>
      <c r="E96" s="189">
        <v>8.58</v>
      </c>
      <c r="F96" s="189">
        <v>2.66</v>
      </c>
      <c r="G96" s="189">
        <v>128.99</v>
      </c>
      <c r="H96" s="189">
        <v>48.37</v>
      </c>
      <c r="I96" s="189">
        <v>7.11</v>
      </c>
      <c r="J96" s="189">
        <v>0.13</v>
      </c>
      <c r="K96" s="189">
        <v>176.2</v>
      </c>
      <c r="L96" s="189">
        <v>20.8</v>
      </c>
      <c r="M96" s="189">
        <v>71.709999999999994</v>
      </c>
      <c r="N96" s="189">
        <v>0</v>
      </c>
      <c r="O96" s="189">
        <v>0</v>
      </c>
      <c r="P96" s="189">
        <v>0.92</v>
      </c>
      <c r="Q96" s="190">
        <v>4.41</v>
      </c>
    </row>
    <row r="97" spans="1:22" s="11" customFormat="1">
      <c r="A97" s="6" t="s">
        <v>2631</v>
      </c>
      <c r="B97" s="189">
        <v>8.31</v>
      </c>
      <c r="C97" s="189">
        <v>30.27</v>
      </c>
      <c r="D97" s="189">
        <v>23.83</v>
      </c>
      <c r="E97" s="189">
        <v>8.41</v>
      </c>
      <c r="F97" s="189">
        <v>2.66</v>
      </c>
      <c r="G97" s="189">
        <v>128.99</v>
      </c>
      <c r="H97" s="189">
        <v>48.37</v>
      </c>
      <c r="I97" s="189">
        <v>7.09</v>
      </c>
      <c r="J97" s="189">
        <v>0.13</v>
      </c>
      <c r="K97" s="189">
        <v>126.25</v>
      </c>
      <c r="L97" s="189">
        <v>21.03</v>
      </c>
      <c r="M97" s="189">
        <v>71.22</v>
      </c>
      <c r="N97" s="189">
        <v>0</v>
      </c>
      <c r="O97" s="189">
        <v>0</v>
      </c>
      <c r="P97" s="189">
        <v>0.93</v>
      </c>
      <c r="Q97" s="190">
        <v>4.41</v>
      </c>
    </row>
    <row r="98" spans="1:22" s="11" customFormat="1">
      <c r="A98" s="6" t="s">
        <v>2632</v>
      </c>
      <c r="B98" s="189">
        <v>8.65</v>
      </c>
      <c r="C98" s="189">
        <v>30.88</v>
      </c>
      <c r="D98" s="189">
        <v>24.42</v>
      </c>
      <c r="E98" s="189">
        <v>8.16</v>
      </c>
      <c r="F98" s="189">
        <v>2.67</v>
      </c>
      <c r="G98" s="189">
        <v>119.35</v>
      </c>
      <c r="H98" s="189">
        <v>46.95</v>
      </c>
      <c r="I98" s="189">
        <v>7.08</v>
      </c>
      <c r="J98" s="189">
        <v>0.16</v>
      </c>
      <c r="K98" s="189">
        <v>80.22</v>
      </c>
      <c r="L98" s="189">
        <v>21.32</v>
      </c>
      <c r="M98" s="189">
        <v>65.84</v>
      </c>
      <c r="N98" s="189">
        <v>0</v>
      </c>
      <c r="O98" s="189">
        <v>0</v>
      </c>
      <c r="P98" s="189">
        <v>0.93</v>
      </c>
      <c r="Q98" s="190">
        <v>4.43</v>
      </c>
    </row>
    <row r="99" spans="1:22" s="11" customFormat="1">
      <c r="A99" s="6" t="s">
        <v>2633</v>
      </c>
      <c r="B99" s="189">
        <v>9.26</v>
      </c>
      <c r="C99" s="189">
        <v>31.27</v>
      </c>
      <c r="D99" s="189">
        <v>25.12</v>
      </c>
      <c r="E99" s="189">
        <v>8.86</v>
      </c>
      <c r="F99" s="189">
        <v>2.52</v>
      </c>
      <c r="G99" s="189">
        <v>117.43</v>
      </c>
      <c r="H99" s="189">
        <v>46.95</v>
      </c>
      <c r="I99" s="189">
        <v>7.07</v>
      </c>
      <c r="J99" s="189">
        <v>0.18</v>
      </c>
      <c r="K99" s="189">
        <v>62.32</v>
      </c>
      <c r="L99" s="189">
        <v>21.22</v>
      </c>
      <c r="M99" s="189">
        <v>65.5</v>
      </c>
      <c r="N99" s="189">
        <v>0</v>
      </c>
      <c r="O99" s="189">
        <v>0</v>
      </c>
      <c r="P99" s="189">
        <v>0.92</v>
      </c>
      <c r="Q99" s="190">
        <v>4.45</v>
      </c>
    </row>
    <row r="100" spans="1:22" s="11" customFormat="1">
      <c r="A100" s="6" t="s">
        <v>2634</v>
      </c>
      <c r="B100" s="189">
        <v>10</v>
      </c>
      <c r="C100" s="189">
        <v>31.66</v>
      </c>
      <c r="D100" s="189">
        <v>25.91</v>
      </c>
      <c r="E100" s="189">
        <v>8.9</v>
      </c>
      <c r="F100" s="189">
        <v>2.5499999999999998</v>
      </c>
      <c r="G100" s="189">
        <v>117.43</v>
      </c>
      <c r="H100" s="189">
        <v>46.95</v>
      </c>
      <c r="I100" s="189">
        <v>7.07</v>
      </c>
      <c r="J100" s="189">
        <v>0.17</v>
      </c>
      <c r="K100" s="189">
        <v>50.39</v>
      </c>
      <c r="L100" s="189">
        <v>21.06</v>
      </c>
      <c r="M100" s="189">
        <v>66.34</v>
      </c>
      <c r="N100" s="189">
        <v>0</v>
      </c>
      <c r="O100" s="189">
        <v>0</v>
      </c>
      <c r="P100" s="189">
        <v>0.92</v>
      </c>
      <c r="Q100" s="190">
        <v>4.4800000000000004</v>
      </c>
    </row>
    <row r="101" spans="1:22" s="11" customFormat="1">
      <c r="A101" s="6" t="s">
        <v>2635</v>
      </c>
      <c r="B101" s="189">
        <v>10.52</v>
      </c>
      <c r="C101" s="189">
        <v>32.11</v>
      </c>
      <c r="D101" s="189">
        <v>26.56</v>
      </c>
      <c r="E101" s="189">
        <v>8.36</v>
      </c>
      <c r="F101" s="189">
        <v>2.57</v>
      </c>
      <c r="G101" s="189">
        <v>117.43</v>
      </c>
      <c r="H101" s="189">
        <v>46.95</v>
      </c>
      <c r="I101" s="189">
        <v>7.02</v>
      </c>
      <c r="J101" s="189">
        <v>0.22</v>
      </c>
      <c r="K101" s="189">
        <v>55.84</v>
      </c>
      <c r="L101" s="189">
        <v>20.87</v>
      </c>
      <c r="M101" s="189">
        <v>66.44</v>
      </c>
      <c r="N101" s="189">
        <v>0</v>
      </c>
      <c r="O101" s="189">
        <v>0</v>
      </c>
      <c r="P101" s="189">
        <v>0.92</v>
      </c>
      <c r="Q101" s="190">
        <v>4.49</v>
      </c>
    </row>
    <row r="102" spans="1:22" s="11" customFormat="1">
      <c r="A102" s="6" t="s">
        <v>2636</v>
      </c>
      <c r="B102" s="189">
        <v>11.46</v>
      </c>
      <c r="C102" s="189">
        <v>33.46</v>
      </c>
      <c r="D102" s="189">
        <v>28.02</v>
      </c>
      <c r="E102" s="189">
        <v>8.3000000000000007</v>
      </c>
      <c r="F102" s="189">
        <v>2.5499999999999998</v>
      </c>
      <c r="G102" s="189">
        <v>112.63</v>
      </c>
      <c r="H102" s="189">
        <v>47.8</v>
      </c>
      <c r="I102" s="189">
        <v>6.98</v>
      </c>
      <c r="J102" s="189">
        <v>7.0000000000000007E-2</v>
      </c>
      <c r="K102" s="189">
        <v>147.31</v>
      </c>
      <c r="L102" s="189">
        <v>20.6</v>
      </c>
      <c r="M102" s="189">
        <v>72.709999999999994</v>
      </c>
      <c r="N102" s="189">
        <v>0</v>
      </c>
      <c r="O102" s="189">
        <v>0</v>
      </c>
      <c r="P102" s="189">
        <v>0.92</v>
      </c>
      <c r="Q102" s="190">
        <v>4.53</v>
      </c>
    </row>
    <row r="103" spans="1:22" s="11" customFormat="1">
      <c r="A103" s="6" t="s">
        <v>2637</v>
      </c>
      <c r="B103" s="189">
        <v>11.86</v>
      </c>
      <c r="C103" s="189">
        <v>33.64</v>
      </c>
      <c r="D103" s="189">
        <v>28.44</v>
      </c>
      <c r="E103" s="189">
        <v>8.17</v>
      </c>
      <c r="F103" s="189">
        <v>2.68</v>
      </c>
      <c r="G103" s="189">
        <v>111.67</v>
      </c>
      <c r="H103" s="189">
        <v>47.8</v>
      </c>
      <c r="I103" s="189">
        <v>6.97</v>
      </c>
      <c r="J103" s="189">
        <v>0.1</v>
      </c>
      <c r="K103" s="189">
        <v>159.87</v>
      </c>
      <c r="L103" s="189">
        <v>20.2</v>
      </c>
      <c r="M103" s="189">
        <v>77.77</v>
      </c>
      <c r="N103" s="189">
        <v>0</v>
      </c>
      <c r="O103" s="189">
        <v>0</v>
      </c>
      <c r="P103" s="189">
        <v>0.91</v>
      </c>
      <c r="Q103" s="190">
        <v>4.58</v>
      </c>
    </row>
    <row r="104" spans="1:22" s="11" customFormat="1">
      <c r="A104" s="6" t="s">
        <v>2638</v>
      </c>
      <c r="B104" s="189">
        <v>11.88</v>
      </c>
      <c r="C104" s="189">
        <v>32.979999999999997</v>
      </c>
      <c r="D104" s="189">
        <v>28.11</v>
      </c>
      <c r="E104" s="189">
        <v>7.98</v>
      </c>
      <c r="F104" s="189">
        <v>2.67</v>
      </c>
      <c r="G104" s="189">
        <v>111.67</v>
      </c>
      <c r="H104" s="189">
        <v>47.8</v>
      </c>
      <c r="I104" s="189">
        <v>7.05</v>
      </c>
      <c r="J104" s="189">
        <v>0.1</v>
      </c>
      <c r="K104" s="189">
        <v>88.62</v>
      </c>
      <c r="L104" s="189">
        <v>20.100000000000001</v>
      </c>
      <c r="M104" s="189">
        <v>75.03</v>
      </c>
      <c r="N104" s="189">
        <v>0</v>
      </c>
      <c r="O104" s="189">
        <v>0</v>
      </c>
      <c r="P104" s="189">
        <v>0.9</v>
      </c>
      <c r="Q104" s="190">
        <v>4.57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1.54</v>
      </c>
      <c r="C106" s="183">
        <f>MIN(C9:C104)</f>
        <v>11.41</v>
      </c>
      <c r="D106" s="183">
        <f t="shared" ref="D106:Q106" si="0">MIN(D9:D104)</f>
        <v>9.1300000000000008</v>
      </c>
      <c r="E106" s="183">
        <f t="shared" si="0"/>
        <v>5.15</v>
      </c>
      <c r="F106" s="183">
        <f t="shared" si="0"/>
        <v>2.42</v>
      </c>
      <c r="G106" s="183">
        <f t="shared" si="0"/>
        <v>68</v>
      </c>
      <c r="H106" s="183">
        <f t="shared" si="0"/>
        <v>36.46</v>
      </c>
      <c r="I106" s="183">
        <f t="shared" si="0"/>
        <v>4.33</v>
      </c>
      <c r="J106" s="183">
        <f t="shared" si="0"/>
        <v>0.02</v>
      </c>
      <c r="K106" s="183">
        <f t="shared" si="0"/>
        <v>23.01</v>
      </c>
      <c r="L106" s="183">
        <f t="shared" si="0"/>
        <v>18.86</v>
      </c>
      <c r="M106" s="183">
        <f t="shared" si="0"/>
        <v>41.32</v>
      </c>
      <c r="N106" s="183">
        <f t="shared" si="0"/>
        <v>0</v>
      </c>
      <c r="O106" s="183">
        <f t="shared" si="0"/>
        <v>0</v>
      </c>
      <c r="P106" s="183">
        <f t="shared" si="0"/>
        <v>0.56999999999999995</v>
      </c>
      <c r="Q106" s="183">
        <f t="shared" si="0"/>
        <v>4.04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15.86</v>
      </c>
      <c r="C107" s="184">
        <f t="shared" ref="C107:Q107" si="1">MAX(C9:C104)</f>
        <v>39.85</v>
      </c>
      <c r="D107" s="184">
        <f t="shared" si="1"/>
        <v>29.29</v>
      </c>
      <c r="E107" s="184">
        <f t="shared" si="1"/>
        <v>63.32</v>
      </c>
      <c r="F107" s="184">
        <f t="shared" si="1"/>
        <v>71.099999999999994</v>
      </c>
      <c r="G107" s="184">
        <f t="shared" si="1"/>
        <v>150.02000000000001</v>
      </c>
      <c r="H107" s="184">
        <f t="shared" si="1"/>
        <v>56.09</v>
      </c>
      <c r="I107" s="184">
        <f t="shared" si="1"/>
        <v>8.19</v>
      </c>
      <c r="J107" s="184">
        <f t="shared" si="1"/>
        <v>0.51</v>
      </c>
      <c r="K107" s="184">
        <f t="shared" si="1"/>
        <v>346.55</v>
      </c>
      <c r="L107" s="184">
        <f t="shared" si="1"/>
        <v>29.65</v>
      </c>
      <c r="M107" s="184">
        <f t="shared" si="1"/>
        <v>86.24</v>
      </c>
      <c r="N107" s="184">
        <f t="shared" si="1"/>
        <v>447.2</v>
      </c>
      <c r="O107" s="184">
        <f t="shared" si="1"/>
        <v>0</v>
      </c>
      <c r="P107" s="184">
        <f t="shared" si="1"/>
        <v>1</v>
      </c>
      <c r="Q107" s="184">
        <f t="shared" si="1"/>
        <v>4.63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8.156875000000003</v>
      </c>
      <c r="C108" s="183">
        <f t="shared" ref="C108:Q108" si="2">AVERAGE(C9:C104)</f>
        <v>24.560312499999998</v>
      </c>
      <c r="D108" s="183">
        <f t="shared" si="2"/>
        <v>20.724166666666665</v>
      </c>
      <c r="E108" s="183">
        <f t="shared" si="2"/>
        <v>10.737291666666666</v>
      </c>
      <c r="F108" s="183">
        <f t="shared" si="2"/>
        <v>8.3124999999999964</v>
      </c>
      <c r="G108" s="183">
        <f t="shared" si="2"/>
        <v>101.07760416666669</v>
      </c>
      <c r="H108" s="183">
        <f t="shared" si="2"/>
        <v>46.13927083333332</v>
      </c>
      <c r="I108" s="183">
        <f t="shared" si="2"/>
        <v>6.4253125000000004</v>
      </c>
      <c r="J108" s="183">
        <f t="shared" si="2"/>
        <v>0.19999999999999996</v>
      </c>
      <c r="K108" s="183">
        <f t="shared" si="2"/>
        <v>119.55010416666671</v>
      </c>
      <c r="L108" s="183">
        <f t="shared" si="2"/>
        <v>23.431250000000002</v>
      </c>
      <c r="M108" s="183">
        <f t="shared" si="2"/>
        <v>65.627708333333302</v>
      </c>
      <c r="N108" s="183">
        <f t="shared" si="2"/>
        <v>91.122916666666654</v>
      </c>
      <c r="O108" s="183">
        <f t="shared" si="2"/>
        <v>0</v>
      </c>
      <c r="P108" s="183">
        <f t="shared" si="2"/>
        <v>0.81416666666666737</v>
      </c>
      <c r="Q108" s="183">
        <f t="shared" si="2"/>
        <v>4.3693750000000016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4.0912441326119291</v>
      </c>
      <c r="C109" s="183">
        <f t="shared" ref="C109:Q109" si="3">STDEV(C9:C104)</f>
        <v>8.1620035534529656</v>
      </c>
      <c r="D109" s="183">
        <f t="shared" si="3"/>
        <v>7.1329004459567615</v>
      </c>
      <c r="E109" s="183">
        <f t="shared" si="3"/>
        <v>9.7630086474855169</v>
      </c>
      <c r="F109" s="183">
        <f t="shared" si="3"/>
        <v>14.584859994275964</v>
      </c>
      <c r="G109" s="183">
        <f t="shared" si="3"/>
        <v>20.514707624930907</v>
      </c>
      <c r="H109" s="183">
        <f t="shared" si="3"/>
        <v>5.1282475194373838</v>
      </c>
      <c r="I109" s="183">
        <f t="shared" si="3"/>
        <v>1.047635888058138</v>
      </c>
      <c r="J109" s="183">
        <f t="shared" si="3"/>
        <v>0.1131091694361086</v>
      </c>
      <c r="K109" s="183">
        <f t="shared" si="3"/>
        <v>68.976234679165671</v>
      </c>
      <c r="L109" s="183">
        <f t="shared" si="3"/>
        <v>3.6154432646634294</v>
      </c>
      <c r="M109" s="183">
        <f t="shared" si="3"/>
        <v>14.864584012036195</v>
      </c>
      <c r="N109" s="183">
        <f t="shared" si="3"/>
        <v>144.66937367606371</v>
      </c>
      <c r="O109" s="183">
        <f t="shared" si="3"/>
        <v>0</v>
      </c>
      <c r="P109" s="183">
        <f t="shared" si="3"/>
        <v>0.11641727730942626</v>
      </c>
      <c r="Q109" s="183">
        <f t="shared" si="3"/>
        <v>0.16285487566021073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26/11/2023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s="11" customFormat="1">
      <c r="A9" s="6" t="s">
        <v>2639</v>
      </c>
      <c r="B9" s="189">
        <v>12.26</v>
      </c>
      <c r="C9" s="189">
        <v>29.8</v>
      </c>
      <c r="D9" s="189">
        <v>26.75</v>
      </c>
      <c r="E9" s="189">
        <v>7.92</v>
      </c>
      <c r="F9" s="189">
        <v>2.9</v>
      </c>
      <c r="G9" s="189">
        <v>111.67</v>
      </c>
      <c r="H9" s="189">
        <v>47.8</v>
      </c>
      <c r="I9" s="189">
        <v>7.06</v>
      </c>
      <c r="J9" s="189">
        <v>0.11</v>
      </c>
      <c r="K9" s="189">
        <v>117.14</v>
      </c>
      <c r="L9" s="189">
        <v>20.12</v>
      </c>
      <c r="M9" s="189">
        <v>74.260000000000005</v>
      </c>
      <c r="N9" s="189">
        <v>0</v>
      </c>
      <c r="O9" s="189">
        <v>0</v>
      </c>
      <c r="P9" s="189">
        <v>0.86</v>
      </c>
      <c r="Q9" s="190">
        <v>4.57</v>
      </c>
    </row>
    <row r="10" spans="1:21" s="11" customFormat="1">
      <c r="A10" s="6" t="s">
        <v>2640</v>
      </c>
      <c r="B10" s="189">
        <v>12.08</v>
      </c>
      <c r="C10" s="189">
        <v>30.53</v>
      </c>
      <c r="D10" s="189">
        <v>26.99</v>
      </c>
      <c r="E10" s="189">
        <v>8.0299999999999994</v>
      </c>
      <c r="F10" s="189">
        <v>2.78</v>
      </c>
      <c r="G10" s="189">
        <v>106.04</v>
      </c>
      <c r="H10" s="189">
        <v>46.88</v>
      </c>
      <c r="I10" s="189">
        <v>6.98</v>
      </c>
      <c r="J10" s="189">
        <v>0.06</v>
      </c>
      <c r="K10" s="189">
        <v>141.41999999999999</v>
      </c>
      <c r="L10" s="189">
        <v>19.88</v>
      </c>
      <c r="M10" s="189">
        <v>75.819999999999993</v>
      </c>
      <c r="N10" s="189">
        <v>0</v>
      </c>
      <c r="O10" s="189">
        <v>0</v>
      </c>
      <c r="P10" s="189">
        <v>0.85</v>
      </c>
      <c r="Q10" s="190">
        <v>4.53</v>
      </c>
    </row>
    <row r="11" spans="1:21" s="11" customFormat="1">
      <c r="A11" s="6" t="s">
        <v>2641</v>
      </c>
      <c r="B11" s="189">
        <v>12.01</v>
      </c>
      <c r="C11" s="189">
        <v>29.29</v>
      </c>
      <c r="D11" s="189">
        <v>26.28</v>
      </c>
      <c r="E11" s="189">
        <v>7.54</v>
      </c>
      <c r="F11" s="189">
        <v>2.94</v>
      </c>
      <c r="G11" s="189">
        <v>104.91</v>
      </c>
      <c r="H11" s="189">
        <v>46.88</v>
      </c>
      <c r="I11" s="189">
        <v>6.85</v>
      </c>
      <c r="J11" s="189">
        <v>0.11</v>
      </c>
      <c r="K11" s="189">
        <v>96.27</v>
      </c>
      <c r="L11" s="189">
        <v>19.59</v>
      </c>
      <c r="M11" s="189">
        <v>77.61</v>
      </c>
      <c r="N11" s="189">
        <v>0</v>
      </c>
      <c r="O11" s="189">
        <v>0</v>
      </c>
      <c r="P11" s="189">
        <v>0.83</v>
      </c>
      <c r="Q11" s="190">
        <v>4.5199999999999996</v>
      </c>
    </row>
    <row r="12" spans="1:21" s="11" customFormat="1">
      <c r="A12" s="6" t="s">
        <v>2642</v>
      </c>
      <c r="B12" s="189">
        <v>12.06</v>
      </c>
      <c r="C12" s="189">
        <v>29.23</v>
      </c>
      <c r="D12" s="189">
        <v>26.3</v>
      </c>
      <c r="E12" s="189">
        <v>7.34</v>
      </c>
      <c r="F12" s="189">
        <v>2.72</v>
      </c>
      <c r="G12" s="189">
        <v>104.91</v>
      </c>
      <c r="H12" s="189">
        <v>46.88</v>
      </c>
      <c r="I12" s="189">
        <v>6.78</v>
      </c>
      <c r="J12" s="189">
        <v>0.16</v>
      </c>
      <c r="K12" s="189">
        <v>155.68</v>
      </c>
      <c r="L12" s="189">
        <v>19.5</v>
      </c>
      <c r="M12" s="189">
        <v>78.78</v>
      </c>
      <c r="N12" s="189">
        <v>0</v>
      </c>
      <c r="O12" s="189">
        <v>0</v>
      </c>
      <c r="P12" s="189">
        <v>0.82</v>
      </c>
      <c r="Q12" s="190">
        <v>4.49</v>
      </c>
    </row>
    <row r="13" spans="1:21" s="11" customFormat="1">
      <c r="A13" s="6" t="s">
        <v>2643</v>
      </c>
      <c r="B13" s="189">
        <v>11.76</v>
      </c>
      <c r="C13" s="189">
        <v>27.63</v>
      </c>
      <c r="D13" s="189">
        <v>25.22</v>
      </c>
      <c r="E13" s="189">
        <v>7.22</v>
      </c>
      <c r="F13" s="189">
        <v>2.98</v>
      </c>
      <c r="G13" s="189">
        <v>104.91</v>
      </c>
      <c r="H13" s="189">
        <v>46.88</v>
      </c>
      <c r="I13" s="189">
        <v>6.69</v>
      </c>
      <c r="J13" s="189">
        <v>0.06</v>
      </c>
      <c r="K13" s="189">
        <v>199.76</v>
      </c>
      <c r="L13" s="189">
        <v>19.43</v>
      </c>
      <c r="M13" s="189">
        <v>80.569999999999993</v>
      </c>
      <c r="N13" s="189">
        <v>0</v>
      </c>
      <c r="O13" s="189">
        <v>0</v>
      </c>
      <c r="P13" s="189">
        <v>0.8</v>
      </c>
      <c r="Q13" s="190">
        <v>4.5</v>
      </c>
    </row>
    <row r="14" spans="1:21" s="11" customFormat="1">
      <c r="A14" s="6" t="s">
        <v>2644</v>
      </c>
      <c r="B14" s="189">
        <v>11.17</v>
      </c>
      <c r="C14" s="189">
        <v>27.32</v>
      </c>
      <c r="D14" s="189">
        <v>24.58</v>
      </c>
      <c r="E14" s="189">
        <v>6.95</v>
      </c>
      <c r="F14" s="189">
        <v>2.8</v>
      </c>
      <c r="G14" s="189">
        <v>92.14</v>
      </c>
      <c r="H14" s="189">
        <v>45.63</v>
      </c>
      <c r="I14" s="189">
        <v>6.64</v>
      </c>
      <c r="J14" s="189">
        <v>0.32</v>
      </c>
      <c r="K14" s="189">
        <v>283.36</v>
      </c>
      <c r="L14" s="189">
        <v>18.72</v>
      </c>
      <c r="M14" s="189">
        <v>83.52</v>
      </c>
      <c r="N14" s="189">
        <v>0</v>
      </c>
      <c r="O14" s="189">
        <v>0</v>
      </c>
      <c r="P14" s="189">
        <v>0.79</v>
      </c>
      <c r="Q14" s="190">
        <v>4.47</v>
      </c>
    </row>
    <row r="15" spans="1:21" s="11" customFormat="1">
      <c r="A15" s="6" t="s">
        <v>2645</v>
      </c>
      <c r="B15" s="189">
        <v>10.9</v>
      </c>
      <c r="C15" s="189">
        <v>27.1</v>
      </c>
      <c r="D15" s="189">
        <v>24.25</v>
      </c>
      <c r="E15" s="189">
        <v>7.32</v>
      </c>
      <c r="F15" s="189">
        <v>2.65</v>
      </c>
      <c r="G15" s="189">
        <v>89.58</v>
      </c>
      <c r="H15" s="189">
        <v>45.63</v>
      </c>
      <c r="I15" s="189">
        <v>6.56</v>
      </c>
      <c r="J15" s="189">
        <v>0.2</v>
      </c>
      <c r="K15" s="189">
        <v>271.62</v>
      </c>
      <c r="L15" s="189">
        <v>18.46</v>
      </c>
      <c r="M15" s="189">
        <v>83.72</v>
      </c>
      <c r="N15" s="189">
        <v>0</v>
      </c>
      <c r="O15" s="189">
        <v>0</v>
      </c>
      <c r="P15" s="189">
        <v>0.8</v>
      </c>
      <c r="Q15" s="190">
        <v>4.45</v>
      </c>
    </row>
    <row r="16" spans="1:21" s="11" customFormat="1">
      <c r="A16" s="6" t="s">
        <v>2646</v>
      </c>
      <c r="B16" s="189">
        <v>12.68</v>
      </c>
      <c r="C16" s="189">
        <v>27.11</v>
      </c>
      <c r="D16" s="189">
        <v>25.69</v>
      </c>
      <c r="E16" s="189">
        <v>7.16</v>
      </c>
      <c r="F16" s="189">
        <v>2.63</v>
      </c>
      <c r="G16" s="189">
        <v>89.58</v>
      </c>
      <c r="H16" s="189">
        <v>45.63</v>
      </c>
      <c r="I16" s="189">
        <v>6.46</v>
      </c>
      <c r="J16" s="189">
        <v>0.11</v>
      </c>
      <c r="K16" s="189">
        <v>248.16</v>
      </c>
      <c r="L16" s="189">
        <v>18.48</v>
      </c>
      <c r="M16" s="189">
        <v>83.87</v>
      </c>
      <c r="N16" s="189">
        <v>0</v>
      </c>
      <c r="O16" s="189">
        <v>0</v>
      </c>
      <c r="P16" s="189">
        <v>0.8</v>
      </c>
      <c r="Q16" s="190">
        <v>4.4800000000000004</v>
      </c>
    </row>
    <row r="17" spans="1:17" s="11" customFormat="1">
      <c r="A17" s="6" t="s">
        <v>2647</v>
      </c>
      <c r="B17" s="189">
        <v>15.94</v>
      </c>
      <c r="C17" s="189">
        <v>27.9</v>
      </c>
      <c r="D17" s="189">
        <v>28.71</v>
      </c>
      <c r="E17" s="189">
        <v>7.63</v>
      </c>
      <c r="F17" s="189">
        <v>2.62</v>
      </c>
      <c r="G17" s="189">
        <v>89.58</v>
      </c>
      <c r="H17" s="189">
        <v>45.63</v>
      </c>
      <c r="I17" s="189">
        <v>6.39</v>
      </c>
      <c r="J17" s="189">
        <v>0.21</v>
      </c>
      <c r="K17" s="189">
        <v>335.76</v>
      </c>
      <c r="L17" s="189">
        <v>18.37</v>
      </c>
      <c r="M17" s="189">
        <v>84.83</v>
      </c>
      <c r="N17" s="189">
        <v>0</v>
      </c>
      <c r="O17" s="189">
        <v>0</v>
      </c>
      <c r="P17" s="189">
        <v>0.81</v>
      </c>
      <c r="Q17" s="190">
        <v>4.5599999999999996</v>
      </c>
    </row>
    <row r="18" spans="1:17" s="11" customFormat="1">
      <c r="A18" s="6" t="s">
        <v>2648</v>
      </c>
      <c r="B18" s="189">
        <v>17.600000000000001</v>
      </c>
      <c r="C18" s="189">
        <v>28.44</v>
      </c>
      <c r="D18" s="189">
        <v>30.33</v>
      </c>
      <c r="E18" s="189">
        <v>8.8800000000000008</v>
      </c>
      <c r="F18" s="189">
        <v>2.5099999999999998</v>
      </c>
      <c r="G18" s="189">
        <v>96.15</v>
      </c>
      <c r="H18" s="189">
        <v>44.17</v>
      </c>
      <c r="I18" s="189">
        <v>6.36</v>
      </c>
      <c r="J18" s="189">
        <v>0.28000000000000003</v>
      </c>
      <c r="K18" s="189">
        <v>34.17</v>
      </c>
      <c r="L18" s="189">
        <v>18.45</v>
      </c>
      <c r="M18" s="189">
        <v>83.23</v>
      </c>
      <c r="N18" s="189">
        <v>0</v>
      </c>
      <c r="O18" s="189">
        <v>0</v>
      </c>
      <c r="P18" s="189">
        <v>0.81</v>
      </c>
      <c r="Q18" s="190">
        <v>4.63</v>
      </c>
    </row>
    <row r="19" spans="1:17" s="11" customFormat="1">
      <c r="A19" s="6" t="s">
        <v>2649</v>
      </c>
      <c r="B19" s="189">
        <v>17.579999999999998</v>
      </c>
      <c r="C19" s="189">
        <v>27.94</v>
      </c>
      <c r="D19" s="189">
        <v>30.04</v>
      </c>
      <c r="E19" s="189">
        <v>9.06</v>
      </c>
      <c r="F19" s="189">
        <v>2.78</v>
      </c>
      <c r="G19" s="189">
        <v>97.46</v>
      </c>
      <c r="H19" s="189">
        <v>44.17</v>
      </c>
      <c r="I19" s="189">
        <v>6.38</v>
      </c>
      <c r="J19" s="189">
        <v>0.15</v>
      </c>
      <c r="K19" s="189">
        <v>43.12</v>
      </c>
      <c r="L19" s="189">
        <v>18.53</v>
      </c>
      <c r="M19" s="189">
        <v>82.21</v>
      </c>
      <c r="N19" s="189">
        <v>0</v>
      </c>
      <c r="O19" s="189">
        <v>0</v>
      </c>
      <c r="P19" s="189">
        <v>0.81</v>
      </c>
      <c r="Q19" s="190">
        <v>4.62</v>
      </c>
    </row>
    <row r="20" spans="1:17" s="11" customFormat="1">
      <c r="A20" s="6" t="s">
        <v>2650</v>
      </c>
      <c r="B20" s="189">
        <v>17.440000000000001</v>
      </c>
      <c r="C20" s="189">
        <v>27.69</v>
      </c>
      <c r="D20" s="189">
        <v>29.8</v>
      </c>
      <c r="E20" s="189">
        <v>9.5299999999999994</v>
      </c>
      <c r="F20" s="189">
        <v>2.66</v>
      </c>
      <c r="G20" s="189">
        <v>97.46</v>
      </c>
      <c r="H20" s="189">
        <v>44.17</v>
      </c>
      <c r="I20" s="189">
        <v>6.45</v>
      </c>
      <c r="J20" s="189">
        <v>0.22</v>
      </c>
      <c r="K20" s="189">
        <v>40.86</v>
      </c>
      <c r="L20" s="189">
        <v>18.36</v>
      </c>
      <c r="M20" s="189">
        <v>82.94</v>
      </c>
      <c r="N20" s="189">
        <v>0</v>
      </c>
      <c r="O20" s="189">
        <v>0</v>
      </c>
      <c r="P20" s="189">
        <v>0.8</v>
      </c>
      <c r="Q20" s="190">
        <v>4.63</v>
      </c>
    </row>
    <row r="21" spans="1:17" s="11" customFormat="1">
      <c r="A21" s="6" t="s">
        <v>2651</v>
      </c>
      <c r="B21" s="189">
        <v>17.04</v>
      </c>
      <c r="C21" s="189">
        <v>27.71</v>
      </c>
      <c r="D21" s="189">
        <v>29.49</v>
      </c>
      <c r="E21" s="189">
        <v>8.61</v>
      </c>
      <c r="F21" s="189">
        <v>2.5499999999999998</v>
      </c>
      <c r="G21" s="189">
        <v>97.46</v>
      </c>
      <c r="H21" s="189">
        <v>44.17</v>
      </c>
      <c r="I21" s="189">
        <v>6.43</v>
      </c>
      <c r="J21" s="189">
        <v>0.26</v>
      </c>
      <c r="K21" s="189">
        <v>38.33</v>
      </c>
      <c r="L21" s="189">
        <v>18.27</v>
      </c>
      <c r="M21" s="189">
        <v>82.95</v>
      </c>
      <c r="N21" s="189">
        <v>0</v>
      </c>
      <c r="O21" s="189">
        <v>0</v>
      </c>
      <c r="P21" s="189">
        <v>0.81</v>
      </c>
      <c r="Q21" s="190">
        <v>4.6100000000000003</v>
      </c>
    </row>
    <row r="22" spans="1:17" s="11" customFormat="1">
      <c r="A22" s="6" t="s">
        <v>2652</v>
      </c>
      <c r="B22" s="189">
        <v>17.190000000000001</v>
      </c>
      <c r="C22" s="189">
        <v>27.26</v>
      </c>
      <c r="D22" s="189">
        <v>29.38</v>
      </c>
      <c r="E22" s="189">
        <v>8.2200000000000006</v>
      </c>
      <c r="F22" s="189">
        <v>2.57</v>
      </c>
      <c r="G22" s="189">
        <v>110.28</v>
      </c>
      <c r="H22" s="189">
        <v>44.64</v>
      </c>
      <c r="I22" s="189">
        <v>6.41</v>
      </c>
      <c r="J22" s="189">
        <v>0.34</v>
      </c>
      <c r="K22" s="189">
        <v>38.39</v>
      </c>
      <c r="L22" s="189">
        <v>18.27</v>
      </c>
      <c r="M22" s="189">
        <v>82.26</v>
      </c>
      <c r="N22" s="189">
        <v>0</v>
      </c>
      <c r="O22" s="189">
        <v>0</v>
      </c>
      <c r="P22" s="189">
        <v>0.81</v>
      </c>
      <c r="Q22" s="190">
        <v>4.62</v>
      </c>
    </row>
    <row r="23" spans="1:17" s="11" customFormat="1">
      <c r="A23" s="6" t="s">
        <v>2653</v>
      </c>
      <c r="B23" s="189">
        <v>17.53</v>
      </c>
      <c r="C23" s="189">
        <v>27.45</v>
      </c>
      <c r="D23" s="189">
        <v>29.75</v>
      </c>
      <c r="E23" s="189">
        <v>8.8699999999999992</v>
      </c>
      <c r="F23" s="189">
        <v>2.59</v>
      </c>
      <c r="G23" s="189">
        <v>112.84</v>
      </c>
      <c r="H23" s="189">
        <v>44.64</v>
      </c>
      <c r="I23" s="189">
        <v>6.46</v>
      </c>
      <c r="J23" s="189">
        <v>0.28999999999999998</v>
      </c>
      <c r="K23" s="189">
        <v>43.36</v>
      </c>
      <c r="L23" s="189">
        <v>18.14</v>
      </c>
      <c r="M23" s="189">
        <v>83.23</v>
      </c>
      <c r="N23" s="189">
        <v>0</v>
      </c>
      <c r="O23" s="189">
        <v>0</v>
      </c>
      <c r="P23" s="189">
        <v>0.83</v>
      </c>
      <c r="Q23" s="190">
        <v>4.6399999999999997</v>
      </c>
    </row>
    <row r="24" spans="1:17" s="11" customFormat="1">
      <c r="A24" s="6" t="s">
        <v>2654</v>
      </c>
      <c r="B24" s="189">
        <v>17.68</v>
      </c>
      <c r="C24" s="189">
        <v>27.43</v>
      </c>
      <c r="D24" s="189">
        <v>29.86</v>
      </c>
      <c r="E24" s="189">
        <v>8.6</v>
      </c>
      <c r="F24" s="189">
        <v>2.6</v>
      </c>
      <c r="G24" s="189">
        <v>112.84</v>
      </c>
      <c r="H24" s="189">
        <v>44.64</v>
      </c>
      <c r="I24" s="189">
        <v>6.52</v>
      </c>
      <c r="J24" s="189">
        <v>0.24</v>
      </c>
      <c r="K24" s="189">
        <v>43.97</v>
      </c>
      <c r="L24" s="189">
        <v>18.04</v>
      </c>
      <c r="M24" s="189">
        <v>83.62</v>
      </c>
      <c r="N24" s="189">
        <v>0</v>
      </c>
      <c r="O24" s="189">
        <v>0</v>
      </c>
      <c r="P24" s="189">
        <v>0.84</v>
      </c>
      <c r="Q24" s="190">
        <v>4.6500000000000004</v>
      </c>
    </row>
    <row r="25" spans="1:17" s="11" customFormat="1">
      <c r="A25" s="6" t="s">
        <v>2655</v>
      </c>
      <c r="B25" s="189">
        <v>18.010000000000002</v>
      </c>
      <c r="C25" s="189">
        <v>27.13</v>
      </c>
      <c r="D25" s="189">
        <v>29.97</v>
      </c>
      <c r="E25" s="189">
        <v>9.15</v>
      </c>
      <c r="F25" s="189">
        <v>2.67</v>
      </c>
      <c r="G25" s="189">
        <v>112.84</v>
      </c>
      <c r="H25" s="189">
        <v>44.64</v>
      </c>
      <c r="I25" s="189">
        <v>6.62</v>
      </c>
      <c r="J25" s="189">
        <v>0.19</v>
      </c>
      <c r="K25" s="189">
        <v>56.3</v>
      </c>
      <c r="L25" s="189">
        <v>18.010000000000002</v>
      </c>
      <c r="M25" s="189">
        <v>83.16</v>
      </c>
      <c r="N25" s="189">
        <v>0</v>
      </c>
      <c r="O25" s="189">
        <v>0</v>
      </c>
      <c r="P25" s="189">
        <v>0.84</v>
      </c>
      <c r="Q25" s="190">
        <v>4.6399999999999997</v>
      </c>
    </row>
    <row r="26" spans="1:17" s="11" customFormat="1">
      <c r="A26" s="6" t="s">
        <v>2656</v>
      </c>
      <c r="B26" s="189">
        <v>18.239999999999998</v>
      </c>
      <c r="C26" s="189">
        <v>27.36</v>
      </c>
      <c r="D26" s="189">
        <v>30.27</v>
      </c>
      <c r="E26" s="189">
        <v>9.06</v>
      </c>
      <c r="F26" s="189">
        <v>2.62</v>
      </c>
      <c r="G26" s="189">
        <v>121.46</v>
      </c>
      <c r="H26" s="189">
        <v>47.42</v>
      </c>
      <c r="I26" s="189">
        <v>6.69</v>
      </c>
      <c r="J26" s="189">
        <v>0.27</v>
      </c>
      <c r="K26" s="189">
        <v>35.130000000000003</v>
      </c>
      <c r="L26" s="189">
        <v>17.84</v>
      </c>
      <c r="M26" s="189">
        <v>83.67</v>
      </c>
      <c r="N26" s="189">
        <v>0</v>
      </c>
      <c r="O26" s="189">
        <v>0</v>
      </c>
      <c r="P26" s="189">
        <v>0.85</v>
      </c>
      <c r="Q26" s="190">
        <v>4.6399999999999997</v>
      </c>
    </row>
    <row r="27" spans="1:17" s="11" customFormat="1">
      <c r="A27" s="6" t="s">
        <v>2657</v>
      </c>
      <c r="B27" s="189">
        <v>18.170000000000002</v>
      </c>
      <c r="C27" s="189">
        <v>26.98</v>
      </c>
      <c r="D27" s="189">
        <v>30.02</v>
      </c>
      <c r="E27" s="189">
        <v>9.17</v>
      </c>
      <c r="F27" s="189">
        <v>2.56</v>
      </c>
      <c r="G27" s="189">
        <v>123.19</v>
      </c>
      <c r="H27" s="189">
        <v>47.42</v>
      </c>
      <c r="I27" s="189">
        <v>6.75</v>
      </c>
      <c r="J27" s="189">
        <v>0.34</v>
      </c>
      <c r="K27" s="189">
        <v>46.09</v>
      </c>
      <c r="L27" s="189">
        <v>17.82</v>
      </c>
      <c r="M27" s="189">
        <v>82.04</v>
      </c>
      <c r="N27" s="189">
        <v>0</v>
      </c>
      <c r="O27" s="189">
        <v>0</v>
      </c>
      <c r="P27" s="189">
        <v>0.84</v>
      </c>
      <c r="Q27" s="190">
        <v>4.66</v>
      </c>
    </row>
    <row r="28" spans="1:17" s="11" customFormat="1">
      <c r="A28" s="6" t="s">
        <v>2658</v>
      </c>
      <c r="B28" s="189">
        <v>18.149999999999999</v>
      </c>
      <c r="C28" s="189">
        <v>27.21</v>
      </c>
      <c r="D28" s="189">
        <v>30.12</v>
      </c>
      <c r="E28" s="189">
        <v>8.98</v>
      </c>
      <c r="F28" s="189">
        <v>2.81</v>
      </c>
      <c r="G28" s="189">
        <v>123.19</v>
      </c>
      <c r="H28" s="189">
        <v>47.42</v>
      </c>
      <c r="I28" s="189">
        <v>6.76</v>
      </c>
      <c r="J28" s="189">
        <v>0.41</v>
      </c>
      <c r="K28" s="189">
        <v>45.56</v>
      </c>
      <c r="L28" s="189">
        <v>17.940000000000001</v>
      </c>
      <c r="M28" s="189">
        <v>81.489999999999995</v>
      </c>
      <c r="N28" s="189">
        <v>0</v>
      </c>
      <c r="O28" s="189">
        <v>0</v>
      </c>
      <c r="P28" s="189">
        <v>0.84</v>
      </c>
      <c r="Q28" s="190">
        <v>4.68</v>
      </c>
    </row>
    <row r="29" spans="1:17" s="11" customFormat="1">
      <c r="A29" s="6" t="s">
        <v>2659</v>
      </c>
      <c r="B29" s="189">
        <v>18.32</v>
      </c>
      <c r="C29" s="189">
        <v>27.82</v>
      </c>
      <c r="D29" s="189">
        <v>30.58</v>
      </c>
      <c r="E29" s="189">
        <v>8.6199999999999992</v>
      </c>
      <c r="F29" s="189">
        <v>2.91</v>
      </c>
      <c r="G29" s="189">
        <v>123.19</v>
      </c>
      <c r="H29" s="189">
        <v>47.42</v>
      </c>
      <c r="I29" s="189">
        <v>6.76</v>
      </c>
      <c r="J29" s="189">
        <v>0.26</v>
      </c>
      <c r="K29" s="189">
        <v>61.4</v>
      </c>
      <c r="L29" s="189">
        <v>17.91</v>
      </c>
      <c r="M29" s="189">
        <v>83.71</v>
      </c>
      <c r="N29" s="189">
        <v>0</v>
      </c>
      <c r="O29" s="189">
        <v>0</v>
      </c>
      <c r="P29" s="189">
        <v>0.84</v>
      </c>
      <c r="Q29" s="190">
        <v>4.67</v>
      </c>
    </row>
    <row r="30" spans="1:17" s="11" customFormat="1">
      <c r="A30" s="6" t="s">
        <v>2660</v>
      </c>
      <c r="B30" s="189">
        <v>18.27</v>
      </c>
      <c r="C30" s="189">
        <v>28.08</v>
      </c>
      <c r="D30" s="189">
        <v>30.67</v>
      </c>
      <c r="E30" s="189">
        <v>8.18</v>
      </c>
      <c r="F30" s="189">
        <v>2.78</v>
      </c>
      <c r="G30" s="189">
        <v>116.42</v>
      </c>
      <c r="H30" s="189">
        <v>47.55</v>
      </c>
      <c r="I30" s="189">
        <v>6.78</v>
      </c>
      <c r="J30" s="189">
        <v>0.09</v>
      </c>
      <c r="K30" s="189">
        <v>126.67</v>
      </c>
      <c r="L30" s="189">
        <v>17.82</v>
      </c>
      <c r="M30" s="189">
        <v>84.74</v>
      </c>
      <c r="N30" s="189">
        <v>0</v>
      </c>
      <c r="O30" s="189">
        <v>0</v>
      </c>
      <c r="P30" s="189">
        <v>0.85</v>
      </c>
      <c r="Q30" s="190">
        <v>4.67</v>
      </c>
    </row>
    <row r="31" spans="1:17" s="11" customFormat="1">
      <c r="A31" s="6" t="s">
        <v>2661</v>
      </c>
      <c r="B31" s="189">
        <v>17.68</v>
      </c>
      <c r="C31" s="189">
        <v>27.82</v>
      </c>
      <c r="D31" s="189">
        <v>30.07</v>
      </c>
      <c r="E31" s="189">
        <v>8.48</v>
      </c>
      <c r="F31" s="189">
        <v>2.81</v>
      </c>
      <c r="G31" s="189">
        <v>115.07</v>
      </c>
      <c r="H31" s="189">
        <v>47.55</v>
      </c>
      <c r="I31" s="189">
        <v>6.75</v>
      </c>
      <c r="J31" s="189">
        <v>0.16</v>
      </c>
      <c r="K31" s="189">
        <v>153.74</v>
      </c>
      <c r="L31" s="189">
        <v>17.77</v>
      </c>
      <c r="M31" s="189">
        <v>84.58</v>
      </c>
      <c r="N31" s="189">
        <v>0</v>
      </c>
      <c r="O31" s="189">
        <v>0</v>
      </c>
      <c r="P31" s="189">
        <v>0.84</v>
      </c>
      <c r="Q31" s="190">
        <v>4.6500000000000004</v>
      </c>
    </row>
    <row r="32" spans="1:17" s="11" customFormat="1">
      <c r="A32" s="6" t="s">
        <v>2662</v>
      </c>
      <c r="B32" s="189">
        <v>16.91</v>
      </c>
      <c r="C32" s="189">
        <v>27.53</v>
      </c>
      <c r="D32" s="189">
        <v>29.29</v>
      </c>
      <c r="E32" s="189">
        <v>8.4499999999999993</v>
      </c>
      <c r="F32" s="189">
        <v>2.86</v>
      </c>
      <c r="G32" s="189">
        <v>115.07</v>
      </c>
      <c r="H32" s="189">
        <v>47.55</v>
      </c>
      <c r="I32" s="189">
        <v>6.76</v>
      </c>
      <c r="J32" s="189">
        <v>0.13</v>
      </c>
      <c r="K32" s="189">
        <v>157.49</v>
      </c>
      <c r="L32" s="189">
        <v>17.95</v>
      </c>
      <c r="M32" s="189">
        <v>82.96</v>
      </c>
      <c r="N32" s="189">
        <v>0</v>
      </c>
      <c r="O32" s="189">
        <v>0</v>
      </c>
      <c r="P32" s="189">
        <v>0.83</v>
      </c>
      <c r="Q32" s="190">
        <v>4.66</v>
      </c>
    </row>
    <row r="33" spans="1:17" s="11" customFormat="1">
      <c r="A33" s="6" t="s">
        <v>2663</v>
      </c>
      <c r="B33" s="189">
        <v>16.13</v>
      </c>
      <c r="C33" s="189">
        <v>27.07</v>
      </c>
      <c r="D33" s="189">
        <v>28.43</v>
      </c>
      <c r="E33" s="189">
        <v>7.96</v>
      </c>
      <c r="F33" s="189">
        <v>2.66</v>
      </c>
      <c r="G33" s="189">
        <v>115.07</v>
      </c>
      <c r="H33" s="189">
        <v>47.55</v>
      </c>
      <c r="I33" s="189">
        <v>6.76</v>
      </c>
      <c r="J33" s="189">
        <v>0.14000000000000001</v>
      </c>
      <c r="K33" s="189">
        <v>117.19</v>
      </c>
      <c r="L33" s="189">
        <v>18.059999999999999</v>
      </c>
      <c r="M33" s="189">
        <v>84.03</v>
      </c>
      <c r="N33" s="189">
        <v>0</v>
      </c>
      <c r="O33" s="189">
        <v>0</v>
      </c>
      <c r="P33" s="189">
        <v>0.83</v>
      </c>
      <c r="Q33" s="190">
        <v>4.62</v>
      </c>
    </row>
    <row r="34" spans="1:17" s="11" customFormat="1">
      <c r="A34" s="6" t="s">
        <v>2664</v>
      </c>
      <c r="B34" s="189">
        <v>15.38</v>
      </c>
      <c r="C34" s="189">
        <v>27.66</v>
      </c>
      <c r="D34" s="189">
        <v>28.14</v>
      </c>
      <c r="E34" s="189">
        <v>8.25</v>
      </c>
      <c r="F34" s="189">
        <v>2.61</v>
      </c>
      <c r="G34" s="189">
        <v>106.9</v>
      </c>
      <c r="H34" s="189">
        <v>43.98</v>
      </c>
      <c r="I34" s="189">
        <v>6.74</v>
      </c>
      <c r="J34" s="189">
        <v>0.12</v>
      </c>
      <c r="K34" s="189">
        <v>134.31</v>
      </c>
      <c r="L34" s="189">
        <v>18.11</v>
      </c>
      <c r="M34" s="189">
        <v>81.069999999999993</v>
      </c>
      <c r="N34" s="189">
        <v>0.1</v>
      </c>
      <c r="O34" s="189">
        <v>0</v>
      </c>
      <c r="P34" s="189">
        <v>0.82</v>
      </c>
      <c r="Q34" s="190">
        <v>4.59</v>
      </c>
    </row>
    <row r="35" spans="1:17" s="11" customFormat="1">
      <c r="A35" s="6" t="s">
        <v>2665</v>
      </c>
      <c r="B35" s="189">
        <v>14.69</v>
      </c>
      <c r="C35" s="189">
        <v>27.34</v>
      </c>
      <c r="D35" s="189">
        <v>27.41</v>
      </c>
      <c r="E35" s="189">
        <v>8.08</v>
      </c>
      <c r="F35" s="189">
        <v>2.75</v>
      </c>
      <c r="G35" s="189">
        <v>105.26</v>
      </c>
      <c r="H35" s="189">
        <v>43.98</v>
      </c>
      <c r="I35" s="189">
        <v>6.7</v>
      </c>
      <c r="J35" s="189">
        <v>0.11</v>
      </c>
      <c r="K35" s="189">
        <v>153.82</v>
      </c>
      <c r="L35" s="189">
        <v>18.260000000000002</v>
      </c>
      <c r="M35" s="189">
        <v>79.72</v>
      </c>
      <c r="N35" s="189">
        <v>5.4</v>
      </c>
      <c r="O35" s="189">
        <v>0</v>
      </c>
      <c r="P35" s="189">
        <v>0.82</v>
      </c>
      <c r="Q35" s="190">
        <v>4.55</v>
      </c>
    </row>
    <row r="36" spans="1:17" s="11" customFormat="1">
      <c r="A36" s="6" t="s">
        <v>2666</v>
      </c>
      <c r="B36" s="189">
        <v>13.79</v>
      </c>
      <c r="C36" s="189">
        <v>27.3</v>
      </c>
      <c r="D36" s="189">
        <v>26.67</v>
      </c>
      <c r="E36" s="189">
        <v>8.5299999999999994</v>
      </c>
      <c r="F36" s="189">
        <v>2.8</v>
      </c>
      <c r="G36" s="189">
        <v>105.26</v>
      </c>
      <c r="H36" s="189">
        <v>43.98</v>
      </c>
      <c r="I36" s="189">
        <v>6.75</v>
      </c>
      <c r="J36" s="189">
        <v>0.04</v>
      </c>
      <c r="K36" s="189">
        <v>199.12</v>
      </c>
      <c r="L36" s="189">
        <v>18.18</v>
      </c>
      <c r="M36" s="189">
        <v>82.18</v>
      </c>
      <c r="N36" s="189">
        <v>16.2</v>
      </c>
      <c r="O36" s="189">
        <v>0</v>
      </c>
      <c r="P36" s="189">
        <v>0.81</v>
      </c>
      <c r="Q36" s="190">
        <v>4.55</v>
      </c>
    </row>
    <row r="37" spans="1:17" s="11" customFormat="1">
      <c r="A37" s="6" t="s">
        <v>2667</v>
      </c>
      <c r="B37" s="189">
        <v>13.14</v>
      </c>
      <c r="C37" s="189">
        <v>27.17</v>
      </c>
      <c r="D37" s="189">
        <v>26.08</v>
      </c>
      <c r="E37" s="189">
        <v>8.16</v>
      </c>
      <c r="F37" s="189">
        <v>2.75</v>
      </c>
      <c r="G37" s="189">
        <v>105.26</v>
      </c>
      <c r="H37" s="189">
        <v>43.98</v>
      </c>
      <c r="I37" s="189">
        <v>6.7</v>
      </c>
      <c r="J37" s="189">
        <v>0.26</v>
      </c>
      <c r="K37" s="189">
        <v>65.2</v>
      </c>
      <c r="L37" s="189">
        <v>18.489999999999998</v>
      </c>
      <c r="M37" s="189">
        <v>80.62</v>
      </c>
      <c r="N37" s="189">
        <v>29.6</v>
      </c>
      <c r="O37" s="189">
        <v>0</v>
      </c>
      <c r="P37" s="189">
        <v>0.81</v>
      </c>
      <c r="Q37" s="190">
        <v>4.5199999999999996</v>
      </c>
    </row>
    <row r="38" spans="1:17" s="11" customFormat="1">
      <c r="A38" s="6" t="s">
        <v>2668</v>
      </c>
      <c r="B38" s="189">
        <v>12.91</v>
      </c>
      <c r="C38" s="189">
        <v>27.95</v>
      </c>
      <c r="D38" s="189">
        <v>26.31</v>
      </c>
      <c r="E38" s="189">
        <v>8.48</v>
      </c>
      <c r="F38" s="189">
        <v>2.68</v>
      </c>
      <c r="G38" s="189">
        <v>100.5</v>
      </c>
      <c r="H38" s="189">
        <v>43.96</v>
      </c>
      <c r="I38" s="189">
        <v>6.67</v>
      </c>
      <c r="J38" s="189">
        <v>0.31</v>
      </c>
      <c r="K38" s="189">
        <v>61.25</v>
      </c>
      <c r="L38" s="189">
        <v>18.920000000000002</v>
      </c>
      <c r="M38" s="189">
        <v>78.97</v>
      </c>
      <c r="N38" s="189">
        <v>44.5</v>
      </c>
      <c r="O38" s="189">
        <v>0</v>
      </c>
      <c r="P38" s="189">
        <v>0.82</v>
      </c>
      <c r="Q38" s="190">
        <v>4.4800000000000004</v>
      </c>
    </row>
    <row r="39" spans="1:17" s="11" customFormat="1">
      <c r="A39" s="6" t="s">
        <v>2669</v>
      </c>
      <c r="B39" s="189">
        <v>12.64</v>
      </c>
      <c r="C39" s="189">
        <v>28.79</v>
      </c>
      <c r="D39" s="189">
        <v>26.53</v>
      </c>
      <c r="E39" s="189">
        <v>8.67</v>
      </c>
      <c r="F39" s="189">
        <v>2.67</v>
      </c>
      <c r="G39" s="189">
        <v>99.54</v>
      </c>
      <c r="H39" s="189">
        <v>43.96</v>
      </c>
      <c r="I39" s="189">
        <v>6.67</v>
      </c>
      <c r="J39" s="189">
        <v>0.3</v>
      </c>
      <c r="K39" s="189">
        <v>61.36</v>
      </c>
      <c r="L39" s="189">
        <v>19.38</v>
      </c>
      <c r="M39" s="189">
        <v>77.77</v>
      </c>
      <c r="N39" s="189">
        <v>64.8</v>
      </c>
      <c r="O39" s="189">
        <v>0</v>
      </c>
      <c r="P39" s="189">
        <v>0.82</v>
      </c>
      <c r="Q39" s="190">
        <v>4.51</v>
      </c>
    </row>
    <row r="40" spans="1:17" s="11" customFormat="1">
      <c r="A40" s="6" t="s">
        <v>2670</v>
      </c>
      <c r="B40" s="189">
        <v>12.33</v>
      </c>
      <c r="C40" s="189">
        <v>29.08</v>
      </c>
      <c r="D40" s="189">
        <v>26.43</v>
      </c>
      <c r="E40" s="189">
        <v>8.84</v>
      </c>
      <c r="F40" s="189">
        <v>2.68</v>
      </c>
      <c r="G40" s="189">
        <v>99.54</v>
      </c>
      <c r="H40" s="189">
        <v>43.96</v>
      </c>
      <c r="I40" s="189">
        <v>6.7</v>
      </c>
      <c r="J40" s="189">
        <v>0.41</v>
      </c>
      <c r="K40" s="189">
        <v>54.28</v>
      </c>
      <c r="L40" s="189">
        <v>19.91</v>
      </c>
      <c r="M40" s="189">
        <v>76.510000000000005</v>
      </c>
      <c r="N40" s="189">
        <v>121.5</v>
      </c>
      <c r="O40" s="189">
        <v>0</v>
      </c>
      <c r="P40" s="189">
        <v>0.82</v>
      </c>
      <c r="Q40" s="190">
        <v>4.5</v>
      </c>
    </row>
    <row r="41" spans="1:17" s="11" customFormat="1">
      <c r="A41" s="6" t="s">
        <v>2671</v>
      </c>
      <c r="B41" s="189">
        <v>12.28</v>
      </c>
      <c r="C41" s="189">
        <v>28.89</v>
      </c>
      <c r="D41" s="189">
        <v>26.29</v>
      </c>
      <c r="E41" s="189">
        <v>8.6300000000000008</v>
      </c>
      <c r="F41" s="189">
        <v>2.79</v>
      </c>
      <c r="G41" s="189">
        <v>99.54</v>
      </c>
      <c r="H41" s="189">
        <v>43.96</v>
      </c>
      <c r="I41" s="189">
        <v>6.71</v>
      </c>
      <c r="J41" s="189">
        <v>0.56000000000000005</v>
      </c>
      <c r="K41" s="189">
        <v>46.33</v>
      </c>
      <c r="L41" s="189">
        <v>20.350000000000001</v>
      </c>
      <c r="M41" s="189">
        <v>76.47</v>
      </c>
      <c r="N41" s="189">
        <v>151</v>
      </c>
      <c r="O41" s="189">
        <v>0</v>
      </c>
      <c r="P41" s="189">
        <v>0.83</v>
      </c>
      <c r="Q41" s="190">
        <v>4.4800000000000004</v>
      </c>
    </row>
    <row r="42" spans="1:17" s="11" customFormat="1">
      <c r="A42" s="6" t="s">
        <v>2672</v>
      </c>
      <c r="B42" s="189">
        <v>12.33</v>
      </c>
      <c r="C42" s="189">
        <v>29.77</v>
      </c>
      <c r="D42" s="189">
        <v>26.79</v>
      </c>
      <c r="E42" s="189">
        <v>8.44</v>
      </c>
      <c r="F42" s="189">
        <v>2.65</v>
      </c>
      <c r="G42" s="189">
        <v>98.2</v>
      </c>
      <c r="H42" s="189">
        <v>44.08</v>
      </c>
      <c r="I42" s="189">
        <v>6.71</v>
      </c>
      <c r="J42" s="189">
        <v>0.5</v>
      </c>
      <c r="K42" s="189">
        <v>59.62</v>
      </c>
      <c r="L42" s="189">
        <v>20.98</v>
      </c>
      <c r="M42" s="189">
        <v>75.06</v>
      </c>
      <c r="N42" s="189">
        <v>182.7</v>
      </c>
      <c r="O42" s="189">
        <v>0</v>
      </c>
      <c r="P42" s="189">
        <v>0.84</v>
      </c>
      <c r="Q42" s="190">
        <v>4.46</v>
      </c>
    </row>
    <row r="43" spans="1:17" s="11" customFormat="1">
      <c r="A43" s="6" t="s">
        <v>2673</v>
      </c>
      <c r="B43" s="189">
        <v>12.08</v>
      </c>
      <c r="C43" s="189">
        <v>29.78</v>
      </c>
      <c r="D43" s="189">
        <v>26.59</v>
      </c>
      <c r="E43" s="189">
        <v>9.0399999999999991</v>
      </c>
      <c r="F43" s="189">
        <v>2.84</v>
      </c>
      <c r="G43" s="189">
        <v>97.93</v>
      </c>
      <c r="H43" s="189">
        <v>44.08</v>
      </c>
      <c r="I43" s="189">
        <v>6.76</v>
      </c>
      <c r="J43" s="189">
        <v>0.43</v>
      </c>
      <c r="K43" s="189">
        <v>65.31</v>
      </c>
      <c r="L43" s="189">
        <v>21.88</v>
      </c>
      <c r="M43" s="189">
        <v>72.89</v>
      </c>
      <c r="N43" s="189">
        <v>211.4</v>
      </c>
      <c r="O43" s="189">
        <v>0</v>
      </c>
      <c r="P43" s="189">
        <v>0.84</v>
      </c>
      <c r="Q43" s="190">
        <v>4.45</v>
      </c>
    </row>
    <row r="44" spans="1:17" s="11" customFormat="1">
      <c r="A44" s="6" t="s">
        <v>2674</v>
      </c>
      <c r="B44" s="189">
        <v>11.51</v>
      </c>
      <c r="C44" s="189">
        <v>29.51</v>
      </c>
      <c r="D44" s="189">
        <v>26</v>
      </c>
      <c r="E44" s="189">
        <v>9.14</v>
      </c>
      <c r="F44" s="189">
        <v>3</v>
      </c>
      <c r="G44" s="189">
        <v>97.93</v>
      </c>
      <c r="H44" s="189">
        <v>44.08</v>
      </c>
      <c r="I44" s="189">
        <v>6.77</v>
      </c>
      <c r="J44" s="189">
        <v>0.38</v>
      </c>
      <c r="K44" s="189">
        <v>67.989999999999995</v>
      </c>
      <c r="L44" s="189">
        <v>22.81</v>
      </c>
      <c r="M44" s="189">
        <v>70.430000000000007</v>
      </c>
      <c r="N44" s="189">
        <v>218.3</v>
      </c>
      <c r="O44" s="189">
        <v>0</v>
      </c>
      <c r="P44" s="189">
        <v>0.84</v>
      </c>
      <c r="Q44" s="190">
        <v>4.47</v>
      </c>
    </row>
    <row r="45" spans="1:17" s="11" customFormat="1">
      <c r="A45" s="6" t="s">
        <v>2675</v>
      </c>
      <c r="B45" s="189">
        <v>11.12</v>
      </c>
      <c r="C45" s="189">
        <v>28.83</v>
      </c>
      <c r="D45" s="189">
        <v>25.33</v>
      </c>
      <c r="E45" s="189">
        <v>8.32</v>
      </c>
      <c r="F45" s="189">
        <v>2.84</v>
      </c>
      <c r="G45" s="189">
        <v>97.93</v>
      </c>
      <c r="H45" s="189">
        <v>44.08</v>
      </c>
      <c r="I45" s="189">
        <v>6.8</v>
      </c>
      <c r="J45" s="189">
        <v>0.44</v>
      </c>
      <c r="K45" s="189">
        <v>48.81</v>
      </c>
      <c r="L45" s="189">
        <v>23.31</v>
      </c>
      <c r="M45" s="189">
        <v>69.7</v>
      </c>
      <c r="N45" s="189">
        <v>186.5</v>
      </c>
      <c r="O45" s="189">
        <v>0</v>
      </c>
      <c r="P45" s="189">
        <v>0.85</v>
      </c>
      <c r="Q45" s="190">
        <v>4.47</v>
      </c>
    </row>
    <row r="46" spans="1:17" s="11" customFormat="1">
      <c r="A46" s="6" t="s">
        <v>2676</v>
      </c>
      <c r="B46" s="189">
        <v>10.95</v>
      </c>
      <c r="C46" s="189">
        <v>28.88</v>
      </c>
      <c r="D46" s="189">
        <v>25.22</v>
      </c>
      <c r="E46" s="189">
        <v>9.15</v>
      </c>
      <c r="F46" s="189">
        <v>2.92</v>
      </c>
      <c r="G46" s="189">
        <v>100.93</v>
      </c>
      <c r="H46" s="189">
        <v>44.18</v>
      </c>
      <c r="I46" s="189">
        <v>6.82</v>
      </c>
      <c r="J46" s="189">
        <v>0.63</v>
      </c>
      <c r="K46" s="189">
        <v>42.49</v>
      </c>
      <c r="L46" s="189">
        <v>23.58</v>
      </c>
      <c r="M46" s="189">
        <v>69.69</v>
      </c>
      <c r="N46" s="189">
        <v>214.2</v>
      </c>
      <c r="O46" s="189">
        <v>0</v>
      </c>
      <c r="P46" s="189">
        <v>0.86</v>
      </c>
      <c r="Q46" s="190">
        <v>4.45</v>
      </c>
    </row>
    <row r="47" spans="1:17" s="11" customFormat="1">
      <c r="A47" s="6" t="s">
        <v>2677</v>
      </c>
      <c r="B47" s="189">
        <v>10.62</v>
      </c>
      <c r="C47" s="189">
        <v>29.45</v>
      </c>
      <c r="D47" s="189">
        <v>25.25</v>
      </c>
      <c r="E47" s="189">
        <v>8.8000000000000007</v>
      </c>
      <c r="F47" s="189">
        <v>2.92</v>
      </c>
      <c r="G47" s="189">
        <v>101.53</v>
      </c>
      <c r="H47" s="189">
        <v>44.18</v>
      </c>
      <c r="I47" s="189">
        <v>6.82</v>
      </c>
      <c r="J47" s="189">
        <v>0.51</v>
      </c>
      <c r="K47" s="189">
        <v>44.86</v>
      </c>
      <c r="L47" s="189">
        <v>24.5</v>
      </c>
      <c r="M47" s="189">
        <v>66.91</v>
      </c>
      <c r="N47" s="189">
        <v>336.2</v>
      </c>
      <c r="O47" s="189">
        <v>0</v>
      </c>
      <c r="P47" s="189">
        <v>0.86</v>
      </c>
      <c r="Q47" s="190">
        <v>4.4400000000000004</v>
      </c>
    </row>
    <row r="48" spans="1:17" s="11" customFormat="1">
      <c r="A48" s="6" t="s">
        <v>2678</v>
      </c>
      <c r="B48" s="189">
        <v>10.38</v>
      </c>
      <c r="C48" s="189">
        <v>30.33</v>
      </c>
      <c r="D48" s="189">
        <v>25.52</v>
      </c>
      <c r="E48" s="189">
        <v>9.36</v>
      </c>
      <c r="F48" s="189">
        <v>2.85</v>
      </c>
      <c r="G48" s="189">
        <v>101.53</v>
      </c>
      <c r="H48" s="189">
        <v>44.18</v>
      </c>
      <c r="I48" s="189">
        <v>6.88</v>
      </c>
      <c r="J48" s="189">
        <v>0.46</v>
      </c>
      <c r="K48" s="189">
        <v>48.15</v>
      </c>
      <c r="L48" s="189">
        <v>24.82</v>
      </c>
      <c r="M48" s="189">
        <v>66.23</v>
      </c>
      <c r="N48" s="189">
        <v>363.3</v>
      </c>
      <c r="O48" s="189">
        <v>0</v>
      </c>
      <c r="P48" s="189">
        <v>0.87</v>
      </c>
      <c r="Q48" s="190">
        <v>4.43</v>
      </c>
    </row>
    <row r="49" spans="1:17" s="11" customFormat="1">
      <c r="A49" s="6" t="s">
        <v>2679</v>
      </c>
      <c r="B49" s="189">
        <v>10.09</v>
      </c>
      <c r="C49" s="189">
        <v>26.67</v>
      </c>
      <c r="D49" s="189">
        <v>23.37</v>
      </c>
      <c r="E49" s="189">
        <v>6.86</v>
      </c>
      <c r="F49" s="189">
        <v>3.3</v>
      </c>
      <c r="G49" s="189">
        <v>101.53</v>
      </c>
      <c r="H49" s="189">
        <v>44.18</v>
      </c>
      <c r="I49" s="189">
        <v>6.92</v>
      </c>
      <c r="J49" s="189">
        <v>0.36</v>
      </c>
      <c r="K49" s="189">
        <v>43.34</v>
      </c>
      <c r="L49" s="189">
        <v>25.53</v>
      </c>
      <c r="M49" s="189">
        <v>63.71</v>
      </c>
      <c r="N49" s="189">
        <v>388.7</v>
      </c>
      <c r="O49" s="189">
        <v>0</v>
      </c>
      <c r="P49" s="189">
        <v>0.85</v>
      </c>
      <c r="Q49" s="190">
        <v>4.43</v>
      </c>
    </row>
    <row r="50" spans="1:17" s="11" customFormat="1">
      <c r="A50" s="6" t="s">
        <v>2680</v>
      </c>
      <c r="B50" s="189">
        <v>9.61</v>
      </c>
      <c r="C50" s="189">
        <v>24.12</v>
      </c>
      <c r="D50" s="189">
        <v>21.66</v>
      </c>
      <c r="E50" s="189">
        <v>7.58</v>
      </c>
      <c r="F50" s="189">
        <v>3.38</v>
      </c>
      <c r="G50" s="189">
        <v>98.37</v>
      </c>
      <c r="H50" s="189">
        <v>46.02</v>
      </c>
      <c r="I50" s="189">
        <v>6.89</v>
      </c>
      <c r="J50" s="189">
        <v>0.28000000000000003</v>
      </c>
      <c r="K50" s="189">
        <v>66.150000000000006</v>
      </c>
      <c r="L50" s="189">
        <v>26.11</v>
      </c>
      <c r="M50" s="189">
        <v>60.56</v>
      </c>
      <c r="N50" s="189">
        <v>415.7</v>
      </c>
      <c r="O50" s="189">
        <v>0</v>
      </c>
      <c r="P50" s="189">
        <v>0.83</v>
      </c>
      <c r="Q50" s="190">
        <v>4.4000000000000004</v>
      </c>
    </row>
    <row r="51" spans="1:17" s="11" customFormat="1">
      <c r="A51" s="6" t="s">
        <v>2681</v>
      </c>
      <c r="B51" s="189">
        <v>8.89</v>
      </c>
      <c r="C51" s="189">
        <v>22.74</v>
      </c>
      <c r="D51" s="189">
        <v>20.36</v>
      </c>
      <c r="E51" s="189">
        <v>6.98</v>
      </c>
      <c r="F51" s="189">
        <v>3.26</v>
      </c>
      <c r="G51" s="189">
        <v>97.74</v>
      </c>
      <c r="H51" s="189">
        <v>46.02</v>
      </c>
      <c r="I51" s="189">
        <v>6.89</v>
      </c>
      <c r="J51" s="189">
        <v>0.18</v>
      </c>
      <c r="K51" s="189">
        <v>105.81</v>
      </c>
      <c r="L51" s="189">
        <v>26.91</v>
      </c>
      <c r="M51" s="189">
        <v>55.85</v>
      </c>
      <c r="N51" s="189">
        <v>432.7</v>
      </c>
      <c r="O51" s="189">
        <v>0</v>
      </c>
      <c r="P51" s="189">
        <v>0.82</v>
      </c>
      <c r="Q51" s="190">
        <v>4.37</v>
      </c>
    </row>
    <row r="52" spans="1:17" s="11" customFormat="1">
      <c r="A52" s="6" t="s">
        <v>2682</v>
      </c>
      <c r="B52" s="189">
        <v>7.96</v>
      </c>
      <c r="C52" s="189">
        <v>22.25</v>
      </c>
      <c r="D52" s="189">
        <v>19.36</v>
      </c>
      <c r="E52" s="189">
        <v>7.32</v>
      </c>
      <c r="F52" s="189">
        <v>3.62</v>
      </c>
      <c r="G52" s="189">
        <v>97.74</v>
      </c>
      <c r="H52" s="189">
        <v>46.02</v>
      </c>
      <c r="I52" s="189">
        <v>6.89</v>
      </c>
      <c r="J52" s="189">
        <v>0.24</v>
      </c>
      <c r="K52" s="189">
        <v>131.88999999999999</v>
      </c>
      <c r="L52" s="189">
        <v>27.57</v>
      </c>
      <c r="M52" s="189">
        <v>53.03</v>
      </c>
      <c r="N52" s="189">
        <v>415.8</v>
      </c>
      <c r="O52" s="189">
        <v>0</v>
      </c>
      <c r="P52" s="189">
        <v>0.8</v>
      </c>
      <c r="Q52" s="190">
        <v>4.3099999999999996</v>
      </c>
    </row>
    <row r="53" spans="1:17" s="11" customFormat="1">
      <c r="A53" s="6" t="s">
        <v>2683</v>
      </c>
      <c r="B53" s="189">
        <v>7.09</v>
      </c>
      <c r="C53" s="189">
        <v>23.06</v>
      </c>
      <c r="D53" s="189">
        <v>19.09</v>
      </c>
      <c r="E53" s="189">
        <v>7.08</v>
      </c>
      <c r="F53" s="189">
        <v>3.73</v>
      </c>
      <c r="G53" s="189">
        <v>97.74</v>
      </c>
      <c r="H53" s="189">
        <v>46.02</v>
      </c>
      <c r="I53" s="189">
        <v>6.85</v>
      </c>
      <c r="J53" s="189">
        <v>0.11</v>
      </c>
      <c r="K53" s="189">
        <v>163.94</v>
      </c>
      <c r="L53" s="189">
        <v>27.96</v>
      </c>
      <c r="M53" s="189">
        <v>51.39</v>
      </c>
      <c r="N53" s="189">
        <v>457.4</v>
      </c>
      <c r="O53" s="189">
        <v>0</v>
      </c>
      <c r="P53" s="189">
        <v>0.81</v>
      </c>
      <c r="Q53" s="190">
        <v>4.2300000000000004</v>
      </c>
    </row>
    <row r="54" spans="1:17" s="11" customFormat="1">
      <c r="A54" s="6" t="s">
        <v>2684</v>
      </c>
      <c r="B54" s="189">
        <v>6.45</v>
      </c>
      <c r="C54" s="189">
        <v>21.7</v>
      </c>
      <c r="D54" s="189">
        <v>17.86</v>
      </c>
      <c r="E54" s="189">
        <v>7.35</v>
      </c>
      <c r="F54" s="189">
        <v>4.04</v>
      </c>
      <c r="G54" s="189">
        <v>88.16</v>
      </c>
      <c r="H54" s="189">
        <v>43.42</v>
      </c>
      <c r="I54" s="189">
        <v>6.71</v>
      </c>
      <c r="J54" s="189">
        <v>0.4</v>
      </c>
      <c r="K54" s="189">
        <v>79.06</v>
      </c>
      <c r="L54" s="189">
        <v>27.98</v>
      </c>
      <c r="M54" s="189">
        <v>48.07</v>
      </c>
      <c r="N54" s="189">
        <v>425.1</v>
      </c>
      <c r="O54" s="189">
        <v>0</v>
      </c>
      <c r="P54" s="189">
        <v>0.8</v>
      </c>
      <c r="Q54" s="190">
        <v>4.2300000000000004</v>
      </c>
    </row>
    <row r="55" spans="1:17" s="11" customFormat="1">
      <c r="A55" s="6" t="s">
        <v>2685</v>
      </c>
      <c r="B55" s="189">
        <v>5.95</v>
      </c>
      <c r="C55" s="189">
        <v>20.399999999999999</v>
      </c>
      <c r="D55" s="189">
        <v>16.78</v>
      </c>
      <c r="E55" s="189">
        <v>6.78</v>
      </c>
      <c r="F55" s="189">
        <v>4.05</v>
      </c>
      <c r="G55" s="189">
        <v>86.24</v>
      </c>
      <c r="H55" s="189">
        <v>43.42</v>
      </c>
      <c r="I55" s="189">
        <v>6.65</v>
      </c>
      <c r="J55" s="189">
        <v>0.31</v>
      </c>
      <c r="K55" s="189">
        <v>63.3</v>
      </c>
      <c r="L55" s="189">
        <v>28.17</v>
      </c>
      <c r="M55" s="189">
        <v>45.11</v>
      </c>
      <c r="N55" s="189">
        <v>486.8</v>
      </c>
      <c r="O55" s="189">
        <v>0</v>
      </c>
      <c r="P55" s="189">
        <v>0.78</v>
      </c>
      <c r="Q55" s="190">
        <v>4.2300000000000004</v>
      </c>
    </row>
    <row r="56" spans="1:17" s="11" customFormat="1">
      <c r="A56" s="6" t="s">
        <v>2686</v>
      </c>
      <c r="B56" s="189">
        <v>5.48</v>
      </c>
      <c r="C56" s="189">
        <v>19.96</v>
      </c>
      <c r="D56" s="189">
        <v>16.18</v>
      </c>
      <c r="E56" s="189">
        <v>7.05</v>
      </c>
      <c r="F56" s="189">
        <v>4.8099999999999996</v>
      </c>
      <c r="G56" s="189">
        <v>86.24</v>
      </c>
      <c r="H56" s="189">
        <v>43.42</v>
      </c>
      <c r="I56" s="189">
        <v>6.58</v>
      </c>
      <c r="J56" s="189">
        <v>0.36</v>
      </c>
      <c r="K56" s="189">
        <v>68.39</v>
      </c>
      <c r="L56" s="189">
        <v>28.57</v>
      </c>
      <c r="M56" s="189">
        <v>42.75</v>
      </c>
      <c r="N56" s="189">
        <v>474</v>
      </c>
      <c r="O56" s="189">
        <v>0</v>
      </c>
      <c r="P56" s="189">
        <v>0.77</v>
      </c>
      <c r="Q56" s="190">
        <v>4.1900000000000004</v>
      </c>
    </row>
    <row r="57" spans="1:17" s="11" customFormat="1">
      <c r="A57" s="6" t="s">
        <v>2687</v>
      </c>
      <c r="B57" s="189">
        <v>5.31</v>
      </c>
      <c r="C57" s="189">
        <v>19.57</v>
      </c>
      <c r="D57" s="189">
        <v>15.83</v>
      </c>
      <c r="E57" s="189">
        <v>7.33</v>
      </c>
      <c r="F57" s="189">
        <v>4.57</v>
      </c>
      <c r="G57" s="189">
        <v>86.24</v>
      </c>
      <c r="H57" s="189">
        <v>43.42</v>
      </c>
      <c r="I57" s="189">
        <v>6.53</v>
      </c>
      <c r="J57" s="189">
        <v>0.27</v>
      </c>
      <c r="K57" s="189">
        <v>81.180000000000007</v>
      </c>
      <c r="L57" s="189">
        <v>28.74</v>
      </c>
      <c r="M57" s="189">
        <v>39.51</v>
      </c>
      <c r="N57" s="189">
        <v>477.7</v>
      </c>
      <c r="O57" s="189">
        <v>0</v>
      </c>
      <c r="P57" s="189">
        <v>0.76</v>
      </c>
      <c r="Q57" s="190">
        <v>4.1500000000000004</v>
      </c>
    </row>
    <row r="58" spans="1:17" s="11" customFormat="1">
      <c r="A58" s="6" t="s">
        <v>2688</v>
      </c>
      <c r="B58" s="189">
        <v>5.08</v>
      </c>
      <c r="C58" s="189">
        <v>21.29</v>
      </c>
      <c r="D58" s="189">
        <v>16.55</v>
      </c>
      <c r="E58" s="189">
        <v>7.02</v>
      </c>
      <c r="F58" s="189">
        <v>4.5999999999999996</v>
      </c>
      <c r="G58" s="189">
        <v>83.52</v>
      </c>
      <c r="H58" s="189">
        <v>42.26</v>
      </c>
      <c r="I58" s="189">
        <v>6.39</v>
      </c>
      <c r="J58" s="189">
        <v>0.55000000000000004</v>
      </c>
      <c r="K58" s="189">
        <v>35.83</v>
      </c>
      <c r="L58" s="189">
        <v>28.65</v>
      </c>
      <c r="M58" s="189">
        <v>36.950000000000003</v>
      </c>
      <c r="N58" s="189">
        <v>449.1</v>
      </c>
      <c r="O58" s="189">
        <v>0</v>
      </c>
      <c r="P58" s="189">
        <v>0.76</v>
      </c>
      <c r="Q58" s="190">
        <v>4.1500000000000004</v>
      </c>
    </row>
    <row r="59" spans="1:17" s="11" customFormat="1">
      <c r="A59" s="6" t="s">
        <v>2689</v>
      </c>
      <c r="B59" s="189">
        <v>5.12</v>
      </c>
      <c r="C59" s="189">
        <v>20.239999999999998</v>
      </c>
      <c r="D59" s="189">
        <v>16.03</v>
      </c>
      <c r="E59" s="189">
        <v>7.22</v>
      </c>
      <c r="F59" s="189">
        <v>4.4800000000000004</v>
      </c>
      <c r="G59" s="189">
        <v>82.98</v>
      </c>
      <c r="H59" s="189">
        <v>42.26</v>
      </c>
      <c r="I59" s="189">
        <v>6.28</v>
      </c>
      <c r="J59" s="189">
        <v>0.19</v>
      </c>
      <c r="K59" s="189">
        <v>36.17</v>
      </c>
      <c r="L59" s="189">
        <v>28.79</v>
      </c>
      <c r="M59" s="189">
        <v>36.72</v>
      </c>
      <c r="N59" s="189">
        <v>463.3</v>
      </c>
      <c r="O59" s="189">
        <v>0</v>
      </c>
      <c r="P59" s="189">
        <v>0.75</v>
      </c>
      <c r="Q59" s="190">
        <v>4.18</v>
      </c>
    </row>
    <row r="60" spans="1:17" s="11" customFormat="1">
      <c r="A60" s="6" t="s">
        <v>2690</v>
      </c>
      <c r="B60" s="189">
        <v>4.99</v>
      </c>
      <c r="C60" s="189">
        <v>19.29</v>
      </c>
      <c r="D60" s="189">
        <v>15.43</v>
      </c>
      <c r="E60" s="189">
        <v>7.26</v>
      </c>
      <c r="F60" s="189">
        <v>5.23</v>
      </c>
      <c r="G60" s="189">
        <v>82.98</v>
      </c>
      <c r="H60" s="189">
        <v>42.26</v>
      </c>
      <c r="I60" s="189">
        <v>6.17</v>
      </c>
      <c r="J60" s="189">
        <v>0.32</v>
      </c>
      <c r="K60" s="189">
        <v>32.92</v>
      </c>
      <c r="L60" s="189">
        <v>29.07</v>
      </c>
      <c r="M60" s="189">
        <v>36.31</v>
      </c>
      <c r="N60" s="189">
        <v>423.7</v>
      </c>
      <c r="O60" s="189">
        <v>0</v>
      </c>
      <c r="P60" s="189">
        <v>0.73</v>
      </c>
      <c r="Q60" s="190">
        <v>4.1900000000000004</v>
      </c>
    </row>
    <row r="61" spans="1:17" s="11" customFormat="1">
      <c r="A61" s="6" t="s">
        <v>2691</v>
      </c>
      <c r="B61" s="189">
        <v>4.96</v>
      </c>
      <c r="C61" s="189">
        <v>18.68</v>
      </c>
      <c r="D61" s="189">
        <v>15.09</v>
      </c>
      <c r="E61" s="189">
        <v>7.35</v>
      </c>
      <c r="F61" s="189">
        <v>5.3</v>
      </c>
      <c r="G61" s="189">
        <v>82.98</v>
      </c>
      <c r="H61" s="189">
        <v>42.26</v>
      </c>
      <c r="I61" s="189">
        <v>6.09</v>
      </c>
      <c r="J61" s="189">
        <v>0.54</v>
      </c>
      <c r="K61" s="189">
        <v>43.51</v>
      </c>
      <c r="L61" s="189">
        <v>28.63</v>
      </c>
      <c r="M61" s="189">
        <v>36.21</v>
      </c>
      <c r="N61" s="189">
        <v>395.6</v>
      </c>
      <c r="O61" s="189">
        <v>0</v>
      </c>
      <c r="P61" s="189">
        <v>0.73</v>
      </c>
      <c r="Q61" s="190">
        <v>4.18</v>
      </c>
    </row>
    <row r="62" spans="1:17" s="11" customFormat="1">
      <c r="A62" s="6" t="s">
        <v>2692</v>
      </c>
      <c r="B62" s="189">
        <v>4.8</v>
      </c>
      <c r="C62" s="189">
        <v>18.48</v>
      </c>
      <c r="D62" s="189">
        <v>14.85</v>
      </c>
      <c r="E62" s="189">
        <v>7.03</v>
      </c>
      <c r="F62" s="189">
        <v>4.97</v>
      </c>
      <c r="G62" s="189">
        <v>78.39</v>
      </c>
      <c r="H62" s="189">
        <v>40.130000000000003</v>
      </c>
      <c r="I62" s="189">
        <v>5.96</v>
      </c>
      <c r="J62" s="189">
        <v>0.47</v>
      </c>
      <c r="K62" s="189">
        <v>291.95</v>
      </c>
      <c r="L62" s="189">
        <v>28.72</v>
      </c>
      <c r="M62" s="189">
        <v>35.22</v>
      </c>
      <c r="N62" s="189">
        <v>425.8</v>
      </c>
      <c r="O62" s="189">
        <v>0</v>
      </c>
      <c r="P62" s="189">
        <v>0.71</v>
      </c>
      <c r="Q62" s="190">
        <v>4.16</v>
      </c>
    </row>
    <row r="63" spans="1:17" s="11" customFormat="1">
      <c r="A63" s="6" t="s">
        <v>2693</v>
      </c>
      <c r="B63" s="189">
        <v>4.7</v>
      </c>
      <c r="C63" s="189">
        <v>18.010000000000002</v>
      </c>
      <c r="D63" s="189">
        <v>14.53</v>
      </c>
      <c r="E63" s="189">
        <v>6.64</v>
      </c>
      <c r="F63" s="189">
        <v>4.37</v>
      </c>
      <c r="G63" s="189">
        <v>77.48</v>
      </c>
      <c r="H63" s="189">
        <v>40.130000000000003</v>
      </c>
      <c r="I63" s="189">
        <v>5.87</v>
      </c>
      <c r="J63" s="189">
        <v>0.3</v>
      </c>
      <c r="K63" s="189">
        <v>28.4</v>
      </c>
      <c r="L63" s="189">
        <v>28.35</v>
      </c>
      <c r="M63" s="189">
        <v>35.6</v>
      </c>
      <c r="N63" s="189">
        <v>258.2</v>
      </c>
      <c r="O63" s="189">
        <v>0</v>
      </c>
      <c r="P63" s="189">
        <v>0.69</v>
      </c>
      <c r="Q63" s="190">
        <v>4.1399999999999997</v>
      </c>
    </row>
    <row r="64" spans="1:17" s="11" customFormat="1">
      <c r="A64" s="6" t="s">
        <v>2694</v>
      </c>
      <c r="B64" s="189">
        <v>4.8499999999999996</v>
      </c>
      <c r="C64" s="189">
        <v>19.399999999999999</v>
      </c>
      <c r="D64" s="189">
        <v>15.38</v>
      </c>
      <c r="E64" s="189">
        <v>6.79</v>
      </c>
      <c r="F64" s="189">
        <v>4.2</v>
      </c>
      <c r="G64" s="189">
        <v>77.48</v>
      </c>
      <c r="H64" s="189">
        <v>40.130000000000003</v>
      </c>
      <c r="I64" s="189">
        <v>5.77</v>
      </c>
      <c r="J64" s="189">
        <v>0.33</v>
      </c>
      <c r="K64" s="189">
        <v>59.79</v>
      </c>
      <c r="L64" s="189">
        <v>28.68</v>
      </c>
      <c r="M64" s="189">
        <v>35.03</v>
      </c>
      <c r="N64" s="189">
        <v>278.2</v>
      </c>
      <c r="O64" s="189">
        <v>0</v>
      </c>
      <c r="P64" s="189">
        <v>0.7</v>
      </c>
      <c r="Q64" s="190">
        <v>4.1500000000000004</v>
      </c>
    </row>
    <row r="65" spans="1:17" s="11" customFormat="1">
      <c r="A65" s="6" t="s">
        <v>2695</v>
      </c>
      <c r="B65" s="189">
        <v>4.91</v>
      </c>
      <c r="C65" s="189">
        <v>18.95</v>
      </c>
      <c r="D65" s="189">
        <v>15.18</v>
      </c>
      <c r="E65" s="189">
        <v>6.43</v>
      </c>
      <c r="F65" s="189">
        <v>4.3499999999999996</v>
      </c>
      <c r="G65" s="189">
        <v>77.48</v>
      </c>
      <c r="H65" s="189">
        <v>40.130000000000003</v>
      </c>
      <c r="I65" s="189">
        <v>5.7</v>
      </c>
      <c r="J65" s="189">
        <v>0.28000000000000003</v>
      </c>
      <c r="K65" s="189">
        <v>69.55</v>
      </c>
      <c r="L65" s="189">
        <v>28.49</v>
      </c>
      <c r="M65" s="189">
        <v>35.590000000000003</v>
      </c>
      <c r="N65" s="189">
        <v>165.5</v>
      </c>
      <c r="O65" s="189">
        <v>0</v>
      </c>
      <c r="P65" s="189">
        <v>0.67</v>
      </c>
      <c r="Q65" s="190">
        <v>4.1500000000000004</v>
      </c>
    </row>
    <row r="66" spans="1:17" s="11" customFormat="1">
      <c r="A66" s="6" t="s">
        <v>2696</v>
      </c>
      <c r="B66" s="189">
        <v>4.95</v>
      </c>
      <c r="C66" s="189">
        <v>17.93</v>
      </c>
      <c r="D66" s="189">
        <v>14.69</v>
      </c>
      <c r="E66" s="189">
        <v>6.82</v>
      </c>
      <c r="F66" s="189">
        <v>5.79</v>
      </c>
      <c r="G66" s="189">
        <v>68.150000000000006</v>
      </c>
      <c r="H66" s="189">
        <v>35.409999999999997</v>
      </c>
      <c r="I66" s="189">
        <v>5.64</v>
      </c>
      <c r="J66" s="189">
        <v>0.28999999999999998</v>
      </c>
      <c r="K66" s="189">
        <v>0.9</v>
      </c>
      <c r="L66" s="189">
        <v>28.13</v>
      </c>
      <c r="M66" s="189">
        <v>35.36</v>
      </c>
      <c r="N66" s="189">
        <v>110.2</v>
      </c>
      <c r="O66" s="189">
        <v>0</v>
      </c>
      <c r="P66" s="189">
        <v>0.68</v>
      </c>
      <c r="Q66" s="190">
        <v>4.16</v>
      </c>
    </row>
    <row r="67" spans="1:17" s="11" customFormat="1">
      <c r="A67" s="6" t="s">
        <v>2697</v>
      </c>
      <c r="B67" s="189">
        <v>4.95</v>
      </c>
      <c r="C67" s="189">
        <v>18.57</v>
      </c>
      <c r="D67" s="189">
        <v>15.02</v>
      </c>
      <c r="E67" s="189">
        <v>6.9</v>
      </c>
      <c r="F67" s="189">
        <v>4.82</v>
      </c>
      <c r="G67" s="189">
        <v>66.28</v>
      </c>
      <c r="H67" s="189">
        <v>35.409999999999997</v>
      </c>
      <c r="I67" s="189">
        <v>5.57</v>
      </c>
      <c r="J67" s="189">
        <v>0.35</v>
      </c>
      <c r="K67" s="189">
        <v>28.77</v>
      </c>
      <c r="L67" s="189">
        <v>27.94</v>
      </c>
      <c r="M67" s="189">
        <v>34.29</v>
      </c>
      <c r="N67" s="189">
        <v>136.80000000000001</v>
      </c>
      <c r="O67" s="189">
        <v>0</v>
      </c>
      <c r="P67" s="189">
        <v>0.69</v>
      </c>
      <c r="Q67" s="190">
        <v>4.1399999999999997</v>
      </c>
    </row>
    <row r="68" spans="1:17" s="11" customFormat="1">
      <c r="A68" s="6" t="s">
        <v>2698</v>
      </c>
      <c r="B68" s="189">
        <v>4.95</v>
      </c>
      <c r="C68" s="189">
        <v>19.8</v>
      </c>
      <c r="D68" s="189">
        <v>15.67</v>
      </c>
      <c r="E68" s="189">
        <v>7.14</v>
      </c>
      <c r="F68" s="189">
        <v>5.17</v>
      </c>
      <c r="G68" s="189">
        <v>66.28</v>
      </c>
      <c r="H68" s="189">
        <v>35.409999999999997</v>
      </c>
      <c r="I68" s="189">
        <v>5.45</v>
      </c>
      <c r="J68" s="189">
        <v>0.17</v>
      </c>
      <c r="K68" s="189">
        <v>22.69</v>
      </c>
      <c r="L68" s="189">
        <v>28.07</v>
      </c>
      <c r="M68" s="189">
        <v>34.659999999999997</v>
      </c>
      <c r="N68" s="189">
        <v>103.2</v>
      </c>
      <c r="O68" s="189">
        <v>0</v>
      </c>
      <c r="P68" s="189">
        <v>0.7</v>
      </c>
      <c r="Q68" s="190">
        <v>4.1500000000000004</v>
      </c>
    </row>
    <row r="69" spans="1:17" s="11" customFormat="1">
      <c r="A69" s="6" t="s">
        <v>2699</v>
      </c>
      <c r="B69" s="189">
        <v>4.97</v>
      </c>
      <c r="C69" s="189">
        <v>21.05</v>
      </c>
      <c r="D69" s="189">
        <v>16.329999999999998</v>
      </c>
      <c r="E69" s="189">
        <v>7.54</v>
      </c>
      <c r="F69" s="189">
        <v>5.75</v>
      </c>
      <c r="G69" s="189">
        <v>66.28</v>
      </c>
      <c r="H69" s="189">
        <v>35.409999999999997</v>
      </c>
      <c r="I69" s="189">
        <v>5.46</v>
      </c>
      <c r="J69" s="189">
        <v>0.47</v>
      </c>
      <c r="K69" s="189">
        <v>53.49</v>
      </c>
      <c r="L69" s="189">
        <v>27.86</v>
      </c>
      <c r="M69" s="189">
        <v>35.200000000000003</v>
      </c>
      <c r="N69" s="189">
        <v>93.7</v>
      </c>
      <c r="O69" s="189">
        <v>0</v>
      </c>
      <c r="P69" s="189">
        <v>0.7</v>
      </c>
      <c r="Q69" s="190">
        <v>4.1500000000000004</v>
      </c>
    </row>
    <row r="70" spans="1:17" s="11" customFormat="1">
      <c r="A70" s="6" t="s">
        <v>2700</v>
      </c>
      <c r="B70" s="189">
        <v>4.9800000000000004</v>
      </c>
      <c r="C70" s="189">
        <v>21.99</v>
      </c>
      <c r="D70" s="189">
        <v>16.829999999999998</v>
      </c>
      <c r="E70" s="189">
        <v>7.41</v>
      </c>
      <c r="F70" s="189">
        <v>6.52</v>
      </c>
      <c r="G70" s="189">
        <v>65.66</v>
      </c>
      <c r="H70" s="189">
        <v>33.479999999999997</v>
      </c>
      <c r="I70" s="189">
        <v>5.43</v>
      </c>
      <c r="J70" s="189">
        <v>0.52</v>
      </c>
      <c r="K70" s="189">
        <v>60.61</v>
      </c>
      <c r="L70" s="189">
        <v>27.46</v>
      </c>
      <c r="M70" s="189">
        <v>36.1</v>
      </c>
      <c r="N70" s="189">
        <v>76.099999999999994</v>
      </c>
      <c r="O70" s="189">
        <v>0</v>
      </c>
      <c r="P70" s="189">
        <v>0.7</v>
      </c>
      <c r="Q70" s="190">
        <v>4.1399999999999997</v>
      </c>
    </row>
    <row r="71" spans="1:17" s="11" customFormat="1">
      <c r="A71" s="6" t="s">
        <v>2701</v>
      </c>
      <c r="B71" s="189">
        <v>4.9000000000000004</v>
      </c>
      <c r="C71" s="189">
        <v>22.49</v>
      </c>
      <c r="D71" s="189">
        <v>17.03</v>
      </c>
      <c r="E71" s="189">
        <v>7.04</v>
      </c>
      <c r="F71" s="189">
        <v>5.26</v>
      </c>
      <c r="G71" s="189">
        <v>65.53</v>
      </c>
      <c r="H71" s="189">
        <v>33.479999999999997</v>
      </c>
      <c r="I71" s="189">
        <v>5.35</v>
      </c>
      <c r="J71" s="189">
        <v>0.4</v>
      </c>
      <c r="K71" s="189">
        <v>68.680000000000007</v>
      </c>
      <c r="L71" s="189">
        <v>27.32</v>
      </c>
      <c r="M71" s="189">
        <v>36.57</v>
      </c>
      <c r="N71" s="189">
        <v>67.099999999999994</v>
      </c>
      <c r="O71" s="189">
        <v>0</v>
      </c>
      <c r="P71" s="189">
        <v>0.69</v>
      </c>
      <c r="Q71" s="190">
        <v>4.1500000000000004</v>
      </c>
    </row>
    <row r="72" spans="1:17" s="11" customFormat="1">
      <c r="A72" s="6" t="s">
        <v>2702</v>
      </c>
      <c r="B72" s="189">
        <v>4.8899999999999997</v>
      </c>
      <c r="C72" s="189">
        <v>22.9</v>
      </c>
      <c r="D72" s="189">
        <v>17.239999999999998</v>
      </c>
      <c r="E72" s="189">
        <v>6.77</v>
      </c>
      <c r="F72" s="189">
        <v>4.8600000000000003</v>
      </c>
      <c r="G72" s="189">
        <v>65.53</v>
      </c>
      <c r="H72" s="189">
        <v>33.479999999999997</v>
      </c>
      <c r="I72" s="189">
        <v>5.27</v>
      </c>
      <c r="J72" s="189">
        <v>0.4</v>
      </c>
      <c r="K72" s="189">
        <v>68.709999999999994</v>
      </c>
      <c r="L72" s="189">
        <v>27.26</v>
      </c>
      <c r="M72" s="189">
        <v>36.840000000000003</v>
      </c>
      <c r="N72" s="189">
        <v>71.7</v>
      </c>
      <c r="O72" s="189">
        <v>0</v>
      </c>
      <c r="P72" s="189">
        <v>0.69</v>
      </c>
      <c r="Q72" s="190">
        <v>4.18</v>
      </c>
    </row>
    <row r="73" spans="1:17" s="11" customFormat="1">
      <c r="A73" s="6" t="s">
        <v>2703</v>
      </c>
      <c r="B73" s="189">
        <v>4.9800000000000004</v>
      </c>
      <c r="C73" s="189">
        <v>23.67</v>
      </c>
      <c r="D73" s="189">
        <v>17.71</v>
      </c>
      <c r="E73" s="189">
        <v>6.71</v>
      </c>
      <c r="F73" s="189">
        <v>4.71</v>
      </c>
      <c r="G73" s="189">
        <v>65.53</v>
      </c>
      <c r="H73" s="189">
        <v>33.479999999999997</v>
      </c>
      <c r="I73" s="189">
        <v>5.24</v>
      </c>
      <c r="J73" s="189">
        <v>0.43</v>
      </c>
      <c r="K73" s="189">
        <v>54.9</v>
      </c>
      <c r="L73" s="189">
        <v>27.09</v>
      </c>
      <c r="M73" s="189">
        <v>37.61</v>
      </c>
      <c r="N73" s="189">
        <v>46.5</v>
      </c>
      <c r="O73" s="189">
        <v>0</v>
      </c>
      <c r="P73" s="189">
        <v>0.69</v>
      </c>
      <c r="Q73" s="190">
        <v>4.16</v>
      </c>
    </row>
    <row r="74" spans="1:17" s="11" customFormat="1">
      <c r="A74" s="6" t="s">
        <v>2704</v>
      </c>
      <c r="B74" s="189">
        <v>5.18</v>
      </c>
      <c r="C74" s="189">
        <v>24.53</v>
      </c>
      <c r="D74" s="189">
        <v>18.32</v>
      </c>
      <c r="E74" s="189">
        <v>6.49</v>
      </c>
      <c r="F74" s="189">
        <v>4.2699999999999996</v>
      </c>
      <c r="G74" s="189">
        <v>67.92</v>
      </c>
      <c r="H74" s="189">
        <v>33.81</v>
      </c>
      <c r="I74" s="189">
        <v>5.18</v>
      </c>
      <c r="J74" s="189">
        <v>0.3</v>
      </c>
      <c r="K74" s="189">
        <v>76.53</v>
      </c>
      <c r="L74" s="189">
        <v>26.74</v>
      </c>
      <c r="M74" s="189">
        <v>38.92</v>
      </c>
      <c r="N74" s="189">
        <v>22.3</v>
      </c>
      <c r="O74" s="189">
        <v>0</v>
      </c>
      <c r="P74" s="189">
        <v>0.7</v>
      </c>
      <c r="Q74" s="190">
        <v>4.17</v>
      </c>
    </row>
    <row r="75" spans="1:17" s="11" customFormat="1">
      <c r="A75" s="6" t="s">
        <v>2705</v>
      </c>
      <c r="B75" s="189">
        <v>5.37</v>
      </c>
      <c r="C75" s="189">
        <v>25.59</v>
      </c>
      <c r="D75" s="189">
        <v>19.03</v>
      </c>
      <c r="E75" s="189">
        <v>7</v>
      </c>
      <c r="F75" s="189">
        <v>3.98</v>
      </c>
      <c r="G75" s="189">
        <v>68.41</v>
      </c>
      <c r="H75" s="189">
        <v>33.81</v>
      </c>
      <c r="I75" s="189">
        <v>5.0999999999999996</v>
      </c>
      <c r="J75" s="189">
        <v>0.23</v>
      </c>
      <c r="K75" s="189">
        <v>72.819999999999993</v>
      </c>
      <c r="L75" s="189">
        <v>26.3</v>
      </c>
      <c r="M75" s="189">
        <v>41.1</v>
      </c>
      <c r="N75" s="189">
        <v>10.8</v>
      </c>
      <c r="O75" s="189">
        <v>0</v>
      </c>
      <c r="P75" s="189">
        <v>0.71</v>
      </c>
      <c r="Q75" s="190">
        <v>4.17</v>
      </c>
    </row>
    <row r="76" spans="1:17" s="11" customFormat="1">
      <c r="A76" s="6" t="s">
        <v>2706</v>
      </c>
      <c r="B76" s="189">
        <v>5.71</v>
      </c>
      <c r="C76" s="189">
        <v>26.42</v>
      </c>
      <c r="D76" s="189">
        <v>19.739999999999998</v>
      </c>
      <c r="E76" s="189">
        <v>6.56</v>
      </c>
      <c r="F76" s="189">
        <v>3.57</v>
      </c>
      <c r="G76" s="189">
        <v>68.41</v>
      </c>
      <c r="H76" s="189">
        <v>33.81</v>
      </c>
      <c r="I76" s="189">
        <v>5.13</v>
      </c>
      <c r="J76" s="189">
        <v>0.19</v>
      </c>
      <c r="K76" s="189">
        <v>74.58</v>
      </c>
      <c r="L76" s="189">
        <v>25.69</v>
      </c>
      <c r="M76" s="189">
        <v>44.14</v>
      </c>
      <c r="N76" s="189">
        <v>1</v>
      </c>
      <c r="O76" s="189">
        <v>0</v>
      </c>
      <c r="P76" s="189">
        <v>0.72</v>
      </c>
      <c r="Q76" s="190">
        <v>4.22</v>
      </c>
    </row>
    <row r="77" spans="1:17" s="11" customFormat="1">
      <c r="A77" s="6" t="s">
        <v>2707</v>
      </c>
      <c r="B77" s="189">
        <v>6.1</v>
      </c>
      <c r="C77" s="189">
        <v>27.1</v>
      </c>
      <c r="D77" s="189">
        <v>20.399999999999999</v>
      </c>
      <c r="E77" s="189">
        <v>6.68</v>
      </c>
      <c r="F77" s="189">
        <v>3.18</v>
      </c>
      <c r="G77" s="189">
        <v>68.41</v>
      </c>
      <c r="H77" s="189">
        <v>33.81</v>
      </c>
      <c r="I77" s="189">
        <v>5.19</v>
      </c>
      <c r="J77" s="189">
        <v>0.21</v>
      </c>
      <c r="K77" s="189">
        <v>49</v>
      </c>
      <c r="L77" s="189">
        <v>25.05</v>
      </c>
      <c r="M77" s="189">
        <v>45.41</v>
      </c>
      <c r="N77" s="189">
        <v>0</v>
      </c>
      <c r="O77" s="189">
        <v>0</v>
      </c>
      <c r="P77" s="189">
        <v>0.73</v>
      </c>
      <c r="Q77" s="190">
        <v>4.21</v>
      </c>
    </row>
    <row r="78" spans="1:17" s="11" customFormat="1">
      <c r="A78" s="6" t="s">
        <v>2708</v>
      </c>
      <c r="B78" s="189">
        <v>6.7</v>
      </c>
      <c r="C78" s="189">
        <v>28.29</v>
      </c>
      <c r="D78" s="189">
        <v>21.5</v>
      </c>
      <c r="E78" s="189">
        <v>6.74</v>
      </c>
      <c r="F78" s="189">
        <v>2.97</v>
      </c>
      <c r="G78" s="189">
        <v>81.58</v>
      </c>
      <c r="H78" s="189">
        <v>36.56</v>
      </c>
      <c r="I78" s="189">
        <v>5.21</v>
      </c>
      <c r="J78" s="189">
        <v>0.13</v>
      </c>
      <c r="K78" s="189">
        <v>115.71</v>
      </c>
      <c r="L78" s="189">
        <v>24.49</v>
      </c>
      <c r="M78" s="189">
        <v>50.01</v>
      </c>
      <c r="N78" s="189">
        <v>0</v>
      </c>
      <c r="O78" s="189">
        <v>0</v>
      </c>
      <c r="P78" s="189">
        <v>0.74</v>
      </c>
      <c r="Q78" s="190">
        <v>4.26</v>
      </c>
    </row>
    <row r="79" spans="1:17" s="11" customFormat="1">
      <c r="A79" s="6" t="s">
        <v>2709</v>
      </c>
      <c r="B79" s="189">
        <v>7.09</v>
      </c>
      <c r="C79" s="189">
        <v>28.79</v>
      </c>
      <c r="D79" s="189">
        <v>22.08</v>
      </c>
      <c r="E79" s="189">
        <v>6.5</v>
      </c>
      <c r="F79" s="189">
        <v>2.86</v>
      </c>
      <c r="G79" s="189">
        <v>84.21</v>
      </c>
      <c r="H79" s="189">
        <v>36.56</v>
      </c>
      <c r="I79" s="189">
        <v>5.35</v>
      </c>
      <c r="J79" s="189">
        <v>0.17</v>
      </c>
      <c r="K79" s="189">
        <v>156.63</v>
      </c>
      <c r="L79" s="189">
        <v>23.54</v>
      </c>
      <c r="M79" s="189">
        <v>56.29</v>
      </c>
      <c r="N79" s="189">
        <v>0</v>
      </c>
      <c r="O79" s="189">
        <v>0</v>
      </c>
      <c r="P79" s="189">
        <v>0.76</v>
      </c>
      <c r="Q79" s="190">
        <v>4.29</v>
      </c>
    </row>
    <row r="80" spans="1:17" s="11" customFormat="1">
      <c r="A80" s="6" t="s">
        <v>2710</v>
      </c>
      <c r="B80" s="189">
        <v>7.4</v>
      </c>
      <c r="C80" s="189">
        <v>29.15</v>
      </c>
      <c r="D80" s="189">
        <v>22.52</v>
      </c>
      <c r="E80" s="189">
        <v>6.93</v>
      </c>
      <c r="F80" s="189">
        <v>2.84</v>
      </c>
      <c r="G80" s="189">
        <v>84.21</v>
      </c>
      <c r="H80" s="189">
        <v>36.56</v>
      </c>
      <c r="I80" s="189">
        <v>5.69</v>
      </c>
      <c r="J80" s="189">
        <v>0.02</v>
      </c>
      <c r="K80" s="189">
        <v>148.82</v>
      </c>
      <c r="L80" s="189">
        <v>23.03</v>
      </c>
      <c r="M80" s="189">
        <v>56.26</v>
      </c>
      <c r="N80" s="189">
        <v>0</v>
      </c>
      <c r="O80" s="189">
        <v>0</v>
      </c>
      <c r="P80" s="189">
        <v>0.78</v>
      </c>
      <c r="Q80" s="190">
        <v>4.28</v>
      </c>
    </row>
    <row r="81" spans="1:17" s="11" customFormat="1">
      <c r="A81" s="6" t="s">
        <v>2711</v>
      </c>
      <c r="B81" s="189">
        <v>8.18</v>
      </c>
      <c r="C81" s="189">
        <v>30.1</v>
      </c>
      <c r="D81" s="189">
        <v>23.64</v>
      </c>
      <c r="E81" s="189">
        <v>8.34</v>
      </c>
      <c r="F81" s="189">
        <v>2.7</v>
      </c>
      <c r="G81" s="189">
        <v>84.21</v>
      </c>
      <c r="H81" s="189">
        <v>36.56</v>
      </c>
      <c r="I81" s="189">
        <v>5.88</v>
      </c>
      <c r="J81" s="189">
        <v>0.14000000000000001</v>
      </c>
      <c r="K81" s="189">
        <v>47.85</v>
      </c>
      <c r="L81" s="189">
        <v>23</v>
      </c>
      <c r="M81" s="189">
        <v>54.84</v>
      </c>
      <c r="N81" s="189">
        <v>0</v>
      </c>
      <c r="O81" s="189">
        <v>0</v>
      </c>
      <c r="P81" s="189">
        <v>0.83</v>
      </c>
      <c r="Q81" s="190">
        <v>4.33</v>
      </c>
    </row>
    <row r="82" spans="1:17" s="11" customFormat="1">
      <c r="A82" s="6" t="s">
        <v>2712</v>
      </c>
      <c r="B82" s="189">
        <v>9.0399999999999991</v>
      </c>
      <c r="C82" s="189">
        <v>31.08</v>
      </c>
      <c r="D82" s="189">
        <v>24.84</v>
      </c>
      <c r="E82" s="189">
        <v>9.4700000000000006</v>
      </c>
      <c r="F82" s="189">
        <v>2.74</v>
      </c>
      <c r="G82" s="189">
        <v>102.02</v>
      </c>
      <c r="H82" s="189">
        <v>40.11</v>
      </c>
      <c r="I82" s="189">
        <v>6</v>
      </c>
      <c r="J82" s="189">
        <v>0.1</v>
      </c>
      <c r="K82" s="189">
        <v>0.09</v>
      </c>
      <c r="L82" s="189">
        <v>22.4</v>
      </c>
      <c r="M82" s="189">
        <v>58.56</v>
      </c>
      <c r="N82" s="189">
        <v>0</v>
      </c>
      <c r="O82" s="189">
        <v>0</v>
      </c>
      <c r="P82" s="189">
        <v>0.86</v>
      </c>
      <c r="Q82" s="190">
        <v>4.3600000000000003</v>
      </c>
    </row>
    <row r="83" spans="1:17" s="11" customFormat="1">
      <c r="A83" s="6" t="s">
        <v>2713</v>
      </c>
      <c r="B83" s="189">
        <v>9.93</v>
      </c>
      <c r="C83" s="189">
        <v>31.58</v>
      </c>
      <c r="D83" s="189">
        <v>25.81</v>
      </c>
      <c r="E83" s="189">
        <v>9.3699999999999992</v>
      </c>
      <c r="F83" s="189">
        <v>2.68</v>
      </c>
      <c r="G83" s="189">
        <v>105.59</v>
      </c>
      <c r="H83" s="189">
        <v>40.1</v>
      </c>
      <c r="I83" s="189">
        <v>6.28</v>
      </c>
      <c r="J83" s="189">
        <v>0.14000000000000001</v>
      </c>
      <c r="K83" s="189">
        <v>104.38</v>
      </c>
      <c r="L83" s="189">
        <v>22.29</v>
      </c>
      <c r="M83" s="189">
        <v>56.2</v>
      </c>
      <c r="N83" s="189">
        <v>0</v>
      </c>
      <c r="O83" s="189">
        <v>0</v>
      </c>
      <c r="P83" s="189">
        <v>0.87</v>
      </c>
      <c r="Q83" s="190">
        <v>4.38</v>
      </c>
    </row>
    <row r="84" spans="1:17" s="11" customFormat="1">
      <c r="A84" s="6" t="s">
        <v>2714</v>
      </c>
      <c r="B84" s="189">
        <v>10.38</v>
      </c>
      <c r="C84" s="189">
        <v>32.049999999999997</v>
      </c>
      <c r="D84" s="189">
        <v>26.42</v>
      </c>
      <c r="E84" s="189">
        <v>9.49</v>
      </c>
      <c r="F84" s="189">
        <v>2.61</v>
      </c>
      <c r="G84" s="189">
        <v>105.59</v>
      </c>
      <c r="H84" s="189">
        <v>40.11</v>
      </c>
      <c r="I84" s="189">
        <v>6.48</v>
      </c>
      <c r="J84" s="189">
        <v>0.13</v>
      </c>
      <c r="K84" s="189">
        <v>99.48</v>
      </c>
      <c r="L84" s="189">
        <v>22.41</v>
      </c>
      <c r="M84" s="189">
        <v>56.78</v>
      </c>
      <c r="N84" s="189">
        <v>0</v>
      </c>
      <c r="O84" s="189">
        <v>0</v>
      </c>
      <c r="P84" s="189">
        <v>0.9</v>
      </c>
      <c r="Q84" s="190">
        <v>4.41</v>
      </c>
    </row>
    <row r="85" spans="1:17" s="11" customFormat="1">
      <c r="A85" s="6" t="s">
        <v>2715</v>
      </c>
      <c r="B85" s="189">
        <v>10.64</v>
      </c>
      <c r="C85" s="189">
        <v>32.08</v>
      </c>
      <c r="D85" s="189">
        <v>26.65</v>
      </c>
      <c r="E85" s="189">
        <v>9.01</v>
      </c>
      <c r="F85" s="189">
        <v>2.69</v>
      </c>
      <c r="G85" s="189">
        <v>105.59</v>
      </c>
      <c r="H85" s="189">
        <v>40.11</v>
      </c>
      <c r="I85" s="189">
        <v>6.72</v>
      </c>
      <c r="J85" s="189">
        <v>0.1</v>
      </c>
      <c r="K85" s="189">
        <v>92.36</v>
      </c>
      <c r="L85" s="189">
        <v>22.25</v>
      </c>
      <c r="M85" s="189">
        <v>58.33</v>
      </c>
      <c r="N85" s="189">
        <v>0</v>
      </c>
      <c r="O85" s="189">
        <v>0</v>
      </c>
      <c r="P85" s="189">
        <v>0.9</v>
      </c>
      <c r="Q85" s="190">
        <v>4.41</v>
      </c>
    </row>
    <row r="86" spans="1:17" s="11" customFormat="1">
      <c r="A86" s="6" t="s">
        <v>2716</v>
      </c>
      <c r="B86" s="189">
        <v>10.85</v>
      </c>
      <c r="C86" s="189">
        <v>32.32</v>
      </c>
      <c r="D86" s="189">
        <v>26.94</v>
      </c>
      <c r="E86" s="189">
        <v>9.3699999999999992</v>
      </c>
      <c r="F86" s="189">
        <v>2.75</v>
      </c>
      <c r="G86" s="189">
        <v>117.04</v>
      </c>
      <c r="H86" s="189">
        <v>45.38</v>
      </c>
      <c r="I86" s="189">
        <v>6.75</v>
      </c>
      <c r="J86" s="189">
        <v>0.11</v>
      </c>
      <c r="K86" s="189">
        <v>95.46</v>
      </c>
      <c r="L86" s="189">
        <v>21.95</v>
      </c>
      <c r="M86" s="189">
        <v>59.1</v>
      </c>
      <c r="N86" s="189">
        <v>0</v>
      </c>
      <c r="O86" s="189">
        <v>0</v>
      </c>
      <c r="P86" s="189">
        <v>0.92</v>
      </c>
      <c r="Q86" s="190">
        <v>4.42</v>
      </c>
    </row>
    <row r="87" spans="1:17" s="11" customFormat="1">
      <c r="A87" s="6" t="s">
        <v>2717</v>
      </c>
      <c r="B87" s="189">
        <v>11.21</v>
      </c>
      <c r="C87" s="189">
        <v>32.799999999999997</v>
      </c>
      <c r="D87" s="189">
        <v>27.48</v>
      </c>
      <c r="E87" s="189">
        <v>9.65</v>
      </c>
      <c r="F87" s="189">
        <v>2.64</v>
      </c>
      <c r="G87" s="189">
        <v>119.33</v>
      </c>
      <c r="H87" s="189">
        <v>45.38</v>
      </c>
      <c r="I87" s="189">
        <v>6.88</v>
      </c>
      <c r="J87" s="189">
        <v>0.13</v>
      </c>
      <c r="K87" s="189">
        <v>123.7</v>
      </c>
      <c r="L87" s="189">
        <v>21.64</v>
      </c>
      <c r="M87" s="189">
        <v>61.13</v>
      </c>
      <c r="N87" s="189">
        <v>0</v>
      </c>
      <c r="O87" s="189">
        <v>0</v>
      </c>
      <c r="P87" s="189">
        <v>0.93</v>
      </c>
      <c r="Q87" s="190">
        <v>4.43</v>
      </c>
    </row>
    <row r="88" spans="1:17" s="11" customFormat="1">
      <c r="A88" s="6" t="s">
        <v>2718</v>
      </c>
      <c r="B88" s="189">
        <v>11.58</v>
      </c>
      <c r="C88" s="189">
        <v>31.83</v>
      </c>
      <c r="D88" s="189">
        <v>27.27</v>
      </c>
      <c r="E88" s="189">
        <v>8.85</v>
      </c>
      <c r="F88" s="189">
        <v>2.72</v>
      </c>
      <c r="G88" s="189">
        <v>119.33</v>
      </c>
      <c r="H88" s="189">
        <v>45.38</v>
      </c>
      <c r="I88" s="189">
        <v>6.99</v>
      </c>
      <c r="J88" s="189">
        <v>0.15</v>
      </c>
      <c r="K88" s="189">
        <v>66.540000000000006</v>
      </c>
      <c r="L88" s="189">
        <v>21.33</v>
      </c>
      <c r="M88" s="189">
        <v>61.14</v>
      </c>
      <c r="N88" s="189">
        <v>0</v>
      </c>
      <c r="O88" s="189">
        <v>0</v>
      </c>
      <c r="P88" s="189">
        <v>0.92</v>
      </c>
      <c r="Q88" s="190">
        <v>4.43</v>
      </c>
    </row>
    <row r="89" spans="1:17" s="11" customFormat="1">
      <c r="A89" s="6" t="s">
        <v>2719</v>
      </c>
      <c r="B89" s="189">
        <v>12.22</v>
      </c>
      <c r="C89" s="189">
        <v>30.39</v>
      </c>
      <c r="D89" s="189">
        <v>27.03</v>
      </c>
      <c r="E89" s="189">
        <v>9.34</v>
      </c>
      <c r="F89" s="189">
        <v>2.64</v>
      </c>
      <c r="G89" s="189">
        <v>119.33</v>
      </c>
      <c r="H89" s="189">
        <v>45.38</v>
      </c>
      <c r="I89" s="189">
        <v>7.16</v>
      </c>
      <c r="J89" s="189">
        <v>0.14000000000000001</v>
      </c>
      <c r="K89" s="189">
        <v>54.71</v>
      </c>
      <c r="L89" s="189">
        <v>21.37</v>
      </c>
      <c r="M89" s="189">
        <v>59.64</v>
      </c>
      <c r="N89" s="189">
        <v>0</v>
      </c>
      <c r="O89" s="189">
        <v>0</v>
      </c>
      <c r="P89" s="189">
        <v>0.92</v>
      </c>
      <c r="Q89" s="190">
        <v>4.4800000000000004</v>
      </c>
    </row>
    <row r="90" spans="1:17" s="11" customFormat="1">
      <c r="A90" s="6" t="s">
        <v>2720</v>
      </c>
      <c r="B90" s="189">
        <v>13.13</v>
      </c>
      <c r="C90" s="189">
        <v>31.11</v>
      </c>
      <c r="D90" s="189">
        <v>28.13</v>
      </c>
      <c r="E90" s="189">
        <v>8.86</v>
      </c>
      <c r="F90" s="189">
        <v>2.59</v>
      </c>
      <c r="G90" s="189">
        <v>119.6</v>
      </c>
      <c r="H90" s="189">
        <v>45.67</v>
      </c>
      <c r="I90" s="189">
        <v>7.27</v>
      </c>
      <c r="J90" s="189">
        <v>0.1</v>
      </c>
      <c r="K90" s="189">
        <v>52.69</v>
      </c>
      <c r="L90" s="189">
        <v>21.14</v>
      </c>
      <c r="M90" s="189">
        <v>61.81</v>
      </c>
      <c r="N90" s="189">
        <v>0</v>
      </c>
      <c r="O90" s="189">
        <v>0</v>
      </c>
      <c r="P90" s="189">
        <v>0.93</v>
      </c>
      <c r="Q90" s="190">
        <v>4.51</v>
      </c>
    </row>
    <row r="91" spans="1:17" s="11" customFormat="1">
      <c r="A91" s="6" t="s">
        <v>2721</v>
      </c>
      <c r="B91" s="189">
        <v>14.08</v>
      </c>
      <c r="C91" s="189">
        <v>31.76</v>
      </c>
      <c r="D91" s="189">
        <v>29.23</v>
      </c>
      <c r="E91" s="189">
        <v>8.98</v>
      </c>
      <c r="F91" s="189">
        <v>2.4900000000000002</v>
      </c>
      <c r="G91" s="189">
        <v>119.66</v>
      </c>
      <c r="H91" s="189">
        <v>45.67</v>
      </c>
      <c r="I91" s="189">
        <v>7.35</v>
      </c>
      <c r="J91" s="189">
        <v>0.09</v>
      </c>
      <c r="K91" s="189">
        <v>62.05</v>
      </c>
      <c r="L91" s="189">
        <v>20.9</v>
      </c>
      <c r="M91" s="189">
        <v>63.18</v>
      </c>
      <c r="N91" s="189">
        <v>0</v>
      </c>
      <c r="O91" s="189">
        <v>0</v>
      </c>
      <c r="P91" s="189">
        <v>0.96</v>
      </c>
      <c r="Q91" s="190">
        <v>4.49</v>
      </c>
    </row>
    <row r="92" spans="1:17" s="11" customFormat="1">
      <c r="A92" s="6" t="s">
        <v>2722</v>
      </c>
      <c r="B92" s="189">
        <v>15.11</v>
      </c>
      <c r="C92" s="189">
        <v>31.38</v>
      </c>
      <c r="D92" s="189">
        <v>29.86</v>
      </c>
      <c r="E92" s="189">
        <v>8.65</v>
      </c>
      <c r="F92" s="189">
        <v>2.64</v>
      </c>
      <c r="G92" s="189">
        <v>119.66</v>
      </c>
      <c r="H92" s="189">
        <v>45.67</v>
      </c>
      <c r="I92" s="189">
        <v>7.45</v>
      </c>
      <c r="J92" s="189">
        <v>0.1</v>
      </c>
      <c r="K92" s="189">
        <v>73.14</v>
      </c>
      <c r="L92" s="189">
        <v>20.84</v>
      </c>
      <c r="M92" s="189">
        <v>62.1</v>
      </c>
      <c r="N92" s="189">
        <v>0</v>
      </c>
      <c r="O92" s="189">
        <v>0</v>
      </c>
      <c r="P92" s="189">
        <v>0.97</v>
      </c>
      <c r="Q92" s="190">
        <v>4.5199999999999996</v>
      </c>
    </row>
    <row r="93" spans="1:17" s="11" customFormat="1">
      <c r="A93" s="6" t="s">
        <v>2723</v>
      </c>
      <c r="B93" s="189">
        <v>15.62</v>
      </c>
      <c r="C93" s="189">
        <v>31.86</v>
      </c>
      <c r="D93" s="189">
        <v>30.53</v>
      </c>
      <c r="E93" s="189">
        <v>8.93</v>
      </c>
      <c r="F93" s="189">
        <v>2.71</v>
      </c>
      <c r="G93" s="189">
        <v>119.66</v>
      </c>
      <c r="H93" s="189">
        <v>45.67</v>
      </c>
      <c r="I93" s="189">
        <v>7.55</v>
      </c>
      <c r="J93" s="189">
        <v>0.23</v>
      </c>
      <c r="K93" s="189">
        <v>195.54</v>
      </c>
      <c r="L93" s="189">
        <v>20.239999999999998</v>
      </c>
      <c r="M93" s="189">
        <v>70.900000000000006</v>
      </c>
      <c r="N93" s="189">
        <v>0</v>
      </c>
      <c r="O93" s="189">
        <v>0</v>
      </c>
      <c r="P93" s="189">
        <v>0.98</v>
      </c>
      <c r="Q93" s="190">
        <v>4.55</v>
      </c>
    </row>
    <row r="94" spans="1:17" s="11" customFormat="1">
      <c r="A94" s="6" t="s">
        <v>2724</v>
      </c>
      <c r="B94" s="189">
        <v>15.37</v>
      </c>
      <c r="C94" s="189">
        <v>31.96</v>
      </c>
      <c r="D94" s="189">
        <v>30.37</v>
      </c>
      <c r="E94" s="189">
        <v>9.24</v>
      </c>
      <c r="F94" s="189">
        <v>2.58</v>
      </c>
      <c r="G94" s="189">
        <v>124.38</v>
      </c>
      <c r="H94" s="189">
        <v>48.18</v>
      </c>
      <c r="I94" s="189">
        <v>7.59</v>
      </c>
      <c r="J94" s="189">
        <v>0.1</v>
      </c>
      <c r="K94" s="189">
        <v>26.77</v>
      </c>
      <c r="L94" s="189">
        <v>19.93</v>
      </c>
      <c r="M94" s="189">
        <v>69.42</v>
      </c>
      <c r="N94" s="189">
        <v>0</v>
      </c>
      <c r="O94" s="189">
        <v>0</v>
      </c>
      <c r="P94" s="189">
        <v>0.99</v>
      </c>
      <c r="Q94" s="190">
        <v>4.55</v>
      </c>
    </row>
    <row r="95" spans="1:17" s="11" customFormat="1">
      <c r="A95" s="6" t="s">
        <v>2725</v>
      </c>
      <c r="B95" s="189">
        <v>16.34</v>
      </c>
      <c r="C95" s="189">
        <v>31.1</v>
      </c>
      <c r="D95" s="189">
        <v>30.71</v>
      </c>
      <c r="E95" s="189">
        <v>9.4600000000000009</v>
      </c>
      <c r="F95" s="189">
        <v>2.58</v>
      </c>
      <c r="G95" s="189">
        <v>125.33</v>
      </c>
      <c r="H95" s="189">
        <v>48.18</v>
      </c>
      <c r="I95" s="189">
        <v>7.69</v>
      </c>
      <c r="J95" s="189">
        <v>0.12</v>
      </c>
      <c r="K95" s="189">
        <v>129.27000000000001</v>
      </c>
      <c r="L95" s="189">
        <v>19.87</v>
      </c>
      <c r="M95" s="189">
        <v>70.08</v>
      </c>
      <c r="N95" s="189">
        <v>0</v>
      </c>
      <c r="O95" s="189">
        <v>0</v>
      </c>
      <c r="P95" s="189">
        <v>0.99</v>
      </c>
      <c r="Q95" s="190">
        <v>4.5999999999999996</v>
      </c>
    </row>
    <row r="96" spans="1:17" s="11" customFormat="1">
      <c r="A96" s="6" t="s">
        <v>2726</v>
      </c>
      <c r="B96" s="189">
        <v>17.11</v>
      </c>
      <c r="C96" s="189">
        <v>31.75</v>
      </c>
      <c r="D96" s="189">
        <v>31.66</v>
      </c>
      <c r="E96" s="189">
        <v>9.1999999999999993</v>
      </c>
      <c r="F96" s="189">
        <v>2.61</v>
      </c>
      <c r="G96" s="189">
        <v>125.33</v>
      </c>
      <c r="H96" s="189">
        <v>48.18</v>
      </c>
      <c r="I96" s="189">
        <v>7.73</v>
      </c>
      <c r="J96" s="189">
        <v>0.27</v>
      </c>
      <c r="K96" s="189">
        <v>67.040000000000006</v>
      </c>
      <c r="L96" s="189">
        <v>20.11</v>
      </c>
      <c r="M96" s="189">
        <v>65.73</v>
      </c>
      <c r="N96" s="189">
        <v>0</v>
      </c>
      <c r="O96" s="189">
        <v>0</v>
      </c>
      <c r="P96" s="189">
        <v>1.01</v>
      </c>
      <c r="Q96" s="190">
        <v>4.62</v>
      </c>
    </row>
    <row r="97" spans="1:22" s="11" customFormat="1">
      <c r="A97" s="6" t="s">
        <v>2727</v>
      </c>
      <c r="B97" s="189">
        <v>17.36</v>
      </c>
      <c r="C97" s="189">
        <v>31.68</v>
      </c>
      <c r="D97" s="189">
        <v>31.82</v>
      </c>
      <c r="E97" s="189">
        <v>8.94</v>
      </c>
      <c r="F97" s="189">
        <v>2.64</v>
      </c>
      <c r="G97" s="189">
        <v>125.33</v>
      </c>
      <c r="H97" s="189">
        <v>48.18</v>
      </c>
      <c r="I97" s="189">
        <v>7.77</v>
      </c>
      <c r="J97" s="189">
        <v>0.27</v>
      </c>
      <c r="K97" s="189">
        <v>167.07</v>
      </c>
      <c r="L97" s="189">
        <v>19.79</v>
      </c>
      <c r="M97" s="189">
        <v>71.459999999999994</v>
      </c>
      <c r="N97" s="189">
        <v>0</v>
      </c>
      <c r="O97" s="189">
        <v>0</v>
      </c>
      <c r="P97" s="189">
        <v>1.03</v>
      </c>
      <c r="Q97" s="190">
        <v>4.63</v>
      </c>
    </row>
    <row r="98" spans="1:22" s="11" customFormat="1">
      <c r="A98" s="6" t="s">
        <v>2728</v>
      </c>
      <c r="B98" s="189">
        <v>16.88</v>
      </c>
      <c r="C98" s="189">
        <v>31.11</v>
      </c>
      <c r="D98" s="189">
        <v>31.14</v>
      </c>
      <c r="E98" s="189">
        <v>9.34</v>
      </c>
      <c r="F98" s="189">
        <v>2.64</v>
      </c>
      <c r="G98" s="189">
        <v>124.97</v>
      </c>
      <c r="H98" s="189">
        <v>49.95</v>
      </c>
      <c r="I98" s="189">
        <v>7.84</v>
      </c>
      <c r="J98" s="189">
        <v>0.16</v>
      </c>
      <c r="K98" s="189">
        <v>138.66999999999999</v>
      </c>
      <c r="L98" s="189">
        <v>19.489999999999998</v>
      </c>
      <c r="M98" s="189">
        <v>70.33</v>
      </c>
      <c r="N98" s="189">
        <v>0</v>
      </c>
      <c r="O98" s="189">
        <v>0</v>
      </c>
      <c r="P98" s="189">
        <v>1.02</v>
      </c>
      <c r="Q98" s="190">
        <v>4.63</v>
      </c>
    </row>
    <row r="99" spans="1:22" s="11" customFormat="1">
      <c r="A99" s="6" t="s">
        <v>2729</v>
      </c>
      <c r="B99" s="189">
        <v>16.399999999999999</v>
      </c>
      <c r="C99" s="189">
        <v>31.58</v>
      </c>
      <c r="D99" s="189">
        <v>31</v>
      </c>
      <c r="E99" s="189">
        <v>8.99</v>
      </c>
      <c r="F99" s="189">
        <v>2.65</v>
      </c>
      <c r="G99" s="189">
        <v>124.9</v>
      </c>
      <c r="H99" s="189">
        <v>49.95</v>
      </c>
      <c r="I99" s="189">
        <v>7.97</v>
      </c>
      <c r="J99" s="189">
        <v>0.13</v>
      </c>
      <c r="K99" s="189">
        <v>132</v>
      </c>
      <c r="L99" s="189">
        <v>19.420000000000002</v>
      </c>
      <c r="M99" s="189">
        <v>71.81</v>
      </c>
      <c r="N99" s="189">
        <v>0</v>
      </c>
      <c r="O99" s="189">
        <v>0</v>
      </c>
      <c r="P99" s="189">
        <v>1.02</v>
      </c>
      <c r="Q99" s="190">
        <v>4.6100000000000003</v>
      </c>
    </row>
    <row r="100" spans="1:22" s="11" customFormat="1">
      <c r="A100" s="6" t="s">
        <v>2730</v>
      </c>
      <c r="B100" s="189">
        <v>15.89</v>
      </c>
      <c r="C100" s="189">
        <v>31.02</v>
      </c>
      <c r="D100" s="189">
        <v>30.3</v>
      </c>
      <c r="E100" s="189">
        <v>9.2799999999999994</v>
      </c>
      <c r="F100" s="189">
        <v>2.71</v>
      </c>
      <c r="G100" s="189">
        <v>124.9</v>
      </c>
      <c r="H100" s="189">
        <v>49.95</v>
      </c>
      <c r="I100" s="189">
        <v>7.92</v>
      </c>
      <c r="J100" s="189">
        <v>0.09</v>
      </c>
      <c r="K100" s="189">
        <v>183.7</v>
      </c>
      <c r="L100" s="189">
        <v>19.45</v>
      </c>
      <c r="M100" s="189">
        <v>71.03</v>
      </c>
      <c r="N100" s="189">
        <v>0</v>
      </c>
      <c r="O100" s="189">
        <v>0</v>
      </c>
      <c r="P100" s="189">
        <v>1.02</v>
      </c>
      <c r="Q100" s="190">
        <v>4.59</v>
      </c>
    </row>
    <row r="101" spans="1:22" s="11" customFormat="1">
      <c r="A101" s="6" t="s">
        <v>2731</v>
      </c>
      <c r="B101" s="189">
        <v>15.22</v>
      </c>
      <c r="C101" s="189">
        <v>30.54</v>
      </c>
      <c r="D101" s="189">
        <v>29.51</v>
      </c>
      <c r="E101" s="189">
        <v>8.9</v>
      </c>
      <c r="F101" s="189">
        <v>2.74</v>
      </c>
      <c r="G101" s="189">
        <v>124.9</v>
      </c>
      <c r="H101" s="189">
        <v>49.95</v>
      </c>
      <c r="I101" s="189">
        <v>7.88</v>
      </c>
      <c r="J101" s="189">
        <v>0.08</v>
      </c>
      <c r="K101" s="189">
        <v>179.37</v>
      </c>
      <c r="L101" s="189">
        <v>19.21</v>
      </c>
      <c r="M101" s="189">
        <v>73.739999999999995</v>
      </c>
      <c r="N101" s="189">
        <v>0</v>
      </c>
      <c r="O101" s="189">
        <v>0</v>
      </c>
      <c r="P101" s="189">
        <v>1.01</v>
      </c>
      <c r="Q101" s="190">
        <v>4.57</v>
      </c>
    </row>
    <row r="102" spans="1:22" s="11" customFormat="1">
      <c r="A102" s="6" t="s">
        <v>2732</v>
      </c>
      <c r="B102" s="189">
        <v>14.77</v>
      </c>
      <c r="C102" s="189">
        <v>30.52</v>
      </c>
      <c r="D102" s="189">
        <v>29.14</v>
      </c>
      <c r="E102" s="189">
        <v>9.0299999999999994</v>
      </c>
      <c r="F102" s="189">
        <v>2.75</v>
      </c>
      <c r="G102" s="189">
        <v>126.3</v>
      </c>
      <c r="H102" s="189">
        <v>51.29</v>
      </c>
      <c r="I102" s="189">
        <v>7.89</v>
      </c>
      <c r="J102" s="189">
        <v>0.1</v>
      </c>
      <c r="K102" s="189">
        <v>143.07</v>
      </c>
      <c r="L102" s="189">
        <v>19.05</v>
      </c>
      <c r="M102" s="189">
        <v>75.19</v>
      </c>
      <c r="N102" s="189">
        <v>0</v>
      </c>
      <c r="O102" s="189">
        <v>0</v>
      </c>
      <c r="P102" s="189">
        <v>0.99</v>
      </c>
      <c r="Q102" s="190">
        <v>4.5599999999999996</v>
      </c>
    </row>
    <row r="103" spans="1:22" s="11" customFormat="1">
      <c r="A103" s="6" t="s">
        <v>2733</v>
      </c>
      <c r="B103" s="189">
        <v>14.28</v>
      </c>
      <c r="C103" s="189">
        <v>30.15</v>
      </c>
      <c r="D103" s="189">
        <v>28.56</v>
      </c>
      <c r="E103" s="189">
        <v>9.17</v>
      </c>
      <c r="F103" s="189">
        <v>2.77</v>
      </c>
      <c r="G103" s="189">
        <v>126.58</v>
      </c>
      <c r="H103" s="189">
        <v>51.29</v>
      </c>
      <c r="I103" s="189">
        <v>7.89</v>
      </c>
      <c r="J103" s="189">
        <v>0.11</v>
      </c>
      <c r="K103" s="189">
        <v>80.17</v>
      </c>
      <c r="L103" s="189">
        <v>19.260000000000002</v>
      </c>
      <c r="M103" s="189">
        <v>73.150000000000006</v>
      </c>
      <c r="N103" s="189">
        <v>0</v>
      </c>
      <c r="O103" s="189">
        <v>0</v>
      </c>
      <c r="P103" s="189">
        <v>0.98</v>
      </c>
      <c r="Q103" s="190">
        <v>4.55</v>
      </c>
    </row>
    <row r="104" spans="1:22" s="11" customFormat="1">
      <c r="A104" s="6" t="s">
        <v>2734</v>
      </c>
      <c r="B104" s="189">
        <v>13.87</v>
      </c>
      <c r="C104" s="189">
        <v>30.07</v>
      </c>
      <c r="D104" s="189">
        <v>28.19</v>
      </c>
      <c r="E104" s="189">
        <v>8.98</v>
      </c>
      <c r="F104" s="189">
        <v>2.62</v>
      </c>
      <c r="G104" s="189">
        <v>126.58</v>
      </c>
      <c r="H104" s="189">
        <v>51.29</v>
      </c>
      <c r="I104" s="189">
        <v>7.87</v>
      </c>
      <c r="J104" s="189">
        <v>0.06</v>
      </c>
      <c r="K104" s="189">
        <v>137.24</v>
      </c>
      <c r="L104" s="189">
        <v>19.350000000000001</v>
      </c>
      <c r="M104" s="189">
        <v>73.03</v>
      </c>
      <c r="N104" s="189">
        <v>0</v>
      </c>
      <c r="O104" s="189">
        <v>0</v>
      </c>
      <c r="P104" s="189">
        <v>0.98</v>
      </c>
      <c r="Q104" s="190">
        <v>4.53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4.7</v>
      </c>
      <c r="C106" s="183">
        <f>MIN(C9:C104)</f>
        <v>17.93</v>
      </c>
      <c r="D106" s="183">
        <f t="shared" ref="D106:Q106" si="0">MIN(D9:D104)</f>
        <v>14.53</v>
      </c>
      <c r="E106" s="183">
        <f t="shared" si="0"/>
        <v>6.43</v>
      </c>
      <c r="F106" s="183">
        <f t="shared" si="0"/>
        <v>2.4900000000000002</v>
      </c>
      <c r="G106" s="183">
        <f t="shared" si="0"/>
        <v>65.53</v>
      </c>
      <c r="H106" s="183">
        <f t="shared" si="0"/>
        <v>33.479999999999997</v>
      </c>
      <c r="I106" s="183">
        <f t="shared" si="0"/>
        <v>5.0999999999999996</v>
      </c>
      <c r="J106" s="183">
        <f t="shared" si="0"/>
        <v>0.02</v>
      </c>
      <c r="K106" s="183">
        <f t="shared" si="0"/>
        <v>0.09</v>
      </c>
      <c r="L106" s="183">
        <f t="shared" si="0"/>
        <v>17.77</v>
      </c>
      <c r="M106" s="183">
        <f t="shared" si="0"/>
        <v>34.29</v>
      </c>
      <c r="N106" s="183">
        <f t="shared" si="0"/>
        <v>0</v>
      </c>
      <c r="O106" s="183">
        <f t="shared" si="0"/>
        <v>0</v>
      </c>
      <c r="P106" s="183">
        <f t="shared" si="0"/>
        <v>0.67</v>
      </c>
      <c r="Q106" s="183">
        <f t="shared" si="0"/>
        <v>4.1399999999999997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18.32</v>
      </c>
      <c r="C107" s="184">
        <f t="shared" ref="C107:Q107" si="1">MAX(C9:C104)</f>
        <v>32.799999999999997</v>
      </c>
      <c r="D107" s="184">
        <f t="shared" si="1"/>
        <v>31.82</v>
      </c>
      <c r="E107" s="184">
        <f t="shared" si="1"/>
        <v>9.65</v>
      </c>
      <c r="F107" s="184">
        <f t="shared" si="1"/>
        <v>6.52</v>
      </c>
      <c r="G107" s="184">
        <f t="shared" si="1"/>
        <v>126.58</v>
      </c>
      <c r="H107" s="184">
        <f t="shared" si="1"/>
        <v>51.29</v>
      </c>
      <c r="I107" s="184">
        <f t="shared" si="1"/>
        <v>7.97</v>
      </c>
      <c r="J107" s="184">
        <f t="shared" si="1"/>
        <v>0.63</v>
      </c>
      <c r="K107" s="184">
        <f t="shared" si="1"/>
        <v>335.76</v>
      </c>
      <c r="L107" s="184">
        <f t="shared" si="1"/>
        <v>29.07</v>
      </c>
      <c r="M107" s="184">
        <f t="shared" si="1"/>
        <v>84.83</v>
      </c>
      <c r="N107" s="184">
        <f t="shared" si="1"/>
        <v>486.8</v>
      </c>
      <c r="O107" s="184">
        <f t="shared" si="1"/>
        <v>0</v>
      </c>
      <c r="P107" s="184">
        <f t="shared" si="1"/>
        <v>1.03</v>
      </c>
      <c r="Q107" s="184">
        <f t="shared" si="1"/>
        <v>4.68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11.393437500000005</v>
      </c>
      <c r="C108" s="183">
        <f t="shared" ref="C108:Q108" si="2">AVERAGE(C9:C104)</f>
        <v>27.004791666666673</v>
      </c>
      <c r="D108" s="183">
        <f t="shared" si="2"/>
        <v>24.596562499999994</v>
      </c>
      <c r="E108" s="183">
        <f t="shared" si="2"/>
        <v>8.1141666666666659</v>
      </c>
      <c r="F108" s="183">
        <f t="shared" si="2"/>
        <v>3.2542708333333317</v>
      </c>
      <c r="G108" s="183">
        <f t="shared" si="2"/>
        <v>99.717499999999916</v>
      </c>
      <c r="H108" s="183">
        <f t="shared" si="2"/>
        <v>43.470208333333339</v>
      </c>
      <c r="I108" s="183">
        <f t="shared" si="2"/>
        <v>6.5776041666666645</v>
      </c>
      <c r="J108" s="183">
        <f t="shared" si="2"/>
        <v>0.24468750000000006</v>
      </c>
      <c r="K108" s="183">
        <f t="shared" si="2"/>
        <v>93.648124999999993</v>
      </c>
      <c r="L108" s="183">
        <f t="shared" si="2"/>
        <v>22.341562499999998</v>
      </c>
      <c r="M108" s="183">
        <f t="shared" si="2"/>
        <v>63.677812499999995</v>
      </c>
      <c r="N108" s="183">
        <f t="shared" si="2"/>
        <v>101.23333333333336</v>
      </c>
      <c r="O108" s="183">
        <f t="shared" si="2"/>
        <v>0</v>
      </c>
      <c r="P108" s="183">
        <f t="shared" si="2"/>
        <v>0.83031249999999979</v>
      </c>
      <c r="Q108" s="183">
        <f t="shared" si="2"/>
        <v>4.4275000000000002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4.5980819406459688</v>
      </c>
      <c r="C109" s="183">
        <f t="shared" ref="C109:Q109" si="3">STDEV(C9:C104)</f>
        <v>4.1234178411825475</v>
      </c>
      <c r="D109" s="183">
        <f t="shared" si="3"/>
        <v>5.376474256204693</v>
      </c>
      <c r="E109" s="183">
        <f t="shared" si="3"/>
        <v>0.97871523374879488</v>
      </c>
      <c r="F109" s="183">
        <f t="shared" si="3"/>
        <v>0.93664995965933628</v>
      </c>
      <c r="G109" s="183">
        <f t="shared" si="3"/>
        <v>18.562718324075266</v>
      </c>
      <c r="H109" s="183">
        <f t="shared" si="3"/>
        <v>4.6396485754321013</v>
      </c>
      <c r="I109" s="183">
        <f t="shared" si="3"/>
        <v>0.7210149933351323</v>
      </c>
      <c r="J109" s="183">
        <f t="shared" si="3"/>
        <v>0.14139123121027641</v>
      </c>
      <c r="K109" s="183">
        <f t="shared" si="3"/>
        <v>65.646750868609359</v>
      </c>
      <c r="L109" s="183">
        <f t="shared" si="3"/>
        <v>3.9151711203107795</v>
      </c>
      <c r="M109" s="183">
        <f t="shared" si="3"/>
        <v>17.325789308556026</v>
      </c>
      <c r="N109" s="183">
        <f t="shared" si="3"/>
        <v>160.58747651680406</v>
      </c>
      <c r="O109" s="183">
        <f t="shared" si="3"/>
        <v>0</v>
      </c>
      <c r="P109" s="183">
        <f t="shared" si="3"/>
        <v>9.2217741471507797E-2</v>
      </c>
      <c r="Q109" s="183">
        <f t="shared" si="3"/>
        <v>0.17698646989621067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27/11/2023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s="11" customFormat="1">
      <c r="A9" s="6" t="s">
        <v>2735</v>
      </c>
      <c r="B9" s="189">
        <v>13.69</v>
      </c>
      <c r="C9" s="189">
        <v>27.39</v>
      </c>
      <c r="D9" s="189">
        <v>26.64</v>
      </c>
      <c r="E9" s="189">
        <v>9.06</v>
      </c>
      <c r="F9" s="189">
        <v>2.78</v>
      </c>
      <c r="G9" s="189">
        <v>126.58</v>
      </c>
      <c r="H9" s="189">
        <v>51.29</v>
      </c>
      <c r="I9" s="189">
        <v>7.85</v>
      </c>
      <c r="J9" s="189">
        <v>0.04</v>
      </c>
      <c r="K9" s="189">
        <v>232.85</v>
      </c>
      <c r="L9" s="189">
        <v>19.260000000000002</v>
      </c>
      <c r="M9" s="189">
        <v>74.41</v>
      </c>
      <c r="N9" s="189">
        <v>0</v>
      </c>
      <c r="O9" s="189">
        <v>0</v>
      </c>
      <c r="P9" s="189">
        <v>0.95</v>
      </c>
      <c r="Q9" s="190">
        <v>4.51</v>
      </c>
    </row>
    <row r="10" spans="1:21" s="11" customFormat="1">
      <c r="A10" s="6" t="s">
        <v>2736</v>
      </c>
      <c r="B10" s="189">
        <v>13.01</v>
      </c>
      <c r="C10" s="189">
        <v>29.66</v>
      </c>
      <c r="D10" s="189">
        <v>27.28</v>
      </c>
      <c r="E10" s="189">
        <v>8.76</v>
      </c>
      <c r="F10" s="189">
        <v>2.65</v>
      </c>
      <c r="G10" s="189">
        <v>115.67</v>
      </c>
      <c r="H10" s="189">
        <v>50.31</v>
      </c>
      <c r="I10" s="189">
        <v>7.85</v>
      </c>
      <c r="J10" s="189">
        <v>0.11</v>
      </c>
      <c r="K10" s="189">
        <v>91.22</v>
      </c>
      <c r="L10" s="189">
        <v>19.61</v>
      </c>
      <c r="M10" s="189">
        <v>72.05</v>
      </c>
      <c r="N10" s="189">
        <v>0</v>
      </c>
      <c r="O10" s="189">
        <v>0</v>
      </c>
      <c r="P10" s="189">
        <v>0.95</v>
      </c>
      <c r="Q10" s="190">
        <v>4.4800000000000004</v>
      </c>
    </row>
    <row r="11" spans="1:21" s="11" customFormat="1">
      <c r="A11" s="6" t="s">
        <v>2737</v>
      </c>
      <c r="B11" s="189">
        <v>12.41</v>
      </c>
      <c r="C11" s="189">
        <v>30.36</v>
      </c>
      <c r="D11" s="189">
        <v>27.17</v>
      </c>
      <c r="E11" s="189">
        <v>9.24</v>
      </c>
      <c r="F11" s="189">
        <v>2.82</v>
      </c>
      <c r="G11" s="189">
        <v>113.49</v>
      </c>
      <c r="H11" s="189">
        <v>50.31</v>
      </c>
      <c r="I11" s="189">
        <v>7.72</v>
      </c>
      <c r="J11" s="189">
        <v>0.08</v>
      </c>
      <c r="K11" s="189">
        <v>142.41999999999999</v>
      </c>
      <c r="L11" s="189">
        <v>19.95</v>
      </c>
      <c r="M11" s="189">
        <v>71.209999999999994</v>
      </c>
      <c r="N11" s="189">
        <v>0</v>
      </c>
      <c r="O11" s="189">
        <v>0</v>
      </c>
      <c r="P11" s="189">
        <v>0.95</v>
      </c>
      <c r="Q11" s="190">
        <v>4.46</v>
      </c>
    </row>
    <row r="12" spans="1:21" s="11" customFormat="1">
      <c r="A12" s="6" t="s">
        <v>2738</v>
      </c>
      <c r="B12" s="189">
        <v>11.87</v>
      </c>
      <c r="C12" s="189">
        <v>30.25</v>
      </c>
      <c r="D12" s="189">
        <v>26.68</v>
      </c>
      <c r="E12" s="189">
        <v>8.82</v>
      </c>
      <c r="F12" s="189">
        <v>2.97</v>
      </c>
      <c r="G12" s="189">
        <v>113.49</v>
      </c>
      <c r="H12" s="189">
        <v>50.31</v>
      </c>
      <c r="I12" s="189">
        <v>7.67</v>
      </c>
      <c r="J12" s="189">
        <v>0.08</v>
      </c>
      <c r="K12" s="189">
        <v>159.97999999999999</v>
      </c>
      <c r="L12" s="189">
        <v>19.97</v>
      </c>
      <c r="M12" s="189">
        <v>71.7</v>
      </c>
      <c r="N12" s="189">
        <v>0</v>
      </c>
      <c r="O12" s="189">
        <v>0</v>
      </c>
      <c r="P12" s="189">
        <v>0.95</v>
      </c>
      <c r="Q12" s="190">
        <v>4.46</v>
      </c>
    </row>
    <row r="13" spans="1:21" s="11" customFormat="1">
      <c r="A13" s="6" t="s">
        <v>2739</v>
      </c>
      <c r="B13" s="189">
        <v>10.96</v>
      </c>
      <c r="C13" s="189">
        <v>29.99</v>
      </c>
      <c r="D13" s="189">
        <v>25.81</v>
      </c>
      <c r="E13" s="189">
        <v>8.65</v>
      </c>
      <c r="F13" s="189">
        <v>3.16</v>
      </c>
      <c r="G13" s="189">
        <v>113.49</v>
      </c>
      <c r="H13" s="189">
        <v>50.31</v>
      </c>
      <c r="I13" s="189">
        <v>7.56</v>
      </c>
      <c r="J13" s="189">
        <v>0.09</v>
      </c>
      <c r="K13" s="189">
        <v>104.72</v>
      </c>
      <c r="L13" s="189">
        <v>19.899999999999999</v>
      </c>
      <c r="M13" s="189">
        <v>72.34</v>
      </c>
      <c r="N13" s="189">
        <v>0</v>
      </c>
      <c r="O13" s="189">
        <v>0</v>
      </c>
      <c r="P13" s="189">
        <v>0.93</v>
      </c>
      <c r="Q13" s="190">
        <v>4.46</v>
      </c>
    </row>
    <row r="14" spans="1:21" s="11" customFormat="1">
      <c r="A14" s="6" t="s">
        <v>2740</v>
      </c>
      <c r="B14" s="189">
        <v>10.47</v>
      </c>
      <c r="C14" s="189">
        <v>29.91</v>
      </c>
      <c r="D14" s="189">
        <v>25.38</v>
      </c>
      <c r="E14" s="189">
        <v>8.57</v>
      </c>
      <c r="F14" s="189">
        <v>2.87</v>
      </c>
      <c r="G14" s="189">
        <v>100.09</v>
      </c>
      <c r="H14" s="189">
        <v>47.72</v>
      </c>
      <c r="I14" s="189">
        <v>7.43</v>
      </c>
      <c r="J14" s="189">
        <v>0.11</v>
      </c>
      <c r="K14" s="189">
        <v>67.77</v>
      </c>
      <c r="L14" s="189">
        <v>19.690000000000001</v>
      </c>
      <c r="M14" s="189">
        <v>74.12</v>
      </c>
      <c r="N14" s="189">
        <v>0</v>
      </c>
      <c r="O14" s="189">
        <v>0</v>
      </c>
      <c r="P14" s="189">
        <v>0.91</v>
      </c>
      <c r="Q14" s="190">
        <v>4.43</v>
      </c>
    </row>
    <row r="15" spans="1:21" s="11" customFormat="1">
      <c r="A15" s="6" t="s">
        <v>2741</v>
      </c>
      <c r="B15" s="189">
        <v>10.38</v>
      </c>
      <c r="C15" s="189">
        <v>29.97</v>
      </c>
      <c r="D15" s="189">
        <v>25.33</v>
      </c>
      <c r="E15" s="189">
        <v>8.82</v>
      </c>
      <c r="F15" s="189">
        <v>2.93</v>
      </c>
      <c r="G15" s="189">
        <v>97.41</v>
      </c>
      <c r="H15" s="189">
        <v>47.72</v>
      </c>
      <c r="I15" s="189">
        <v>7.26</v>
      </c>
      <c r="J15" s="189">
        <v>7.0000000000000007E-2</v>
      </c>
      <c r="K15" s="189">
        <v>77.569999999999993</v>
      </c>
      <c r="L15" s="189">
        <v>19.48</v>
      </c>
      <c r="M15" s="189">
        <v>74.87</v>
      </c>
      <c r="N15" s="189">
        <v>0</v>
      </c>
      <c r="O15" s="189">
        <v>0</v>
      </c>
      <c r="P15" s="189">
        <v>0.91</v>
      </c>
      <c r="Q15" s="190">
        <v>4.41</v>
      </c>
    </row>
    <row r="16" spans="1:21" s="11" customFormat="1">
      <c r="A16" s="6" t="s">
        <v>2742</v>
      </c>
      <c r="B16" s="189">
        <v>10.210000000000001</v>
      </c>
      <c r="C16" s="189">
        <v>29.52</v>
      </c>
      <c r="D16" s="189">
        <v>24.96</v>
      </c>
      <c r="E16" s="189">
        <v>8.86</v>
      </c>
      <c r="F16" s="189">
        <v>2.95</v>
      </c>
      <c r="G16" s="189">
        <v>97.41</v>
      </c>
      <c r="H16" s="189">
        <v>47.72</v>
      </c>
      <c r="I16" s="189">
        <v>7.13</v>
      </c>
      <c r="J16" s="189">
        <v>0.16</v>
      </c>
      <c r="K16" s="189">
        <v>109.93</v>
      </c>
      <c r="L16" s="189">
        <v>19.34</v>
      </c>
      <c r="M16" s="189">
        <v>75.77</v>
      </c>
      <c r="N16" s="189">
        <v>0</v>
      </c>
      <c r="O16" s="189">
        <v>0</v>
      </c>
      <c r="P16" s="189">
        <v>0.9</v>
      </c>
      <c r="Q16" s="190">
        <v>4.41</v>
      </c>
    </row>
    <row r="17" spans="1:17" s="11" customFormat="1">
      <c r="A17" s="6" t="s">
        <v>2743</v>
      </c>
      <c r="B17" s="189">
        <v>9.81</v>
      </c>
      <c r="C17" s="189">
        <v>29.32</v>
      </c>
      <c r="D17" s="189">
        <v>24.54</v>
      </c>
      <c r="E17" s="189">
        <v>5.77</v>
      </c>
      <c r="F17" s="189">
        <v>2.87</v>
      </c>
      <c r="G17" s="189">
        <v>97.41</v>
      </c>
      <c r="H17" s="189">
        <v>47.72</v>
      </c>
      <c r="I17" s="189">
        <v>7.06</v>
      </c>
      <c r="J17" s="189">
        <v>0.06</v>
      </c>
      <c r="K17" s="189">
        <v>139.18</v>
      </c>
      <c r="L17" s="189">
        <v>19.3</v>
      </c>
      <c r="M17" s="189">
        <v>76.540000000000006</v>
      </c>
      <c r="N17" s="189">
        <v>0</v>
      </c>
      <c r="O17" s="189">
        <v>0</v>
      </c>
      <c r="P17" s="189">
        <v>0.89</v>
      </c>
      <c r="Q17" s="190">
        <v>4.43</v>
      </c>
    </row>
    <row r="18" spans="1:17" s="11" customFormat="1">
      <c r="A18" s="6" t="s">
        <v>2744</v>
      </c>
      <c r="B18" s="189">
        <v>9.4499999999999993</v>
      </c>
      <c r="C18" s="189">
        <v>28.97</v>
      </c>
      <c r="D18" s="189">
        <v>24.07</v>
      </c>
      <c r="E18" s="189">
        <v>6.74</v>
      </c>
      <c r="F18" s="189">
        <v>3.05</v>
      </c>
      <c r="G18" s="189">
        <v>95.4</v>
      </c>
      <c r="H18" s="189">
        <v>44.72</v>
      </c>
      <c r="I18" s="189">
        <v>6.99</v>
      </c>
      <c r="J18" s="189">
        <v>0.16</v>
      </c>
      <c r="K18" s="189">
        <v>164.97</v>
      </c>
      <c r="L18" s="189">
        <v>19.39</v>
      </c>
      <c r="M18" s="189">
        <v>76.959999999999994</v>
      </c>
      <c r="N18" s="189">
        <v>0</v>
      </c>
      <c r="O18" s="189">
        <v>0</v>
      </c>
      <c r="P18" s="189">
        <v>0.87</v>
      </c>
      <c r="Q18" s="190">
        <v>4.4000000000000004</v>
      </c>
    </row>
    <row r="19" spans="1:17" s="11" customFormat="1">
      <c r="A19" s="6" t="s">
        <v>2745</v>
      </c>
      <c r="B19" s="189">
        <v>8.9700000000000006</v>
      </c>
      <c r="C19" s="189">
        <v>28.25</v>
      </c>
      <c r="D19" s="189">
        <v>23.31</v>
      </c>
      <c r="E19" s="189">
        <v>6.66</v>
      </c>
      <c r="F19" s="189">
        <v>3.15</v>
      </c>
      <c r="G19" s="189">
        <v>94.99</v>
      </c>
      <c r="H19" s="189">
        <v>44.72</v>
      </c>
      <c r="I19" s="189">
        <v>6.88</v>
      </c>
      <c r="J19" s="189">
        <v>0.1</v>
      </c>
      <c r="K19" s="189">
        <v>119.6</v>
      </c>
      <c r="L19" s="189">
        <v>19.54</v>
      </c>
      <c r="M19" s="189">
        <v>75.89</v>
      </c>
      <c r="N19" s="189">
        <v>0</v>
      </c>
      <c r="O19" s="189">
        <v>0</v>
      </c>
      <c r="P19" s="189">
        <v>0.87</v>
      </c>
      <c r="Q19" s="190">
        <v>4.37</v>
      </c>
    </row>
    <row r="20" spans="1:17" s="11" customFormat="1">
      <c r="A20" s="6" t="s">
        <v>2746</v>
      </c>
      <c r="B20" s="189">
        <v>8.24</v>
      </c>
      <c r="C20" s="189">
        <v>27.71</v>
      </c>
      <c r="D20" s="189">
        <v>22.44</v>
      </c>
      <c r="E20" s="189">
        <v>6.79</v>
      </c>
      <c r="F20" s="189">
        <v>3.25</v>
      </c>
      <c r="G20" s="189">
        <v>94.99</v>
      </c>
      <c r="H20" s="189">
        <v>44.72</v>
      </c>
      <c r="I20" s="189">
        <v>6.8</v>
      </c>
      <c r="J20" s="189">
        <v>0.09</v>
      </c>
      <c r="K20" s="189">
        <v>141.54</v>
      </c>
      <c r="L20" s="189">
        <v>19.52</v>
      </c>
      <c r="M20" s="189">
        <v>75.73</v>
      </c>
      <c r="N20" s="189">
        <v>0</v>
      </c>
      <c r="O20" s="189">
        <v>0</v>
      </c>
      <c r="P20" s="189">
        <v>0.85</v>
      </c>
      <c r="Q20" s="190">
        <v>4.3499999999999996</v>
      </c>
    </row>
    <row r="21" spans="1:17" s="11" customFormat="1">
      <c r="A21" s="6" t="s">
        <v>2747</v>
      </c>
      <c r="B21" s="189">
        <v>7.7</v>
      </c>
      <c r="C21" s="189">
        <v>27.19</v>
      </c>
      <c r="D21" s="189">
        <v>21.73</v>
      </c>
      <c r="E21" s="189">
        <v>6.99</v>
      </c>
      <c r="F21" s="189">
        <v>3.36</v>
      </c>
      <c r="G21" s="189">
        <v>94.99</v>
      </c>
      <c r="H21" s="189">
        <v>44.72</v>
      </c>
      <c r="I21" s="189">
        <v>6.68</v>
      </c>
      <c r="J21" s="189">
        <v>0.11</v>
      </c>
      <c r="K21" s="189">
        <v>143.22</v>
      </c>
      <c r="L21" s="189">
        <v>19.45</v>
      </c>
      <c r="M21" s="189">
        <v>75.790000000000006</v>
      </c>
      <c r="N21" s="189">
        <v>0</v>
      </c>
      <c r="O21" s="189">
        <v>0</v>
      </c>
      <c r="P21" s="189">
        <v>0.84</v>
      </c>
      <c r="Q21" s="190">
        <v>4.3499999999999996</v>
      </c>
    </row>
    <row r="22" spans="1:17" s="11" customFormat="1">
      <c r="A22" s="6" t="s">
        <v>2748</v>
      </c>
      <c r="B22" s="189">
        <v>7.27</v>
      </c>
      <c r="C22" s="189">
        <v>26.97</v>
      </c>
      <c r="D22" s="189">
        <v>21.27</v>
      </c>
      <c r="E22" s="189">
        <v>6.69</v>
      </c>
      <c r="F22" s="189">
        <v>3.4</v>
      </c>
      <c r="G22" s="189">
        <v>88.43</v>
      </c>
      <c r="H22" s="189">
        <v>44.29</v>
      </c>
      <c r="I22" s="189">
        <v>6.6</v>
      </c>
      <c r="J22" s="189">
        <v>0.13</v>
      </c>
      <c r="K22" s="189">
        <v>154.09</v>
      </c>
      <c r="L22" s="189">
        <v>19.579999999999998</v>
      </c>
      <c r="M22" s="189">
        <v>74.900000000000006</v>
      </c>
      <c r="N22" s="189">
        <v>0</v>
      </c>
      <c r="O22" s="189">
        <v>0</v>
      </c>
      <c r="P22" s="189">
        <v>0.83</v>
      </c>
      <c r="Q22" s="190">
        <v>4.3</v>
      </c>
    </row>
    <row r="23" spans="1:17" s="11" customFormat="1">
      <c r="A23" s="6" t="s">
        <v>2749</v>
      </c>
      <c r="B23" s="189">
        <v>6.96</v>
      </c>
      <c r="C23" s="189">
        <v>26.24</v>
      </c>
      <c r="D23" s="189">
        <v>20.65</v>
      </c>
      <c r="E23" s="189">
        <v>6.77</v>
      </c>
      <c r="F23" s="189">
        <v>3.36</v>
      </c>
      <c r="G23" s="189">
        <v>87.12</v>
      </c>
      <c r="H23" s="189">
        <v>44.29</v>
      </c>
      <c r="I23" s="189">
        <v>6.46</v>
      </c>
      <c r="J23" s="189">
        <v>0.1</v>
      </c>
      <c r="K23" s="189">
        <v>98.14</v>
      </c>
      <c r="L23" s="189">
        <v>19.45</v>
      </c>
      <c r="M23" s="189">
        <v>75.540000000000006</v>
      </c>
      <c r="N23" s="189">
        <v>0</v>
      </c>
      <c r="O23" s="189">
        <v>0</v>
      </c>
      <c r="P23" s="189">
        <v>0.82</v>
      </c>
      <c r="Q23" s="190">
        <v>4.28</v>
      </c>
    </row>
    <row r="24" spans="1:17" s="11" customFormat="1">
      <c r="A24" s="6" t="s">
        <v>2750</v>
      </c>
      <c r="B24" s="189">
        <v>6.88</v>
      </c>
      <c r="C24" s="189">
        <v>26.41</v>
      </c>
      <c r="D24" s="189">
        <v>20.67</v>
      </c>
      <c r="E24" s="189">
        <v>6.86</v>
      </c>
      <c r="F24" s="189">
        <v>3.25</v>
      </c>
      <c r="G24" s="189">
        <v>87.12</v>
      </c>
      <c r="H24" s="189">
        <v>44.29</v>
      </c>
      <c r="I24" s="189">
        <v>6.38</v>
      </c>
      <c r="J24" s="189">
        <v>0.28000000000000003</v>
      </c>
      <c r="K24" s="189">
        <v>52.81</v>
      </c>
      <c r="L24" s="189">
        <v>19.18</v>
      </c>
      <c r="M24" s="189">
        <v>77.55</v>
      </c>
      <c r="N24" s="189">
        <v>0</v>
      </c>
      <c r="O24" s="189">
        <v>0</v>
      </c>
      <c r="P24" s="189">
        <v>0.82</v>
      </c>
      <c r="Q24" s="190">
        <v>4.2699999999999996</v>
      </c>
    </row>
    <row r="25" spans="1:17" s="11" customFormat="1">
      <c r="A25" s="6" t="s">
        <v>2751</v>
      </c>
      <c r="B25" s="189">
        <v>7.01</v>
      </c>
      <c r="C25" s="189">
        <v>26.69</v>
      </c>
      <c r="D25" s="189">
        <v>20.92</v>
      </c>
      <c r="E25" s="189">
        <v>7.03</v>
      </c>
      <c r="F25" s="189">
        <v>2.98</v>
      </c>
      <c r="G25" s="189">
        <v>87.12</v>
      </c>
      <c r="H25" s="189">
        <v>44.29</v>
      </c>
      <c r="I25" s="189">
        <v>6.34</v>
      </c>
      <c r="J25" s="189">
        <v>0.12</v>
      </c>
      <c r="K25" s="189">
        <v>53.72</v>
      </c>
      <c r="L25" s="189">
        <v>18.84</v>
      </c>
      <c r="M25" s="189">
        <v>79.17</v>
      </c>
      <c r="N25" s="189">
        <v>0</v>
      </c>
      <c r="O25" s="189">
        <v>0</v>
      </c>
      <c r="P25" s="189">
        <v>0.81</v>
      </c>
      <c r="Q25" s="190">
        <v>4.2699999999999996</v>
      </c>
    </row>
    <row r="26" spans="1:17" s="11" customFormat="1">
      <c r="A26" s="6" t="s">
        <v>2752</v>
      </c>
      <c r="B26" s="189">
        <v>7.42</v>
      </c>
      <c r="C26" s="189">
        <v>27.1</v>
      </c>
      <c r="D26" s="189">
        <v>21.46</v>
      </c>
      <c r="E26" s="189">
        <v>6.63</v>
      </c>
      <c r="F26" s="189">
        <v>2.78</v>
      </c>
      <c r="G26" s="189">
        <v>86.8</v>
      </c>
      <c r="H26" s="189">
        <v>42.45</v>
      </c>
      <c r="I26" s="189">
        <v>6.29</v>
      </c>
      <c r="J26" s="189">
        <v>0.16</v>
      </c>
      <c r="K26" s="189">
        <v>58.29</v>
      </c>
      <c r="L26" s="189">
        <v>18.57</v>
      </c>
      <c r="M26" s="189">
        <v>80.14</v>
      </c>
      <c r="N26" s="189">
        <v>0</v>
      </c>
      <c r="O26" s="189">
        <v>0</v>
      </c>
      <c r="P26" s="189">
        <v>0.81</v>
      </c>
      <c r="Q26" s="190">
        <v>4.3099999999999996</v>
      </c>
    </row>
    <row r="27" spans="1:17" s="11" customFormat="1">
      <c r="A27" s="6" t="s">
        <v>2753</v>
      </c>
      <c r="B27" s="189">
        <v>7.7</v>
      </c>
      <c r="C27" s="189">
        <v>27.1</v>
      </c>
      <c r="D27" s="189">
        <v>21.69</v>
      </c>
      <c r="E27" s="189">
        <v>6.95</v>
      </c>
      <c r="F27" s="189">
        <v>2.87</v>
      </c>
      <c r="G27" s="189">
        <v>86.74</v>
      </c>
      <c r="H27" s="189">
        <v>42.45</v>
      </c>
      <c r="I27" s="189">
        <v>6.21</v>
      </c>
      <c r="J27" s="189">
        <v>0.11</v>
      </c>
      <c r="K27" s="189">
        <v>77.13</v>
      </c>
      <c r="L27" s="189">
        <v>18.61</v>
      </c>
      <c r="M27" s="189">
        <v>80.489999999999995</v>
      </c>
      <c r="N27" s="189">
        <v>0</v>
      </c>
      <c r="O27" s="189">
        <v>0</v>
      </c>
      <c r="P27" s="189">
        <v>0.8</v>
      </c>
      <c r="Q27" s="190">
        <v>4.3099999999999996</v>
      </c>
    </row>
    <row r="28" spans="1:17" s="11" customFormat="1">
      <c r="A28" s="6" t="s">
        <v>2754</v>
      </c>
      <c r="B28" s="189">
        <v>7.9</v>
      </c>
      <c r="C28" s="189">
        <v>27.24</v>
      </c>
      <c r="D28" s="189">
        <v>21.92</v>
      </c>
      <c r="E28" s="189">
        <v>6.86</v>
      </c>
      <c r="F28" s="189">
        <v>2.78</v>
      </c>
      <c r="G28" s="189">
        <v>86.74</v>
      </c>
      <c r="H28" s="189">
        <v>42.45</v>
      </c>
      <c r="I28" s="189">
        <v>6.22</v>
      </c>
      <c r="J28" s="189">
        <v>0.09</v>
      </c>
      <c r="K28" s="189">
        <v>134.47999999999999</v>
      </c>
      <c r="L28" s="189">
        <v>18.739999999999998</v>
      </c>
      <c r="M28" s="189">
        <v>80.709999999999994</v>
      </c>
      <c r="N28" s="189">
        <v>0</v>
      </c>
      <c r="O28" s="189">
        <v>0</v>
      </c>
      <c r="P28" s="189">
        <v>0.79</v>
      </c>
      <c r="Q28" s="190">
        <v>4.3</v>
      </c>
    </row>
    <row r="29" spans="1:17" s="11" customFormat="1">
      <c r="A29" s="6" t="s">
        <v>2755</v>
      </c>
      <c r="B29" s="189">
        <v>7.92</v>
      </c>
      <c r="C29" s="189">
        <v>27.13</v>
      </c>
      <c r="D29" s="189">
        <v>21.88</v>
      </c>
      <c r="E29" s="189">
        <v>6.83</v>
      </c>
      <c r="F29" s="189">
        <v>2.75</v>
      </c>
      <c r="G29" s="189">
        <v>86.74</v>
      </c>
      <c r="H29" s="189">
        <v>42.45</v>
      </c>
      <c r="I29" s="189">
        <v>6.12</v>
      </c>
      <c r="J29" s="189">
        <v>0.12</v>
      </c>
      <c r="K29" s="189">
        <v>115.28</v>
      </c>
      <c r="L29" s="189">
        <v>18.71</v>
      </c>
      <c r="M29" s="189">
        <v>81.150000000000006</v>
      </c>
      <c r="N29" s="189">
        <v>0</v>
      </c>
      <c r="O29" s="189">
        <v>0</v>
      </c>
      <c r="P29" s="189">
        <v>0.78</v>
      </c>
      <c r="Q29" s="190">
        <v>4.34</v>
      </c>
    </row>
    <row r="30" spans="1:17" s="11" customFormat="1">
      <c r="A30" s="6" t="s">
        <v>2756</v>
      </c>
      <c r="B30" s="189">
        <v>8.07</v>
      </c>
      <c r="C30" s="189">
        <v>27.29</v>
      </c>
      <c r="D30" s="189">
        <v>22.08</v>
      </c>
      <c r="E30" s="189">
        <v>6.68</v>
      </c>
      <c r="F30" s="189">
        <v>2.83</v>
      </c>
      <c r="G30" s="189">
        <v>77.099999999999994</v>
      </c>
      <c r="H30" s="189">
        <v>41.97</v>
      </c>
      <c r="I30" s="189">
        <v>6.12</v>
      </c>
      <c r="J30" s="189">
        <v>0.23</v>
      </c>
      <c r="K30" s="189">
        <v>56.28</v>
      </c>
      <c r="L30" s="189">
        <v>18.45</v>
      </c>
      <c r="M30" s="189">
        <v>82.08</v>
      </c>
      <c r="N30" s="189">
        <v>0</v>
      </c>
      <c r="O30" s="189">
        <v>0</v>
      </c>
      <c r="P30" s="189">
        <v>0.78</v>
      </c>
      <c r="Q30" s="190">
        <v>4.3099999999999996</v>
      </c>
    </row>
    <row r="31" spans="1:17" s="11" customFormat="1">
      <c r="A31" s="6" t="s">
        <v>2757</v>
      </c>
      <c r="B31" s="189">
        <v>8.5399999999999991</v>
      </c>
      <c r="C31" s="189">
        <v>28.2</v>
      </c>
      <c r="D31" s="189">
        <v>22.93</v>
      </c>
      <c r="E31" s="189">
        <v>6.88</v>
      </c>
      <c r="F31" s="189">
        <v>2.68</v>
      </c>
      <c r="G31" s="189">
        <v>75.17</v>
      </c>
      <c r="H31" s="189">
        <v>41.97</v>
      </c>
      <c r="I31" s="189">
        <v>6.09</v>
      </c>
      <c r="J31" s="189">
        <v>0.25</v>
      </c>
      <c r="K31" s="189">
        <v>47.88</v>
      </c>
      <c r="L31" s="189">
        <v>18.3</v>
      </c>
      <c r="M31" s="189">
        <v>82.35</v>
      </c>
      <c r="N31" s="189">
        <v>0</v>
      </c>
      <c r="O31" s="189">
        <v>0</v>
      </c>
      <c r="P31" s="189">
        <v>0.77</v>
      </c>
      <c r="Q31" s="190">
        <v>4.32</v>
      </c>
    </row>
    <row r="32" spans="1:17" s="11" customFormat="1">
      <c r="A32" s="6" t="s">
        <v>2758</v>
      </c>
      <c r="B32" s="189">
        <v>9.0399999999999991</v>
      </c>
      <c r="C32" s="189">
        <v>25.81</v>
      </c>
      <c r="D32" s="189">
        <v>22.09</v>
      </c>
      <c r="E32" s="189">
        <v>6.81</v>
      </c>
      <c r="F32" s="189">
        <v>3.03</v>
      </c>
      <c r="G32" s="189">
        <v>75.17</v>
      </c>
      <c r="H32" s="189">
        <v>41.97</v>
      </c>
      <c r="I32" s="189">
        <v>6.08</v>
      </c>
      <c r="J32" s="189">
        <v>0.36</v>
      </c>
      <c r="K32" s="189">
        <v>46.05</v>
      </c>
      <c r="L32" s="189">
        <v>18.100000000000001</v>
      </c>
      <c r="M32" s="189">
        <v>81.819999999999993</v>
      </c>
      <c r="N32" s="189">
        <v>0</v>
      </c>
      <c r="O32" s="189">
        <v>0</v>
      </c>
      <c r="P32" s="189">
        <v>0.75</v>
      </c>
      <c r="Q32" s="190">
        <v>4.33</v>
      </c>
    </row>
    <row r="33" spans="1:17" s="11" customFormat="1">
      <c r="A33" s="6" t="s">
        <v>2759</v>
      </c>
      <c r="B33" s="189">
        <v>9.16</v>
      </c>
      <c r="C33" s="189">
        <v>26.64</v>
      </c>
      <c r="D33" s="189">
        <v>22.61</v>
      </c>
      <c r="E33" s="189">
        <v>6.6</v>
      </c>
      <c r="F33" s="189">
        <v>2.85</v>
      </c>
      <c r="G33" s="189">
        <v>75.17</v>
      </c>
      <c r="H33" s="189">
        <v>41.97</v>
      </c>
      <c r="I33" s="189">
        <v>6.12</v>
      </c>
      <c r="J33" s="189">
        <v>0.23</v>
      </c>
      <c r="K33" s="189">
        <v>35.82</v>
      </c>
      <c r="L33" s="189">
        <v>18</v>
      </c>
      <c r="M33" s="189">
        <v>82.26</v>
      </c>
      <c r="N33" s="189">
        <v>0</v>
      </c>
      <c r="O33" s="189">
        <v>0</v>
      </c>
      <c r="P33" s="189">
        <v>0.75</v>
      </c>
      <c r="Q33" s="190">
        <v>4.3499999999999996</v>
      </c>
    </row>
    <row r="34" spans="1:17" s="11" customFormat="1">
      <c r="A34" s="6" t="s">
        <v>2760</v>
      </c>
      <c r="B34" s="189">
        <v>9.5500000000000007</v>
      </c>
      <c r="C34" s="189">
        <v>26.63</v>
      </c>
      <c r="D34" s="189">
        <v>22.92</v>
      </c>
      <c r="E34" s="189">
        <v>6.81</v>
      </c>
      <c r="F34" s="189">
        <v>2.82</v>
      </c>
      <c r="G34" s="189">
        <v>81.5</v>
      </c>
      <c r="H34" s="189">
        <v>40.93</v>
      </c>
      <c r="I34" s="189">
        <v>6.11</v>
      </c>
      <c r="J34" s="189">
        <v>0.32</v>
      </c>
      <c r="K34" s="189">
        <v>42.69</v>
      </c>
      <c r="L34" s="189">
        <v>17.88</v>
      </c>
      <c r="M34" s="189">
        <v>83.11</v>
      </c>
      <c r="N34" s="189">
        <v>1.7</v>
      </c>
      <c r="O34" s="189">
        <v>0</v>
      </c>
      <c r="P34" s="189">
        <v>0.74</v>
      </c>
      <c r="Q34" s="190">
        <v>4.3499999999999996</v>
      </c>
    </row>
    <row r="35" spans="1:17" s="11" customFormat="1">
      <c r="A35" s="6" t="s">
        <v>2761</v>
      </c>
      <c r="B35" s="189">
        <v>9.9600000000000009</v>
      </c>
      <c r="C35" s="189">
        <v>27.79</v>
      </c>
      <c r="D35" s="189">
        <v>23.86</v>
      </c>
      <c r="E35" s="189">
        <v>6.59</v>
      </c>
      <c r="F35" s="189">
        <v>2.64</v>
      </c>
      <c r="G35" s="189">
        <v>82.77</v>
      </c>
      <c r="H35" s="189">
        <v>40.93</v>
      </c>
      <c r="I35" s="189">
        <v>6.12</v>
      </c>
      <c r="J35" s="189">
        <v>0.17</v>
      </c>
      <c r="K35" s="189">
        <v>75.849999999999994</v>
      </c>
      <c r="L35" s="189">
        <v>18.100000000000001</v>
      </c>
      <c r="M35" s="189">
        <v>81.650000000000006</v>
      </c>
      <c r="N35" s="189">
        <v>10.8</v>
      </c>
      <c r="O35" s="189">
        <v>0</v>
      </c>
      <c r="P35" s="189">
        <v>0.76</v>
      </c>
      <c r="Q35" s="190">
        <v>4.37</v>
      </c>
    </row>
    <row r="36" spans="1:17" s="11" customFormat="1">
      <c r="A36" s="6" t="s">
        <v>2762</v>
      </c>
      <c r="B36" s="189">
        <v>10.38</v>
      </c>
      <c r="C36" s="189">
        <v>26.74</v>
      </c>
      <c r="D36" s="189">
        <v>23.64</v>
      </c>
      <c r="E36" s="189">
        <v>6.59</v>
      </c>
      <c r="F36" s="189">
        <v>2.81</v>
      </c>
      <c r="G36" s="189">
        <v>82.77</v>
      </c>
      <c r="H36" s="189">
        <v>40.93</v>
      </c>
      <c r="I36" s="189">
        <v>6.12</v>
      </c>
      <c r="J36" s="189">
        <v>0.32</v>
      </c>
      <c r="K36" s="189">
        <v>28.13</v>
      </c>
      <c r="L36" s="189">
        <v>18.239999999999998</v>
      </c>
      <c r="M36" s="189">
        <v>81.7</v>
      </c>
      <c r="N36" s="189">
        <v>16.8</v>
      </c>
      <c r="O36" s="189">
        <v>0</v>
      </c>
      <c r="P36" s="189">
        <v>0.75</v>
      </c>
      <c r="Q36" s="190">
        <v>4.38</v>
      </c>
    </row>
    <row r="37" spans="1:17" s="11" customFormat="1">
      <c r="A37" s="6" t="s">
        <v>2763</v>
      </c>
      <c r="B37" s="189">
        <v>10.9</v>
      </c>
      <c r="C37" s="189">
        <v>27.82</v>
      </c>
      <c r="D37" s="189">
        <v>24.62</v>
      </c>
      <c r="E37" s="189">
        <v>6.62</v>
      </c>
      <c r="F37" s="189">
        <v>2.61</v>
      </c>
      <c r="G37" s="189">
        <v>82.77</v>
      </c>
      <c r="H37" s="189">
        <v>40.93</v>
      </c>
      <c r="I37" s="189">
        <v>6.16</v>
      </c>
      <c r="J37" s="189">
        <v>0.3</v>
      </c>
      <c r="K37" s="189">
        <v>43.17</v>
      </c>
      <c r="L37" s="189">
        <v>18.41</v>
      </c>
      <c r="M37" s="189">
        <v>81.040000000000006</v>
      </c>
      <c r="N37" s="189">
        <v>31</v>
      </c>
      <c r="O37" s="189">
        <v>0</v>
      </c>
      <c r="P37" s="189">
        <v>0.77</v>
      </c>
      <c r="Q37" s="190">
        <v>4.38</v>
      </c>
    </row>
    <row r="38" spans="1:17" s="11" customFormat="1">
      <c r="A38" s="6" t="s">
        <v>2764</v>
      </c>
      <c r="B38" s="189">
        <v>11.24</v>
      </c>
      <c r="C38" s="189">
        <v>26.65</v>
      </c>
      <c r="D38" s="189">
        <v>24.29</v>
      </c>
      <c r="E38" s="189">
        <v>6.88</v>
      </c>
      <c r="F38" s="189">
        <v>2.6</v>
      </c>
      <c r="G38" s="189">
        <v>86.33</v>
      </c>
      <c r="H38" s="189">
        <v>43.82</v>
      </c>
      <c r="I38" s="189">
        <v>6.17</v>
      </c>
      <c r="J38" s="189">
        <v>0.32</v>
      </c>
      <c r="K38" s="189">
        <v>37.6</v>
      </c>
      <c r="L38" s="189">
        <v>18.850000000000001</v>
      </c>
      <c r="M38" s="189">
        <v>79.81</v>
      </c>
      <c r="N38" s="189">
        <v>58.7</v>
      </c>
      <c r="O38" s="189">
        <v>0</v>
      </c>
      <c r="P38" s="189">
        <v>0.76</v>
      </c>
      <c r="Q38" s="190">
        <v>4.4000000000000004</v>
      </c>
    </row>
    <row r="39" spans="1:17" s="11" customFormat="1">
      <c r="A39" s="6" t="s">
        <v>2765</v>
      </c>
      <c r="B39" s="189">
        <v>11.4</v>
      </c>
      <c r="C39" s="189">
        <v>28.13</v>
      </c>
      <c r="D39" s="189">
        <v>25.2</v>
      </c>
      <c r="E39" s="189">
        <v>6.98</v>
      </c>
      <c r="F39" s="189">
        <v>2.54</v>
      </c>
      <c r="G39" s="189">
        <v>87.04</v>
      </c>
      <c r="H39" s="189">
        <v>43.82</v>
      </c>
      <c r="I39" s="189">
        <v>6.37</v>
      </c>
      <c r="J39" s="189">
        <v>0.45</v>
      </c>
      <c r="K39" s="189">
        <v>36.57</v>
      </c>
      <c r="L39" s="189">
        <v>19.329999999999998</v>
      </c>
      <c r="M39" s="189">
        <v>77.95</v>
      </c>
      <c r="N39" s="189">
        <v>79.099999999999994</v>
      </c>
      <c r="O39" s="189">
        <v>0</v>
      </c>
      <c r="P39" s="189">
        <v>0.79</v>
      </c>
      <c r="Q39" s="190">
        <v>4.4000000000000004</v>
      </c>
    </row>
    <row r="40" spans="1:17" s="11" customFormat="1">
      <c r="A40" s="6" t="s">
        <v>2766</v>
      </c>
      <c r="B40" s="189">
        <v>11.5</v>
      </c>
      <c r="C40" s="189">
        <v>26.04</v>
      </c>
      <c r="D40" s="189">
        <v>24.18</v>
      </c>
      <c r="E40" s="189">
        <v>7.26</v>
      </c>
      <c r="F40" s="189">
        <v>2.74</v>
      </c>
      <c r="G40" s="189">
        <v>87.04</v>
      </c>
      <c r="H40" s="189">
        <v>43.82</v>
      </c>
      <c r="I40" s="189">
        <v>6.46</v>
      </c>
      <c r="J40" s="189">
        <v>0.36</v>
      </c>
      <c r="K40" s="189">
        <v>23.06</v>
      </c>
      <c r="L40" s="189">
        <v>19.93</v>
      </c>
      <c r="M40" s="189">
        <v>76.8</v>
      </c>
      <c r="N40" s="189">
        <v>98.5</v>
      </c>
      <c r="O40" s="189">
        <v>0</v>
      </c>
      <c r="P40" s="189">
        <v>0.78</v>
      </c>
      <c r="Q40" s="190">
        <v>4.43</v>
      </c>
    </row>
    <row r="41" spans="1:17" s="11" customFormat="1">
      <c r="A41" s="6" t="s">
        <v>2767</v>
      </c>
      <c r="B41" s="189">
        <v>11.61</v>
      </c>
      <c r="C41" s="189">
        <v>28.06</v>
      </c>
      <c r="D41" s="189">
        <v>25.32</v>
      </c>
      <c r="E41" s="189">
        <v>6.95</v>
      </c>
      <c r="F41" s="189">
        <v>2.72</v>
      </c>
      <c r="G41" s="189">
        <v>87.04</v>
      </c>
      <c r="H41" s="189">
        <v>43.82</v>
      </c>
      <c r="I41" s="189">
        <v>6.64</v>
      </c>
      <c r="J41" s="189">
        <v>0.45</v>
      </c>
      <c r="K41" s="189">
        <v>30.44</v>
      </c>
      <c r="L41" s="189">
        <v>20.420000000000002</v>
      </c>
      <c r="M41" s="189">
        <v>73.069999999999993</v>
      </c>
      <c r="N41" s="189">
        <v>125.1</v>
      </c>
      <c r="O41" s="189">
        <v>0</v>
      </c>
      <c r="P41" s="189">
        <v>0.81</v>
      </c>
      <c r="Q41" s="190">
        <v>4.41</v>
      </c>
    </row>
    <row r="42" spans="1:17" s="11" customFormat="1">
      <c r="A42" s="6" t="s">
        <v>2768</v>
      </c>
      <c r="B42" s="189">
        <v>11.65</v>
      </c>
      <c r="C42" s="189">
        <v>27.21</v>
      </c>
      <c r="D42" s="189">
        <v>24.91</v>
      </c>
      <c r="E42" s="189">
        <v>6.68</v>
      </c>
      <c r="F42" s="189">
        <v>2.88</v>
      </c>
      <c r="G42" s="189">
        <v>85.84</v>
      </c>
      <c r="H42" s="189">
        <v>40.78</v>
      </c>
      <c r="I42" s="189">
        <v>6.67</v>
      </c>
      <c r="J42" s="189">
        <v>0.48</v>
      </c>
      <c r="K42" s="189">
        <v>47.32</v>
      </c>
      <c r="L42" s="189">
        <v>20.71</v>
      </c>
      <c r="M42" s="189">
        <v>70.989999999999995</v>
      </c>
      <c r="N42" s="189">
        <v>89.9</v>
      </c>
      <c r="O42" s="189">
        <v>0</v>
      </c>
      <c r="P42" s="189">
        <v>0.81</v>
      </c>
      <c r="Q42" s="190">
        <v>4.4000000000000004</v>
      </c>
    </row>
    <row r="43" spans="1:17" s="11" customFormat="1">
      <c r="A43" s="6" t="s">
        <v>2769</v>
      </c>
      <c r="B43" s="189">
        <v>11.48</v>
      </c>
      <c r="C43" s="189">
        <v>27.76</v>
      </c>
      <c r="D43" s="189">
        <v>25.06</v>
      </c>
      <c r="E43" s="189">
        <v>6.85</v>
      </c>
      <c r="F43" s="189">
        <v>2.79</v>
      </c>
      <c r="G43" s="189">
        <v>85.6</v>
      </c>
      <c r="H43" s="189">
        <v>40.78</v>
      </c>
      <c r="I43" s="189">
        <v>6.78</v>
      </c>
      <c r="J43" s="189">
        <v>0.45</v>
      </c>
      <c r="K43" s="189">
        <v>50.93</v>
      </c>
      <c r="L43" s="189">
        <v>20.94</v>
      </c>
      <c r="M43" s="189">
        <v>70.23</v>
      </c>
      <c r="N43" s="189">
        <v>90.5</v>
      </c>
      <c r="O43" s="189">
        <v>0</v>
      </c>
      <c r="P43" s="189">
        <v>0.82</v>
      </c>
      <c r="Q43" s="190">
        <v>4.43</v>
      </c>
    </row>
    <row r="44" spans="1:17" s="11" customFormat="1">
      <c r="A44" s="6" t="s">
        <v>2770</v>
      </c>
      <c r="B44" s="189">
        <v>11.19</v>
      </c>
      <c r="C44" s="189">
        <v>26.21</v>
      </c>
      <c r="D44" s="189">
        <v>24.01</v>
      </c>
      <c r="E44" s="189">
        <v>6.76</v>
      </c>
      <c r="F44" s="189">
        <v>2.9</v>
      </c>
      <c r="G44" s="189">
        <v>85.6</v>
      </c>
      <c r="H44" s="189">
        <v>40.78</v>
      </c>
      <c r="I44" s="189">
        <v>6.82</v>
      </c>
      <c r="J44" s="189">
        <v>0.44</v>
      </c>
      <c r="K44" s="189">
        <v>50.2</v>
      </c>
      <c r="L44" s="189">
        <v>21.3</v>
      </c>
      <c r="M44" s="189">
        <v>69.430000000000007</v>
      </c>
      <c r="N44" s="189">
        <v>94.3</v>
      </c>
      <c r="O44" s="189">
        <v>0</v>
      </c>
      <c r="P44" s="189">
        <v>0.82</v>
      </c>
      <c r="Q44" s="190">
        <v>4.41</v>
      </c>
    </row>
    <row r="45" spans="1:17" s="11" customFormat="1">
      <c r="A45" s="6" t="s">
        <v>2771</v>
      </c>
      <c r="B45" s="189">
        <v>10.9</v>
      </c>
      <c r="C45" s="189">
        <v>27.16</v>
      </c>
      <c r="D45" s="189">
        <v>24.28</v>
      </c>
      <c r="E45" s="189">
        <v>7.37</v>
      </c>
      <c r="F45" s="189">
        <v>2.72</v>
      </c>
      <c r="G45" s="189">
        <v>85.6</v>
      </c>
      <c r="H45" s="189">
        <v>40.78</v>
      </c>
      <c r="I45" s="189">
        <v>6.87</v>
      </c>
      <c r="J45" s="189">
        <v>0.41</v>
      </c>
      <c r="K45" s="189">
        <v>47.45</v>
      </c>
      <c r="L45" s="189">
        <v>21.63</v>
      </c>
      <c r="M45" s="189">
        <v>69.180000000000007</v>
      </c>
      <c r="N45" s="189">
        <v>85.6</v>
      </c>
      <c r="O45" s="189">
        <v>0</v>
      </c>
      <c r="P45" s="189">
        <v>0.82</v>
      </c>
      <c r="Q45" s="190">
        <v>4.4000000000000004</v>
      </c>
    </row>
    <row r="46" spans="1:17" s="11" customFormat="1">
      <c r="A46" s="6" t="s">
        <v>2772</v>
      </c>
      <c r="B46" s="189">
        <v>10.7</v>
      </c>
      <c r="C46" s="189">
        <v>26.39</v>
      </c>
      <c r="D46" s="189">
        <v>23.72</v>
      </c>
      <c r="E46" s="189">
        <v>6.9</v>
      </c>
      <c r="F46" s="189">
        <v>2.87</v>
      </c>
      <c r="G46" s="189">
        <v>89.08</v>
      </c>
      <c r="H46" s="189">
        <v>42.98</v>
      </c>
      <c r="I46" s="189">
        <v>6.84</v>
      </c>
      <c r="J46" s="189">
        <v>0.38</v>
      </c>
      <c r="K46" s="189">
        <v>17.73</v>
      </c>
      <c r="L46" s="189">
        <v>21.79</v>
      </c>
      <c r="M46" s="189">
        <v>69.319999999999993</v>
      </c>
      <c r="N46" s="189">
        <v>113.8</v>
      </c>
      <c r="O46" s="189">
        <v>0</v>
      </c>
      <c r="P46" s="189">
        <v>0.82</v>
      </c>
      <c r="Q46" s="190">
        <v>4.42</v>
      </c>
    </row>
    <row r="47" spans="1:17" s="11" customFormat="1">
      <c r="A47" s="6" t="s">
        <v>2773</v>
      </c>
      <c r="B47" s="189">
        <v>10.79</v>
      </c>
      <c r="C47" s="189">
        <v>27.36</v>
      </c>
      <c r="D47" s="189">
        <v>24.3</v>
      </c>
      <c r="E47" s="189">
        <v>7.1</v>
      </c>
      <c r="F47" s="189">
        <v>2.84</v>
      </c>
      <c r="G47" s="189">
        <v>89.77</v>
      </c>
      <c r="H47" s="189">
        <v>42.98</v>
      </c>
      <c r="I47" s="189">
        <v>6.9</v>
      </c>
      <c r="J47" s="189">
        <v>0.45</v>
      </c>
      <c r="K47" s="189">
        <v>23.9</v>
      </c>
      <c r="L47" s="189">
        <v>22.36</v>
      </c>
      <c r="M47" s="189">
        <v>66.91</v>
      </c>
      <c r="N47" s="189">
        <v>161.19999999999999</v>
      </c>
      <c r="O47" s="189">
        <v>0</v>
      </c>
      <c r="P47" s="189">
        <v>0.84</v>
      </c>
      <c r="Q47" s="190">
        <v>4.38</v>
      </c>
    </row>
    <row r="48" spans="1:17" s="11" customFormat="1">
      <c r="A48" s="6" t="s">
        <v>2774</v>
      </c>
      <c r="B48" s="189">
        <v>10.83</v>
      </c>
      <c r="C48" s="189">
        <v>25.85</v>
      </c>
      <c r="D48" s="189">
        <v>23.54</v>
      </c>
      <c r="E48" s="189">
        <v>6.46</v>
      </c>
      <c r="F48" s="189">
        <v>2.97</v>
      </c>
      <c r="G48" s="189">
        <v>89.77</v>
      </c>
      <c r="H48" s="189">
        <v>42.98</v>
      </c>
      <c r="I48" s="189">
        <v>6.92</v>
      </c>
      <c r="J48" s="189">
        <v>0.36</v>
      </c>
      <c r="K48" s="189">
        <v>24.89</v>
      </c>
      <c r="L48" s="189">
        <v>22.73</v>
      </c>
      <c r="M48" s="189">
        <v>65.34</v>
      </c>
      <c r="N48" s="189">
        <v>135.19999999999999</v>
      </c>
      <c r="O48" s="189">
        <v>0</v>
      </c>
      <c r="P48" s="189">
        <v>0.84</v>
      </c>
      <c r="Q48" s="190">
        <v>4.3899999999999997</v>
      </c>
    </row>
    <row r="49" spans="1:17" s="11" customFormat="1">
      <c r="A49" s="6" t="s">
        <v>2775</v>
      </c>
      <c r="B49" s="189">
        <v>10.64</v>
      </c>
      <c r="C49" s="189">
        <v>26.66</v>
      </c>
      <c r="D49" s="189">
        <v>23.81</v>
      </c>
      <c r="E49" s="189">
        <v>8.08</v>
      </c>
      <c r="F49" s="189">
        <v>2.87</v>
      </c>
      <c r="G49" s="189">
        <v>89.77</v>
      </c>
      <c r="H49" s="189">
        <v>42.98</v>
      </c>
      <c r="I49" s="189">
        <v>6.97</v>
      </c>
      <c r="J49" s="189">
        <v>0.43</v>
      </c>
      <c r="K49" s="189">
        <v>37.65</v>
      </c>
      <c r="L49" s="189">
        <v>22.98</v>
      </c>
      <c r="M49" s="189">
        <v>64.040000000000006</v>
      </c>
      <c r="N49" s="189">
        <v>174.7</v>
      </c>
      <c r="O49" s="189">
        <v>0</v>
      </c>
      <c r="P49" s="189">
        <v>0.85</v>
      </c>
      <c r="Q49" s="190">
        <v>4.38</v>
      </c>
    </row>
    <row r="50" spans="1:17" s="11" customFormat="1">
      <c r="A50" s="6" t="s">
        <v>2776</v>
      </c>
      <c r="B50" s="189">
        <v>10.23</v>
      </c>
      <c r="C50" s="189">
        <v>25.52</v>
      </c>
      <c r="D50" s="189">
        <v>22.89</v>
      </c>
      <c r="E50" s="189">
        <v>9.17</v>
      </c>
      <c r="F50" s="189">
        <v>3.21</v>
      </c>
      <c r="G50" s="189">
        <v>91.79</v>
      </c>
      <c r="H50" s="189">
        <v>42.83</v>
      </c>
      <c r="I50" s="189">
        <v>6.98</v>
      </c>
      <c r="J50" s="189">
        <v>0.5</v>
      </c>
      <c r="K50" s="189">
        <v>34.03</v>
      </c>
      <c r="L50" s="189">
        <v>23.34</v>
      </c>
      <c r="M50" s="189">
        <v>63.46</v>
      </c>
      <c r="N50" s="189">
        <v>145.6</v>
      </c>
      <c r="O50" s="189">
        <v>0</v>
      </c>
      <c r="P50" s="189">
        <v>0.86</v>
      </c>
      <c r="Q50" s="190">
        <v>4.37</v>
      </c>
    </row>
    <row r="51" spans="1:17" s="11" customFormat="1">
      <c r="A51" s="6" t="s">
        <v>2777</v>
      </c>
      <c r="B51" s="189">
        <v>9.75</v>
      </c>
      <c r="C51" s="189">
        <v>25.91</v>
      </c>
      <c r="D51" s="189">
        <v>22.71</v>
      </c>
      <c r="E51" s="189">
        <v>8.9600000000000009</v>
      </c>
      <c r="F51" s="189">
        <v>3.2</v>
      </c>
      <c r="G51" s="189">
        <v>92.2</v>
      </c>
      <c r="H51" s="189">
        <v>42.83</v>
      </c>
      <c r="I51" s="189">
        <v>7</v>
      </c>
      <c r="J51" s="189">
        <v>0.51</v>
      </c>
      <c r="K51" s="189">
        <v>27.47</v>
      </c>
      <c r="L51" s="189">
        <v>23.49</v>
      </c>
      <c r="M51" s="189">
        <v>64.180000000000007</v>
      </c>
      <c r="N51" s="189">
        <v>147.69999999999999</v>
      </c>
      <c r="O51" s="189">
        <v>0</v>
      </c>
      <c r="P51" s="189">
        <v>0.88</v>
      </c>
      <c r="Q51" s="190">
        <v>4.3600000000000003</v>
      </c>
    </row>
    <row r="52" spans="1:17" s="11" customFormat="1">
      <c r="A52" s="6" t="s">
        <v>2778</v>
      </c>
      <c r="B52" s="189">
        <v>9.11</v>
      </c>
      <c r="C52" s="189">
        <v>26.62</v>
      </c>
      <c r="D52" s="189">
        <v>22.57</v>
      </c>
      <c r="E52" s="189">
        <v>9.1</v>
      </c>
      <c r="F52" s="189">
        <v>3.53</v>
      </c>
      <c r="G52" s="189">
        <v>92.2</v>
      </c>
      <c r="H52" s="189">
        <v>42.83</v>
      </c>
      <c r="I52" s="189">
        <v>6.97</v>
      </c>
      <c r="J52" s="189">
        <v>0.5</v>
      </c>
      <c r="K52" s="189">
        <v>36.47</v>
      </c>
      <c r="L52" s="189">
        <v>23.65</v>
      </c>
      <c r="M52" s="189">
        <v>63.34</v>
      </c>
      <c r="N52" s="189">
        <v>148.69999999999999</v>
      </c>
      <c r="O52" s="189">
        <v>0</v>
      </c>
      <c r="P52" s="189">
        <v>0.9</v>
      </c>
      <c r="Q52" s="190">
        <v>4.3499999999999996</v>
      </c>
    </row>
    <row r="53" spans="1:17" s="11" customFormat="1">
      <c r="A53" s="6" t="s">
        <v>2779</v>
      </c>
      <c r="B53" s="189">
        <v>8.5</v>
      </c>
      <c r="C53" s="189">
        <v>27.09</v>
      </c>
      <c r="D53" s="189">
        <v>22.32</v>
      </c>
      <c r="E53" s="189">
        <v>9.23</v>
      </c>
      <c r="F53" s="189">
        <v>3.51</v>
      </c>
      <c r="G53" s="189">
        <v>92.2</v>
      </c>
      <c r="H53" s="189">
        <v>42.83</v>
      </c>
      <c r="I53" s="189">
        <v>7.02</v>
      </c>
      <c r="J53" s="189">
        <v>0.45</v>
      </c>
      <c r="K53" s="189">
        <v>29.83</v>
      </c>
      <c r="L53" s="189">
        <v>23.82</v>
      </c>
      <c r="M53" s="189">
        <v>62.71</v>
      </c>
      <c r="N53" s="189">
        <v>158.9</v>
      </c>
      <c r="O53" s="189">
        <v>0</v>
      </c>
      <c r="P53" s="189">
        <v>0.9</v>
      </c>
      <c r="Q53" s="190">
        <v>4.34</v>
      </c>
    </row>
    <row r="54" spans="1:17" s="11" customFormat="1">
      <c r="A54" s="6" t="s">
        <v>2780</v>
      </c>
      <c r="B54" s="189">
        <v>7.99</v>
      </c>
      <c r="C54" s="189">
        <v>27.51</v>
      </c>
      <c r="D54" s="189">
        <v>22.13</v>
      </c>
      <c r="E54" s="189">
        <v>9.11</v>
      </c>
      <c r="F54" s="189">
        <v>3.38</v>
      </c>
      <c r="G54" s="189">
        <v>95.49</v>
      </c>
      <c r="H54" s="189">
        <v>43.44</v>
      </c>
      <c r="I54" s="189">
        <v>7.04</v>
      </c>
      <c r="J54" s="189">
        <v>0.56000000000000005</v>
      </c>
      <c r="K54" s="189">
        <v>33.36</v>
      </c>
      <c r="L54" s="189">
        <v>24.07</v>
      </c>
      <c r="M54" s="189">
        <v>61.64</v>
      </c>
      <c r="N54" s="189">
        <v>153.5</v>
      </c>
      <c r="O54" s="189">
        <v>0</v>
      </c>
      <c r="P54" s="189">
        <v>0.91</v>
      </c>
      <c r="Q54" s="190">
        <v>4.3099999999999996</v>
      </c>
    </row>
    <row r="55" spans="1:17" s="11" customFormat="1">
      <c r="A55" s="6" t="s">
        <v>2781</v>
      </c>
      <c r="B55" s="189">
        <v>7.55</v>
      </c>
      <c r="C55" s="189">
        <v>27.93</v>
      </c>
      <c r="D55" s="189">
        <v>22</v>
      </c>
      <c r="E55" s="189">
        <v>9.18</v>
      </c>
      <c r="F55" s="189">
        <v>3.58</v>
      </c>
      <c r="G55" s="189">
        <v>96.15</v>
      </c>
      <c r="H55" s="189">
        <v>43.44</v>
      </c>
      <c r="I55" s="189">
        <v>7.12</v>
      </c>
      <c r="J55" s="189">
        <v>0.61</v>
      </c>
      <c r="K55" s="189">
        <v>46.92</v>
      </c>
      <c r="L55" s="189">
        <v>24.02</v>
      </c>
      <c r="M55" s="189">
        <v>61.56</v>
      </c>
      <c r="N55" s="189">
        <v>125.7</v>
      </c>
      <c r="O55" s="189">
        <v>0</v>
      </c>
      <c r="P55" s="189">
        <v>0.92</v>
      </c>
      <c r="Q55" s="190">
        <v>4.3</v>
      </c>
    </row>
    <row r="56" spans="1:17" s="11" customFormat="1">
      <c r="A56" s="6" t="s">
        <v>2782</v>
      </c>
      <c r="B56" s="189">
        <v>7.19</v>
      </c>
      <c r="C56" s="189">
        <v>28.26</v>
      </c>
      <c r="D56" s="189">
        <v>21.89</v>
      </c>
      <c r="E56" s="189">
        <v>9.27</v>
      </c>
      <c r="F56" s="189">
        <v>3.58</v>
      </c>
      <c r="G56" s="189">
        <v>96.15</v>
      </c>
      <c r="H56" s="189">
        <v>43.44</v>
      </c>
      <c r="I56" s="189">
        <v>7.21</v>
      </c>
      <c r="J56" s="189">
        <v>0.46</v>
      </c>
      <c r="K56" s="189">
        <v>38.979999999999997</v>
      </c>
      <c r="L56" s="189">
        <v>24.28</v>
      </c>
      <c r="M56" s="189">
        <v>60.32</v>
      </c>
      <c r="N56" s="189">
        <v>119.1</v>
      </c>
      <c r="O56" s="189">
        <v>0</v>
      </c>
      <c r="P56" s="189">
        <v>0.93</v>
      </c>
      <c r="Q56" s="190">
        <v>4.3</v>
      </c>
    </row>
    <row r="57" spans="1:17" s="11" customFormat="1">
      <c r="A57" s="6" t="s">
        <v>2783</v>
      </c>
      <c r="B57" s="189">
        <v>6.92</v>
      </c>
      <c r="C57" s="189">
        <v>28.3</v>
      </c>
      <c r="D57" s="189">
        <v>21.69</v>
      </c>
      <c r="E57" s="189">
        <v>9.93</v>
      </c>
      <c r="F57" s="189">
        <v>3.58</v>
      </c>
      <c r="G57" s="189">
        <v>96.15</v>
      </c>
      <c r="H57" s="189">
        <v>43.44</v>
      </c>
      <c r="I57" s="189">
        <v>7.27</v>
      </c>
      <c r="J57" s="189">
        <v>0.59</v>
      </c>
      <c r="K57" s="189">
        <v>45.2</v>
      </c>
      <c r="L57" s="189">
        <v>24.27</v>
      </c>
      <c r="M57" s="189">
        <v>59.89</v>
      </c>
      <c r="N57" s="189">
        <v>93.1</v>
      </c>
      <c r="O57" s="189">
        <v>0</v>
      </c>
      <c r="P57" s="189">
        <v>0.94</v>
      </c>
      <c r="Q57" s="190">
        <v>4.29</v>
      </c>
    </row>
    <row r="58" spans="1:17" s="11" customFormat="1">
      <c r="A58" s="6" t="s">
        <v>2784</v>
      </c>
      <c r="B58" s="189">
        <v>6.71</v>
      </c>
      <c r="C58" s="189">
        <v>28.61</v>
      </c>
      <c r="D58" s="189">
        <v>21.68</v>
      </c>
      <c r="E58" s="189">
        <v>9.27</v>
      </c>
      <c r="F58" s="189">
        <v>3.82</v>
      </c>
      <c r="G58" s="189">
        <v>103.18</v>
      </c>
      <c r="H58" s="189">
        <v>47.93</v>
      </c>
      <c r="I58" s="189">
        <v>7.3</v>
      </c>
      <c r="J58" s="189">
        <v>0.57999999999999996</v>
      </c>
      <c r="K58" s="189">
        <v>56.29</v>
      </c>
      <c r="L58" s="189">
        <v>24.13</v>
      </c>
      <c r="M58" s="189">
        <v>59.88</v>
      </c>
      <c r="N58" s="189">
        <v>77.599999999999994</v>
      </c>
      <c r="O58" s="189">
        <v>0</v>
      </c>
      <c r="P58" s="189">
        <v>0.95</v>
      </c>
      <c r="Q58" s="190">
        <v>4.29</v>
      </c>
    </row>
    <row r="59" spans="1:17" s="11" customFormat="1">
      <c r="A59" s="6" t="s">
        <v>2785</v>
      </c>
      <c r="B59" s="189">
        <v>6.49</v>
      </c>
      <c r="C59" s="189">
        <v>28.48</v>
      </c>
      <c r="D59" s="189">
        <v>21.43</v>
      </c>
      <c r="E59" s="189">
        <v>9.6</v>
      </c>
      <c r="F59" s="189">
        <v>3.63</v>
      </c>
      <c r="G59" s="189">
        <v>104.59</v>
      </c>
      <c r="H59" s="189">
        <v>47.93</v>
      </c>
      <c r="I59" s="189">
        <v>7.34</v>
      </c>
      <c r="J59" s="189">
        <v>0.34</v>
      </c>
      <c r="K59" s="189">
        <v>72.64</v>
      </c>
      <c r="L59" s="189">
        <v>24.41</v>
      </c>
      <c r="M59" s="189">
        <v>58.74</v>
      </c>
      <c r="N59" s="189">
        <v>81.2</v>
      </c>
      <c r="O59" s="189">
        <v>0</v>
      </c>
      <c r="P59" s="189">
        <v>0.94</v>
      </c>
      <c r="Q59" s="190">
        <v>4.2699999999999996</v>
      </c>
    </row>
    <row r="60" spans="1:17" s="11" customFormat="1">
      <c r="A60" s="6" t="s">
        <v>2786</v>
      </c>
      <c r="B60" s="189">
        <v>6.22</v>
      </c>
      <c r="C60" s="189">
        <v>28.31</v>
      </c>
      <c r="D60" s="189">
        <v>21.13</v>
      </c>
      <c r="E60" s="189">
        <v>9.76</v>
      </c>
      <c r="F60" s="189">
        <v>3.79</v>
      </c>
      <c r="G60" s="189">
        <v>104.59</v>
      </c>
      <c r="H60" s="189">
        <v>47.93</v>
      </c>
      <c r="I60" s="189">
        <v>7.41</v>
      </c>
      <c r="J60" s="189">
        <v>0.16</v>
      </c>
      <c r="K60" s="189">
        <v>106.01</v>
      </c>
      <c r="L60" s="189">
        <v>24.87</v>
      </c>
      <c r="M60" s="189">
        <v>56.13</v>
      </c>
      <c r="N60" s="189">
        <v>119</v>
      </c>
      <c r="O60" s="189">
        <v>0</v>
      </c>
      <c r="P60" s="189">
        <v>0.94</v>
      </c>
      <c r="Q60" s="190">
        <v>4.26</v>
      </c>
    </row>
    <row r="61" spans="1:17" s="11" customFormat="1">
      <c r="A61" s="6" t="s">
        <v>2787</v>
      </c>
      <c r="B61" s="189">
        <v>5.83</v>
      </c>
      <c r="C61" s="189">
        <v>28.08</v>
      </c>
      <c r="D61" s="189">
        <v>20.69</v>
      </c>
      <c r="E61" s="189">
        <v>9.94</v>
      </c>
      <c r="F61" s="189">
        <v>4.05</v>
      </c>
      <c r="G61" s="189">
        <v>104.59</v>
      </c>
      <c r="H61" s="189">
        <v>47.93</v>
      </c>
      <c r="I61" s="189">
        <v>7.39</v>
      </c>
      <c r="J61" s="189">
        <v>0.42</v>
      </c>
      <c r="K61" s="189">
        <v>64.09</v>
      </c>
      <c r="L61" s="189">
        <v>25.23</v>
      </c>
      <c r="M61" s="189">
        <v>53.69</v>
      </c>
      <c r="N61" s="189">
        <v>207.3</v>
      </c>
      <c r="O61" s="189">
        <v>0</v>
      </c>
      <c r="P61" s="189">
        <v>0.94</v>
      </c>
      <c r="Q61" s="190">
        <v>4.26</v>
      </c>
    </row>
    <row r="62" spans="1:17" s="11" customFormat="1">
      <c r="A62" s="6" t="s">
        <v>2788</v>
      </c>
      <c r="B62" s="189">
        <v>5.67</v>
      </c>
      <c r="C62" s="189">
        <v>27.5</v>
      </c>
      <c r="D62" s="189">
        <v>20.27</v>
      </c>
      <c r="E62" s="189">
        <v>10.09</v>
      </c>
      <c r="F62" s="189">
        <v>4.66</v>
      </c>
      <c r="G62" s="189">
        <v>101.22</v>
      </c>
      <c r="H62" s="189">
        <v>47.4</v>
      </c>
      <c r="I62" s="189">
        <v>7.36</v>
      </c>
      <c r="J62" s="189">
        <v>0.27</v>
      </c>
      <c r="K62" s="189">
        <v>55.26</v>
      </c>
      <c r="L62" s="189">
        <v>25.62</v>
      </c>
      <c r="M62" s="189">
        <v>53.01</v>
      </c>
      <c r="N62" s="189">
        <v>233.5</v>
      </c>
      <c r="O62" s="189">
        <v>0</v>
      </c>
      <c r="P62" s="189">
        <v>0.92</v>
      </c>
      <c r="Q62" s="190">
        <v>4.24</v>
      </c>
    </row>
    <row r="63" spans="1:17" s="11" customFormat="1">
      <c r="A63" s="6" t="s">
        <v>2789</v>
      </c>
      <c r="B63" s="189">
        <v>5.52</v>
      </c>
      <c r="C63" s="189">
        <v>27.22</v>
      </c>
      <c r="D63" s="189">
        <v>20</v>
      </c>
      <c r="E63" s="189">
        <v>10.25</v>
      </c>
      <c r="F63" s="189">
        <v>4.29</v>
      </c>
      <c r="G63" s="189">
        <v>100.54</v>
      </c>
      <c r="H63" s="189">
        <v>47.4</v>
      </c>
      <c r="I63" s="189">
        <v>7.32</v>
      </c>
      <c r="J63" s="189">
        <v>0.47</v>
      </c>
      <c r="K63" s="189">
        <v>44.36</v>
      </c>
      <c r="L63" s="189">
        <v>25.78</v>
      </c>
      <c r="M63" s="189">
        <v>51.47</v>
      </c>
      <c r="N63" s="189">
        <v>172.6</v>
      </c>
      <c r="O63" s="189">
        <v>0</v>
      </c>
      <c r="P63" s="189">
        <v>0.93</v>
      </c>
      <c r="Q63" s="190">
        <v>4.2300000000000004</v>
      </c>
    </row>
    <row r="64" spans="1:17" s="11" customFormat="1">
      <c r="A64" s="6" t="s">
        <v>2790</v>
      </c>
      <c r="B64" s="189">
        <v>5.42</v>
      </c>
      <c r="C64" s="189">
        <v>27.23</v>
      </c>
      <c r="D64" s="189">
        <v>19.920000000000002</v>
      </c>
      <c r="E64" s="189">
        <v>9.8800000000000008</v>
      </c>
      <c r="F64" s="189">
        <v>4.18</v>
      </c>
      <c r="G64" s="189">
        <v>100.54</v>
      </c>
      <c r="H64" s="189">
        <v>47.4</v>
      </c>
      <c r="I64" s="189">
        <v>7.33</v>
      </c>
      <c r="J64" s="189">
        <v>0.35</v>
      </c>
      <c r="K64" s="189">
        <v>75.2</v>
      </c>
      <c r="L64" s="189">
        <v>25.67</v>
      </c>
      <c r="M64" s="189">
        <v>49.13</v>
      </c>
      <c r="N64" s="189">
        <v>119.3</v>
      </c>
      <c r="O64" s="189">
        <v>0</v>
      </c>
      <c r="P64" s="189">
        <v>0.93</v>
      </c>
      <c r="Q64" s="190">
        <v>4.22</v>
      </c>
    </row>
    <row r="65" spans="1:17" s="11" customFormat="1">
      <c r="A65" s="6" t="s">
        <v>2791</v>
      </c>
      <c r="B65" s="189">
        <v>5.42</v>
      </c>
      <c r="C65" s="189">
        <v>27</v>
      </c>
      <c r="D65" s="189">
        <v>19.809999999999999</v>
      </c>
      <c r="E65" s="189">
        <v>9.32</v>
      </c>
      <c r="F65" s="189">
        <v>4.3</v>
      </c>
      <c r="G65" s="189">
        <v>100.54</v>
      </c>
      <c r="H65" s="189">
        <v>47.4</v>
      </c>
      <c r="I65" s="189">
        <v>7.37</v>
      </c>
      <c r="J65" s="189">
        <v>0.23</v>
      </c>
      <c r="K65" s="189">
        <v>80.37</v>
      </c>
      <c r="L65" s="189">
        <v>25.77</v>
      </c>
      <c r="M65" s="189">
        <v>48.36</v>
      </c>
      <c r="N65" s="189">
        <v>103.8</v>
      </c>
      <c r="O65" s="189">
        <v>0</v>
      </c>
      <c r="P65" s="189">
        <v>0.89</v>
      </c>
      <c r="Q65" s="190">
        <v>4.22</v>
      </c>
    </row>
    <row r="66" spans="1:17" s="11" customFormat="1">
      <c r="A66" s="6" t="s">
        <v>2792</v>
      </c>
      <c r="B66" s="189">
        <v>5.41</v>
      </c>
      <c r="C66" s="189">
        <v>26.89</v>
      </c>
      <c r="D66" s="189">
        <v>19.739999999999998</v>
      </c>
      <c r="E66" s="189">
        <v>9.1</v>
      </c>
      <c r="F66" s="189">
        <v>4.4000000000000004</v>
      </c>
      <c r="G66" s="189">
        <v>93.25</v>
      </c>
      <c r="H66" s="189">
        <v>44.48</v>
      </c>
      <c r="I66" s="189">
        <v>7.3</v>
      </c>
      <c r="J66" s="189">
        <v>0.32</v>
      </c>
      <c r="K66" s="189">
        <v>77.28</v>
      </c>
      <c r="L66" s="189">
        <v>25.65</v>
      </c>
      <c r="M66" s="189">
        <v>46.07</v>
      </c>
      <c r="N66" s="189">
        <v>86.6</v>
      </c>
      <c r="O66" s="189">
        <v>0</v>
      </c>
      <c r="P66" s="189">
        <v>0.91</v>
      </c>
      <c r="Q66" s="190">
        <v>4.2</v>
      </c>
    </row>
    <row r="67" spans="1:17" s="11" customFormat="1">
      <c r="A67" s="6" t="s">
        <v>2793</v>
      </c>
      <c r="B67" s="189">
        <v>5.38</v>
      </c>
      <c r="C67" s="189">
        <v>26.69</v>
      </c>
      <c r="D67" s="189">
        <v>19.61</v>
      </c>
      <c r="E67" s="189">
        <v>9.9600000000000009</v>
      </c>
      <c r="F67" s="189">
        <v>4.2699999999999996</v>
      </c>
      <c r="G67" s="189">
        <v>91.8</v>
      </c>
      <c r="H67" s="189">
        <v>44.48</v>
      </c>
      <c r="I67" s="189">
        <v>7.25</v>
      </c>
      <c r="J67" s="189">
        <v>0.32</v>
      </c>
      <c r="K67" s="189">
        <v>62.5</v>
      </c>
      <c r="L67" s="189">
        <v>25.31</v>
      </c>
      <c r="M67" s="189">
        <v>48</v>
      </c>
      <c r="N67" s="189">
        <v>47.5</v>
      </c>
      <c r="O67" s="189">
        <v>0</v>
      </c>
      <c r="P67" s="189">
        <v>0.89</v>
      </c>
      <c r="Q67" s="190">
        <v>4.2</v>
      </c>
    </row>
    <row r="68" spans="1:17" s="11" customFormat="1">
      <c r="A68" s="6" t="s">
        <v>2794</v>
      </c>
      <c r="B68" s="189">
        <v>5.33</v>
      </c>
      <c r="C68" s="189">
        <v>26.9</v>
      </c>
      <c r="D68" s="189">
        <v>19.68</v>
      </c>
      <c r="E68" s="189">
        <v>9.44</v>
      </c>
      <c r="F68" s="189">
        <v>4.04</v>
      </c>
      <c r="G68" s="189">
        <v>91.8</v>
      </c>
      <c r="H68" s="189">
        <v>44.48</v>
      </c>
      <c r="I68" s="189">
        <v>7.15</v>
      </c>
      <c r="J68" s="189">
        <v>0.28000000000000003</v>
      </c>
      <c r="K68" s="189">
        <v>66.510000000000005</v>
      </c>
      <c r="L68" s="189">
        <v>25.09</v>
      </c>
      <c r="M68" s="189">
        <v>49.69</v>
      </c>
      <c r="N68" s="189">
        <v>51.8</v>
      </c>
      <c r="O68" s="189">
        <v>0</v>
      </c>
      <c r="P68" s="189">
        <v>0.9</v>
      </c>
      <c r="Q68" s="190">
        <v>4.2300000000000004</v>
      </c>
    </row>
    <row r="69" spans="1:17" s="11" customFormat="1">
      <c r="A69" s="6" t="s">
        <v>2795</v>
      </c>
      <c r="B69" s="189">
        <v>5.33</v>
      </c>
      <c r="C69" s="189">
        <v>27.12</v>
      </c>
      <c r="D69" s="189">
        <v>19.79</v>
      </c>
      <c r="E69" s="189">
        <v>9.33</v>
      </c>
      <c r="F69" s="189">
        <v>4.04</v>
      </c>
      <c r="G69" s="189">
        <v>91.8</v>
      </c>
      <c r="H69" s="189">
        <v>44.48</v>
      </c>
      <c r="I69" s="189">
        <v>7.05</v>
      </c>
      <c r="J69" s="189">
        <v>0.16</v>
      </c>
      <c r="K69" s="189">
        <v>106.59</v>
      </c>
      <c r="L69" s="189">
        <v>25.21</v>
      </c>
      <c r="M69" s="189">
        <v>50.16</v>
      </c>
      <c r="N69" s="189">
        <v>57.3</v>
      </c>
      <c r="O69" s="189">
        <v>0</v>
      </c>
      <c r="P69" s="189">
        <v>0.89</v>
      </c>
      <c r="Q69" s="190">
        <v>4.22</v>
      </c>
    </row>
    <row r="70" spans="1:17" s="11" customFormat="1">
      <c r="A70" s="6" t="s">
        <v>2796</v>
      </c>
      <c r="B70" s="189">
        <v>5.38</v>
      </c>
      <c r="C70" s="189">
        <v>27.24</v>
      </c>
      <c r="D70" s="189">
        <v>19.899999999999999</v>
      </c>
      <c r="E70" s="189">
        <v>9.51</v>
      </c>
      <c r="F70" s="189">
        <v>4.0599999999999996</v>
      </c>
      <c r="G70" s="189">
        <v>86.41</v>
      </c>
      <c r="H70" s="189">
        <v>40.9</v>
      </c>
      <c r="I70" s="189">
        <v>6.97</v>
      </c>
      <c r="J70" s="189">
        <v>0.12</v>
      </c>
      <c r="K70" s="189">
        <v>180.06</v>
      </c>
      <c r="L70" s="189">
        <v>24.74</v>
      </c>
      <c r="M70" s="189">
        <v>54.06</v>
      </c>
      <c r="N70" s="189">
        <v>41.8</v>
      </c>
      <c r="O70" s="189">
        <v>0</v>
      </c>
      <c r="P70" s="189">
        <v>0.87</v>
      </c>
      <c r="Q70" s="190">
        <v>4.22</v>
      </c>
    </row>
    <row r="71" spans="1:17" s="11" customFormat="1">
      <c r="A71" s="6" t="s">
        <v>2797</v>
      </c>
      <c r="B71" s="189">
        <v>5.39</v>
      </c>
      <c r="C71" s="189">
        <v>26.69</v>
      </c>
      <c r="D71" s="189">
        <v>19.62</v>
      </c>
      <c r="E71" s="189">
        <v>9.39</v>
      </c>
      <c r="F71" s="189">
        <v>3.64</v>
      </c>
      <c r="G71" s="189">
        <v>85.34</v>
      </c>
      <c r="H71" s="189">
        <v>40.9</v>
      </c>
      <c r="I71" s="189">
        <v>6.85</v>
      </c>
      <c r="J71" s="189">
        <v>0.34</v>
      </c>
      <c r="K71" s="189">
        <v>52.92</v>
      </c>
      <c r="L71" s="189">
        <v>24.68</v>
      </c>
      <c r="M71" s="189">
        <v>51.2</v>
      </c>
      <c r="N71" s="189">
        <v>48.4</v>
      </c>
      <c r="O71" s="189">
        <v>0</v>
      </c>
      <c r="P71" s="189">
        <v>0.86</v>
      </c>
      <c r="Q71" s="190">
        <v>4.21</v>
      </c>
    </row>
    <row r="72" spans="1:17" s="11" customFormat="1">
      <c r="A72" s="6" t="s">
        <v>2798</v>
      </c>
      <c r="B72" s="189">
        <v>5.63</v>
      </c>
      <c r="C72" s="189">
        <v>24.09</v>
      </c>
      <c r="D72" s="189">
        <v>18.45</v>
      </c>
      <c r="E72" s="189">
        <v>9.2100000000000009</v>
      </c>
      <c r="F72" s="189">
        <v>3.48</v>
      </c>
      <c r="G72" s="189">
        <v>85.34</v>
      </c>
      <c r="H72" s="189">
        <v>40.9</v>
      </c>
      <c r="I72" s="189">
        <v>6.81</v>
      </c>
      <c r="J72" s="189">
        <v>0.41</v>
      </c>
      <c r="K72" s="189">
        <v>53.89</v>
      </c>
      <c r="L72" s="189">
        <v>24.69</v>
      </c>
      <c r="M72" s="189">
        <v>50.85</v>
      </c>
      <c r="N72" s="189">
        <v>37.299999999999997</v>
      </c>
      <c r="O72" s="189">
        <v>0</v>
      </c>
      <c r="P72" s="189">
        <v>0.85</v>
      </c>
      <c r="Q72" s="190">
        <v>4.21</v>
      </c>
    </row>
    <row r="73" spans="1:17" s="11" customFormat="1">
      <c r="A73" s="6" t="s">
        <v>2799</v>
      </c>
      <c r="B73" s="189">
        <v>5.93</v>
      </c>
      <c r="C73" s="189">
        <v>23.31</v>
      </c>
      <c r="D73" s="189">
        <v>18.28</v>
      </c>
      <c r="E73" s="189">
        <v>9.06</v>
      </c>
      <c r="F73" s="189">
        <v>3.22</v>
      </c>
      <c r="G73" s="189">
        <v>85.34</v>
      </c>
      <c r="H73" s="189">
        <v>40.9</v>
      </c>
      <c r="I73" s="189">
        <v>6.75</v>
      </c>
      <c r="J73" s="189">
        <v>0.32</v>
      </c>
      <c r="K73" s="189">
        <v>53.66</v>
      </c>
      <c r="L73" s="189">
        <v>24.6</v>
      </c>
      <c r="M73" s="189">
        <v>51.29</v>
      </c>
      <c r="N73" s="189">
        <v>48.9</v>
      </c>
      <c r="O73" s="189">
        <v>0</v>
      </c>
      <c r="P73" s="189">
        <v>0.84</v>
      </c>
      <c r="Q73" s="190">
        <v>4.21</v>
      </c>
    </row>
    <row r="74" spans="1:17" s="11" customFormat="1">
      <c r="A74" s="6" t="s">
        <v>2800</v>
      </c>
      <c r="B74" s="189">
        <v>6.3</v>
      </c>
      <c r="C74" s="189">
        <v>24.64</v>
      </c>
      <c r="D74" s="189">
        <v>19.28</v>
      </c>
      <c r="E74" s="189">
        <v>9.0299999999999994</v>
      </c>
      <c r="F74" s="189">
        <v>3.08</v>
      </c>
      <c r="G74" s="189">
        <v>87</v>
      </c>
      <c r="H74" s="189">
        <v>41.23</v>
      </c>
      <c r="I74" s="189">
        <v>6.73</v>
      </c>
      <c r="J74" s="189">
        <v>0.3</v>
      </c>
      <c r="K74" s="189">
        <v>58.84</v>
      </c>
      <c r="L74" s="189">
        <v>24.7</v>
      </c>
      <c r="M74" s="189">
        <v>50.69</v>
      </c>
      <c r="N74" s="189">
        <v>38.9</v>
      </c>
      <c r="O74" s="189">
        <v>0</v>
      </c>
      <c r="P74" s="189">
        <v>0.84</v>
      </c>
      <c r="Q74" s="190">
        <v>4.21</v>
      </c>
    </row>
    <row r="75" spans="1:17" s="11" customFormat="1">
      <c r="A75" s="6" t="s">
        <v>2801</v>
      </c>
      <c r="B75" s="189">
        <v>6.57</v>
      </c>
      <c r="C75" s="189">
        <v>24.22</v>
      </c>
      <c r="D75" s="189">
        <v>19.27</v>
      </c>
      <c r="E75" s="189">
        <v>8.18</v>
      </c>
      <c r="F75" s="189">
        <v>3.17</v>
      </c>
      <c r="G75" s="189">
        <v>87.34</v>
      </c>
      <c r="H75" s="189">
        <v>41.23</v>
      </c>
      <c r="I75" s="189">
        <v>6.81</v>
      </c>
      <c r="J75" s="189">
        <v>0.16</v>
      </c>
      <c r="K75" s="189">
        <v>93.15</v>
      </c>
      <c r="L75" s="189">
        <v>24.35</v>
      </c>
      <c r="M75" s="189">
        <v>54.45</v>
      </c>
      <c r="N75" s="189">
        <v>8.9</v>
      </c>
      <c r="O75" s="189">
        <v>0</v>
      </c>
      <c r="P75" s="189">
        <v>0.84</v>
      </c>
      <c r="Q75" s="190">
        <v>4.22</v>
      </c>
    </row>
    <row r="76" spans="1:17" s="11" customFormat="1">
      <c r="A76" s="6" t="s">
        <v>2802</v>
      </c>
      <c r="B76" s="189">
        <v>6.78</v>
      </c>
      <c r="C76" s="189">
        <v>25.4</v>
      </c>
      <c r="D76" s="189">
        <v>20.059999999999999</v>
      </c>
      <c r="E76" s="189">
        <v>8.51</v>
      </c>
      <c r="F76" s="189">
        <v>3.06</v>
      </c>
      <c r="G76" s="189">
        <v>87.34</v>
      </c>
      <c r="H76" s="189">
        <v>41.23</v>
      </c>
      <c r="I76" s="189">
        <v>6.8</v>
      </c>
      <c r="J76" s="189">
        <v>0.17</v>
      </c>
      <c r="K76" s="189">
        <v>57.45</v>
      </c>
      <c r="L76" s="189">
        <v>23.63</v>
      </c>
      <c r="M76" s="189">
        <v>56.61</v>
      </c>
      <c r="N76" s="189">
        <v>0</v>
      </c>
      <c r="O76" s="189">
        <v>0</v>
      </c>
      <c r="P76" s="189">
        <v>0.85</v>
      </c>
      <c r="Q76" s="190">
        <v>4.2300000000000004</v>
      </c>
    </row>
    <row r="77" spans="1:17" s="11" customFormat="1">
      <c r="A77" s="6" t="s">
        <v>2803</v>
      </c>
      <c r="B77" s="189">
        <v>7.07</v>
      </c>
      <c r="C77" s="189">
        <v>24.78</v>
      </c>
      <c r="D77" s="189">
        <v>19.97</v>
      </c>
      <c r="E77" s="189">
        <v>8.36</v>
      </c>
      <c r="F77" s="189">
        <v>2.96</v>
      </c>
      <c r="G77" s="189">
        <v>87.34</v>
      </c>
      <c r="H77" s="189">
        <v>41.23</v>
      </c>
      <c r="I77" s="189">
        <v>6.74</v>
      </c>
      <c r="J77" s="189">
        <v>0.19</v>
      </c>
      <c r="K77" s="189">
        <v>57.45</v>
      </c>
      <c r="L77" s="189">
        <v>23.27</v>
      </c>
      <c r="M77" s="189">
        <v>58.27</v>
      </c>
      <c r="N77" s="189">
        <v>0</v>
      </c>
      <c r="O77" s="189">
        <v>0</v>
      </c>
      <c r="P77" s="189">
        <v>0.86</v>
      </c>
      <c r="Q77" s="190">
        <v>4.26</v>
      </c>
    </row>
    <row r="78" spans="1:17" s="11" customFormat="1">
      <c r="A78" s="6" t="s">
        <v>2804</v>
      </c>
      <c r="B78" s="189">
        <v>7.42</v>
      </c>
      <c r="C78" s="189">
        <v>26.38</v>
      </c>
      <c r="D78" s="189">
        <v>21.08</v>
      </c>
      <c r="E78" s="189">
        <v>8.94</v>
      </c>
      <c r="F78" s="189">
        <v>2.88</v>
      </c>
      <c r="G78" s="189">
        <v>95.53</v>
      </c>
      <c r="H78" s="189">
        <v>42.63</v>
      </c>
      <c r="I78" s="189">
        <v>6.77</v>
      </c>
      <c r="J78" s="189">
        <v>0.23</v>
      </c>
      <c r="K78" s="189">
        <v>45.52</v>
      </c>
      <c r="L78" s="189">
        <v>23.08</v>
      </c>
      <c r="M78" s="189">
        <v>57.78</v>
      </c>
      <c r="N78" s="189">
        <v>0</v>
      </c>
      <c r="O78" s="189">
        <v>0</v>
      </c>
      <c r="P78" s="189">
        <v>0.89</v>
      </c>
      <c r="Q78" s="190">
        <v>4.26</v>
      </c>
    </row>
    <row r="79" spans="1:17" s="11" customFormat="1">
      <c r="A79" s="6" t="s">
        <v>2805</v>
      </c>
      <c r="B79" s="189">
        <v>7.85</v>
      </c>
      <c r="C79" s="189">
        <v>26.46</v>
      </c>
      <c r="D79" s="189">
        <v>21.47</v>
      </c>
      <c r="E79" s="189">
        <v>8.74</v>
      </c>
      <c r="F79" s="189">
        <v>2.73</v>
      </c>
      <c r="G79" s="189">
        <v>97.17</v>
      </c>
      <c r="H79" s="189">
        <v>42.63</v>
      </c>
      <c r="I79" s="189">
        <v>6.82</v>
      </c>
      <c r="J79" s="189">
        <v>0.37</v>
      </c>
      <c r="K79" s="189">
        <v>49.64</v>
      </c>
      <c r="L79" s="189">
        <v>23.04</v>
      </c>
      <c r="M79" s="189">
        <v>57.83</v>
      </c>
      <c r="N79" s="189">
        <v>0</v>
      </c>
      <c r="O79" s="189">
        <v>0</v>
      </c>
      <c r="P79" s="189">
        <v>0.9</v>
      </c>
      <c r="Q79" s="190">
        <v>4.29</v>
      </c>
    </row>
    <row r="80" spans="1:17" s="11" customFormat="1">
      <c r="A80" s="6" t="s">
        <v>2806</v>
      </c>
      <c r="B80" s="189">
        <v>8.58</v>
      </c>
      <c r="C80" s="189">
        <v>28.09</v>
      </c>
      <c r="D80" s="189">
        <v>22.91</v>
      </c>
      <c r="E80" s="189">
        <v>9.6199999999999992</v>
      </c>
      <c r="F80" s="189">
        <v>2.75</v>
      </c>
      <c r="G80" s="189">
        <v>97.17</v>
      </c>
      <c r="H80" s="189">
        <v>42.63</v>
      </c>
      <c r="I80" s="189">
        <v>7.09</v>
      </c>
      <c r="J80" s="189">
        <v>0.21</v>
      </c>
      <c r="K80" s="189">
        <v>61.05</v>
      </c>
      <c r="L80" s="189">
        <v>23.01</v>
      </c>
      <c r="M80" s="189">
        <v>58.11</v>
      </c>
      <c r="N80" s="189">
        <v>0</v>
      </c>
      <c r="O80" s="189">
        <v>0</v>
      </c>
      <c r="P80" s="189">
        <v>0.93</v>
      </c>
      <c r="Q80" s="190">
        <v>4.32</v>
      </c>
    </row>
    <row r="81" spans="1:17" s="11" customFormat="1">
      <c r="A81" s="6" t="s">
        <v>2807</v>
      </c>
      <c r="B81" s="189">
        <v>9.02</v>
      </c>
      <c r="C81" s="189">
        <v>27.63</v>
      </c>
      <c r="D81" s="189">
        <v>23.02</v>
      </c>
      <c r="E81" s="189">
        <v>7.83</v>
      </c>
      <c r="F81" s="189">
        <v>2.77</v>
      </c>
      <c r="G81" s="189">
        <v>97.17</v>
      </c>
      <c r="H81" s="189">
        <v>42.63</v>
      </c>
      <c r="I81" s="189">
        <v>7.26</v>
      </c>
      <c r="J81" s="189">
        <v>0.27</v>
      </c>
      <c r="K81" s="189">
        <v>39.1</v>
      </c>
      <c r="L81" s="189">
        <v>22.73</v>
      </c>
      <c r="M81" s="189">
        <v>59.6</v>
      </c>
      <c r="N81" s="189">
        <v>0</v>
      </c>
      <c r="O81" s="189">
        <v>0</v>
      </c>
      <c r="P81" s="189">
        <v>0.95</v>
      </c>
      <c r="Q81" s="190">
        <v>4.34</v>
      </c>
    </row>
    <row r="82" spans="1:17" s="11" customFormat="1">
      <c r="A82" s="6" t="s">
        <v>2808</v>
      </c>
      <c r="B82" s="189">
        <v>9.58</v>
      </c>
      <c r="C82" s="189">
        <v>28.61</v>
      </c>
      <c r="D82" s="189">
        <v>23.98</v>
      </c>
      <c r="E82" s="189">
        <v>8.98</v>
      </c>
      <c r="F82" s="189">
        <v>2.65</v>
      </c>
      <c r="G82" s="189">
        <v>110.87</v>
      </c>
      <c r="H82" s="189">
        <v>44.64</v>
      </c>
      <c r="I82" s="189">
        <v>7.46</v>
      </c>
      <c r="J82" s="189">
        <v>0.22</v>
      </c>
      <c r="K82" s="189">
        <v>39.76</v>
      </c>
      <c r="L82" s="189">
        <v>22.61</v>
      </c>
      <c r="M82" s="189">
        <v>59.62</v>
      </c>
      <c r="N82" s="189">
        <v>0</v>
      </c>
      <c r="O82" s="189">
        <v>0</v>
      </c>
      <c r="P82" s="189">
        <v>0.98</v>
      </c>
      <c r="Q82" s="190">
        <v>4.33</v>
      </c>
    </row>
    <row r="83" spans="1:17" s="11" customFormat="1">
      <c r="A83" s="6" t="s">
        <v>2809</v>
      </c>
      <c r="B83" s="189">
        <v>10.61</v>
      </c>
      <c r="C83" s="189">
        <v>28.36</v>
      </c>
      <c r="D83" s="189">
        <v>24.68</v>
      </c>
      <c r="E83" s="189">
        <v>9.18</v>
      </c>
      <c r="F83" s="189">
        <v>2.78</v>
      </c>
      <c r="G83" s="189">
        <v>113.61</v>
      </c>
      <c r="H83" s="189">
        <v>44.64</v>
      </c>
      <c r="I83" s="189">
        <v>7.54</v>
      </c>
      <c r="J83" s="189">
        <v>0.37</v>
      </c>
      <c r="K83" s="189">
        <v>54.51</v>
      </c>
      <c r="L83" s="189">
        <v>22.47</v>
      </c>
      <c r="M83" s="189">
        <v>59.67</v>
      </c>
      <c r="N83" s="189">
        <v>0</v>
      </c>
      <c r="O83" s="189">
        <v>0</v>
      </c>
      <c r="P83" s="189">
        <v>0.98</v>
      </c>
      <c r="Q83" s="190">
        <v>4.37</v>
      </c>
    </row>
    <row r="84" spans="1:17" s="11" customFormat="1">
      <c r="A84" s="6" t="s">
        <v>2810</v>
      </c>
      <c r="B84" s="189">
        <v>11.68</v>
      </c>
      <c r="C84" s="189">
        <v>30.27</v>
      </c>
      <c r="D84" s="189">
        <v>26.53</v>
      </c>
      <c r="E84" s="189">
        <v>8.74</v>
      </c>
      <c r="F84" s="189">
        <v>2.6</v>
      </c>
      <c r="G84" s="189">
        <v>113.61</v>
      </c>
      <c r="H84" s="189">
        <v>44.64</v>
      </c>
      <c r="I84" s="189">
        <v>7.69</v>
      </c>
      <c r="J84" s="189">
        <v>0.27</v>
      </c>
      <c r="K84" s="189">
        <v>56.9</v>
      </c>
      <c r="L84" s="189">
        <v>22.41</v>
      </c>
      <c r="M84" s="189">
        <v>59.04</v>
      </c>
      <c r="N84" s="189">
        <v>0</v>
      </c>
      <c r="O84" s="189">
        <v>0</v>
      </c>
      <c r="P84" s="189">
        <v>1.02</v>
      </c>
      <c r="Q84" s="190">
        <v>4.41</v>
      </c>
    </row>
    <row r="85" spans="1:17" s="11" customFormat="1">
      <c r="A85" s="6" t="s">
        <v>2811</v>
      </c>
      <c r="B85" s="189">
        <v>12.1</v>
      </c>
      <c r="C85" s="189">
        <v>29.37</v>
      </c>
      <c r="D85" s="189">
        <v>26.4</v>
      </c>
      <c r="E85" s="189">
        <v>8.94</v>
      </c>
      <c r="F85" s="189">
        <v>2.83</v>
      </c>
      <c r="G85" s="189">
        <v>113.61</v>
      </c>
      <c r="H85" s="189">
        <v>44.64</v>
      </c>
      <c r="I85" s="189">
        <v>7.74</v>
      </c>
      <c r="J85" s="189">
        <v>0.23</v>
      </c>
      <c r="K85" s="189">
        <v>53.32</v>
      </c>
      <c r="L85" s="189">
        <v>22.37</v>
      </c>
      <c r="M85" s="189">
        <v>60</v>
      </c>
      <c r="N85" s="189">
        <v>0</v>
      </c>
      <c r="O85" s="189">
        <v>0</v>
      </c>
      <c r="P85" s="189">
        <v>1.01</v>
      </c>
      <c r="Q85" s="190">
        <v>4.4400000000000004</v>
      </c>
    </row>
    <row r="86" spans="1:17" s="11" customFormat="1">
      <c r="A86" s="6" t="s">
        <v>2812</v>
      </c>
      <c r="B86" s="189">
        <v>12.44</v>
      </c>
      <c r="C86" s="189">
        <v>30.81</v>
      </c>
      <c r="D86" s="189">
        <v>27.42</v>
      </c>
      <c r="E86" s="189">
        <v>9.0500000000000007</v>
      </c>
      <c r="F86" s="189">
        <v>2.71</v>
      </c>
      <c r="G86" s="189">
        <v>124.7</v>
      </c>
      <c r="H86" s="189">
        <v>48.48</v>
      </c>
      <c r="I86" s="189">
        <v>7.93</v>
      </c>
      <c r="J86" s="189">
        <v>0.32</v>
      </c>
      <c r="K86" s="189">
        <v>38.979999999999997</v>
      </c>
      <c r="L86" s="189">
        <v>22.23</v>
      </c>
      <c r="M86" s="189">
        <v>60.96</v>
      </c>
      <c r="N86" s="189">
        <v>0</v>
      </c>
      <c r="O86" s="189">
        <v>0</v>
      </c>
      <c r="P86" s="189">
        <v>1.04</v>
      </c>
      <c r="Q86" s="190">
        <v>4.45</v>
      </c>
    </row>
    <row r="87" spans="1:17" s="11" customFormat="1">
      <c r="A87" s="6" t="s">
        <v>2813</v>
      </c>
      <c r="B87" s="189">
        <v>12.84</v>
      </c>
      <c r="C87" s="189">
        <v>31.46</v>
      </c>
      <c r="D87" s="189">
        <v>28.09</v>
      </c>
      <c r="E87" s="189">
        <v>9.14</v>
      </c>
      <c r="F87" s="189">
        <v>2.64</v>
      </c>
      <c r="G87" s="189">
        <v>126.91</v>
      </c>
      <c r="H87" s="189">
        <v>48.48</v>
      </c>
      <c r="I87" s="189">
        <v>7.98</v>
      </c>
      <c r="J87" s="189">
        <v>0.33</v>
      </c>
      <c r="K87" s="189">
        <v>59.06</v>
      </c>
      <c r="L87" s="189">
        <v>22.12</v>
      </c>
      <c r="M87" s="189">
        <v>61.7</v>
      </c>
      <c r="N87" s="189">
        <v>0</v>
      </c>
      <c r="O87" s="189">
        <v>0</v>
      </c>
      <c r="P87" s="189">
        <v>1.06</v>
      </c>
      <c r="Q87" s="190">
        <v>4.5</v>
      </c>
    </row>
    <row r="88" spans="1:17" s="11" customFormat="1">
      <c r="A88" s="6" t="s">
        <v>2814</v>
      </c>
      <c r="B88" s="189">
        <v>13.04</v>
      </c>
      <c r="C88" s="189">
        <v>30.3</v>
      </c>
      <c r="D88" s="189">
        <v>27.64</v>
      </c>
      <c r="E88" s="189">
        <v>9.34</v>
      </c>
      <c r="F88" s="189">
        <v>2.76</v>
      </c>
      <c r="G88" s="189">
        <v>126.91</v>
      </c>
      <c r="H88" s="189">
        <v>48.48</v>
      </c>
      <c r="I88" s="189">
        <v>8.08</v>
      </c>
      <c r="J88" s="189">
        <v>0.25</v>
      </c>
      <c r="K88" s="189">
        <v>42.63</v>
      </c>
      <c r="L88" s="189">
        <v>21.99</v>
      </c>
      <c r="M88" s="189">
        <v>63.02</v>
      </c>
      <c r="N88" s="189">
        <v>0</v>
      </c>
      <c r="O88" s="189">
        <v>0</v>
      </c>
      <c r="P88" s="189">
        <v>1.06</v>
      </c>
      <c r="Q88" s="190">
        <v>4.4800000000000004</v>
      </c>
    </row>
    <row r="89" spans="1:17" s="11" customFormat="1">
      <c r="A89" s="6" t="s">
        <v>2815</v>
      </c>
      <c r="B89" s="189">
        <v>13.33</v>
      </c>
      <c r="C89" s="189">
        <v>31.56</v>
      </c>
      <c r="D89" s="189">
        <v>28.53</v>
      </c>
      <c r="E89" s="189">
        <v>9.0299999999999994</v>
      </c>
      <c r="F89" s="189">
        <v>2.64</v>
      </c>
      <c r="G89" s="189">
        <v>126.91</v>
      </c>
      <c r="H89" s="189">
        <v>48.48</v>
      </c>
      <c r="I89" s="189">
        <v>8.2100000000000009</v>
      </c>
      <c r="J89" s="189">
        <v>0.41</v>
      </c>
      <c r="K89" s="189">
        <v>46.4</v>
      </c>
      <c r="L89" s="189">
        <v>21.9</v>
      </c>
      <c r="M89" s="189">
        <v>63.77</v>
      </c>
      <c r="N89" s="189">
        <v>0</v>
      </c>
      <c r="O89" s="189">
        <v>0</v>
      </c>
      <c r="P89" s="189">
        <v>1.0900000000000001</v>
      </c>
      <c r="Q89" s="190">
        <v>4.51</v>
      </c>
    </row>
    <row r="90" spans="1:17" s="11" customFormat="1">
      <c r="A90" s="6" t="s">
        <v>2816</v>
      </c>
      <c r="B90" s="189">
        <v>13.45</v>
      </c>
      <c r="C90" s="189">
        <v>31.03</v>
      </c>
      <c r="D90" s="189">
        <v>28.35</v>
      </c>
      <c r="E90" s="189">
        <v>9.24</v>
      </c>
      <c r="F90" s="189">
        <v>2.74</v>
      </c>
      <c r="G90" s="189">
        <v>131.87</v>
      </c>
      <c r="H90" s="189">
        <v>53.59</v>
      </c>
      <c r="I90" s="189">
        <v>8.2799999999999994</v>
      </c>
      <c r="J90" s="189">
        <v>0.4</v>
      </c>
      <c r="K90" s="189">
        <v>31.88</v>
      </c>
      <c r="L90" s="189">
        <v>21.78</v>
      </c>
      <c r="M90" s="189">
        <v>65.150000000000006</v>
      </c>
      <c r="N90" s="189">
        <v>0</v>
      </c>
      <c r="O90" s="189">
        <v>0</v>
      </c>
      <c r="P90" s="189">
        <v>1.1200000000000001</v>
      </c>
      <c r="Q90" s="190">
        <v>4.5</v>
      </c>
    </row>
    <row r="91" spans="1:17" s="11" customFormat="1">
      <c r="A91" s="6" t="s">
        <v>2817</v>
      </c>
      <c r="B91" s="189">
        <v>13.29</v>
      </c>
      <c r="C91" s="189">
        <v>31.4</v>
      </c>
      <c r="D91" s="189">
        <v>28.42</v>
      </c>
      <c r="E91" s="189">
        <v>8.8000000000000007</v>
      </c>
      <c r="F91" s="189">
        <v>2.86</v>
      </c>
      <c r="G91" s="189">
        <v>132.87</v>
      </c>
      <c r="H91" s="189">
        <v>53.59</v>
      </c>
      <c r="I91" s="189">
        <v>8.3699999999999992</v>
      </c>
      <c r="J91" s="189">
        <v>0.38</v>
      </c>
      <c r="K91" s="189">
        <v>33.299999999999997</v>
      </c>
      <c r="L91" s="189">
        <v>21.68</v>
      </c>
      <c r="M91" s="189">
        <v>66.239999999999995</v>
      </c>
      <c r="N91" s="189">
        <v>0</v>
      </c>
      <c r="O91" s="189">
        <v>0</v>
      </c>
      <c r="P91" s="189">
        <v>1.1299999999999999</v>
      </c>
      <c r="Q91" s="190">
        <v>4.49</v>
      </c>
    </row>
    <row r="92" spans="1:17" s="11" customFormat="1">
      <c r="A92" s="6" t="s">
        <v>2818</v>
      </c>
      <c r="B92" s="189">
        <v>13.27</v>
      </c>
      <c r="C92" s="189">
        <v>31.88</v>
      </c>
      <c r="D92" s="189">
        <v>28.65</v>
      </c>
      <c r="E92" s="189">
        <v>9.32</v>
      </c>
      <c r="F92" s="189">
        <v>2.86</v>
      </c>
      <c r="G92" s="189">
        <v>132.87</v>
      </c>
      <c r="H92" s="189">
        <v>53.59</v>
      </c>
      <c r="I92" s="189">
        <v>8.43</v>
      </c>
      <c r="J92" s="189">
        <v>0.31</v>
      </c>
      <c r="K92" s="189">
        <v>30.74</v>
      </c>
      <c r="L92" s="189">
        <v>21.63</v>
      </c>
      <c r="M92" s="189">
        <v>67.34</v>
      </c>
      <c r="N92" s="189">
        <v>0</v>
      </c>
      <c r="O92" s="189">
        <v>0</v>
      </c>
      <c r="P92" s="189">
        <v>1.1499999999999999</v>
      </c>
      <c r="Q92" s="190">
        <v>4.49</v>
      </c>
    </row>
    <row r="93" spans="1:17" s="11" customFormat="1">
      <c r="A93" s="6" t="s">
        <v>2819</v>
      </c>
      <c r="B93" s="189">
        <v>13.06</v>
      </c>
      <c r="C93" s="189">
        <v>32.57</v>
      </c>
      <c r="D93" s="189">
        <v>28.84</v>
      </c>
      <c r="E93" s="189">
        <v>9.31</v>
      </c>
      <c r="F93" s="189">
        <v>2.93</v>
      </c>
      <c r="G93" s="189">
        <v>132.87</v>
      </c>
      <c r="H93" s="189">
        <v>53.59</v>
      </c>
      <c r="I93" s="189">
        <v>8.4700000000000006</v>
      </c>
      <c r="J93" s="189">
        <v>0.45</v>
      </c>
      <c r="K93" s="189">
        <v>49.38</v>
      </c>
      <c r="L93" s="189">
        <v>21.6</v>
      </c>
      <c r="M93" s="189">
        <v>67.08</v>
      </c>
      <c r="N93" s="189">
        <v>0</v>
      </c>
      <c r="O93" s="189">
        <v>0</v>
      </c>
      <c r="P93" s="189">
        <v>1.1599999999999999</v>
      </c>
      <c r="Q93" s="190">
        <v>4.5</v>
      </c>
    </row>
    <row r="94" spans="1:17" s="11" customFormat="1">
      <c r="A94" s="6" t="s">
        <v>2820</v>
      </c>
      <c r="B94" s="189">
        <v>12.8</v>
      </c>
      <c r="C94" s="189">
        <v>33.03</v>
      </c>
      <c r="D94" s="189">
        <v>28.88</v>
      </c>
      <c r="E94" s="189">
        <v>9.52</v>
      </c>
      <c r="F94" s="189">
        <v>3.09</v>
      </c>
      <c r="G94" s="189">
        <v>136.1</v>
      </c>
      <c r="H94" s="189">
        <v>55.49</v>
      </c>
      <c r="I94" s="189">
        <v>8.5500000000000007</v>
      </c>
      <c r="J94" s="189">
        <v>0.38</v>
      </c>
      <c r="K94" s="189">
        <v>46.74</v>
      </c>
      <c r="L94" s="189">
        <v>21.58</v>
      </c>
      <c r="M94" s="189">
        <v>67.19</v>
      </c>
      <c r="N94" s="189">
        <v>0</v>
      </c>
      <c r="O94" s="189">
        <v>0</v>
      </c>
      <c r="P94" s="189">
        <v>1.17</v>
      </c>
      <c r="Q94" s="190">
        <v>4.51</v>
      </c>
    </row>
    <row r="95" spans="1:17" s="11" customFormat="1">
      <c r="A95" s="6" t="s">
        <v>2821</v>
      </c>
      <c r="B95" s="189">
        <v>12.64</v>
      </c>
      <c r="C95" s="189">
        <v>33.22</v>
      </c>
      <c r="D95" s="189">
        <v>28.84</v>
      </c>
      <c r="E95" s="189">
        <v>9.25</v>
      </c>
      <c r="F95" s="189">
        <v>3.07</v>
      </c>
      <c r="G95" s="189">
        <v>136.75</v>
      </c>
      <c r="H95" s="189">
        <v>55.49</v>
      </c>
      <c r="I95" s="189">
        <v>8.56</v>
      </c>
      <c r="J95" s="189">
        <v>0.39</v>
      </c>
      <c r="K95" s="189">
        <v>54.68</v>
      </c>
      <c r="L95" s="189">
        <v>21.53</v>
      </c>
      <c r="M95" s="189">
        <v>67.900000000000006</v>
      </c>
      <c r="N95" s="189">
        <v>0</v>
      </c>
      <c r="O95" s="189">
        <v>0</v>
      </c>
      <c r="P95" s="189">
        <v>1.19</v>
      </c>
      <c r="Q95" s="190">
        <v>4.51</v>
      </c>
    </row>
    <row r="96" spans="1:17" s="11" customFormat="1">
      <c r="A96" s="6" t="s">
        <v>2822</v>
      </c>
      <c r="B96" s="189">
        <v>12.37</v>
      </c>
      <c r="C96" s="189">
        <v>33.58</v>
      </c>
      <c r="D96" s="189">
        <v>28.82</v>
      </c>
      <c r="E96" s="189">
        <v>9.52</v>
      </c>
      <c r="F96" s="189">
        <v>3.04</v>
      </c>
      <c r="G96" s="189">
        <v>136.75</v>
      </c>
      <c r="H96" s="189">
        <v>55.49</v>
      </c>
      <c r="I96" s="189">
        <v>8.61</v>
      </c>
      <c r="J96" s="189">
        <v>0.43</v>
      </c>
      <c r="K96" s="189">
        <v>44.73</v>
      </c>
      <c r="L96" s="189">
        <v>21.39</v>
      </c>
      <c r="M96" s="189">
        <v>68.89</v>
      </c>
      <c r="N96" s="189">
        <v>0</v>
      </c>
      <c r="O96" s="189">
        <v>0</v>
      </c>
      <c r="P96" s="189">
        <v>1.2</v>
      </c>
      <c r="Q96" s="190">
        <v>4.5199999999999996</v>
      </c>
    </row>
    <row r="97" spans="1:22" s="11" customFormat="1">
      <c r="A97" s="6" t="s">
        <v>2823</v>
      </c>
      <c r="B97" s="189">
        <v>12.1</v>
      </c>
      <c r="C97" s="189">
        <v>33.36</v>
      </c>
      <c r="D97" s="189">
        <v>28.48</v>
      </c>
      <c r="E97" s="189">
        <v>9.01</v>
      </c>
      <c r="F97" s="189">
        <v>3.14</v>
      </c>
      <c r="G97" s="189">
        <v>136.75</v>
      </c>
      <c r="H97" s="189">
        <v>55.49</v>
      </c>
      <c r="I97" s="189">
        <v>8.6199999999999992</v>
      </c>
      <c r="J97" s="189">
        <v>0.34</v>
      </c>
      <c r="K97" s="189">
        <v>49.39</v>
      </c>
      <c r="L97" s="189">
        <v>21.29</v>
      </c>
      <c r="M97" s="189">
        <v>69.09</v>
      </c>
      <c r="N97" s="189">
        <v>0</v>
      </c>
      <c r="O97" s="189">
        <v>0</v>
      </c>
      <c r="P97" s="189">
        <v>1.2</v>
      </c>
      <c r="Q97" s="190">
        <v>4.49</v>
      </c>
    </row>
    <row r="98" spans="1:22" s="11" customFormat="1">
      <c r="A98" s="6" t="s">
        <v>2824</v>
      </c>
      <c r="B98" s="189">
        <v>11.82</v>
      </c>
      <c r="C98" s="189">
        <v>33.08</v>
      </c>
      <c r="D98" s="189">
        <v>28.11</v>
      </c>
      <c r="E98" s="189">
        <v>9.7799999999999994</v>
      </c>
      <c r="F98" s="189">
        <v>2.9</v>
      </c>
      <c r="G98" s="189">
        <v>138.78</v>
      </c>
      <c r="H98" s="189">
        <v>58.77</v>
      </c>
      <c r="I98" s="189">
        <v>8.67</v>
      </c>
      <c r="J98" s="189">
        <v>0.33</v>
      </c>
      <c r="K98" s="189">
        <v>54.62</v>
      </c>
      <c r="L98" s="189">
        <v>21.23</v>
      </c>
      <c r="M98" s="189">
        <v>68.84</v>
      </c>
      <c r="N98" s="189">
        <v>0</v>
      </c>
      <c r="O98" s="189">
        <v>0</v>
      </c>
      <c r="P98" s="189">
        <v>1.2</v>
      </c>
      <c r="Q98" s="190">
        <v>4.4800000000000004</v>
      </c>
    </row>
    <row r="99" spans="1:22" s="11" customFormat="1">
      <c r="A99" s="6" t="s">
        <v>2825</v>
      </c>
      <c r="B99" s="189">
        <v>11.61</v>
      </c>
      <c r="C99" s="189">
        <v>33.19</v>
      </c>
      <c r="D99" s="189">
        <v>28</v>
      </c>
      <c r="E99" s="189">
        <v>9.51</v>
      </c>
      <c r="F99" s="189">
        <v>2.64</v>
      </c>
      <c r="G99" s="189">
        <v>139.19</v>
      </c>
      <c r="H99" s="189">
        <v>58.77</v>
      </c>
      <c r="I99" s="189">
        <v>8.66</v>
      </c>
      <c r="J99" s="189">
        <v>0.33</v>
      </c>
      <c r="K99" s="189">
        <v>54.84</v>
      </c>
      <c r="L99" s="189">
        <v>21.18</v>
      </c>
      <c r="M99" s="189">
        <v>68.849999999999994</v>
      </c>
      <c r="N99" s="189">
        <v>0</v>
      </c>
      <c r="O99" s="189">
        <v>0</v>
      </c>
      <c r="P99" s="189">
        <v>1.21</v>
      </c>
      <c r="Q99" s="190">
        <v>4.47</v>
      </c>
    </row>
    <row r="100" spans="1:22" s="11" customFormat="1">
      <c r="A100" s="6" t="s">
        <v>2826</v>
      </c>
      <c r="B100" s="189">
        <v>11.46</v>
      </c>
      <c r="C100" s="189">
        <v>32.94</v>
      </c>
      <c r="D100" s="189">
        <v>27.74</v>
      </c>
      <c r="E100" s="189">
        <v>9.2799999999999994</v>
      </c>
      <c r="F100" s="189">
        <v>2.73</v>
      </c>
      <c r="G100" s="189">
        <v>139.19</v>
      </c>
      <c r="H100" s="189">
        <v>58.77</v>
      </c>
      <c r="I100" s="189">
        <v>8.7200000000000006</v>
      </c>
      <c r="J100" s="189">
        <v>0.27</v>
      </c>
      <c r="K100" s="189">
        <v>57.72</v>
      </c>
      <c r="L100" s="189">
        <v>21.03</v>
      </c>
      <c r="M100" s="189">
        <v>69.36</v>
      </c>
      <c r="N100" s="189">
        <v>0</v>
      </c>
      <c r="O100" s="189">
        <v>0</v>
      </c>
      <c r="P100" s="189">
        <v>1.21</v>
      </c>
      <c r="Q100" s="190">
        <v>4.46</v>
      </c>
    </row>
    <row r="101" spans="1:22" s="11" customFormat="1">
      <c r="A101" s="6" t="s">
        <v>2827</v>
      </c>
      <c r="B101" s="189">
        <v>11.16</v>
      </c>
      <c r="C101" s="189">
        <v>32.619999999999997</v>
      </c>
      <c r="D101" s="189">
        <v>27.34</v>
      </c>
      <c r="E101" s="189">
        <v>9.2200000000000006</v>
      </c>
      <c r="F101" s="189">
        <v>2.75</v>
      </c>
      <c r="G101" s="189">
        <v>139.19</v>
      </c>
      <c r="H101" s="189">
        <v>58.77</v>
      </c>
      <c r="I101" s="189">
        <v>8.74</v>
      </c>
      <c r="J101" s="189">
        <v>0.28999999999999998</v>
      </c>
      <c r="K101" s="189">
        <v>63.62</v>
      </c>
      <c r="L101" s="189">
        <v>20.84</v>
      </c>
      <c r="M101" s="189">
        <v>69.760000000000005</v>
      </c>
      <c r="N101" s="189">
        <v>0</v>
      </c>
      <c r="O101" s="189">
        <v>0</v>
      </c>
      <c r="P101" s="189">
        <v>1.21</v>
      </c>
      <c r="Q101" s="190">
        <v>4.4400000000000004</v>
      </c>
    </row>
    <row r="102" spans="1:22" s="11" customFormat="1">
      <c r="A102" s="6" t="s">
        <v>2828</v>
      </c>
      <c r="B102" s="189">
        <v>11.29</v>
      </c>
      <c r="C102" s="189">
        <v>32.979999999999997</v>
      </c>
      <c r="D102" s="189">
        <v>27.64</v>
      </c>
      <c r="E102" s="189">
        <v>9.49</v>
      </c>
      <c r="F102" s="189">
        <v>2.59</v>
      </c>
      <c r="G102" s="189">
        <v>127.45</v>
      </c>
      <c r="H102" s="189">
        <v>56.58</v>
      </c>
      <c r="I102" s="189">
        <v>8.7100000000000009</v>
      </c>
      <c r="J102" s="189">
        <v>0.27</v>
      </c>
      <c r="K102" s="189">
        <v>53.29</v>
      </c>
      <c r="L102" s="189">
        <v>20.54</v>
      </c>
      <c r="M102" s="189">
        <v>70.5</v>
      </c>
      <c r="N102" s="189">
        <v>0</v>
      </c>
      <c r="O102" s="189">
        <v>0</v>
      </c>
      <c r="P102" s="189">
        <v>1.2</v>
      </c>
      <c r="Q102" s="190">
        <v>4.4400000000000004</v>
      </c>
    </row>
    <row r="103" spans="1:22" s="11" customFormat="1">
      <c r="A103" s="6" t="s">
        <v>2829</v>
      </c>
      <c r="B103" s="189">
        <v>11.65</v>
      </c>
      <c r="C103" s="189">
        <v>32.92</v>
      </c>
      <c r="D103" s="189">
        <v>27.89</v>
      </c>
      <c r="E103" s="189">
        <v>9.35</v>
      </c>
      <c r="F103" s="189">
        <v>2.61</v>
      </c>
      <c r="G103" s="189">
        <v>125.11</v>
      </c>
      <c r="H103" s="189">
        <v>56.58</v>
      </c>
      <c r="I103" s="189">
        <v>8.69</v>
      </c>
      <c r="J103" s="189">
        <v>0.24</v>
      </c>
      <c r="K103" s="189">
        <v>79.22</v>
      </c>
      <c r="L103" s="189">
        <v>20.37</v>
      </c>
      <c r="M103" s="189">
        <v>70.8</v>
      </c>
      <c r="N103" s="189">
        <v>0</v>
      </c>
      <c r="O103" s="189">
        <v>0</v>
      </c>
      <c r="P103" s="189">
        <v>1.19</v>
      </c>
      <c r="Q103" s="190">
        <v>4.45</v>
      </c>
    </row>
    <row r="104" spans="1:22" s="11" customFormat="1">
      <c r="A104" s="6" t="s">
        <v>2830</v>
      </c>
      <c r="B104" s="189">
        <v>11.4</v>
      </c>
      <c r="C104" s="189">
        <v>33.020000000000003</v>
      </c>
      <c r="D104" s="189">
        <v>27.74</v>
      </c>
      <c r="E104" s="189">
        <v>9.52</v>
      </c>
      <c r="F104" s="189">
        <v>2.71</v>
      </c>
      <c r="G104" s="189">
        <v>125.11</v>
      </c>
      <c r="H104" s="189">
        <v>56.58</v>
      </c>
      <c r="I104" s="189">
        <v>8.69</v>
      </c>
      <c r="J104" s="189">
        <v>0.21</v>
      </c>
      <c r="K104" s="189">
        <v>49.89</v>
      </c>
      <c r="L104" s="189">
        <v>20.12</v>
      </c>
      <c r="M104" s="189">
        <v>72.06</v>
      </c>
      <c r="N104" s="189">
        <v>0</v>
      </c>
      <c r="O104" s="189">
        <v>0</v>
      </c>
      <c r="P104" s="189">
        <v>1.19</v>
      </c>
      <c r="Q104" s="190">
        <v>4.45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5.33</v>
      </c>
      <c r="C106" s="183">
        <f>MIN(C9:C104)</f>
        <v>23.31</v>
      </c>
      <c r="D106" s="183">
        <f t="shared" ref="D106:Q106" si="0">MIN(D9:D104)</f>
        <v>18.28</v>
      </c>
      <c r="E106" s="183">
        <f t="shared" si="0"/>
        <v>5.77</v>
      </c>
      <c r="F106" s="183">
        <f t="shared" si="0"/>
        <v>2.54</v>
      </c>
      <c r="G106" s="183">
        <f t="shared" si="0"/>
        <v>75.17</v>
      </c>
      <c r="H106" s="183">
        <f t="shared" si="0"/>
        <v>40.78</v>
      </c>
      <c r="I106" s="183">
        <f t="shared" si="0"/>
        <v>6.08</v>
      </c>
      <c r="J106" s="183">
        <f t="shared" si="0"/>
        <v>0.04</v>
      </c>
      <c r="K106" s="183">
        <f t="shared" si="0"/>
        <v>17.73</v>
      </c>
      <c r="L106" s="183">
        <f t="shared" si="0"/>
        <v>17.88</v>
      </c>
      <c r="M106" s="183">
        <f t="shared" si="0"/>
        <v>46.07</v>
      </c>
      <c r="N106" s="183">
        <f t="shared" si="0"/>
        <v>0</v>
      </c>
      <c r="O106" s="183">
        <f t="shared" si="0"/>
        <v>0</v>
      </c>
      <c r="P106" s="183">
        <f t="shared" si="0"/>
        <v>0.74</v>
      </c>
      <c r="Q106" s="183">
        <f t="shared" si="0"/>
        <v>4.2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13.69</v>
      </c>
      <c r="C107" s="184">
        <f t="shared" ref="C107:Q107" si="1">MAX(C9:C104)</f>
        <v>33.58</v>
      </c>
      <c r="D107" s="184">
        <f t="shared" si="1"/>
        <v>28.88</v>
      </c>
      <c r="E107" s="184">
        <f t="shared" si="1"/>
        <v>10.25</v>
      </c>
      <c r="F107" s="184">
        <f t="shared" si="1"/>
        <v>4.66</v>
      </c>
      <c r="G107" s="184">
        <f t="shared" si="1"/>
        <v>139.19</v>
      </c>
      <c r="H107" s="184">
        <f t="shared" si="1"/>
        <v>58.77</v>
      </c>
      <c r="I107" s="184">
        <f t="shared" si="1"/>
        <v>8.74</v>
      </c>
      <c r="J107" s="184">
        <f t="shared" si="1"/>
        <v>0.61</v>
      </c>
      <c r="K107" s="184">
        <f t="shared" si="1"/>
        <v>232.85</v>
      </c>
      <c r="L107" s="184">
        <f t="shared" si="1"/>
        <v>25.78</v>
      </c>
      <c r="M107" s="184">
        <f t="shared" si="1"/>
        <v>83.11</v>
      </c>
      <c r="N107" s="184">
        <f t="shared" si="1"/>
        <v>233.5</v>
      </c>
      <c r="O107" s="184">
        <f t="shared" si="1"/>
        <v>0</v>
      </c>
      <c r="P107" s="184">
        <f t="shared" si="1"/>
        <v>1.21</v>
      </c>
      <c r="Q107" s="184">
        <f t="shared" si="1"/>
        <v>4.5199999999999996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9.4024999999999981</v>
      </c>
      <c r="C108" s="183">
        <f t="shared" ref="C108:Q108" si="2">AVERAGE(C9:C104)</f>
        <v>28.348229166666673</v>
      </c>
      <c r="D108" s="183">
        <f t="shared" si="2"/>
        <v>23.702500000000001</v>
      </c>
      <c r="E108" s="183">
        <f t="shared" si="2"/>
        <v>8.3853124999999977</v>
      </c>
      <c r="F108" s="183">
        <f t="shared" si="2"/>
        <v>3.1020833333333329</v>
      </c>
      <c r="G108" s="183">
        <f t="shared" si="2"/>
        <v>101.25375000000003</v>
      </c>
      <c r="H108" s="183">
        <f t="shared" si="2"/>
        <v>46.126562500000006</v>
      </c>
      <c r="I108" s="183">
        <f t="shared" si="2"/>
        <v>7.2167708333333351</v>
      </c>
      <c r="J108" s="183">
        <f t="shared" si="2"/>
        <v>0.29291666666666666</v>
      </c>
      <c r="K108" s="183">
        <f t="shared" si="2"/>
        <v>66.148020833333362</v>
      </c>
      <c r="L108" s="183">
        <f t="shared" si="2"/>
        <v>21.673124999999995</v>
      </c>
      <c r="M108" s="183">
        <f t="shared" si="2"/>
        <v>66.719895833333325</v>
      </c>
      <c r="N108" s="183">
        <f t="shared" si="2"/>
        <v>42.092708333333341</v>
      </c>
      <c r="O108" s="183">
        <f t="shared" si="2"/>
        <v>0</v>
      </c>
      <c r="P108" s="183">
        <f t="shared" si="2"/>
        <v>0.92479166666666679</v>
      </c>
      <c r="Q108" s="183">
        <f t="shared" si="2"/>
        <v>4.3611458333333326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2.5252810161497541</v>
      </c>
      <c r="C109" s="183">
        <f t="shared" ref="C109:Q109" si="3">STDEV(C9:C104)</f>
        <v>2.4225076154532843</v>
      </c>
      <c r="D109" s="183">
        <f t="shared" si="3"/>
        <v>3.0032249333008583</v>
      </c>
      <c r="E109" s="183">
        <f t="shared" si="3"/>
        <v>1.2034012789414439</v>
      </c>
      <c r="F109" s="183">
        <f t="shared" si="3"/>
        <v>0.48882225090768877</v>
      </c>
      <c r="G109" s="183">
        <f t="shared" si="3"/>
        <v>18.268637793828397</v>
      </c>
      <c r="H109" s="183">
        <f t="shared" si="3"/>
        <v>5.0919506815580604</v>
      </c>
      <c r="I109" s="183">
        <f t="shared" si="3"/>
        <v>0.76908899600234448</v>
      </c>
      <c r="J109" s="183">
        <f t="shared" si="3"/>
        <v>0.138586219916979</v>
      </c>
      <c r="K109" s="183">
        <f t="shared" si="3"/>
        <v>39.190183508247095</v>
      </c>
      <c r="L109" s="183">
        <f t="shared" si="3"/>
        <v>2.3147696543353296</v>
      </c>
      <c r="M109" s="183">
        <f t="shared" si="3"/>
        <v>10.001379641123373</v>
      </c>
      <c r="N109" s="183">
        <f t="shared" si="3"/>
        <v>60.122631249615083</v>
      </c>
      <c r="O109" s="183">
        <f t="shared" si="3"/>
        <v>0</v>
      </c>
      <c r="P109" s="183">
        <f t="shared" si="3"/>
        <v>0.13291848841076731</v>
      </c>
      <c r="Q109" s="183">
        <f t="shared" si="3"/>
        <v>9.3537156047209996E-2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66" activePane="bottomRight" state="frozen"/>
      <selection pane="topRight"/>
      <selection pane="bottomLeft"/>
      <selection pane="bottomRight" activeCell="A77" sqref="A77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45258.010416666664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45258.010416666664</v>
      </c>
      <c r="B9" s="134">
        <v>11.17</v>
      </c>
      <c r="C9" s="134">
        <v>34.299999999999997</v>
      </c>
      <c r="D9" s="134">
        <v>28.23</v>
      </c>
      <c r="E9" s="134">
        <v>9.4499999999999993</v>
      </c>
      <c r="F9" s="134">
        <v>2.67</v>
      </c>
      <c r="G9" s="134">
        <v>125.11</v>
      </c>
      <c r="H9" s="134">
        <v>56.58</v>
      </c>
      <c r="I9" s="134">
        <v>8.68</v>
      </c>
      <c r="J9" s="134">
        <v>0.18</v>
      </c>
      <c r="K9" s="134">
        <v>57.16</v>
      </c>
      <c r="L9" s="134">
        <v>20.05</v>
      </c>
      <c r="M9" s="134">
        <v>72.25</v>
      </c>
      <c r="N9" s="134">
        <v>0</v>
      </c>
      <c r="O9" s="134">
        <v>0</v>
      </c>
      <c r="P9" s="134">
        <v>1.17</v>
      </c>
      <c r="Q9" s="134">
        <v>4.49</v>
      </c>
    </row>
    <row r="10" spans="1:21" customFormat="1">
      <c r="A10" s="112" t="s">
        <v>2831</v>
      </c>
      <c r="B10" s="134">
        <v>11.41</v>
      </c>
      <c r="C10" s="134">
        <v>33.53</v>
      </c>
      <c r="D10" s="134">
        <v>28.02</v>
      </c>
      <c r="E10" s="134">
        <v>9.76</v>
      </c>
      <c r="F10" s="134">
        <v>2.64</v>
      </c>
      <c r="G10" s="134">
        <v>130.02000000000001</v>
      </c>
      <c r="H10" s="134">
        <v>54.08</v>
      </c>
      <c r="I10" s="134">
        <v>8.61</v>
      </c>
      <c r="J10" s="134">
        <v>0.17</v>
      </c>
      <c r="K10" s="134">
        <v>84.35</v>
      </c>
      <c r="L10" s="134">
        <v>20.010000000000002</v>
      </c>
      <c r="M10" s="134">
        <v>72.72</v>
      </c>
      <c r="N10" s="134">
        <v>0</v>
      </c>
      <c r="O10" s="134">
        <v>0</v>
      </c>
      <c r="P10" s="134">
        <v>1.1599999999999999</v>
      </c>
      <c r="Q10" s="134">
        <v>4.4800000000000004</v>
      </c>
    </row>
    <row r="11" spans="1:21" customFormat="1">
      <c r="A11" s="112" t="s">
        <v>2832</v>
      </c>
      <c r="B11" s="134">
        <v>11.55</v>
      </c>
      <c r="C11" s="134">
        <v>33.14</v>
      </c>
      <c r="D11" s="134">
        <v>27.93</v>
      </c>
      <c r="E11" s="134">
        <v>9.5299999999999994</v>
      </c>
      <c r="F11" s="134">
        <v>2.74</v>
      </c>
      <c r="G11" s="134">
        <v>131</v>
      </c>
      <c r="H11" s="134">
        <v>54.08</v>
      </c>
      <c r="I11" s="134">
        <v>8.58</v>
      </c>
      <c r="J11" s="134">
        <v>0.17</v>
      </c>
      <c r="K11" s="134">
        <v>64.37</v>
      </c>
      <c r="L11" s="134">
        <v>19.95</v>
      </c>
      <c r="M11" s="134">
        <v>71.959999999999994</v>
      </c>
      <c r="N11" s="134">
        <v>0</v>
      </c>
      <c r="O11" s="134">
        <v>0</v>
      </c>
      <c r="P11" s="134">
        <v>1.1599999999999999</v>
      </c>
      <c r="Q11" s="134">
        <v>4.4800000000000004</v>
      </c>
    </row>
    <row r="12" spans="1:21" customFormat="1">
      <c r="A12" s="112" t="s">
        <v>2833</v>
      </c>
      <c r="B12" s="134">
        <v>11.67</v>
      </c>
      <c r="C12" s="134">
        <v>32.799999999999997</v>
      </c>
      <c r="D12" s="134">
        <v>27.84</v>
      </c>
      <c r="E12" s="134">
        <v>9.41</v>
      </c>
      <c r="F12" s="134">
        <v>2.61</v>
      </c>
      <c r="G12" s="134">
        <v>131</v>
      </c>
      <c r="H12" s="134">
        <v>54.08</v>
      </c>
      <c r="I12" s="134">
        <v>8.58</v>
      </c>
      <c r="J12" s="134">
        <v>0.14000000000000001</v>
      </c>
      <c r="K12" s="134">
        <v>60.63</v>
      </c>
      <c r="L12" s="134">
        <v>19.809999999999999</v>
      </c>
      <c r="M12" s="134">
        <v>72.150000000000006</v>
      </c>
      <c r="N12" s="134">
        <v>0</v>
      </c>
      <c r="O12" s="134">
        <v>0</v>
      </c>
      <c r="P12" s="134">
        <v>1.1299999999999999</v>
      </c>
      <c r="Q12" s="134">
        <v>4.5</v>
      </c>
    </row>
    <row r="13" spans="1:21" customFormat="1">
      <c r="A13" s="112" t="s">
        <v>2834</v>
      </c>
      <c r="B13" s="134">
        <v>11.56</v>
      </c>
      <c r="C13" s="134">
        <v>32.630000000000003</v>
      </c>
      <c r="D13" s="134">
        <v>27.67</v>
      </c>
      <c r="E13" s="134">
        <v>9.4600000000000009</v>
      </c>
      <c r="F13" s="134">
        <v>2.83</v>
      </c>
      <c r="G13" s="134">
        <v>131</v>
      </c>
      <c r="H13" s="134">
        <v>54.08</v>
      </c>
      <c r="I13" s="134">
        <v>8.5500000000000007</v>
      </c>
      <c r="J13" s="134">
        <v>0.1</v>
      </c>
      <c r="K13" s="134">
        <v>135.30000000000001</v>
      </c>
      <c r="L13" s="134">
        <v>19.63</v>
      </c>
      <c r="M13" s="134">
        <v>73.77</v>
      </c>
      <c r="N13" s="134">
        <v>0</v>
      </c>
      <c r="O13" s="134">
        <v>0</v>
      </c>
      <c r="P13" s="134">
        <v>1.1200000000000001</v>
      </c>
      <c r="Q13" s="134">
        <v>4.49</v>
      </c>
    </row>
    <row r="14" spans="1:21" customFormat="1">
      <c r="A14" s="112" t="s">
        <v>2835</v>
      </c>
      <c r="B14" s="134">
        <v>11.25</v>
      </c>
      <c r="C14" s="134">
        <v>32.83</v>
      </c>
      <c r="D14" s="134">
        <v>27.52</v>
      </c>
      <c r="E14" s="134">
        <v>8.59</v>
      </c>
      <c r="F14" s="134">
        <v>2.7</v>
      </c>
      <c r="G14" s="134">
        <v>123.79</v>
      </c>
      <c r="H14" s="134">
        <v>55.09</v>
      </c>
      <c r="I14" s="134">
        <v>8.4700000000000006</v>
      </c>
      <c r="J14" s="134">
        <v>0.12</v>
      </c>
      <c r="K14" s="134">
        <v>120.06</v>
      </c>
      <c r="L14" s="134">
        <v>19.32</v>
      </c>
      <c r="M14" s="134">
        <v>74.98</v>
      </c>
      <c r="N14" s="134">
        <v>0</v>
      </c>
      <c r="O14" s="134">
        <v>0</v>
      </c>
      <c r="P14" s="134">
        <v>1.1200000000000001</v>
      </c>
      <c r="Q14" s="134">
        <v>4.49</v>
      </c>
    </row>
    <row r="15" spans="1:21" customFormat="1">
      <c r="A15" s="112" t="s">
        <v>2836</v>
      </c>
      <c r="B15" s="134">
        <v>11.17</v>
      </c>
      <c r="C15" s="134">
        <v>29.8</v>
      </c>
      <c r="D15" s="134">
        <v>25.88</v>
      </c>
      <c r="E15" s="134">
        <v>8.65</v>
      </c>
      <c r="F15" s="134">
        <v>2.75</v>
      </c>
      <c r="G15" s="134">
        <v>122.34</v>
      </c>
      <c r="H15" s="134">
        <v>55.09</v>
      </c>
      <c r="I15" s="134">
        <v>8.41</v>
      </c>
      <c r="J15" s="134">
        <v>7.0000000000000007E-2</v>
      </c>
      <c r="K15" s="134">
        <v>136.26</v>
      </c>
      <c r="L15" s="134">
        <v>19.18</v>
      </c>
      <c r="M15" s="134">
        <v>76.27</v>
      </c>
      <c r="N15" s="134">
        <v>0</v>
      </c>
      <c r="O15" s="134">
        <v>0</v>
      </c>
      <c r="P15" s="134">
        <v>1.08</v>
      </c>
      <c r="Q15" s="134">
        <v>4.4800000000000004</v>
      </c>
    </row>
    <row r="16" spans="1:21" customFormat="1">
      <c r="A16" s="112" t="s">
        <v>2837</v>
      </c>
      <c r="B16" s="134">
        <v>10.9</v>
      </c>
      <c r="C16" s="134">
        <v>26.97</v>
      </c>
      <c r="D16" s="134">
        <v>24.18</v>
      </c>
      <c r="E16" s="134">
        <v>8.0500000000000007</v>
      </c>
      <c r="F16" s="134">
        <v>2.76</v>
      </c>
      <c r="G16" s="134">
        <v>122.34</v>
      </c>
      <c r="H16" s="134">
        <v>55.09</v>
      </c>
      <c r="I16" s="134">
        <v>8.3800000000000008</v>
      </c>
      <c r="J16" s="134">
        <v>0.09</v>
      </c>
      <c r="K16" s="134">
        <v>148.24</v>
      </c>
      <c r="L16" s="134">
        <v>18.940000000000001</v>
      </c>
      <c r="M16" s="134">
        <v>77.849999999999994</v>
      </c>
      <c r="N16" s="134">
        <v>0</v>
      </c>
      <c r="O16" s="134">
        <v>0</v>
      </c>
      <c r="P16" s="134">
        <v>1.05</v>
      </c>
      <c r="Q16" s="134">
        <v>4.4400000000000004</v>
      </c>
    </row>
    <row r="17" spans="1:17" customFormat="1">
      <c r="A17" s="112" t="s">
        <v>2838</v>
      </c>
      <c r="B17" s="134">
        <v>10.48</v>
      </c>
      <c r="C17" s="134">
        <v>28.74</v>
      </c>
      <c r="D17" s="134">
        <v>24.77</v>
      </c>
      <c r="E17" s="134">
        <v>7.62</v>
      </c>
      <c r="F17" s="134">
        <v>2.37</v>
      </c>
      <c r="G17" s="134">
        <v>122.34</v>
      </c>
      <c r="H17" s="134">
        <v>55.09</v>
      </c>
      <c r="I17" s="134">
        <v>8.35</v>
      </c>
      <c r="J17" s="134">
        <v>7.0000000000000007E-2</v>
      </c>
      <c r="K17" s="134">
        <v>209.32</v>
      </c>
      <c r="L17" s="134">
        <v>18.64</v>
      </c>
      <c r="M17" s="134">
        <v>80.239999999999995</v>
      </c>
      <c r="N17" s="134">
        <v>0</v>
      </c>
      <c r="O17" s="134">
        <v>0</v>
      </c>
      <c r="P17" s="134">
        <v>1.03</v>
      </c>
      <c r="Q17" s="134">
        <v>4.41</v>
      </c>
    </row>
    <row r="18" spans="1:17" customFormat="1">
      <c r="A18" s="112" t="s">
        <v>2839</v>
      </c>
      <c r="B18" s="134">
        <v>10.46</v>
      </c>
      <c r="C18" s="134">
        <v>28.55</v>
      </c>
      <c r="D18" s="134">
        <v>24.65</v>
      </c>
      <c r="E18" s="134">
        <v>8.24</v>
      </c>
      <c r="F18" s="134">
        <v>2.4500000000000002</v>
      </c>
      <c r="G18" s="134">
        <v>110.15</v>
      </c>
      <c r="H18" s="134">
        <v>52.5</v>
      </c>
      <c r="I18" s="134">
        <v>8.23</v>
      </c>
      <c r="J18" s="134">
        <v>0.12</v>
      </c>
      <c r="K18" s="134">
        <v>266.11</v>
      </c>
      <c r="L18" s="134">
        <v>18.29</v>
      </c>
      <c r="M18" s="134">
        <v>83.36</v>
      </c>
      <c r="N18" s="134">
        <v>0</v>
      </c>
      <c r="O18" s="134">
        <v>0</v>
      </c>
      <c r="P18" s="134">
        <v>1.03</v>
      </c>
      <c r="Q18" s="134">
        <v>4.41</v>
      </c>
    </row>
    <row r="19" spans="1:17" customFormat="1">
      <c r="A19" s="112" t="s">
        <v>2840</v>
      </c>
      <c r="B19" s="134">
        <v>10.38</v>
      </c>
      <c r="C19" s="134">
        <v>25.54</v>
      </c>
      <c r="D19" s="134">
        <v>23.02</v>
      </c>
      <c r="E19" s="134">
        <v>8.3699999999999992</v>
      </c>
      <c r="F19" s="134">
        <v>2.69</v>
      </c>
      <c r="G19" s="134">
        <v>107.72</v>
      </c>
      <c r="H19" s="134">
        <v>52.36</v>
      </c>
      <c r="I19" s="134">
        <v>8.16</v>
      </c>
      <c r="J19" s="134">
        <v>0.11</v>
      </c>
      <c r="K19" s="134">
        <v>153.04</v>
      </c>
      <c r="L19" s="134">
        <v>18.16</v>
      </c>
      <c r="M19" s="134">
        <v>85.51</v>
      </c>
      <c r="N19" s="134">
        <v>0</v>
      </c>
      <c r="O19" s="134">
        <v>0</v>
      </c>
      <c r="P19" s="134">
        <v>0.99</v>
      </c>
      <c r="Q19" s="134">
        <v>4.4000000000000004</v>
      </c>
    </row>
    <row r="20" spans="1:17" customFormat="1">
      <c r="A20" s="112" t="s">
        <v>2841</v>
      </c>
      <c r="B20" s="134">
        <v>10.119999999999999</v>
      </c>
      <c r="C20" s="134">
        <v>27.08</v>
      </c>
      <c r="D20" s="134">
        <v>23.61</v>
      </c>
      <c r="E20" s="134">
        <v>7.84</v>
      </c>
      <c r="F20" s="134">
        <v>2.42</v>
      </c>
      <c r="G20" s="134">
        <v>107.72</v>
      </c>
      <c r="H20" s="134">
        <v>52.36</v>
      </c>
      <c r="I20" s="134">
        <v>8.1199999999999992</v>
      </c>
      <c r="J20" s="134">
        <v>0.13</v>
      </c>
      <c r="K20" s="134">
        <v>120.93</v>
      </c>
      <c r="L20" s="134">
        <v>18.260000000000002</v>
      </c>
      <c r="M20" s="134">
        <v>84.29</v>
      </c>
      <c r="N20" s="134">
        <v>0</v>
      </c>
      <c r="O20" s="134">
        <v>0</v>
      </c>
      <c r="P20" s="134">
        <v>0.99</v>
      </c>
      <c r="Q20" s="134">
        <v>4.37</v>
      </c>
    </row>
    <row r="21" spans="1:17" customFormat="1">
      <c r="A21" s="112" t="s">
        <v>2842</v>
      </c>
      <c r="B21" s="134">
        <v>10.29</v>
      </c>
      <c r="C21" s="134">
        <v>27.7</v>
      </c>
      <c r="D21" s="134">
        <v>24.08</v>
      </c>
      <c r="E21" s="134">
        <v>7.97</v>
      </c>
      <c r="F21" s="134">
        <v>2.56</v>
      </c>
      <c r="G21" s="134">
        <v>107.72</v>
      </c>
      <c r="H21" s="134">
        <v>52.36</v>
      </c>
      <c r="I21" s="134">
        <v>8</v>
      </c>
      <c r="J21" s="134">
        <v>0.08</v>
      </c>
      <c r="K21" s="134">
        <v>91.54</v>
      </c>
      <c r="L21" s="134">
        <v>18.62</v>
      </c>
      <c r="M21" s="134">
        <v>80.95</v>
      </c>
      <c r="N21" s="134">
        <v>0</v>
      </c>
      <c r="O21" s="134">
        <v>0</v>
      </c>
      <c r="P21" s="134">
        <v>0.99</v>
      </c>
      <c r="Q21" s="134">
        <v>4.38</v>
      </c>
    </row>
    <row r="22" spans="1:17" customFormat="1">
      <c r="A22" s="112" t="s">
        <v>2843</v>
      </c>
      <c r="B22" s="134">
        <v>10.85</v>
      </c>
      <c r="C22" s="134">
        <v>26.02</v>
      </c>
      <c r="D22" s="134">
        <v>23.65</v>
      </c>
      <c r="E22" s="134">
        <v>8.32</v>
      </c>
      <c r="F22" s="134">
        <v>2.62</v>
      </c>
      <c r="G22" s="134">
        <v>102.56</v>
      </c>
      <c r="H22" s="134">
        <v>48.03</v>
      </c>
      <c r="I22" s="134">
        <v>7.99</v>
      </c>
      <c r="J22" s="134">
        <v>0.16</v>
      </c>
      <c r="K22" s="134">
        <v>74</v>
      </c>
      <c r="L22" s="134">
        <v>18.579999999999998</v>
      </c>
      <c r="M22" s="134">
        <v>80.03</v>
      </c>
      <c r="N22" s="134">
        <v>0</v>
      </c>
      <c r="O22" s="134">
        <v>0</v>
      </c>
      <c r="P22" s="134">
        <v>0.97</v>
      </c>
      <c r="Q22" s="134">
        <v>4.41</v>
      </c>
    </row>
    <row r="23" spans="1:17" customFormat="1">
      <c r="A23" s="112" t="s">
        <v>2844</v>
      </c>
      <c r="B23" s="134">
        <v>11.53</v>
      </c>
      <c r="C23" s="134">
        <v>28.8</v>
      </c>
      <c r="D23" s="134">
        <v>25.64</v>
      </c>
      <c r="E23" s="134">
        <v>8.23</v>
      </c>
      <c r="F23" s="134">
        <v>2.35</v>
      </c>
      <c r="G23" s="134">
        <v>101.53</v>
      </c>
      <c r="H23" s="134">
        <v>48.03</v>
      </c>
      <c r="I23" s="134">
        <v>7.9</v>
      </c>
      <c r="J23" s="134">
        <v>0.17</v>
      </c>
      <c r="K23" s="134">
        <v>20.37</v>
      </c>
      <c r="L23" s="134">
        <v>18.559999999999999</v>
      </c>
      <c r="M23" s="134">
        <v>80.2</v>
      </c>
      <c r="N23" s="134">
        <v>0</v>
      </c>
      <c r="O23" s="134">
        <v>0</v>
      </c>
      <c r="P23" s="134">
        <v>0.98</v>
      </c>
      <c r="Q23" s="134">
        <v>4.4400000000000004</v>
      </c>
    </row>
    <row r="24" spans="1:17" customFormat="1">
      <c r="A24" s="112" t="s">
        <v>2845</v>
      </c>
      <c r="B24" s="134">
        <v>12.42</v>
      </c>
      <c r="C24" s="134">
        <v>27.13</v>
      </c>
      <c r="D24" s="134">
        <v>25.48</v>
      </c>
      <c r="E24" s="134">
        <v>8.25</v>
      </c>
      <c r="F24" s="134">
        <v>2.61</v>
      </c>
      <c r="G24" s="134">
        <v>101.53</v>
      </c>
      <c r="H24" s="134">
        <v>48.03</v>
      </c>
      <c r="I24" s="134">
        <v>7.82</v>
      </c>
      <c r="J24" s="134">
        <v>0.21</v>
      </c>
      <c r="K24" s="134">
        <v>28.68</v>
      </c>
      <c r="L24" s="134">
        <v>18.39</v>
      </c>
      <c r="M24" s="134">
        <v>81.709999999999994</v>
      </c>
      <c r="N24" s="134">
        <v>0</v>
      </c>
      <c r="O24" s="134">
        <v>0</v>
      </c>
      <c r="P24" s="134">
        <v>0.96</v>
      </c>
      <c r="Q24" s="134">
        <v>4.4400000000000004</v>
      </c>
    </row>
    <row r="25" spans="1:17" customFormat="1">
      <c r="A25" s="112" t="s">
        <v>2846</v>
      </c>
      <c r="B25" s="134">
        <v>13.04</v>
      </c>
      <c r="C25" s="134">
        <v>26.11</v>
      </c>
      <c r="D25" s="134">
        <v>25.45</v>
      </c>
      <c r="E25" s="134">
        <v>8.52</v>
      </c>
      <c r="F25" s="134">
        <v>2.7</v>
      </c>
      <c r="G25" s="134">
        <v>101.53</v>
      </c>
      <c r="H25" s="134">
        <v>48.03</v>
      </c>
      <c r="I25" s="134">
        <v>7.85</v>
      </c>
      <c r="J25" s="134">
        <v>0.23</v>
      </c>
      <c r="K25" s="134">
        <v>57.48</v>
      </c>
      <c r="L25" s="134">
        <v>18.45</v>
      </c>
      <c r="M25" s="134">
        <v>80.650000000000006</v>
      </c>
      <c r="N25" s="134">
        <v>0</v>
      </c>
      <c r="O25" s="134">
        <v>0</v>
      </c>
      <c r="P25" s="134">
        <v>0.94</v>
      </c>
      <c r="Q25" s="134">
        <v>4.45</v>
      </c>
    </row>
    <row r="26" spans="1:17" customFormat="1">
      <c r="A26" s="112" t="s">
        <v>2847</v>
      </c>
      <c r="B26" s="134">
        <v>13.32</v>
      </c>
      <c r="C26" s="134">
        <v>29.1</v>
      </c>
      <c r="D26" s="134">
        <v>27.24</v>
      </c>
      <c r="E26" s="134">
        <v>8</v>
      </c>
      <c r="F26" s="134">
        <v>2.41</v>
      </c>
      <c r="G26" s="134">
        <v>97.13</v>
      </c>
      <c r="H26" s="134">
        <v>45.58</v>
      </c>
      <c r="I26" s="134">
        <v>7.82</v>
      </c>
      <c r="J26" s="134">
        <v>0.23</v>
      </c>
      <c r="K26" s="134">
        <v>75.17</v>
      </c>
      <c r="L26" s="134">
        <v>18.649999999999999</v>
      </c>
      <c r="M26" s="134">
        <v>79.5</v>
      </c>
      <c r="N26" s="134">
        <v>0</v>
      </c>
      <c r="O26" s="134">
        <v>0</v>
      </c>
      <c r="P26" s="134">
        <v>0.95</v>
      </c>
      <c r="Q26" s="134">
        <v>4.46</v>
      </c>
    </row>
    <row r="27" spans="1:17" customFormat="1">
      <c r="A27" s="112" t="s">
        <v>2848</v>
      </c>
      <c r="B27" s="134">
        <v>13.37</v>
      </c>
      <c r="C27" s="134">
        <v>27.29</v>
      </c>
      <c r="D27" s="134">
        <v>26.33</v>
      </c>
      <c r="E27" s="134">
        <v>8.08</v>
      </c>
      <c r="F27" s="134">
        <v>2.6</v>
      </c>
      <c r="G27" s="134">
        <v>96.26</v>
      </c>
      <c r="H27" s="134">
        <v>45.58</v>
      </c>
      <c r="I27" s="134">
        <v>7.76</v>
      </c>
      <c r="J27" s="134">
        <v>0.35</v>
      </c>
      <c r="K27" s="134">
        <v>45.97</v>
      </c>
      <c r="L27" s="134">
        <v>18.600000000000001</v>
      </c>
      <c r="M27" s="134">
        <v>80.010000000000005</v>
      </c>
      <c r="N27" s="134">
        <v>0</v>
      </c>
      <c r="O27" s="134">
        <v>0</v>
      </c>
      <c r="P27" s="134">
        <v>0.93</v>
      </c>
      <c r="Q27" s="134">
        <v>4.5</v>
      </c>
    </row>
    <row r="28" spans="1:17" customFormat="1">
      <c r="A28" s="112" t="s">
        <v>2849</v>
      </c>
      <c r="B28" s="134">
        <v>13.42</v>
      </c>
      <c r="C28" s="134">
        <v>26.14</v>
      </c>
      <c r="D28" s="134">
        <v>25.77</v>
      </c>
      <c r="E28" s="134">
        <v>7.76</v>
      </c>
      <c r="F28" s="134">
        <v>2.59</v>
      </c>
      <c r="G28" s="134">
        <v>96.26</v>
      </c>
      <c r="H28" s="134">
        <v>45.58</v>
      </c>
      <c r="I28" s="134">
        <v>7.73</v>
      </c>
      <c r="J28" s="134">
        <v>0.3</v>
      </c>
      <c r="K28" s="134">
        <v>31.15</v>
      </c>
      <c r="L28" s="134">
        <v>18.39</v>
      </c>
      <c r="M28" s="134">
        <v>81.86</v>
      </c>
      <c r="N28" s="134">
        <v>0</v>
      </c>
      <c r="O28" s="134">
        <v>0</v>
      </c>
      <c r="P28" s="134">
        <v>0.92</v>
      </c>
      <c r="Q28" s="134">
        <v>4.51</v>
      </c>
    </row>
    <row r="29" spans="1:17" customFormat="1">
      <c r="A29" s="112" t="s">
        <v>2850</v>
      </c>
      <c r="B29" s="134">
        <v>13.51</v>
      </c>
      <c r="C29" s="134">
        <v>28.47</v>
      </c>
      <c r="D29" s="134">
        <v>27.06</v>
      </c>
      <c r="E29" s="134">
        <v>8.15</v>
      </c>
      <c r="F29" s="134">
        <v>2.41</v>
      </c>
      <c r="G29" s="134">
        <v>96.26</v>
      </c>
      <c r="H29" s="134">
        <v>45.58</v>
      </c>
      <c r="I29" s="134">
        <v>7.69</v>
      </c>
      <c r="J29" s="134">
        <v>0.18</v>
      </c>
      <c r="K29" s="134">
        <v>37.54</v>
      </c>
      <c r="L29" s="134">
        <v>18.04</v>
      </c>
      <c r="M29" s="134">
        <v>83.19</v>
      </c>
      <c r="N29" s="134">
        <v>0</v>
      </c>
      <c r="O29" s="134">
        <v>0</v>
      </c>
      <c r="P29" s="134">
        <v>0.92</v>
      </c>
      <c r="Q29" s="134">
        <v>4.47</v>
      </c>
    </row>
    <row r="30" spans="1:17" customFormat="1">
      <c r="A30" s="112" t="s">
        <v>2851</v>
      </c>
      <c r="B30" s="134">
        <v>14.08</v>
      </c>
      <c r="C30" s="134">
        <v>27.31</v>
      </c>
      <c r="D30" s="134">
        <v>26.91</v>
      </c>
      <c r="E30" s="134">
        <v>8.42</v>
      </c>
      <c r="F30" s="134">
        <v>2.77</v>
      </c>
      <c r="G30" s="134">
        <v>95.54</v>
      </c>
      <c r="H30" s="134">
        <v>45.24</v>
      </c>
      <c r="I30" s="134">
        <v>7.65</v>
      </c>
      <c r="J30" s="134">
        <v>0.14000000000000001</v>
      </c>
      <c r="K30" s="134">
        <v>83.76</v>
      </c>
      <c r="L30" s="134">
        <v>17.91</v>
      </c>
      <c r="M30" s="134">
        <v>82.63</v>
      </c>
      <c r="N30" s="134">
        <v>0</v>
      </c>
      <c r="O30" s="134">
        <v>0</v>
      </c>
      <c r="P30" s="134">
        <v>0.9</v>
      </c>
      <c r="Q30" s="134">
        <v>4.49</v>
      </c>
    </row>
    <row r="31" spans="1:17" customFormat="1">
      <c r="A31" s="112" t="s">
        <v>2852</v>
      </c>
      <c r="B31" s="134">
        <v>14.42</v>
      </c>
      <c r="C31" s="134">
        <v>29.01</v>
      </c>
      <c r="D31" s="134">
        <v>28.07</v>
      </c>
      <c r="E31" s="134">
        <v>8.35</v>
      </c>
      <c r="F31" s="134">
        <v>2.35</v>
      </c>
      <c r="G31" s="134">
        <v>95.4</v>
      </c>
      <c r="H31" s="134">
        <v>45.24</v>
      </c>
      <c r="I31" s="134">
        <v>7.69</v>
      </c>
      <c r="J31" s="134">
        <v>0.14000000000000001</v>
      </c>
      <c r="K31" s="134">
        <v>111.96</v>
      </c>
      <c r="L31" s="134">
        <v>18.05</v>
      </c>
      <c r="M31" s="134">
        <v>81.96</v>
      </c>
      <c r="N31" s="134">
        <v>0</v>
      </c>
      <c r="O31" s="134">
        <v>0</v>
      </c>
      <c r="P31" s="134">
        <v>0.91</v>
      </c>
      <c r="Q31" s="134">
        <v>4.49</v>
      </c>
    </row>
    <row r="32" spans="1:17" customFormat="1">
      <c r="A32" s="112" t="s">
        <v>2853</v>
      </c>
      <c r="B32" s="134">
        <v>14.29</v>
      </c>
      <c r="C32" s="134">
        <v>26.55</v>
      </c>
      <c r="D32" s="134">
        <v>26.68</v>
      </c>
      <c r="E32" s="134">
        <v>8.44</v>
      </c>
      <c r="F32" s="134">
        <v>2.58</v>
      </c>
      <c r="G32" s="134">
        <v>95.4</v>
      </c>
      <c r="H32" s="134">
        <v>45.24</v>
      </c>
      <c r="I32" s="134">
        <v>7.74</v>
      </c>
      <c r="J32" s="134">
        <v>0.16</v>
      </c>
      <c r="K32" s="134">
        <v>100.2</v>
      </c>
      <c r="L32" s="134">
        <v>18.11</v>
      </c>
      <c r="M32" s="134">
        <v>81.86</v>
      </c>
      <c r="N32" s="134">
        <v>0</v>
      </c>
      <c r="O32" s="134">
        <v>0</v>
      </c>
      <c r="P32" s="134">
        <v>0.89</v>
      </c>
      <c r="Q32" s="134">
        <v>4.5</v>
      </c>
    </row>
    <row r="33" spans="1:17" customFormat="1">
      <c r="A33" s="112" t="s">
        <v>2854</v>
      </c>
      <c r="B33" s="134">
        <v>13.94</v>
      </c>
      <c r="C33" s="134">
        <v>25.16</v>
      </c>
      <c r="D33" s="134">
        <v>25.67</v>
      </c>
      <c r="E33" s="134">
        <v>8.14</v>
      </c>
      <c r="F33" s="134">
        <v>2.71</v>
      </c>
      <c r="G33" s="134">
        <v>95.4</v>
      </c>
      <c r="H33" s="134">
        <v>45.24</v>
      </c>
      <c r="I33" s="134">
        <v>7.73</v>
      </c>
      <c r="J33" s="134">
        <v>0.13</v>
      </c>
      <c r="K33" s="134">
        <v>71.239999999999995</v>
      </c>
      <c r="L33" s="134">
        <v>18.18</v>
      </c>
      <c r="M33" s="134">
        <v>81.41</v>
      </c>
      <c r="N33" s="134">
        <v>0</v>
      </c>
      <c r="O33" s="134">
        <v>0</v>
      </c>
      <c r="P33" s="134">
        <v>0.88</v>
      </c>
      <c r="Q33" s="134">
        <v>4.5199999999999996</v>
      </c>
    </row>
    <row r="34" spans="1:17" customFormat="1">
      <c r="A34" s="112" t="s">
        <v>2855</v>
      </c>
      <c r="B34" s="134">
        <v>13.76</v>
      </c>
      <c r="C34" s="134">
        <v>25.46</v>
      </c>
      <c r="D34" s="134">
        <v>25.69</v>
      </c>
      <c r="E34" s="134">
        <v>8.41</v>
      </c>
      <c r="F34" s="134">
        <v>2.74</v>
      </c>
      <c r="G34" s="134">
        <v>92.44</v>
      </c>
      <c r="H34" s="134">
        <v>44.42</v>
      </c>
      <c r="I34" s="134">
        <v>7.67</v>
      </c>
      <c r="J34" s="134">
        <v>0.32</v>
      </c>
      <c r="K34" s="134">
        <v>21.68</v>
      </c>
      <c r="L34" s="134">
        <v>18</v>
      </c>
      <c r="M34" s="134">
        <v>82.82</v>
      </c>
      <c r="N34" s="134">
        <v>0.2</v>
      </c>
      <c r="O34" s="134">
        <v>0</v>
      </c>
      <c r="P34" s="134">
        <v>0.9</v>
      </c>
      <c r="Q34" s="134">
        <v>4.5</v>
      </c>
    </row>
    <row r="35" spans="1:17" customFormat="1">
      <c r="A35" s="112" t="s">
        <v>2856</v>
      </c>
      <c r="B35" s="134">
        <v>14.06</v>
      </c>
      <c r="C35" s="134">
        <v>26.02</v>
      </c>
      <c r="D35" s="134">
        <v>26.22</v>
      </c>
      <c r="E35" s="134">
        <v>8.0299999999999994</v>
      </c>
      <c r="F35" s="134">
        <v>2.71</v>
      </c>
      <c r="G35" s="134">
        <v>91.85</v>
      </c>
      <c r="H35" s="134">
        <v>44.42</v>
      </c>
      <c r="I35" s="134">
        <v>7.62</v>
      </c>
      <c r="J35" s="134">
        <v>0.41</v>
      </c>
      <c r="K35" s="134">
        <v>32.93</v>
      </c>
      <c r="L35" s="134">
        <v>17.989999999999998</v>
      </c>
      <c r="M35" s="134">
        <v>83.02</v>
      </c>
      <c r="N35" s="134">
        <v>5.4</v>
      </c>
      <c r="O35" s="134">
        <v>0</v>
      </c>
      <c r="P35" s="134">
        <v>0.92</v>
      </c>
      <c r="Q35" s="134">
        <v>4.5</v>
      </c>
    </row>
    <row r="36" spans="1:17" customFormat="1">
      <c r="A36" s="112" t="s">
        <v>2857</v>
      </c>
      <c r="B36" s="134">
        <v>14.24</v>
      </c>
      <c r="C36" s="134">
        <v>26.6</v>
      </c>
      <c r="D36" s="134">
        <v>26.67</v>
      </c>
      <c r="E36" s="134">
        <v>8.41</v>
      </c>
      <c r="F36" s="134">
        <v>2.87</v>
      </c>
      <c r="G36" s="134">
        <v>91.85</v>
      </c>
      <c r="H36" s="134">
        <v>44.42</v>
      </c>
      <c r="I36" s="134">
        <v>7.72</v>
      </c>
      <c r="J36" s="134">
        <v>0.49</v>
      </c>
      <c r="K36" s="134">
        <v>44.12</v>
      </c>
      <c r="L36" s="134">
        <v>18.13</v>
      </c>
      <c r="M36" s="134">
        <v>82.1</v>
      </c>
      <c r="N36" s="134">
        <v>20.7</v>
      </c>
      <c r="O36" s="134">
        <v>0</v>
      </c>
      <c r="P36" s="134">
        <v>0.93</v>
      </c>
      <c r="Q36" s="134">
        <v>4.49</v>
      </c>
    </row>
    <row r="37" spans="1:17" customFormat="1">
      <c r="A37" s="112" t="s">
        <v>2858</v>
      </c>
      <c r="B37" s="134">
        <v>14.26</v>
      </c>
      <c r="C37" s="134">
        <v>27.02</v>
      </c>
      <c r="D37" s="134">
        <v>26.9</v>
      </c>
      <c r="E37" s="134">
        <v>8.2899999999999991</v>
      </c>
      <c r="F37" s="134">
        <v>2.92</v>
      </c>
      <c r="G37" s="134">
        <v>91.85</v>
      </c>
      <c r="H37" s="134">
        <v>44.42</v>
      </c>
      <c r="I37" s="134">
        <v>7.9</v>
      </c>
      <c r="J37" s="134">
        <v>0.39</v>
      </c>
      <c r="K37" s="134">
        <v>46.32</v>
      </c>
      <c r="L37" s="134">
        <v>18.45</v>
      </c>
      <c r="M37" s="134">
        <v>81.16</v>
      </c>
      <c r="N37" s="134">
        <v>32.9</v>
      </c>
      <c r="O37" s="134">
        <v>0</v>
      </c>
      <c r="P37" s="134">
        <v>0.94</v>
      </c>
      <c r="Q37" s="134">
        <v>4.51</v>
      </c>
    </row>
    <row r="38" spans="1:17" customFormat="1">
      <c r="A38" s="112" t="s">
        <v>2859</v>
      </c>
      <c r="B38" s="134">
        <v>14.69</v>
      </c>
      <c r="C38" s="134">
        <v>27.47</v>
      </c>
      <c r="D38" s="134">
        <v>27.48</v>
      </c>
      <c r="E38" s="134">
        <v>8.36</v>
      </c>
      <c r="F38" s="134">
        <v>2.91</v>
      </c>
      <c r="G38" s="134">
        <v>90.04</v>
      </c>
      <c r="H38" s="134">
        <v>44.82</v>
      </c>
      <c r="I38" s="134">
        <v>8.0500000000000007</v>
      </c>
      <c r="J38" s="134">
        <v>0.41</v>
      </c>
      <c r="K38" s="134">
        <v>47.9</v>
      </c>
      <c r="L38" s="134">
        <v>18.850000000000001</v>
      </c>
      <c r="M38" s="134">
        <v>79.569999999999993</v>
      </c>
      <c r="N38" s="134">
        <v>41.6</v>
      </c>
      <c r="O38" s="134">
        <v>0</v>
      </c>
      <c r="P38" s="134">
        <v>0.94</v>
      </c>
      <c r="Q38" s="134">
        <v>4.51</v>
      </c>
    </row>
    <row r="39" spans="1:17" customFormat="1">
      <c r="A39" s="112" t="s">
        <v>2860</v>
      </c>
      <c r="B39" s="134">
        <v>15.09</v>
      </c>
      <c r="C39" s="134">
        <v>27.95</v>
      </c>
      <c r="D39" s="134">
        <v>28.06</v>
      </c>
      <c r="E39" s="134">
        <v>8.74</v>
      </c>
      <c r="F39" s="134">
        <v>2.9</v>
      </c>
      <c r="G39" s="134">
        <v>89.68</v>
      </c>
      <c r="H39" s="134">
        <v>44.82</v>
      </c>
      <c r="I39" s="134">
        <v>8.09</v>
      </c>
      <c r="J39" s="134">
        <v>0.56999999999999995</v>
      </c>
      <c r="K39" s="134">
        <v>45.96</v>
      </c>
      <c r="L39" s="134">
        <v>19.3</v>
      </c>
      <c r="M39" s="134">
        <v>77.33</v>
      </c>
      <c r="N39" s="134">
        <v>75</v>
      </c>
      <c r="O39" s="134">
        <v>0</v>
      </c>
      <c r="P39" s="134">
        <v>0.95</v>
      </c>
      <c r="Q39" s="134">
        <v>4.53</v>
      </c>
    </row>
    <row r="40" spans="1:17" customFormat="1">
      <c r="A40" s="112" t="s">
        <v>2861</v>
      </c>
      <c r="B40" s="134">
        <v>15.23</v>
      </c>
      <c r="C40" s="134">
        <v>28.49</v>
      </c>
      <c r="D40" s="134">
        <v>28.45</v>
      </c>
      <c r="E40" s="134">
        <v>8.23</v>
      </c>
      <c r="F40" s="134">
        <v>2.76</v>
      </c>
      <c r="G40" s="134">
        <v>89.68</v>
      </c>
      <c r="H40" s="134">
        <v>44.82</v>
      </c>
      <c r="I40" s="134">
        <v>8.18</v>
      </c>
      <c r="J40" s="134">
        <v>0.48</v>
      </c>
      <c r="K40" s="134">
        <v>39.200000000000003</v>
      </c>
      <c r="L40" s="134">
        <v>20.13</v>
      </c>
      <c r="M40" s="134">
        <v>74.28</v>
      </c>
      <c r="N40" s="134">
        <v>133.80000000000001</v>
      </c>
      <c r="O40" s="134">
        <v>0</v>
      </c>
      <c r="P40" s="134">
        <v>0.96</v>
      </c>
      <c r="Q40" s="134">
        <v>4.5199999999999996</v>
      </c>
    </row>
    <row r="41" spans="1:17" customFormat="1">
      <c r="A41" s="112" t="s">
        <v>2862</v>
      </c>
      <c r="B41" s="134">
        <v>15.12</v>
      </c>
      <c r="C41" s="134">
        <v>28.7</v>
      </c>
      <c r="D41" s="134">
        <v>28.47</v>
      </c>
      <c r="E41" s="134">
        <v>8.5299999999999994</v>
      </c>
      <c r="F41" s="134">
        <v>2.81</v>
      </c>
      <c r="G41" s="134">
        <v>89.68</v>
      </c>
      <c r="H41" s="134">
        <v>44.82</v>
      </c>
      <c r="I41" s="134">
        <v>8.24</v>
      </c>
      <c r="J41" s="134">
        <v>0.56999999999999995</v>
      </c>
      <c r="K41" s="134">
        <v>37.46</v>
      </c>
      <c r="L41" s="134">
        <v>20.86</v>
      </c>
      <c r="M41" s="134">
        <v>69.739999999999995</v>
      </c>
      <c r="N41" s="134">
        <v>152</v>
      </c>
      <c r="O41" s="134">
        <v>0</v>
      </c>
      <c r="P41" s="134">
        <v>0.97</v>
      </c>
      <c r="Q41" s="134">
        <v>4.55</v>
      </c>
    </row>
    <row r="42" spans="1:17" customFormat="1">
      <c r="A42" s="112" t="s">
        <v>2863</v>
      </c>
      <c r="B42" s="134">
        <v>14.72</v>
      </c>
      <c r="C42" s="134">
        <v>29.06</v>
      </c>
      <c r="D42" s="134">
        <v>28.34</v>
      </c>
      <c r="E42" s="134">
        <v>8.59</v>
      </c>
      <c r="F42" s="134">
        <v>2.84</v>
      </c>
      <c r="G42" s="134">
        <v>91.01</v>
      </c>
      <c r="H42" s="134">
        <v>40.270000000000003</v>
      </c>
      <c r="I42" s="134">
        <v>8.25</v>
      </c>
      <c r="J42" s="134">
        <v>0.62</v>
      </c>
      <c r="K42" s="134">
        <v>51.1</v>
      </c>
      <c r="L42" s="134">
        <v>21.54</v>
      </c>
      <c r="M42" s="134">
        <v>66.13</v>
      </c>
      <c r="N42" s="134">
        <v>176.2</v>
      </c>
      <c r="O42" s="134">
        <v>0</v>
      </c>
      <c r="P42" s="134">
        <v>0.96</v>
      </c>
      <c r="Q42" s="134">
        <v>4.53</v>
      </c>
    </row>
    <row r="43" spans="1:17" customFormat="1">
      <c r="A43" s="112" t="s">
        <v>2864</v>
      </c>
      <c r="B43" s="134">
        <v>13.95</v>
      </c>
      <c r="C43" s="134">
        <v>29.08</v>
      </c>
      <c r="D43" s="134">
        <v>27.73</v>
      </c>
      <c r="E43" s="134">
        <v>9.18</v>
      </c>
      <c r="F43" s="134">
        <v>2.98</v>
      </c>
      <c r="G43" s="134">
        <v>91.27</v>
      </c>
      <c r="H43" s="134">
        <v>40.270000000000003</v>
      </c>
      <c r="I43" s="134">
        <v>8.2200000000000006</v>
      </c>
      <c r="J43" s="134">
        <v>0.49</v>
      </c>
      <c r="K43" s="134">
        <v>59.25</v>
      </c>
      <c r="L43" s="134">
        <v>22.41</v>
      </c>
      <c r="M43" s="134">
        <v>62.46</v>
      </c>
      <c r="N43" s="134">
        <v>200</v>
      </c>
      <c r="O43" s="134">
        <v>0</v>
      </c>
      <c r="P43" s="134">
        <v>0.96</v>
      </c>
      <c r="Q43" s="134">
        <v>4.5199999999999996</v>
      </c>
    </row>
    <row r="44" spans="1:17" customFormat="1">
      <c r="A44" s="112" t="s">
        <v>2865</v>
      </c>
      <c r="B44" s="134">
        <v>12.98</v>
      </c>
      <c r="C44" s="134">
        <v>29.3</v>
      </c>
      <c r="D44" s="134">
        <v>27.07</v>
      </c>
      <c r="E44" s="134">
        <v>8.69</v>
      </c>
      <c r="F44" s="134">
        <v>3.1</v>
      </c>
      <c r="G44" s="134">
        <v>91.27</v>
      </c>
      <c r="H44" s="134">
        <v>40.270000000000003</v>
      </c>
      <c r="I44" s="134">
        <v>8.1999999999999993</v>
      </c>
      <c r="J44" s="134">
        <v>0.5</v>
      </c>
      <c r="K44" s="134">
        <v>44.57</v>
      </c>
      <c r="L44" s="134">
        <v>23.21</v>
      </c>
      <c r="M44" s="134">
        <v>59.77</v>
      </c>
      <c r="N44" s="134">
        <v>198.4</v>
      </c>
      <c r="O44" s="134">
        <v>0</v>
      </c>
      <c r="P44" s="134">
        <v>0.97</v>
      </c>
      <c r="Q44" s="134">
        <v>4.49</v>
      </c>
    </row>
    <row r="45" spans="1:17" customFormat="1">
      <c r="A45" s="112" t="s">
        <v>2866</v>
      </c>
      <c r="B45" s="134">
        <v>12.03</v>
      </c>
      <c r="C45" s="134">
        <v>29.73</v>
      </c>
      <c r="D45" s="134">
        <v>26.53</v>
      </c>
      <c r="E45" s="134">
        <v>8.99</v>
      </c>
      <c r="F45" s="134">
        <v>3.08</v>
      </c>
      <c r="G45" s="134">
        <v>91.27</v>
      </c>
      <c r="H45" s="134">
        <v>40.270000000000003</v>
      </c>
      <c r="I45" s="134">
        <v>8.11</v>
      </c>
      <c r="J45" s="134">
        <v>0.67</v>
      </c>
      <c r="K45" s="134">
        <v>43.84</v>
      </c>
      <c r="L45" s="134">
        <v>23.59</v>
      </c>
      <c r="M45" s="134">
        <v>56.65</v>
      </c>
      <c r="N45" s="134">
        <v>224.8</v>
      </c>
      <c r="O45" s="134">
        <v>0</v>
      </c>
      <c r="P45" s="134">
        <v>0.96</v>
      </c>
      <c r="Q45" s="134">
        <v>4.4800000000000004</v>
      </c>
    </row>
    <row r="46" spans="1:17" customFormat="1">
      <c r="A46" s="112" t="s">
        <v>2867</v>
      </c>
      <c r="B46" s="134">
        <v>11.08</v>
      </c>
      <c r="C46" s="134">
        <v>30.25</v>
      </c>
      <c r="D46" s="134">
        <v>26.04</v>
      </c>
      <c r="E46" s="134">
        <v>8.66</v>
      </c>
      <c r="F46" s="134">
        <v>3.18</v>
      </c>
      <c r="G46" s="134">
        <v>91.12</v>
      </c>
      <c r="H46" s="134">
        <v>44.44</v>
      </c>
      <c r="I46" s="134">
        <v>8.06</v>
      </c>
      <c r="J46" s="134">
        <v>0.74</v>
      </c>
      <c r="K46" s="134">
        <v>43.18</v>
      </c>
      <c r="L46" s="134">
        <v>24.39</v>
      </c>
      <c r="M46" s="134">
        <v>54.11</v>
      </c>
      <c r="N46" s="134">
        <v>218.4</v>
      </c>
      <c r="O46" s="134">
        <v>0</v>
      </c>
      <c r="P46" s="134">
        <v>0.95</v>
      </c>
      <c r="Q46" s="134">
        <v>4.42</v>
      </c>
    </row>
    <row r="47" spans="1:17" customFormat="1">
      <c r="A47" s="112" t="s">
        <v>2868</v>
      </c>
      <c r="B47" s="134">
        <v>10.35</v>
      </c>
      <c r="C47" s="134">
        <v>30.13</v>
      </c>
      <c r="D47" s="134">
        <v>25.39</v>
      </c>
      <c r="E47" s="134">
        <v>8.76</v>
      </c>
      <c r="F47" s="134">
        <v>3.11</v>
      </c>
      <c r="G47" s="134">
        <v>91.08</v>
      </c>
      <c r="H47" s="134">
        <v>44.44</v>
      </c>
      <c r="I47" s="134">
        <v>7.97</v>
      </c>
      <c r="J47" s="134">
        <v>0.56000000000000005</v>
      </c>
      <c r="K47" s="134">
        <v>37.01</v>
      </c>
      <c r="L47" s="134">
        <v>24.38</v>
      </c>
      <c r="M47" s="134">
        <v>56.54</v>
      </c>
      <c r="N47" s="134">
        <v>162.19999999999999</v>
      </c>
      <c r="O47" s="134">
        <v>0</v>
      </c>
      <c r="P47" s="134">
        <v>0.96</v>
      </c>
      <c r="Q47" s="134">
        <v>4.43</v>
      </c>
    </row>
    <row r="48" spans="1:17" customFormat="1">
      <c r="A48" s="112" t="s">
        <v>2869</v>
      </c>
      <c r="B48" s="134">
        <v>9.8800000000000008</v>
      </c>
      <c r="C48" s="134">
        <v>30.29</v>
      </c>
      <c r="D48" s="134">
        <v>25.1</v>
      </c>
      <c r="E48" s="134">
        <v>9.2200000000000006</v>
      </c>
      <c r="F48" s="134">
        <v>3.01</v>
      </c>
      <c r="G48" s="134">
        <v>91.08</v>
      </c>
      <c r="H48" s="134">
        <v>44.44</v>
      </c>
      <c r="I48" s="134">
        <v>7.88</v>
      </c>
      <c r="J48" s="134">
        <v>0.37</v>
      </c>
      <c r="K48" s="134">
        <v>27.78</v>
      </c>
      <c r="L48" s="134">
        <v>24.37</v>
      </c>
      <c r="M48" s="134">
        <v>57.99</v>
      </c>
      <c r="N48" s="134">
        <v>142.6</v>
      </c>
      <c r="O48" s="134">
        <v>0</v>
      </c>
      <c r="P48" s="134">
        <v>0.97</v>
      </c>
      <c r="Q48" s="134">
        <v>4.42</v>
      </c>
    </row>
    <row r="49" spans="1:17" customFormat="1">
      <c r="A49" s="112" t="s">
        <v>2870</v>
      </c>
      <c r="B49" s="134">
        <v>9.82</v>
      </c>
      <c r="C49" s="134">
        <v>30.3</v>
      </c>
      <c r="D49" s="134">
        <v>25.06</v>
      </c>
      <c r="E49" s="134">
        <v>7.02</v>
      </c>
      <c r="F49" s="134">
        <v>3.13</v>
      </c>
      <c r="G49" s="134">
        <v>91.08</v>
      </c>
      <c r="H49" s="134">
        <v>44.44</v>
      </c>
      <c r="I49" s="134">
        <v>7.83</v>
      </c>
      <c r="J49" s="134">
        <v>0.6</v>
      </c>
      <c r="K49" s="134">
        <v>25.61</v>
      </c>
      <c r="L49" s="134">
        <v>24.61</v>
      </c>
      <c r="M49" s="134">
        <v>56.39</v>
      </c>
      <c r="N49" s="134">
        <v>184.3</v>
      </c>
      <c r="O49" s="134">
        <v>0</v>
      </c>
      <c r="P49" s="134">
        <v>0.97</v>
      </c>
      <c r="Q49" s="134">
        <v>4.4000000000000004</v>
      </c>
    </row>
    <row r="50" spans="1:17" customFormat="1">
      <c r="A50" s="112" t="s">
        <v>2871</v>
      </c>
      <c r="B50" s="134">
        <v>9.43</v>
      </c>
      <c r="C50" s="134">
        <v>30.59</v>
      </c>
      <c r="D50" s="134">
        <v>24.9</v>
      </c>
      <c r="E50" s="134">
        <v>7.68</v>
      </c>
      <c r="F50" s="134">
        <v>3.31</v>
      </c>
      <c r="G50" s="134">
        <v>95.14</v>
      </c>
      <c r="H50" s="134">
        <v>46.76</v>
      </c>
      <c r="I50" s="134">
        <v>7.83</v>
      </c>
      <c r="J50" s="134">
        <v>0.72</v>
      </c>
      <c r="K50" s="134">
        <v>28.58</v>
      </c>
      <c r="L50" s="134">
        <v>24.8</v>
      </c>
      <c r="M50" s="134">
        <v>53.97</v>
      </c>
      <c r="N50" s="134">
        <v>200.8</v>
      </c>
      <c r="O50" s="134">
        <v>0</v>
      </c>
      <c r="P50" s="134">
        <v>0.97</v>
      </c>
      <c r="Q50" s="134">
        <v>4.3899999999999997</v>
      </c>
    </row>
    <row r="51" spans="1:17" customFormat="1">
      <c r="A51" s="112" t="s">
        <v>2872</v>
      </c>
      <c r="B51" s="134">
        <v>8.89</v>
      </c>
      <c r="C51" s="134">
        <v>30.82</v>
      </c>
      <c r="D51" s="134">
        <v>24.58</v>
      </c>
      <c r="E51" s="134">
        <v>7.58</v>
      </c>
      <c r="F51" s="134">
        <v>3.42</v>
      </c>
      <c r="G51" s="134">
        <v>95.95</v>
      </c>
      <c r="H51" s="134">
        <v>46.76</v>
      </c>
      <c r="I51" s="134">
        <v>7.81</v>
      </c>
      <c r="J51" s="134">
        <v>0.68</v>
      </c>
      <c r="K51" s="134">
        <v>45.31</v>
      </c>
      <c r="L51" s="134">
        <v>24.9</v>
      </c>
      <c r="M51" s="134">
        <v>53.02</v>
      </c>
      <c r="N51" s="134">
        <v>172.1</v>
      </c>
      <c r="O51" s="134">
        <v>0</v>
      </c>
      <c r="P51" s="134">
        <v>0.97</v>
      </c>
      <c r="Q51" s="134">
        <v>4.38</v>
      </c>
    </row>
    <row r="52" spans="1:17" customFormat="1">
      <c r="A52" s="112" t="s">
        <v>2873</v>
      </c>
      <c r="B52" s="134">
        <v>8.27</v>
      </c>
      <c r="C52" s="134">
        <v>30.85</v>
      </c>
      <c r="D52" s="134">
        <v>24.1</v>
      </c>
      <c r="E52" s="134">
        <v>7.59</v>
      </c>
      <c r="F52" s="134">
        <v>3.46</v>
      </c>
      <c r="G52" s="134">
        <v>95.95</v>
      </c>
      <c r="H52" s="134">
        <v>46.76</v>
      </c>
      <c r="I52" s="134">
        <v>7.77</v>
      </c>
      <c r="J52" s="134">
        <v>0.82</v>
      </c>
      <c r="K52" s="134">
        <v>37</v>
      </c>
      <c r="L52" s="134">
        <v>24.96</v>
      </c>
      <c r="M52" s="134">
        <v>52.42</v>
      </c>
      <c r="N52" s="134">
        <v>206.2</v>
      </c>
      <c r="O52" s="134">
        <v>0</v>
      </c>
      <c r="P52" s="134">
        <v>0.97</v>
      </c>
      <c r="Q52" s="134">
        <v>4.3600000000000003</v>
      </c>
    </row>
    <row r="53" spans="1:17" customFormat="1">
      <c r="A53" s="112" t="s">
        <v>2874</v>
      </c>
      <c r="B53" s="134">
        <v>7.69</v>
      </c>
      <c r="C53" s="134">
        <v>30.99</v>
      </c>
      <c r="D53" s="134">
        <v>23.72</v>
      </c>
      <c r="E53" s="134">
        <v>7.87</v>
      </c>
      <c r="F53" s="134">
        <v>3.79</v>
      </c>
      <c r="G53" s="134">
        <v>95.95</v>
      </c>
      <c r="H53" s="134">
        <v>46.76</v>
      </c>
      <c r="I53" s="134">
        <v>7.71</v>
      </c>
      <c r="J53" s="134">
        <v>0.76</v>
      </c>
      <c r="K53" s="134">
        <v>35.89</v>
      </c>
      <c r="L53" s="134">
        <v>25.07</v>
      </c>
      <c r="M53" s="134">
        <v>52.5</v>
      </c>
      <c r="N53" s="134">
        <v>177.4</v>
      </c>
      <c r="O53" s="134">
        <v>0</v>
      </c>
      <c r="P53" s="134">
        <v>0.96</v>
      </c>
      <c r="Q53" s="134">
        <v>4.3499999999999996</v>
      </c>
    </row>
    <row r="54" spans="1:17" customFormat="1">
      <c r="A54" s="112" t="s">
        <v>2875</v>
      </c>
      <c r="B54" s="134">
        <v>7.56</v>
      </c>
      <c r="C54" s="134">
        <v>31.51</v>
      </c>
      <c r="D54" s="134">
        <v>23.87</v>
      </c>
      <c r="E54" s="134">
        <v>7.9</v>
      </c>
      <c r="F54" s="134">
        <v>3.2</v>
      </c>
      <c r="G54" s="134">
        <v>96.13</v>
      </c>
      <c r="H54" s="134">
        <v>44.12</v>
      </c>
      <c r="I54" s="134">
        <v>7.71</v>
      </c>
      <c r="J54" s="134">
        <v>0.71</v>
      </c>
      <c r="K54" s="134">
        <v>41.32</v>
      </c>
      <c r="L54" s="134">
        <v>25.48</v>
      </c>
      <c r="M54" s="134">
        <v>51.38</v>
      </c>
      <c r="N54" s="134">
        <v>241.1</v>
      </c>
      <c r="O54" s="134">
        <v>0</v>
      </c>
      <c r="P54" s="134">
        <v>0.96</v>
      </c>
      <c r="Q54" s="134">
        <v>4.3099999999999996</v>
      </c>
    </row>
    <row r="55" spans="1:17" customFormat="1">
      <c r="A55" s="112" t="s">
        <v>2876</v>
      </c>
      <c r="B55" s="134">
        <v>8.02</v>
      </c>
      <c r="C55" s="134">
        <v>29.33</v>
      </c>
      <c r="D55" s="134">
        <v>23.11</v>
      </c>
      <c r="E55" s="134">
        <v>7.89</v>
      </c>
      <c r="F55" s="134">
        <v>3.44</v>
      </c>
      <c r="G55" s="134">
        <v>96.16</v>
      </c>
      <c r="H55" s="134">
        <v>44.12</v>
      </c>
      <c r="I55" s="134">
        <v>7.64</v>
      </c>
      <c r="J55" s="134">
        <v>0.66</v>
      </c>
      <c r="K55" s="134">
        <v>34.17</v>
      </c>
      <c r="L55" s="134">
        <v>25.95</v>
      </c>
      <c r="M55" s="134">
        <v>48.51</v>
      </c>
      <c r="N55" s="134">
        <v>212.7</v>
      </c>
      <c r="O55" s="134">
        <v>0</v>
      </c>
      <c r="P55" s="134">
        <v>0.95</v>
      </c>
      <c r="Q55" s="134">
        <v>4.3099999999999996</v>
      </c>
    </row>
    <row r="56" spans="1:17" customFormat="1">
      <c r="A56" s="112" t="s">
        <v>2877</v>
      </c>
      <c r="B56" s="134">
        <v>8.0399999999999991</v>
      </c>
      <c r="C56" s="134">
        <v>27.27</v>
      </c>
      <c r="D56" s="134">
        <v>22.05</v>
      </c>
      <c r="E56" s="134">
        <v>8.11</v>
      </c>
      <c r="F56" s="134">
        <v>4</v>
      </c>
      <c r="G56" s="134">
        <v>96.16</v>
      </c>
      <c r="H56" s="134">
        <v>44.12</v>
      </c>
      <c r="I56" s="134">
        <v>7.68</v>
      </c>
      <c r="J56" s="134">
        <v>0.75</v>
      </c>
      <c r="K56" s="134">
        <v>30.11</v>
      </c>
      <c r="L56" s="134">
        <v>25.7</v>
      </c>
      <c r="M56" s="134">
        <v>47.38</v>
      </c>
      <c r="N56" s="134">
        <v>176.6</v>
      </c>
      <c r="O56" s="134">
        <v>0</v>
      </c>
      <c r="P56" s="134">
        <v>0.93</v>
      </c>
      <c r="Q56" s="134">
        <v>4.34</v>
      </c>
    </row>
    <row r="57" spans="1:17" customFormat="1">
      <c r="A57" s="112" t="s">
        <v>2878</v>
      </c>
      <c r="B57" s="134">
        <v>7.77</v>
      </c>
      <c r="C57" s="134">
        <v>25.82</v>
      </c>
      <c r="D57" s="134">
        <v>21.08</v>
      </c>
      <c r="E57" s="134">
        <v>9.23</v>
      </c>
      <c r="F57" s="134">
        <v>4.7</v>
      </c>
      <c r="G57" s="134">
        <v>96.16</v>
      </c>
      <c r="H57" s="134">
        <v>44.12</v>
      </c>
      <c r="I57" s="134">
        <v>7.68</v>
      </c>
      <c r="J57" s="134">
        <v>0.8</v>
      </c>
      <c r="K57" s="134">
        <v>22.52</v>
      </c>
      <c r="L57" s="134">
        <v>25.31</v>
      </c>
      <c r="M57" s="134">
        <v>49.22</v>
      </c>
      <c r="N57" s="134">
        <v>95</v>
      </c>
      <c r="O57" s="134">
        <v>0</v>
      </c>
      <c r="P57" s="134">
        <v>0.91</v>
      </c>
      <c r="Q57" s="134">
        <v>4.3099999999999996</v>
      </c>
    </row>
    <row r="58" spans="1:17" customFormat="1">
      <c r="A58" s="112" t="s">
        <v>2879</v>
      </c>
      <c r="B58" s="134">
        <v>7.32</v>
      </c>
      <c r="C58" s="134">
        <v>25.49</v>
      </c>
      <c r="D58" s="134">
        <v>20.54</v>
      </c>
      <c r="E58" s="134">
        <v>10.85</v>
      </c>
      <c r="F58" s="134">
        <v>6.23</v>
      </c>
      <c r="G58" s="134">
        <v>95.23</v>
      </c>
      <c r="H58" s="134">
        <v>40.369999999999997</v>
      </c>
      <c r="I58" s="134">
        <v>7.61</v>
      </c>
      <c r="J58" s="134">
        <v>0.8</v>
      </c>
      <c r="K58" s="134">
        <v>26.51</v>
      </c>
      <c r="L58" s="134">
        <v>24.53</v>
      </c>
      <c r="M58" s="134">
        <v>55.1</v>
      </c>
      <c r="N58" s="134">
        <v>86.4</v>
      </c>
      <c r="O58" s="134">
        <v>0</v>
      </c>
      <c r="P58" s="134">
        <v>0.89</v>
      </c>
      <c r="Q58" s="134">
        <v>4.29</v>
      </c>
    </row>
    <row r="59" spans="1:17" customFormat="1">
      <c r="A59" s="112" t="s">
        <v>2880</v>
      </c>
      <c r="B59" s="151" t="s">
        <v>12</v>
      </c>
      <c r="C59" s="151" t="s">
        <v>12</v>
      </c>
      <c r="D59" s="151" t="s">
        <v>12</v>
      </c>
      <c r="E59" s="151" t="s">
        <v>12</v>
      </c>
      <c r="F59" s="151" t="s">
        <v>12</v>
      </c>
      <c r="G59" s="151" t="s">
        <v>12</v>
      </c>
      <c r="H59" s="151" t="s">
        <v>12</v>
      </c>
      <c r="I59" s="134">
        <v>7.52</v>
      </c>
      <c r="J59" s="134">
        <v>0.89</v>
      </c>
      <c r="K59" s="134">
        <v>27.91</v>
      </c>
      <c r="L59" s="134">
        <v>24.37</v>
      </c>
      <c r="M59" s="134">
        <v>57.26</v>
      </c>
      <c r="N59" s="134">
        <v>113.2</v>
      </c>
      <c r="O59" s="134">
        <v>0</v>
      </c>
      <c r="P59" s="134">
        <v>0.1</v>
      </c>
      <c r="Q59" s="134">
        <v>4.2699999999999996</v>
      </c>
    </row>
    <row r="60" spans="1:17" customFormat="1">
      <c r="A60" s="112" t="s">
        <v>2881</v>
      </c>
      <c r="B60" s="151" t="s">
        <v>12</v>
      </c>
      <c r="C60" s="151" t="s">
        <v>12</v>
      </c>
      <c r="D60" s="151" t="s">
        <v>12</v>
      </c>
      <c r="E60" s="151" t="s">
        <v>12</v>
      </c>
      <c r="F60" s="151" t="s">
        <v>12</v>
      </c>
      <c r="G60" s="151" t="s">
        <v>12</v>
      </c>
      <c r="H60" s="151" t="s">
        <v>12</v>
      </c>
      <c r="I60" s="134">
        <v>7.5</v>
      </c>
      <c r="J60" s="134">
        <v>0.69</v>
      </c>
      <c r="K60" s="134">
        <v>25.58</v>
      </c>
      <c r="L60" s="134">
        <v>23.99</v>
      </c>
      <c r="M60" s="134">
        <v>57.72</v>
      </c>
      <c r="N60" s="134">
        <v>101.6</v>
      </c>
      <c r="O60" s="134">
        <v>0</v>
      </c>
      <c r="P60" s="134">
        <v>5.01</v>
      </c>
      <c r="Q60" s="134">
        <v>4.2699999999999996</v>
      </c>
    </row>
    <row r="61" spans="1:17" customFormat="1">
      <c r="A61" s="112" t="s">
        <v>2882</v>
      </c>
      <c r="B61" s="151" t="s">
        <v>12</v>
      </c>
      <c r="C61" s="151" t="s">
        <v>12</v>
      </c>
      <c r="D61" s="151" t="s">
        <v>12</v>
      </c>
      <c r="E61" s="151" t="s">
        <v>12</v>
      </c>
      <c r="F61" s="151" t="s">
        <v>12</v>
      </c>
      <c r="G61" s="151" t="s">
        <v>12</v>
      </c>
      <c r="H61" s="151" t="s">
        <v>12</v>
      </c>
      <c r="I61" s="134">
        <v>7.5</v>
      </c>
      <c r="J61" s="134">
        <v>1.1399999999999999</v>
      </c>
      <c r="K61" s="134">
        <v>27.29</v>
      </c>
      <c r="L61" s="134">
        <v>23.75</v>
      </c>
      <c r="M61" s="134">
        <v>57.28</v>
      </c>
      <c r="N61" s="134">
        <v>126.6</v>
      </c>
      <c r="O61" s="134">
        <v>0</v>
      </c>
      <c r="P61" s="134">
        <v>0.11</v>
      </c>
      <c r="Q61" s="134">
        <v>4.24</v>
      </c>
    </row>
    <row r="62" spans="1:17" customFormat="1">
      <c r="A62" s="112" t="s">
        <v>2883</v>
      </c>
      <c r="B62" s="151" t="s">
        <v>12</v>
      </c>
      <c r="C62" s="151" t="s">
        <v>12</v>
      </c>
      <c r="D62" s="151" t="s">
        <v>12</v>
      </c>
      <c r="E62" s="151" t="s">
        <v>12</v>
      </c>
      <c r="F62" s="151" t="s">
        <v>12</v>
      </c>
      <c r="G62" s="151" t="s">
        <v>12</v>
      </c>
      <c r="H62" s="151" t="s">
        <v>12</v>
      </c>
      <c r="I62" s="134">
        <v>9.69</v>
      </c>
      <c r="J62" s="134">
        <v>0.97</v>
      </c>
      <c r="K62" s="134">
        <v>32.729999999999997</v>
      </c>
      <c r="L62" s="134">
        <v>23.39</v>
      </c>
      <c r="M62" s="134">
        <v>56.77</v>
      </c>
      <c r="N62" s="134">
        <v>53.5</v>
      </c>
      <c r="O62" s="134">
        <v>0</v>
      </c>
      <c r="P62" s="134">
        <v>0.93</v>
      </c>
      <c r="Q62" s="134">
        <v>4.1900000000000004</v>
      </c>
    </row>
    <row r="63" spans="1:17" customFormat="1">
      <c r="A63" s="112" t="s">
        <v>2884</v>
      </c>
      <c r="B63" s="151" t="s">
        <v>12</v>
      </c>
      <c r="C63" s="151" t="s">
        <v>12</v>
      </c>
      <c r="D63" s="151" t="s">
        <v>12</v>
      </c>
      <c r="E63" s="151" t="s">
        <v>12</v>
      </c>
      <c r="F63" s="151" t="s">
        <v>12</v>
      </c>
      <c r="G63" s="151" t="s">
        <v>12</v>
      </c>
      <c r="H63" s="151" t="s">
        <v>12</v>
      </c>
      <c r="I63" s="134">
        <v>15.55</v>
      </c>
      <c r="J63" s="134">
        <v>1.26</v>
      </c>
      <c r="K63" s="134">
        <v>33.79</v>
      </c>
      <c r="L63" s="134">
        <v>23.33</v>
      </c>
      <c r="M63" s="134">
        <v>54.72</v>
      </c>
      <c r="N63" s="134">
        <v>96.8</v>
      </c>
      <c r="O63" s="134">
        <v>0</v>
      </c>
      <c r="P63" s="134">
        <v>0.94</v>
      </c>
      <c r="Q63" s="134">
        <v>4.17</v>
      </c>
    </row>
    <row r="64" spans="1:17" customFormat="1">
      <c r="A64" s="112" t="s">
        <v>2885</v>
      </c>
      <c r="B64" s="134">
        <v>2.62</v>
      </c>
      <c r="C64" s="134">
        <v>26.99</v>
      </c>
      <c r="D64" s="134">
        <v>17.16</v>
      </c>
      <c r="E64" s="151" t="s">
        <v>12</v>
      </c>
      <c r="F64" s="134">
        <v>12.01</v>
      </c>
      <c r="G64" s="151" t="s">
        <v>12</v>
      </c>
      <c r="H64" s="151" t="s">
        <v>12</v>
      </c>
      <c r="I64" s="134">
        <v>16.23</v>
      </c>
      <c r="J64" s="134">
        <v>1.1399999999999999</v>
      </c>
      <c r="K64" s="134">
        <v>27.87</v>
      </c>
      <c r="L64" s="134">
        <v>23.19</v>
      </c>
      <c r="M64" s="134">
        <v>56.82</v>
      </c>
      <c r="N64" s="134">
        <v>78.900000000000006</v>
      </c>
      <c r="O64" s="134">
        <v>0</v>
      </c>
      <c r="P64" s="134">
        <v>0.93</v>
      </c>
      <c r="Q64" s="134">
        <v>4.16</v>
      </c>
    </row>
    <row r="65" spans="1:17" customFormat="1">
      <c r="A65" s="112" t="s">
        <v>2886</v>
      </c>
      <c r="B65" s="134">
        <v>2.2999999999999998</v>
      </c>
      <c r="C65" s="134">
        <v>25.98</v>
      </c>
      <c r="D65" s="134">
        <v>16.77</v>
      </c>
      <c r="E65" s="134">
        <v>10.48</v>
      </c>
      <c r="F65" s="134">
        <v>13.47</v>
      </c>
      <c r="G65" s="134">
        <v>106.8</v>
      </c>
      <c r="H65" s="134">
        <v>26.64</v>
      </c>
      <c r="I65" s="134">
        <v>20.21</v>
      </c>
      <c r="J65" s="134">
        <v>1.06</v>
      </c>
      <c r="K65" s="134">
        <v>26.31</v>
      </c>
      <c r="L65" s="134">
        <v>22.46</v>
      </c>
      <c r="M65" s="134">
        <v>63.72</v>
      </c>
      <c r="N65" s="134">
        <v>62.2</v>
      </c>
      <c r="O65" s="134">
        <v>0</v>
      </c>
      <c r="P65" s="134">
        <v>0.88</v>
      </c>
      <c r="Q65" s="134">
        <v>4.16</v>
      </c>
    </row>
    <row r="66" spans="1:17" customFormat="1">
      <c r="A66" s="112" t="s">
        <v>2887</v>
      </c>
      <c r="B66" s="134">
        <v>2</v>
      </c>
      <c r="C66" s="134">
        <v>24.87</v>
      </c>
      <c r="D66" s="134">
        <v>15.95</v>
      </c>
      <c r="E66" s="134">
        <v>10.55</v>
      </c>
      <c r="F66" s="134">
        <v>8.76</v>
      </c>
      <c r="G66" s="134">
        <v>106.8</v>
      </c>
      <c r="H66" s="134">
        <v>26.64</v>
      </c>
      <c r="I66" s="134">
        <v>29.46</v>
      </c>
      <c r="J66" s="134">
        <v>1.1499999999999999</v>
      </c>
      <c r="K66" s="134">
        <v>31.51</v>
      </c>
      <c r="L66" s="134">
        <v>21.71</v>
      </c>
      <c r="M66" s="134">
        <v>69.48</v>
      </c>
      <c r="N66" s="134">
        <v>23.4</v>
      </c>
      <c r="O66" s="134">
        <v>0</v>
      </c>
      <c r="P66" s="134">
        <v>0.91</v>
      </c>
      <c r="Q66" s="134">
        <v>4.1399999999999997</v>
      </c>
    </row>
    <row r="67" spans="1:17" customFormat="1">
      <c r="A67" s="112" t="s">
        <v>2888</v>
      </c>
      <c r="B67" s="134">
        <v>2.35</v>
      </c>
      <c r="C67" s="134">
        <v>23.69</v>
      </c>
      <c r="D67" s="134">
        <v>15.61</v>
      </c>
      <c r="E67" s="134">
        <v>9.0500000000000007</v>
      </c>
      <c r="F67" s="134">
        <v>5.43</v>
      </c>
      <c r="G67" s="134">
        <v>106.8</v>
      </c>
      <c r="H67" s="134">
        <v>26.64</v>
      </c>
      <c r="I67" s="134">
        <v>28.91</v>
      </c>
      <c r="J67" s="134">
        <v>0.94</v>
      </c>
      <c r="K67" s="134">
        <v>39.15</v>
      </c>
      <c r="L67" s="134">
        <v>21.52</v>
      </c>
      <c r="M67" s="134">
        <v>70.930000000000007</v>
      </c>
      <c r="N67" s="134">
        <v>8.4</v>
      </c>
      <c r="O67" s="134">
        <v>0</v>
      </c>
      <c r="P67" s="134">
        <v>0.89</v>
      </c>
      <c r="Q67" s="134">
        <v>4.1399999999999997</v>
      </c>
    </row>
    <row r="68" spans="1:17" customFormat="1">
      <c r="A68" s="112" t="s">
        <v>2889</v>
      </c>
      <c r="B68" s="134">
        <v>2.79</v>
      </c>
      <c r="C68" s="134">
        <v>23.9</v>
      </c>
      <c r="D68" s="134">
        <v>16.079999999999998</v>
      </c>
      <c r="E68" s="134">
        <v>8.02</v>
      </c>
      <c r="F68" s="134">
        <v>3.81</v>
      </c>
      <c r="G68" s="134">
        <v>106.77</v>
      </c>
      <c r="H68" s="134">
        <v>26.68</v>
      </c>
      <c r="I68" s="134">
        <v>27.6</v>
      </c>
      <c r="J68" s="134">
        <v>0.75</v>
      </c>
      <c r="K68" s="134">
        <v>28.03</v>
      </c>
      <c r="L68" s="134">
        <v>21.25</v>
      </c>
      <c r="M68" s="134">
        <v>73.849999999999994</v>
      </c>
      <c r="N68" s="134">
        <v>0.2</v>
      </c>
      <c r="O68" s="134">
        <v>0.4</v>
      </c>
      <c r="P68" s="134">
        <v>0.89</v>
      </c>
      <c r="Q68" s="134">
        <v>4.1399999999999997</v>
      </c>
    </row>
    <row r="69" spans="1:17" customFormat="1">
      <c r="A69" s="112" t="s">
        <v>2890</v>
      </c>
      <c r="B69" s="134">
        <v>3.33</v>
      </c>
      <c r="C69" s="134">
        <v>24.66</v>
      </c>
      <c r="D69" s="134">
        <v>16.91</v>
      </c>
      <c r="E69" s="134">
        <v>6.96</v>
      </c>
      <c r="F69" s="134">
        <v>3.27</v>
      </c>
      <c r="G69" s="134">
        <v>105.32</v>
      </c>
      <c r="H69" s="134">
        <v>29.63</v>
      </c>
      <c r="I69" s="134">
        <v>26.83</v>
      </c>
      <c r="J69" s="134">
        <v>0.79</v>
      </c>
      <c r="K69" s="134">
        <v>41.88</v>
      </c>
      <c r="L69" s="134">
        <v>19.64</v>
      </c>
      <c r="M69" s="134">
        <v>89.59</v>
      </c>
      <c r="N69" s="134">
        <v>2.2000000000000002</v>
      </c>
      <c r="O69" s="134">
        <v>2.8</v>
      </c>
      <c r="P69" s="134">
        <v>0.88</v>
      </c>
      <c r="Q69" s="134">
        <v>4.1399999999999997</v>
      </c>
    </row>
    <row r="70" spans="1:17" customFormat="1">
      <c r="A70" s="112" t="s">
        <v>2891</v>
      </c>
      <c r="B70" s="134">
        <v>3.85</v>
      </c>
      <c r="C70" s="134">
        <v>25.38</v>
      </c>
      <c r="D70" s="134">
        <v>17.7</v>
      </c>
      <c r="E70" s="134">
        <v>6.31</v>
      </c>
      <c r="F70" s="134">
        <v>3.04</v>
      </c>
      <c r="G70" s="134">
        <v>105.32</v>
      </c>
      <c r="H70" s="134">
        <v>29.63</v>
      </c>
      <c r="I70" s="134">
        <v>26.12</v>
      </c>
      <c r="J70" s="134">
        <v>0.6</v>
      </c>
      <c r="K70" s="134">
        <v>43.37</v>
      </c>
      <c r="L70" s="134">
        <v>19.079999999999998</v>
      </c>
      <c r="M70" s="134">
        <v>93.97</v>
      </c>
      <c r="N70" s="134">
        <v>7.5</v>
      </c>
      <c r="O70" s="134">
        <v>0.6</v>
      </c>
      <c r="P70" s="134">
        <v>0.87</v>
      </c>
      <c r="Q70" s="134">
        <v>4.16</v>
      </c>
    </row>
    <row r="71" spans="1:17" customFormat="1">
      <c r="A71" s="112" t="s">
        <v>2892</v>
      </c>
      <c r="B71" s="134">
        <v>4.51</v>
      </c>
      <c r="C71" s="134">
        <v>25.54</v>
      </c>
      <c r="D71" s="134">
        <v>18.309999999999999</v>
      </c>
      <c r="E71" s="134">
        <v>6.37</v>
      </c>
      <c r="F71" s="134">
        <v>2.93</v>
      </c>
      <c r="G71" s="134">
        <v>105.32</v>
      </c>
      <c r="H71" s="134">
        <v>29.63</v>
      </c>
      <c r="I71" s="134">
        <v>25.37</v>
      </c>
      <c r="J71" s="134">
        <v>0.63</v>
      </c>
      <c r="K71" s="134">
        <v>43.74</v>
      </c>
      <c r="L71" s="134">
        <v>19.03</v>
      </c>
      <c r="M71" s="134">
        <v>95.59</v>
      </c>
      <c r="N71" s="134">
        <v>6.1</v>
      </c>
      <c r="O71" s="134">
        <v>0</v>
      </c>
      <c r="P71" s="134">
        <v>0.87</v>
      </c>
      <c r="Q71" s="134">
        <v>4.1500000000000004</v>
      </c>
    </row>
    <row r="72" spans="1:17" customFormat="1">
      <c r="A72" s="112" t="s">
        <v>2893</v>
      </c>
      <c r="B72" s="134">
        <v>5.56</v>
      </c>
      <c r="C72" s="134">
        <v>26.12</v>
      </c>
      <c r="D72" s="134">
        <v>19.45</v>
      </c>
      <c r="E72" s="134">
        <v>5.91</v>
      </c>
      <c r="F72" s="134">
        <v>2.9</v>
      </c>
      <c r="G72" s="134">
        <v>104.78</v>
      </c>
      <c r="H72" s="134">
        <v>29.6</v>
      </c>
      <c r="I72" s="134">
        <v>24.46</v>
      </c>
      <c r="J72" s="134">
        <v>0.5</v>
      </c>
      <c r="K72" s="134">
        <v>36.21</v>
      </c>
      <c r="L72" s="134">
        <v>19.03</v>
      </c>
      <c r="M72" s="134">
        <v>96.39</v>
      </c>
      <c r="N72" s="134">
        <v>1.6</v>
      </c>
      <c r="O72" s="134">
        <v>0.2</v>
      </c>
      <c r="P72" s="134">
        <v>0.86</v>
      </c>
      <c r="Q72" s="134">
        <v>4.2</v>
      </c>
    </row>
    <row r="73" spans="1:17" customFormat="1">
      <c r="A73" s="112" t="s">
        <v>2894</v>
      </c>
      <c r="B73" s="134">
        <v>6.64</v>
      </c>
      <c r="C73" s="134">
        <v>26.39</v>
      </c>
      <c r="D73" s="134">
        <v>20.46</v>
      </c>
      <c r="E73" s="134">
        <v>6.19</v>
      </c>
      <c r="F73" s="134">
        <v>2.81</v>
      </c>
      <c r="G73" s="134">
        <v>80.87</v>
      </c>
      <c r="H73" s="134">
        <v>27.45</v>
      </c>
      <c r="I73" s="134">
        <v>23.67</v>
      </c>
      <c r="J73" s="134">
        <v>0.4</v>
      </c>
      <c r="K73" s="134">
        <v>50.54</v>
      </c>
      <c r="L73" s="134">
        <v>19.02</v>
      </c>
      <c r="M73" s="134">
        <v>97.21</v>
      </c>
      <c r="N73" s="134">
        <v>2.2000000000000002</v>
      </c>
      <c r="O73" s="134">
        <v>0.2</v>
      </c>
      <c r="P73" s="134">
        <v>0.85</v>
      </c>
      <c r="Q73" s="134">
        <v>4.2300000000000004</v>
      </c>
    </row>
    <row r="74" spans="1:17" customFormat="1">
      <c r="A74" s="112" t="s">
        <v>2895</v>
      </c>
      <c r="B74" s="134">
        <v>6.99</v>
      </c>
      <c r="C74" s="134">
        <v>26.49</v>
      </c>
      <c r="D74" s="134">
        <v>20.79</v>
      </c>
      <c r="E74" s="134">
        <v>5.4</v>
      </c>
      <c r="F74" s="134">
        <v>2.86</v>
      </c>
      <c r="G74" s="134">
        <v>80.87</v>
      </c>
      <c r="H74" s="134">
        <v>27.45</v>
      </c>
      <c r="I74" s="134">
        <v>22.76</v>
      </c>
      <c r="J74" s="134">
        <v>0.44</v>
      </c>
      <c r="K74" s="134">
        <v>49.52</v>
      </c>
      <c r="L74" s="134">
        <v>18.95</v>
      </c>
      <c r="M74" s="134">
        <v>97.46</v>
      </c>
      <c r="N74" s="134">
        <v>3.9</v>
      </c>
      <c r="O74" s="134">
        <v>0.2</v>
      </c>
      <c r="P74" s="134">
        <v>0.84</v>
      </c>
      <c r="Q74" s="134">
        <v>4.28</v>
      </c>
    </row>
    <row r="75" spans="1:17" customFormat="1">
      <c r="A75" s="112" t="s">
        <v>2896</v>
      </c>
      <c r="B75" s="134">
        <v>7.6</v>
      </c>
      <c r="C75" s="134">
        <v>26.62</v>
      </c>
      <c r="D75" s="134">
        <v>21.36</v>
      </c>
      <c r="E75" s="134">
        <v>5.52</v>
      </c>
      <c r="F75" s="134">
        <v>2.94</v>
      </c>
      <c r="G75" s="134">
        <v>80.87</v>
      </c>
      <c r="H75" s="134">
        <v>27.45</v>
      </c>
      <c r="I75" s="134">
        <v>21.86</v>
      </c>
      <c r="J75" s="134">
        <v>0.28000000000000003</v>
      </c>
      <c r="K75" s="134">
        <v>60.12</v>
      </c>
      <c r="L75" s="134">
        <v>18.97</v>
      </c>
      <c r="M75" s="134">
        <v>97.85</v>
      </c>
      <c r="N75" s="134">
        <v>0</v>
      </c>
      <c r="O75" s="134">
        <v>0</v>
      </c>
      <c r="P75" s="134">
        <v>0.83</v>
      </c>
      <c r="Q75" s="134">
        <v>4.32</v>
      </c>
    </row>
    <row r="76" spans="1:17" customFormat="1">
      <c r="A76" s="112" t="s">
        <v>2897</v>
      </c>
      <c r="B76" s="134">
        <v>8.59</v>
      </c>
      <c r="C76" s="134">
        <v>27.2</v>
      </c>
      <c r="D76" s="134">
        <v>22.45</v>
      </c>
      <c r="E76" s="134">
        <v>6.01</v>
      </c>
      <c r="F76" s="134">
        <v>2.82</v>
      </c>
      <c r="G76" s="134">
        <v>80.319999999999993</v>
      </c>
      <c r="H76" s="134">
        <v>27.39</v>
      </c>
      <c r="I76" s="134">
        <v>20.86</v>
      </c>
      <c r="J76" s="134">
        <v>0.31</v>
      </c>
      <c r="K76" s="134">
        <v>0.21</v>
      </c>
      <c r="L76" s="134">
        <v>18.91</v>
      </c>
      <c r="M76" s="134">
        <v>98.36</v>
      </c>
      <c r="N76" s="134">
        <v>0</v>
      </c>
      <c r="O76" s="134">
        <v>0</v>
      </c>
      <c r="P76" s="134">
        <v>0.84</v>
      </c>
      <c r="Q76" s="134">
        <v>4.3499999999999996</v>
      </c>
    </row>
    <row r="77" spans="1:17" customFormat="1">
      <c r="A77" s="80">
        <v>45258.71875</v>
      </c>
      <c r="B77" s="149" t="s">
        <v>4</v>
      </c>
      <c r="C77" s="149" t="s">
        <v>4</v>
      </c>
      <c r="D77" s="149" t="s">
        <v>4</v>
      </c>
      <c r="E77" s="149" t="s">
        <v>4</v>
      </c>
      <c r="F77" s="149" t="s">
        <v>4</v>
      </c>
      <c r="G77" s="149" t="s">
        <v>4</v>
      </c>
      <c r="H77" s="149" t="s">
        <v>4</v>
      </c>
      <c r="I77" s="149" t="s">
        <v>4</v>
      </c>
      <c r="J77" s="149" t="s">
        <v>4</v>
      </c>
      <c r="K77" s="149" t="s">
        <v>4</v>
      </c>
      <c r="L77" s="149" t="s">
        <v>4</v>
      </c>
      <c r="M77" s="149" t="s">
        <v>4</v>
      </c>
      <c r="N77" s="149" t="s">
        <v>4</v>
      </c>
      <c r="O77" s="149" t="s">
        <v>4</v>
      </c>
      <c r="P77" s="149" t="s">
        <v>4</v>
      </c>
      <c r="Q77" s="149" t="s">
        <v>4</v>
      </c>
    </row>
    <row r="78" spans="1:17" customFormat="1">
      <c r="A78" s="112" t="s">
        <v>2898</v>
      </c>
      <c r="B78" s="134">
        <v>9.7899999999999991</v>
      </c>
      <c r="C78" s="134">
        <v>21.45</v>
      </c>
      <c r="D78" s="134">
        <v>20.41</v>
      </c>
      <c r="E78" s="170" t="s">
        <v>21</v>
      </c>
      <c r="F78" s="170" t="s">
        <v>21</v>
      </c>
      <c r="G78" s="134">
        <v>56.02</v>
      </c>
      <c r="H78" s="134">
        <v>23.46</v>
      </c>
      <c r="I78" s="134">
        <v>0</v>
      </c>
      <c r="J78" s="134">
        <v>0.35</v>
      </c>
      <c r="K78" s="134">
        <v>136.15</v>
      </c>
      <c r="L78" s="134">
        <v>19.100000000000001</v>
      </c>
      <c r="M78" s="134">
        <v>99.94</v>
      </c>
      <c r="N78" s="134">
        <v>0</v>
      </c>
      <c r="O78" s="134">
        <v>0</v>
      </c>
      <c r="P78" s="134">
        <v>0.84</v>
      </c>
      <c r="Q78" s="170" t="s">
        <v>21</v>
      </c>
    </row>
    <row r="79" spans="1:17" customFormat="1">
      <c r="A79" s="112" t="s">
        <v>2899</v>
      </c>
      <c r="B79" s="134">
        <v>11</v>
      </c>
      <c r="C79" s="134">
        <v>25.21</v>
      </c>
      <c r="D79" s="134">
        <v>23.34</v>
      </c>
      <c r="E79" s="134">
        <v>6.31</v>
      </c>
      <c r="F79" s="134">
        <v>1</v>
      </c>
      <c r="G79" s="134">
        <v>56.02</v>
      </c>
      <c r="H79" s="134">
        <v>23.46</v>
      </c>
      <c r="I79" s="134">
        <v>0.39</v>
      </c>
      <c r="J79" s="134">
        <v>0.13</v>
      </c>
      <c r="K79" s="134">
        <v>155.94</v>
      </c>
      <c r="L79" s="134">
        <v>19.04</v>
      </c>
      <c r="M79" s="134">
        <v>99.33</v>
      </c>
      <c r="N79" s="134">
        <v>0</v>
      </c>
      <c r="O79" s="134">
        <v>0</v>
      </c>
      <c r="P79" s="134">
        <v>0.9</v>
      </c>
      <c r="Q79" s="134">
        <v>4.8</v>
      </c>
    </row>
    <row r="80" spans="1:17" customFormat="1">
      <c r="A80" s="112" t="s">
        <v>2900</v>
      </c>
      <c r="B80" s="134">
        <v>11.02</v>
      </c>
      <c r="C80" s="134">
        <v>23.16</v>
      </c>
      <c r="D80" s="134">
        <v>22.29</v>
      </c>
      <c r="E80" s="134">
        <v>3.12</v>
      </c>
      <c r="F80" s="134">
        <v>1</v>
      </c>
      <c r="G80" s="134">
        <v>55.83</v>
      </c>
      <c r="H80" s="134">
        <v>23.42</v>
      </c>
      <c r="I80" s="134">
        <v>17.57</v>
      </c>
      <c r="J80" s="134">
        <v>0.03</v>
      </c>
      <c r="K80" s="134">
        <v>160.02000000000001</v>
      </c>
      <c r="L80" s="134">
        <v>19.23</v>
      </c>
      <c r="M80" s="134">
        <v>98.76</v>
      </c>
      <c r="N80" s="134">
        <v>0</v>
      </c>
      <c r="O80" s="134">
        <v>0</v>
      </c>
      <c r="P80" s="134">
        <v>0.89</v>
      </c>
      <c r="Q80" s="134">
        <v>4.75</v>
      </c>
    </row>
    <row r="81" spans="1:17" customFormat="1">
      <c r="A81" s="112" t="s">
        <v>2901</v>
      </c>
      <c r="B81" s="134">
        <v>11.32</v>
      </c>
      <c r="C81" s="134">
        <v>23.53</v>
      </c>
      <c r="D81" s="134">
        <v>22.72</v>
      </c>
      <c r="E81" s="134">
        <v>6.6</v>
      </c>
      <c r="F81" s="134">
        <v>1.87</v>
      </c>
      <c r="G81" s="134">
        <v>47.82</v>
      </c>
      <c r="H81" s="134">
        <v>20.92</v>
      </c>
      <c r="I81" s="134">
        <v>17.23</v>
      </c>
      <c r="J81" s="134">
        <v>0.09</v>
      </c>
      <c r="K81" s="134">
        <v>176.65</v>
      </c>
      <c r="L81" s="134">
        <v>19.010000000000002</v>
      </c>
      <c r="M81" s="134">
        <v>98.78</v>
      </c>
      <c r="N81" s="134">
        <v>0</v>
      </c>
      <c r="O81" s="134">
        <v>0</v>
      </c>
      <c r="P81" s="134">
        <v>0.88</v>
      </c>
      <c r="Q81" s="134">
        <v>4.6900000000000004</v>
      </c>
    </row>
    <row r="82" spans="1:17" customFormat="1">
      <c r="A82" s="112" t="s">
        <v>2902</v>
      </c>
      <c r="B82" s="134">
        <v>11.52</v>
      </c>
      <c r="C82" s="134">
        <v>23.68</v>
      </c>
      <c r="D82" s="134">
        <v>22.96</v>
      </c>
      <c r="E82" s="134">
        <v>7.54</v>
      </c>
      <c r="F82" s="134">
        <v>2.72</v>
      </c>
      <c r="G82" s="134">
        <v>47.82</v>
      </c>
      <c r="H82" s="134">
        <v>20.92</v>
      </c>
      <c r="I82" s="134">
        <v>16.73</v>
      </c>
      <c r="J82" s="134">
        <v>0.08</v>
      </c>
      <c r="K82" s="134">
        <v>161.69999999999999</v>
      </c>
      <c r="L82" s="134">
        <v>19.010000000000002</v>
      </c>
      <c r="M82" s="134">
        <v>98.84</v>
      </c>
      <c r="N82" s="134">
        <v>0</v>
      </c>
      <c r="O82" s="134">
        <v>0</v>
      </c>
      <c r="P82" s="134">
        <v>0.87</v>
      </c>
      <c r="Q82" s="134">
        <v>4.66</v>
      </c>
    </row>
    <row r="83" spans="1:17" customFormat="1">
      <c r="A83" s="112" t="s">
        <v>2903</v>
      </c>
      <c r="B83" s="134">
        <v>11.45</v>
      </c>
      <c r="C83" s="134">
        <v>24.77</v>
      </c>
      <c r="D83" s="134">
        <v>23.47</v>
      </c>
      <c r="E83" s="134">
        <v>7.14</v>
      </c>
      <c r="F83" s="134">
        <v>2.72</v>
      </c>
      <c r="G83" s="134">
        <v>47.82</v>
      </c>
      <c r="H83" s="134">
        <v>20.92</v>
      </c>
      <c r="I83" s="134">
        <v>16.32</v>
      </c>
      <c r="J83" s="134">
        <v>0.06</v>
      </c>
      <c r="K83" s="134">
        <v>185.2</v>
      </c>
      <c r="L83" s="134">
        <v>18.920000000000002</v>
      </c>
      <c r="M83" s="134">
        <v>98.73</v>
      </c>
      <c r="N83" s="134">
        <v>0</v>
      </c>
      <c r="O83" s="134">
        <v>0</v>
      </c>
      <c r="P83" s="134">
        <v>0.87</v>
      </c>
      <c r="Q83" s="134">
        <v>4.66</v>
      </c>
    </row>
    <row r="84" spans="1:17" customFormat="1">
      <c r="A84" s="112" t="s">
        <v>2904</v>
      </c>
      <c r="B84" s="134">
        <v>11.6</v>
      </c>
      <c r="C84" s="134">
        <v>24.39</v>
      </c>
      <c r="D84" s="134">
        <v>23.39</v>
      </c>
      <c r="E84" s="134">
        <v>6.89</v>
      </c>
      <c r="F84" s="134">
        <v>2.73</v>
      </c>
      <c r="G84" s="134">
        <v>47.74</v>
      </c>
      <c r="H84" s="134">
        <v>20.93</v>
      </c>
      <c r="I84" s="134">
        <v>15.89</v>
      </c>
      <c r="J84" s="134">
        <v>0.19</v>
      </c>
      <c r="K84" s="134">
        <v>60.57</v>
      </c>
      <c r="L84" s="134">
        <v>18.899999999999999</v>
      </c>
      <c r="M84" s="134">
        <v>98.84</v>
      </c>
      <c r="N84" s="134">
        <v>0</v>
      </c>
      <c r="O84" s="134">
        <v>0.2</v>
      </c>
      <c r="P84" s="134">
        <v>0.86</v>
      </c>
      <c r="Q84" s="134">
        <v>4.66</v>
      </c>
    </row>
    <row r="85" spans="1:17" customFormat="1">
      <c r="A85" s="112" t="s">
        <v>2905</v>
      </c>
      <c r="B85" s="134">
        <v>12.2</v>
      </c>
      <c r="C85" s="134">
        <v>24.18</v>
      </c>
      <c r="D85" s="134">
        <v>23.77</v>
      </c>
      <c r="E85" s="134">
        <v>7.14</v>
      </c>
      <c r="F85" s="134">
        <v>2.76</v>
      </c>
      <c r="G85" s="134">
        <v>40.549999999999997</v>
      </c>
      <c r="H85" s="134">
        <v>21.61</v>
      </c>
      <c r="I85" s="134">
        <v>14.8</v>
      </c>
      <c r="J85" s="134">
        <v>0.15</v>
      </c>
      <c r="K85" s="134">
        <v>59.05</v>
      </c>
      <c r="L85" s="134">
        <v>19.100000000000001</v>
      </c>
      <c r="M85" s="134">
        <v>99.14</v>
      </c>
      <c r="N85" s="134">
        <v>0</v>
      </c>
      <c r="O85" s="134">
        <v>0</v>
      </c>
      <c r="P85" s="134">
        <v>0.86</v>
      </c>
      <c r="Q85" s="134">
        <v>4.67</v>
      </c>
    </row>
    <row r="86" spans="1:17" customFormat="1">
      <c r="A86" s="112" t="s">
        <v>2906</v>
      </c>
      <c r="B86" s="134">
        <v>13.07</v>
      </c>
      <c r="C86" s="134">
        <v>25.03</v>
      </c>
      <c r="D86" s="134">
        <v>24.91</v>
      </c>
      <c r="E86" s="134">
        <v>7.55</v>
      </c>
      <c r="F86" s="134">
        <v>2.61</v>
      </c>
      <c r="G86" s="134">
        <v>40.549999999999997</v>
      </c>
      <c r="H86" s="134">
        <v>21.61</v>
      </c>
      <c r="I86" s="134">
        <v>14</v>
      </c>
      <c r="J86" s="134">
        <v>0.1</v>
      </c>
      <c r="K86" s="134">
        <v>94.51</v>
      </c>
      <c r="L86" s="134">
        <v>19.010000000000002</v>
      </c>
      <c r="M86" s="134">
        <v>99.16</v>
      </c>
      <c r="N86" s="134">
        <v>0</v>
      </c>
      <c r="O86" s="134">
        <v>0</v>
      </c>
      <c r="P86" s="134">
        <v>0.87</v>
      </c>
      <c r="Q86" s="134">
        <v>4.7</v>
      </c>
    </row>
    <row r="87" spans="1:17" customFormat="1">
      <c r="A87" s="112" t="s">
        <v>2907</v>
      </c>
      <c r="B87" s="134">
        <v>13.67</v>
      </c>
      <c r="C87" s="134">
        <v>24.34</v>
      </c>
      <c r="D87" s="134">
        <v>25.03</v>
      </c>
      <c r="E87" s="134">
        <v>7.35</v>
      </c>
      <c r="F87" s="134">
        <v>2.67</v>
      </c>
      <c r="G87" s="134">
        <v>40.549999999999997</v>
      </c>
      <c r="H87" s="134">
        <v>21.61</v>
      </c>
      <c r="I87" s="134">
        <v>13.69</v>
      </c>
      <c r="J87" s="134">
        <v>0.12</v>
      </c>
      <c r="K87" s="134">
        <v>159.16</v>
      </c>
      <c r="L87" s="134">
        <v>18.989999999999998</v>
      </c>
      <c r="M87" s="134">
        <v>99.19</v>
      </c>
      <c r="N87" s="134">
        <v>0</v>
      </c>
      <c r="O87" s="134">
        <v>0</v>
      </c>
      <c r="P87" s="134">
        <v>0.87</v>
      </c>
      <c r="Q87" s="134">
        <v>4.7</v>
      </c>
    </row>
    <row r="88" spans="1:17" customFormat="1">
      <c r="A88" s="112" t="s">
        <v>2908</v>
      </c>
      <c r="B88" s="134">
        <v>13.91</v>
      </c>
      <c r="C88" s="134">
        <v>24.08</v>
      </c>
      <c r="D88" s="134">
        <v>25.08</v>
      </c>
      <c r="E88" s="134">
        <v>6.7</v>
      </c>
      <c r="F88" s="134">
        <v>2.79</v>
      </c>
      <c r="G88" s="134">
        <v>40.51</v>
      </c>
      <c r="H88" s="134">
        <v>21.54</v>
      </c>
      <c r="I88" s="134">
        <v>13.43</v>
      </c>
      <c r="J88" s="134">
        <v>0.1</v>
      </c>
      <c r="K88" s="134">
        <v>10.42</v>
      </c>
      <c r="L88" s="134">
        <v>18.91</v>
      </c>
      <c r="M88" s="134">
        <v>99.4</v>
      </c>
      <c r="N88" s="134">
        <v>0</v>
      </c>
      <c r="O88" s="134">
        <v>0</v>
      </c>
      <c r="P88" s="134">
        <v>0.87</v>
      </c>
      <c r="Q88" s="134">
        <v>4.6900000000000004</v>
      </c>
    </row>
    <row r="89" spans="1:17" customFormat="1">
      <c r="A89" s="112" t="s">
        <v>2909</v>
      </c>
      <c r="B89" s="134">
        <v>14.43</v>
      </c>
      <c r="C89" s="134">
        <v>24.06</v>
      </c>
      <c r="D89" s="134">
        <v>25.49</v>
      </c>
      <c r="E89" s="134">
        <v>7.29</v>
      </c>
      <c r="F89" s="134">
        <v>2.7</v>
      </c>
      <c r="G89" s="134">
        <v>36.729999999999997</v>
      </c>
      <c r="H89" s="134">
        <v>17.12</v>
      </c>
      <c r="I89" s="134">
        <v>13.16</v>
      </c>
      <c r="J89" s="134">
        <v>0.1</v>
      </c>
      <c r="K89" s="134">
        <v>0.41</v>
      </c>
      <c r="L89" s="134">
        <v>18.899999999999999</v>
      </c>
      <c r="M89" s="134">
        <v>99.57</v>
      </c>
      <c r="N89" s="134">
        <v>0</v>
      </c>
      <c r="O89" s="134">
        <v>0</v>
      </c>
      <c r="P89" s="134">
        <v>0.87</v>
      </c>
      <c r="Q89" s="134">
        <v>4.72</v>
      </c>
    </row>
    <row r="90" spans="1:17" customFormat="1">
      <c r="A90" s="112" t="s">
        <v>2910</v>
      </c>
      <c r="B90" s="134">
        <v>15.43</v>
      </c>
      <c r="C90" s="134">
        <v>24.57</v>
      </c>
      <c r="D90" s="134">
        <v>26.57</v>
      </c>
      <c r="E90" s="134">
        <v>7.63</v>
      </c>
      <c r="F90" s="134">
        <v>2.6</v>
      </c>
      <c r="G90" s="134">
        <v>36.729999999999997</v>
      </c>
      <c r="H90" s="134">
        <v>17.12</v>
      </c>
      <c r="I90" s="134">
        <v>12.83</v>
      </c>
      <c r="J90" s="134">
        <v>7.0000000000000007E-2</v>
      </c>
      <c r="K90" s="134">
        <v>31.89</v>
      </c>
      <c r="L90" s="134">
        <v>18.86</v>
      </c>
      <c r="M90" s="134">
        <v>99.8</v>
      </c>
      <c r="N90" s="134">
        <v>0</v>
      </c>
      <c r="O90" s="134">
        <v>0</v>
      </c>
      <c r="P90" s="134">
        <v>0.87</v>
      </c>
      <c r="Q90" s="134">
        <v>4.76</v>
      </c>
    </row>
    <row r="91" spans="1:17" customFormat="1">
      <c r="A91" s="112" t="s">
        <v>2911</v>
      </c>
      <c r="B91" s="134">
        <v>16.73</v>
      </c>
      <c r="C91" s="134">
        <v>23.77</v>
      </c>
      <c r="D91" s="134">
        <v>27.19</v>
      </c>
      <c r="E91" s="134">
        <v>6.9</v>
      </c>
      <c r="F91" s="134">
        <v>2.79</v>
      </c>
      <c r="G91" s="134">
        <v>36.729999999999997</v>
      </c>
      <c r="H91" s="134">
        <v>17.12</v>
      </c>
      <c r="I91" s="134">
        <v>12.54</v>
      </c>
      <c r="J91" s="134">
        <v>0.09</v>
      </c>
      <c r="K91" s="134">
        <v>337.29</v>
      </c>
      <c r="L91" s="134">
        <v>18.73</v>
      </c>
      <c r="M91" s="134">
        <v>99.88</v>
      </c>
      <c r="N91" s="134">
        <v>0</v>
      </c>
      <c r="O91" s="134">
        <v>0</v>
      </c>
      <c r="P91" s="134">
        <v>0.87</v>
      </c>
      <c r="Q91" s="134">
        <v>4.8</v>
      </c>
    </row>
    <row r="92" spans="1:17" customFormat="1">
      <c r="A92" s="112" t="s">
        <v>2912</v>
      </c>
      <c r="B92" s="134">
        <v>17.82</v>
      </c>
      <c r="C92" s="134">
        <v>24.11</v>
      </c>
      <c r="D92" s="134">
        <v>28.24</v>
      </c>
      <c r="E92" s="134">
        <v>6.9</v>
      </c>
      <c r="F92" s="134">
        <v>2.66</v>
      </c>
      <c r="G92" s="134">
        <v>36.799999999999997</v>
      </c>
      <c r="H92" s="134">
        <v>17.14</v>
      </c>
      <c r="I92" s="134">
        <v>12.27</v>
      </c>
      <c r="J92" s="134">
        <v>0.08</v>
      </c>
      <c r="K92" s="134">
        <v>147.36000000000001</v>
      </c>
      <c r="L92" s="134">
        <v>18.68</v>
      </c>
      <c r="M92" s="134">
        <v>100.12</v>
      </c>
      <c r="N92" s="134">
        <v>0</v>
      </c>
      <c r="O92" s="134">
        <v>0</v>
      </c>
      <c r="P92" s="134">
        <v>0.88</v>
      </c>
      <c r="Q92" s="134">
        <v>4.83</v>
      </c>
    </row>
    <row r="93" spans="1:17" customFormat="1">
      <c r="A93" s="112" t="s">
        <v>2913</v>
      </c>
      <c r="B93" s="134">
        <v>18.760000000000002</v>
      </c>
      <c r="C93" s="134">
        <v>24.21</v>
      </c>
      <c r="D93" s="134">
        <v>29.04</v>
      </c>
      <c r="E93" s="134">
        <v>7.05</v>
      </c>
      <c r="F93" s="134">
        <v>2.57</v>
      </c>
      <c r="G93" s="134">
        <v>39.97</v>
      </c>
      <c r="H93" s="134">
        <v>18.559999999999999</v>
      </c>
      <c r="I93" s="134">
        <v>12.51</v>
      </c>
      <c r="J93" s="134">
        <v>0.1</v>
      </c>
      <c r="K93" s="134">
        <v>200.02</v>
      </c>
      <c r="L93" s="134">
        <v>18.64</v>
      </c>
      <c r="M93" s="134">
        <v>100.43</v>
      </c>
      <c r="N93" s="134">
        <v>0</v>
      </c>
      <c r="O93" s="134">
        <v>0</v>
      </c>
      <c r="P93" s="134">
        <v>0.88</v>
      </c>
      <c r="Q93" s="134">
        <v>4.8600000000000003</v>
      </c>
    </row>
    <row r="94" spans="1:17" customFormat="1">
      <c r="A94" s="112" t="s">
        <v>2914</v>
      </c>
      <c r="B94" s="134">
        <v>19.559999999999999</v>
      </c>
      <c r="C94" s="134">
        <v>24.18</v>
      </c>
      <c r="D94" s="134">
        <v>29.67</v>
      </c>
      <c r="E94" s="134">
        <v>7.05</v>
      </c>
      <c r="F94" s="134">
        <v>2.59</v>
      </c>
      <c r="G94" s="134">
        <v>39.97</v>
      </c>
      <c r="H94" s="134">
        <v>18.559999999999999</v>
      </c>
      <c r="I94" s="134">
        <v>12.05</v>
      </c>
      <c r="J94" s="134">
        <v>0.14000000000000001</v>
      </c>
      <c r="K94" s="134">
        <v>189.99</v>
      </c>
      <c r="L94" s="134">
        <v>18.47</v>
      </c>
      <c r="M94" s="134">
        <v>100.75</v>
      </c>
      <c r="N94" s="134">
        <v>0</v>
      </c>
      <c r="O94" s="134">
        <v>0</v>
      </c>
      <c r="P94" s="134">
        <v>0.87</v>
      </c>
      <c r="Q94" s="134">
        <v>4.88</v>
      </c>
    </row>
    <row r="95" spans="1:17" customFormat="1">
      <c r="A95" s="112" t="s">
        <v>2915</v>
      </c>
      <c r="B95" s="134">
        <v>20.100000000000001</v>
      </c>
      <c r="C95" s="134">
        <v>24.5</v>
      </c>
      <c r="D95" s="134">
        <v>30.27</v>
      </c>
      <c r="E95" s="134">
        <v>7.14</v>
      </c>
      <c r="F95" s="134">
        <v>2.56</v>
      </c>
      <c r="G95" s="134">
        <v>39.97</v>
      </c>
      <c r="H95" s="134">
        <v>18.559999999999999</v>
      </c>
      <c r="I95" s="134">
        <v>11.97</v>
      </c>
      <c r="J95" s="134">
        <v>0.13</v>
      </c>
      <c r="K95" s="134">
        <v>305.47000000000003</v>
      </c>
      <c r="L95" s="134">
        <v>18.489999999999998</v>
      </c>
      <c r="M95" s="134">
        <v>101.12</v>
      </c>
      <c r="N95" s="134">
        <v>0</v>
      </c>
      <c r="O95" s="134">
        <v>0</v>
      </c>
      <c r="P95" s="134">
        <v>0.89</v>
      </c>
      <c r="Q95" s="134">
        <v>4.8899999999999997</v>
      </c>
    </row>
    <row r="96" spans="1:17" customFormat="1">
      <c r="A96" s="112" t="s">
        <v>2916</v>
      </c>
      <c r="B96" s="134">
        <v>21.38</v>
      </c>
      <c r="C96" s="134">
        <v>23.72</v>
      </c>
      <c r="D96" s="134">
        <v>30.88</v>
      </c>
      <c r="E96" s="134">
        <v>6.82</v>
      </c>
      <c r="F96" s="134">
        <v>2.73</v>
      </c>
      <c r="G96" s="134">
        <v>40.159999999999997</v>
      </c>
      <c r="H96" s="134">
        <v>18.62</v>
      </c>
      <c r="I96" s="134">
        <v>12.04</v>
      </c>
      <c r="J96" s="134">
        <v>0.08</v>
      </c>
      <c r="K96" s="134">
        <v>180.71</v>
      </c>
      <c r="L96" s="134">
        <v>18.39</v>
      </c>
      <c r="M96" s="134">
        <v>101.34</v>
      </c>
      <c r="N96" s="134">
        <v>0</v>
      </c>
      <c r="O96" s="134">
        <v>0</v>
      </c>
      <c r="P96" s="134">
        <v>0.88</v>
      </c>
      <c r="Q96" s="134">
        <v>4.92</v>
      </c>
    </row>
    <row r="97" spans="1:22" customFormat="1">
      <c r="A97" s="112" t="s">
        <v>2917</v>
      </c>
      <c r="B97" s="134">
        <v>23.12</v>
      </c>
      <c r="C97" s="134">
        <v>25.57</v>
      </c>
      <c r="D97" s="134">
        <v>33.25</v>
      </c>
      <c r="E97" s="134">
        <v>7.41</v>
      </c>
      <c r="F97" s="134">
        <v>2.65</v>
      </c>
      <c r="G97" s="134">
        <v>56.97</v>
      </c>
      <c r="H97" s="134">
        <v>22.95</v>
      </c>
      <c r="I97" s="134">
        <v>11.79</v>
      </c>
      <c r="J97" s="134">
        <v>0.11</v>
      </c>
      <c r="K97" s="134">
        <v>189.6</v>
      </c>
      <c r="L97" s="134">
        <v>18.350000000000001</v>
      </c>
      <c r="M97" s="134">
        <v>101.76</v>
      </c>
      <c r="N97" s="134">
        <v>0</v>
      </c>
      <c r="O97" s="134">
        <v>0</v>
      </c>
      <c r="P97" s="134">
        <v>0.89</v>
      </c>
      <c r="Q97" s="134">
        <v>4.96</v>
      </c>
    </row>
    <row r="98" spans="1:22" customFormat="1">
      <c r="A98" s="112" t="s">
        <v>2918</v>
      </c>
      <c r="B98" s="134">
        <v>24.83</v>
      </c>
      <c r="C98" s="134">
        <v>26.23</v>
      </c>
      <c r="D98" s="134">
        <v>34.97</v>
      </c>
      <c r="E98" s="134">
        <v>8.0299999999999994</v>
      </c>
      <c r="F98" s="134">
        <v>2.4</v>
      </c>
      <c r="G98" s="134">
        <v>56.97</v>
      </c>
      <c r="H98" s="134">
        <v>22.95</v>
      </c>
      <c r="I98" s="134">
        <v>11.56</v>
      </c>
      <c r="J98" s="134">
        <v>0.21</v>
      </c>
      <c r="K98" s="134">
        <v>275.70999999999998</v>
      </c>
      <c r="L98" s="134">
        <v>18.39</v>
      </c>
      <c r="M98" s="134">
        <v>102</v>
      </c>
      <c r="N98" s="134">
        <v>0</v>
      </c>
      <c r="O98" s="134">
        <v>0</v>
      </c>
      <c r="P98" s="134">
        <v>0.91</v>
      </c>
      <c r="Q98" s="134">
        <v>5.03</v>
      </c>
    </row>
    <row r="99" spans="1:22" customFormat="1">
      <c r="A99" s="112" t="s">
        <v>2919</v>
      </c>
      <c r="B99" s="134">
        <v>26.81</v>
      </c>
      <c r="C99" s="134">
        <v>26.81</v>
      </c>
      <c r="D99" s="134">
        <v>36.86</v>
      </c>
      <c r="E99" s="134">
        <v>8.08</v>
      </c>
      <c r="F99" s="134">
        <v>2.4700000000000002</v>
      </c>
      <c r="G99" s="134">
        <v>56.97</v>
      </c>
      <c r="H99" s="134">
        <v>22.95</v>
      </c>
      <c r="I99" s="134">
        <v>11.33</v>
      </c>
      <c r="J99" s="134">
        <v>0.16</v>
      </c>
      <c r="K99" s="134">
        <v>31.3</v>
      </c>
      <c r="L99" s="134">
        <v>18.2</v>
      </c>
      <c r="M99" s="134">
        <v>102.57</v>
      </c>
      <c r="N99" s="134">
        <v>0</v>
      </c>
      <c r="O99" s="134">
        <v>0</v>
      </c>
      <c r="P99" s="134">
        <v>0.92</v>
      </c>
      <c r="Q99" s="134">
        <v>5.1100000000000003</v>
      </c>
    </row>
    <row r="100" spans="1:22" customFormat="1">
      <c r="A100" s="112" t="s">
        <v>2920</v>
      </c>
      <c r="B100" s="134">
        <v>28.86</v>
      </c>
      <c r="C100" s="134">
        <v>27.36</v>
      </c>
      <c r="D100" s="134">
        <v>38.79</v>
      </c>
      <c r="E100" s="134">
        <v>8.1199999999999992</v>
      </c>
      <c r="F100" s="134">
        <v>2.46</v>
      </c>
      <c r="G100" s="134">
        <v>57.21</v>
      </c>
      <c r="H100" s="134">
        <v>23</v>
      </c>
      <c r="I100" s="134">
        <v>11.05</v>
      </c>
      <c r="J100" s="134">
        <v>0.33</v>
      </c>
      <c r="K100" s="134">
        <v>47.54</v>
      </c>
      <c r="L100" s="134">
        <v>18.14</v>
      </c>
      <c r="M100" s="134">
        <v>102.59</v>
      </c>
      <c r="N100" s="134">
        <v>0</v>
      </c>
      <c r="O100" s="134">
        <v>0</v>
      </c>
      <c r="P100" s="134">
        <v>0.94</v>
      </c>
      <c r="Q100" s="134">
        <v>5.17</v>
      </c>
    </row>
    <row r="101" spans="1:22" customFormat="1">
      <c r="A101" s="112" t="s">
        <v>2921</v>
      </c>
      <c r="B101" s="134">
        <v>30</v>
      </c>
      <c r="C101" s="134">
        <v>27.75</v>
      </c>
      <c r="D101" s="134">
        <v>39.909999999999997</v>
      </c>
      <c r="E101" s="134">
        <v>7.61</v>
      </c>
      <c r="F101" s="134">
        <v>2.5099999999999998</v>
      </c>
      <c r="G101" s="134">
        <v>78.040000000000006</v>
      </c>
      <c r="H101" s="134">
        <v>26.36</v>
      </c>
      <c r="I101" s="134">
        <v>10.8</v>
      </c>
      <c r="J101" s="134">
        <v>0.33</v>
      </c>
      <c r="K101" s="134">
        <v>35.86</v>
      </c>
      <c r="L101" s="134">
        <v>18.04</v>
      </c>
      <c r="M101" s="134">
        <v>102.48</v>
      </c>
      <c r="N101" s="134">
        <v>0</v>
      </c>
      <c r="O101" s="134">
        <v>0</v>
      </c>
      <c r="P101" s="134">
        <v>0.94</v>
      </c>
      <c r="Q101" s="134">
        <v>5.22</v>
      </c>
    </row>
    <row r="102" spans="1:22" customFormat="1">
      <c r="A102" s="112" t="s">
        <v>2922</v>
      </c>
      <c r="B102" s="134">
        <v>30.86</v>
      </c>
      <c r="C102" s="134">
        <v>27.92</v>
      </c>
      <c r="D102" s="134">
        <v>40.69</v>
      </c>
      <c r="E102" s="134">
        <v>8.2200000000000006</v>
      </c>
      <c r="F102" s="134">
        <v>2.54</v>
      </c>
      <c r="G102" s="134">
        <v>78.040000000000006</v>
      </c>
      <c r="H102" s="134">
        <v>26.36</v>
      </c>
      <c r="I102" s="134">
        <v>10.6</v>
      </c>
      <c r="J102" s="134">
        <v>0.06</v>
      </c>
      <c r="K102" s="134">
        <v>54.32</v>
      </c>
      <c r="L102" s="134">
        <v>18.239999999999998</v>
      </c>
      <c r="M102" s="134">
        <v>102.7</v>
      </c>
      <c r="N102" s="134">
        <v>0</v>
      </c>
      <c r="O102" s="134">
        <v>0</v>
      </c>
      <c r="P102" s="134">
        <v>0.96</v>
      </c>
      <c r="Q102" s="134">
        <v>5.24</v>
      </c>
    </row>
    <row r="103" spans="1:22" customFormat="1">
      <c r="A103" s="112" t="s">
        <v>2923</v>
      </c>
      <c r="B103" s="134">
        <v>31.76</v>
      </c>
      <c r="C103" s="134">
        <v>28</v>
      </c>
      <c r="D103" s="134">
        <v>41.45</v>
      </c>
      <c r="E103" s="134">
        <v>8.58</v>
      </c>
      <c r="F103" s="134">
        <v>2.66</v>
      </c>
      <c r="G103" s="134">
        <v>78.040000000000006</v>
      </c>
      <c r="H103" s="134">
        <v>26.36</v>
      </c>
      <c r="I103" s="134">
        <v>10.5</v>
      </c>
      <c r="J103" s="134">
        <v>0.16</v>
      </c>
      <c r="K103" s="134">
        <v>80.5</v>
      </c>
      <c r="L103" s="134">
        <v>18.3</v>
      </c>
      <c r="M103" s="134">
        <v>102.03</v>
      </c>
      <c r="N103" s="134">
        <v>0</v>
      </c>
      <c r="O103" s="134">
        <v>0</v>
      </c>
      <c r="P103" s="134">
        <v>0.97</v>
      </c>
      <c r="Q103" s="134">
        <v>5.29</v>
      </c>
    </row>
    <row r="104" spans="1:22" customFormat="1">
      <c r="A104" s="112" t="s">
        <v>2924</v>
      </c>
      <c r="B104" s="134">
        <v>32.53</v>
      </c>
      <c r="C104" s="134">
        <v>28.68</v>
      </c>
      <c r="D104" s="134">
        <v>42.43</v>
      </c>
      <c r="E104" s="134">
        <v>8.64</v>
      </c>
      <c r="F104" s="134">
        <v>2.59</v>
      </c>
      <c r="G104" s="134">
        <v>78.27</v>
      </c>
      <c r="H104" s="134">
        <v>26.49</v>
      </c>
      <c r="I104" s="134">
        <v>10.52</v>
      </c>
      <c r="J104" s="134">
        <v>0.17</v>
      </c>
      <c r="K104" s="134">
        <v>3.94</v>
      </c>
      <c r="L104" s="134">
        <v>18.21</v>
      </c>
      <c r="M104" s="134">
        <v>102.03</v>
      </c>
      <c r="N104" s="134">
        <v>0</v>
      </c>
      <c r="O104" s="134">
        <v>0</v>
      </c>
      <c r="P104" s="134">
        <v>0.99</v>
      </c>
      <c r="Q104" s="134">
        <v>5.32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</v>
      </c>
      <c r="C106" s="183">
        <f>MIN(C9:C104)</f>
        <v>21.45</v>
      </c>
      <c r="D106" s="183">
        <f t="shared" ref="D106:Q106" si="0">MIN(D9:D104)</f>
        <v>15.61</v>
      </c>
      <c r="E106" s="183">
        <f t="shared" si="0"/>
        <v>3.12</v>
      </c>
      <c r="F106" s="183">
        <f t="shared" si="0"/>
        <v>1</v>
      </c>
      <c r="G106" s="183">
        <f t="shared" si="0"/>
        <v>36.729999999999997</v>
      </c>
      <c r="H106" s="183">
        <f t="shared" si="0"/>
        <v>17.12</v>
      </c>
      <c r="I106" s="183">
        <f t="shared" si="0"/>
        <v>0</v>
      </c>
      <c r="J106" s="183">
        <f t="shared" si="0"/>
        <v>0.03</v>
      </c>
      <c r="K106" s="183">
        <f t="shared" si="0"/>
        <v>0.21</v>
      </c>
      <c r="L106" s="183">
        <f t="shared" si="0"/>
        <v>17.91</v>
      </c>
      <c r="M106" s="183">
        <f t="shared" si="0"/>
        <v>47.38</v>
      </c>
      <c r="N106" s="183">
        <f t="shared" si="0"/>
        <v>0</v>
      </c>
      <c r="O106" s="183">
        <f t="shared" si="0"/>
        <v>0</v>
      </c>
      <c r="P106" s="183">
        <f t="shared" si="0"/>
        <v>0.1</v>
      </c>
      <c r="Q106" s="183">
        <f t="shared" si="0"/>
        <v>4.1399999999999997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32.53</v>
      </c>
      <c r="C107" s="184">
        <f t="shared" ref="C107:Q107" si="1">MAX(C9:C104)</f>
        <v>34.299999999999997</v>
      </c>
      <c r="D107" s="184">
        <f t="shared" si="1"/>
        <v>42.43</v>
      </c>
      <c r="E107" s="184">
        <f t="shared" si="1"/>
        <v>10.85</v>
      </c>
      <c r="F107" s="184">
        <f t="shared" si="1"/>
        <v>13.47</v>
      </c>
      <c r="G107" s="184">
        <f t="shared" si="1"/>
        <v>131</v>
      </c>
      <c r="H107" s="184">
        <f t="shared" si="1"/>
        <v>56.58</v>
      </c>
      <c r="I107" s="184">
        <f t="shared" si="1"/>
        <v>29.46</v>
      </c>
      <c r="J107" s="184">
        <f t="shared" si="1"/>
        <v>1.26</v>
      </c>
      <c r="K107" s="184">
        <f t="shared" si="1"/>
        <v>337.29</v>
      </c>
      <c r="L107" s="184">
        <f t="shared" si="1"/>
        <v>25.95</v>
      </c>
      <c r="M107" s="184">
        <f t="shared" si="1"/>
        <v>102.7</v>
      </c>
      <c r="N107" s="184">
        <f t="shared" si="1"/>
        <v>241.1</v>
      </c>
      <c r="O107" s="184">
        <f t="shared" si="1"/>
        <v>2.8</v>
      </c>
      <c r="P107" s="184">
        <f t="shared" si="1"/>
        <v>5.01</v>
      </c>
      <c r="Q107" s="184">
        <f t="shared" si="1"/>
        <v>5.32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12.750111111111108</v>
      </c>
      <c r="C108" s="183">
        <f t="shared" ref="C108:Q108" si="2">AVERAGE(C9:C104)</f>
        <v>27.203444444444443</v>
      </c>
      <c r="D108" s="183">
        <f t="shared" si="2"/>
        <v>25.784111111111102</v>
      </c>
      <c r="E108" s="183">
        <f t="shared" si="2"/>
        <v>7.9203409090909078</v>
      </c>
      <c r="F108" s="183">
        <f t="shared" si="2"/>
        <v>3.133595505617977</v>
      </c>
      <c r="G108" s="183">
        <f t="shared" si="2"/>
        <v>85.45808988764044</v>
      </c>
      <c r="H108" s="183">
        <f t="shared" si="2"/>
        <v>36.779550561797734</v>
      </c>
      <c r="I108" s="183">
        <f t="shared" si="2"/>
        <v>11.469368421052629</v>
      </c>
      <c r="J108" s="183">
        <f t="shared" si="2"/>
        <v>0.38421052631578961</v>
      </c>
      <c r="K108" s="183">
        <f t="shared" si="2"/>
        <v>78.223052631578938</v>
      </c>
      <c r="L108" s="183">
        <f t="shared" si="2"/>
        <v>20.226526315789481</v>
      </c>
      <c r="M108" s="183">
        <f t="shared" si="2"/>
        <v>80.432842105263148</v>
      </c>
      <c r="N108" s="183">
        <f t="shared" si="2"/>
        <v>44.474736842105251</v>
      </c>
      <c r="O108" s="183">
        <f t="shared" si="2"/>
        <v>4.8421052631578955E-2</v>
      </c>
      <c r="P108" s="183">
        <f t="shared" si="2"/>
        <v>0.96242105263157918</v>
      </c>
      <c r="Q108" s="183">
        <f t="shared" si="2"/>
        <v>4.5215957446808517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6.3861789835540623</v>
      </c>
      <c r="C109" s="183">
        <f t="shared" ref="C109:Q109" si="3">STDEV(C9:C104)</f>
        <v>2.7008601048310483</v>
      </c>
      <c r="D109" s="183">
        <f t="shared" si="3"/>
        <v>5.2967201839078957</v>
      </c>
      <c r="E109" s="183">
        <f t="shared" si="3"/>
        <v>1.1675679102193102</v>
      </c>
      <c r="F109" s="183">
        <f t="shared" si="3"/>
        <v>1.7270194024223398</v>
      </c>
      <c r="G109" s="183">
        <f t="shared" si="3"/>
        <v>26.517854957316651</v>
      </c>
      <c r="H109" s="183">
        <f t="shared" si="3"/>
        <v>12.569312911549245</v>
      </c>
      <c r="I109" s="183">
        <f t="shared" si="3"/>
        <v>5.9961808431073473</v>
      </c>
      <c r="J109" s="183">
        <f t="shared" si="3"/>
        <v>0.31375074450150997</v>
      </c>
      <c r="K109" s="183">
        <f t="shared" si="3"/>
        <v>69.577361949857348</v>
      </c>
      <c r="L109" s="183">
        <f t="shared" si="3"/>
        <v>2.458551194375175</v>
      </c>
      <c r="M109" s="183">
        <f t="shared" si="3"/>
        <v>17.489510756946771</v>
      </c>
      <c r="N109" s="183">
        <f t="shared" si="3"/>
        <v>73.546252588944483</v>
      </c>
      <c r="O109" s="183">
        <f t="shared" si="3"/>
        <v>0.29710058397599987</v>
      </c>
      <c r="P109" s="183">
        <f t="shared" si="3"/>
        <v>0.44255475869737154</v>
      </c>
      <c r="Q109" s="183">
        <f t="shared" si="3"/>
        <v>0.27348921541703031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90</v>
      </c>
      <c r="C110" s="184">
        <f t="shared" si="4"/>
        <v>90</v>
      </c>
      <c r="D110" s="184">
        <f t="shared" si="4"/>
        <v>90</v>
      </c>
      <c r="E110" s="184">
        <f t="shared" si="4"/>
        <v>88</v>
      </c>
      <c r="F110" s="184">
        <f t="shared" si="4"/>
        <v>89</v>
      </c>
      <c r="G110" s="184">
        <f t="shared" si="4"/>
        <v>89</v>
      </c>
      <c r="H110" s="184">
        <f t="shared" si="4"/>
        <v>89</v>
      </c>
      <c r="I110" s="184">
        <f t="shared" si="4"/>
        <v>95</v>
      </c>
      <c r="J110" s="184">
        <f t="shared" si="4"/>
        <v>95</v>
      </c>
      <c r="K110" s="184">
        <f t="shared" si="4"/>
        <v>95</v>
      </c>
      <c r="L110" s="184">
        <f t="shared" si="4"/>
        <v>95</v>
      </c>
      <c r="M110" s="184">
        <f t="shared" si="4"/>
        <v>95</v>
      </c>
      <c r="N110" s="184">
        <f t="shared" si="4"/>
        <v>95</v>
      </c>
      <c r="O110" s="184">
        <f t="shared" si="4"/>
        <v>95</v>
      </c>
      <c r="P110" s="184">
        <f t="shared" si="4"/>
        <v>95</v>
      </c>
      <c r="Q110" s="184">
        <f t="shared" si="4"/>
        <v>94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A9" sqref="A9:XFD104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29/11/2023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112" t="s">
        <v>2925</v>
      </c>
      <c r="B9" s="134">
        <v>34.74</v>
      </c>
      <c r="C9" s="134">
        <v>29.87</v>
      </c>
      <c r="D9" s="134">
        <v>44.82</v>
      </c>
      <c r="E9" s="134">
        <v>9.07</v>
      </c>
      <c r="F9" s="134">
        <v>2.5499999999999998</v>
      </c>
      <c r="G9" s="134">
        <v>99.19</v>
      </c>
      <c r="H9" s="134">
        <v>35.15</v>
      </c>
      <c r="I9" s="134">
        <v>10.64</v>
      </c>
      <c r="J9" s="134">
        <v>0.33</v>
      </c>
      <c r="K9" s="134">
        <v>33.380000000000003</v>
      </c>
      <c r="L9" s="134">
        <v>18.14</v>
      </c>
      <c r="M9" s="134">
        <v>102.63</v>
      </c>
      <c r="N9" s="134">
        <v>0</v>
      </c>
      <c r="O9" s="134">
        <v>0</v>
      </c>
      <c r="P9" s="134">
        <v>1.02</v>
      </c>
      <c r="Q9" s="134">
        <v>5.33</v>
      </c>
    </row>
    <row r="10" spans="1:21">
      <c r="A10" s="112" t="s">
        <v>2926</v>
      </c>
      <c r="B10" s="134">
        <v>35.74</v>
      </c>
      <c r="C10" s="134">
        <v>29.06</v>
      </c>
      <c r="D10" s="134">
        <v>45.2</v>
      </c>
      <c r="E10" s="134">
        <v>9.1</v>
      </c>
      <c r="F10" s="134">
        <v>2.4900000000000002</v>
      </c>
      <c r="G10" s="134">
        <v>99.19</v>
      </c>
      <c r="H10" s="134">
        <v>35.15</v>
      </c>
      <c r="I10" s="134">
        <v>10.77</v>
      </c>
      <c r="J10" s="134">
        <v>0.36</v>
      </c>
      <c r="K10" s="134">
        <v>42.95</v>
      </c>
      <c r="L10" s="134">
        <v>18.010000000000002</v>
      </c>
      <c r="M10" s="134">
        <v>103.64</v>
      </c>
      <c r="N10" s="134">
        <v>0</v>
      </c>
      <c r="O10" s="134">
        <v>0</v>
      </c>
      <c r="P10" s="134">
        <v>1.02</v>
      </c>
      <c r="Q10" s="134">
        <v>5.36</v>
      </c>
    </row>
    <row r="11" spans="1:21">
      <c r="A11" s="112" t="s">
        <v>2927</v>
      </c>
      <c r="B11" s="134">
        <v>36.39</v>
      </c>
      <c r="C11" s="134">
        <v>28.93</v>
      </c>
      <c r="D11" s="134">
        <v>45.65</v>
      </c>
      <c r="E11" s="134">
        <v>9.11</v>
      </c>
      <c r="F11" s="134">
        <v>2.64</v>
      </c>
      <c r="G11" s="134">
        <v>99.19</v>
      </c>
      <c r="H11" s="134">
        <v>35.15</v>
      </c>
      <c r="I11" s="134">
        <v>10.85</v>
      </c>
      <c r="J11" s="134">
        <v>0.33</v>
      </c>
      <c r="K11" s="134">
        <v>44.31</v>
      </c>
      <c r="L11" s="134">
        <v>17.899999999999999</v>
      </c>
      <c r="M11" s="134">
        <v>101.56</v>
      </c>
      <c r="N11" s="134">
        <v>0</v>
      </c>
      <c r="O11" s="134">
        <v>0</v>
      </c>
      <c r="P11" s="134">
        <v>1.02</v>
      </c>
      <c r="Q11" s="134">
        <v>5.39</v>
      </c>
    </row>
    <row r="12" spans="1:21">
      <c r="A12" s="112" t="s">
        <v>2928</v>
      </c>
      <c r="B12" s="134">
        <v>37.04</v>
      </c>
      <c r="C12" s="134">
        <v>29.18</v>
      </c>
      <c r="D12" s="134">
        <v>46.29</v>
      </c>
      <c r="E12" s="134">
        <v>9.59</v>
      </c>
      <c r="F12" s="134">
        <v>2.57</v>
      </c>
      <c r="G12" s="134">
        <v>99.15</v>
      </c>
      <c r="H12" s="134">
        <v>35.17</v>
      </c>
      <c r="I12" s="134">
        <v>10.88</v>
      </c>
      <c r="J12" s="134">
        <v>0.41</v>
      </c>
      <c r="K12" s="134">
        <v>29.62</v>
      </c>
      <c r="L12" s="134">
        <v>17.87</v>
      </c>
      <c r="M12" s="134">
        <v>101.44</v>
      </c>
      <c r="N12" s="134">
        <v>0</v>
      </c>
      <c r="O12" s="134">
        <v>0</v>
      </c>
      <c r="P12" s="134">
        <v>1.02</v>
      </c>
      <c r="Q12" s="134">
        <v>5.41</v>
      </c>
    </row>
    <row r="13" spans="1:21">
      <c r="A13" s="112" t="s">
        <v>2929</v>
      </c>
      <c r="B13" s="134">
        <v>38.409999999999997</v>
      </c>
      <c r="C13" s="134">
        <v>29.44</v>
      </c>
      <c r="D13" s="134">
        <v>47.53</v>
      </c>
      <c r="E13" s="134">
        <v>9.3699999999999992</v>
      </c>
      <c r="F13" s="134">
        <v>2.58</v>
      </c>
      <c r="G13" s="134">
        <v>95.63</v>
      </c>
      <c r="H13" s="134">
        <v>36.18</v>
      </c>
      <c r="I13" s="134">
        <v>10.84</v>
      </c>
      <c r="J13" s="134">
        <v>0.39</v>
      </c>
      <c r="K13" s="134">
        <v>41.46</v>
      </c>
      <c r="L13" s="134">
        <v>17.850000000000001</v>
      </c>
      <c r="M13" s="134">
        <v>101.62</v>
      </c>
      <c r="N13" s="134">
        <v>0</v>
      </c>
      <c r="O13" s="134">
        <v>0</v>
      </c>
      <c r="P13" s="134">
        <v>1.04</v>
      </c>
      <c r="Q13" s="134">
        <v>5.44</v>
      </c>
    </row>
    <row r="14" spans="1:21">
      <c r="A14" s="112" t="s">
        <v>2930</v>
      </c>
      <c r="B14" s="134">
        <v>40.270000000000003</v>
      </c>
      <c r="C14" s="134">
        <v>29.38</v>
      </c>
      <c r="D14" s="134">
        <v>48.99</v>
      </c>
      <c r="E14" s="134">
        <v>9.99</v>
      </c>
      <c r="F14" s="134">
        <v>2.41</v>
      </c>
      <c r="G14" s="134">
        <v>95.63</v>
      </c>
      <c r="H14" s="134">
        <v>36.18</v>
      </c>
      <c r="I14" s="134">
        <v>10.76</v>
      </c>
      <c r="J14" s="134">
        <v>0.38</v>
      </c>
      <c r="K14" s="134">
        <v>29.78</v>
      </c>
      <c r="L14" s="134">
        <v>17.899999999999999</v>
      </c>
      <c r="M14" s="134">
        <v>101.4</v>
      </c>
      <c r="N14" s="134">
        <v>0</v>
      </c>
      <c r="O14" s="134">
        <v>0</v>
      </c>
      <c r="P14" s="134">
        <v>1.07</v>
      </c>
      <c r="Q14" s="134">
        <v>5.5</v>
      </c>
    </row>
    <row r="15" spans="1:21">
      <c r="A15" s="112" t="s">
        <v>2931</v>
      </c>
      <c r="B15" s="134">
        <v>42.19</v>
      </c>
      <c r="C15" s="134">
        <v>29.2</v>
      </c>
      <c r="D15" s="134">
        <v>50.44</v>
      </c>
      <c r="E15" s="134">
        <v>9.65</v>
      </c>
      <c r="F15" s="134">
        <v>2.57</v>
      </c>
      <c r="G15" s="134">
        <v>95.63</v>
      </c>
      <c r="H15" s="134">
        <v>36.18</v>
      </c>
      <c r="I15" s="134">
        <v>10.68</v>
      </c>
      <c r="J15" s="134">
        <v>0.43</v>
      </c>
      <c r="K15" s="134">
        <v>42.18</v>
      </c>
      <c r="L15" s="134">
        <v>17.96</v>
      </c>
      <c r="M15" s="134">
        <v>101.54</v>
      </c>
      <c r="N15" s="134">
        <v>0</v>
      </c>
      <c r="O15" s="134">
        <v>0</v>
      </c>
      <c r="P15" s="134">
        <v>1.1299999999999999</v>
      </c>
      <c r="Q15" s="134">
        <v>5.54</v>
      </c>
    </row>
    <row r="16" spans="1:21">
      <c r="A16" s="112" t="s">
        <v>2932</v>
      </c>
      <c r="B16" s="134">
        <v>44.73</v>
      </c>
      <c r="C16" s="134">
        <v>29.89</v>
      </c>
      <c r="D16" s="134">
        <v>52.83</v>
      </c>
      <c r="E16" s="134">
        <v>9.57</v>
      </c>
      <c r="F16" s="134">
        <v>2.48</v>
      </c>
      <c r="G16" s="134">
        <v>95.88</v>
      </c>
      <c r="H16" s="134">
        <v>36.18</v>
      </c>
      <c r="I16" s="134">
        <v>10.6</v>
      </c>
      <c r="J16" s="134">
        <v>0.46</v>
      </c>
      <c r="K16" s="134">
        <v>22.59</v>
      </c>
      <c r="L16" s="134">
        <v>17.989999999999998</v>
      </c>
      <c r="M16" s="134">
        <v>101.37</v>
      </c>
      <c r="N16" s="134">
        <v>0</v>
      </c>
      <c r="O16" s="134">
        <v>0</v>
      </c>
      <c r="P16" s="134">
        <v>1.21</v>
      </c>
      <c r="Q16" s="134">
        <v>5.63</v>
      </c>
    </row>
    <row r="17" spans="1:17">
      <c r="A17" s="112" t="s">
        <v>2933</v>
      </c>
      <c r="B17" s="134">
        <v>46.56</v>
      </c>
      <c r="C17" s="134">
        <v>29.98</v>
      </c>
      <c r="D17" s="134">
        <v>54.36</v>
      </c>
      <c r="E17" s="134">
        <v>8.2799999999999994</v>
      </c>
      <c r="F17" s="134">
        <v>2.48</v>
      </c>
      <c r="G17" s="134">
        <v>106.74</v>
      </c>
      <c r="H17" s="134">
        <v>36.25</v>
      </c>
      <c r="I17" s="134">
        <v>10.64</v>
      </c>
      <c r="J17" s="134">
        <v>0.57999999999999996</v>
      </c>
      <c r="K17" s="134">
        <v>36.869999999999997</v>
      </c>
      <c r="L17" s="134">
        <v>18.03</v>
      </c>
      <c r="M17" s="134">
        <v>101.6</v>
      </c>
      <c r="N17" s="134">
        <v>0</v>
      </c>
      <c r="O17" s="134">
        <v>0</v>
      </c>
      <c r="P17" s="134">
        <v>1.27</v>
      </c>
      <c r="Q17" s="134">
        <v>5.68</v>
      </c>
    </row>
    <row r="18" spans="1:17">
      <c r="A18" s="112" t="s">
        <v>2934</v>
      </c>
      <c r="B18" s="134">
        <v>46.73</v>
      </c>
      <c r="C18" s="134">
        <v>29.66</v>
      </c>
      <c r="D18" s="134">
        <v>54.32</v>
      </c>
      <c r="E18" s="134">
        <v>9.7899999999999991</v>
      </c>
      <c r="F18" s="134">
        <v>2.56</v>
      </c>
      <c r="G18" s="134">
        <v>106.74</v>
      </c>
      <c r="H18" s="134">
        <v>36.25</v>
      </c>
      <c r="I18" s="134">
        <v>10.82</v>
      </c>
      <c r="J18" s="134">
        <v>0.56999999999999995</v>
      </c>
      <c r="K18" s="134">
        <v>34.909999999999997</v>
      </c>
      <c r="L18" s="134">
        <v>17.989999999999998</v>
      </c>
      <c r="M18" s="134">
        <v>101.98</v>
      </c>
      <c r="N18" s="134">
        <v>0</v>
      </c>
      <c r="O18" s="134">
        <v>0</v>
      </c>
      <c r="P18" s="134">
        <v>1.27</v>
      </c>
      <c r="Q18" s="134">
        <v>5.69</v>
      </c>
    </row>
    <row r="19" spans="1:17">
      <c r="A19" s="112" t="s">
        <v>2935</v>
      </c>
      <c r="B19" s="134">
        <v>46.04</v>
      </c>
      <c r="C19" s="134">
        <v>30.11</v>
      </c>
      <c r="D19" s="134">
        <v>54</v>
      </c>
      <c r="E19" s="134">
        <v>9.18</v>
      </c>
      <c r="F19" s="134">
        <v>2.52</v>
      </c>
      <c r="G19" s="134">
        <v>106.74</v>
      </c>
      <c r="H19" s="134">
        <v>36.25</v>
      </c>
      <c r="I19" s="134">
        <v>11.01</v>
      </c>
      <c r="J19" s="134">
        <v>0.47</v>
      </c>
      <c r="K19" s="134">
        <v>29.25</v>
      </c>
      <c r="L19" s="134">
        <v>17.96</v>
      </c>
      <c r="M19" s="134">
        <v>101.65</v>
      </c>
      <c r="N19" s="134">
        <v>0</v>
      </c>
      <c r="O19" s="134">
        <v>0</v>
      </c>
      <c r="P19" s="134">
        <v>1.27</v>
      </c>
      <c r="Q19" s="134">
        <v>5.7</v>
      </c>
    </row>
    <row r="20" spans="1:17">
      <c r="A20" s="112" t="s">
        <v>2936</v>
      </c>
      <c r="B20" s="134">
        <v>45.24</v>
      </c>
      <c r="C20" s="134">
        <v>30.01</v>
      </c>
      <c r="D20" s="134">
        <v>53.31</v>
      </c>
      <c r="E20" s="134">
        <v>9.5</v>
      </c>
      <c r="F20" s="134">
        <v>2.4700000000000002</v>
      </c>
      <c r="G20" s="134">
        <v>106.87</v>
      </c>
      <c r="H20" s="134">
        <v>36.28</v>
      </c>
      <c r="I20" s="134">
        <v>11.03</v>
      </c>
      <c r="J20" s="134">
        <v>0.52</v>
      </c>
      <c r="K20" s="134">
        <v>35.56</v>
      </c>
      <c r="L20" s="134">
        <v>17.87</v>
      </c>
      <c r="M20" s="134">
        <v>101.35</v>
      </c>
      <c r="N20" s="134">
        <v>0</v>
      </c>
      <c r="O20" s="134">
        <v>0</v>
      </c>
      <c r="P20" s="134">
        <v>1.25</v>
      </c>
      <c r="Q20" s="134">
        <v>5.68</v>
      </c>
    </row>
    <row r="21" spans="1:17">
      <c r="A21" s="112" t="s">
        <v>2937</v>
      </c>
      <c r="B21" s="134">
        <v>44.66</v>
      </c>
      <c r="C21" s="134">
        <v>30</v>
      </c>
      <c r="D21" s="134">
        <v>52.84</v>
      </c>
      <c r="E21" s="134">
        <v>9.2799999999999994</v>
      </c>
      <c r="F21" s="134">
        <v>2.69</v>
      </c>
      <c r="G21" s="134">
        <v>112.55</v>
      </c>
      <c r="H21" s="134">
        <v>38.53</v>
      </c>
      <c r="I21" s="134">
        <v>10.9</v>
      </c>
      <c r="J21" s="134">
        <v>0.51</v>
      </c>
      <c r="K21" s="134">
        <v>40.29</v>
      </c>
      <c r="L21" s="134">
        <v>17.78</v>
      </c>
      <c r="M21" s="134">
        <v>101.11</v>
      </c>
      <c r="N21" s="134">
        <v>0</v>
      </c>
      <c r="O21" s="134">
        <v>0</v>
      </c>
      <c r="P21" s="134">
        <v>1.22</v>
      </c>
      <c r="Q21" s="134">
        <v>5.68</v>
      </c>
    </row>
    <row r="22" spans="1:17">
      <c r="A22" s="112" t="s">
        <v>2938</v>
      </c>
      <c r="B22" s="134">
        <v>43.83</v>
      </c>
      <c r="C22" s="134">
        <v>30.88</v>
      </c>
      <c r="D22" s="134">
        <v>52.64</v>
      </c>
      <c r="E22" s="134">
        <v>9</v>
      </c>
      <c r="F22" s="134">
        <v>2.5099999999999998</v>
      </c>
      <c r="G22" s="134">
        <v>112.55</v>
      </c>
      <c r="H22" s="134">
        <v>38.53</v>
      </c>
      <c r="I22" s="134">
        <v>10.71</v>
      </c>
      <c r="J22" s="134">
        <v>0.44</v>
      </c>
      <c r="K22" s="134">
        <v>34.020000000000003</v>
      </c>
      <c r="L22" s="134">
        <v>17.670000000000002</v>
      </c>
      <c r="M22" s="134">
        <v>100.97</v>
      </c>
      <c r="N22" s="134">
        <v>0</v>
      </c>
      <c r="O22" s="134">
        <v>0</v>
      </c>
      <c r="P22" s="134">
        <v>1.19</v>
      </c>
      <c r="Q22" s="134">
        <v>5.65</v>
      </c>
    </row>
    <row r="23" spans="1:17">
      <c r="A23" s="112" t="s">
        <v>2939</v>
      </c>
      <c r="B23" s="134">
        <v>43.42</v>
      </c>
      <c r="C23" s="134">
        <v>27.86</v>
      </c>
      <c r="D23" s="134">
        <v>50.73</v>
      </c>
      <c r="E23" s="134">
        <v>8.76</v>
      </c>
      <c r="F23" s="134">
        <v>2.83</v>
      </c>
      <c r="G23" s="134">
        <v>112.55</v>
      </c>
      <c r="H23" s="134">
        <v>38.53</v>
      </c>
      <c r="I23" s="134">
        <v>10.45</v>
      </c>
      <c r="J23" s="134">
        <v>0.31</v>
      </c>
      <c r="K23" s="134">
        <v>30.79</v>
      </c>
      <c r="L23" s="134">
        <v>17.72</v>
      </c>
      <c r="M23" s="134">
        <v>100.91</v>
      </c>
      <c r="N23" s="134">
        <v>0</v>
      </c>
      <c r="O23" s="134">
        <v>0</v>
      </c>
      <c r="P23" s="134">
        <v>1.1499999999999999</v>
      </c>
      <c r="Q23" s="134">
        <v>5.62</v>
      </c>
    </row>
    <row r="24" spans="1:17">
      <c r="A24" s="112" t="s">
        <v>2940</v>
      </c>
      <c r="B24" s="134">
        <v>42.87</v>
      </c>
      <c r="C24" s="134">
        <v>24.79</v>
      </c>
      <c r="D24" s="134">
        <v>48.68</v>
      </c>
      <c r="E24" s="134">
        <v>8.58</v>
      </c>
      <c r="F24" s="134">
        <v>2.94</v>
      </c>
      <c r="G24" s="134">
        <v>112.28</v>
      </c>
      <c r="H24" s="134">
        <v>38.450000000000003</v>
      </c>
      <c r="I24" s="134">
        <v>10.23</v>
      </c>
      <c r="J24" s="134">
        <v>0.52</v>
      </c>
      <c r="K24" s="134">
        <v>43.26</v>
      </c>
      <c r="L24" s="134">
        <v>17.649999999999999</v>
      </c>
      <c r="M24" s="134">
        <v>100.84</v>
      </c>
      <c r="N24" s="134">
        <v>0</v>
      </c>
      <c r="O24" s="134">
        <v>0</v>
      </c>
      <c r="P24" s="134">
        <v>1.1100000000000001</v>
      </c>
      <c r="Q24" s="134">
        <v>5.6</v>
      </c>
    </row>
    <row r="25" spans="1:17">
      <c r="A25" s="112" t="s">
        <v>2941</v>
      </c>
      <c r="B25" s="134">
        <v>41.56</v>
      </c>
      <c r="C25" s="134">
        <v>26.52</v>
      </c>
      <c r="D25" s="134">
        <v>48.54</v>
      </c>
      <c r="E25" s="134">
        <v>8.51</v>
      </c>
      <c r="F25" s="134">
        <v>2.5099999999999998</v>
      </c>
      <c r="G25" s="134">
        <v>88.87</v>
      </c>
      <c r="H25" s="134">
        <v>33.24</v>
      </c>
      <c r="I25" s="134">
        <v>10.039999999999999</v>
      </c>
      <c r="J25" s="134">
        <v>0.39</v>
      </c>
      <c r="K25" s="134">
        <v>41.09</v>
      </c>
      <c r="L25" s="134">
        <v>17.649999999999999</v>
      </c>
      <c r="M25" s="134">
        <v>100.82</v>
      </c>
      <c r="N25" s="134">
        <v>0</v>
      </c>
      <c r="O25" s="134">
        <v>0</v>
      </c>
      <c r="P25" s="134">
        <v>1.1000000000000001</v>
      </c>
      <c r="Q25" s="134">
        <v>5.54</v>
      </c>
    </row>
    <row r="26" spans="1:17">
      <c r="A26" s="112" t="s">
        <v>2942</v>
      </c>
      <c r="B26" s="134">
        <v>40.65</v>
      </c>
      <c r="C26" s="134">
        <v>25.16</v>
      </c>
      <c r="D26" s="134">
        <v>47.09</v>
      </c>
      <c r="E26" s="134">
        <v>8.34</v>
      </c>
      <c r="F26" s="134">
        <v>2.61</v>
      </c>
      <c r="G26" s="134">
        <v>88.87</v>
      </c>
      <c r="H26" s="134">
        <v>33.24</v>
      </c>
      <c r="I26" s="134">
        <v>9.8699999999999992</v>
      </c>
      <c r="J26" s="134">
        <v>0.43</v>
      </c>
      <c r="K26" s="134">
        <v>38.119999999999997</v>
      </c>
      <c r="L26" s="134">
        <v>17.64</v>
      </c>
      <c r="M26" s="134">
        <v>100.8</v>
      </c>
      <c r="N26" s="134">
        <v>0</v>
      </c>
      <c r="O26" s="134">
        <v>0</v>
      </c>
      <c r="P26" s="134">
        <v>1.08</v>
      </c>
      <c r="Q26" s="134">
        <v>5.5</v>
      </c>
    </row>
    <row r="27" spans="1:17">
      <c r="A27" s="112" t="s">
        <v>2943</v>
      </c>
      <c r="B27" s="134">
        <v>39.590000000000003</v>
      </c>
      <c r="C27" s="134">
        <v>25.86</v>
      </c>
      <c r="D27" s="134">
        <v>46.61</v>
      </c>
      <c r="E27" s="134">
        <v>8.0500000000000007</v>
      </c>
      <c r="F27" s="134">
        <v>2.54</v>
      </c>
      <c r="G27" s="134">
        <v>88.87</v>
      </c>
      <c r="H27" s="134">
        <v>33.24</v>
      </c>
      <c r="I27" s="134">
        <v>9.6999999999999993</v>
      </c>
      <c r="J27" s="134">
        <v>0.36</v>
      </c>
      <c r="K27" s="134">
        <v>45.29</v>
      </c>
      <c r="L27" s="134">
        <v>17.63</v>
      </c>
      <c r="M27" s="134">
        <v>100.8</v>
      </c>
      <c r="N27" s="134">
        <v>0</v>
      </c>
      <c r="O27" s="134">
        <v>0</v>
      </c>
      <c r="P27" s="134">
        <v>1.06</v>
      </c>
      <c r="Q27" s="134">
        <v>5.45</v>
      </c>
    </row>
    <row r="28" spans="1:17">
      <c r="A28" s="112" t="s">
        <v>2944</v>
      </c>
      <c r="B28" s="134">
        <v>38.89</v>
      </c>
      <c r="C28" s="134">
        <v>24.44</v>
      </c>
      <c r="D28" s="134">
        <v>45.3</v>
      </c>
      <c r="E28" s="134">
        <v>8</v>
      </c>
      <c r="F28" s="134">
        <v>2.67</v>
      </c>
      <c r="G28" s="134">
        <v>88.74</v>
      </c>
      <c r="H28" s="134">
        <v>33.18</v>
      </c>
      <c r="I28" s="134">
        <v>9.51</v>
      </c>
      <c r="J28" s="134">
        <v>0.4</v>
      </c>
      <c r="K28" s="134">
        <v>42.62</v>
      </c>
      <c r="L28" s="134">
        <v>17.63</v>
      </c>
      <c r="M28" s="134">
        <v>100.77</v>
      </c>
      <c r="N28" s="134">
        <v>0</v>
      </c>
      <c r="O28" s="134">
        <v>0</v>
      </c>
      <c r="P28" s="134">
        <v>1.05</v>
      </c>
      <c r="Q28" s="134">
        <v>5.44</v>
      </c>
    </row>
    <row r="29" spans="1:17">
      <c r="A29" s="112" t="s">
        <v>2945</v>
      </c>
      <c r="B29" s="134">
        <v>37.85</v>
      </c>
      <c r="C29" s="134">
        <v>26.12</v>
      </c>
      <c r="D29" s="134">
        <v>45.35</v>
      </c>
      <c r="E29" s="134">
        <v>8</v>
      </c>
      <c r="F29" s="134">
        <v>2.52</v>
      </c>
      <c r="G29" s="134">
        <v>76.819999999999993</v>
      </c>
      <c r="H29" s="134">
        <v>28.86</v>
      </c>
      <c r="I29" s="134">
        <v>9.35</v>
      </c>
      <c r="J29" s="134">
        <v>0.35</v>
      </c>
      <c r="K29" s="134">
        <v>36.5</v>
      </c>
      <c r="L29" s="134">
        <v>17.670000000000002</v>
      </c>
      <c r="M29" s="134">
        <v>100.76</v>
      </c>
      <c r="N29" s="134">
        <v>0</v>
      </c>
      <c r="O29" s="134">
        <v>0</v>
      </c>
      <c r="P29" s="134">
        <v>1.05</v>
      </c>
      <c r="Q29" s="134">
        <v>5.4</v>
      </c>
    </row>
    <row r="30" spans="1:17">
      <c r="A30" s="112" t="s">
        <v>2946</v>
      </c>
      <c r="B30" s="134">
        <v>37.25</v>
      </c>
      <c r="C30" s="134">
        <v>24.65</v>
      </c>
      <c r="D30" s="134">
        <v>44.1</v>
      </c>
      <c r="E30" s="134">
        <v>7.82</v>
      </c>
      <c r="F30" s="134">
        <v>2.7</v>
      </c>
      <c r="G30" s="134">
        <v>76.819999999999993</v>
      </c>
      <c r="H30" s="134">
        <v>28.86</v>
      </c>
      <c r="I30" s="134">
        <v>9.25</v>
      </c>
      <c r="J30" s="134">
        <v>0.48</v>
      </c>
      <c r="K30" s="134">
        <v>36.5</v>
      </c>
      <c r="L30" s="134">
        <v>17.600000000000001</v>
      </c>
      <c r="M30" s="134">
        <v>100.72</v>
      </c>
      <c r="N30" s="134">
        <v>0</v>
      </c>
      <c r="O30" s="134">
        <v>0</v>
      </c>
      <c r="P30" s="134">
        <v>1.03</v>
      </c>
      <c r="Q30" s="134">
        <v>5.39</v>
      </c>
    </row>
    <row r="31" spans="1:17">
      <c r="A31" s="112" t="s">
        <v>2947</v>
      </c>
      <c r="B31" s="134">
        <v>36.67</v>
      </c>
      <c r="C31" s="134">
        <v>24.88</v>
      </c>
      <c r="D31" s="134">
        <v>43.75</v>
      </c>
      <c r="E31" s="134">
        <v>8.36</v>
      </c>
      <c r="F31" s="134">
        <v>2.54</v>
      </c>
      <c r="G31" s="134">
        <v>76.819999999999993</v>
      </c>
      <c r="H31" s="134">
        <v>28.86</v>
      </c>
      <c r="I31" s="134">
        <v>9.2100000000000009</v>
      </c>
      <c r="J31" s="134">
        <v>0.44</v>
      </c>
      <c r="K31" s="134">
        <v>35.4</v>
      </c>
      <c r="L31" s="134">
        <v>17.579999999999998</v>
      </c>
      <c r="M31" s="134">
        <v>100.71</v>
      </c>
      <c r="N31" s="134">
        <v>0</v>
      </c>
      <c r="O31" s="134">
        <v>0</v>
      </c>
      <c r="P31" s="134">
        <v>1.02</v>
      </c>
      <c r="Q31" s="134">
        <v>5.36</v>
      </c>
    </row>
    <row r="32" spans="1:17">
      <c r="A32" s="112" t="s">
        <v>2948</v>
      </c>
      <c r="B32" s="134">
        <v>35.97</v>
      </c>
      <c r="C32" s="134">
        <v>25.13</v>
      </c>
      <c r="D32" s="134">
        <v>43.33</v>
      </c>
      <c r="E32" s="134">
        <v>7.79</v>
      </c>
      <c r="F32" s="134">
        <v>2.61</v>
      </c>
      <c r="G32" s="134">
        <v>76.53</v>
      </c>
      <c r="H32" s="134">
        <v>28.86</v>
      </c>
      <c r="I32" s="134">
        <v>9.2100000000000009</v>
      </c>
      <c r="J32" s="134">
        <v>0.4</v>
      </c>
      <c r="K32" s="134">
        <v>40.58</v>
      </c>
      <c r="L32" s="134">
        <v>17.5</v>
      </c>
      <c r="M32" s="134">
        <v>100.71</v>
      </c>
      <c r="N32" s="134">
        <v>0</v>
      </c>
      <c r="O32" s="134">
        <v>0</v>
      </c>
      <c r="P32" s="134">
        <v>1.02</v>
      </c>
      <c r="Q32" s="134">
        <v>5.35</v>
      </c>
    </row>
    <row r="33" spans="1:17">
      <c r="A33" s="112" t="s">
        <v>2949</v>
      </c>
      <c r="B33" s="134">
        <v>35.29</v>
      </c>
      <c r="C33" s="134">
        <v>25.34</v>
      </c>
      <c r="D33" s="134">
        <v>42.9</v>
      </c>
      <c r="E33" s="134">
        <v>7.75</v>
      </c>
      <c r="F33" s="134">
        <v>2.66</v>
      </c>
      <c r="G33" s="134">
        <v>64.06</v>
      </c>
      <c r="H33" s="134">
        <v>28.82</v>
      </c>
      <c r="I33" s="134">
        <v>9.2100000000000009</v>
      </c>
      <c r="J33" s="134">
        <v>0.25</v>
      </c>
      <c r="K33" s="134">
        <v>46.65</v>
      </c>
      <c r="L33" s="134">
        <v>17.489999999999998</v>
      </c>
      <c r="M33" s="134">
        <v>100.7</v>
      </c>
      <c r="N33" s="134">
        <v>0</v>
      </c>
      <c r="O33" s="134">
        <v>0</v>
      </c>
      <c r="P33" s="134">
        <v>0.99</v>
      </c>
      <c r="Q33" s="134">
        <v>5.33</v>
      </c>
    </row>
    <row r="34" spans="1:17">
      <c r="A34" s="112" t="s">
        <v>2950</v>
      </c>
      <c r="B34" s="134">
        <v>34.82</v>
      </c>
      <c r="C34" s="134">
        <v>24.06</v>
      </c>
      <c r="D34" s="134">
        <v>41.85</v>
      </c>
      <c r="E34" s="134">
        <v>8.25</v>
      </c>
      <c r="F34" s="134">
        <v>2.61</v>
      </c>
      <c r="G34" s="134">
        <v>64.06</v>
      </c>
      <c r="H34" s="134">
        <v>28.82</v>
      </c>
      <c r="I34" s="134">
        <v>9.14</v>
      </c>
      <c r="J34" s="134">
        <v>0.32</v>
      </c>
      <c r="K34" s="134">
        <v>38.229999999999997</v>
      </c>
      <c r="L34" s="134">
        <v>17.47</v>
      </c>
      <c r="M34" s="134">
        <v>100.7</v>
      </c>
      <c r="N34" s="134">
        <v>0</v>
      </c>
      <c r="O34" s="134">
        <v>0</v>
      </c>
      <c r="P34" s="134">
        <v>0.98</v>
      </c>
      <c r="Q34" s="134">
        <v>5.32</v>
      </c>
    </row>
    <row r="35" spans="1:17">
      <c r="A35" s="112" t="s">
        <v>2951</v>
      </c>
      <c r="B35" s="134">
        <v>34.26</v>
      </c>
      <c r="C35" s="134">
        <v>25.46</v>
      </c>
      <c r="D35" s="134">
        <v>42.13</v>
      </c>
      <c r="E35" s="134">
        <v>7.71</v>
      </c>
      <c r="F35" s="134">
        <v>2.4900000000000002</v>
      </c>
      <c r="G35" s="134">
        <v>64.06</v>
      </c>
      <c r="H35" s="134">
        <v>28.82</v>
      </c>
      <c r="I35" s="134">
        <v>9.0299999999999994</v>
      </c>
      <c r="J35" s="134">
        <v>0.37</v>
      </c>
      <c r="K35" s="134">
        <v>39.57</v>
      </c>
      <c r="L35" s="134">
        <v>17.5</v>
      </c>
      <c r="M35" s="134">
        <v>100.7</v>
      </c>
      <c r="N35" s="134">
        <v>1.8</v>
      </c>
      <c r="O35" s="134">
        <v>0</v>
      </c>
      <c r="P35" s="134">
        <v>0.97</v>
      </c>
      <c r="Q35" s="134">
        <v>5.3</v>
      </c>
    </row>
    <row r="36" spans="1:17">
      <c r="A36" s="112" t="s">
        <v>2952</v>
      </c>
      <c r="B36" s="134">
        <v>34.130000000000003</v>
      </c>
      <c r="C36" s="134">
        <v>24.18</v>
      </c>
      <c r="D36" s="134">
        <v>41.36</v>
      </c>
      <c r="E36" s="134">
        <v>7.69</v>
      </c>
      <c r="F36" s="134">
        <v>2.5499999999999998</v>
      </c>
      <c r="G36" s="134">
        <v>64.099999999999994</v>
      </c>
      <c r="H36" s="134">
        <v>28.82</v>
      </c>
      <c r="I36" s="134">
        <v>8.89</v>
      </c>
      <c r="J36" s="134">
        <v>0.53</v>
      </c>
      <c r="K36" s="134">
        <v>42.7</v>
      </c>
      <c r="L36" s="134">
        <v>17.52</v>
      </c>
      <c r="M36" s="134">
        <v>100.7</v>
      </c>
      <c r="N36" s="134">
        <v>11.4</v>
      </c>
      <c r="O36" s="134">
        <v>0</v>
      </c>
      <c r="P36" s="134">
        <v>0.96</v>
      </c>
      <c r="Q36" s="134">
        <v>5.28</v>
      </c>
    </row>
    <row r="37" spans="1:17">
      <c r="A37" s="112" t="s">
        <v>2953</v>
      </c>
      <c r="B37" s="134">
        <v>33.520000000000003</v>
      </c>
      <c r="C37" s="134">
        <v>25.95</v>
      </c>
      <c r="D37" s="134">
        <v>41.79</v>
      </c>
      <c r="E37" s="134">
        <v>8.1</v>
      </c>
      <c r="F37" s="134">
        <v>2.4</v>
      </c>
      <c r="G37" s="134">
        <v>66.03</v>
      </c>
      <c r="H37" s="134">
        <v>28.55</v>
      </c>
      <c r="I37" s="134">
        <v>8.77</v>
      </c>
      <c r="J37" s="134">
        <v>0.57999999999999996</v>
      </c>
      <c r="K37" s="134">
        <v>41.37</v>
      </c>
      <c r="L37" s="134">
        <v>17.52</v>
      </c>
      <c r="M37" s="134">
        <v>100.7</v>
      </c>
      <c r="N37" s="134">
        <v>22.6</v>
      </c>
      <c r="O37" s="134">
        <v>0</v>
      </c>
      <c r="P37" s="134">
        <v>0.96</v>
      </c>
      <c r="Q37" s="134">
        <v>5.27</v>
      </c>
    </row>
    <row r="38" spans="1:17">
      <c r="A38" s="112" t="s">
        <v>2954</v>
      </c>
      <c r="B38" s="134">
        <v>33.22</v>
      </c>
      <c r="C38" s="134">
        <v>24.68</v>
      </c>
      <c r="D38" s="134">
        <v>40.89</v>
      </c>
      <c r="E38" s="134">
        <v>8.14</v>
      </c>
      <c r="F38" s="134">
        <v>2.69</v>
      </c>
      <c r="G38" s="134">
        <v>66.03</v>
      </c>
      <c r="H38" s="134">
        <v>28.55</v>
      </c>
      <c r="I38" s="134">
        <v>8.69</v>
      </c>
      <c r="J38" s="134">
        <v>0.56999999999999995</v>
      </c>
      <c r="K38" s="134">
        <v>37.659999999999997</v>
      </c>
      <c r="L38" s="134">
        <v>17.690000000000001</v>
      </c>
      <c r="M38" s="134">
        <v>100.7</v>
      </c>
      <c r="N38" s="134">
        <v>58.8</v>
      </c>
      <c r="O38" s="134">
        <v>0</v>
      </c>
      <c r="P38" s="134">
        <v>0.95</v>
      </c>
      <c r="Q38" s="134">
        <v>5.26</v>
      </c>
    </row>
    <row r="39" spans="1:17">
      <c r="A39" s="112" t="s">
        <v>2955</v>
      </c>
      <c r="B39" s="134">
        <v>32.770000000000003</v>
      </c>
      <c r="C39" s="134">
        <v>24.8</v>
      </c>
      <c r="D39" s="134">
        <v>40.590000000000003</v>
      </c>
      <c r="E39" s="134">
        <v>8.01</v>
      </c>
      <c r="F39" s="134">
        <v>2.62</v>
      </c>
      <c r="G39" s="134">
        <v>66.03</v>
      </c>
      <c r="H39" s="134">
        <v>28.55</v>
      </c>
      <c r="I39" s="134">
        <v>8.6</v>
      </c>
      <c r="J39" s="134">
        <v>0.64</v>
      </c>
      <c r="K39" s="134">
        <v>47.12</v>
      </c>
      <c r="L39" s="134">
        <v>17.8</v>
      </c>
      <c r="M39" s="134">
        <v>100.7</v>
      </c>
      <c r="N39" s="134">
        <v>66.2</v>
      </c>
      <c r="O39" s="134">
        <v>0</v>
      </c>
      <c r="P39" s="134">
        <v>0.94</v>
      </c>
      <c r="Q39" s="134">
        <v>5.25</v>
      </c>
    </row>
    <row r="40" spans="1:17">
      <c r="A40" s="112" t="s">
        <v>2956</v>
      </c>
      <c r="B40" s="134">
        <v>32.43</v>
      </c>
      <c r="C40" s="134">
        <v>24.1</v>
      </c>
      <c r="D40" s="134">
        <v>39.950000000000003</v>
      </c>
      <c r="E40" s="134">
        <v>7.79</v>
      </c>
      <c r="F40" s="134">
        <v>2.73</v>
      </c>
      <c r="G40" s="134">
        <v>65.989999999999995</v>
      </c>
      <c r="H40" s="134">
        <v>28.54</v>
      </c>
      <c r="I40" s="134">
        <v>8.5</v>
      </c>
      <c r="J40" s="134">
        <v>0.43</v>
      </c>
      <c r="K40" s="134">
        <v>45.14</v>
      </c>
      <c r="L40" s="134">
        <v>17.940000000000001</v>
      </c>
      <c r="M40" s="134">
        <v>100.7</v>
      </c>
      <c r="N40" s="134">
        <v>81.7</v>
      </c>
      <c r="O40" s="134">
        <v>0</v>
      </c>
      <c r="P40" s="134">
        <v>0.92</v>
      </c>
      <c r="Q40" s="134">
        <v>5.24</v>
      </c>
    </row>
    <row r="41" spans="1:17">
      <c r="A41" s="112" t="s">
        <v>2957</v>
      </c>
      <c r="B41" s="134">
        <v>32.4</v>
      </c>
      <c r="C41" s="134">
        <v>25.54</v>
      </c>
      <c r="D41" s="134">
        <v>40.68</v>
      </c>
      <c r="E41" s="134">
        <v>8.5500000000000007</v>
      </c>
      <c r="F41" s="134">
        <v>2.52</v>
      </c>
      <c r="G41" s="134">
        <v>64.12</v>
      </c>
      <c r="H41" s="134">
        <v>28.2</v>
      </c>
      <c r="I41" s="134">
        <v>8.4</v>
      </c>
      <c r="J41" s="134">
        <v>0.47</v>
      </c>
      <c r="K41" s="134">
        <v>37.270000000000003</v>
      </c>
      <c r="L41" s="134">
        <v>18.53</v>
      </c>
      <c r="M41" s="134">
        <v>100.71</v>
      </c>
      <c r="N41" s="134">
        <v>126.6</v>
      </c>
      <c r="O41" s="134">
        <v>0</v>
      </c>
      <c r="P41" s="134">
        <v>0.94</v>
      </c>
      <c r="Q41" s="134">
        <v>5.24</v>
      </c>
    </row>
    <row r="42" spans="1:17">
      <c r="A42" s="112" t="s">
        <v>2958</v>
      </c>
      <c r="B42" s="134">
        <v>32.67</v>
      </c>
      <c r="C42" s="134">
        <v>25.96</v>
      </c>
      <c r="D42" s="134">
        <v>41.11</v>
      </c>
      <c r="E42" s="134">
        <v>8.08</v>
      </c>
      <c r="F42" s="134">
        <v>2.52</v>
      </c>
      <c r="G42" s="134">
        <v>64.12</v>
      </c>
      <c r="H42" s="134">
        <v>28.2</v>
      </c>
      <c r="I42" s="134">
        <v>8.3000000000000007</v>
      </c>
      <c r="J42" s="134">
        <v>0.53</v>
      </c>
      <c r="K42" s="134">
        <v>43.75</v>
      </c>
      <c r="L42" s="134">
        <v>18.809999999999999</v>
      </c>
      <c r="M42" s="134">
        <v>100.7</v>
      </c>
      <c r="N42" s="134">
        <v>111.8</v>
      </c>
      <c r="O42" s="134">
        <v>0</v>
      </c>
      <c r="P42" s="134">
        <v>0.93</v>
      </c>
      <c r="Q42" s="134">
        <v>5.27</v>
      </c>
    </row>
    <row r="43" spans="1:17">
      <c r="A43" s="112" t="s">
        <v>2959</v>
      </c>
      <c r="B43" s="134">
        <v>32.69</v>
      </c>
      <c r="C43" s="134">
        <v>26.62</v>
      </c>
      <c r="D43" s="134">
        <v>41.48</v>
      </c>
      <c r="E43" s="134">
        <v>8.15</v>
      </c>
      <c r="F43" s="134">
        <v>2.61</v>
      </c>
      <c r="G43" s="134">
        <v>64.12</v>
      </c>
      <c r="H43" s="134">
        <v>28.2</v>
      </c>
      <c r="I43" s="134">
        <v>8.19</v>
      </c>
      <c r="J43" s="134">
        <v>0.46</v>
      </c>
      <c r="K43" s="134">
        <v>43.4</v>
      </c>
      <c r="L43" s="134">
        <v>19.149999999999999</v>
      </c>
      <c r="M43" s="134">
        <v>99.81</v>
      </c>
      <c r="N43" s="134">
        <v>149.80000000000001</v>
      </c>
      <c r="O43" s="134">
        <v>0</v>
      </c>
      <c r="P43" s="134">
        <v>0.93</v>
      </c>
      <c r="Q43" s="134">
        <v>5.26</v>
      </c>
    </row>
    <row r="44" spans="1:17">
      <c r="A44" s="112" t="s">
        <v>2960</v>
      </c>
      <c r="B44" s="134">
        <v>32.450000000000003</v>
      </c>
      <c r="C44" s="134">
        <v>26.88</v>
      </c>
      <c r="D44" s="134">
        <v>41.42</v>
      </c>
      <c r="E44" s="134">
        <v>8.0500000000000007</v>
      </c>
      <c r="F44" s="134">
        <v>2.8</v>
      </c>
      <c r="G44" s="134">
        <v>64.099999999999994</v>
      </c>
      <c r="H44" s="134">
        <v>28.19</v>
      </c>
      <c r="I44" s="134">
        <v>8.06</v>
      </c>
      <c r="J44" s="134">
        <v>0.37</v>
      </c>
      <c r="K44" s="134">
        <v>50.43</v>
      </c>
      <c r="L44" s="134">
        <v>19.739999999999998</v>
      </c>
      <c r="M44" s="134">
        <v>97.11</v>
      </c>
      <c r="N44" s="134">
        <v>165.3</v>
      </c>
      <c r="O44" s="134">
        <v>0</v>
      </c>
      <c r="P44" s="134">
        <v>0.93</v>
      </c>
      <c r="Q44" s="134">
        <v>5.29</v>
      </c>
    </row>
    <row r="45" spans="1:17">
      <c r="A45" s="112" t="s">
        <v>2961</v>
      </c>
      <c r="B45" s="134">
        <v>32.270000000000003</v>
      </c>
      <c r="C45" s="134">
        <v>27.55</v>
      </c>
      <c r="D45" s="134">
        <v>41.62</v>
      </c>
      <c r="E45" s="134">
        <v>8.17</v>
      </c>
      <c r="F45" s="134">
        <v>2.75</v>
      </c>
      <c r="G45" s="134">
        <v>63.09</v>
      </c>
      <c r="H45" s="134">
        <v>27.8</v>
      </c>
      <c r="I45" s="134">
        <v>7.92</v>
      </c>
      <c r="J45" s="134">
        <v>0.48</v>
      </c>
      <c r="K45" s="134">
        <v>28.71</v>
      </c>
      <c r="L45" s="134">
        <v>20.55</v>
      </c>
      <c r="M45" s="134">
        <v>92.34</v>
      </c>
      <c r="N45" s="134">
        <v>166.9</v>
      </c>
      <c r="O45" s="134">
        <v>0</v>
      </c>
      <c r="P45" s="134">
        <v>0.92</v>
      </c>
      <c r="Q45" s="134">
        <v>5.27</v>
      </c>
    </row>
    <row r="46" spans="1:17">
      <c r="A46" s="112" t="s">
        <v>2962</v>
      </c>
      <c r="B46" s="134">
        <v>32.61</v>
      </c>
      <c r="C46" s="134">
        <v>27.43</v>
      </c>
      <c r="D46" s="134">
        <v>41.83</v>
      </c>
      <c r="E46" s="134">
        <v>8.19</v>
      </c>
      <c r="F46" s="134">
        <v>2.66</v>
      </c>
      <c r="G46" s="134">
        <v>63.09</v>
      </c>
      <c r="H46" s="134">
        <v>27.8</v>
      </c>
      <c r="I46" s="134">
        <v>7.79</v>
      </c>
      <c r="J46" s="134">
        <v>0.48</v>
      </c>
      <c r="K46" s="134">
        <v>42.58</v>
      </c>
      <c r="L46" s="134">
        <v>20.93</v>
      </c>
      <c r="M46" s="134">
        <v>89.19</v>
      </c>
      <c r="N46" s="134">
        <v>172.6</v>
      </c>
      <c r="O46" s="134">
        <v>0</v>
      </c>
      <c r="P46" s="134">
        <v>0.92</v>
      </c>
      <c r="Q46" s="134">
        <v>5.28</v>
      </c>
    </row>
    <row r="47" spans="1:17">
      <c r="A47" s="112" t="s">
        <v>2963</v>
      </c>
      <c r="B47" s="134">
        <v>32.53</v>
      </c>
      <c r="C47" s="134">
        <v>28.18</v>
      </c>
      <c r="D47" s="134">
        <v>42.16</v>
      </c>
      <c r="E47" s="134">
        <v>8.32</v>
      </c>
      <c r="F47" s="134">
        <v>2.64</v>
      </c>
      <c r="G47" s="134">
        <v>63.09</v>
      </c>
      <c r="H47" s="134">
        <v>27.8</v>
      </c>
      <c r="I47" s="134">
        <v>7.7</v>
      </c>
      <c r="J47" s="134">
        <v>0.5</v>
      </c>
      <c r="K47" s="134">
        <v>45.9</v>
      </c>
      <c r="L47" s="134">
        <v>21.7</v>
      </c>
      <c r="M47" s="134">
        <v>83.31</v>
      </c>
      <c r="N47" s="134">
        <v>338.3</v>
      </c>
      <c r="O47" s="134">
        <v>0</v>
      </c>
      <c r="P47" s="134">
        <v>0.92</v>
      </c>
      <c r="Q47" s="134">
        <v>5.29</v>
      </c>
    </row>
    <row r="48" spans="1:17">
      <c r="A48" s="112" t="s">
        <v>2964</v>
      </c>
      <c r="B48" s="134">
        <v>32.369999999999997</v>
      </c>
      <c r="C48" s="134">
        <v>28.45</v>
      </c>
      <c r="D48" s="134">
        <v>42.17</v>
      </c>
      <c r="E48" s="134">
        <v>8.67</v>
      </c>
      <c r="F48" s="134">
        <v>2.62</v>
      </c>
      <c r="G48" s="134">
        <v>62.88</v>
      </c>
      <c r="H48" s="134">
        <v>27.78</v>
      </c>
      <c r="I48" s="134">
        <v>7.61</v>
      </c>
      <c r="J48" s="134">
        <v>0.61</v>
      </c>
      <c r="K48" s="134">
        <v>38.770000000000003</v>
      </c>
      <c r="L48" s="134">
        <v>22.48</v>
      </c>
      <c r="M48" s="134">
        <v>79.88</v>
      </c>
      <c r="N48" s="134">
        <v>398</v>
      </c>
      <c r="O48" s="134">
        <v>0</v>
      </c>
      <c r="P48" s="134">
        <v>0.92</v>
      </c>
      <c r="Q48" s="134">
        <v>5.31</v>
      </c>
    </row>
    <row r="49" spans="1:17">
      <c r="A49" s="112" t="s">
        <v>2965</v>
      </c>
      <c r="B49" s="134">
        <v>32.299999999999997</v>
      </c>
      <c r="C49" s="134">
        <v>28.89</v>
      </c>
      <c r="D49" s="134">
        <v>42.35</v>
      </c>
      <c r="E49" s="134">
        <v>6.98</v>
      </c>
      <c r="F49" s="134">
        <v>2.62</v>
      </c>
      <c r="G49" s="134">
        <v>53.89</v>
      </c>
      <c r="H49" s="134">
        <v>26.44</v>
      </c>
      <c r="I49" s="134">
        <v>7.53</v>
      </c>
      <c r="J49" s="134">
        <v>0.67</v>
      </c>
      <c r="K49" s="134">
        <v>47.21</v>
      </c>
      <c r="L49" s="134">
        <v>23.08</v>
      </c>
      <c r="M49" s="134">
        <v>76.08</v>
      </c>
      <c r="N49" s="134">
        <v>430.7</v>
      </c>
      <c r="O49" s="134">
        <v>0</v>
      </c>
      <c r="P49" s="134">
        <v>0.92</v>
      </c>
      <c r="Q49" s="134">
        <v>5.29</v>
      </c>
    </row>
    <row r="50" spans="1:17">
      <c r="A50" s="112" t="s">
        <v>2966</v>
      </c>
      <c r="B50" s="134">
        <v>31.75</v>
      </c>
      <c r="C50" s="134">
        <v>29.08</v>
      </c>
      <c r="D50" s="134">
        <v>42.01</v>
      </c>
      <c r="E50" s="134">
        <v>8.57</v>
      </c>
      <c r="F50" s="134">
        <v>2.66</v>
      </c>
      <c r="G50" s="134">
        <v>53.89</v>
      </c>
      <c r="H50" s="134">
        <v>26.44</v>
      </c>
      <c r="I50" s="134">
        <v>7.46</v>
      </c>
      <c r="J50" s="134">
        <v>0.63</v>
      </c>
      <c r="K50" s="134">
        <v>45.69</v>
      </c>
      <c r="L50" s="134">
        <v>23.46</v>
      </c>
      <c r="M50" s="134">
        <v>74.12</v>
      </c>
      <c r="N50" s="134">
        <v>459.3</v>
      </c>
      <c r="O50" s="134">
        <v>0</v>
      </c>
      <c r="P50" s="134">
        <v>0.92</v>
      </c>
      <c r="Q50" s="134">
        <v>5.3</v>
      </c>
    </row>
    <row r="51" spans="1:17">
      <c r="A51" s="112" t="s">
        <v>2967</v>
      </c>
      <c r="B51" s="134">
        <v>30.9</v>
      </c>
      <c r="C51" s="134">
        <v>29.28</v>
      </c>
      <c r="D51" s="134">
        <v>41.42</v>
      </c>
      <c r="E51" s="134">
        <v>8.33</v>
      </c>
      <c r="F51" s="134">
        <v>2.57</v>
      </c>
      <c r="G51" s="134">
        <v>53.89</v>
      </c>
      <c r="H51" s="134">
        <v>26.44</v>
      </c>
      <c r="I51" s="134">
        <v>7.39</v>
      </c>
      <c r="J51" s="134">
        <v>0.69</v>
      </c>
      <c r="K51" s="134">
        <v>38.049999999999997</v>
      </c>
      <c r="L51" s="134">
        <v>24.04</v>
      </c>
      <c r="M51" s="134">
        <v>72.44</v>
      </c>
      <c r="N51" s="134">
        <v>484.7</v>
      </c>
      <c r="O51" s="134">
        <v>0</v>
      </c>
      <c r="P51" s="134">
        <v>0.9</v>
      </c>
      <c r="Q51" s="134">
        <v>5.26</v>
      </c>
    </row>
    <row r="52" spans="1:17">
      <c r="A52" s="112" t="s">
        <v>2968</v>
      </c>
      <c r="B52" s="134">
        <v>30.36</v>
      </c>
      <c r="C52" s="134">
        <v>29.38</v>
      </c>
      <c r="D52" s="134">
        <v>41.05</v>
      </c>
      <c r="E52" s="134">
        <v>8.0299999999999994</v>
      </c>
      <c r="F52" s="134">
        <v>2.72</v>
      </c>
      <c r="G52" s="134">
        <v>53.93</v>
      </c>
      <c r="H52" s="134">
        <v>26.39</v>
      </c>
      <c r="I52" s="134">
        <v>7.3</v>
      </c>
      <c r="J52" s="134">
        <v>0.68</v>
      </c>
      <c r="K52" s="134">
        <v>42.58</v>
      </c>
      <c r="L52" s="134">
        <v>24.89</v>
      </c>
      <c r="M52" s="134">
        <v>67.53</v>
      </c>
      <c r="N52" s="134">
        <v>475.6</v>
      </c>
      <c r="O52" s="134">
        <v>0</v>
      </c>
      <c r="P52" s="134">
        <v>0.89</v>
      </c>
      <c r="Q52" s="134">
        <v>5.25</v>
      </c>
    </row>
    <row r="53" spans="1:17">
      <c r="A53" s="112" t="s">
        <v>2969</v>
      </c>
      <c r="B53" s="134">
        <v>29.52</v>
      </c>
      <c r="C53" s="134">
        <v>29.81</v>
      </c>
      <c r="D53" s="134">
        <v>40.6</v>
      </c>
      <c r="E53" s="134">
        <v>8.49</v>
      </c>
      <c r="F53" s="134">
        <v>2.77</v>
      </c>
      <c r="G53" s="134">
        <v>55.85</v>
      </c>
      <c r="H53" s="134">
        <v>22.9</v>
      </c>
      <c r="I53" s="134">
        <v>7.2</v>
      </c>
      <c r="J53" s="134">
        <v>0.69</v>
      </c>
      <c r="K53" s="134">
        <v>38.6</v>
      </c>
      <c r="L53" s="134">
        <v>25.14</v>
      </c>
      <c r="M53" s="134">
        <v>64.66</v>
      </c>
      <c r="N53" s="134">
        <v>518.29999999999995</v>
      </c>
      <c r="O53" s="134">
        <v>0</v>
      </c>
      <c r="P53" s="134">
        <v>0.88</v>
      </c>
      <c r="Q53" s="134">
        <v>5.24</v>
      </c>
    </row>
    <row r="54" spans="1:17">
      <c r="A54" s="112" t="s">
        <v>2970</v>
      </c>
      <c r="B54" s="134">
        <v>28.47</v>
      </c>
      <c r="C54" s="134">
        <v>29.69</v>
      </c>
      <c r="D54" s="134">
        <v>39.700000000000003</v>
      </c>
      <c r="E54" s="134">
        <v>8.69</v>
      </c>
      <c r="F54" s="134">
        <v>2.74</v>
      </c>
      <c r="G54" s="134">
        <v>55.85</v>
      </c>
      <c r="H54" s="134">
        <v>22.9</v>
      </c>
      <c r="I54" s="134">
        <v>7.11</v>
      </c>
      <c r="J54" s="134">
        <v>0.71</v>
      </c>
      <c r="K54" s="134">
        <v>45.37</v>
      </c>
      <c r="L54" s="134">
        <v>25.63</v>
      </c>
      <c r="M54" s="134">
        <v>61.57</v>
      </c>
      <c r="N54" s="134">
        <v>522.6</v>
      </c>
      <c r="O54" s="134">
        <v>0</v>
      </c>
      <c r="P54" s="134">
        <v>0.88</v>
      </c>
      <c r="Q54" s="134">
        <v>5.21</v>
      </c>
    </row>
    <row r="55" spans="1:17">
      <c r="A55" s="112" t="s">
        <v>2971</v>
      </c>
      <c r="B55" s="134">
        <v>27.2</v>
      </c>
      <c r="C55" s="134">
        <v>29.91</v>
      </c>
      <c r="D55" s="134">
        <v>38.79</v>
      </c>
      <c r="E55" s="134">
        <v>8.8000000000000007</v>
      </c>
      <c r="F55" s="134">
        <v>2.65</v>
      </c>
      <c r="G55" s="134">
        <v>55.85</v>
      </c>
      <c r="H55" s="134">
        <v>22.9</v>
      </c>
      <c r="I55" s="134">
        <v>7.03</v>
      </c>
      <c r="J55" s="134">
        <v>0.76</v>
      </c>
      <c r="K55" s="134">
        <v>36.93</v>
      </c>
      <c r="L55" s="134">
        <v>26</v>
      </c>
      <c r="M55" s="134">
        <v>59.71</v>
      </c>
      <c r="N55" s="134">
        <v>529.9</v>
      </c>
      <c r="O55" s="134">
        <v>0</v>
      </c>
      <c r="P55" s="134">
        <v>0.87</v>
      </c>
      <c r="Q55" s="134">
        <v>5.19</v>
      </c>
    </row>
    <row r="56" spans="1:17">
      <c r="A56" s="112" t="s">
        <v>2972</v>
      </c>
      <c r="B56" s="134">
        <v>25.78</v>
      </c>
      <c r="C56" s="134">
        <v>30.45</v>
      </c>
      <c r="D56" s="134">
        <v>37.93</v>
      </c>
      <c r="E56" s="134">
        <v>8.65</v>
      </c>
      <c r="F56" s="134">
        <v>2.73</v>
      </c>
      <c r="G56" s="134">
        <v>55.75</v>
      </c>
      <c r="H56" s="134">
        <v>22.87</v>
      </c>
      <c r="I56" s="134">
        <v>6.93</v>
      </c>
      <c r="J56" s="134">
        <v>0.57999999999999996</v>
      </c>
      <c r="K56" s="134">
        <v>47.12</v>
      </c>
      <c r="L56" s="134">
        <v>26.56</v>
      </c>
      <c r="M56" s="134">
        <v>56.68</v>
      </c>
      <c r="N56" s="134">
        <v>531.1</v>
      </c>
      <c r="O56" s="134">
        <v>0</v>
      </c>
      <c r="P56" s="134">
        <v>0.87</v>
      </c>
      <c r="Q56" s="134">
        <v>5.16</v>
      </c>
    </row>
    <row r="57" spans="1:17">
      <c r="A57" s="112" t="s">
        <v>2973</v>
      </c>
      <c r="B57" s="134">
        <v>24.22</v>
      </c>
      <c r="C57" s="134">
        <v>30.94</v>
      </c>
      <c r="D57" s="134">
        <v>36.94</v>
      </c>
      <c r="E57" s="134">
        <v>9.24</v>
      </c>
      <c r="F57" s="134">
        <v>2.81</v>
      </c>
      <c r="G57" s="134">
        <v>51.32</v>
      </c>
      <c r="H57" s="134">
        <v>20.94</v>
      </c>
      <c r="I57" s="134">
        <v>6.83</v>
      </c>
      <c r="J57" s="134">
        <v>0.62</v>
      </c>
      <c r="K57" s="134">
        <v>41.83</v>
      </c>
      <c r="L57" s="134">
        <v>26.91</v>
      </c>
      <c r="M57" s="134">
        <v>52.82</v>
      </c>
      <c r="N57" s="134">
        <v>538.6</v>
      </c>
      <c r="O57" s="134">
        <v>0</v>
      </c>
      <c r="P57" s="134">
        <v>0.86</v>
      </c>
      <c r="Q57" s="134">
        <v>5.1100000000000003</v>
      </c>
    </row>
    <row r="58" spans="1:17">
      <c r="A58" s="112" t="s">
        <v>2974</v>
      </c>
      <c r="B58" s="134">
        <v>22.8</v>
      </c>
      <c r="C58" s="134">
        <v>31.06</v>
      </c>
      <c r="D58" s="134">
        <v>35.86</v>
      </c>
      <c r="E58" s="134">
        <v>9.35</v>
      </c>
      <c r="F58" s="134">
        <v>3.04</v>
      </c>
      <c r="G58" s="134">
        <v>51.32</v>
      </c>
      <c r="H58" s="134">
        <v>20.94</v>
      </c>
      <c r="I58" s="134">
        <v>6.74</v>
      </c>
      <c r="J58" s="134">
        <v>0.73</v>
      </c>
      <c r="K58" s="134">
        <v>38.909999999999997</v>
      </c>
      <c r="L58" s="134">
        <v>27.25</v>
      </c>
      <c r="M58" s="134">
        <v>51.4</v>
      </c>
      <c r="N58" s="134">
        <v>535.79999999999995</v>
      </c>
      <c r="O58" s="134">
        <v>0</v>
      </c>
      <c r="P58" s="134">
        <v>0.85</v>
      </c>
      <c r="Q58" s="134">
        <v>5.07</v>
      </c>
    </row>
    <row r="59" spans="1:17">
      <c r="A59" s="112" t="s">
        <v>2975</v>
      </c>
      <c r="B59" s="134">
        <v>21.39</v>
      </c>
      <c r="C59" s="134">
        <v>31.52</v>
      </c>
      <c r="D59" s="134">
        <v>34.97</v>
      </c>
      <c r="E59" s="134">
        <v>9.1999999999999993</v>
      </c>
      <c r="F59" s="134">
        <v>3.14</v>
      </c>
      <c r="G59" s="134">
        <v>51.32</v>
      </c>
      <c r="H59" s="134">
        <v>20.94</v>
      </c>
      <c r="I59" s="134">
        <v>6.68</v>
      </c>
      <c r="J59" s="134">
        <v>0.57999999999999996</v>
      </c>
      <c r="K59" s="134">
        <v>63.27</v>
      </c>
      <c r="L59" s="134">
        <v>27.72</v>
      </c>
      <c r="M59" s="134">
        <v>49.83</v>
      </c>
      <c r="N59" s="134">
        <v>511.9</v>
      </c>
      <c r="O59" s="134">
        <v>0</v>
      </c>
      <c r="P59" s="134">
        <v>0.85</v>
      </c>
      <c r="Q59" s="134">
        <v>5.03</v>
      </c>
    </row>
    <row r="60" spans="1:17">
      <c r="A60" s="112" t="s">
        <v>2976</v>
      </c>
      <c r="B60" s="134">
        <v>19.739999999999998</v>
      </c>
      <c r="C60" s="134">
        <v>31.7</v>
      </c>
      <c r="D60" s="134">
        <v>33.74</v>
      </c>
      <c r="E60" s="134">
        <v>8.9700000000000006</v>
      </c>
      <c r="F60" s="134">
        <v>3.1</v>
      </c>
      <c r="G60" s="134">
        <v>51.48</v>
      </c>
      <c r="H60" s="134">
        <v>20.98</v>
      </c>
      <c r="I60" s="134">
        <v>6.61</v>
      </c>
      <c r="J60" s="134">
        <v>0.63</v>
      </c>
      <c r="K60" s="134">
        <v>34.69</v>
      </c>
      <c r="L60" s="134">
        <v>27.83</v>
      </c>
      <c r="M60" s="134">
        <v>49.63</v>
      </c>
      <c r="N60" s="134">
        <v>483.1</v>
      </c>
      <c r="O60" s="134">
        <v>0</v>
      </c>
      <c r="P60" s="134">
        <v>0.84</v>
      </c>
      <c r="Q60" s="134">
        <v>4.99</v>
      </c>
    </row>
    <row r="61" spans="1:17">
      <c r="A61" s="112" t="s">
        <v>2977</v>
      </c>
      <c r="B61" s="134">
        <v>18.29</v>
      </c>
      <c r="C61" s="134">
        <v>32.94</v>
      </c>
      <c r="D61" s="134">
        <v>33.229999999999997</v>
      </c>
      <c r="E61" s="134">
        <v>9.07</v>
      </c>
      <c r="F61" s="134">
        <v>3.16</v>
      </c>
      <c r="G61" s="134">
        <v>58.2</v>
      </c>
      <c r="H61" s="134">
        <v>23.54</v>
      </c>
      <c r="I61" s="134">
        <v>6.52</v>
      </c>
      <c r="J61" s="134">
        <v>0.56000000000000005</v>
      </c>
      <c r="K61" s="134">
        <v>43.35</v>
      </c>
      <c r="L61" s="134">
        <v>28.06</v>
      </c>
      <c r="M61" s="134">
        <v>49.39</v>
      </c>
      <c r="N61" s="134">
        <v>376.8</v>
      </c>
      <c r="O61" s="134">
        <v>0</v>
      </c>
      <c r="P61" s="134">
        <v>0.84</v>
      </c>
      <c r="Q61" s="134">
        <v>4.95</v>
      </c>
    </row>
    <row r="62" spans="1:17">
      <c r="A62" s="112" t="s">
        <v>2978</v>
      </c>
      <c r="B62" s="134">
        <v>17.55</v>
      </c>
      <c r="C62" s="134">
        <v>32.49</v>
      </c>
      <c r="D62" s="134">
        <v>32.4</v>
      </c>
      <c r="E62" s="134">
        <v>9.08</v>
      </c>
      <c r="F62" s="134">
        <v>3.21</v>
      </c>
      <c r="G62" s="134">
        <v>58.2</v>
      </c>
      <c r="H62" s="134">
        <v>23.54</v>
      </c>
      <c r="I62" s="134">
        <v>6.44</v>
      </c>
      <c r="J62" s="134">
        <v>0.54</v>
      </c>
      <c r="K62" s="134">
        <v>48.23</v>
      </c>
      <c r="L62" s="134">
        <v>27.69</v>
      </c>
      <c r="M62" s="134">
        <v>50.42</v>
      </c>
      <c r="N62" s="134">
        <v>249.5</v>
      </c>
      <c r="O62" s="134">
        <v>0</v>
      </c>
      <c r="P62" s="134">
        <v>0.83</v>
      </c>
      <c r="Q62" s="134">
        <v>4.93</v>
      </c>
    </row>
    <row r="63" spans="1:17">
      <c r="A63" s="112" t="s">
        <v>2979</v>
      </c>
      <c r="B63" s="134">
        <v>17.23</v>
      </c>
      <c r="C63" s="134">
        <v>28.52</v>
      </c>
      <c r="D63" s="134">
        <v>30.07</v>
      </c>
      <c r="E63" s="134">
        <v>9.4700000000000006</v>
      </c>
      <c r="F63" s="134">
        <v>3.7</v>
      </c>
      <c r="G63" s="134">
        <v>58.2</v>
      </c>
      <c r="H63" s="134">
        <v>23.54</v>
      </c>
      <c r="I63" s="134">
        <v>6.4</v>
      </c>
      <c r="J63" s="134">
        <v>0.55000000000000004</v>
      </c>
      <c r="K63" s="134">
        <v>39.729999999999997</v>
      </c>
      <c r="L63" s="134">
        <v>27.4</v>
      </c>
      <c r="M63" s="134">
        <v>50.58</v>
      </c>
      <c r="N63" s="134">
        <v>140.30000000000001</v>
      </c>
      <c r="O63" s="134">
        <v>0</v>
      </c>
      <c r="P63" s="134">
        <v>0.82</v>
      </c>
      <c r="Q63" s="134">
        <v>4.88</v>
      </c>
    </row>
    <row r="64" spans="1:17">
      <c r="A64" s="112" t="s">
        <v>2980</v>
      </c>
      <c r="B64" s="134">
        <v>16.670000000000002</v>
      </c>
      <c r="C64" s="134">
        <v>26.36</v>
      </c>
      <c r="D64" s="134">
        <v>28.49</v>
      </c>
      <c r="E64" s="134">
        <v>9.35</v>
      </c>
      <c r="F64" s="134">
        <v>4.9000000000000004</v>
      </c>
      <c r="G64" s="134">
        <v>58.27</v>
      </c>
      <c r="H64" s="134">
        <v>23.55</v>
      </c>
      <c r="I64" s="134">
        <v>6.36</v>
      </c>
      <c r="J64" s="134">
        <v>0.53</v>
      </c>
      <c r="K64" s="134">
        <v>46.39</v>
      </c>
      <c r="L64" s="134">
        <v>27.49</v>
      </c>
      <c r="M64" s="134">
        <v>50.75</v>
      </c>
      <c r="N64" s="134">
        <v>209.8</v>
      </c>
      <c r="O64" s="134">
        <v>0</v>
      </c>
      <c r="P64" s="134">
        <v>0.81</v>
      </c>
      <c r="Q64" s="134">
        <v>4.83</v>
      </c>
    </row>
    <row r="65" spans="1:17">
      <c r="A65" s="112" t="s">
        <v>2981</v>
      </c>
      <c r="B65" s="134">
        <v>15.87</v>
      </c>
      <c r="C65" s="134">
        <v>25.38</v>
      </c>
      <c r="D65" s="134">
        <v>27.34</v>
      </c>
      <c r="E65" s="134">
        <v>10.06</v>
      </c>
      <c r="F65" s="134">
        <v>5.59</v>
      </c>
      <c r="G65" s="134">
        <v>61.43</v>
      </c>
      <c r="H65" s="134">
        <v>24.21</v>
      </c>
      <c r="I65" s="134">
        <v>6.31</v>
      </c>
      <c r="J65" s="134">
        <v>0.32</v>
      </c>
      <c r="K65" s="134">
        <v>49.22</v>
      </c>
      <c r="L65" s="134">
        <v>27.93</v>
      </c>
      <c r="M65" s="134">
        <v>50.28</v>
      </c>
      <c r="N65" s="134">
        <v>193.6</v>
      </c>
      <c r="O65" s="134">
        <v>0</v>
      </c>
      <c r="P65" s="134">
        <v>0.62</v>
      </c>
      <c r="Q65" s="134">
        <v>4.78</v>
      </c>
    </row>
    <row r="66" spans="1:17">
      <c r="A66" s="112" t="s">
        <v>2982</v>
      </c>
      <c r="B66" s="134">
        <v>15.38</v>
      </c>
      <c r="C66" s="134">
        <v>24.52</v>
      </c>
      <c r="D66" s="134">
        <v>26.49</v>
      </c>
      <c r="E66" s="134">
        <v>9.23</v>
      </c>
      <c r="F66" s="134">
        <v>4.29</v>
      </c>
      <c r="G66" s="134">
        <v>61.43</v>
      </c>
      <c r="H66" s="134">
        <v>24.21</v>
      </c>
      <c r="I66" s="134">
        <v>6.26</v>
      </c>
      <c r="J66" s="134">
        <v>0.32</v>
      </c>
      <c r="K66" s="134">
        <v>37.46</v>
      </c>
      <c r="L66" s="134">
        <v>27.95</v>
      </c>
      <c r="M66" s="134">
        <v>49.64</v>
      </c>
      <c r="N66" s="134">
        <v>166.4</v>
      </c>
      <c r="O66" s="134">
        <v>0</v>
      </c>
      <c r="P66" s="134">
        <v>0.66</v>
      </c>
      <c r="Q66" s="134">
        <v>4.75</v>
      </c>
    </row>
    <row r="67" spans="1:17">
      <c r="A67" s="112" t="s">
        <v>2983</v>
      </c>
      <c r="B67" s="134">
        <v>14.81</v>
      </c>
      <c r="C67" s="134">
        <v>24.12</v>
      </c>
      <c r="D67" s="134">
        <v>25.83</v>
      </c>
      <c r="E67" s="134">
        <v>9.39</v>
      </c>
      <c r="F67" s="134">
        <v>4.24</v>
      </c>
      <c r="G67" s="134">
        <v>61.43</v>
      </c>
      <c r="H67" s="134">
        <v>24.21</v>
      </c>
      <c r="I67" s="134">
        <v>6.24</v>
      </c>
      <c r="J67" s="134">
        <v>0.36</v>
      </c>
      <c r="K67" s="134">
        <v>65.34</v>
      </c>
      <c r="L67" s="134">
        <v>27.94</v>
      </c>
      <c r="M67" s="134">
        <v>49.45</v>
      </c>
      <c r="N67" s="134">
        <v>139.19999999999999</v>
      </c>
      <c r="O67" s="134">
        <v>0</v>
      </c>
      <c r="P67" s="134">
        <v>0.66</v>
      </c>
      <c r="Q67" s="134">
        <v>4.75</v>
      </c>
    </row>
    <row r="68" spans="1:17">
      <c r="A68" s="112" t="s">
        <v>2984</v>
      </c>
      <c r="B68" s="134">
        <v>14.15</v>
      </c>
      <c r="C68" s="134">
        <v>23.71</v>
      </c>
      <c r="D68" s="134">
        <v>25.08</v>
      </c>
      <c r="E68" s="134">
        <v>10.7</v>
      </c>
      <c r="F68" s="134">
        <v>6.22</v>
      </c>
      <c r="G68" s="134">
        <v>61.5</v>
      </c>
      <c r="H68" s="134">
        <v>24.19</v>
      </c>
      <c r="I68" s="134">
        <v>6.2</v>
      </c>
      <c r="J68" s="134">
        <v>0.49</v>
      </c>
      <c r="K68" s="134">
        <v>37.54</v>
      </c>
      <c r="L68" s="134">
        <v>28.06</v>
      </c>
      <c r="M68" s="134">
        <v>47.61</v>
      </c>
      <c r="N68" s="134">
        <v>144.4</v>
      </c>
      <c r="O68" s="134">
        <v>0</v>
      </c>
      <c r="P68" s="134">
        <v>0.65</v>
      </c>
      <c r="Q68" s="134">
        <v>4.7300000000000004</v>
      </c>
    </row>
    <row r="69" spans="1:17">
      <c r="A69" s="112" t="s">
        <v>2985</v>
      </c>
      <c r="B69" s="134">
        <v>13.57</v>
      </c>
      <c r="C69" s="134">
        <v>23.56</v>
      </c>
      <c r="D69" s="134">
        <v>24.54</v>
      </c>
      <c r="E69" s="134">
        <v>11.51</v>
      </c>
      <c r="F69" s="134">
        <v>5.93</v>
      </c>
      <c r="G69" s="134">
        <v>64.760000000000005</v>
      </c>
      <c r="H69" s="134">
        <v>23.26</v>
      </c>
      <c r="I69" s="134">
        <v>6.14</v>
      </c>
      <c r="J69" s="134">
        <v>0.43</v>
      </c>
      <c r="K69" s="134">
        <v>52.47</v>
      </c>
      <c r="L69" s="134">
        <v>27.77</v>
      </c>
      <c r="M69" s="134">
        <v>48.69</v>
      </c>
      <c r="N69" s="134">
        <v>92.7</v>
      </c>
      <c r="O69" s="134">
        <v>0</v>
      </c>
      <c r="P69" s="134">
        <v>0.65</v>
      </c>
      <c r="Q69" s="134">
        <v>4.68</v>
      </c>
    </row>
    <row r="70" spans="1:17">
      <c r="A70" s="112" t="s">
        <v>2986</v>
      </c>
      <c r="B70" s="134">
        <v>13.24</v>
      </c>
      <c r="C70" s="134">
        <v>24.18</v>
      </c>
      <c r="D70" s="134">
        <v>24.6</v>
      </c>
      <c r="E70" s="134">
        <v>9.61</v>
      </c>
      <c r="F70" s="134">
        <v>4.4800000000000004</v>
      </c>
      <c r="G70" s="134">
        <v>64.760000000000005</v>
      </c>
      <c r="H70" s="134">
        <v>23.26</v>
      </c>
      <c r="I70" s="134">
        <v>6.02</v>
      </c>
      <c r="J70" s="134">
        <v>0.46</v>
      </c>
      <c r="K70" s="134">
        <v>39.79</v>
      </c>
      <c r="L70" s="134">
        <v>27.67</v>
      </c>
      <c r="M70" s="134">
        <v>49.42</v>
      </c>
      <c r="N70" s="134">
        <v>78.5</v>
      </c>
      <c r="O70" s="134">
        <v>0</v>
      </c>
      <c r="P70" s="134">
        <v>0.66</v>
      </c>
      <c r="Q70" s="134">
        <v>4.66</v>
      </c>
    </row>
    <row r="71" spans="1:17">
      <c r="A71" s="112" t="s">
        <v>2987</v>
      </c>
      <c r="B71" s="134">
        <v>13.05</v>
      </c>
      <c r="C71" s="134">
        <v>25.55</v>
      </c>
      <c r="D71" s="134">
        <v>25.17</v>
      </c>
      <c r="E71" s="134">
        <v>8.99</v>
      </c>
      <c r="F71" s="134">
        <v>4.18</v>
      </c>
      <c r="G71" s="134">
        <v>64.760000000000005</v>
      </c>
      <c r="H71" s="134">
        <v>23.26</v>
      </c>
      <c r="I71" s="134">
        <v>6</v>
      </c>
      <c r="J71" s="134">
        <v>0.54</v>
      </c>
      <c r="K71" s="134">
        <v>49.84</v>
      </c>
      <c r="L71" s="134">
        <v>27.79</v>
      </c>
      <c r="M71" s="134">
        <v>48.11</v>
      </c>
      <c r="N71" s="134">
        <v>91.1</v>
      </c>
      <c r="O71" s="134">
        <v>0</v>
      </c>
      <c r="P71" s="134">
        <v>0.67</v>
      </c>
      <c r="Q71" s="134">
        <v>4.66</v>
      </c>
    </row>
    <row r="72" spans="1:17">
      <c r="A72" s="112" t="s">
        <v>2988</v>
      </c>
      <c r="B72" s="134">
        <v>12.84</v>
      </c>
      <c r="C72" s="134">
        <v>24.42</v>
      </c>
      <c r="D72" s="134">
        <v>24.4</v>
      </c>
      <c r="E72" s="134">
        <v>9.7799999999999994</v>
      </c>
      <c r="F72" s="134">
        <v>4.9400000000000004</v>
      </c>
      <c r="G72" s="134">
        <v>64.8</v>
      </c>
      <c r="H72" s="134">
        <v>23.32</v>
      </c>
      <c r="I72" s="134">
        <v>6.04</v>
      </c>
      <c r="J72" s="134">
        <v>0.36</v>
      </c>
      <c r="K72" s="134">
        <v>65.45</v>
      </c>
      <c r="L72" s="134">
        <v>27.72</v>
      </c>
      <c r="M72" s="134">
        <v>47.33</v>
      </c>
      <c r="N72" s="134">
        <v>59.4</v>
      </c>
      <c r="O72" s="134">
        <v>0</v>
      </c>
      <c r="P72" s="134">
        <v>0.66</v>
      </c>
      <c r="Q72" s="134">
        <v>4.6500000000000004</v>
      </c>
    </row>
    <row r="73" spans="1:17">
      <c r="A73" s="112" t="s">
        <v>2989</v>
      </c>
      <c r="B73" s="134">
        <v>12.36</v>
      </c>
      <c r="C73" s="134">
        <v>23.26</v>
      </c>
      <c r="D73" s="134">
        <v>23.41</v>
      </c>
      <c r="E73" s="134">
        <v>9.85</v>
      </c>
      <c r="F73" s="134">
        <v>5.37</v>
      </c>
      <c r="G73" s="134">
        <v>66.66</v>
      </c>
      <c r="H73" s="134">
        <v>26.98</v>
      </c>
      <c r="I73" s="134">
        <v>6.01</v>
      </c>
      <c r="J73" s="134">
        <v>0.34</v>
      </c>
      <c r="K73" s="134">
        <v>60.57</v>
      </c>
      <c r="L73" s="134">
        <v>27.44</v>
      </c>
      <c r="M73" s="134">
        <v>47.49</v>
      </c>
      <c r="N73" s="134">
        <v>40.9</v>
      </c>
      <c r="O73" s="134">
        <v>0</v>
      </c>
      <c r="P73" s="134">
        <v>0.65</v>
      </c>
      <c r="Q73" s="134">
        <v>4.63</v>
      </c>
    </row>
    <row r="74" spans="1:17">
      <c r="A74" s="112" t="s">
        <v>2990</v>
      </c>
      <c r="B74" s="134">
        <v>12.22</v>
      </c>
      <c r="C74" s="134">
        <v>23.37</v>
      </c>
      <c r="D74" s="134">
        <v>23.36</v>
      </c>
      <c r="E74" s="134">
        <v>8.44</v>
      </c>
      <c r="F74" s="134">
        <v>3.7</v>
      </c>
      <c r="G74" s="134">
        <v>66.66</v>
      </c>
      <c r="H74" s="134">
        <v>26.98</v>
      </c>
      <c r="I74" s="134">
        <v>5.92</v>
      </c>
      <c r="J74" s="134">
        <v>0.16</v>
      </c>
      <c r="K74" s="134">
        <v>73.23</v>
      </c>
      <c r="L74" s="134">
        <v>27.01</v>
      </c>
      <c r="M74" s="134">
        <v>50.54</v>
      </c>
      <c r="N74" s="134">
        <v>26.6</v>
      </c>
      <c r="O74" s="134">
        <v>0</v>
      </c>
      <c r="P74" s="134">
        <v>0.66</v>
      </c>
      <c r="Q74" s="134">
        <v>4.6100000000000003</v>
      </c>
    </row>
    <row r="75" spans="1:17">
      <c r="A75" s="112" t="s">
        <v>2991</v>
      </c>
      <c r="B75" s="134">
        <v>12.39</v>
      </c>
      <c r="C75" s="134">
        <v>24.76</v>
      </c>
      <c r="D75" s="134">
        <v>24.23</v>
      </c>
      <c r="E75" s="134">
        <v>8.1300000000000008</v>
      </c>
      <c r="F75" s="134">
        <v>2.72</v>
      </c>
      <c r="G75" s="134">
        <v>66.66</v>
      </c>
      <c r="H75" s="134">
        <v>26.98</v>
      </c>
      <c r="I75" s="134">
        <v>5.89</v>
      </c>
      <c r="J75" s="134">
        <v>0.11</v>
      </c>
      <c r="K75" s="134">
        <v>79.430000000000007</v>
      </c>
      <c r="L75" s="134">
        <v>26.46</v>
      </c>
      <c r="M75" s="134">
        <v>53.67</v>
      </c>
      <c r="N75" s="134">
        <v>14.4</v>
      </c>
      <c r="O75" s="134">
        <v>0</v>
      </c>
      <c r="P75" s="134">
        <v>0.67</v>
      </c>
      <c r="Q75" s="134">
        <v>4.6100000000000003</v>
      </c>
    </row>
    <row r="76" spans="1:17">
      <c r="A76" s="112" t="s">
        <v>2992</v>
      </c>
      <c r="B76" s="134">
        <v>12.55</v>
      </c>
      <c r="C76" s="134">
        <v>23.53</v>
      </c>
      <c r="D76" s="134">
        <v>23.71</v>
      </c>
      <c r="E76" s="134">
        <v>7.95</v>
      </c>
      <c r="F76" s="134">
        <v>2.81</v>
      </c>
      <c r="G76" s="134">
        <v>66.73</v>
      </c>
      <c r="H76" s="134">
        <v>27.03</v>
      </c>
      <c r="I76" s="134">
        <v>5.94</v>
      </c>
      <c r="J76" s="134">
        <v>0.19</v>
      </c>
      <c r="K76" s="134">
        <v>148.32</v>
      </c>
      <c r="L76" s="134">
        <v>25.62</v>
      </c>
      <c r="M76" s="134">
        <v>60.18</v>
      </c>
      <c r="N76" s="134">
        <v>2.2999999999999998</v>
      </c>
      <c r="O76" s="134">
        <v>0</v>
      </c>
      <c r="P76" s="134">
        <v>0.68</v>
      </c>
      <c r="Q76" s="134">
        <v>4.5999999999999996</v>
      </c>
    </row>
    <row r="77" spans="1:17">
      <c r="A77" s="112" t="s">
        <v>2993</v>
      </c>
      <c r="B77" s="134">
        <v>12.79</v>
      </c>
      <c r="C77" s="134">
        <v>24.07</v>
      </c>
      <c r="D77" s="134">
        <v>24.18</v>
      </c>
      <c r="E77" s="134">
        <v>7.15</v>
      </c>
      <c r="F77" s="134">
        <v>2.68</v>
      </c>
      <c r="G77" s="134">
        <v>70.12</v>
      </c>
      <c r="H77" s="134">
        <v>30.04</v>
      </c>
      <c r="I77" s="134">
        <v>5.95</v>
      </c>
      <c r="J77" s="134">
        <v>0.13</v>
      </c>
      <c r="K77" s="134">
        <v>125.56</v>
      </c>
      <c r="L77" s="134">
        <v>24.93</v>
      </c>
      <c r="M77" s="134">
        <v>62.74</v>
      </c>
      <c r="N77" s="134">
        <v>0</v>
      </c>
      <c r="O77" s="134">
        <v>0</v>
      </c>
      <c r="P77" s="134">
        <v>0.68</v>
      </c>
      <c r="Q77" s="134">
        <v>4.62</v>
      </c>
    </row>
    <row r="78" spans="1:17">
      <c r="A78" s="112" t="s">
        <v>2994</v>
      </c>
      <c r="B78" s="134">
        <v>13.21</v>
      </c>
      <c r="C78" s="134">
        <v>24.44</v>
      </c>
      <c r="D78" s="134">
        <v>24.72</v>
      </c>
      <c r="E78" s="134">
        <v>7.65</v>
      </c>
      <c r="F78" s="134">
        <v>2.62</v>
      </c>
      <c r="G78" s="134">
        <v>70.12</v>
      </c>
      <c r="H78" s="134">
        <v>30.04</v>
      </c>
      <c r="I78" s="134">
        <v>5.92</v>
      </c>
      <c r="J78" s="134">
        <v>0.15</v>
      </c>
      <c r="K78" s="134">
        <v>123.02</v>
      </c>
      <c r="L78" s="134">
        <v>24.34</v>
      </c>
      <c r="M78" s="134">
        <v>65.819999999999993</v>
      </c>
      <c r="N78" s="134">
        <v>0</v>
      </c>
      <c r="O78" s="134">
        <v>0</v>
      </c>
      <c r="P78" s="134">
        <v>0.7</v>
      </c>
      <c r="Q78" s="134">
        <v>4.63</v>
      </c>
    </row>
    <row r="79" spans="1:17">
      <c r="A79" s="112" t="s">
        <v>2995</v>
      </c>
      <c r="B79" s="134">
        <v>13.74</v>
      </c>
      <c r="C79" s="134">
        <v>22.91</v>
      </c>
      <c r="D79" s="134">
        <v>24.34</v>
      </c>
      <c r="E79" s="134">
        <v>7.57</v>
      </c>
      <c r="F79" s="134">
        <v>2.77</v>
      </c>
      <c r="G79" s="134">
        <v>70.12</v>
      </c>
      <c r="H79" s="134">
        <v>30.04</v>
      </c>
      <c r="I79" s="134">
        <v>5.96</v>
      </c>
      <c r="J79" s="134">
        <v>0.13</v>
      </c>
      <c r="K79" s="134">
        <v>162.69999999999999</v>
      </c>
      <c r="L79" s="134">
        <v>23.84</v>
      </c>
      <c r="M79" s="134">
        <v>67.489999999999995</v>
      </c>
      <c r="N79" s="134">
        <v>0</v>
      </c>
      <c r="O79" s="134">
        <v>0</v>
      </c>
      <c r="P79" s="134">
        <v>0.7</v>
      </c>
      <c r="Q79" s="134">
        <v>4.63</v>
      </c>
    </row>
    <row r="80" spans="1:17">
      <c r="A80" s="112" t="s">
        <v>2996</v>
      </c>
      <c r="B80" s="134">
        <v>14.39</v>
      </c>
      <c r="C80" s="134">
        <v>23.25</v>
      </c>
      <c r="D80" s="134">
        <v>25.04</v>
      </c>
      <c r="E80" s="134">
        <v>7.59</v>
      </c>
      <c r="F80" s="134">
        <v>2.62</v>
      </c>
      <c r="G80" s="134">
        <v>70.53</v>
      </c>
      <c r="H80" s="134">
        <v>30.12</v>
      </c>
      <c r="I80" s="134">
        <v>6.02</v>
      </c>
      <c r="J80" s="134">
        <v>0.15</v>
      </c>
      <c r="K80" s="134">
        <v>73.010000000000005</v>
      </c>
      <c r="L80" s="134">
        <v>23.76</v>
      </c>
      <c r="M80" s="134">
        <v>65.959999999999994</v>
      </c>
      <c r="N80" s="134">
        <v>0</v>
      </c>
      <c r="O80" s="134">
        <v>0</v>
      </c>
      <c r="P80" s="134">
        <v>0.72</v>
      </c>
      <c r="Q80" s="134">
        <v>4.6500000000000004</v>
      </c>
    </row>
    <row r="81" spans="1:17">
      <c r="A81" s="112" t="s">
        <v>2997</v>
      </c>
      <c r="B81" s="134">
        <v>17.72</v>
      </c>
      <c r="C81" s="134">
        <v>27.37</v>
      </c>
      <c r="D81" s="134">
        <v>29.86</v>
      </c>
      <c r="E81" s="134">
        <v>7.8</v>
      </c>
      <c r="F81" s="134">
        <v>2.34</v>
      </c>
      <c r="G81" s="134">
        <v>88.2</v>
      </c>
      <c r="H81" s="134">
        <v>35.270000000000003</v>
      </c>
      <c r="I81" s="134">
        <v>6.09</v>
      </c>
      <c r="J81" s="134">
        <v>0.22</v>
      </c>
      <c r="K81" s="134">
        <v>64.48</v>
      </c>
      <c r="L81" s="134">
        <v>24.14</v>
      </c>
      <c r="M81" s="134">
        <v>63.31</v>
      </c>
      <c r="N81" s="134">
        <v>0</v>
      </c>
      <c r="O81" s="134">
        <v>0</v>
      </c>
      <c r="P81" s="134">
        <v>0.8</v>
      </c>
      <c r="Q81" s="134">
        <v>4.71</v>
      </c>
    </row>
    <row r="82" spans="1:17">
      <c r="A82" s="112" t="s">
        <v>2998</v>
      </c>
      <c r="B82" s="134">
        <v>18.12</v>
      </c>
      <c r="C82" s="134">
        <v>27.72</v>
      </c>
      <c r="D82" s="134">
        <v>30.36</v>
      </c>
      <c r="E82" s="134">
        <v>8.81</v>
      </c>
      <c r="F82" s="134">
        <v>2.52</v>
      </c>
      <c r="G82" s="134">
        <v>88.2</v>
      </c>
      <c r="H82" s="134">
        <v>35.270000000000003</v>
      </c>
      <c r="I82" s="134">
        <v>6.19</v>
      </c>
      <c r="J82" s="134">
        <v>0.14000000000000001</v>
      </c>
      <c r="K82" s="134">
        <v>78.209999999999994</v>
      </c>
      <c r="L82" s="134">
        <v>24.14</v>
      </c>
      <c r="M82" s="134">
        <v>64.37</v>
      </c>
      <c r="N82" s="134">
        <v>0</v>
      </c>
      <c r="O82" s="134">
        <v>0</v>
      </c>
      <c r="P82" s="134">
        <v>0.83</v>
      </c>
      <c r="Q82" s="134">
        <v>4.76</v>
      </c>
    </row>
    <row r="83" spans="1:17">
      <c r="A83" s="112" t="s">
        <v>2999</v>
      </c>
      <c r="B83" s="134">
        <v>18.03</v>
      </c>
      <c r="C83" s="134">
        <v>28.14</v>
      </c>
      <c r="D83" s="134">
        <v>30.51</v>
      </c>
      <c r="E83" s="134">
        <v>8.7100000000000009</v>
      </c>
      <c r="F83" s="134">
        <v>2.76</v>
      </c>
      <c r="G83" s="134">
        <v>88.2</v>
      </c>
      <c r="H83" s="134">
        <v>35.270000000000003</v>
      </c>
      <c r="I83" s="134">
        <v>6.41</v>
      </c>
      <c r="J83" s="134">
        <v>0.17</v>
      </c>
      <c r="K83" s="134">
        <v>69.02</v>
      </c>
      <c r="L83" s="134">
        <v>24</v>
      </c>
      <c r="M83" s="134">
        <v>63.64</v>
      </c>
      <c r="N83" s="134">
        <v>0</v>
      </c>
      <c r="O83" s="134">
        <v>0</v>
      </c>
      <c r="P83" s="134">
        <v>0.86</v>
      </c>
      <c r="Q83" s="134">
        <v>4.78</v>
      </c>
    </row>
    <row r="84" spans="1:17">
      <c r="A84" s="112" t="s">
        <v>3000</v>
      </c>
      <c r="B84" s="134">
        <v>18.510000000000002</v>
      </c>
      <c r="C84" s="134">
        <v>28.64</v>
      </c>
      <c r="D84" s="134">
        <v>31.16</v>
      </c>
      <c r="E84" s="134">
        <v>8.5</v>
      </c>
      <c r="F84" s="134">
        <v>2.71</v>
      </c>
      <c r="G84" s="134">
        <v>88.46</v>
      </c>
      <c r="H84" s="134">
        <v>35.270000000000003</v>
      </c>
      <c r="I84" s="134">
        <v>6.59</v>
      </c>
      <c r="J84" s="134">
        <v>0.25</v>
      </c>
      <c r="K84" s="134">
        <v>59.61</v>
      </c>
      <c r="L84" s="134">
        <v>23.77</v>
      </c>
      <c r="M84" s="134">
        <v>64.849999999999994</v>
      </c>
      <c r="N84" s="134">
        <v>0</v>
      </c>
      <c r="O84" s="134">
        <v>0</v>
      </c>
      <c r="P84" s="134">
        <v>0.89</v>
      </c>
      <c r="Q84" s="134">
        <v>4.8099999999999996</v>
      </c>
    </row>
    <row r="85" spans="1:17">
      <c r="A85" s="112" t="s">
        <v>3001</v>
      </c>
      <c r="B85" s="134">
        <v>19.5</v>
      </c>
      <c r="C85" s="134">
        <v>29.59</v>
      </c>
      <c r="D85" s="134">
        <v>32.450000000000003</v>
      </c>
      <c r="E85" s="134">
        <v>9.2100000000000009</v>
      </c>
      <c r="F85" s="134">
        <v>2.8</v>
      </c>
      <c r="G85" s="134">
        <v>99.59</v>
      </c>
      <c r="H85" s="134">
        <v>35.1</v>
      </c>
      <c r="I85" s="134">
        <v>6.74</v>
      </c>
      <c r="J85" s="134">
        <v>0.3</v>
      </c>
      <c r="K85" s="134">
        <v>52.23</v>
      </c>
      <c r="L85" s="134">
        <v>23.66</v>
      </c>
      <c r="M85" s="134">
        <v>64.510000000000005</v>
      </c>
      <c r="N85" s="134">
        <v>0</v>
      </c>
      <c r="O85" s="134">
        <v>0</v>
      </c>
      <c r="P85" s="134">
        <v>0.92</v>
      </c>
      <c r="Q85" s="134">
        <v>4.84</v>
      </c>
    </row>
    <row r="86" spans="1:17">
      <c r="A86" s="112" t="s">
        <v>3002</v>
      </c>
      <c r="B86" s="134">
        <v>20.36</v>
      </c>
      <c r="C86" s="134">
        <v>30.28</v>
      </c>
      <c r="D86" s="134">
        <v>33.5</v>
      </c>
      <c r="E86" s="134">
        <v>9.3000000000000007</v>
      </c>
      <c r="F86" s="134">
        <v>2.75</v>
      </c>
      <c r="G86" s="134">
        <v>99.59</v>
      </c>
      <c r="H86" s="134">
        <v>35.1</v>
      </c>
      <c r="I86" s="134">
        <v>6.9</v>
      </c>
      <c r="J86" s="134">
        <v>0.28999999999999998</v>
      </c>
      <c r="K86" s="134">
        <v>59.14</v>
      </c>
      <c r="L86" s="134">
        <v>23.51</v>
      </c>
      <c r="M86" s="134">
        <v>65.75</v>
      </c>
      <c r="N86" s="134">
        <v>0</v>
      </c>
      <c r="O86" s="134">
        <v>0</v>
      </c>
      <c r="P86" s="134">
        <v>0.94</v>
      </c>
      <c r="Q86" s="134">
        <v>4.9000000000000004</v>
      </c>
    </row>
    <row r="87" spans="1:17">
      <c r="A87" s="112" t="s">
        <v>3003</v>
      </c>
      <c r="B87" s="134">
        <v>20.85</v>
      </c>
      <c r="C87" s="134">
        <v>30.82</v>
      </c>
      <c r="D87" s="134">
        <v>34.17</v>
      </c>
      <c r="E87" s="134">
        <v>9.61</v>
      </c>
      <c r="F87" s="134">
        <v>2.94</v>
      </c>
      <c r="G87" s="134">
        <v>99.59</v>
      </c>
      <c r="H87" s="134">
        <v>35.1</v>
      </c>
      <c r="I87" s="134">
        <v>7.05</v>
      </c>
      <c r="J87" s="134">
        <v>0.18</v>
      </c>
      <c r="K87" s="134">
        <v>56.9</v>
      </c>
      <c r="L87" s="134">
        <v>23.42</v>
      </c>
      <c r="M87" s="134">
        <v>67.55</v>
      </c>
      <c r="N87" s="134">
        <v>0</v>
      </c>
      <c r="O87" s="134">
        <v>0</v>
      </c>
      <c r="P87" s="134">
        <v>0.95</v>
      </c>
      <c r="Q87" s="134">
        <v>4.92</v>
      </c>
    </row>
    <row r="88" spans="1:17">
      <c r="A88" s="112" t="s">
        <v>3004</v>
      </c>
      <c r="B88" s="134">
        <v>21.22</v>
      </c>
      <c r="C88" s="134">
        <v>31.24</v>
      </c>
      <c r="D88" s="134">
        <v>34.69</v>
      </c>
      <c r="E88" s="134">
        <v>9.49</v>
      </c>
      <c r="F88" s="134">
        <v>2.79</v>
      </c>
      <c r="G88" s="134">
        <v>99.65</v>
      </c>
      <c r="H88" s="134">
        <v>35.200000000000003</v>
      </c>
      <c r="I88" s="134">
        <v>7.2</v>
      </c>
      <c r="J88" s="134">
        <v>0.37</v>
      </c>
      <c r="K88" s="134">
        <v>43</v>
      </c>
      <c r="L88" s="134">
        <v>23.33</v>
      </c>
      <c r="M88" s="134">
        <v>69.03</v>
      </c>
      <c r="N88" s="134">
        <v>0</v>
      </c>
      <c r="O88" s="134">
        <v>0</v>
      </c>
      <c r="P88" s="134">
        <v>0.97</v>
      </c>
      <c r="Q88" s="134">
        <v>4.93</v>
      </c>
    </row>
    <row r="89" spans="1:17">
      <c r="A89" s="112" t="s">
        <v>3005</v>
      </c>
      <c r="B89" s="134">
        <v>22.08</v>
      </c>
      <c r="C89" s="134">
        <v>31.51</v>
      </c>
      <c r="D89" s="134">
        <v>35.520000000000003</v>
      </c>
      <c r="E89" s="134">
        <v>9.3000000000000007</v>
      </c>
      <c r="F89" s="134">
        <v>2.84</v>
      </c>
      <c r="G89" s="134">
        <v>102.09</v>
      </c>
      <c r="H89" s="134">
        <v>41.64</v>
      </c>
      <c r="I89" s="134">
        <v>7.33</v>
      </c>
      <c r="J89" s="134">
        <v>0.26</v>
      </c>
      <c r="K89" s="134">
        <v>54.13</v>
      </c>
      <c r="L89" s="134">
        <v>23.07</v>
      </c>
      <c r="M89" s="134">
        <v>71.61</v>
      </c>
      <c r="N89" s="134">
        <v>0</v>
      </c>
      <c r="O89" s="134">
        <v>0</v>
      </c>
      <c r="P89" s="134">
        <v>0.97</v>
      </c>
      <c r="Q89" s="134">
        <v>4.97</v>
      </c>
    </row>
    <row r="90" spans="1:17">
      <c r="A90" s="112" t="s">
        <v>3006</v>
      </c>
      <c r="B90" s="134">
        <v>23.27</v>
      </c>
      <c r="C90" s="134">
        <v>31.73</v>
      </c>
      <c r="D90" s="134">
        <v>36.590000000000003</v>
      </c>
      <c r="E90" s="134">
        <v>9.48</v>
      </c>
      <c r="F90" s="134">
        <v>2.68</v>
      </c>
      <c r="G90" s="134">
        <v>102.09</v>
      </c>
      <c r="H90" s="134">
        <v>41.64</v>
      </c>
      <c r="I90" s="134">
        <v>7.42</v>
      </c>
      <c r="J90" s="134">
        <v>0.21</v>
      </c>
      <c r="K90" s="134">
        <v>49.3</v>
      </c>
      <c r="L90" s="134">
        <v>22.73</v>
      </c>
      <c r="M90" s="134">
        <v>73.91</v>
      </c>
      <c r="N90" s="134">
        <v>0</v>
      </c>
      <c r="O90" s="134">
        <v>0</v>
      </c>
      <c r="P90" s="134">
        <v>0.98</v>
      </c>
      <c r="Q90" s="134">
        <v>5</v>
      </c>
    </row>
    <row r="91" spans="1:17">
      <c r="A91" s="112" t="s">
        <v>3007</v>
      </c>
      <c r="B91" s="134">
        <v>24.73</v>
      </c>
      <c r="C91" s="134">
        <v>31.86</v>
      </c>
      <c r="D91" s="134">
        <v>37.83</v>
      </c>
      <c r="E91" s="134">
        <v>9.73</v>
      </c>
      <c r="F91" s="134">
        <v>2.69</v>
      </c>
      <c r="G91" s="134">
        <v>102.09</v>
      </c>
      <c r="H91" s="134">
        <v>41.64</v>
      </c>
      <c r="I91" s="134">
        <v>7.48</v>
      </c>
      <c r="J91" s="134">
        <v>0.28000000000000003</v>
      </c>
      <c r="K91" s="134">
        <v>46.29</v>
      </c>
      <c r="L91" s="134">
        <v>22.5</v>
      </c>
      <c r="M91" s="134">
        <v>75.64</v>
      </c>
      <c r="N91" s="134">
        <v>0</v>
      </c>
      <c r="O91" s="134">
        <v>0</v>
      </c>
      <c r="P91" s="134">
        <v>0.99</v>
      </c>
      <c r="Q91" s="134">
        <v>5.04</v>
      </c>
    </row>
    <row r="92" spans="1:17">
      <c r="A92" s="112" t="s">
        <v>3008</v>
      </c>
      <c r="B92" s="134">
        <v>26.59</v>
      </c>
      <c r="C92" s="134">
        <v>32.049999999999997</v>
      </c>
      <c r="D92" s="134">
        <v>39.42</v>
      </c>
      <c r="E92" s="134">
        <v>9.75</v>
      </c>
      <c r="F92" s="134">
        <v>2.57</v>
      </c>
      <c r="G92" s="134">
        <v>102.15</v>
      </c>
      <c r="H92" s="134">
        <v>41.57</v>
      </c>
      <c r="I92" s="134">
        <v>7.52</v>
      </c>
      <c r="J92" s="134">
        <v>0.47</v>
      </c>
      <c r="K92" s="134">
        <v>44.02</v>
      </c>
      <c r="L92" s="134">
        <v>22.44</v>
      </c>
      <c r="M92" s="134">
        <v>76.06</v>
      </c>
      <c r="N92" s="134">
        <v>0</v>
      </c>
      <c r="O92" s="134">
        <v>0</v>
      </c>
      <c r="P92" s="134">
        <v>1</v>
      </c>
      <c r="Q92" s="134">
        <v>5.0999999999999996</v>
      </c>
    </row>
    <row r="93" spans="1:17">
      <c r="A93" s="112" t="s">
        <v>3009</v>
      </c>
      <c r="B93" s="134">
        <v>28.26</v>
      </c>
      <c r="C93" s="134">
        <v>32.590000000000003</v>
      </c>
      <c r="D93" s="134">
        <v>41.04</v>
      </c>
      <c r="E93" s="134">
        <v>9.91</v>
      </c>
      <c r="F93" s="134">
        <v>2.5299999999999998</v>
      </c>
      <c r="G93" s="134">
        <v>104.83</v>
      </c>
      <c r="H93" s="134">
        <v>37.21</v>
      </c>
      <c r="I93" s="134">
        <v>7.6</v>
      </c>
      <c r="J93" s="134">
        <v>0.34</v>
      </c>
      <c r="K93" s="134">
        <v>44.21</v>
      </c>
      <c r="L93" s="134">
        <v>22.27</v>
      </c>
      <c r="M93" s="134">
        <v>77.27</v>
      </c>
      <c r="N93" s="134">
        <v>0</v>
      </c>
      <c r="O93" s="134">
        <v>0</v>
      </c>
      <c r="P93" s="134">
        <v>1</v>
      </c>
      <c r="Q93" s="134">
        <v>5.17</v>
      </c>
    </row>
    <row r="94" spans="1:17">
      <c r="A94" s="112" t="s">
        <v>3010</v>
      </c>
      <c r="B94" s="134">
        <v>30.25</v>
      </c>
      <c r="C94" s="134">
        <v>32.46</v>
      </c>
      <c r="D94" s="134">
        <v>42.57</v>
      </c>
      <c r="E94" s="134">
        <v>9.66</v>
      </c>
      <c r="F94" s="134">
        <v>2.59</v>
      </c>
      <c r="G94" s="134">
        <v>104.83</v>
      </c>
      <c r="H94" s="134">
        <v>37.21</v>
      </c>
      <c r="I94" s="134">
        <v>7.65</v>
      </c>
      <c r="J94" s="134">
        <v>0.25</v>
      </c>
      <c r="K94" s="134">
        <v>63.52</v>
      </c>
      <c r="L94" s="134">
        <v>22.12</v>
      </c>
      <c r="M94" s="134">
        <v>78.06</v>
      </c>
      <c r="N94" s="134">
        <v>0</v>
      </c>
      <c r="O94" s="134">
        <v>0</v>
      </c>
      <c r="P94" s="134">
        <v>1.01</v>
      </c>
      <c r="Q94" s="134">
        <v>5.22</v>
      </c>
    </row>
    <row r="95" spans="1:17">
      <c r="A95" s="112" t="s">
        <v>3011</v>
      </c>
      <c r="B95" s="134">
        <v>31.23</v>
      </c>
      <c r="C95" s="134">
        <v>32.29</v>
      </c>
      <c r="D95" s="134">
        <v>43.27</v>
      </c>
      <c r="E95" s="134">
        <v>9.42</v>
      </c>
      <c r="F95" s="134">
        <v>2.46</v>
      </c>
      <c r="G95" s="134">
        <v>104.83</v>
      </c>
      <c r="H95" s="134">
        <v>37.21</v>
      </c>
      <c r="I95" s="134">
        <v>7.7</v>
      </c>
      <c r="J95" s="134">
        <v>0.21</v>
      </c>
      <c r="K95" s="134">
        <v>58.49</v>
      </c>
      <c r="L95" s="134">
        <v>21.93</v>
      </c>
      <c r="M95" s="134">
        <v>79.209999999999994</v>
      </c>
      <c r="N95" s="134">
        <v>0</v>
      </c>
      <c r="O95" s="134">
        <v>0</v>
      </c>
      <c r="P95" s="134">
        <v>1</v>
      </c>
      <c r="Q95" s="134">
        <v>5.25</v>
      </c>
    </row>
    <row r="96" spans="1:17">
      <c r="A96" s="112" t="s">
        <v>3012</v>
      </c>
      <c r="B96" s="134">
        <v>31.73</v>
      </c>
      <c r="C96" s="134">
        <v>32.520000000000003</v>
      </c>
      <c r="D96" s="134">
        <v>43.79</v>
      </c>
      <c r="E96" s="134">
        <v>9.5500000000000007</v>
      </c>
      <c r="F96" s="134">
        <v>2.5</v>
      </c>
      <c r="G96" s="134">
        <v>104.75</v>
      </c>
      <c r="H96" s="134">
        <v>37.22</v>
      </c>
      <c r="I96" s="134">
        <v>7.75</v>
      </c>
      <c r="J96" s="134">
        <v>0.24</v>
      </c>
      <c r="K96" s="134">
        <v>58.49</v>
      </c>
      <c r="L96" s="134">
        <v>21.98</v>
      </c>
      <c r="M96" s="134">
        <v>79.11</v>
      </c>
      <c r="N96" s="134">
        <v>0</v>
      </c>
      <c r="O96" s="134">
        <v>0</v>
      </c>
      <c r="P96" s="134">
        <v>1</v>
      </c>
      <c r="Q96" s="134">
        <v>5.26</v>
      </c>
    </row>
    <row r="97" spans="1:21">
      <c r="A97" s="112" t="s">
        <v>3013</v>
      </c>
      <c r="B97" s="134">
        <v>32.71</v>
      </c>
      <c r="C97" s="134">
        <v>32.43</v>
      </c>
      <c r="D97" s="134">
        <v>44.53</v>
      </c>
      <c r="E97" s="134">
        <v>9.81</v>
      </c>
      <c r="F97" s="134">
        <v>2.48</v>
      </c>
      <c r="G97" s="134">
        <v>101.31</v>
      </c>
      <c r="H97" s="134">
        <v>37.869999999999997</v>
      </c>
      <c r="I97" s="134">
        <v>7.75</v>
      </c>
      <c r="J97" s="134">
        <v>0.3</v>
      </c>
      <c r="K97" s="134">
        <v>54.56</v>
      </c>
      <c r="L97" s="134">
        <v>22.09</v>
      </c>
      <c r="M97" s="134">
        <v>78.39</v>
      </c>
      <c r="N97" s="134">
        <v>0</v>
      </c>
      <c r="O97" s="134">
        <v>0</v>
      </c>
      <c r="P97" s="134">
        <v>0.99</v>
      </c>
      <c r="Q97" s="134">
        <v>5.28</v>
      </c>
    </row>
    <row r="98" spans="1:21">
      <c r="A98" s="112" t="s">
        <v>3014</v>
      </c>
      <c r="B98" s="134">
        <v>33.590000000000003</v>
      </c>
      <c r="C98" s="134">
        <v>32.619999999999997</v>
      </c>
      <c r="D98" s="134">
        <v>45.33</v>
      </c>
      <c r="E98" s="134">
        <v>9.58</v>
      </c>
      <c r="F98" s="134">
        <v>2.5099999999999998</v>
      </c>
      <c r="G98" s="134">
        <v>101.31</v>
      </c>
      <c r="H98" s="134">
        <v>37.869999999999997</v>
      </c>
      <c r="I98" s="134">
        <v>7.75</v>
      </c>
      <c r="J98" s="134">
        <v>0.3</v>
      </c>
      <c r="K98" s="134">
        <v>60.72</v>
      </c>
      <c r="L98" s="134">
        <v>22.11</v>
      </c>
      <c r="M98" s="134">
        <v>78.08</v>
      </c>
      <c r="N98" s="134">
        <v>0</v>
      </c>
      <c r="O98" s="134">
        <v>0</v>
      </c>
      <c r="P98" s="134">
        <v>0.99</v>
      </c>
      <c r="Q98" s="134">
        <v>5.32</v>
      </c>
    </row>
    <row r="99" spans="1:21">
      <c r="A99" s="112" t="s">
        <v>3015</v>
      </c>
      <c r="B99" s="134">
        <v>34.4</v>
      </c>
      <c r="C99" s="134">
        <v>32.520000000000003</v>
      </c>
      <c r="D99" s="134">
        <v>45.93</v>
      </c>
      <c r="E99" s="134">
        <v>9.67</v>
      </c>
      <c r="F99" s="134">
        <v>2.5</v>
      </c>
      <c r="G99" s="134">
        <v>101.31</v>
      </c>
      <c r="H99" s="134">
        <v>37.869999999999997</v>
      </c>
      <c r="I99" s="134">
        <v>7.74</v>
      </c>
      <c r="J99" s="134">
        <v>0.19</v>
      </c>
      <c r="K99" s="134">
        <v>81.3</v>
      </c>
      <c r="L99" s="134">
        <v>22</v>
      </c>
      <c r="M99" s="134">
        <v>78.31</v>
      </c>
      <c r="N99" s="134">
        <v>0</v>
      </c>
      <c r="O99" s="134">
        <v>0</v>
      </c>
      <c r="P99" s="134">
        <v>0.97</v>
      </c>
      <c r="Q99" s="134">
        <v>5.35</v>
      </c>
    </row>
    <row r="100" spans="1:21">
      <c r="A100" s="112" t="s">
        <v>3016</v>
      </c>
      <c r="B100" s="134">
        <v>34.64</v>
      </c>
      <c r="C100" s="134">
        <v>32.450000000000003</v>
      </c>
      <c r="D100" s="134">
        <v>46.09</v>
      </c>
      <c r="E100" s="134">
        <v>8.99</v>
      </c>
      <c r="F100" s="134">
        <v>2.4500000000000002</v>
      </c>
      <c r="G100" s="134">
        <v>101.17</v>
      </c>
      <c r="H100" s="134">
        <v>37.840000000000003</v>
      </c>
      <c r="I100" s="134">
        <v>7.69</v>
      </c>
      <c r="J100" s="134">
        <v>0.15</v>
      </c>
      <c r="K100" s="134">
        <v>87.8</v>
      </c>
      <c r="L100" s="134">
        <v>21.75</v>
      </c>
      <c r="M100" s="134">
        <v>79.19</v>
      </c>
      <c r="N100" s="134">
        <v>0</v>
      </c>
      <c r="O100" s="134">
        <v>0</v>
      </c>
      <c r="P100" s="134">
        <v>0.96</v>
      </c>
      <c r="Q100" s="134">
        <v>5.37</v>
      </c>
    </row>
    <row r="101" spans="1:21">
      <c r="A101" s="112" t="s">
        <v>3017</v>
      </c>
      <c r="B101" s="134">
        <v>34.69</v>
      </c>
      <c r="C101" s="134">
        <v>33.479999999999997</v>
      </c>
      <c r="D101" s="134">
        <v>46.66</v>
      </c>
      <c r="E101" s="134">
        <v>9.17</v>
      </c>
      <c r="F101" s="134">
        <v>2.46</v>
      </c>
      <c r="G101" s="134">
        <v>95.07</v>
      </c>
      <c r="H101" s="134">
        <v>36.119999999999997</v>
      </c>
      <c r="I101" s="134">
        <v>7.63</v>
      </c>
      <c r="J101" s="134">
        <v>0.28999999999999998</v>
      </c>
      <c r="K101" s="134">
        <v>63.5</v>
      </c>
      <c r="L101" s="134">
        <v>21.59</v>
      </c>
      <c r="M101" s="134">
        <v>78.59</v>
      </c>
      <c r="N101" s="134">
        <v>0</v>
      </c>
      <c r="O101" s="134">
        <v>0</v>
      </c>
      <c r="P101" s="134">
        <v>0.94</v>
      </c>
      <c r="Q101" s="134">
        <v>5.33</v>
      </c>
    </row>
    <row r="102" spans="1:21">
      <c r="A102" s="112" t="s">
        <v>3018</v>
      </c>
      <c r="B102" s="134">
        <v>35.29</v>
      </c>
      <c r="C102" s="134">
        <v>30.78</v>
      </c>
      <c r="D102" s="134">
        <v>45.73</v>
      </c>
      <c r="E102" s="134">
        <v>8.84</v>
      </c>
      <c r="F102" s="134">
        <v>2.96</v>
      </c>
      <c r="G102" s="134">
        <v>95.07</v>
      </c>
      <c r="H102" s="134">
        <v>36.119999999999997</v>
      </c>
      <c r="I102" s="134">
        <v>7.56</v>
      </c>
      <c r="J102" s="134">
        <v>0.27</v>
      </c>
      <c r="K102" s="134">
        <v>69.25</v>
      </c>
      <c r="L102" s="134">
        <v>21.53</v>
      </c>
      <c r="M102" s="134">
        <v>78.180000000000007</v>
      </c>
      <c r="N102" s="134">
        <v>0</v>
      </c>
      <c r="O102" s="134">
        <v>0</v>
      </c>
      <c r="P102" s="134">
        <v>0.92</v>
      </c>
      <c r="Q102" s="134">
        <v>5.34</v>
      </c>
    </row>
    <row r="103" spans="1:21">
      <c r="A103" s="112" t="s">
        <v>3019</v>
      </c>
      <c r="B103" s="134">
        <v>35.56</v>
      </c>
      <c r="C103" s="134">
        <v>27.09</v>
      </c>
      <c r="D103" s="134">
        <v>44.02</v>
      </c>
      <c r="E103" s="134">
        <v>8.19</v>
      </c>
      <c r="F103" s="134">
        <v>2.98</v>
      </c>
      <c r="G103" s="134">
        <v>95.07</v>
      </c>
      <c r="H103" s="134">
        <v>36.119999999999997</v>
      </c>
      <c r="I103" s="134">
        <v>7.52</v>
      </c>
      <c r="J103" s="134">
        <v>0.16</v>
      </c>
      <c r="K103" s="134">
        <v>69.760000000000005</v>
      </c>
      <c r="L103" s="134">
        <v>21.4</v>
      </c>
      <c r="M103" s="134">
        <v>79.37</v>
      </c>
      <c r="N103" s="134">
        <v>0</v>
      </c>
      <c r="O103" s="134">
        <v>0</v>
      </c>
      <c r="P103" s="134">
        <v>0.88</v>
      </c>
      <c r="Q103" s="134">
        <v>5.35</v>
      </c>
    </row>
    <row r="104" spans="1:21">
      <c r="A104" s="112" t="s">
        <v>3020</v>
      </c>
      <c r="B104" s="134">
        <v>35.43</v>
      </c>
      <c r="C104" s="134">
        <v>25.31</v>
      </c>
      <c r="D104" s="134">
        <v>42.98</v>
      </c>
      <c r="E104" s="134">
        <v>8.16</v>
      </c>
      <c r="F104" s="134">
        <v>2.87</v>
      </c>
      <c r="G104" s="134">
        <v>94.94</v>
      </c>
      <c r="H104" s="134">
        <v>36.07</v>
      </c>
      <c r="I104" s="134">
        <v>7.49</v>
      </c>
      <c r="J104" s="134">
        <v>0.06</v>
      </c>
      <c r="K104" s="134">
        <v>100.28</v>
      </c>
      <c r="L104" s="134">
        <v>21.14</v>
      </c>
      <c r="M104" s="134">
        <v>81.27</v>
      </c>
      <c r="N104" s="134">
        <v>0</v>
      </c>
      <c r="O104" s="134">
        <v>0</v>
      </c>
      <c r="P104" s="134">
        <v>0.86</v>
      </c>
      <c r="Q104" s="134">
        <v>5.33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12.22</v>
      </c>
      <c r="C106" s="183">
        <f>MIN(C9:C104)</f>
        <v>22.91</v>
      </c>
      <c r="D106" s="183">
        <f t="shared" ref="D106:Q106" si="0">MIN(D9:D104)</f>
        <v>23.36</v>
      </c>
      <c r="E106" s="183">
        <f t="shared" si="0"/>
        <v>6.98</v>
      </c>
      <c r="F106" s="183">
        <f t="shared" si="0"/>
        <v>2.34</v>
      </c>
      <c r="G106" s="183">
        <f t="shared" si="0"/>
        <v>51.32</v>
      </c>
      <c r="H106" s="183">
        <f t="shared" si="0"/>
        <v>20.94</v>
      </c>
      <c r="I106" s="183">
        <f t="shared" si="0"/>
        <v>5.89</v>
      </c>
      <c r="J106" s="183">
        <f t="shared" si="0"/>
        <v>0.06</v>
      </c>
      <c r="K106" s="183">
        <f t="shared" si="0"/>
        <v>22.59</v>
      </c>
      <c r="L106" s="183">
        <f t="shared" si="0"/>
        <v>17.47</v>
      </c>
      <c r="M106" s="183">
        <f t="shared" si="0"/>
        <v>47.33</v>
      </c>
      <c r="N106" s="183">
        <f t="shared" si="0"/>
        <v>0</v>
      </c>
      <c r="O106" s="183">
        <f t="shared" si="0"/>
        <v>0</v>
      </c>
      <c r="P106" s="183">
        <f t="shared" si="0"/>
        <v>0.62</v>
      </c>
      <c r="Q106" s="183">
        <f t="shared" si="0"/>
        <v>4.5999999999999996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46.73</v>
      </c>
      <c r="C107" s="184">
        <f t="shared" ref="C107:Q107" si="1">MAX(C9:C104)</f>
        <v>33.479999999999997</v>
      </c>
      <c r="D107" s="184">
        <f t="shared" si="1"/>
        <v>54.36</v>
      </c>
      <c r="E107" s="184">
        <f t="shared" si="1"/>
        <v>11.51</v>
      </c>
      <c r="F107" s="184">
        <f t="shared" si="1"/>
        <v>6.22</v>
      </c>
      <c r="G107" s="184">
        <f t="shared" si="1"/>
        <v>112.55</v>
      </c>
      <c r="H107" s="184">
        <f t="shared" si="1"/>
        <v>41.64</v>
      </c>
      <c r="I107" s="184">
        <f t="shared" si="1"/>
        <v>11.03</v>
      </c>
      <c r="J107" s="184">
        <f t="shared" si="1"/>
        <v>0.76</v>
      </c>
      <c r="K107" s="184">
        <f t="shared" si="1"/>
        <v>162.69999999999999</v>
      </c>
      <c r="L107" s="184">
        <f t="shared" si="1"/>
        <v>28.06</v>
      </c>
      <c r="M107" s="184">
        <f t="shared" si="1"/>
        <v>103.64</v>
      </c>
      <c r="N107" s="184">
        <f t="shared" si="1"/>
        <v>538.6</v>
      </c>
      <c r="O107" s="184">
        <f t="shared" si="1"/>
        <v>0</v>
      </c>
      <c r="P107" s="184">
        <f t="shared" si="1"/>
        <v>1.27</v>
      </c>
      <c r="Q107" s="184">
        <f t="shared" si="1"/>
        <v>5.7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28.825104166666666</v>
      </c>
      <c r="C108" s="183">
        <f t="shared" ref="C108:Q108" si="2">AVERAGE(C9:C104)</f>
        <v>28.028333333333347</v>
      </c>
      <c r="D108" s="183">
        <f t="shared" si="2"/>
        <v>39.110624999999992</v>
      </c>
      <c r="E108" s="183">
        <f t="shared" si="2"/>
        <v>8.8210416666666678</v>
      </c>
      <c r="F108" s="183">
        <f t="shared" si="2"/>
        <v>2.9293749999999998</v>
      </c>
      <c r="G108" s="183">
        <f t="shared" si="2"/>
        <v>79.603020833333332</v>
      </c>
      <c r="H108" s="183">
        <f t="shared" si="2"/>
        <v>30.962187499999995</v>
      </c>
      <c r="I108" s="183">
        <f t="shared" si="2"/>
        <v>7.9671874999999988</v>
      </c>
      <c r="J108" s="183">
        <f t="shared" si="2"/>
        <v>0.40145833333333325</v>
      </c>
      <c r="K108" s="183">
        <f t="shared" si="2"/>
        <v>51.934166666666677</v>
      </c>
      <c r="L108" s="183">
        <f t="shared" si="2"/>
        <v>22.06260416666667</v>
      </c>
      <c r="M108" s="183">
        <f t="shared" si="2"/>
        <v>78.621249999999989</v>
      </c>
      <c r="N108" s="183">
        <f t="shared" si="2"/>
        <v>103.32604166666665</v>
      </c>
      <c r="O108" s="183">
        <f t="shared" si="2"/>
        <v>0</v>
      </c>
      <c r="P108" s="183">
        <f t="shared" si="2"/>
        <v>0.92593749999999975</v>
      </c>
      <c r="Q108" s="183">
        <f t="shared" si="2"/>
        <v>5.1609375000000002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10.096745280148115</v>
      </c>
      <c r="C109" s="183">
        <f t="shared" ref="C109:Q109" si="3">STDEV(C9:C104)</f>
        <v>3.0316369268334276</v>
      </c>
      <c r="D109" s="183">
        <f t="shared" si="3"/>
        <v>8.6165831318697013</v>
      </c>
      <c r="E109" s="183">
        <f t="shared" si="3"/>
        <v>0.80020192078940822</v>
      </c>
      <c r="F109" s="183">
        <f t="shared" si="3"/>
        <v>0.78236996565429262</v>
      </c>
      <c r="G109" s="183">
        <f t="shared" si="3"/>
        <v>19.580311653870972</v>
      </c>
      <c r="H109" s="183">
        <f t="shared" si="3"/>
        <v>5.7763403462791869</v>
      </c>
      <c r="I109" s="183">
        <f t="shared" si="3"/>
        <v>1.6142077757900515</v>
      </c>
      <c r="J109" s="183">
        <f t="shared" si="3"/>
        <v>0.16576444394740728</v>
      </c>
      <c r="K109" s="183">
        <f t="shared" si="3"/>
        <v>23.329370315082333</v>
      </c>
      <c r="L109" s="183">
        <f t="shared" si="3"/>
        <v>3.7704670225294632</v>
      </c>
      <c r="M109" s="183">
        <f t="shared" si="3"/>
        <v>20.061169155728166</v>
      </c>
      <c r="N109" s="183">
        <f t="shared" si="3"/>
        <v>172.78894046284307</v>
      </c>
      <c r="O109" s="183">
        <f t="shared" si="3"/>
        <v>0</v>
      </c>
      <c r="P109" s="183">
        <f t="shared" si="3"/>
        <v>0.15472609499914616</v>
      </c>
      <c r="Q109" s="183">
        <f t="shared" si="3"/>
        <v>0.31203939739447845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2" t="s">
        <v>56</v>
      </c>
      <c r="C115" s="192"/>
      <c r="D115" s="19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tabSelected="1" zoomScale="85" zoomScaleNormal="85" workbookViewId="0">
      <pane ySplit="1" topLeftCell="A2" activePane="bottomLeft" state="frozen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 t="str">
        <f>$A$9</f>
        <v>30/11/2023 00:15</v>
      </c>
      <c r="C2" s="191" t="s">
        <v>3</v>
      </c>
      <c r="D2" s="191"/>
      <c r="E2" s="191"/>
      <c r="F2" s="191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91" t="s">
        <v>11</v>
      </c>
      <c r="D3" s="191"/>
      <c r="E3" s="191"/>
      <c r="F3" s="191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91" t="s">
        <v>18</v>
      </c>
      <c r="D4" s="191"/>
      <c r="E4" s="191"/>
      <c r="F4" s="191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112" t="s">
        <v>3021</v>
      </c>
      <c r="B9" s="134">
        <v>35.56</v>
      </c>
      <c r="C9" s="134">
        <v>25.62</v>
      </c>
      <c r="D9" s="134">
        <v>43.26</v>
      </c>
      <c r="E9" s="134">
        <v>7.91</v>
      </c>
      <c r="F9" s="134">
        <v>2.5</v>
      </c>
      <c r="G9" s="134">
        <v>89.55</v>
      </c>
      <c r="H9" s="134">
        <v>33.090000000000003</v>
      </c>
      <c r="I9" s="134">
        <v>7.46</v>
      </c>
      <c r="J9" s="134">
        <v>0.09</v>
      </c>
      <c r="K9" s="134">
        <v>181.6</v>
      </c>
      <c r="L9" s="134">
        <v>20.75</v>
      </c>
      <c r="M9" s="134">
        <v>83.35</v>
      </c>
      <c r="N9" s="134">
        <v>0</v>
      </c>
      <c r="O9" s="134">
        <v>0</v>
      </c>
      <c r="P9" s="134">
        <v>0.84</v>
      </c>
      <c r="Q9" s="134">
        <v>5.31</v>
      </c>
    </row>
    <row r="10" spans="1:21" customFormat="1">
      <c r="A10" s="112" t="s">
        <v>3022</v>
      </c>
      <c r="B10" s="134">
        <v>35.21</v>
      </c>
      <c r="C10" s="134">
        <v>26.42</v>
      </c>
      <c r="D10" s="134">
        <v>43.39</v>
      </c>
      <c r="E10" s="134">
        <v>8.09</v>
      </c>
      <c r="F10" s="134">
        <v>2.44</v>
      </c>
      <c r="G10" s="134">
        <v>89.55</v>
      </c>
      <c r="H10" s="134">
        <v>33.090000000000003</v>
      </c>
      <c r="I10" s="134">
        <v>7.41</v>
      </c>
      <c r="J10" s="134">
        <v>0.12</v>
      </c>
      <c r="K10" s="134">
        <v>183.97</v>
      </c>
      <c r="L10" s="134">
        <v>20.43</v>
      </c>
      <c r="M10" s="134">
        <v>85.06</v>
      </c>
      <c r="N10" s="134">
        <v>0</v>
      </c>
      <c r="O10" s="134">
        <v>0</v>
      </c>
      <c r="P10" s="134">
        <v>0.85</v>
      </c>
      <c r="Q10" s="134">
        <v>5.29</v>
      </c>
    </row>
    <row r="11" spans="1:21" customFormat="1">
      <c r="A11" s="112" t="s">
        <v>3023</v>
      </c>
      <c r="B11" s="134">
        <v>34.83</v>
      </c>
      <c r="C11" s="134">
        <v>27.05</v>
      </c>
      <c r="D11" s="134">
        <v>43.42</v>
      </c>
      <c r="E11" s="134">
        <v>8.9600000000000009</v>
      </c>
      <c r="F11" s="134">
        <v>2.5099999999999998</v>
      </c>
      <c r="G11" s="134">
        <v>89.55</v>
      </c>
      <c r="H11" s="134">
        <v>33.090000000000003</v>
      </c>
      <c r="I11" s="134">
        <v>7.34</v>
      </c>
      <c r="J11" s="134">
        <v>0.15</v>
      </c>
      <c r="K11" s="134">
        <v>199.44</v>
      </c>
      <c r="L11" s="134">
        <v>20.29</v>
      </c>
      <c r="M11" s="134">
        <v>86.55</v>
      </c>
      <c r="N11" s="134">
        <v>0</v>
      </c>
      <c r="O11" s="134">
        <v>0</v>
      </c>
      <c r="P11" s="134">
        <v>0.85</v>
      </c>
      <c r="Q11" s="134">
        <v>5.28</v>
      </c>
    </row>
    <row r="12" spans="1:21" customFormat="1">
      <c r="A12" s="112" t="s">
        <v>3024</v>
      </c>
      <c r="B12" s="134">
        <v>34.44</v>
      </c>
      <c r="C12" s="134">
        <v>26.93</v>
      </c>
      <c r="D12" s="134">
        <v>43.04</v>
      </c>
      <c r="E12" s="134">
        <v>8.5299999999999994</v>
      </c>
      <c r="F12" s="134">
        <v>2.52</v>
      </c>
      <c r="G12" s="134">
        <v>89.27</v>
      </c>
      <c r="H12" s="134">
        <v>33.049999999999997</v>
      </c>
      <c r="I12" s="134">
        <v>7.26</v>
      </c>
      <c r="J12" s="134">
        <v>0.13</v>
      </c>
      <c r="K12" s="134">
        <v>265.93</v>
      </c>
      <c r="L12" s="134">
        <v>19.93</v>
      </c>
      <c r="M12" s="134">
        <v>89.7</v>
      </c>
      <c r="N12" s="134">
        <v>0</v>
      </c>
      <c r="O12" s="134">
        <v>0</v>
      </c>
      <c r="P12" s="134">
        <v>0.83</v>
      </c>
      <c r="Q12" s="134">
        <v>5.28</v>
      </c>
    </row>
    <row r="13" spans="1:21" customFormat="1">
      <c r="A13" s="112" t="s">
        <v>3025</v>
      </c>
      <c r="B13" s="134">
        <v>34.26</v>
      </c>
      <c r="C13" s="134">
        <v>26.92</v>
      </c>
      <c r="D13" s="134">
        <v>42.89</v>
      </c>
      <c r="E13" s="134">
        <v>8.4600000000000009</v>
      </c>
      <c r="F13" s="134">
        <v>2.54</v>
      </c>
      <c r="G13" s="134">
        <v>76.88</v>
      </c>
      <c r="H13" s="134">
        <v>30.29</v>
      </c>
      <c r="I13" s="134">
        <v>7.16</v>
      </c>
      <c r="J13" s="134">
        <v>0.04</v>
      </c>
      <c r="K13" s="134">
        <v>89.77</v>
      </c>
      <c r="L13" s="134">
        <v>19.84</v>
      </c>
      <c r="M13" s="134">
        <v>89.22</v>
      </c>
      <c r="N13" s="134">
        <v>0</v>
      </c>
      <c r="O13" s="134">
        <v>0</v>
      </c>
      <c r="P13" s="134">
        <v>0.83</v>
      </c>
      <c r="Q13" s="134">
        <v>5.27</v>
      </c>
    </row>
    <row r="14" spans="1:21" customFormat="1">
      <c r="A14" s="112" t="s">
        <v>3026</v>
      </c>
      <c r="B14" s="134">
        <v>34.85</v>
      </c>
      <c r="C14" s="134">
        <v>26.77</v>
      </c>
      <c r="D14" s="134">
        <v>43.29</v>
      </c>
      <c r="E14" s="134">
        <v>8.9499999999999993</v>
      </c>
      <c r="F14" s="134">
        <v>2.72</v>
      </c>
      <c r="G14" s="134">
        <v>76.88</v>
      </c>
      <c r="H14" s="134">
        <v>30.3</v>
      </c>
      <c r="I14" s="134">
        <v>7.09</v>
      </c>
      <c r="J14" s="134">
        <v>0.12</v>
      </c>
      <c r="K14" s="134">
        <v>141.13999999999999</v>
      </c>
      <c r="L14" s="134">
        <v>19.940000000000001</v>
      </c>
      <c r="M14" s="134">
        <v>88.86</v>
      </c>
      <c r="N14" s="134">
        <v>0</v>
      </c>
      <c r="O14" s="134">
        <v>0</v>
      </c>
      <c r="P14" s="134">
        <v>0.81</v>
      </c>
      <c r="Q14" s="134">
        <v>5.29</v>
      </c>
    </row>
    <row r="15" spans="1:21" customFormat="1">
      <c r="A15" s="112" t="s">
        <v>3027</v>
      </c>
      <c r="B15" s="134">
        <v>35.5</v>
      </c>
      <c r="C15" s="134">
        <v>26.78</v>
      </c>
      <c r="D15" s="134">
        <v>43.81</v>
      </c>
      <c r="E15" s="134">
        <v>8.18</v>
      </c>
      <c r="F15" s="134">
        <v>2.56</v>
      </c>
      <c r="G15" s="134">
        <v>76.88</v>
      </c>
      <c r="H15" s="134">
        <v>30.3</v>
      </c>
      <c r="I15" s="134">
        <v>7.03</v>
      </c>
      <c r="J15" s="134">
        <v>0.08</v>
      </c>
      <c r="K15" s="134">
        <v>155.41</v>
      </c>
      <c r="L15" s="134">
        <v>19.98</v>
      </c>
      <c r="M15" s="134">
        <v>88.68</v>
      </c>
      <c r="N15" s="134">
        <v>0</v>
      </c>
      <c r="O15" s="134">
        <v>0</v>
      </c>
      <c r="P15" s="134">
        <v>0.81</v>
      </c>
      <c r="Q15" s="134">
        <v>5.31</v>
      </c>
    </row>
    <row r="16" spans="1:21" customFormat="1">
      <c r="A16" s="112" t="s">
        <v>3028</v>
      </c>
      <c r="B16" s="134">
        <v>36.17</v>
      </c>
      <c r="C16" s="134">
        <v>26.73</v>
      </c>
      <c r="D16" s="134">
        <v>44.32</v>
      </c>
      <c r="E16" s="134">
        <v>8.15</v>
      </c>
      <c r="F16" s="134">
        <v>2.58</v>
      </c>
      <c r="G16" s="134">
        <v>76.78</v>
      </c>
      <c r="H16" s="134">
        <v>30.26</v>
      </c>
      <c r="I16" s="134">
        <v>6.94</v>
      </c>
      <c r="J16" s="134">
        <v>0.13</v>
      </c>
      <c r="K16" s="134">
        <v>75.12</v>
      </c>
      <c r="L16" s="134">
        <v>19.98</v>
      </c>
      <c r="M16" s="134">
        <v>87.46</v>
      </c>
      <c r="N16" s="134">
        <v>0</v>
      </c>
      <c r="O16" s="134">
        <v>0</v>
      </c>
      <c r="P16" s="134">
        <v>0.8</v>
      </c>
      <c r="Q16" s="134">
        <v>5.31</v>
      </c>
    </row>
    <row r="17" spans="1:17" customFormat="1">
      <c r="A17" s="112" t="s">
        <v>3029</v>
      </c>
      <c r="B17" s="134">
        <v>36.700000000000003</v>
      </c>
      <c r="C17" s="134">
        <v>26.91</v>
      </c>
      <c r="D17" s="134">
        <v>44.84</v>
      </c>
      <c r="E17" s="134">
        <v>6.2</v>
      </c>
      <c r="F17" s="134">
        <v>2.6</v>
      </c>
      <c r="G17" s="134">
        <v>72.75</v>
      </c>
      <c r="H17" s="134">
        <v>28.31</v>
      </c>
      <c r="I17" s="134">
        <v>6.87</v>
      </c>
      <c r="J17" s="134">
        <v>0.27</v>
      </c>
      <c r="K17" s="134">
        <v>59.06</v>
      </c>
      <c r="L17" s="134">
        <v>20.18</v>
      </c>
      <c r="M17" s="134">
        <v>85.68</v>
      </c>
      <c r="N17" s="134">
        <v>0</v>
      </c>
      <c r="O17" s="134">
        <v>0</v>
      </c>
      <c r="P17" s="134">
        <v>0.8</v>
      </c>
      <c r="Q17" s="134">
        <v>5.32</v>
      </c>
    </row>
    <row r="18" spans="1:17" customFormat="1">
      <c r="A18" s="112" t="s">
        <v>3030</v>
      </c>
      <c r="B18" s="134">
        <v>36.61</v>
      </c>
      <c r="C18" s="134">
        <v>26.63</v>
      </c>
      <c r="D18" s="134">
        <v>44.63</v>
      </c>
      <c r="E18" s="134">
        <v>7.22</v>
      </c>
      <c r="F18" s="134">
        <v>2.6</v>
      </c>
      <c r="G18" s="134">
        <v>72.75</v>
      </c>
      <c r="H18" s="134">
        <v>28.31</v>
      </c>
      <c r="I18" s="134">
        <v>6.81</v>
      </c>
      <c r="J18" s="134">
        <v>0.06</v>
      </c>
      <c r="K18" s="134">
        <v>110.31</v>
      </c>
      <c r="L18" s="134">
        <v>20.239999999999998</v>
      </c>
      <c r="M18" s="134">
        <v>85.49</v>
      </c>
      <c r="N18" s="134">
        <v>0</v>
      </c>
      <c r="O18" s="134">
        <v>0</v>
      </c>
      <c r="P18" s="134">
        <v>0.78</v>
      </c>
      <c r="Q18" s="134">
        <v>5.33</v>
      </c>
    </row>
    <row r="19" spans="1:17" customFormat="1">
      <c r="A19" s="112" t="s">
        <v>3031</v>
      </c>
      <c r="B19" s="134">
        <v>36.08</v>
      </c>
      <c r="C19" s="134">
        <v>24.62</v>
      </c>
      <c r="D19" s="134">
        <v>43.14</v>
      </c>
      <c r="E19" s="134">
        <v>7.33</v>
      </c>
      <c r="F19" s="134">
        <v>2.77</v>
      </c>
      <c r="G19" s="134">
        <v>72.75</v>
      </c>
      <c r="H19" s="134">
        <v>28.31</v>
      </c>
      <c r="I19" s="134">
        <v>6.75</v>
      </c>
      <c r="J19" s="134">
        <v>0</v>
      </c>
      <c r="K19" s="134">
        <v>325.7</v>
      </c>
      <c r="L19" s="134">
        <v>20.079999999999998</v>
      </c>
      <c r="M19" s="134">
        <v>86.73</v>
      </c>
      <c r="N19" s="134">
        <v>0</v>
      </c>
      <c r="O19" s="134">
        <v>0</v>
      </c>
      <c r="P19" s="134">
        <v>0.76</v>
      </c>
      <c r="Q19" s="134">
        <v>5.31</v>
      </c>
    </row>
    <row r="20" spans="1:17" customFormat="1">
      <c r="A20" s="112" t="s">
        <v>3032</v>
      </c>
      <c r="B20" s="134">
        <v>35.67</v>
      </c>
      <c r="C20" s="134">
        <v>23.54</v>
      </c>
      <c r="D20" s="134">
        <v>42.26</v>
      </c>
      <c r="E20" s="134">
        <v>6.99</v>
      </c>
      <c r="F20" s="134">
        <v>2.73</v>
      </c>
      <c r="G20" s="134">
        <v>72.64</v>
      </c>
      <c r="H20" s="134">
        <v>28.28</v>
      </c>
      <c r="I20" s="134">
        <v>6.67</v>
      </c>
      <c r="J20" s="134">
        <v>0.16</v>
      </c>
      <c r="K20" s="134">
        <v>11.09</v>
      </c>
      <c r="L20" s="134">
        <v>19.66</v>
      </c>
      <c r="M20" s="134">
        <v>88.53</v>
      </c>
      <c r="N20" s="134">
        <v>0</v>
      </c>
      <c r="O20" s="134">
        <v>0</v>
      </c>
      <c r="P20" s="134">
        <v>0.74</v>
      </c>
      <c r="Q20" s="134">
        <v>5.31</v>
      </c>
    </row>
    <row r="21" spans="1:17" customFormat="1">
      <c r="A21" s="112" t="s">
        <v>3033</v>
      </c>
      <c r="B21" s="134">
        <v>35.630000000000003</v>
      </c>
      <c r="C21" s="134">
        <v>25.85</v>
      </c>
      <c r="D21" s="134">
        <v>43.43</v>
      </c>
      <c r="E21" s="134">
        <v>6.47</v>
      </c>
      <c r="F21" s="134">
        <v>2.54</v>
      </c>
      <c r="G21" s="134">
        <v>68.14</v>
      </c>
      <c r="H21" s="134">
        <v>26.07</v>
      </c>
      <c r="I21" s="134">
        <v>6.58</v>
      </c>
      <c r="J21" s="134">
        <v>0.22</v>
      </c>
      <c r="K21" s="134">
        <v>347.63</v>
      </c>
      <c r="L21" s="134">
        <v>19.47</v>
      </c>
      <c r="M21" s="134">
        <v>89.47</v>
      </c>
      <c r="N21" s="134">
        <v>0</v>
      </c>
      <c r="O21" s="134">
        <v>0</v>
      </c>
      <c r="P21" s="134">
        <v>0.75</v>
      </c>
      <c r="Q21" s="134">
        <v>5.31</v>
      </c>
    </row>
    <row r="22" spans="1:17" customFormat="1">
      <c r="A22" s="112" t="s">
        <v>3034</v>
      </c>
      <c r="B22" s="134">
        <v>36.130000000000003</v>
      </c>
      <c r="C22" s="134">
        <v>23.95</v>
      </c>
      <c r="D22" s="134">
        <v>42.83</v>
      </c>
      <c r="E22" s="134">
        <v>6.43</v>
      </c>
      <c r="F22" s="134">
        <v>2.7</v>
      </c>
      <c r="G22" s="134">
        <v>68.14</v>
      </c>
      <c r="H22" s="134">
        <v>26.07</v>
      </c>
      <c r="I22" s="134">
        <v>6.53</v>
      </c>
      <c r="J22" s="134">
        <v>0.09</v>
      </c>
      <c r="K22" s="134">
        <v>141.81</v>
      </c>
      <c r="L22" s="134">
        <v>19.329999999999998</v>
      </c>
      <c r="M22" s="134">
        <v>91.08</v>
      </c>
      <c r="N22" s="134">
        <v>0</v>
      </c>
      <c r="O22" s="134">
        <v>0</v>
      </c>
      <c r="P22" s="134">
        <v>0.72</v>
      </c>
      <c r="Q22" s="134">
        <v>5.3</v>
      </c>
    </row>
    <row r="23" spans="1:17" customFormat="1">
      <c r="A23" s="112" t="s">
        <v>3035</v>
      </c>
      <c r="B23" s="134">
        <v>36.39</v>
      </c>
      <c r="C23" s="134">
        <v>25.06</v>
      </c>
      <c r="D23" s="134">
        <v>43.63</v>
      </c>
      <c r="E23" s="134">
        <v>6.43</v>
      </c>
      <c r="F23" s="134">
        <v>2.5</v>
      </c>
      <c r="G23" s="134">
        <v>68.14</v>
      </c>
      <c r="H23" s="134">
        <v>26.07</v>
      </c>
      <c r="I23" s="134">
        <v>6.48</v>
      </c>
      <c r="J23" s="134">
        <v>0.2</v>
      </c>
      <c r="K23" s="134">
        <v>39.04</v>
      </c>
      <c r="L23" s="134">
        <v>19.100000000000001</v>
      </c>
      <c r="M23" s="134">
        <v>92.73</v>
      </c>
      <c r="N23" s="134">
        <v>0</v>
      </c>
      <c r="O23" s="134">
        <v>0</v>
      </c>
      <c r="P23" s="134">
        <v>0.72</v>
      </c>
      <c r="Q23" s="134">
        <v>5.28</v>
      </c>
    </row>
    <row r="24" spans="1:17" customFormat="1">
      <c r="A24" s="112" t="s">
        <v>3036</v>
      </c>
      <c r="B24" s="134">
        <v>36.950000000000003</v>
      </c>
      <c r="C24" s="134">
        <v>25.03</v>
      </c>
      <c r="D24" s="134">
        <v>44.06</v>
      </c>
      <c r="E24" s="134">
        <v>6.88</v>
      </c>
      <c r="F24" s="134">
        <v>2.66</v>
      </c>
      <c r="G24" s="134">
        <v>68.11</v>
      </c>
      <c r="H24" s="134">
        <v>26.05</v>
      </c>
      <c r="I24" s="134">
        <v>6.44</v>
      </c>
      <c r="J24" s="134">
        <v>0.18</v>
      </c>
      <c r="K24" s="134">
        <v>50.79</v>
      </c>
      <c r="L24" s="134">
        <v>19.18</v>
      </c>
      <c r="M24" s="134">
        <v>91.82</v>
      </c>
      <c r="N24" s="134">
        <v>0</v>
      </c>
      <c r="O24" s="134">
        <v>0</v>
      </c>
      <c r="P24" s="134">
        <v>0.73</v>
      </c>
      <c r="Q24" s="134">
        <v>5.3</v>
      </c>
    </row>
    <row r="25" spans="1:17" customFormat="1">
      <c r="A25" s="112" t="s">
        <v>3037</v>
      </c>
      <c r="B25" s="134">
        <v>37.49</v>
      </c>
      <c r="C25" s="134">
        <v>25.05</v>
      </c>
      <c r="D25" s="134">
        <v>44.5</v>
      </c>
      <c r="E25" s="134">
        <v>6.87</v>
      </c>
      <c r="F25" s="134">
        <v>2.63</v>
      </c>
      <c r="G25" s="134">
        <v>65.39</v>
      </c>
      <c r="H25" s="134">
        <v>24.61</v>
      </c>
      <c r="I25" s="134">
        <v>6.43</v>
      </c>
      <c r="J25" s="134">
        <v>0.2</v>
      </c>
      <c r="K25" s="134">
        <v>20.65</v>
      </c>
      <c r="L25" s="134">
        <v>19.190000000000001</v>
      </c>
      <c r="M25" s="134">
        <v>91.17</v>
      </c>
      <c r="N25" s="134">
        <v>0</v>
      </c>
      <c r="O25" s="134">
        <v>0</v>
      </c>
      <c r="P25" s="134">
        <v>0.72</v>
      </c>
      <c r="Q25" s="134">
        <v>5.33</v>
      </c>
    </row>
    <row r="26" spans="1:17" customFormat="1">
      <c r="A26" s="112" t="s">
        <v>3038</v>
      </c>
      <c r="B26" s="134">
        <v>37.96</v>
      </c>
      <c r="C26" s="134">
        <v>25.59</v>
      </c>
      <c r="D26" s="134">
        <v>45.16</v>
      </c>
      <c r="E26" s="134">
        <v>7.08</v>
      </c>
      <c r="F26" s="134">
        <v>2.68</v>
      </c>
      <c r="G26" s="134">
        <v>65.39</v>
      </c>
      <c r="H26" s="134">
        <v>24.61</v>
      </c>
      <c r="I26" s="134">
        <v>6.42</v>
      </c>
      <c r="J26" s="134">
        <v>0.11</v>
      </c>
      <c r="K26" s="134">
        <v>44.99</v>
      </c>
      <c r="L26" s="134">
        <v>19.11</v>
      </c>
      <c r="M26" s="134">
        <v>91.74</v>
      </c>
      <c r="N26" s="134">
        <v>0</v>
      </c>
      <c r="O26" s="134">
        <v>0</v>
      </c>
      <c r="P26" s="134">
        <v>0.73</v>
      </c>
      <c r="Q26" s="134">
        <v>5.34</v>
      </c>
    </row>
    <row r="27" spans="1:17" customFormat="1">
      <c r="A27" s="112" t="s">
        <v>3039</v>
      </c>
      <c r="B27" s="134">
        <v>38.049999999999997</v>
      </c>
      <c r="C27" s="134">
        <v>26.03</v>
      </c>
      <c r="D27" s="134">
        <v>45.47</v>
      </c>
      <c r="E27" s="134">
        <v>7.12</v>
      </c>
      <c r="F27" s="134">
        <v>2.65</v>
      </c>
      <c r="G27" s="134">
        <v>65.39</v>
      </c>
      <c r="H27" s="134">
        <v>24.61</v>
      </c>
      <c r="I27" s="134">
        <v>6.43</v>
      </c>
      <c r="J27" s="134">
        <v>0.12</v>
      </c>
      <c r="K27" s="134">
        <v>201.28</v>
      </c>
      <c r="L27" s="134">
        <v>19.059999999999999</v>
      </c>
      <c r="M27" s="134">
        <v>92.59</v>
      </c>
      <c r="N27" s="134">
        <v>0</v>
      </c>
      <c r="O27" s="134">
        <v>0</v>
      </c>
      <c r="P27" s="134">
        <v>0.72</v>
      </c>
      <c r="Q27" s="134">
        <v>5.34</v>
      </c>
    </row>
    <row r="28" spans="1:17" customFormat="1">
      <c r="A28" s="112" t="s">
        <v>3040</v>
      </c>
      <c r="B28" s="134">
        <v>37.67</v>
      </c>
      <c r="C28" s="134">
        <v>25.95</v>
      </c>
      <c r="D28" s="134">
        <v>45.12</v>
      </c>
      <c r="E28" s="134">
        <v>6.48</v>
      </c>
      <c r="F28" s="134">
        <v>2.66</v>
      </c>
      <c r="G28" s="134">
        <v>65.33</v>
      </c>
      <c r="H28" s="134">
        <v>24.63</v>
      </c>
      <c r="I28" s="134">
        <v>6.46</v>
      </c>
      <c r="J28" s="134">
        <v>0.03</v>
      </c>
      <c r="K28" s="134">
        <v>323.55</v>
      </c>
      <c r="L28" s="134">
        <v>18.84</v>
      </c>
      <c r="M28" s="134">
        <v>94.36</v>
      </c>
      <c r="N28" s="134">
        <v>0</v>
      </c>
      <c r="O28" s="134">
        <v>0</v>
      </c>
      <c r="P28" s="134">
        <v>0.72</v>
      </c>
      <c r="Q28" s="134">
        <v>5.33</v>
      </c>
    </row>
    <row r="29" spans="1:17" customFormat="1">
      <c r="A29" s="112" t="s">
        <v>3041</v>
      </c>
      <c r="B29" s="134">
        <v>38.54</v>
      </c>
      <c r="C29" s="134">
        <v>26.54</v>
      </c>
      <c r="D29" s="134">
        <v>46.12</v>
      </c>
      <c r="E29" s="134">
        <v>7.3</v>
      </c>
      <c r="F29" s="134">
        <v>2.4900000000000002</v>
      </c>
      <c r="G29" s="134">
        <v>60.31</v>
      </c>
      <c r="H29" s="134">
        <v>26.12</v>
      </c>
      <c r="I29" s="134">
        <v>6.47</v>
      </c>
      <c r="J29" s="134">
        <v>0.12</v>
      </c>
      <c r="K29" s="134">
        <v>192.43</v>
      </c>
      <c r="L29" s="134">
        <v>18.739999999999998</v>
      </c>
      <c r="M29" s="134">
        <v>95.22</v>
      </c>
      <c r="N29" s="134">
        <v>0</v>
      </c>
      <c r="O29" s="134">
        <v>0</v>
      </c>
      <c r="P29" s="134">
        <v>0.72</v>
      </c>
      <c r="Q29" s="134">
        <v>5.38</v>
      </c>
    </row>
    <row r="30" spans="1:17" customFormat="1">
      <c r="A30" s="112" t="s">
        <v>3042</v>
      </c>
      <c r="B30" s="134">
        <v>40.090000000000003</v>
      </c>
      <c r="C30" s="134">
        <v>26.78</v>
      </c>
      <c r="D30" s="134">
        <v>47.5</v>
      </c>
      <c r="E30" s="134">
        <v>7.19</v>
      </c>
      <c r="F30" s="134">
        <v>2.52</v>
      </c>
      <c r="G30" s="134">
        <v>60.31</v>
      </c>
      <c r="H30" s="134">
        <v>26.12</v>
      </c>
      <c r="I30" s="134">
        <v>6.52</v>
      </c>
      <c r="J30" s="134">
        <v>0.09</v>
      </c>
      <c r="K30" s="134">
        <v>103.36</v>
      </c>
      <c r="L30" s="134">
        <v>18.68</v>
      </c>
      <c r="M30" s="134">
        <v>95.59</v>
      </c>
      <c r="N30" s="134">
        <v>0</v>
      </c>
      <c r="O30" s="134">
        <v>0</v>
      </c>
      <c r="P30" s="134">
        <v>0.72</v>
      </c>
      <c r="Q30" s="134">
        <v>5.41</v>
      </c>
    </row>
    <row r="31" spans="1:17" customFormat="1">
      <c r="A31" s="112" t="s">
        <v>3043</v>
      </c>
      <c r="B31" s="134">
        <v>42</v>
      </c>
      <c r="C31" s="134">
        <v>26.55</v>
      </c>
      <c r="D31" s="134">
        <v>48.9</v>
      </c>
      <c r="E31" s="134">
        <v>7.43</v>
      </c>
      <c r="F31" s="134">
        <v>2.59</v>
      </c>
      <c r="G31" s="134">
        <v>60.31</v>
      </c>
      <c r="H31" s="134">
        <v>26.12</v>
      </c>
      <c r="I31" s="134">
        <v>6.6</v>
      </c>
      <c r="J31" s="134">
        <v>0.17</v>
      </c>
      <c r="K31" s="134">
        <v>153.08000000000001</v>
      </c>
      <c r="L31" s="134">
        <v>18.71</v>
      </c>
      <c r="M31" s="134">
        <v>95.21</v>
      </c>
      <c r="N31" s="134">
        <v>0</v>
      </c>
      <c r="O31" s="134">
        <v>0</v>
      </c>
      <c r="P31" s="134">
        <v>0.72</v>
      </c>
      <c r="Q31" s="134">
        <v>5.47</v>
      </c>
    </row>
    <row r="32" spans="1:17" customFormat="1">
      <c r="A32" s="112" t="s">
        <v>3044</v>
      </c>
      <c r="B32" s="134">
        <v>43.29</v>
      </c>
      <c r="C32" s="134">
        <v>26.95</v>
      </c>
      <c r="D32" s="134">
        <v>50.15</v>
      </c>
      <c r="E32" s="134">
        <v>7.99</v>
      </c>
      <c r="F32" s="134">
        <v>2.58</v>
      </c>
      <c r="G32" s="134">
        <v>60.34</v>
      </c>
      <c r="H32" s="134">
        <v>26.09</v>
      </c>
      <c r="I32" s="134">
        <v>6.7</v>
      </c>
      <c r="J32" s="134">
        <v>0.22</v>
      </c>
      <c r="K32" s="134">
        <v>166.33</v>
      </c>
      <c r="L32" s="134">
        <v>18.690000000000001</v>
      </c>
      <c r="M32" s="134">
        <v>95.58</v>
      </c>
      <c r="N32" s="134">
        <v>0</v>
      </c>
      <c r="O32" s="134">
        <v>0</v>
      </c>
      <c r="P32" s="134">
        <v>0.72</v>
      </c>
      <c r="Q32" s="134">
        <v>5.53</v>
      </c>
    </row>
    <row r="33" spans="1:17" customFormat="1">
      <c r="A33" s="112" t="s">
        <v>3045</v>
      </c>
      <c r="B33" s="134">
        <v>43.55</v>
      </c>
      <c r="C33" s="134">
        <v>27.29</v>
      </c>
      <c r="D33" s="134">
        <v>50.54</v>
      </c>
      <c r="E33" s="134">
        <v>8.11</v>
      </c>
      <c r="F33" s="134">
        <v>2.52</v>
      </c>
      <c r="G33" s="134">
        <v>62.65</v>
      </c>
      <c r="H33" s="134">
        <v>24.37</v>
      </c>
      <c r="I33" s="134">
        <v>6.75</v>
      </c>
      <c r="J33" s="134">
        <v>0.13</v>
      </c>
      <c r="K33" s="134">
        <v>245.31</v>
      </c>
      <c r="L33" s="134">
        <v>18.48</v>
      </c>
      <c r="M33" s="134">
        <v>96.56</v>
      </c>
      <c r="N33" s="134">
        <v>0</v>
      </c>
      <c r="O33" s="134">
        <v>0</v>
      </c>
      <c r="P33" s="134">
        <v>0.72</v>
      </c>
      <c r="Q33" s="134">
        <v>5.53</v>
      </c>
    </row>
    <row r="34" spans="1:17" customFormat="1">
      <c r="A34" s="112" t="s">
        <v>3046</v>
      </c>
      <c r="B34" s="134">
        <v>43.18</v>
      </c>
      <c r="C34" s="134">
        <v>26.92</v>
      </c>
      <c r="D34" s="134">
        <v>50.04</v>
      </c>
      <c r="E34" s="134">
        <v>7.23</v>
      </c>
      <c r="F34" s="134">
        <v>2.5099999999999998</v>
      </c>
      <c r="G34" s="134">
        <v>62.65</v>
      </c>
      <c r="H34" s="134">
        <v>24.37</v>
      </c>
      <c r="I34" s="134">
        <v>6.81</v>
      </c>
      <c r="J34" s="134">
        <v>0.23</v>
      </c>
      <c r="K34" s="134">
        <v>309.08999999999997</v>
      </c>
      <c r="L34" s="134">
        <v>18.22</v>
      </c>
      <c r="M34" s="134">
        <v>97.32</v>
      </c>
      <c r="N34" s="134">
        <v>0.2</v>
      </c>
      <c r="O34" s="134">
        <v>0</v>
      </c>
      <c r="P34" s="134">
        <v>0.72</v>
      </c>
      <c r="Q34" s="134">
        <v>5.52</v>
      </c>
    </row>
    <row r="35" spans="1:17" customFormat="1">
      <c r="A35" s="112" t="s">
        <v>3047</v>
      </c>
      <c r="B35" s="134">
        <v>43.93</v>
      </c>
      <c r="C35" s="134">
        <v>26.98</v>
      </c>
      <c r="D35" s="134">
        <v>50.68</v>
      </c>
      <c r="E35" s="134">
        <v>7.82</v>
      </c>
      <c r="F35" s="134">
        <v>2.5099999999999998</v>
      </c>
      <c r="G35" s="134">
        <v>62.65</v>
      </c>
      <c r="H35" s="134">
        <v>24.37</v>
      </c>
      <c r="I35" s="134">
        <v>6.9</v>
      </c>
      <c r="J35" s="134">
        <v>0.22</v>
      </c>
      <c r="K35" s="134">
        <v>27.19</v>
      </c>
      <c r="L35" s="134">
        <v>18.329999999999998</v>
      </c>
      <c r="M35" s="134">
        <v>97.46</v>
      </c>
      <c r="N35" s="134">
        <v>6.9</v>
      </c>
      <c r="O35" s="134">
        <v>0</v>
      </c>
      <c r="P35" s="134">
        <v>0.72</v>
      </c>
      <c r="Q35" s="134">
        <v>5.53</v>
      </c>
    </row>
    <row r="36" spans="1:17" customFormat="1">
      <c r="A36" s="112" t="s">
        <v>3048</v>
      </c>
      <c r="B36" s="134">
        <v>45.29</v>
      </c>
      <c r="C36" s="134">
        <v>27.63</v>
      </c>
      <c r="D36" s="134">
        <v>52.11</v>
      </c>
      <c r="E36" s="134">
        <v>7.92</v>
      </c>
      <c r="F36" s="134">
        <v>2.4700000000000002</v>
      </c>
      <c r="G36" s="134">
        <v>62.66</v>
      </c>
      <c r="H36" s="134">
        <v>24.39</v>
      </c>
      <c r="I36" s="134">
        <v>7.01</v>
      </c>
      <c r="J36" s="134">
        <v>0.47</v>
      </c>
      <c r="K36" s="134">
        <v>37.619999999999997</v>
      </c>
      <c r="L36" s="134">
        <v>18.68</v>
      </c>
      <c r="M36" s="134">
        <v>95.91</v>
      </c>
      <c r="N36" s="134">
        <v>18.3</v>
      </c>
      <c r="O36" s="134">
        <v>0</v>
      </c>
      <c r="P36" s="134">
        <v>0.75</v>
      </c>
      <c r="Q36" s="134">
        <v>5.56</v>
      </c>
    </row>
    <row r="37" spans="1:17" customFormat="1">
      <c r="A37" s="112" t="s">
        <v>3049</v>
      </c>
      <c r="B37" s="134">
        <v>45.8</v>
      </c>
      <c r="C37" s="134">
        <v>27.79</v>
      </c>
      <c r="D37" s="134">
        <v>52.6</v>
      </c>
      <c r="E37" s="134">
        <v>8.2100000000000009</v>
      </c>
      <c r="F37" s="134">
        <v>2.54</v>
      </c>
      <c r="G37" s="134">
        <v>63.41</v>
      </c>
      <c r="H37" s="134">
        <v>25.85</v>
      </c>
      <c r="I37" s="134">
        <v>7.18</v>
      </c>
      <c r="J37" s="134">
        <v>0.28999999999999998</v>
      </c>
      <c r="K37" s="134">
        <v>38.28</v>
      </c>
      <c r="L37" s="134">
        <v>19.03</v>
      </c>
      <c r="M37" s="134">
        <v>94.35</v>
      </c>
      <c r="N37" s="134">
        <v>31.7</v>
      </c>
      <c r="O37" s="134">
        <v>0</v>
      </c>
      <c r="P37" s="134">
        <v>0.77</v>
      </c>
      <c r="Q37" s="134">
        <v>5.59</v>
      </c>
    </row>
    <row r="38" spans="1:17" customFormat="1">
      <c r="A38" s="112" t="s">
        <v>3050</v>
      </c>
      <c r="B38" s="134">
        <v>45.98</v>
      </c>
      <c r="C38" s="134">
        <v>27.53</v>
      </c>
      <c r="D38" s="134">
        <v>52.61</v>
      </c>
      <c r="E38" s="134">
        <v>8.32</v>
      </c>
      <c r="F38" s="134">
        <v>2.5499999999999998</v>
      </c>
      <c r="G38" s="134">
        <v>63.41</v>
      </c>
      <c r="H38" s="134">
        <v>25.85</v>
      </c>
      <c r="I38" s="134">
        <v>7.44</v>
      </c>
      <c r="J38" s="134">
        <v>0.14000000000000001</v>
      </c>
      <c r="K38" s="134">
        <v>28.32</v>
      </c>
      <c r="L38" s="134">
        <v>19.63</v>
      </c>
      <c r="M38" s="134">
        <v>92.6</v>
      </c>
      <c r="N38" s="134">
        <v>49.3</v>
      </c>
      <c r="O38" s="134">
        <v>0</v>
      </c>
      <c r="P38" s="134">
        <v>0.81</v>
      </c>
      <c r="Q38" s="134">
        <v>5.61</v>
      </c>
    </row>
    <row r="39" spans="1:17" customFormat="1">
      <c r="A39" s="112" t="s">
        <v>3051</v>
      </c>
      <c r="B39" s="134">
        <v>45.76</v>
      </c>
      <c r="C39" s="134">
        <v>28.24</v>
      </c>
      <c r="D39" s="134">
        <v>52.81</v>
      </c>
      <c r="E39" s="134">
        <v>8.26</v>
      </c>
      <c r="F39" s="134">
        <v>2.62</v>
      </c>
      <c r="G39" s="134">
        <v>63.41</v>
      </c>
      <c r="H39" s="134">
        <v>25.85</v>
      </c>
      <c r="I39" s="134">
        <v>7.82</v>
      </c>
      <c r="J39" s="134">
        <v>0.37</v>
      </c>
      <c r="K39" s="134">
        <v>41.26</v>
      </c>
      <c r="L39" s="134">
        <v>20.07</v>
      </c>
      <c r="M39" s="134">
        <v>89.95</v>
      </c>
      <c r="N39" s="134">
        <v>65.7</v>
      </c>
      <c r="O39" s="134">
        <v>0</v>
      </c>
      <c r="P39" s="134">
        <v>0.84</v>
      </c>
      <c r="Q39" s="134">
        <v>5.6</v>
      </c>
    </row>
    <row r="40" spans="1:17" customFormat="1">
      <c r="A40" s="112" t="s">
        <v>3052</v>
      </c>
      <c r="B40" s="134">
        <v>45.37</v>
      </c>
      <c r="C40" s="134">
        <v>28.16</v>
      </c>
      <c r="D40" s="134">
        <v>52.45</v>
      </c>
      <c r="E40" s="134">
        <v>8.5500000000000007</v>
      </c>
      <c r="F40" s="134">
        <v>2.57</v>
      </c>
      <c r="G40" s="134">
        <v>63.59</v>
      </c>
      <c r="H40" s="134">
        <v>25.9</v>
      </c>
      <c r="I40" s="134">
        <v>8.19</v>
      </c>
      <c r="J40" s="134">
        <v>0.38</v>
      </c>
      <c r="K40" s="134">
        <v>46.89</v>
      </c>
      <c r="L40" s="134">
        <v>20.55</v>
      </c>
      <c r="M40" s="134">
        <v>87.42</v>
      </c>
      <c r="N40" s="134">
        <v>124.6</v>
      </c>
      <c r="O40" s="134">
        <v>0</v>
      </c>
      <c r="P40" s="134">
        <v>0.87</v>
      </c>
      <c r="Q40" s="134">
        <v>5.61</v>
      </c>
    </row>
    <row r="41" spans="1:17" customFormat="1">
      <c r="A41" s="112" t="s">
        <v>3053</v>
      </c>
      <c r="B41" s="134">
        <v>44.89</v>
      </c>
      <c r="C41" s="134">
        <v>28.94</v>
      </c>
      <c r="D41" s="134">
        <v>52.47</v>
      </c>
      <c r="E41" s="134">
        <v>8.19</v>
      </c>
      <c r="F41" s="134">
        <v>2.48</v>
      </c>
      <c r="G41" s="134">
        <v>79.06</v>
      </c>
      <c r="H41" s="134">
        <v>29.05</v>
      </c>
      <c r="I41" s="134">
        <v>8.4</v>
      </c>
      <c r="J41" s="134">
        <v>0.47</v>
      </c>
      <c r="K41" s="134">
        <v>30.85</v>
      </c>
      <c r="L41" s="134">
        <v>21.08</v>
      </c>
      <c r="M41" s="134">
        <v>84.73</v>
      </c>
      <c r="N41" s="134">
        <v>159.6</v>
      </c>
      <c r="O41" s="134">
        <v>0</v>
      </c>
      <c r="P41" s="134">
        <v>0.88</v>
      </c>
      <c r="Q41" s="134">
        <v>5.61</v>
      </c>
    </row>
    <row r="42" spans="1:17" customFormat="1">
      <c r="A42" s="112" t="s">
        <v>3054</v>
      </c>
      <c r="B42" s="134">
        <v>44</v>
      </c>
      <c r="C42" s="134">
        <v>29.14</v>
      </c>
      <c r="D42" s="134">
        <v>51.86</v>
      </c>
      <c r="E42" s="134">
        <v>8.5</v>
      </c>
      <c r="F42" s="134">
        <v>2.65</v>
      </c>
      <c r="G42" s="134">
        <v>79.06</v>
      </c>
      <c r="H42" s="134">
        <v>29.05</v>
      </c>
      <c r="I42" s="134">
        <v>8.49</v>
      </c>
      <c r="J42" s="134">
        <v>0.49</v>
      </c>
      <c r="K42" s="134">
        <v>31.25</v>
      </c>
      <c r="L42" s="134">
        <v>21.89</v>
      </c>
      <c r="M42" s="134">
        <v>80.95</v>
      </c>
      <c r="N42" s="134">
        <v>193</v>
      </c>
      <c r="O42" s="134">
        <v>0</v>
      </c>
      <c r="P42" s="134">
        <v>0.88</v>
      </c>
      <c r="Q42" s="134">
        <v>5.58</v>
      </c>
    </row>
    <row r="43" spans="1:17" customFormat="1">
      <c r="A43" s="112" t="s">
        <v>3055</v>
      </c>
      <c r="B43" s="134">
        <v>42.74</v>
      </c>
      <c r="C43" s="134">
        <v>29.45</v>
      </c>
      <c r="D43" s="134">
        <v>51.01</v>
      </c>
      <c r="E43" s="134">
        <v>8.66</v>
      </c>
      <c r="F43" s="134">
        <v>2.5099999999999998</v>
      </c>
      <c r="G43" s="134">
        <v>79.06</v>
      </c>
      <c r="H43" s="134">
        <v>29.05</v>
      </c>
      <c r="I43" s="134">
        <v>8.52</v>
      </c>
      <c r="J43" s="134">
        <v>0.52</v>
      </c>
      <c r="K43" s="134">
        <v>43.29</v>
      </c>
      <c r="L43" s="134">
        <v>22.6</v>
      </c>
      <c r="M43" s="134">
        <v>77.13</v>
      </c>
      <c r="N43" s="134">
        <v>228.1</v>
      </c>
      <c r="O43" s="134">
        <v>0</v>
      </c>
      <c r="P43" s="134">
        <v>0.9</v>
      </c>
      <c r="Q43" s="134">
        <v>5.57</v>
      </c>
    </row>
    <row r="44" spans="1:17" customFormat="1">
      <c r="A44" s="112" t="s">
        <v>3056</v>
      </c>
      <c r="B44" s="134">
        <v>41.56</v>
      </c>
      <c r="C44" s="134">
        <v>30.12</v>
      </c>
      <c r="D44" s="134">
        <v>50.41</v>
      </c>
      <c r="E44" s="134">
        <v>8.33</v>
      </c>
      <c r="F44" s="134">
        <v>2.52</v>
      </c>
      <c r="G44" s="134">
        <v>78.97</v>
      </c>
      <c r="H44" s="134">
        <v>29.06</v>
      </c>
      <c r="I44" s="134">
        <v>8.51</v>
      </c>
      <c r="J44" s="134">
        <v>0.51</v>
      </c>
      <c r="K44" s="134">
        <v>50.98</v>
      </c>
      <c r="L44" s="134">
        <v>23.16</v>
      </c>
      <c r="M44" s="134">
        <v>73.92</v>
      </c>
      <c r="N44" s="134">
        <v>211.1</v>
      </c>
      <c r="O44" s="134">
        <v>0</v>
      </c>
      <c r="P44" s="134">
        <v>0.93</v>
      </c>
      <c r="Q44" s="134">
        <v>5.52</v>
      </c>
    </row>
    <row r="45" spans="1:17" customFormat="1">
      <c r="A45" s="112" t="s">
        <v>3057</v>
      </c>
      <c r="B45" s="134">
        <v>40.69</v>
      </c>
      <c r="C45" s="134">
        <v>31.08</v>
      </c>
      <c r="D45" s="134">
        <v>50.22</v>
      </c>
      <c r="E45" s="134">
        <v>8.15</v>
      </c>
      <c r="F45" s="134">
        <v>2.58</v>
      </c>
      <c r="G45" s="134">
        <v>74.849999999999994</v>
      </c>
      <c r="H45" s="134">
        <v>29.55</v>
      </c>
      <c r="I45" s="134">
        <v>8.4700000000000006</v>
      </c>
      <c r="J45" s="134">
        <v>0.46</v>
      </c>
      <c r="K45" s="134">
        <v>49.75</v>
      </c>
      <c r="L45" s="134">
        <v>23.78</v>
      </c>
      <c r="M45" s="134">
        <v>71.09</v>
      </c>
      <c r="N45" s="134">
        <v>152.19999999999999</v>
      </c>
      <c r="O45" s="134">
        <v>0</v>
      </c>
      <c r="P45" s="134">
        <v>0.93</v>
      </c>
      <c r="Q45" s="134">
        <v>5.45</v>
      </c>
    </row>
    <row r="46" spans="1:17" customFormat="1">
      <c r="A46" s="112" t="s">
        <v>3058</v>
      </c>
      <c r="B46" s="134">
        <v>40.42</v>
      </c>
      <c r="C46" s="134">
        <v>27.73</v>
      </c>
      <c r="D46" s="134">
        <v>48.25</v>
      </c>
      <c r="E46" s="134">
        <v>8.07</v>
      </c>
      <c r="F46" s="134">
        <v>2.91</v>
      </c>
      <c r="G46" s="134">
        <v>74.849999999999994</v>
      </c>
      <c r="H46" s="134">
        <v>29.55</v>
      </c>
      <c r="I46" s="134">
        <v>8.42</v>
      </c>
      <c r="J46" s="134">
        <v>0.32</v>
      </c>
      <c r="K46" s="134">
        <v>30.72</v>
      </c>
      <c r="L46" s="134">
        <v>24.55</v>
      </c>
      <c r="M46" s="134">
        <v>68.16</v>
      </c>
      <c r="N46" s="134">
        <v>178.8</v>
      </c>
      <c r="O46" s="134">
        <v>0</v>
      </c>
      <c r="P46" s="134">
        <v>0.91</v>
      </c>
      <c r="Q46" s="134">
        <v>5.47</v>
      </c>
    </row>
    <row r="47" spans="1:17" customFormat="1">
      <c r="A47" s="112" t="s">
        <v>3059</v>
      </c>
      <c r="B47" s="134">
        <v>39.82</v>
      </c>
      <c r="C47" s="134">
        <v>25.43</v>
      </c>
      <c r="D47" s="134">
        <v>46.57</v>
      </c>
      <c r="E47" s="134">
        <v>7.85</v>
      </c>
      <c r="F47" s="134">
        <v>2.89</v>
      </c>
      <c r="G47" s="134">
        <v>74.849999999999994</v>
      </c>
      <c r="H47" s="134">
        <v>29.55</v>
      </c>
      <c r="I47" s="134">
        <v>8.3699999999999992</v>
      </c>
      <c r="J47" s="134">
        <v>0.39</v>
      </c>
      <c r="K47" s="134">
        <v>44.27</v>
      </c>
      <c r="L47" s="134">
        <v>24.98</v>
      </c>
      <c r="M47" s="134">
        <v>66.92</v>
      </c>
      <c r="N47" s="134">
        <v>336.8</v>
      </c>
      <c r="O47" s="134">
        <v>0</v>
      </c>
      <c r="P47" s="134">
        <v>0.9</v>
      </c>
      <c r="Q47" s="134">
        <v>5.45</v>
      </c>
    </row>
    <row r="48" spans="1:17" customFormat="1">
      <c r="A48" s="112" t="s">
        <v>3060</v>
      </c>
      <c r="B48" s="134">
        <v>38.869999999999997</v>
      </c>
      <c r="C48" s="134">
        <v>24.52</v>
      </c>
      <c r="D48" s="134">
        <v>45.33</v>
      </c>
      <c r="E48" s="134">
        <v>8.31</v>
      </c>
      <c r="F48" s="134">
        <v>2.88</v>
      </c>
      <c r="G48" s="134">
        <v>74.88</v>
      </c>
      <c r="H48" s="134">
        <v>29.57</v>
      </c>
      <c r="I48" s="134">
        <v>8.36</v>
      </c>
      <c r="J48" s="134">
        <v>0.32</v>
      </c>
      <c r="K48" s="134">
        <v>69.05</v>
      </c>
      <c r="L48" s="134">
        <v>25.83</v>
      </c>
      <c r="M48" s="134">
        <v>64.09</v>
      </c>
      <c r="N48" s="134">
        <v>392.1</v>
      </c>
      <c r="O48" s="134">
        <v>0</v>
      </c>
      <c r="P48" s="134">
        <v>0.9</v>
      </c>
      <c r="Q48" s="134">
        <v>5.39</v>
      </c>
    </row>
    <row r="49" spans="1:17" customFormat="1">
      <c r="A49" s="112" t="s">
        <v>3061</v>
      </c>
      <c r="B49" s="134">
        <v>37.53</v>
      </c>
      <c r="C49" s="134">
        <v>24.29</v>
      </c>
      <c r="D49" s="134">
        <v>44.14</v>
      </c>
      <c r="E49" s="134">
        <v>8.43</v>
      </c>
      <c r="F49" s="134">
        <v>3.02</v>
      </c>
      <c r="G49" s="134">
        <v>76.459999999999994</v>
      </c>
      <c r="H49" s="134">
        <v>31.05</v>
      </c>
      <c r="I49" s="134">
        <v>8.35</v>
      </c>
      <c r="J49" s="134">
        <v>0.38</v>
      </c>
      <c r="K49" s="134">
        <v>30.42</v>
      </c>
      <c r="L49" s="134">
        <v>25.99</v>
      </c>
      <c r="M49" s="134">
        <v>63.1</v>
      </c>
      <c r="N49" s="134">
        <v>419.2</v>
      </c>
      <c r="O49" s="134">
        <v>0</v>
      </c>
      <c r="P49" s="134">
        <v>0.88</v>
      </c>
      <c r="Q49" s="134">
        <v>5.36</v>
      </c>
    </row>
    <row r="50" spans="1:17" customFormat="1">
      <c r="A50" s="112" t="s">
        <v>3062</v>
      </c>
      <c r="B50" s="134">
        <v>35.979999999999997</v>
      </c>
      <c r="C50" s="134">
        <v>23.99</v>
      </c>
      <c r="D50" s="134">
        <v>42.73</v>
      </c>
      <c r="E50" s="134">
        <v>9.0299999999999994</v>
      </c>
      <c r="F50" s="134">
        <v>3.12</v>
      </c>
      <c r="G50" s="134">
        <v>76.459999999999994</v>
      </c>
      <c r="H50" s="134">
        <v>31.05</v>
      </c>
      <c r="I50" s="134">
        <v>8.35</v>
      </c>
      <c r="J50" s="134">
        <v>0.27</v>
      </c>
      <c r="K50" s="134">
        <v>46.47</v>
      </c>
      <c r="L50" s="134">
        <v>26.71</v>
      </c>
      <c r="M50" s="134">
        <v>61.53</v>
      </c>
      <c r="N50" s="134">
        <v>439</v>
      </c>
      <c r="O50" s="134">
        <v>0</v>
      </c>
      <c r="P50" s="134">
        <v>0.88</v>
      </c>
      <c r="Q50" s="134">
        <v>5.31</v>
      </c>
    </row>
    <row r="51" spans="1:17" customFormat="1">
      <c r="A51" s="112" t="s">
        <v>3063</v>
      </c>
      <c r="B51" s="134">
        <v>34.33</v>
      </c>
      <c r="C51" s="134">
        <v>25.33</v>
      </c>
      <c r="D51" s="134">
        <v>42.11</v>
      </c>
      <c r="E51" s="134">
        <v>9.17</v>
      </c>
      <c r="F51" s="134">
        <v>2.78</v>
      </c>
      <c r="G51" s="134">
        <v>76.459999999999994</v>
      </c>
      <c r="H51" s="134">
        <v>31.05</v>
      </c>
      <c r="I51" s="134">
        <v>8.32</v>
      </c>
      <c r="J51" s="134">
        <v>0.1</v>
      </c>
      <c r="K51" s="134">
        <v>56.88</v>
      </c>
      <c r="L51" s="134">
        <v>27.22</v>
      </c>
      <c r="M51" s="134">
        <v>58.95</v>
      </c>
      <c r="N51" s="134">
        <v>462.7</v>
      </c>
      <c r="O51" s="134">
        <v>0</v>
      </c>
      <c r="P51" s="134">
        <v>0.88</v>
      </c>
      <c r="Q51" s="134">
        <v>5.24</v>
      </c>
    </row>
    <row r="52" spans="1:17" customFormat="1">
      <c r="A52" s="112" t="s">
        <v>3064</v>
      </c>
      <c r="B52" s="134">
        <v>32.54</v>
      </c>
      <c r="C52" s="134">
        <v>26.23</v>
      </c>
      <c r="D52" s="134">
        <v>41.15</v>
      </c>
      <c r="E52" s="134">
        <v>9.4499999999999993</v>
      </c>
      <c r="F52" s="134">
        <v>3</v>
      </c>
      <c r="G52" s="134">
        <v>76.569999999999993</v>
      </c>
      <c r="H52" s="134">
        <v>31.07</v>
      </c>
      <c r="I52" s="134">
        <v>8.2799999999999994</v>
      </c>
      <c r="J52" s="134">
        <v>0.3</v>
      </c>
      <c r="K52" s="134">
        <v>42.84</v>
      </c>
      <c r="L52" s="134">
        <v>27.35</v>
      </c>
      <c r="M52" s="134">
        <v>58.84</v>
      </c>
      <c r="N52" s="134">
        <v>473.8</v>
      </c>
      <c r="O52" s="134">
        <v>0</v>
      </c>
      <c r="P52" s="134">
        <v>0.88</v>
      </c>
      <c r="Q52" s="134">
        <v>5.17</v>
      </c>
    </row>
    <row r="53" spans="1:17" customFormat="1">
      <c r="A53" s="112" t="s">
        <v>3065</v>
      </c>
      <c r="B53" s="134">
        <v>30.39</v>
      </c>
      <c r="C53" s="134">
        <v>24.75</v>
      </c>
      <c r="D53" s="134">
        <v>38.65</v>
      </c>
      <c r="E53" s="134">
        <v>10.45</v>
      </c>
      <c r="F53" s="134">
        <v>4.42</v>
      </c>
      <c r="G53" s="134">
        <v>86.43</v>
      </c>
      <c r="H53" s="134">
        <v>32.58</v>
      </c>
      <c r="I53" s="134">
        <v>8.25</v>
      </c>
      <c r="J53" s="134">
        <v>0.5</v>
      </c>
      <c r="K53" s="134">
        <v>25.4</v>
      </c>
      <c r="L53" s="134">
        <v>27.73</v>
      </c>
      <c r="M53" s="134">
        <v>57.77</v>
      </c>
      <c r="N53" s="134">
        <v>521</v>
      </c>
      <c r="O53" s="134">
        <v>0</v>
      </c>
      <c r="P53" s="134">
        <v>0.87</v>
      </c>
      <c r="Q53" s="134">
        <v>5.15</v>
      </c>
    </row>
    <row r="54" spans="1:17" customFormat="1">
      <c r="A54" s="112" t="s">
        <v>3066</v>
      </c>
      <c r="B54" s="134">
        <v>28.8</v>
      </c>
      <c r="C54" s="134">
        <v>24.83</v>
      </c>
      <c r="D54" s="134">
        <v>37.42</v>
      </c>
      <c r="E54" s="134">
        <v>9.16</v>
      </c>
      <c r="F54" s="134">
        <v>3.71</v>
      </c>
      <c r="G54" s="134">
        <v>86.43</v>
      </c>
      <c r="H54" s="134">
        <v>32.58</v>
      </c>
      <c r="I54" s="134">
        <v>8.24</v>
      </c>
      <c r="J54" s="134">
        <v>0.26</v>
      </c>
      <c r="K54" s="134">
        <v>15.31</v>
      </c>
      <c r="L54" s="134">
        <v>28.19</v>
      </c>
      <c r="M54" s="134">
        <v>56.1</v>
      </c>
      <c r="N54" s="134">
        <v>520.20000000000005</v>
      </c>
      <c r="O54" s="134">
        <v>0</v>
      </c>
      <c r="P54" s="134">
        <v>0.86</v>
      </c>
      <c r="Q54" s="134">
        <v>5.0999999999999996</v>
      </c>
    </row>
    <row r="55" spans="1:17" customFormat="1">
      <c r="A55" s="112" t="s">
        <v>3067</v>
      </c>
      <c r="B55" s="134">
        <v>27</v>
      </c>
      <c r="C55" s="134">
        <v>24.89</v>
      </c>
      <c r="D55" s="134">
        <v>36</v>
      </c>
      <c r="E55" s="134">
        <v>9.51</v>
      </c>
      <c r="F55" s="134">
        <v>4.08</v>
      </c>
      <c r="G55" s="134">
        <v>86.43</v>
      </c>
      <c r="H55" s="134">
        <v>32.58</v>
      </c>
      <c r="I55" s="134">
        <v>8.1999999999999993</v>
      </c>
      <c r="J55" s="134">
        <v>0.32</v>
      </c>
      <c r="K55" s="134">
        <v>348.36</v>
      </c>
      <c r="L55" s="134">
        <v>28.61</v>
      </c>
      <c r="M55" s="134">
        <v>54.18</v>
      </c>
      <c r="N55" s="134">
        <v>530.4</v>
      </c>
      <c r="O55" s="134">
        <v>0</v>
      </c>
      <c r="P55" s="134">
        <v>0.86</v>
      </c>
      <c r="Q55" s="134">
        <v>5.0599999999999996</v>
      </c>
    </row>
    <row r="56" spans="1:17" customFormat="1">
      <c r="A56" s="112" t="s">
        <v>3068</v>
      </c>
      <c r="B56" s="134">
        <v>24.91</v>
      </c>
      <c r="C56" s="134">
        <v>24.93</v>
      </c>
      <c r="D56" s="134">
        <v>34.36</v>
      </c>
      <c r="E56" s="134">
        <v>9.6</v>
      </c>
      <c r="F56" s="134">
        <v>4.54</v>
      </c>
      <c r="G56" s="134">
        <v>86.49</v>
      </c>
      <c r="H56" s="134">
        <v>32.590000000000003</v>
      </c>
      <c r="I56" s="134">
        <v>8.16</v>
      </c>
      <c r="J56" s="134">
        <v>0.5</v>
      </c>
      <c r="K56" s="134">
        <v>311.74</v>
      </c>
      <c r="L56" s="134">
        <v>28.8</v>
      </c>
      <c r="M56" s="134">
        <v>53.83</v>
      </c>
      <c r="N56" s="134">
        <v>527.9</v>
      </c>
      <c r="O56" s="134">
        <v>0</v>
      </c>
      <c r="P56" s="134">
        <v>0.85</v>
      </c>
      <c r="Q56" s="134">
        <v>5</v>
      </c>
    </row>
    <row r="57" spans="1:17" customFormat="1">
      <c r="A57" s="112" t="s">
        <v>3069</v>
      </c>
      <c r="B57" s="134">
        <v>23.01</v>
      </c>
      <c r="C57" s="134">
        <v>26.6</v>
      </c>
      <c r="D57" s="134">
        <v>33.700000000000003</v>
      </c>
      <c r="E57" s="134">
        <v>9.25</v>
      </c>
      <c r="F57" s="134">
        <v>3.74</v>
      </c>
      <c r="G57" s="134">
        <v>89.07</v>
      </c>
      <c r="H57" s="134">
        <v>33.04</v>
      </c>
      <c r="I57" s="134">
        <v>8.07</v>
      </c>
      <c r="J57" s="134">
        <v>0.55000000000000004</v>
      </c>
      <c r="K57" s="134">
        <v>323.35000000000002</v>
      </c>
      <c r="L57" s="134">
        <v>29.02</v>
      </c>
      <c r="M57" s="134">
        <v>53.11</v>
      </c>
      <c r="N57" s="134">
        <v>521.6</v>
      </c>
      <c r="O57" s="134">
        <v>0</v>
      </c>
      <c r="P57" s="134">
        <v>0.86</v>
      </c>
      <c r="Q57" s="134">
        <v>4.9400000000000004</v>
      </c>
    </row>
    <row r="58" spans="1:17" customFormat="1">
      <c r="A58" s="112" t="s">
        <v>3070</v>
      </c>
      <c r="B58" s="134">
        <v>21.33</v>
      </c>
      <c r="C58" s="134">
        <v>26.74</v>
      </c>
      <c r="D58" s="134">
        <v>32.43</v>
      </c>
      <c r="E58" s="134">
        <v>9.0500000000000007</v>
      </c>
      <c r="F58" s="134">
        <v>3.68</v>
      </c>
      <c r="G58" s="134">
        <v>89.07</v>
      </c>
      <c r="H58" s="134">
        <v>33.04</v>
      </c>
      <c r="I58" s="134">
        <v>7.98</v>
      </c>
      <c r="J58" s="134">
        <v>0.19</v>
      </c>
      <c r="K58" s="134">
        <v>58.9</v>
      </c>
      <c r="L58" s="134">
        <v>29.43</v>
      </c>
      <c r="M58" s="134">
        <v>50.87</v>
      </c>
      <c r="N58" s="134">
        <v>518</v>
      </c>
      <c r="O58" s="134">
        <v>0</v>
      </c>
      <c r="P58" s="134">
        <v>0.85</v>
      </c>
      <c r="Q58" s="134">
        <v>4.8899999999999997</v>
      </c>
    </row>
    <row r="59" spans="1:17" customFormat="1">
      <c r="A59" s="112" t="s">
        <v>3071</v>
      </c>
      <c r="B59" s="134">
        <v>19.559999999999999</v>
      </c>
      <c r="C59" s="134">
        <v>26.04</v>
      </c>
      <c r="D59" s="134">
        <v>30.65</v>
      </c>
      <c r="E59" s="134">
        <v>8.59</v>
      </c>
      <c r="F59" s="134">
        <v>4.21</v>
      </c>
      <c r="G59" s="134">
        <v>89.07</v>
      </c>
      <c r="H59" s="134">
        <v>33.04</v>
      </c>
      <c r="I59" s="134">
        <v>7.94</v>
      </c>
      <c r="J59" s="134">
        <v>0.16</v>
      </c>
      <c r="K59" s="134">
        <v>272.02</v>
      </c>
      <c r="L59" s="134">
        <v>30.03</v>
      </c>
      <c r="M59" s="134">
        <v>48.19</v>
      </c>
      <c r="N59" s="134">
        <v>512.6</v>
      </c>
      <c r="O59" s="134">
        <v>0</v>
      </c>
      <c r="P59" s="134">
        <v>0.84</v>
      </c>
      <c r="Q59" s="134">
        <v>4.8499999999999996</v>
      </c>
    </row>
    <row r="60" spans="1:17" customFormat="1">
      <c r="A60" s="112" t="s">
        <v>3072</v>
      </c>
      <c r="B60" s="134">
        <v>17.98</v>
      </c>
      <c r="C60" s="134">
        <v>25</v>
      </c>
      <c r="D60" s="134">
        <v>28.83</v>
      </c>
      <c r="E60" s="134">
        <v>8.6199999999999992</v>
      </c>
      <c r="F60" s="134">
        <v>3.78</v>
      </c>
      <c r="G60" s="134">
        <v>88.92</v>
      </c>
      <c r="H60" s="134">
        <v>32.99</v>
      </c>
      <c r="I60" s="134">
        <v>7.86</v>
      </c>
      <c r="J60" s="134">
        <v>0.2</v>
      </c>
      <c r="K60" s="134">
        <v>205.8</v>
      </c>
      <c r="L60" s="134">
        <v>30.11</v>
      </c>
      <c r="M60" s="134">
        <v>47.53</v>
      </c>
      <c r="N60" s="134">
        <v>437</v>
      </c>
      <c r="O60" s="134">
        <v>0</v>
      </c>
      <c r="P60" s="134">
        <v>0.82</v>
      </c>
      <c r="Q60" s="134">
        <v>4.8099999999999996</v>
      </c>
    </row>
    <row r="61" spans="1:17" customFormat="1">
      <c r="A61" s="112" t="s">
        <v>3073</v>
      </c>
      <c r="B61" s="134">
        <v>16.690000000000001</v>
      </c>
      <c r="C61" s="134">
        <v>23.82</v>
      </c>
      <c r="D61" s="134">
        <v>27.18</v>
      </c>
      <c r="E61" s="134">
        <v>8.35</v>
      </c>
      <c r="F61" s="134">
        <v>4.95</v>
      </c>
      <c r="G61" s="134">
        <v>82.49</v>
      </c>
      <c r="H61" s="134">
        <v>30.03</v>
      </c>
      <c r="I61" s="134">
        <v>7.75</v>
      </c>
      <c r="J61" s="134">
        <v>0.25</v>
      </c>
      <c r="K61" s="134">
        <v>77.48</v>
      </c>
      <c r="L61" s="134">
        <v>30.25</v>
      </c>
      <c r="M61" s="134">
        <v>45.97</v>
      </c>
      <c r="N61" s="134">
        <v>405</v>
      </c>
      <c r="O61" s="134">
        <v>0</v>
      </c>
      <c r="P61" s="134">
        <v>0.8</v>
      </c>
      <c r="Q61" s="134">
        <v>4.7699999999999996</v>
      </c>
    </row>
    <row r="62" spans="1:17" customFormat="1">
      <c r="A62" s="112" t="s">
        <v>3074</v>
      </c>
      <c r="B62" s="134">
        <v>15.73</v>
      </c>
      <c r="C62" s="134">
        <v>23.48</v>
      </c>
      <c r="D62" s="134">
        <v>26.23</v>
      </c>
      <c r="E62" s="134">
        <v>8.44</v>
      </c>
      <c r="F62" s="134">
        <v>3.79</v>
      </c>
      <c r="G62" s="134">
        <v>82.49</v>
      </c>
      <c r="H62" s="134">
        <v>30.03</v>
      </c>
      <c r="I62" s="134">
        <v>7.59</v>
      </c>
      <c r="J62" s="134">
        <v>0.2</v>
      </c>
      <c r="K62" s="134">
        <v>191.49</v>
      </c>
      <c r="L62" s="134">
        <v>30.23</v>
      </c>
      <c r="M62" s="134">
        <v>45.14</v>
      </c>
      <c r="N62" s="134">
        <v>475.4</v>
      </c>
      <c r="O62" s="134">
        <v>0</v>
      </c>
      <c r="P62" s="134">
        <v>0.79</v>
      </c>
      <c r="Q62" s="134">
        <v>4.75</v>
      </c>
    </row>
    <row r="63" spans="1:17" customFormat="1">
      <c r="A63" s="112" t="s">
        <v>3075</v>
      </c>
      <c r="B63" s="134">
        <v>14.57</v>
      </c>
      <c r="C63" s="134">
        <v>23.08</v>
      </c>
      <c r="D63" s="134">
        <v>25.09</v>
      </c>
      <c r="E63" s="134">
        <v>8.74</v>
      </c>
      <c r="F63" s="134">
        <v>4.26</v>
      </c>
      <c r="G63" s="134">
        <v>82.49</v>
      </c>
      <c r="H63" s="134">
        <v>30.03</v>
      </c>
      <c r="I63" s="134">
        <v>7.5</v>
      </c>
      <c r="J63" s="134">
        <v>0.33</v>
      </c>
      <c r="K63" s="134">
        <v>52.05</v>
      </c>
      <c r="L63" s="134">
        <v>30.25</v>
      </c>
      <c r="M63" s="134">
        <v>46.06</v>
      </c>
      <c r="N63" s="134">
        <v>428</v>
      </c>
      <c r="O63" s="134">
        <v>0</v>
      </c>
      <c r="P63" s="134">
        <v>0.78</v>
      </c>
      <c r="Q63" s="134">
        <v>4.7</v>
      </c>
    </row>
    <row r="64" spans="1:17" customFormat="1">
      <c r="A64" s="112" t="s">
        <v>3076</v>
      </c>
      <c r="B64" s="134">
        <v>13.2</v>
      </c>
      <c r="C64" s="134">
        <v>23.26</v>
      </c>
      <c r="D64" s="134">
        <v>24.09</v>
      </c>
      <c r="E64" s="134">
        <v>9.07</v>
      </c>
      <c r="F64" s="134">
        <v>5.69</v>
      </c>
      <c r="G64" s="134">
        <v>82.22</v>
      </c>
      <c r="H64" s="134">
        <v>30.01</v>
      </c>
      <c r="I64" s="134">
        <v>7.42</v>
      </c>
      <c r="J64" s="134">
        <v>0.3</v>
      </c>
      <c r="K64" s="134">
        <v>66.09</v>
      </c>
      <c r="L64" s="134">
        <v>30.32</v>
      </c>
      <c r="M64" s="134">
        <v>46.27</v>
      </c>
      <c r="N64" s="134">
        <v>343</v>
      </c>
      <c r="O64" s="134">
        <v>0</v>
      </c>
      <c r="P64" s="134">
        <v>0.78</v>
      </c>
      <c r="Q64" s="134">
        <v>4.67</v>
      </c>
    </row>
    <row r="65" spans="1:17" customFormat="1">
      <c r="A65" s="112" t="s">
        <v>3077</v>
      </c>
      <c r="B65" s="134">
        <v>11.82</v>
      </c>
      <c r="C65" s="134">
        <v>23.81</v>
      </c>
      <c r="D65" s="134">
        <v>23.27</v>
      </c>
      <c r="E65" s="134">
        <v>8.7899999999999991</v>
      </c>
      <c r="F65" s="134">
        <v>5.45</v>
      </c>
      <c r="G65" s="134">
        <v>69.94</v>
      </c>
      <c r="H65" s="134">
        <v>28.53</v>
      </c>
      <c r="I65" s="134">
        <v>7.26</v>
      </c>
      <c r="J65" s="134">
        <v>0.27</v>
      </c>
      <c r="K65" s="134">
        <v>83.74</v>
      </c>
      <c r="L65" s="134">
        <v>30.42</v>
      </c>
      <c r="M65" s="134">
        <v>45.08</v>
      </c>
      <c r="N65" s="134">
        <v>173.1</v>
      </c>
      <c r="O65" s="134">
        <v>0</v>
      </c>
      <c r="P65" s="134">
        <v>0.75</v>
      </c>
      <c r="Q65" s="134">
        <v>4.6100000000000003</v>
      </c>
    </row>
    <row r="66" spans="1:17" customFormat="1">
      <c r="A66" s="112" t="s">
        <v>3078</v>
      </c>
      <c r="B66" s="134">
        <v>10.48</v>
      </c>
      <c r="C66" s="134">
        <v>24.46</v>
      </c>
      <c r="D66" s="134">
        <v>22.54</v>
      </c>
      <c r="E66" s="134">
        <v>9.0399999999999991</v>
      </c>
      <c r="F66" s="134">
        <v>5.51</v>
      </c>
      <c r="G66" s="134">
        <v>69.94</v>
      </c>
      <c r="H66" s="134">
        <v>28.53</v>
      </c>
      <c r="I66" s="134">
        <v>7.05</v>
      </c>
      <c r="J66" s="134">
        <v>0.24</v>
      </c>
      <c r="K66" s="134">
        <v>102.25</v>
      </c>
      <c r="L66" s="134">
        <v>30.18</v>
      </c>
      <c r="M66" s="134">
        <v>45.26</v>
      </c>
      <c r="N66" s="134">
        <v>138.30000000000001</v>
      </c>
      <c r="O66" s="134">
        <v>0</v>
      </c>
      <c r="P66" s="134">
        <v>0.76</v>
      </c>
      <c r="Q66" s="134">
        <v>4.58</v>
      </c>
    </row>
    <row r="67" spans="1:17" customFormat="1">
      <c r="A67" s="112" t="s">
        <v>3079</v>
      </c>
      <c r="B67" s="134">
        <v>9.5</v>
      </c>
      <c r="C67" s="134">
        <v>24.56</v>
      </c>
      <c r="D67" s="134">
        <v>21.8</v>
      </c>
      <c r="E67" s="134">
        <v>9.06</v>
      </c>
      <c r="F67" s="134">
        <v>6.38</v>
      </c>
      <c r="G67" s="134">
        <v>69.94</v>
      </c>
      <c r="H67" s="134">
        <v>28.53</v>
      </c>
      <c r="I67" s="134">
        <v>6.94</v>
      </c>
      <c r="J67" s="134">
        <v>0.42</v>
      </c>
      <c r="K67" s="134">
        <v>56.59</v>
      </c>
      <c r="L67" s="134">
        <v>29.76</v>
      </c>
      <c r="M67" s="134">
        <v>45.93</v>
      </c>
      <c r="N67" s="134">
        <v>111.8</v>
      </c>
      <c r="O67" s="134">
        <v>0</v>
      </c>
      <c r="P67" s="134">
        <v>0.76</v>
      </c>
      <c r="Q67" s="134">
        <v>4.55</v>
      </c>
    </row>
    <row r="68" spans="1:17" customFormat="1">
      <c r="A68" s="112" t="s">
        <v>3080</v>
      </c>
      <c r="B68" s="134">
        <v>8.7899999999999991</v>
      </c>
      <c r="C68" s="134">
        <v>25.06</v>
      </c>
      <c r="D68" s="134">
        <v>21.49</v>
      </c>
      <c r="E68" s="134">
        <v>9.36</v>
      </c>
      <c r="F68" s="134">
        <v>6.34</v>
      </c>
      <c r="G68" s="134">
        <v>69.77</v>
      </c>
      <c r="H68" s="134">
        <v>28.46</v>
      </c>
      <c r="I68" s="134">
        <v>6.77</v>
      </c>
      <c r="J68" s="134">
        <v>0.23</v>
      </c>
      <c r="K68" s="134">
        <v>67.84</v>
      </c>
      <c r="L68" s="134">
        <v>29.71</v>
      </c>
      <c r="M68" s="134">
        <v>45.6</v>
      </c>
      <c r="N68" s="134">
        <v>96.4</v>
      </c>
      <c r="O68" s="134">
        <v>0</v>
      </c>
      <c r="P68" s="134">
        <v>0.75</v>
      </c>
      <c r="Q68" s="134">
        <v>4.53</v>
      </c>
    </row>
    <row r="69" spans="1:17" customFormat="1">
      <c r="A69" s="112" t="s">
        <v>3081</v>
      </c>
      <c r="B69" s="134">
        <v>8.11</v>
      </c>
      <c r="C69" s="134">
        <v>25.03</v>
      </c>
      <c r="D69" s="134">
        <v>20.93</v>
      </c>
      <c r="E69" s="134">
        <v>9.51</v>
      </c>
      <c r="F69" s="134">
        <v>5.45</v>
      </c>
      <c r="G69" s="134">
        <v>62.21</v>
      </c>
      <c r="H69" s="134">
        <v>23.94</v>
      </c>
      <c r="I69" s="134">
        <v>6.63</v>
      </c>
      <c r="J69" s="134">
        <v>0.22</v>
      </c>
      <c r="K69" s="134">
        <v>93.84</v>
      </c>
      <c r="L69" s="134">
        <v>29.58</v>
      </c>
      <c r="M69" s="134">
        <v>45.58</v>
      </c>
      <c r="N69" s="134">
        <v>83.5</v>
      </c>
      <c r="O69" s="134">
        <v>0</v>
      </c>
      <c r="P69" s="134">
        <v>0.75</v>
      </c>
      <c r="Q69" s="134">
        <v>4.5199999999999996</v>
      </c>
    </row>
    <row r="70" spans="1:17" customFormat="1">
      <c r="A70" s="112" t="s">
        <v>3082</v>
      </c>
      <c r="B70" s="134">
        <v>7.74</v>
      </c>
      <c r="C70" s="134">
        <v>25.19</v>
      </c>
      <c r="D70" s="134">
        <v>20.72</v>
      </c>
      <c r="E70" s="134">
        <v>8.8000000000000007</v>
      </c>
      <c r="F70" s="134">
        <v>5.0199999999999996</v>
      </c>
      <c r="G70" s="134">
        <v>62.21</v>
      </c>
      <c r="H70" s="134">
        <v>23.94</v>
      </c>
      <c r="I70" s="134">
        <v>6.51</v>
      </c>
      <c r="J70" s="134">
        <v>0.36</v>
      </c>
      <c r="K70" s="134">
        <v>59.09</v>
      </c>
      <c r="L70" s="134">
        <v>29.26</v>
      </c>
      <c r="M70" s="134">
        <v>45.37</v>
      </c>
      <c r="N70" s="134">
        <v>55.7</v>
      </c>
      <c r="O70" s="134">
        <v>0</v>
      </c>
      <c r="P70" s="134">
        <v>0.74</v>
      </c>
      <c r="Q70" s="134">
        <v>4.49</v>
      </c>
    </row>
    <row r="71" spans="1:17" customFormat="1">
      <c r="A71" s="112" t="s">
        <v>3083</v>
      </c>
      <c r="B71" s="134">
        <v>7.69</v>
      </c>
      <c r="C71" s="134">
        <v>25.92</v>
      </c>
      <c r="D71" s="134">
        <v>21.06</v>
      </c>
      <c r="E71" s="134">
        <v>8.98</v>
      </c>
      <c r="F71" s="134">
        <v>4.43</v>
      </c>
      <c r="G71" s="134">
        <v>62.21</v>
      </c>
      <c r="H71" s="134">
        <v>23.94</v>
      </c>
      <c r="I71" s="134">
        <v>6.39</v>
      </c>
      <c r="J71" s="134">
        <v>0.34</v>
      </c>
      <c r="K71" s="134">
        <v>65.13</v>
      </c>
      <c r="L71" s="134">
        <v>28.8</v>
      </c>
      <c r="M71" s="134">
        <v>47.28</v>
      </c>
      <c r="N71" s="134">
        <v>38.200000000000003</v>
      </c>
      <c r="O71" s="134">
        <v>0</v>
      </c>
      <c r="P71" s="134">
        <v>0.74</v>
      </c>
      <c r="Q71" s="134">
        <v>4.4800000000000004</v>
      </c>
    </row>
    <row r="72" spans="1:17" customFormat="1">
      <c r="A72" s="112" t="s">
        <v>3084</v>
      </c>
      <c r="B72" s="134">
        <v>7.69</v>
      </c>
      <c r="C72" s="134">
        <v>26.36</v>
      </c>
      <c r="D72" s="134">
        <v>21.29</v>
      </c>
      <c r="E72" s="134">
        <v>9.1199999999999992</v>
      </c>
      <c r="F72" s="134">
        <v>4.01</v>
      </c>
      <c r="G72" s="134">
        <v>62.2</v>
      </c>
      <c r="H72" s="134">
        <v>24</v>
      </c>
      <c r="I72" s="134">
        <v>6.3</v>
      </c>
      <c r="J72" s="134">
        <v>0.16</v>
      </c>
      <c r="K72" s="134">
        <v>134.21</v>
      </c>
      <c r="L72" s="134">
        <v>28.44</v>
      </c>
      <c r="M72" s="134">
        <v>52.43</v>
      </c>
      <c r="N72" s="134">
        <v>47.2</v>
      </c>
      <c r="O72" s="134">
        <v>0</v>
      </c>
      <c r="P72" s="134">
        <v>0.73</v>
      </c>
      <c r="Q72" s="134">
        <v>4.49</v>
      </c>
    </row>
    <row r="73" spans="1:17" customFormat="1">
      <c r="A73" s="112" t="s">
        <v>3085</v>
      </c>
      <c r="B73" s="134">
        <v>7.86</v>
      </c>
      <c r="C73" s="134">
        <v>26.79</v>
      </c>
      <c r="D73" s="134">
        <v>21.65</v>
      </c>
      <c r="E73" s="134">
        <v>10.65</v>
      </c>
      <c r="F73" s="134">
        <v>3.83</v>
      </c>
      <c r="G73" s="134">
        <v>60.87</v>
      </c>
      <c r="H73" s="134">
        <v>27.8</v>
      </c>
      <c r="I73" s="134">
        <v>6.26</v>
      </c>
      <c r="J73" s="134">
        <v>0.16</v>
      </c>
      <c r="K73" s="134">
        <v>95.8</v>
      </c>
      <c r="L73" s="134">
        <v>28.23</v>
      </c>
      <c r="M73" s="134">
        <v>53.96</v>
      </c>
      <c r="N73" s="134">
        <v>40.200000000000003</v>
      </c>
      <c r="O73" s="134">
        <v>0</v>
      </c>
      <c r="P73" s="134">
        <v>0.74</v>
      </c>
      <c r="Q73" s="134">
        <v>4.49</v>
      </c>
    </row>
    <row r="74" spans="1:17" customFormat="1">
      <c r="A74" s="112" t="s">
        <v>3086</v>
      </c>
      <c r="B74" s="134">
        <v>7.93</v>
      </c>
      <c r="C74" s="134">
        <v>26.59</v>
      </c>
      <c r="D74" s="134">
        <v>21.6</v>
      </c>
      <c r="E74" s="134">
        <v>10.69</v>
      </c>
      <c r="F74" s="134">
        <v>3.2</v>
      </c>
      <c r="G74" s="134">
        <v>60.87</v>
      </c>
      <c r="H74" s="134">
        <v>27.8</v>
      </c>
      <c r="I74" s="134">
        <v>6.28</v>
      </c>
      <c r="J74" s="134">
        <v>0.14000000000000001</v>
      </c>
      <c r="K74" s="134">
        <v>124.86</v>
      </c>
      <c r="L74" s="134">
        <v>27.99</v>
      </c>
      <c r="M74" s="134">
        <v>55.97</v>
      </c>
      <c r="N74" s="134">
        <v>25.3</v>
      </c>
      <c r="O74" s="134">
        <v>0</v>
      </c>
      <c r="P74" s="134">
        <v>0.76</v>
      </c>
      <c r="Q74" s="134">
        <v>4.5</v>
      </c>
    </row>
    <row r="75" spans="1:17" customFormat="1">
      <c r="A75" s="112" t="s">
        <v>3087</v>
      </c>
      <c r="B75" s="134">
        <v>8.25</v>
      </c>
      <c r="C75" s="134">
        <v>26.72</v>
      </c>
      <c r="D75" s="134">
        <v>21.93</v>
      </c>
      <c r="E75" s="134">
        <v>11.25</v>
      </c>
      <c r="F75" s="134">
        <v>3.02</v>
      </c>
      <c r="G75" s="134">
        <v>60.87</v>
      </c>
      <c r="H75" s="134">
        <v>27.8</v>
      </c>
      <c r="I75" s="134">
        <v>6.33</v>
      </c>
      <c r="J75" s="134">
        <v>0.11</v>
      </c>
      <c r="K75" s="134">
        <v>105.06</v>
      </c>
      <c r="L75" s="134">
        <v>27.63</v>
      </c>
      <c r="M75" s="134">
        <v>56.05</v>
      </c>
      <c r="N75" s="134">
        <v>12.5</v>
      </c>
      <c r="O75" s="134">
        <v>0</v>
      </c>
      <c r="P75" s="134">
        <v>0.79</v>
      </c>
      <c r="Q75" s="134">
        <v>4.51</v>
      </c>
    </row>
    <row r="76" spans="1:17" customFormat="1">
      <c r="A76" s="112" t="s">
        <v>3088</v>
      </c>
      <c r="B76" s="134">
        <v>8.65</v>
      </c>
      <c r="C76" s="134">
        <v>27.04</v>
      </c>
      <c r="D76" s="134">
        <v>22.42</v>
      </c>
      <c r="E76" s="134">
        <v>11.44</v>
      </c>
      <c r="F76" s="134">
        <v>2.81</v>
      </c>
      <c r="G76" s="134">
        <v>61.3</v>
      </c>
      <c r="H76" s="134">
        <v>27.92</v>
      </c>
      <c r="I76" s="134">
        <v>6.46</v>
      </c>
      <c r="J76" s="134">
        <v>7.0000000000000007E-2</v>
      </c>
      <c r="K76" s="134">
        <v>106.13</v>
      </c>
      <c r="L76" s="134">
        <v>27.22</v>
      </c>
      <c r="M76" s="134">
        <v>58.15</v>
      </c>
      <c r="N76" s="134">
        <v>1.7</v>
      </c>
      <c r="O76" s="134">
        <v>0</v>
      </c>
      <c r="P76" s="134">
        <v>0.81</v>
      </c>
      <c r="Q76" s="134">
        <v>4.54</v>
      </c>
    </row>
    <row r="77" spans="1:17" customFormat="1">
      <c r="A77" s="112" t="s">
        <v>3089</v>
      </c>
      <c r="B77" s="134">
        <v>9.3800000000000008</v>
      </c>
      <c r="C77" s="134">
        <v>27.54</v>
      </c>
      <c r="D77" s="134">
        <v>23.26</v>
      </c>
      <c r="E77" s="134">
        <v>11.12</v>
      </c>
      <c r="F77" s="134">
        <v>2.61</v>
      </c>
      <c r="G77" s="134">
        <v>80.599999999999994</v>
      </c>
      <c r="H77" s="134">
        <v>35.86</v>
      </c>
      <c r="I77" s="134">
        <v>6.82</v>
      </c>
      <c r="J77" s="134">
        <v>0.13</v>
      </c>
      <c r="K77" s="134">
        <v>52.65</v>
      </c>
      <c r="L77" s="134">
        <v>26.68</v>
      </c>
      <c r="M77" s="134">
        <v>59.49</v>
      </c>
      <c r="N77" s="134">
        <v>0</v>
      </c>
      <c r="O77" s="134">
        <v>0</v>
      </c>
      <c r="P77" s="134">
        <v>0.83</v>
      </c>
      <c r="Q77" s="134">
        <v>4.57</v>
      </c>
    </row>
    <row r="78" spans="1:17" customFormat="1">
      <c r="A78" s="112" t="s">
        <v>3090</v>
      </c>
      <c r="B78" s="134">
        <v>10.36</v>
      </c>
      <c r="C78" s="134">
        <v>28.43</v>
      </c>
      <c r="D78" s="134">
        <v>24.52</v>
      </c>
      <c r="E78" s="134">
        <v>10.92</v>
      </c>
      <c r="F78" s="134">
        <v>2.59</v>
      </c>
      <c r="G78" s="134">
        <v>80.599999999999994</v>
      </c>
      <c r="H78" s="134">
        <v>35.86</v>
      </c>
      <c r="I78" s="134">
        <v>7.67</v>
      </c>
      <c r="J78" s="134">
        <v>0.12</v>
      </c>
      <c r="K78" s="134">
        <v>101.49</v>
      </c>
      <c r="L78" s="134">
        <v>26.48</v>
      </c>
      <c r="M78" s="134">
        <v>62.72</v>
      </c>
      <c r="N78" s="134">
        <v>0</v>
      </c>
      <c r="O78" s="134">
        <v>0</v>
      </c>
      <c r="P78" s="134">
        <v>0.86</v>
      </c>
      <c r="Q78" s="134">
        <v>4.5999999999999996</v>
      </c>
    </row>
    <row r="79" spans="1:17" customFormat="1">
      <c r="A79" s="112" t="s">
        <v>3091</v>
      </c>
      <c r="B79" s="134">
        <v>11.37</v>
      </c>
      <c r="C79" s="134">
        <v>29.14</v>
      </c>
      <c r="D79" s="134">
        <v>25.7</v>
      </c>
      <c r="E79" s="134">
        <v>10.96</v>
      </c>
      <c r="F79" s="134">
        <v>2.67</v>
      </c>
      <c r="G79" s="134">
        <v>80.599999999999994</v>
      </c>
      <c r="H79" s="134">
        <v>35.86</v>
      </c>
      <c r="I79" s="134">
        <v>8.73</v>
      </c>
      <c r="J79" s="134">
        <v>0.16</v>
      </c>
      <c r="K79" s="134">
        <v>132.25</v>
      </c>
      <c r="L79" s="134">
        <v>26.15</v>
      </c>
      <c r="M79" s="134">
        <v>65.94</v>
      </c>
      <c r="N79" s="134">
        <v>0</v>
      </c>
      <c r="O79" s="134">
        <v>0</v>
      </c>
      <c r="P79" s="134">
        <v>0.89</v>
      </c>
      <c r="Q79" s="134">
        <v>4.62</v>
      </c>
    </row>
    <row r="80" spans="1:17" customFormat="1">
      <c r="A80" s="112" t="s">
        <v>3092</v>
      </c>
      <c r="B80" s="134">
        <v>12.04</v>
      </c>
      <c r="C80" s="134">
        <v>29.46</v>
      </c>
      <c r="D80" s="134">
        <v>26.4</v>
      </c>
      <c r="E80" s="134">
        <v>10.94</v>
      </c>
      <c r="F80" s="134">
        <v>2.5099999999999998</v>
      </c>
      <c r="G80" s="134">
        <v>80.98</v>
      </c>
      <c r="H80" s="134">
        <v>35.840000000000003</v>
      </c>
      <c r="I80" s="134">
        <v>9.58</v>
      </c>
      <c r="J80" s="134">
        <v>0.2</v>
      </c>
      <c r="K80" s="134">
        <v>123.44</v>
      </c>
      <c r="L80" s="134">
        <v>26.2</v>
      </c>
      <c r="M80" s="134">
        <v>64.05</v>
      </c>
      <c r="N80" s="134">
        <v>0</v>
      </c>
      <c r="O80" s="134">
        <v>0</v>
      </c>
      <c r="P80" s="134">
        <v>0.9</v>
      </c>
      <c r="Q80" s="134">
        <v>4.66</v>
      </c>
    </row>
    <row r="81" spans="1:17" customFormat="1">
      <c r="A81" s="112" t="s">
        <v>3093</v>
      </c>
      <c r="B81" s="134">
        <v>12.56</v>
      </c>
      <c r="C81" s="134">
        <v>30.09</v>
      </c>
      <c r="D81" s="134">
        <v>27.14</v>
      </c>
      <c r="E81" s="134">
        <v>7.18</v>
      </c>
      <c r="F81" s="134">
        <v>2.58</v>
      </c>
      <c r="G81" s="134">
        <v>97.47</v>
      </c>
      <c r="H81" s="134">
        <v>35.04</v>
      </c>
      <c r="I81" s="134">
        <v>10.34</v>
      </c>
      <c r="J81" s="134">
        <v>0.16</v>
      </c>
      <c r="K81" s="134">
        <v>123.9</v>
      </c>
      <c r="L81" s="134">
        <v>26.39</v>
      </c>
      <c r="M81" s="134">
        <v>61.45</v>
      </c>
      <c r="N81" s="134">
        <v>0</v>
      </c>
      <c r="O81" s="134">
        <v>0</v>
      </c>
      <c r="P81" s="134">
        <v>0.91</v>
      </c>
      <c r="Q81" s="134">
        <v>4.68</v>
      </c>
    </row>
    <row r="82" spans="1:17" customFormat="1">
      <c r="A82" s="112" t="s">
        <v>3094</v>
      </c>
      <c r="B82" s="134">
        <v>13.33</v>
      </c>
      <c r="C82" s="134">
        <v>30.06</v>
      </c>
      <c r="D82" s="134">
        <v>27.75</v>
      </c>
      <c r="E82" s="134">
        <v>8.16</v>
      </c>
      <c r="F82" s="134">
        <v>2.65</v>
      </c>
      <c r="G82" s="134">
        <v>97.47</v>
      </c>
      <c r="H82" s="134">
        <v>35.04</v>
      </c>
      <c r="I82" s="134">
        <v>10.89</v>
      </c>
      <c r="J82" s="134">
        <v>0.14000000000000001</v>
      </c>
      <c r="K82" s="134">
        <v>116.25</v>
      </c>
      <c r="L82" s="134">
        <v>26.18</v>
      </c>
      <c r="M82" s="134">
        <v>62.87</v>
      </c>
      <c r="N82" s="134">
        <v>0</v>
      </c>
      <c r="O82" s="134">
        <v>0</v>
      </c>
      <c r="P82" s="134">
        <v>0.92</v>
      </c>
      <c r="Q82" s="134">
        <v>4.72</v>
      </c>
    </row>
    <row r="83" spans="1:17" customFormat="1">
      <c r="A83" s="112" t="s">
        <v>3095</v>
      </c>
      <c r="B83" s="134">
        <v>13.95</v>
      </c>
      <c r="C83" s="134">
        <v>30.68</v>
      </c>
      <c r="D83" s="134">
        <v>28.57</v>
      </c>
      <c r="E83" s="134">
        <v>8.08</v>
      </c>
      <c r="F83" s="134">
        <v>2.5</v>
      </c>
      <c r="G83" s="134">
        <v>97.47</v>
      </c>
      <c r="H83" s="134">
        <v>35.04</v>
      </c>
      <c r="I83" s="134">
        <v>11.03</v>
      </c>
      <c r="J83" s="134">
        <v>0.18</v>
      </c>
      <c r="K83" s="134">
        <v>143.08000000000001</v>
      </c>
      <c r="L83" s="134">
        <v>25.99</v>
      </c>
      <c r="M83" s="134">
        <v>63.84</v>
      </c>
      <c r="N83" s="134">
        <v>0</v>
      </c>
      <c r="O83" s="134">
        <v>0</v>
      </c>
      <c r="P83" s="134">
        <v>0.93</v>
      </c>
      <c r="Q83" s="134">
        <v>4.74</v>
      </c>
    </row>
    <row r="84" spans="1:17" customFormat="1">
      <c r="A84" s="112" t="s">
        <v>3096</v>
      </c>
      <c r="B84" s="134">
        <v>14.54</v>
      </c>
      <c r="C84" s="134">
        <v>32.26</v>
      </c>
      <c r="D84" s="134">
        <v>29.86</v>
      </c>
      <c r="E84" s="134">
        <v>8.07</v>
      </c>
      <c r="F84" s="134">
        <v>2.5</v>
      </c>
      <c r="G84" s="134">
        <v>98.2</v>
      </c>
      <c r="H84" s="134">
        <v>35.119999999999997</v>
      </c>
      <c r="I84" s="134">
        <v>10.94</v>
      </c>
      <c r="J84" s="134">
        <v>0.18</v>
      </c>
      <c r="K84" s="134">
        <v>95.3</v>
      </c>
      <c r="L84" s="134">
        <v>25.68</v>
      </c>
      <c r="M84" s="134">
        <v>64.489999999999995</v>
      </c>
      <c r="N84" s="134">
        <v>0</v>
      </c>
      <c r="O84" s="134">
        <v>0</v>
      </c>
      <c r="P84" s="134">
        <v>0.95</v>
      </c>
      <c r="Q84" s="134">
        <v>4.74</v>
      </c>
    </row>
    <row r="85" spans="1:17" customFormat="1">
      <c r="A85" s="112" t="s">
        <v>3097</v>
      </c>
      <c r="B85" s="134">
        <v>15.42</v>
      </c>
      <c r="C85" s="134">
        <v>30.62</v>
      </c>
      <c r="D85" s="134">
        <v>29.71</v>
      </c>
      <c r="E85" s="134">
        <v>7.54</v>
      </c>
      <c r="F85" s="134">
        <v>2.78</v>
      </c>
      <c r="G85" s="134">
        <v>130.44999999999999</v>
      </c>
      <c r="H85" s="134">
        <v>40.14</v>
      </c>
      <c r="I85" s="134">
        <v>10.83</v>
      </c>
      <c r="J85" s="134">
        <v>0.3</v>
      </c>
      <c r="K85" s="134">
        <v>66.849999999999994</v>
      </c>
      <c r="L85" s="134">
        <v>25.54</v>
      </c>
      <c r="M85" s="134">
        <v>62.44</v>
      </c>
      <c r="N85" s="134">
        <v>0</v>
      </c>
      <c r="O85" s="134">
        <v>0</v>
      </c>
      <c r="P85" s="134">
        <v>0.95</v>
      </c>
      <c r="Q85" s="134">
        <v>4.76</v>
      </c>
    </row>
    <row r="86" spans="1:17" customFormat="1">
      <c r="A86" s="112" t="s">
        <v>3098</v>
      </c>
      <c r="B86" s="134">
        <v>16.27</v>
      </c>
      <c r="C86" s="134">
        <v>26.96</v>
      </c>
      <c r="D86" s="134">
        <v>28.49</v>
      </c>
      <c r="E86" s="134">
        <v>7.43</v>
      </c>
      <c r="F86" s="134">
        <v>2.86</v>
      </c>
      <c r="G86" s="134">
        <v>130.44999999999999</v>
      </c>
      <c r="H86" s="134">
        <v>40.14</v>
      </c>
      <c r="I86" s="134">
        <v>10.76</v>
      </c>
      <c r="J86" s="134">
        <v>0.33</v>
      </c>
      <c r="K86" s="134">
        <v>61.2</v>
      </c>
      <c r="L86" s="134">
        <v>25.46</v>
      </c>
      <c r="M86" s="134">
        <v>62.55</v>
      </c>
      <c r="N86" s="134">
        <v>0</v>
      </c>
      <c r="O86" s="134">
        <v>0</v>
      </c>
      <c r="P86" s="134">
        <v>0.93</v>
      </c>
      <c r="Q86" s="134">
        <v>4.78</v>
      </c>
    </row>
    <row r="87" spans="1:17" customFormat="1">
      <c r="A87" s="112" t="s">
        <v>3099</v>
      </c>
      <c r="B87" s="134">
        <v>16.73</v>
      </c>
      <c r="C87" s="134">
        <v>24.56</v>
      </c>
      <c r="D87" s="134">
        <v>27.6</v>
      </c>
      <c r="E87" s="134">
        <v>6.62</v>
      </c>
      <c r="F87" s="134">
        <v>2.97</v>
      </c>
      <c r="G87" s="134">
        <v>130.44999999999999</v>
      </c>
      <c r="H87" s="134">
        <v>40.14</v>
      </c>
      <c r="I87" s="134">
        <v>10.73</v>
      </c>
      <c r="J87" s="134">
        <v>0.28999999999999998</v>
      </c>
      <c r="K87" s="134">
        <v>60.68</v>
      </c>
      <c r="L87" s="134">
        <v>25.24</v>
      </c>
      <c r="M87" s="134">
        <v>63.77</v>
      </c>
      <c r="N87" s="134">
        <v>0</v>
      </c>
      <c r="O87" s="134">
        <v>0</v>
      </c>
      <c r="P87" s="134">
        <v>0.92</v>
      </c>
      <c r="Q87" s="134">
        <v>4.76</v>
      </c>
    </row>
    <row r="88" spans="1:17" customFormat="1">
      <c r="A88" s="112" t="s">
        <v>3100</v>
      </c>
      <c r="B88" s="134">
        <v>17.28</v>
      </c>
      <c r="C88" s="134">
        <v>23.86</v>
      </c>
      <c r="D88" s="134">
        <v>27.67</v>
      </c>
      <c r="E88" s="134">
        <v>6.32</v>
      </c>
      <c r="F88" s="134">
        <v>2.81</v>
      </c>
      <c r="G88" s="134">
        <v>130.26</v>
      </c>
      <c r="H88" s="134">
        <v>40.119999999999997</v>
      </c>
      <c r="I88" s="134">
        <v>10.66</v>
      </c>
      <c r="J88" s="134">
        <v>0.31</v>
      </c>
      <c r="K88" s="134">
        <v>65.16</v>
      </c>
      <c r="L88" s="134">
        <v>25.07</v>
      </c>
      <c r="M88" s="134">
        <v>64.97</v>
      </c>
      <c r="N88" s="134">
        <v>0</v>
      </c>
      <c r="O88" s="134">
        <v>0</v>
      </c>
      <c r="P88" s="134">
        <v>0.93</v>
      </c>
      <c r="Q88" s="134">
        <v>4.7699999999999996</v>
      </c>
    </row>
    <row r="89" spans="1:17" customFormat="1">
      <c r="A89" s="112" t="s">
        <v>3101</v>
      </c>
      <c r="B89" s="134">
        <v>17.72</v>
      </c>
      <c r="C89" s="134">
        <v>23.57</v>
      </c>
      <c r="D89" s="134">
        <v>27.87</v>
      </c>
      <c r="E89" s="134">
        <v>6.55</v>
      </c>
      <c r="F89" s="134">
        <v>2.79</v>
      </c>
      <c r="G89" s="134">
        <v>113.45</v>
      </c>
      <c r="H89" s="134">
        <v>39.200000000000003</v>
      </c>
      <c r="I89" s="134">
        <v>10.59</v>
      </c>
      <c r="J89" s="134">
        <v>0.47</v>
      </c>
      <c r="K89" s="134">
        <v>55.67</v>
      </c>
      <c r="L89" s="134">
        <v>24.89</v>
      </c>
      <c r="M89" s="134">
        <v>64.44</v>
      </c>
      <c r="N89" s="134">
        <v>0</v>
      </c>
      <c r="O89" s="134">
        <v>0</v>
      </c>
      <c r="P89" s="134">
        <v>0.92</v>
      </c>
      <c r="Q89" s="134">
        <v>4.7699999999999996</v>
      </c>
    </row>
    <row r="90" spans="1:17" customFormat="1">
      <c r="A90" s="112" t="s">
        <v>3102</v>
      </c>
      <c r="B90" s="134">
        <v>17.989999999999998</v>
      </c>
      <c r="C90" s="134">
        <v>23.47</v>
      </c>
      <c r="D90" s="134">
        <v>28.04</v>
      </c>
      <c r="E90" s="134">
        <v>6.02</v>
      </c>
      <c r="F90" s="134">
        <v>2.67</v>
      </c>
      <c r="G90" s="134">
        <v>113.45</v>
      </c>
      <c r="H90" s="134">
        <v>39.200000000000003</v>
      </c>
      <c r="I90" s="134">
        <v>10.49</v>
      </c>
      <c r="J90" s="134">
        <v>0.39</v>
      </c>
      <c r="K90" s="134">
        <v>55.04</v>
      </c>
      <c r="L90" s="134">
        <v>24.69</v>
      </c>
      <c r="M90" s="134">
        <v>65.650000000000006</v>
      </c>
      <c r="N90" s="134">
        <v>0</v>
      </c>
      <c r="O90" s="134">
        <v>0</v>
      </c>
      <c r="P90" s="134">
        <v>0.92</v>
      </c>
      <c r="Q90" s="134">
        <v>4.76</v>
      </c>
    </row>
    <row r="91" spans="1:17" customFormat="1">
      <c r="A91" s="112" t="s">
        <v>3103</v>
      </c>
      <c r="B91" s="134">
        <v>18.23</v>
      </c>
      <c r="C91" s="134">
        <v>25.55</v>
      </c>
      <c r="D91" s="134">
        <v>29.31</v>
      </c>
      <c r="E91" s="134">
        <v>6.35</v>
      </c>
      <c r="F91" s="134">
        <v>2.56</v>
      </c>
      <c r="G91" s="134">
        <v>113.45</v>
      </c>
      <c r="H91" s="134">
        <v>39.200000000000003</v>
      </c>
      <c r="I91" s="134">
        <v>10.39</v>
      </c>
      <c r="J91" s="134">
        <v>0.3</v>
      </c>
      <c r="K91" s="134">
        <v>59.99</v>
      </c>
      <c r="L91" s="134">
        <v>24.55</v>
      </c>
      <c r="M91" s="134">
        <v>66.61</v>
      </c>
      <c r="N91" s="134">
        <v>0</v>
      </c>
      <c r="O91" s="134">
        <v>0</v>
      </c>
      <c r="P91" s="134">
        <v>0.94</v>
      </c>
      <c r="Q91" s="134">
        <v>4.76</v>
      </c>
    </row>
    <row r="92" spans="1:17" customFormat="1">
      <c r="A92" s="112" t="s">
        <v>3104</v>
      </c>
      <c r="B92" s="134">
        <v>18.68</v>
      </c>
      <c r="C92" s="134">
        <v>24.39</v>
      </c>
      <c r="D92" s="134">
        <v>29.07</v>
      </c>
      <c r="E92" s="134">
        <v>5.92</v>
      </c>
      <c r="F92" s="134">
        <v>2.73</v>
      </c>
      <c r="G92" s="134">
        <v>113.13</v>
      </c>
      <c r="H92" s="134">
        <v>39.200000000000003</v>
      </c>
      <c r="I92" s="134">
        <v>10.28</v>
      </c>
      <c r="J92" s="134">
        <v>0.18</v>
      </c>
      <c r="K92" s="134">
        <v>78.56</v>
      </c>
      <c r="L92" s="134">
        <v>24.41</v>
      </c>
      <c r="M92" s="134">
        <v>67.83</v>
      </c>
      <c r="N92" s="134">
        <v>0</v>
      </c>
      <c r="O92" s="134">
        <v>0</v>
      </c>
      <c r="P92" s="134">
        <v>0.93</v>
      </c>
      <c r="Q92" s="134">
        <v>4.7699999999999996</v>
      </c>
    </row>
    <row r="93" spans="1:17" customFormat="1">
      <c r="A93" s="112" t="s">
        <v>3105</v>
      </c>
      <c r="B93" s="134">
        <v>19.09</v>
      </c>
      <c r="C93" s="134">
        <v>22.63</v>
      </c>
      <c r="D93" s="134">
        <v>28.49</v>
      </c>
      <c r="E93" s="134">
        <v>6.11</v>
      </c>
      <c r="F93" s="134">
        <v>2.68</v>
      </c>
      <c r="G93" s="134">
        <v>98.81</v>
      </c>
      <c r="H93" s="134">
        <v>39.49</v>
      </c>
      <c r="I93" s="134">
        <v>10.19</v>
      </c>
      <c r="J93" s="134">
        <v>0.15</v>
      </c>
      <c r="K93" s="134">
        <v>98.27</v>
      </c>
      <c r="L93" s="134">
        <v>24.14</v>
      </c>
      <c r="M93" s="134">
        <v>69.66</v>
      </c>
      <c r="N93" s="134">
        <v>0</v>
      </c>
      <c r="O93" s="134">
        <v>0</v>
      </c>
      <c r="P93" s="134">
        <v>0.92</v>
      </c>
      <c r="Q93" s="134">
        <v>4.78</v>
      </c>
    </row>
    <row r="94" spans="1:17" customFormat="1">
      <c r="A94" s="112" t="s">
        <v>3106</v>
      </c>
      <c r="B94" s="134">
        <v>19.09</v>
      </c>
      <c r="C94" s="134">
        <v>22.81</v>
      </c>
      <c r="D94" s="134">
        <v>28.58</v>
      </c>
      <c r="E94" s="134">
        <v>5.61</v>
      </c>
      <c r="F94" s="134">
        <v>2.63</v>
      </c>
      <c r="G94" s="134">
        <v>98.81</v>
      </c>
      <c r="H94" s="134">
        <v>39.49</v>
      </c>
      <c r="I94" s="134">
        <v>10.119999999999999</v>
      </c>
      <c r="J94" s="134">
        <v>0.12</v>
      </c>
      <c r="K94" s="134">
        <v>143.43</v>
      </c>
      <c r="L94" s="134">
        <v>23.91</v>
      </c>
      <c r="M94" s="134">
        <v>70.39</v>
      </c>
      <c r="N94" s="134">
        <v>0</v>
      </c>
      <c r="O94" s="134">
        <v>0</v>
      </c>
      <c r="P94" s="134">
        <v>0.92</v>
      </c>
      <c r="Q94" s="134">
        <v>4.79</v>
      </c>
    </row>
    <row r="95" spans="1:17" customFormat="1">
      <c r="A95" s="112" t="s">
        <v>3107</v>
      </c>
      <c r="B95" s="134">
        <v>19.02</v>
      </c>
      <c r="C95" s="134">
        <v>23.34</v>
      </c>
      <c r="D95" s="134">
        <v>28.8</v>
      </c>
      <c r="E95" s="134">
        <v>6.34</v>
      </c>
      <c r="F95" s="134">
        <v>2.61</v>
      </c>
      <c r="G95" s="134">
        <v>98.81</v>
      </c>
      <c r="H95" s="134">
        <v>39.49</v>
      </c>
      <c r="I95" s="134">
        <v>10.050000000000001</v>
      </c>
      <c r="J95" s="134">
        <v>0.06</v>
      </c>
      <c r="K95" s="134">
        <v>186.67</v>
      </c>
      <c r="L95" s="134">
        <v>23.55</v>
      </c>
      <c r="M95" s="134">
        <v>72.58</v>
      </c>
      <c r="N95" s="134">
        <v>0</v>
      </c>
      <c r="O95" s="134">
        <v>0</v>
      </c>
      <c r="P95" s="134">
        <v>0.92</v>
      </c>
      <c r="Q95" s="134">
        <v>4.7699999999999996</v>
      </c>
    </row>
    <row r="96" spans="1:17" customFormat="1">
      <c r="A96" s="112" t="s">
        <v>3108</v>
      </c>
      <c r="B96" s="134">
        <v>19.190000000000001</v>
      </c>
      <c r="C96" s="134">
        <v>24.2</v>
      </c>
      <c r="D96" s="134">
        <v>29.38</v>
      </c>
      <c r="E96" s="134">
        <v>6.11</v>
      </c>
      <c r="F96" s="134">
        <v>2.44</v>
      </c>
      <c r="G96" s="134">
        <v>98.6</v>
      </c>
      <c r="H96" s="134">
        <v>39.5</v>
      </c>
      <c r="I96" s="134">
        <v>9.9700000000000006</v>
      </c>
      <c r="J96" s="134">
        <v>0.19</v>
      </c>
      <c r="K96" s="134">
        <v>72.95</v>
      </c>
      <c r="L96" s="134">
        <v>23.44</v>
      </c>
      <c r="M96" s="134">
        <v>71.58</v>
      </c>
      <c r="N96" s="134">
        <v>0</v>
      </c>
      <c r="O96" s="134">
        <v>0</v>
      </c>
      <c r="P96" s="134">
        <v>0.93</v>
      </c>
      <c r="Q96" s="134">
        <v>4.76</v>
      </c>
    </row>
    <row r="97" spans="1:22" customFormat="1">
      <c r="A97" s="112" t="s">
        <v>3109</v>
      </c>
      <c r="B97" s="134">
        <v>19.329999999999998</v>
      </c>
      <c r="C97" s="134">
        <v>23.62</v>
      </c>
      <c r="D97" s="134">
        <v>29.19</v>
      </c>
      <c r="E97" s="134">
        <v>5.94</v>
      </c>
      <c r="F97" s="134">
        <v>2.61</v>
      </c>
      <c r="G97" s="134">
        <v>89.45</v>
      </c>
      <c r="H97" s="134">
        <v>40.520000000000003</v>
      </c>
      <c r="I97" s="134">
        <v>9.8699999999999992</v>
      </c>
      <c r="J97" s="134">
        <v>0.1</v>
      </c>
      <c r="K97" s="134">
        <v>133.61000000000001</v>
      </c>
      <c r="L97" s="134">
        <v>23.18</v>
      </c>
      <c r="M97" s="134">
        <v>73.25</v>
      </c>
      <c r="N97" s="134">
        <v>0</v>
      </c>
      <c r="O97" s="134">
        <v>0</v>
      </c>
      <c r="P97" s="134">
        <v>0.92</v>
      </c>
      <c r="Q97" s="134">
        <v>4.78</v>
      </c>
    </row>
    <row r="98" spans="1:22" customFormat="1">
      <c r="A98" s="112" t="s">
        <v>3110</v>
      </c>
      <c r="B98" s="134">
        <v>19.25</v>
      </c>
      <c r="C98" s="134">
        <v>24.26</v>
      </c>
      <c r="D98" s="134">
        <v>29.47</v>
      </c>
      <c r="E98" s="134">
        <v>5.66</v>
      </c>
      <c r="F98" s="134">
        <v>2.54</v>
      </c>
      <c r="G98" s="134">
        <v>89.45</v>
      </c>
      <c r="H98" s="134">
        <v>40.520000000000003</v>
      </c>
      <c r="I98" s="134">
        <v>9.7799999999999994</v>
      </c>
      <c r="J98" s="134">
        <v>0.08</v>
      </c>
      <c r="K98" s="134">
        <v>131.80000000000001</v>
      </c>
      <c r="L98" s="134">
        <v>22.71</v>
      </c>
      <c r="M98" s="134">
        <v>75.459999999999994</v>
      </c>
      <c r="N98" s="134">
        <v>0</v>
      </c>
      <c r="O98" s="134">
        <v>0</v>
      </c>
      <c r="P98" s="134">
        <v>0.92</v>
      </c>
      <c r="Q98" s="134">
        <v>4.7699999999999996</v>
      </c>
    </row>
    <row r="99" spans="1:22" customFormat="1">
      <c r="A99" s="112" t="s">
        <v>3111</v>
      </c>
      <c r="B99" s="134">
        <v>19.25</v>
      </c>
      <c r="C99" s="134">
        <v>23.35</v>
      </c>
      <c r="D99" s="134">
        <v>28.99</v>
      </c>
      <c r="E99" s="134">
        <v>6.05</v>
      </c>
      <c r="F99" s="134">
        <v>2.56</v>
      </c>
      <c r="G99" s="134">
        <v>89.45</v>
      </c>
      <c r="H99" s="134">
        <v>40.520000000000003</v>
      </c>
      <c r="I99" s="134">
        <v>9.68</v>
      </c>
      <c r="J99" s="134">
        <v>0.11</v>
      </c>
      <c r="K99" s="134">
        <v>93.96</v>
      </c>
      <c r="L99" s="134">
        <v>22.56</v>
      </c>
      <c r="M99" s="134">
        <v>75.5</v>
      </c>
      <c r="N99" s="134">
        <v>0</v>
      </c>
      <c r="O99" s="134">
        <v>0</v>
      </c>
      <c r="P99" s="134">
        <v>0.91</v>
      </c>
      <c r="Q99" s="134">
        <v>4.78</v>
      </c>
    </row>
    <row r="100" spans="1:22" customFormat="1">
      <c r="A100" s="112" t="s">
        <v>3112</v>
      </c>
      <c r="B100" s="134">
        <v>19.38</v>
      </c>
      <c r="C100" s="134">
        <v>23.15</v>
      </c>
      <c r="D100" s="134">
        <v>28.99</v>
      </c>
      <c r="E100" s="134">
        <v>6.28</v>
      </c>
      <c r="F100" s="134">
        <v>2.61</v>
      </c>
      <c r="G100" s="134">
        <v>89.37</v>
      </c>
      <c r="H100" s="134">
        <v>40.47</v>
      </c>
      <c r="I100" s="134">
        <v>9.6</v>
      </c>
      <c r="J100" s="134">
        <v>0.11</v>
      </c>
      <c r="K100" s="134">
        <v>130.13999999999999</v>
      </c>
      <c r="L100" s="134">
        <v>22.48</v>
      </c>
      <c r="M100" s="134">
        <v>76.03</v>
      </c>
      <c r="N100" s="134">
        <v>0</v>
      </c>
      <c r="O100" s="134">
        <v>0</v>
      </c>
      <c r="P100" s="134">
        <v>0.9</v>
      </c>
      <c r="Q100" s="134">
        <v>4.76</v>
      </c>
    </row>
    <row r="101" spans="1:22" customFormat="1">
      <c r="A101" s="112" t="s">
        <v>3113</v>
      </c>
      <c r="B101" s="134">
        <v>19.440000000000001</v>
      </c>
      <c r="C101" s="134">
        <v>23.25</v>
      </c>
      <c r="D101" s="134">
        <v>29.09</v>
      </c>
      <c r="E101" s="134">
        <v>6.08</v>
      </c>
      <c r="F101" s="134">
        <v>2.65</v>
      </c>
      <c r="G101" s="134">
        <v>86.12</v>
      </c>
      <c r="H101" s="134">
        <v>37.119999999999997</v>
      </c>
      <c r="I101" s="134">
        <v>9.5</v>
      </c>
      <c r="J101" s="134">
        <v>0.05</v>
      </c>
      <c r="K101" s="134">
        <v>187.79</v>
      </c>
      <c r="L101" s="134">
        <v>22.21</v>
      </c>
      <c r="M101" s="134">
        <v>77.34</v>
      </c>
      <c r="N101" s="134">
        <v>0</v>
      </c>
      <c r="O101" s="134">
        <v>0</v>
      </c>
      <c r="P101" s="134">
        <v>0.9</v>
      </c>
      <c r="Q101" s="134">
        <v>4.78</v>
      </c>
    </row>
    <row r="102" spans="1:22" customFormat="1">
      <c r="A102" s="112" t="s">
        <v>3114</v>
      </c>
      <c r="B102" s="134">
        <v>19.39</v>
      </c>
      <c r="C102" s="134">
        <v>23.7</v>
      </c>
      <c r="D102" s="134">
        <v>29.28</v>
      </c>
      <c r="E102" s="134">
        <v>5.89</v>
      </c>
      <c r="F102" s="134">
        <v>2.62</v>
      </c>
      <c r="G102" s="134">
        <v>86.12</v>
      </c>
      <c r="H102" s="134">
        <v>37.119999999999997</v>
      </c>
      <c r="I102" s="134">
        <v>9.42</v>
      </c>
      <c r="J102" s="134">
        <v>0.1</v>
      </c>
      <c r="K102" s="134">
        <v>99.94</v>
      </c>
      <c r="L102" s="134">
        <v>22.19</v>
      </c>
      <c r="M102" s="134">
        <v>75.39</v>
      </c>
      <c r="N102" s="134">
        <v>0</v>
      </c>
      <c r="O102" s="134">
        <v>0</v>
      </c>
      <c r="P102" s="134">
        <v>0.9</v>
      </c>
      <c r="Q102" s="134">
        <v>4.8</v>
      </c>
    </row>
    <row r="103" spans="1:22" customFormat="1">
      <c r="A103" s="112" t="s">
        <v>3115</v>
      </c>
      <c r="B103" s="134">
        <v>19.3</v>
      </c>
      <c r="C103" s="134">
        <v>23.62</v>
      </c>
      <c r="D103" s="134">
        <v>29.17</v>
      </c>
      <c r="E103" s="134">
        <v>5.83</v>
      </c>
      <c r="F103" s="134">
        <v>2.65</v>
      </c>
      <c r="G103" s="134">
        <v>86.12</v>
      </c>
      <c r="H103" s="134">
        <v>37.119999999999997</v>
      </c>
      <c r="I103" s="134">
        <v>9.32</v>
      </c>
      <c r="J103" s="134">
        <v>0.17</v>
      </c>
      <c r="K103" s="134">
        <v>81.84</v>
      </c>
      <c r="L103" s="134">
        <v>22.24</v>
      </c>
      <c r="M103" s="134">
        <v>74.89</v>
      </c>
      <c r="N103" s="134">
        <v>0</v>
      </c>
      <c r="O103" s="134">
        <v>0</v>
      </c>
      <c r="P103" s="134">
        <v>0.89</v>
      </c>
      <c r="Q103" s="134">
        <v>4.8</v>
      </c>
    </row>
    <row r="104" spans="1:22" customFormat="1">
      <c r="A104" s="112" t="s">
        <v>3116</v>
      </c>
      <c r="B104" s="134">
        <v>19.3</v>
      </c>
      <c r="C104" s="134">
        <v>23.72</v>
      </c>
      <c r="D104" s="134">
        <v>29.22</v>
      </c>
      <c r="E104" s="134">
        <v>6.65</v>
      </c>
      <c r="F104" s="134">
        <v>2.64</v>
      </c>
      <c r="G104" s="134">
        <v>86.06</v>
      </c>
      <c r="H104" s="134">
        <v>37.06</v>
      </c>
      <c r="I104" s="134">
        <v>9.1999999999999993</v>
      </c>
      <c r="J104" s="134">
        <v>0.16</v>
      </c>
      <c r="K104" s="134">
        <v>78.45</v>
      </c>
      <c r="L104" s="134">
        <v>22.15</v>
      </c>
      <c r="M104" s="134">
        <v>75.89</v>
      </c>
      <c r="N104" s="134">
        <v>0</v>
      </c>
      <c r="O104" s="134">
        <v>0</v>
      </c>
      <c r="P104" s="134">
        <v>0.9</v>
      </c>
      <c r="Q104" s="134">
        <v>4.8099999999999996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7.69</v>
      </c>
      <c r="C106" s="183">
        <f>MIN(C9:C104)</f>
        <v>22.63</v>
      </c>
      <c r="D106" s="183">
        <f t="shared" ref="D106:Q106" si="0">MIN(D9:D104)</f>
        <v>20.72</v>
      </c>
      <c r="E106" s="183">
        <f t="shared" si="0"/>
        <v>5.61</v>
      </c>
      <c r="F106" s="183">
        <f t="shared" si="0"/>
        <v>2.44</v>
      </c>
      <c r="G106" s="183">
        <f t="shared" si="0"/>
        <v>60.31</v>
      </c>
      <c r="H106" s="183">
        <f t="shared" si="0"/>
        <v>23.94</v>
      </c>
      <c r="I106" s="183">
        <f t="shared" si="0"/>
        <v>6.26</v>
      </c>
      <c r="J106" s="183">
        <f t="shared" si="0"/>
        <v>0</v>
      </c>
      <c r="K106" s="183">
        <f t="shared" si="0"/>
        <v>11.09</v>
      </c>
      <c r="L106" s="183">
        <f t="shared" si="0"/>
        <v>18.22</v>
      </c>
      <c r="M106" s="183">
        <f t="shared" si="0"/>
        <v>45.08</v>
      </c>
      <c r="N106" s="183">
        <f t="shared" si="0"/>
        <v>0</v>
      </c>
      <c r="O106" s="183">
        <f t="shared" si="0"/>
        <v>0</v>
      </c>
      <c r="P106" s="183">
        <f t="shared" si="0"/>
        <v>0.72</v>
      </c>
      <c r="Q106" s="183">
        <f t="shared" si="0"/>
        <v>4.4800000000000004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45.98</v>
      </c>
      <c r="C107" s="184">
        <f t="shared" ref="C107:Q107" si="1">MAX(C9:C104)</f>
        <v>32.26</v>
      </c>
      <c r="D107" s="184">
        <f t="shared" si="1"/>
        <v>52.81</v>
      </c>
      <c r="E107" s="184">
        <f t="shared" si="1"/>
        <v>11.44</v>
      </c>
      <c r="F107" s="184">
        <f t="shared" si="1"/>
        <v>6.38</v>
      </c>
      <c r="G107" s="184">
        <f t="shared" si="1"/>
        <v>130.44999999999999</v>
      </c>
      <c r="H107" s="184">
        <f t="shared" si="1"/>
        <v>40.520000000000003</v>
      </c>
      <c r="I107" s="184">
        <f t="shared" si="1"/>
        <v>11.03</v>
      </c>
      <c r="J107" s="184">
        <f t="shared" si="1"/>
        <v>0.55000000000000004</v>
      </c>
      <c r="K107" s="184">
        <f t="shared" si="1"/>
        <v>348.36</v>
      </c>
      <c r="L107" s="184">
        <f t="shared" si="1"/>
        <v>30.42</v>
      </c>
      <c r="M107" s="184">
        <f t="shared" si="1"/>
        <v>97.46</v>
      </c>
      <c r="N107" s="184">
        <f t="shared" si="1"/>
        <v>530.4</v>
      </c>
      <c r="O107" s="184">
        <f t="shared" si="1"/>
        <v>0</v>
      </c>
      <c r="P107" s="184">
        <f t="shared" si="1"/>
        <v>0.95</v>
      </c>
      <c r="Q107" s="184">
        <f t="shared" si="1"/>
        <v>5.61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26.488124999999997</v>
      </c>
      <c r="C108" s="183">
        <f t="shared" ref="C108:Q108" si="2">AVERAGE(C9:C104)</f>
        <v>26.023749999999993</v>
      </c>
      <c r="D108" s="183">
        <f t="shared" si="2"/>
        <v>36.189479166666651</v>
      </c>
      <c r="E108" s="183">
        <f t="shared" si="2"/>
        <v>8.0359375000000011</v>
      </c>
      <c r="F108" s="183">
        <f t="shared" si="2"/>
        <v>3.0856250000000007</v>
      </c>
      <c r="G108" s="183">
        <f t="shared" si="2"/>
        <v>80.698645833333345</v>
      </c>
      <c r="H108" s="183">
        <f t="shared" si="2"/>
        <v>31.318749999999962</v>
      </c>
      <c r="I108" s="183">
        <f t="shared" si="2"/>
        <v>8.0558333333333341</v>
      </c>
      <c r="J108" s="183">
        <f t="shared" si="2"/>
        <v>0.22479166666666664</v>
      </c>
      <c r="K108" s="183">
        <f t="shared" si="2"/>
        <v>112.05312500000004</v>
      </c>
      <c r="L108" s="183">
        <f t="shared" si="2"/>
        <v>23.980000000000008</v>
      </c>
      <c r="M108" s="183">
        <f t="shared" si="2"/>
        <v>71.412500000000009</v>
      </c>
      <c r="N108" s="183">
        <f t="shared" si="2"/>
        <v>109.44895833333334</v>
      </c>
      <c r="O108" s="183">
        <f t="shared" si="2"/>
        <v>0</v>
      </c>
      <c r="P108" s="183">
        <f t="shared" si="2"/>
        <v>0.83270833333333372</v>
      </c>
      <c r="Q108" s="183">
        <f t="shared" si="2"/>
        <v>5.0356249999999987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12.609507550174012</v>
      </c>
      <c r="C109" s="183">
        <f t="shared" ref="C109:Q109" si="3">STDEV(C9:C104)</f>
        <v>2.1209611773415591</v>
      </c>
      <c r="D109" s="183">
        <f t="shared" si="3"/>
        <v>10.398846734618648</v>
      </c>
      <c r="E109" s="183">
        <f t="shared" si="3"/>
        <v>1.4333424890058304</v>
      </c>
      <c r="F109" s="183">
        <f t="shared" si="3"/>
        <v>0.92566540789230034</v>
      </c>
      <c r="G109" s="183">
        <f t="shared" si="3"/>
        <v>16.984644186644907</v>
      </c>
      <c r="H109" s="183">
        <f t="shared" si="3"/>
        <v>5.1863097619955951</v>
      </c>
      <c r="I109" s="183">
        <f t="shared" si="3"/>
        <v>1.4471763189900484</v>
      </c>
      <c r="J109" s="183">
        <f t="shared" si="3"/>
        <v>0.13107634711087204</v>
      </c>
      <c r="K109" s="183">
        <f t="shared" si="3"/>
        <v>83.2262210745033</v>
      </c>
      <c r="L109" s="183">
        <f t="shared" si="3"/>
        <v>3.9275973638639416</v>
      </c>
      <c r="M109" s="183">
        <f t="shared" si="3"/>
        <v>16.618484635457772</v>
      </c>
      <c r="N109" s="183">
        <f t="shared" si="3"/>
        <v>178.7798875976541</v>
      </c>
      <c r="O109" s="183">
        <f t="shared" si="3"/>
        <v>0</v>
      </c>
      <c r="P109" s="183">
        <f t="shared" si="3"/>
        <v>7.6109051493879379E-2</v>
      </c>
      <c r="Q109" s="183">
        <f t="shared" si="3"/>
        <v>0.36520163860819432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2" t="s">
        <v>56</v>
      </c>
      <c r="C115" s="192"/>
      <c r="D115" s="192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54"/>
  <sheetViews>
    <sheetView zoomScale="85" zoomScaleNormal="85" workbookViewId="0">
      <pane xSplit="1" ySplit="8" topLeftCell="B30" activePane="bottomRight" state="frozen"/>
      <selection pane="topRight"/>
      <selection pane="bottomLeft"/>
      <selection pane="bottomRight" activeCell="A39" sqref="A39:XFD39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 t="str">
        <f>$A$9</f>
        <v>01/11/2023 00:15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 t="str">
        <f>'01'!$B$2</f>
        <v>01/11/2023 00:15</v>
      </c>
      <c r="B9" s="95">
        <f>'01'!B108</f>
        <v>15.134270833333332</v>
      </c>
      <c r="C9" s="95">
        <f>'01'!C108</f>
        <v>23.570520833333333</v>
      </c>
      <c r="D9" s="95">
        <f>'01'!D108</f>
        <v>25.802708333333332</v>
      </c>
      <c r="E9" s="95">
        <f>'01'!E108</f>
        <v>6.4014583333333341</v>
      </c>
      <c r="F9" s="95">
        <f>'01'!F108</f>
        <v>3.4822916666666637</v>
      </c>
      <c r="G9" s="95">
        <f>'01'!G108</f>
        <v>69.497708333333335</v>
      </c>
      <c r="H9" s="95">
        <f>'01'!H108</f>
        <v>28.235520833333329</v>
      </c>
      <c r="I9" s="95">
        <f>'01'!I108</f>
        <v>6.3651041666666686</v>
      </c>
      <c r="J9" s="95">
        <f>'01'!J108</f>
        <v>0.215</v>
      </c>
      <c r="K9" s="95">
        <f>'01'!K108</f>
        <v>112.6303125</v>
      </c>
      <c r="L9" s="95">
        <f>'01'!L108</f>
        <v>24.55343749999999</v>
      </c>
      <c r="M9" s="95">
        <f>'01'!M108</f>
        <v>70.470937499999991</v>
      </c>
      <c r="N9" s="95">
        <f>'01'!N108</f>
        <v>132.42499999999998</v>
      </c>
      <c r="O9" s="95">
        <f>'01'!O108</f>
        <v>0</v>
      </c>
      <c r="P9" s="95">
        <f>'01'!P108</f>
        <v>0.77208333333333312</v>
      </c>
      <c r="Q9" s="95">
        <f>'01'!Q108</f>
        <v>4.848541666666665</v>
      </c>
      <c r="R9" s="160"/>
      <c r="S9" s="160"/>
      <c r="T9" s="160"/>
      <c r="U9" s="160"/>
    </row>
    <row r="10" spans="1:21">
      <c r="A10" s="157" t="str">
        <f>'02'!$B$2</f>
        <v>02/11/2023 00:15</v>
      </c>
      <c r="B10" s="95">
        <f>'02'!B108</f>
        <v>17.227499999999996</v>
      </c>
      <c r="C10" s="95">
        <f>'02'!C108</f>
        <v>24.714583333333337</v>
      </c>
      <c r="D10" s="95">
        <f>'02'!D108</f>
        <v>28.07885416666667</v>
      </c>
      <c r="E10" s="95">
        <f>'02'!E108</f>
        <v>6.5181249999999986</v>
      </c>
      <c r="F10" s="95">
        <f>'02'!F108</f>
        <v>3.4641666666666668</v>
      </c>
      <c r="G10" s="95">
        <f>'02'!G108</f>
        <v>81.909999999999982</v>
      </c>
      <c r="H10" s="95">
        <f>'02'!H108</f>
        <v>30.301770833333364</v>
      </c>
      <c r="I10" s="95">
        <f>'02'!I108</f>
        <v>7.9240624999999989</v>
      </c>
      <c r="J10" s="95">
        <f>'02'!J108</f>
        <v>0.23947916666666666</v>
      </c>
      <c r="K10" s="95">
        <f>'02'!K108</f>
        <v>99.822812500000012</v>
      </c>
      <c r="L10" s="95">
        <f>'02'!L108</f>
        <v>25.418229166666659</v>
      </c>
      <c r="M10" s="95">
        <f>'02'!M108</f>
        <v>76.919062499999981</v>
      </c>
      <c r="N10" s="95">
        <f>'02'!N108</f>
        <v>68.283333333333346</v>
      </c>
      <c r="O10" s="95">
        <f>'02'!O108</f>
        <v>0</v>
      </c>
      <c r="P10" s="95">
        <f>'02'!P108</f>
        <v>0.93145833333333261</v>
      </c>
      <c r="Q10" s="95">
        <f>'02'!Q108</f>
        <v>4.9592708333333322</v>
      </c>
      <c r="R10" s="160"/>
      <c r="S10" s="160"/>
      <c r="T10" s="160"/>
      <c r="U10" s="160"/>
    </row>
    <row r="11" spans="1:21">
      <c r="A11" s="157" t="str">
        <f>'03'!$B$2</f>
        <v>03/11/2023 00:15</v>
      </c>
      <c r="B11" s="95">
        <f>'03'!B108</f>
        <v>23.279166666666669</v>
      </c>
      <c r="C11" s="95">
        <f>'03'!C108</f>
        <v>22.965937500000013</v>
      </c>
      <c r="D11" s="95">
        <f>'03'!D108</f>
        <v>32.01822916666665</v>
      </c>
      <c r="E11" s="95">
        <f>'03'!E108</f>
        <v>5.7283333333333353</v>
      </c>
      <c r="F11" s="95">
        <f>'03'!F108</f>
        <v>3.0041666666666669</v>
      </c>
      <c r="G11" s="95">
        <f>'03'!G108</f>
        <v>62.387812500000003</v>
      </c>
      <c r="H11" s="95">
        <f>'03'!H108</f>
        <v>22.968749999999996</v>
      </c>
      <c r="I11" s="95">
        <f>'03'!I108</f>
        <v>8.1539583333333354</v>
      </c>
      <c r="J11" s="95">
        <f>'03'!J108</f>
        <v>0.24645833333333325</v>
      </c>
      <c r="K11" s="95">
        <f>'03'!K108</f>
        <v>116.81937499999997</v>
      </c>
      <c r="L11" s="95">
        <f>'03'!L108</f>
        <v>25.873333333333335</v>
      </c>
      <c r="M11" s="95">
        <f>'03'!M108</f>
        <v>83.712812499999998</v>
      </c>
      <c r="N11" s="95">
        <f>'03'!N108</f>
        <v>93.029166666666683</v>
      </c>
      <c r="O11" s="95">
        <f>'03'!O108</f>
        <v>2.7083333333333334E-2</v>
      </c>
      <c r="P11" s="95">
        <f>'03'!P108</f>
        <v>0.8721875</v>
      </c>
      <c r="Q11" s="95">
        <f>'03'!Q108</f>
        <v>5.2129166666666693</v>
      </c>
      <c r="R11" s="160"/>
      <c r="S11" s="160"/>
      <c r="T11" s="160"/>
      <c r="U11" s="160"/>
    </row>
    <row r="12" spans="1:21">
      <c r="A12" s="157" t="str">
        <f>'04'!$B$2</f>
        <v>04/11/2023 00:15</v>
      </c>
      <c r="B12" s="95">
        <f>'04'!B108</f>
        <v>20.653437500000003</v>
      </c>
      <c r="C12" s="95">
        <f>'04'!C108</f>
        <v>24.193645833333331</v>
      </c>
      <c r="D12" s="95">
        <f>'04'!D108</f>
        <v>30.55479166666667</v>
      </c>
      <c r="E12" s="95">
        <f>'04'!E108</f>
        <v>6.4656250000000002</v>
      </c>
      <c r="F12" s="95">
        <f>'04'!F108</f>
        <v>3.7878124999999989</v>
      </c>
      <c r="G12" s="95">
        <f>'04'!G108</f>
        <v>57.153854166666662</v>
      </c>
      <c r="H12" s="95">
        <f>'04'!H108</f>
        <v>20.734374999999996</v>
      </c>
      <c r="I12" s="95">
        <f>'04'!I108</f>
        <v>6.3258333333333328</v>
      </c>
      <c r="J12" s="95">
        <f>'04'!J108</f>
        <v>0.2315625</v>
      </c>
      <c r="K12" s="95">
        <f>'04'!K108</f>
        <v>96.245416666666699</v>
      </c>
      <c r="L12" s="95">
        <f>'04'!L108</f>
        <v>25.672708333333336</v>
      </c>
      <c r="M12" s="95">
        <f>'04'!M108</f>
        <v>84.014791666666653</v>
      </c>
      <c r="N12" s="95">
        <f>'04'!N108</f>
        <v>98.114583333333314</v>
      </c>
      <c r="O12" s="95">
        <f>'04'!O108</f>
        <v>0</v>
      </c>
      <c r="P12" s="95">
        <f>'04'!P108</f>
        <v>0.63937500000000014</v>
      </c>
      <c r="Q12" s="95">
        <f>'04'!Q108</f>
        <v>4.7291666666666652</v>
      </c>
      <c r="R12" s="160"/>
      <c r="S12" s="160"/>
      <c r="T12" s="160"/>
      <c r="U12" s="160"/>
    </row>
    <row r="13" spans="1:21">
      <c r="A13" s="157" t="str">
        <f>'05'!$B$2</f>
        <v>05/11/2023 00:15</v>
      </c>
      <c r="B13" s="95">
        <f>'05'!B108</f>
        <v>17.940833333333323</v>
      </c>
      <c r="C13" s="95">
        <f>'05'!C108</f>
        <v>23.635208333333338</v>
      </c>
      <c r="D13" s="95">
        <f>'05'!D108</f>
        <v>28.086875000000003</v>
      </c>
      <c r="E13" s="95">
        <f>'05'!E108</f>
        <v>6.3740625000000009</v>
      </c>
      <c r="F13" s="95">
        <f>'05'!F108</f>
        <v>3.5896875000000001</v>
      </c>
      <c r="G13" s="95">
        <f>'05'!G108</f>
        <v>86.826041666666754</v>
      </c>
      <c r="H13" s="95">
        <f>'05'!H108</f>
        <v>34.579166666666687</v>
      </c>
      <c r="I13" s="95">
        <f>'05'!I108</f>
        <v>7.1118749999999986</v>
      </c>
      <c r="J13" s="95">
        <f>'05'!J108</f>
        <v>0.35520833333333335</v>
      </c>
      <c r="K13" s="95">
        <f>'05'!K108</f>
        <v>88.746249999999989</v>
      </c>
      <c r="L13" s="95">
        <f>'05'!L108</f>
        <v>24.11958333333332</v>
      </c>
      <c r="M13" s="95">
        <f>'05'!M108</f>
        <v>72.629062500000018</v>
      </c>
      <c r="N13" s="95">
        <f>'05'!N108</f>
        <v>111.41458333333334</v>
      </c>
      <c r="O13" s="95">
        <f>'05'!O108</f>
        <v>0</v>
      </c>
      <c r="P13" s="95">
        <f>'05'!P108</f>
        <v>0.75718749999999968</v>
      </c>
      <c r="Q13" s="95">
        <f>'05'!Q108</f>
        <v>4.8855208333333326</v>
      </c>
      <c r="R13" s="160"/>
      <c r="S13" s="160"/>
      <c r="T13" s="160"/>
      <c r="U13" s="160"/>
    </row>
    <row r="14" spans="1:21">
      <c r="A14" s="157" t="str">
        <f>'06'!$B$2</f>
        <v>06/11/2023 00:15</v>
      </c>
      <c r="B14" s="95">
        <f>'06'!B108</f>
        <v>18.667083333333334</v>
      </c>
      <c r="C14" s="95">
        <f>'06'!C108</f>
        <v>25.082500000000007</v>
      </c>
      <c r="D14" s="95">
        <f>'06'!D108</f>
        <v>29.425208333333341</v>
      </c>
      <c r="E14" s="95">
        <f>'06'!E108</f>
        <v>6.1353124999999977</v>
      </c>
      <c r="F14" s="95">
        <f>'06'!F108</f>
        <v>3.1726041666666673</v>
      </c>
      <c r="G14" s="95">
        <f>'06'!G108</f>
        <v>83.971770833333338</v>
      </c>
      <c r="H14" s="95">
        <f>'06'!H108</f>
        <v>30.933437500000011</v>
      </c>
      <c r="I14" s="95">
        <f>'06'!I108</f>
        <v>6.890416666666666</v>
      </c>
      <c r="J14" s="95">
        <f>'06'!J108</f>
        <v>0.25218750000000018</v>
      </c>
      <c r="K14" s="95">
        <f>'06'!K108</f>
        <v>109.13177083333329</v>
      </c>
      <c r="L14" s="95">
        <f>'06'!L108</f>
        <v>23.755312499999999</v>
      </c>
      <c r="M14" s="95">
        <f>'06'!M108</f>
        <v>65.620208333333338</v>
      </c>
      <c r="N14" s="95">
        <f>'06'!N108</f>
        <v>138.36875000000001</v>
      </c>
      <c r="O14" s="95">
        <f>'06'!O108</f>
        <v>0</v>
      </c>
      <c r="P14" s="95">
        <f>'06'!P108</f>
        <v>0.74989583333333332</v>
      </c>
      <c r="Q14" s="95">
        <f>'06'!Q108</f>
        <v>4.8784374999999995</v>
      </c>
      <c r="R14" s="160"/>
      <c r="S14" s="160"/>
      <c r="T14" s="160"/>
      <c r="U14" s="160"/>
    </row>
    <row r="15" spans="1:21">
      <c r="A15" s="157" t="str">
        <f>'07'!$B$2</f>
        <v>07/11/2023 00:15</v>
      </c>
      <c r="B15" s="95">
        <f>'07'!B108</f>
        <v>30.267083333333336</v>
      </c>
      <c r="C15" s="95">
        <f>'07'!C108</f>
        <v>27.658541666666668</v>
      </c>
      <c r="D15" s="95">
        <f>'07'!D108</f>
        <v>40.072812500000005</v>
      </c>
      <c r="E15" s="95">
        <f>'07'!E108</f>
        <v>6.2872916666666656</v>
      </c>
      <c r="F15" s="95">
        <f>'07'!F108</f>
        <v>3.3815624999999998</v>
      </c>
      <c r="G15" s="95">
        <f>'07'!G108</f>
        <v>103.45916666666669</v>
      </c>
      <c r="H15" s="95">
        <f>'07'!H108</f>
        <v>35.726874999999986</v>
      </c>
      <c r="I15" s="95">
        <f>'07'!I108</f>
        <v>8.5720833333333371</v>
      </c>
      <c r="J15" s="95">
        <f>'07'!J108</f>
        <v>0.20802083333333335</v>
      </c>
      <c r="K15" s="95">
        <f>'07'!K108</f>
        <v>139.88374999999999</v>
      </c>
      <c r="L15" s="95">
        <f>'07'!L108</f>
        <v>24.008437499999999</v>
      </c>
      <c r="M15" s="95">
        <f>'07'!M108</f>
        <v>64.060312500000009</v>
      </c>
      <c r="N15" s="95">
        <f>'07'!N108</f>
        <v>143.63541666666669</v>
      </c>
      <c r="O15" s="95">
        <f>'07'!O108</f>
        <v>0</v>
      </c>
      <c r="P15" s="95">
        <f>'07'!P108</f>
        <v>0.93031249999999976</v>
      </c>
      <c r="Q15" s="95">
        <f>'07'!Q108</f>
        <v>5.3557291666666655</v>
      </c>
      <c r="R15" s="160"/>
      <c r="S15" s="160"/>
      <c r="T15" s="160"/>
      <c r="U15" s="160"/>
    </row>
    <row r="16" spans="1:21">
      <c r="A16" s="157" t="str">
        <f>'08'!$B$2</f>
        <v>08/11/2023 00:15</v>
      </c>
      <c r="B16" s="95">
        <f>'08'!B108</f>
        <v>19.989166666666669</v>
      </c>
      <c r="C16" s="95">
        <f>'08'!C108</f>
        <v>27.541979166666664</v>
      </c>
      <c r="D16" s="95">
        <f>'08'!D108</f>
        <v>31.770520833333318</v>
      </c>
      <c r="E16" s="95">
        <f>'08'!E108</f>
        <v>6.6702083333333322</v>
      </c>
      <c r="F16" s="95">
        <f>'08'!F108</f>
        <v>3.4703125000000004</v>
      </c>
      <c r="G16" s="95">
        <f>'08'!G108</f>
        <v>119.45177083333333</v>
      </c>
      <c r="H16" s="95">
        <f>'08'!H108</f>
        <v>43.22583333333332</v>
      </c>
      <c r="I16" s="95">
        <f>'08'!I108</f>
        <v>10.468333333333335</v>
      </c>
      <c r="J16" s="95">
        <f>'08'!J108</f>
        <v>0.17229166666666659</v>
      </c>
      <c r="K16" s="95">
        <f>'08'!K108</f>
        <v>173.14250000000001</v>
      </c>
      <c r="L16" s="95">
        <f>'08'!L108</f>
        <v>23.45354166666667</v>
      </c>
      <c r="M16" s="95">
        <f>'08'!M108</f>
        <v>67.160520833333365</v>
      </c>
      <c r="N16" s="95">
        <f>'08'!N108</f>
        <v>118.60312499999999</v>
      </c>
      <c r="O16" s="95">
        <f>'08'!O108</f>
        <v>0</v>
      </c>
      <c r="P16" s="95">
        <f>'08'!P108</f>
        <v>1.1185416666666665</v>
      </c>
      <c r="Q16" s="95">
        <f>'08'!Q108</f>
        <v>4.989374999999999</v>
      </c>
      <c r="R16" s="160"/>
      <c r="S16" s="160"/>
      <c r="T16" s="160"/>
      <c r="U16" s="160"/>
    </row>
    <row r="17" spans="1:21">
      <c r="A17" s="157" t="str">
        <f>'09'!$B$2</f>
        <v>09/11/2023 00:15</v>
      </c>
      <c r="B17" s="95">
        <f>'09'!B108</f>
        <v>9.6675000000000022</v>
      </c>
      <c r="C17" s="95">
        <f>'09'!C108</f>
        <v>24.091770833333342</v>
      </c>
      <c r="D17" s="95">
        <f>'09'!D108</f>
        <v>21.69020833333332</v>
      </c>
      <c r="E17" s="95">
        <f>'09'!E108</f>
        <v>5.7488541666666668</v>
      </c>
      <c r="F17" s="95">
        <f>'09'!F108</f>
        <v>3.428854166666667</v>
      </c>
      <c r="G17" s="95">
        <f>'09'!G108</f>
        <v>92.89104166666668</v>
      </c>
      <c r="H17" s="95">
        <f>'09'!H108</f>
        <v>34.876874999999977</v>
      </c>
      <c r="I17" s="95">
        <f>'09'!I108</f>
        <v>8.3213541666666693</v>
      </c>
      <c r="J17" s="95">
        <f>'09'!J108</f>
        <v>0.15999999999999995</v>
      </c>
      <c r="K17" s="95">
        <f>'09'!K108</f>
        <v>166.52635416666666</v>
      </c>
      <c r="L17" s="95">
        <f>'09'!L108</f>
        <v>24.007812499999996</v>
      </c>
      <c r="M17" s="95">
        <f>'09'!M108</f>
        <v>64.149374999999978</v>
      </c>
      <c r="N17" s="95">
        <f>'09'!N108</f>
        <v>132.953125</v>
      </c>
      <c r="O17" s="95">
        <f>'09'!O108</f>
        <v>0</v>
      </c>
      <c r="P17" s="95">
        <f>'09'!P108</f>
        <v>0.90333333333333365</v>
      </c>
      <c r="Q17" s="95">
        <f>'09'!Q108</f>
        <v>4.5359375000000002</v>
      </c>
      <c r="R17" s="160"/>
      <c r="S17" s="160"/>
      <c r="T17" s="160"/>
      <c r="U17" s="160"/>
    </row>
    <row r="18" spans="1:21">
      <c r="A18" s="157" t="str">
        <f>'10'!$B$2</f>
        <v>10/11/2023 00:15</v>
      </c>
      <c r="B18" s="95">
        <f>'10'!B108</f>
        <v>10.732916666666666</v>
      </c>
      <c r="C18" s="95">
        <f>'10'!C108</f>
        <v>23.916979166666668</v>
      </c>
      <c r="D18" s="95">
        <f>'10'!D108</f>
        <v>22.453958333333329</v>
      </c>
      <c r="E18" s="95">
        <f>'10'!E108</f>
        <v>6.0730208333333371</v>
      </c>
      <c r="F18" s="95">
        <f>'10'!F108</f>
        <v>4.7882291666666665</v>
      </c>
      <c r="G18" s="95">
        <f>'10'!G108</f>
        <v>80.914456521739126</v>
      </c>
      <c r="H18" s="95">
        <f>'10'!H108</f>
        <v>30.346413043478275</v>
      </c>
      <c r="I18" s="95">
        <f>'10'!I108</f>
        <v>7.0267708333333339</v>
      </c>
      <c r="J18" s="95">
        <f>'10'!J108</f>
        <v>0.16968749999999991</v>
      </c>
      <c r="K18" s="95">
        <f>'10'!K108</f>
        <v>167.17031250000002</v>
      </c>
      <c r="L18" s="95">
        <f>'10'!L108</f>
        <v>24.48041666666666</v>
      </c>
      <c r="M18" s="95">
        <f>'10'!M108</f>
        <v>66.319270833333334</v>
      </c>
      <c r="N18" s="95">
        <f>'10'!N108</f>
        <v>130.26770833333327</v>
      </c>
      <c r="O18" s="95">
        <f>'10'!O108</f>
        <v>0</v>
      </c>
      <c r="P18" s="95">
        <f>'10'!P108</f>
        <v>0.83697916666666694</v>
      </c>
      <c r="Q18" s="95">
        <f>'10'!Q108</f>
        <v>4.5384375000000023</v>
      </c>
      <c r="R18" s="160"/>
      <c r="S18" s="160"/>
      <c r="T18" s="160"/>
      <c r="U18" s="160"/>
    </row>
    <row r="19" spans="1:21">
      <c r="A19" s="157" t="str">
        <f>'11'!$B$2</f>
        <v>11/11/2023 00:15</v>
      </c>
      <c r="B19" s="95">
        <f>'11'!B108</f>
        <v>10.015833333333331</v>
      </c>
      <c r="C19" s="95">
        <f>'11'!C108</f>
        <v>23.981562499999999</v>
      </c>
      <c r="D19" s="95">
        <f>'11'!D108</f>
        <v>21.912499999999994</v>
      </c>
      <c r="E19" s="95">
        <f>'11'!E108</f>
        <v>8.0485416666666634</v>
      </c>
      <c r="F19" s="95">
        <f>'11'!F108</f>
        <v>4.964791666666664</v>
      </c>
      <c r="G19" s="95">
        <f>'11'!G108</f>
        <v>104.76635416666664</v>
      </c>
      <c r="H19" s="95">
        <f>'11'!H108</f>
        <v>46.676041666666691</v>
      </c>
      <c r="I19" s="95">
        <f>'11'!I108</f>
        <v>9.5657291666666691</v>
      </c>
      <c r="J19" s="95">
        <f>'11'!J108</f>
        <v>0.15843750000000001</v>
      </c>
      <c r="K19" s="95">
        <f>'11'!K108</f>
        <v>184.19677083333329</v>
      </c>
      <c r="L19" s="95">
        <f>'11'!L108</f>
        <v>24.89854166666667</v>
      </c>
      <c r="M19" s="95">
        <f>'11'!M108</f>
        <v>70.011354166666663</v>
      </c>
      <c r="N19" s="95">
        <f>'11'!N108</f>
        <v>106.10625</v>
      </c>
      <c r="O19" s="95">
        <f>'11'!O108</f>
        <v>0</v>
      </c>
      <c r="P19" s="95">
        <f>'11'!P108</f>
        <v>1.040520833333334</v>
      </c>
      <c r="Q19" s="95">
        <f>'11'!Q108</f>
        <v>4.4876041666666664</v>
      </c>
      <c r="R19" s="160"/>
      <c r="S19" s="160"/>
      <c r="T19" s="160"/>
      <c r="U19" s="160"/>
    </row>
    <row r="20" spans="1:21">
      <c r="A20" s="157" t="str">
        <f>'12'!$B$2</f>
        <v>12/11/2023 00:15</v>
      </c>
      <c r="B20" s="95">
        <f>'12'!B108</f>
        <v>9.1804166666666642</v>
      </c>
      <c r="C20" s="95">
        <f>'12'!C108</f>
        <v>23.58645833333334</v>
      </c>
      <c r="D20" s="95">
        <f>'12'!D108</f>
        <v>21.036875000000002</v>
      </c>
      <c r="E20" s="95">
        <f>'12'!E108</f>
        <v>6.7754166666666675</v>
      </c>
      <c r="F20" s="95">
        <f>'12'!F108</f>
        <v>3.5995833333333347</v>
      </c>
      <c r="G20" s="95">
        <f>'12'!G108</f>
        <v>101.03621052631586</v>
      </c>
      <c r="H20" s="95">
        <f>'12'!H108</f>
        <v>43.209111111111106</v>
      </c>
      <c r="I20" s="95">
        <f>'12'!I108</f>
        <v>9.0832291666666674</v>
      </c>
      <c r="J20" s="95">
        <f>'12'!J108</f>
        <v>0.21208333333333329</v>
      </c>
      <c r="K20" s="95">
        <f>'12'!K108</f>
        <v>141.02989583333331</v>
      </c>
      <c r="L20" s="95">
        <f>'12'!L108</f>
        <v>24.764687499999997</v>
      </c>
      <c r="M20" s="95">
        <f>'12'!M108</f>
        <v>66.830520833333352</v>
      </c>
      <c r="N20" s="95">
        <f>'12'!N108</f>
        <v>112.09270833333335</v>
      </c>
      <c r="O20" s="95">
        <f>'12'!O108</f>
        <v>0</v>
      </c>
      <c r="P20" s="95">
        <f>'12'!P108</f>
        <v>1.0447916666666666</v>
      </c>
      <c r="Q20" s="95">
        <f>'12'!Q108</f>
        <v>4.4559375000000001</v>
      </c>
      <c r="R20" s="160"/>
      <c r="S20" s="160"/>
      <c r="T20" s="160"/>
      <c r="U20" s="160"/>
    </row>
    <row r="21" spans="1:21" s="142" customFormat="1">
      <c r="A21" s="157" t="str">
        <f>'13'!$B$2</f>
        <v>13/11/2023 00:15</v>
      </c>
      <c r="B21" s="158">
        <f>'13'!B108</f>
        <v>14.606874999999997</v>
      </c>
      <c r="C21" s="158">
        <f>'13'!C108</f>
        <v>25.093541666666663</v>
      </c>
      <c r="D21" s="158">
        <f>'13'!D108</f>
        <v>26.17531249999999</v>
      </c>
      <c r="E21" s="158">
        <f>'13'!E108</f>
        <v>6.7168750000000026</v>
      </c>
      <c r="F21" s="158">
        <f>'13'!F108</f>
        <v>3.4787500000000002</v>
      </c>
      <c r="G21" s="158">
        <f>'13'!G108</f>
        <v>107.70634146341459</v>
      </c>
      <c r="H21" s="158">
        <f>'13'!H108</f>
        <v>53.400243902439001</v>
      </c>
      <c r="I21" s="158">
        <f>'13'!I108</f>
        <v>8.0697916666666671</v>
      </c>
      <c r="J21" s="158">
        <f>'13'!J108</f>
        <v>0.22010416666666663</v>
      </c>
      <c r="K21" s="158">
        <f>'13'!K108</f>
        <v>126.40697916666664</v>
      </c>
      <c r="L21" s="158">
        <f>'13'!L108</f>
        <v>24.038541666666674</v>
      </c>
      <c r="M21" s="158">
        <f>'13'!M108</f>
        <v>68.680520833333318</v>
      </c>
      <c r="N21" s="158">
        <f>'13'!N108</f>
        <v>106.22916666666664</v>
      </c>
      <c r="O21" s="158">
        <f>'13'!O108</f>
        <v>0</v>
      </c>
      <c r="P21" s="158">
        <f>'13'!P108</f>
        <v>0.97406250000000005</v>
      </c>
      <c r="Q21" s="158">
        <f>'13'!Q108</f>
        <v>4.6559375000000021</v>
      </c>
      <c r="R21" s="176"/>
      <c r="S21" s="176"/>
      <c r="T21" s="176"/>
      <c r="U21" s="176"/>
    </row>
    <row r="22" spans="1:21" s="142" customFormat="1">
      <c r="A22" s="157" t="str">
        <f>'14'!$B$2</f>
        <v>14/11/2023 00:15</v>
      </c>
      <c r="B22" s="159">
        <f>'14'!B108</f>
        <v>8.1769791666666674</v>
      </c>
      <c r="C22" s="159">
        <f>'14'!C108</f>
        <v>23.546041666666657</v>
      </c>
      <c r="D22" s="159">
        <f>'14'!D108</f>
        <v>20.210833333333333</v>
      </c>
      <c r="E22" s="159">
        <f>'14'!E108</f>
        <v>6.1710416666666665</v>
      </c>
      <c r="F22" s="159">
        <f>'14'!F108</f>
        <v>3.8841666666666659</v>
      </c>
      <c r="G22" s="159">
        <f>'14'!G108</f>
        <v>91.765625000000014</v>
      </c>
      <c r="H22" s="159">
        <f>'14'!H108</f>
        <v>46.271041666666655</v>
      </c>
      <c r="I22" s="159">
        <f>'14'!I108</f>
        <v>6.5880208333333323</v>
      </c>
      <c r="J22" s="159">
        <f>'14'!J108</f>
        <v>0.23520833333333327</v>
      </c>
      <c r="K22" s="159">
        <f>'14'!K108</f>
        <v>98.887187499999996</v>
      </c>
      <c r="L22" s="159">
        <f>'14'!L108</f>
        <v>23.818124999999998</v>
      </c>
      <c r="M22" s="159">
        <f>'14'!M108</f>
        <v>69.256250000000009</v>
      </c>
      <c r="N22" s="159">
        <f>'14'!N108</f>
        <v>103.496875</v>
      </c>
      <c r="O22" s="159">
        <f>'14'!O108</f>
        <v>0</v>
      </c>
      <c r="P22" s="159">
        <f>'14'!P108</f>
        <v>0.88541666666666663</v>
      </c>
      <c r="Q22" s="159">
        <f>'14'!Q108</f>
        <v>4.351770833333334</v>
      </c>
      <c r="R22" s="177"/>
      <c r="S22" s="177"/>
      <c r="T22" s="177"/>
      <c r="U22" s="177"/>
    </row>
    <row r="23" spans="1:21">
      <c r="A23" s="157" t="str">
        <f>'15'!$B$2</f>
        <v>15/11/2023 00:15</v>
      </c>
      <c r="B23" s="95">
        <f>'15'!B108</f>
        <v>7.514895833333334</v>
      </c>
      <c r="C23" s="95">
        <f>'15'!C108</f>
        <v>22.257395833333334</v>
      </c>
      <c r="D23" s="95">
        <f>'15'!D108</f>
        <v>19.006041666666665</v>
      </c>
      <c r="E23" s="95">
        <f>'15'!E108</f>
        <v>6.431874999999998</v>
      </c>
      <c r="F23" s="95">
        <f>'15'!F108</f>
        <v>4.0795833333333347</v>
      </c>
      <c r="G23" s="95">
        <f>'15'!G108</f>
        <v>79.656041666666653</v>
      </c>
      <c r="H23" s="95">
        <f>'15'!H108</f>
        <v>42.541041666666686</v>
      </c>
      <c r="I23" s="95">
        <f>'15'!I108</f>
        <v>5.980624999999999</v>
      </c>
      <c r="J23" s="95">
        <f>'15'!J108</f>
        <v>0.31124999999999997</v>
      </c>
      <c r="K23" s="95">
        <f>'15'!K108</f>
        <v>111.34083333333342</v>
      </c>
      <c r="L23" s="95">
        <f>'15'!L108</f>
        <v>22.961145833333344</v>
      </c>
      <c r="M23" s="95">
        <f>'15'!M108</f>
        <v>71.78572916666667</v>
      </c>
      <c r="N23" s="95">
        <f>'15'!N108</f>
        <v>99.580208333333346</v>
      </c>
      <c r="O23" s="95">
        <f>'15'!O108</f>
        <v>0</v>
      </c>
      <c r="P23" s="95">
        <f>'15'!P108</f>
        <v>0.84999999999999953</v>
      </c>
      <c r="Q23" s="95">
        <f>'15'!Q108</f>
        <v>4.3218749999999995</v>
      </c>
      <c r="R23" s="160"/>
      <c r="S23" s="160"/>
      <c r="T23" s="160"/>
      <c r="U23" s="160"/>
    </row>
    <row r="24" spans="1:21">
      <c r="A24" s="157" t="str">
        <f>'16'!$B$2</f>
        <v>16/11/2023 00:15</v>
      </c>
      <c r="B24" s="95">
        <f>'16'!B108</f>
        <v>6.5731250000000019</v>
      </c>
      <c r="C24" s="95">
        <f>'16'!C108</f>
        <v>23.658229166666668</v>
      </c>
      <c r="D24" s="95">
        <f>'16'!D108</f>
        <v>18.982187499999998</v>
      </c>
      <c r="E24" s="95">
        <f>'16'!E108</f>
        <v>5.5870833333333314</v>
      </c>
      <c r="F24" s="95">
        <f>'16'!F108</f>
        <v>5.7344791666666675</v>
      </c>
      <c r="G24" s="95">
        <f>'16'!G108</f>
        <v>62.455978260869571</v>
      </c>
      <c r="H24" s="95">
        <f>'16'!H108</f>
        <v>26.932173913043492</v>
      </c>
      <c r="I24" s="95">
        <f>'16'!I108</f>
        <v>23.225729166666664</v>
      </c>
      <c r="J24" s="95">
        <f>'16'!J108</f>
        <v>0.37968750000000001</v>
      </c>
      <c r="K24" s="95">
        <f>'16'!K108</f>
        <v>76.653750000000002</v>
      </c>
      <c r="L24" s="95">
        <f>'16'!L108</f>
        <v>22.788749999999993</v>
      </c>
      <c r="M24" s="95">
        <f>'16'!M108</f>
        <v>63.827291666666667</v>
      </c>
      <c r="N24" s="95">
        <f>'16'!N108</f>
        <v>127.61562500000002</v>
      </c>
      <c r="O24" s="95">
        <f>'16'!O108</f>
        <v>0</v>
      </c>
      <c r="P24" s="95">
        <f>'16'!P108</f>
        <v>0.74572916666666655</v>
      </c>
      <c r="Q24" s="95">
        <f>'16'!Q108</f>
        <v>4.2455208333333312</v>
      </c>
      <c r="R24" s="160"/>
      <c r="S24" s="160"/>
      <c r="T24" s="160"/>
      <c r="U24" s="160"/>
    </row>
    <row r="25" spans="1:21">
      <c r="A25" s="157" t="str">
        <f>'17'!$B$2</f>
        <v>17/11/2023 00:15</v>
      </c>
      <c r="B25" s="95">
        <f>'17'!B108</f>
        <v>9.2515625000000004</v>
      </c>
      <c r="C25" s="95">
        <f>'17'!C108</f>
        <v>23.162499999999991</v>
      </c>
      <c r="D25" s="95">
        <f>'17'!D108</f>
        <v>20.872500000000002</v>
      </c>
      <c r="E25" s="95">
        <f>'17'!E108</f>
        <v>5.0259375000000004</v>
      </c>
      <c r="F25" s="95">
        <f>'17'!F108</f>
        <v>3.6786458333333325</v>
      </c>
      <c r="G25" s="95">
        <f>'17'!G108</f>
        <v>60.566874999999982</v>
      </c>
      <c r="H25" s="95">
        <f>'17'!H108</f>
        <v>25.934583333333318</v>
      </c>
      <c r="I25" s="95">
        <f>'17'!I108</f>
        <v>8.5065624999999994</v>
      </c>
      <c r="J25" s="95">
        <f>'17'!J108</f>
        <v>0.26479166666666687</v>
      </c>
      <c r="K25" s="95">
        <f>'17'!K108</f>
        <v>94.598020833333308</v>
      </c>
      <c r="L25" s="95">
        <f>'17'!L108</f>
        <v>23.129375</v>
      </c>
      <c r="M25" s="95">
        <f>'17'!M108</f>
        <v>66.241041666666661</v>
      </c>
      <c r="N25" s="95">
        <f>'17'!N108</f>
        <v>128.06354166666665</v>
      </c>
      <c r="O25" s="95">
        <f>'17'!O108</f>
        <v>0</v>
      </c>
      <c r="P25" s="95">
        <f>'17'!P108</f>
        <v>0.72083333333333333</v>
      </c>
      <c r="Q25" s="95">
        <f>'17'!Q108</f>
        <v>4.3701041666666667</v>
      </c>
      <c r="R25" s="160"/>
      <c r="S25" s="160"/>
      <c r="T25" s="160"/>
      <c r="U25" s="160"/>
    </row>
    <row r="26" spans="1:21">
      <c r="A26" s="157" t="str">
        <f>'18'!$B$2</f>
        <v>18/11/2023 00:15</v>
      </c>
      <c r="B26" s="95">
        <f>'18'!B108</f>
        <v>11.537717391304346</v>
      </c>
      <c r="C26" s="95">
        <f>'18'!C108</f>
        <v>25.116086956521734</v>
      </c>
      <c r="D26" s="95">
        <f>'18'!D108</f>
        <v>23.726739130434783</v>
      </c>
      <c r="E26" s="95">
        <f>'18'!E108</f>
        <v>6.6153763440860196</v>
      </c>
      <c r="F26" s="95">
        <f>'18'!F108</f>
        <v>4.2088421052631571</v>
      </c>
      <c r="G26" s="95">
        <f>'18'!G108</f>
        <v>67.311354166666675</v>
      </c>
      <c r="H26" s="95">
        <f>'18'!H108</f>
        <v>26.706458333333355</v>
      </c>
      <c r="I26" s="95">
        <f>'18'!I108</f>
        <v>12.206041666666669</v>
      </c>
      <c r="J26" s="95">
        <f>'18'!J108</f>
        <v>0.18687500000000001</v>
      </c>
      <c r="K26" s="95">
        <f>'18'!K108</f>
        <v>143.96364583333329</v>
      </c>
      <c r="L26" s="95">
        <f>'18'!L108</f>
        <v>23.642604166666661</v>
      </c>
      <c r="M26" s="95">
        <f>'18'!M108</f>
        <v>72.466354166666676</v>
      </c>
      <c r="N26" s="95">
        <f>'18'!N108</f>
        <v>123.81666666666665</v>
      </c>
      <c r="O26" s="95">
        <f>'18'!O108</f>
        <v>0</v>
      </c>
      <c r="P26" s="95">
        <f>'18'!P108</f>
        <v>0.74557894736842123</v>
      </c>
      <c r="Q26" s="95">
        <f>'18'!Q108</f>
        <v>4.521770833333334</v>
      </c>
      <c r="R26" s="160"/>
      <c r="S26" s="160"/>
      <c r="T26" s="160"/>
      <c r="U26" s="160"/>
    </row>
    <row r="27" spans="1:21">
      <c r="A27" s="157" t="str">
        <f>'19'!$B$2</f>
        <v>19/11/2023 00:15</v>
      </c>
      <c r="B27" s="95">
        <f>'19'!B108</f>
        <v>8.8553125000000001</v>
      </c>
      <c r="C27" s="95">
        <f>'19'!C108</f>
        <v>22.609895833333326</v>
      </c>
      <c r="D27" s="95">
        <f>'19'!D108</f>
        <v>20.264895833333334</v>
      </c>
      <c r="E27" s="95">
        <f>'19'!E108</f>
        <v>6.9260416666666655</v>
      </c>
      <c r="F27" s="95">
        <f>'19'!F108</f>
        <v>3.5594791666666672</v>
      </c>
      <c r="G27" s="95">
        <f>'19'!G108</f>
        <v>70.835937500000071</v>
      </c>
      <c r="H27" s="95">
        <f>'19'!H108</f>
        <v>28.273958333333326</v>
      </c>
      <c r="I27" s="95">
        <f>'19'!I108</f>
        <v>6.9707291666666693</v>
      </c>
      <c r="J27" s="95">
        <f>'19'!J108</f>
        <v>0.24239583333333339</v>
      </c>
      <c r="K27" s="95">
        <f>'19'!K108</f>
        <v>112.3217708333333</v>
      </c>
      <c r="L27" s="95">
        <f>'19'!L108</f>
        <v>24.362395833333334</v>
      </c>
      <c r="M27" s="95">
        <f>'19'!M108</f>
        <v>70.402500000000018</v>
      </c>
      <c r="N27" s="95">
        <f>'19'!N108</f>
        <v>109.359375</v>
      </c>
      <c r="O27" s="95">
        <f>'19'!O108</f>
        <v>0</v>
      </c>
      <c r="P27" s="95">
        <f>'19'!P108</f>
        <v>0.68937499999999996</v>
      </c>
      <c r="Q27" s="95">
        <f>'19'!Q108</f>
        <v>4.3882291666666653</v>
      </c>
      <c r="R27" s="160"/>
      <c r="S27" s="160"/>
      <c r="T27" s="160"/>
      <c r="U27" s="160"/>
    </row>
    <row r="28" spans="1:21">
      <c r="A28" s="157" t="str">
        <f>'20'!$B$2</f>
        <v>20/11/2023 00:15</v>
      </c>
      <c r="B28" s="95">
        <f>'20'!B108</f>
        <v>7.9784374999999983</v>
      </c>
      <c r="C28" s="95">
        <f>'20'!C108</f>
        <v>21.091979166666665</v>
      </c>
      <c r="D28" s="95">
        <f>'20'!D108</f>
        <v>18.768854166666653</v>
      </c>
      <c r="E28" s="95">
        <f>'20'!E108</f>
        <v>8.5535416666666624</v>
      </c>
      <c r="F28" s="95">
        <f>'20'!F108</f>
        <v>5.8254166666666656</v>
      </c>
      <c r="G28" s="95">
        <f>'20'!G108</f>
        <v>52.730416666666656</v>
      </c>
      <c r="H28" s="95">
        <f>'20'!H108</f>
        <v>20.671562499999986</v>
      </c>
      <c r="I28" s="95">
        <f>'20'!I108</f>
        <v>4.6405208333333343</v>
      </c>
      <c r="J28" s="95">
        <f>'20'!J108</f>
        <v>0.21843750000000003</v>
      </c>
      <c r="K28" s="95">
        <f>'20'!K108</f>
        <v>130.40427083333338</v>
      </c>
      <c r="L28" s="95">
        <f>'20'!L108</f>
        <v>23.900729166666668</v>
      </c>
      <c r="M28" s="95">
        <f>'20'!M108</f>
        <v>69.790104166666694</v>
      </c>
      <c r="N28" s="95">
        <f>'20'!N108</f>
        <v>116.49583333333329</v>
      </c>
      <c r="O28" s="95">
        <f>'20'!O108</f>
        <v>0</v>
      </c>
      <c r="P28" s="95">
        <f>'20'!P108</f>
        <v>0.5135416666666669</v>
      </c>
      <c r="Q28" s="95">
        <f>'20'!Q108</f>
        <v>4.3433333333333319</v>
      </c>
      <c r="R28" s="160"/>
      <c r="S28" s="160"/>
      <c r="T28" s="160"/>
      <c r="U28" s="160"/>
    </row>
    <row r="29" spans="1:21">
      <c r="A29" s="157" t="str">
        <f>'21'!$B$2</f>
        <v>21/11/2023 00:15</v>
      </c>
      <c r="B29" s="95">
        <f>'21'!B108</f>
        <v>10.021249999999998</v>
      </c>
      <c r="C29" s="95">
        <f>'21'!C108</f>
        <v>24.484583333333322</v>
      </c>
      <c r="D29" s="95">
        <f>'21'!D108</f>
        <v>22.18010416666667</v>
      </c>
      <c r="E29" s="95">
        <f>'21'!E108</f>
        <v>8.3979166666666636</v>
      </c>
      <c r="F29" s="95">
        <f>'21'!F108</f>
        <v>3.4262499999999996</v>
      </c>
      <c r="G29" s="95">
        <f>'21'!G108</f>
        <v>71.613125000000011</v>
      </c>
      <c r="H29" s="95">
        <f>'21'!H108</f>
        <v>24.481666666666669</v>
      </c>
      <c r="I29" s="95">
        <f>'21'!I108</f>
        <v>5.651979166666667</v>
      </c>
      <c r="J29" s="95">
        <f>'21'!J108</f>
        <v>0.24291666666666678</v>
      </c>
      <c r="K29" s="95">
        <f>'21'!K108</f>
        <v>118.77968750000004</v>
      </c>
      <c r="L29" s="95">
        <f>'21'!L108</f>
        <v>23.498020833333328</v>
      </c>
      <c r="M29" s="95">
        <f>'21'!M108</f>
        <v>69.968750000000014</v>
      </c>
      <c r="N29" s="95">
        <f>'21'!N108</f>
        <v>113.3645833333333</v>
      </c>
      <c r="O29" s="95">
        <f>'21'!O108</f>
        <v>0</v>
      </c>
      <c r="P29" s="95">
        <f>'21'!P108</f>
        <v>0.68812500000000032</v>
      </c>
      <c r="Q29" s="95">
        <f>'21'!Q108</f>
        <v>4.4094791666666682</v>
      </c>
      <c r="R29" s="160"/>
      <c r="S29" s="160"/>
      <c r="T29" s="160"/>
      <c r="U29" s="160"/>
    </row>
    <row r="30" spans="1:21">
      <c r="A30" s="157" t="str">
        <f>'22'!$B$2</f>
        <v>22/11/2023 00:15</v>
      </c>
      <c r="B30" s="95">
        <f>'22'!B108</f>
        <v>17.196979166666669</v>
      </c>
      <c r="C30" s="95">
        <f>'22'!C108</f>
        <v>27.624895833333341</v>
      </c>
      <c r="D30" s="95">
        <f>'22'!D108</f>
        <v>29.574166666666656</v>
      </c>
      <c r="E30" s="95">
        <f>'22'!E108</f>
        <v>8.2710416666666688</v>
      </c>
      <c r="F30" s="95">
        <f>'22'!F108</f>
        <v>3.4267708333333329</v>
      </c>
      <c r="G30" s="95">
        <f>'22'!G108</f>
        <v>97.061041666666668</v>
      </c>
      <c r="H30" s="95">
        <f>'22'!H108</f>
        <v>38.437083333333312</v>
      </c>
      <c r="I30" s="95">
        <f>'22'!I108</f>
        <v>7.5509374999999999</v>
      </c>
      <c r="J30" s="95">
        <f>'22'!J108</f>
        <v>0.23197916666666663</v>
      </c>
      <c r="K30" s="95">
        <f>'22'!K108</f>
        <v>121.37458333333336</v>
      </c>
      <c r="L30" s="95">
        <f>'22'!L108</f>
        <v>23.352604166666676</v>
      </c>
      <c r="M30" s="95">
        <f>'22'!M108</f>
        <v>67.89208333333336</v>
      </c>
      <c r="N30" s="95">
        <f>'22'!N108</f>
        <v>111.97291666666666</v>
      </c>
      <c r="O30" s="95">
        <f>'22'!O108</f>
        <v>0</v>
      </c>
      <c r="P30" s="95">
        <f>'22'!P108</f>
        <v>0.87541666666666662</v>
      </c>
      <c r="Q30" s="95">
        <f>'22'!Q108</f>
        <v>4.6753125000000004</v>
      </c>
      <c r="R30" s="160"/>
      <c r="S30" s="160"/>
      <c r="T30" s="160"/>
      <c r="U30" s="160"/>
    </row>
    <row r="31" spans="1:21">
      <c r="A31" s="157" t="str">
        <f>'23'!$B$2</f>
        <v>23/11/2023 00:15</v>
      </c>
      <c r="B31" s="95">
        <f>'23'!B108</f>
        <v>8.5998958333333331</v>
      </c>
      <c r="C31" s="95">
        <f>'23'!C108</f>
        <v>27.343749999999989</v>
      </c>
      <c r="D31" s="95">
        <f>'23'!D108</f>
        <v>22.532916666666665</v>
      </c>
      <c r="E31" s="95">
        <f>'23'!E108</f>
        <v>8.6030208333333338</v>
      </c>
      <c r="F31" s="95">
        <f>'23'!F108</f>
        <v>3.5216666666666678</v>
      </c>
      <c r="G31" s="95">
        <f>'23'!G108</f>
        <v>100.61479166666668</v>
      </c>
      <c r="H31" s="95">
        <f>'23'!H108</f>
        <v>43.054375000000022</v>
      </c>
      <c r="I31" s="95">
        <f>'23'!I108</f>
        <v>6.7287500000000016</v>
      </c>
      <c r="J31" s="95">
        <f>'23'!J108</f>
        <v>0.20875000000000002</v>
      </c>
      <c r="K31" s="95">
        <f>'23'!K108</f>
        <v>103.84760416666667</v>
      </c>
      <c r="L31" s="95">
        <f>'23'!L108</f>
        <v>23.139687499999994</v>
      </c>
      <c r="M31" s="95">
        <f>'23'!M108</f>
        <v>65.741979166666653</v>
      </c>
      <c r="N31" s="95">
        <f>'23'!N108</f>
        <v>103.72395833333336</v>
      </c>
      <c r="O31" s="95">
        <f>'23'!O108</f>
        <v>0</v>
      </c>
      <c r="P31" s="95">
        <f>'23'!P108</f>
        <v>0</v>
      </c>
      <c r="Q31" s="95">
        <f>'23'!Q108</f>
        <v>0</v>
      </c>
      <c r="R31" s="160"/>
      <c r="S31" s="178"/>
      <c r="T31" s="160"/>
      <c r="U31" s="160"/>
    </row>
    <row r="32" spans="1:21">
      <c r="A32" s="157" t="str">
        <f>'24'!$B$2</f>
        <v>24/11/2023 00:15</v>
      </c>
      <c r="B32" s="95">
        <f>'24'!B108</f>
        <v>9.4966666666666661</v>
      </c>
      <c r="C32" s="95">
        <f>'24'!C108</f>
        <v>27.521458333333328</v>
      </c>
      <c r="D32" s="95">
        <f>'24'!D108</f>
        <v>23.345416666666665</v>
      </c>
      <c r="E32" s="95">
        <f>'24'!E108</f>
        <v>7.9150000000000027</v>
      </c>
      <c r="F32" s="95">
        <f>'24'!F108</f>
        <v>3.5585416666666663</v>
      </c>
      <c r="G32" s="95">
        <f>'24'!G108</f>
        <v>108.96854166666668</v>
      </c>
      <c r="H32" s="95">
        <f>'24'!H108</f>
        <v>48.826041666666647</v>
      </c>
      <c r="I32" s="95">
        <f>'24'!I108</f>
        <v>6.9470833333333344</v>
      </c>
      <c r="J32" s="95">
        <f>'24'!J108</f>
        <v>0.28145833333333342</v>
      </c>
      <c r="K32" s="95">
        <f>'24'!K108</f>
        <v>95.711354166666652</v>
      </c>
      <c r="L32" s="95">
        <f>'24'!L108</f>
        <v>23.145312500000006</v>
      </c>
      <c r="M32" s="95">
        <f>'24'!M108</f>
        <v>68.149687500000013</v>
      </c>
      <c r="N32" s="95">
        <f>'24'!N108</f>
        <v>90.078124999999986</v>
      </c>
      <c r="O32" s="95">
        <f>'24'!O108</f>
        <v>0</v>
      </c>
      <c r="P32" s="95">
        <f>'24'!P108</f>
        <v>0.878541666666667</v>
      </c>
      <c r="Q32" s="95">
        <f>'24'!Q108</f>
        <v>4.3992708333333326</v>
      </c>
      <c r="R32" s="160"/>
      <c r="S32" s="160"/>
      <c r="T32" s="160"/>
      <c r="U32" s="160"/>
    </row>
    <row r="33" spans="1:21">
      <c r="A33" s="157" t="str">
        <f>'25'!$B$2</f>
        <v>25/11/2023 00:15</v>
      </c>
      <c r="B33" s="95">
        <f>'25'!B108</f>
        <v>8.156875000000003</v>
      </c>
      <c r="C33" s="95">
        <f>'25'!C108</f>
        <v>24.560312499999998</v>
      </c>
      <c r="D33" s="95">
        <f>'25'!D108</f>
        <v>20.724166666666665</v>
      </c>
      <c r="E33" s="95">
        <f>'25'!E108</f>
        <v>10.737291666666666</v>
      </c>
      <c r="F33" s="95">
        <f>'25'!F108</f>
        <v>8.3124999999999964</v>
      </c>
      <c r="G33" s="95">
        <f>'25'!G108</f>
        <v>101.07760416666669</v>
      </c>
      <c r="H33" s="95">
        <f>'25'!H108</f>
        <v>46.13927083333332</v>
      </c>
      <c r="I33" s="95">
        <f>'25'!I108</f>
        <v>6.4253125000000004</v>
      </c>
      <c r="J33" s="95">
        <f>'25'!J108</f>
        <v>0.19999999999999996</v>
      </c>
      <c r="K33" s="95">
        <f>'25'!K108</f>
        <v>119.55010416666671</v>
      </c>
      <c r="L33" s="95">
        <f>'25'!L108</f>
        <v>23.431250000000002</v>
      </c>
      <c r="M33" s="95">
        <f>'25'!M108</f>
        <v>65.627708333333302</v>
      </c>
      <c r="N33" s="95">
        <f>'25'!N108</f>
        <v>91.122916666666654</v>
      </c>
      <c r="O33" s="95">
        <f>'25'!O108</f>
        <v>0</v>
      </c>
      <c r="P33" s="95">
        <f>'25'!P108</f>
        <v>0.81416666666666737</v>
      </c>
      <c r="Q33" s="95">
        <f>'25'!Q108</f>
        <v>4.3693750000000016</v>
      </c>
      <c r="R33" s="160"/>
      <c r="S33" s="178"/>
      <c r="T33" s="160"/>
      <c r="U33" s="160"/>
    </row>
    <row r="34" spans="1:21">
      <c r="A34" s="157" t="str">
        <f>'26'!$B$2</f>
        <v>26/11/2023 00:15</v>
      </c>
      <c r="B34" s="95">
        <f>'26'!B108</f>
        <v>11.393437500000005</v>
      </c>
      <c r="C34" s="95">
        <f>'26'!C108</f>
        <v>27.004791666666673</v>
      </c>
      <c r="D34" s="95">
        <f>'26'!D108</f>
        <v>24.596562499999994</v>
      </c>
      <c r="E34" s="95">
        <f>'26'!E108</f>
        <v>8.1141666666666659</v>
      </c>
      <c r="F34" s="95">
        <f>'26'!F108</f>
        <v>3.2542708333333317</v>
      </c>
      <c r="G34" s="95">
        <f>'26'!G108</f>
        <v>99.717499999999916</v>
      </c>
      <c r="H34" s="95">
        <f>'26'!H108</f>
        <v>43.470208333333339</v>
      </c>
      <c r="I34" s="95">
        <f>'26'!I108</f>
        <v>6.5776041666666645</v>
      </c>
      <c r="J34" s="95">
        <f>'26'!J108</f>
        <v>0.24468750000000006</v>
      </c>
      <c r="K34" s="95">
        <f>'26'!K108</f>
        <v>93.648124999999993</v>
      </c>
      <c r="L34" s="95">
        <f>'26'!L108</f>
        <v>22.341562499999998</v>
      </c>
      <c r="M34" s="95">
        <f>'26'!M108</f>
        <v>63.677812499999995</v>
      </c>
      <c r="N34" s="95">
        <f>'26'!N108</f>
        <v>101.23333333333336</v>
      </c>
      <c r="O34" s="95">
        <f>'26'!O108</f>
        <v>0</v>
      </c>
      <c r="P34" s="95">
        <f>'26'!P108</f>
        <v>0.83031249999999979</v>
      </c>
      <c r="Q34" s="95">
        <f>'26'!Q108</f>
        <v>4.4275000000000002</v>
      </c>
      <c r="R34" s="160"/>
      <c r="S34" s="160"/>
      <c r="T34" s="160"/>
      <c r="U34" s="160"/>
    </row>
    <row r="35" spans="1:21">
      <c r="A35" s="157" t="str">
        <f>'27'!$B$2</f>
        <v>27/11/2023 00:15</v>
      </c>
      <c r="B35" s="95">
        <f>'27'!B108</f>
        <v>9.4024999999999981</v>
      </c>
      <c r="C35" s="95">
        <f>'27'!C108</f>
        <v>28.348229166666673</v>
      </c>
      <c r="D35" s="95">
        <f>'27'!D108</f>
        <v>23.702500000000001</v>
      </c>
      <c r="E35" s="95">
        <f>'27'!E108</f>
        <v>8.3853124999999977</v>
      </c>
      <c r="F35" s="95">
        <f>'27'!F108</f>
        <v>3.1020833333333329</v>
      </c>
      <c r="G35" s="95">
        <f>'27'!G108</f>
        <v>101.25375000000003</v>
      </c>
      <c r="H35" s="95">
        <f>'27'!H108</f>
        <v>46.126562500000006</v>
      </c>
      <c r="I35" s="95">
        <f>'27'!I108</f>
        <v>7.2167708333333351</v>
      </c>
      <c r="J35" s="95">
        <f>'27'!J108</f>
        <v>0.29291666666666666</v>
      </c>
      <c r="K35" s="95">
        <f>'27'!K108</f>
        <v>66.148020833333362</v>
      </c>
      <c r="L35" s="95">
        <f>'27'!L108</f>
        <v>21.673124999999995</v>
      </c>
      <c r="M35" s="95">
        <f>'27'!M108</f>
        <v>66.719895833333325</v>
      </c>
      <c r="N35" s="95">
        <f>'27'!N108</f>
        <v>42.092708333333341</v>
      </c>
      <c r="O35" s="95">
        <f>'27'!O108</f>
        <v>0</v>
      </c>
      <c r="P35" s="95">
        <f>'27'!P108</f>
        <v>0.92479166666666679</v>
      </c>
      <c r="Q35" s="95">
        <f>'27'!Q108</f>
        <v>4.3611458333333326</v>
      </c>
      <c r="R35" s="160"/>
      <c r="S35" s="160"/>
      <c r="T35" s="160"/>
      <c r="U35" s="160"/>
    </row>
    <row r="36" spans="1:21">
      <c r="A36" s="157">
        <f>'28'!$B$2</f>
        <v>45258.010416666664</v>
      </c>
      <c r="B36" s="95">
        <f>'28'!B108</f>
        <v>12.750111111111108</v>
      </c>
      <c r="C36" s="95">
        <f>'28'!C108</f>
        <v>27.203444444444443</v>
      </c>
      <c r="D36" s="95">
        <f>'28'!D108</f>
        <v>25.784111111111102</v>
      </c>
      <c r="E36" s="95">
        <f>'28'!E108</f>
        <v>7.9203409090909078</v>
      </c>
      <c r="F36" s="95">
        <f>'28'!F108</f>
        <v>3.133595505617977</v>
      </c>
      <c r="G36" s="95">
        <f>'28'!G108</f>
        <v>85.45808988764044</v>
      </c>
      <c r="H36" s="95">
        <f>'28'!H108</f>
        <v>36.779550561797734</v>
      </c>
      <c r="I36" s="95">
        <f>'28'!I108</f>
        <v>11.469368421052629</v>
      </c>
      <c r="J36" s="95">
        <f>'28'!J108</f>
        <v>0.38421052631578961</v>
      </c>
      <c r="K36" s="95">
        <f>'28'!K108</f>
        <v>78.223052631578938</v>
      </c>
      <c r="L36" s="95">
        <f>'28'!L108</f>
        <v>20.226526315789481</v>
      </c>
      <c r="M36" s="95">
        <f>'28'!M108</f>
        <v>80.432842105263148</v>
      </c>
      <c r="N36" s="95">
        <f>'28'!N108</f>
        <v>44.474736842105251</v>
      </c>
      <c r="O36" s="95">
        <f>'28'!O108</f>
        <v>4.8421052631578955E-2</v>
      </c>
      <c r="P36" s="95">
        <f>'28'!P108</f>
        <v>0.96242105263157918</v>
      </c>
      <c r="Q36" s="95">
        <f>'28'!Q108</f>
        <v>4.5215957446808517</v>
      </c>
      <c r="R36" s="160"/>
      <c r="S36" s="160"/>
      <c r="T36" s="160"/>
      <c r="U36" s="160"/>
    </row>
    <row r="37" spans="1:21" s="2" customFormat="1">
      <c r="A37" s="157" t="str">
        <f>'29'!$B$2</f>
        <v>29/11/2023 00:15</v>
      </c>
      <c r="B37" s="95">
        <f>'29'!B108</f>
        <v>28.825104166666666</v>
      </c>
      <c r="C37" s="95">
        <f>'29'!C108</f>
        <v>28.028333333333347</v>
      </c>
      <c r="D37" s="95">
        <f>'29'!D108</f>
        <v>39.110624999999992</v>
      </c>
      <c r="E37" s="95">
        <f>'29'!E108</f>
        <v>8.8210416666666678</v>
      </c>
      <c r="F37" s="95">
        <f>'29'!F108</f>
        <v>2.9293749999999998</v>
      </c>
      <c r="G37" s="95">
        <f>'29'!G108</f>
        <v>79.603020833333332</v>
      </c>
      <c r="H37" s="95">
        <f>'29'!H108</f>
        <v>30.962187499999995</v>
      </c>
      <c r="I37" s="95">
        <f>'29'!I108</f>
        <v>7.9671874999999988</v>
      </c>
      <c r="J37" s="95">
        <f>'29'!J108</f>
        <v>0.40145833333333325</v>
      </c>
      <c r="K37" s="95">
        <f>'29'!K108</f>
        <v>51.934166666666677</v>
      </c>
      <c r="L37" s="95">
        <f>'29'!L108</f>
        <v>22.06260416666667</v>
      </c>
      <c r="M37" s="95">
        <f>'29'!M108</f>
        <v>78.621249999999989</v>
      </c>
      <c r="N37" s="95">
        <f>'29'!N108</f>
        <v>103.32604166666665</v>
      </c>
      <c r="O37" s="95">
        <f>'29'!O108</f>
        <v>0</v>
      </c>
      <c r="P37" s="95">
        <f>'29'!P108</f>
        <v>0.92593749999999975</v>
      </c>
      <c r="Q37" s="95">
        <f>'29'!Q108</f>
        <v>5.1609375000000002</v>
      </c>
      <c r="R37" s="160"/>
      <c r="S37" s="160"/>
      <c r="T37" s="160"/>
      <c r="U37" s="160"/>
    </row>
    <row r="38" spans="1:21" s="2" customFormat="1">
      <c r="A38" s="157" t="str">
        <f>'30'!$B$2</f>
        <v>30/11/2023 00:15</v>
      </c>
      <c r="B38" s="95">
        <f>'30'!B108</f>
        <v>26.488124999999997</v>
      </c>
      <c r="C38" s="95">
        <f>'30'!C108</f>
        <v>26.023749999999993</v>
      </c>
      <c r="D38" s="95">
        <f>'30'!D108</f>
        <v>36.189479166666651</v>
      </c>
      <c r="E38" s="95">
        <f>'30'!E108</f>
        <v>8.0359375000000011</v>
      </c>
      <c r="F38" s="95">
        <f>'30'!F108</f>
        <v>3.0856250000000007</v>
      </c>
      <c r="G38" s="95">
        <f>'30'!G108</f>
        <v>80.698645833333345</v>
      </c>
      <c r="H38" s="95">
        <f>'30'!H108</f>
        <v>31.318749999999962</v>
      </c>
      <c r="I38" s="95">
        <f>'30'!I108</f>
        <v>8.0558333333333341</v>
      </c>
      <c r="J38" s="95">
        <f>'30'!J108</f>
        <v>0.22479166666666664</v>
      </c>
      <c r="K38" s="95">
        <f>'30'!K108</f>
        <v>112.05312500000004</v>
      </c>
      <c r="L38" s="95">
        <f>'30'!L108</f>
        <v>23.980000000000008</v>
      </c>
      <c r="M38" s="95">
        <f>'30'!M108</f>
        <v>71.412500000000009</v>
      </c>
      <c r="N38" s="95">
        <f>'30'!N108</f>
        <v>109.44895833333334</v>
      </c>
      <c r="O38" s="95">
        <f>'30'!O108</f>
        <v>0</v>
      </c>
      <c r="P38" s="95">
        <f>'30'!P108</f>
        <v>0.83270833333333372</v>
      </c>
      <c r="Q38" s="95">
        <f>'30'!Q108</f>
        <v>5.0356249999999987</v>
      </c>
      <c r="R38" s="160"/>
      <c r="S38" s="160"/>
      <c r="T38" s="160"/>
      <c r="U38" s="160"/>
    </row>
    <row r="39" spans="1:21" s="2" customFormat="1">
      <c r="A39" s="144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1"/>
      <c r="S39" s="161"/>
      <c r="T39" s="161"/>
      <c r="U39" s="161"/>
    </row>
    <row r="40" spans="1:21" s="2" customFormat="1">
      <c r="A40" s="144" t="s">
        <v>48</v>
      </c>
      <c r="B40" s="161">
        <f>MIN(B9:B38)</f>
        <v>6.5731250000000019</v>
      </c>
      <c r="C40" s="161">
        <f>MIN(C9:C38)</f>
        <v>21.091979166666665</v>
      </c>
      <c r="D40" s="161">
        <f>MIN(D9:D38)</f>
        <v>18.768854166666653</v>
      </c>
      <c r="E40" s="161">
        <f>MIN(E9:E38)</f>
        <v>5.0259375000000004</v>
      </c>
      <c r="F40" s="161">
        <f>MIN(F9:F38)</f>
        <v>2.9293749999999998</v>
      </c>
      <c r="G40" s="161">
        <f>MIN(G9:G38)</f>
        <v>52.730416666666656</v>
      </c>
      <c r="H40" s="161">
        <f>MIN(H9:H38)</f>
        <v>20.671562499999986</v>
      </c>
      <c r="I40" s="161">
        <f>MIN(I9:I38)</f>
        <v>4.6405208333333343</v>
      </c>
      <c r="J40" s="161">
        <f>MIN(J9:J38)</f>
        <v>0.15843750000000001</v>
      </c>
      <c r="K40" s="161">
        <f>MIN(K9:K38)</f>
        <v>51.934166666666677</v>
      </c>
      <c r="L40" s="161">
        <f>MIN(L9:L38)</f>
        <v>20.226526315789481</v>
      </c>
      <c r="M40" s="161">
        <f>MIN(M9:M38)</f>
        <v>63.677812499999995</v>
      </c>
      <c r="N40" s="161">
        <f>MIN(N9:N38)</f>
        <v>42.092708333333341</v>
      </c>
      <c r="O40" s="161">
        <f>MIN(O9:O38)</f>
        <v>0</v>
      </c>
      <c r="P40" s="161">
        <f>MIN(P9:P38)</f>
        <v>0</v>
      </c>
      <c r="Q40" s="161">
        <f>MIN(Q9:Q38)</f>
        <v>0</v>
      </c>
      <c r="R40" s="161"/>
      <c r="S40" s="161"/>
      <c r="T40" s="161"/>
      <c r="U40" s="161"/>
    </row>
    <row r="41" spans="1:21" s="2" customFormat="1">
      <c r="A41" s="144" t="s">
        <v>49</v>
      </c>
      <c r="B41" s="161">
        <f>MAX(B9:B38)</f>
        <v>30.267083333333336</v>
      </c>
      <c r="C41" s="161">
        <f>MAX(C9:C38)</f>
        <v>28.348229166666673</v>
      </c>
      <c r="D41" s="161">
        <f>MAX(D9:D38)</f>
        <v>40.072812500000005</v>
      </c>
      <c r="E41" s="161">
        <f>MAX(E9:E38)</f>
        <v>10.737291666666666</v>
      </c>
      <c r="F41" s="161">
        <f>MAX(F9:F38)</f>
        <v>8.3124999999999964</v>
      </c>
      <c r="G41" s="161">
        <f>MAX(G9:G38)</f>
        <v>119.45177083333333</v>
      </c>
      <c r="H41" s="161">
        <f>MAX(H9:H38)</f>
        <v>53.400243902439001</v>
      </c>
      <c r="I41" s="161">
        <f>MAX(I9:I38)</f>
        <v>23.225729166666664</v>
      </c>
      <c r="J41" s="161">
        <f>MAX(J9:J38)</f>
        <v>0.40145833333333325</v>
      </c>
      <c r="K41" s="161">
        <f>MAX(K9:K38)</f>
        <v>184.19677083333329</v>
      </c>
      <c r="L41" s="161">
        <f>MAX(L9:L38)</f>
        <v>25.873333333333335</v>
      </c>
      <c r="M41" s="161">
        <f>MAX(M9:M38)</f>
        <v>84.014791666666653</v>
      </c>
      <c r="N41" s="161">
        <f>MAX(N9:N38)</f>
        <v>143.63541666666669</v>
      </c>
      <c r="O41" s="161">
        <f>MAX(O9:O38)</f>
        <v>4.8421052631578955E-2</v>
      </c>
      <c r="P41" s="161">
        <f>MAX(P9:P38)</f>
        <v>1.1185416666666665</v>
      </c>
      <c r="Q41" s="161">
        <f>MAX(Q9:Q38)</f>
        <v>5.3557291666666655</v>
      </c>
      <c r="R41" s="161"/>
      <c r="S41" s="161"/>
      <c r="T41" s="161"/>
      <c r="U41" s="161"/>
    </row>
    <row r="42" spans="1:21" s="2" customFormat="1">
      <c r="A42" s="144" t="s">
        <v>50</v>
      </c>
      <c r="B42" s="161">
        <f>AVERAGE(B9:B38)</f>
        <v>13.986035255636072</v>
      </c>
      <c r="C42" s="161">
        <f>AVERAGE(C9:C38)</f>
        <v>24.987296880032204</v>
      </c>
      <c r="D42" s="161">
        <f>AVERAGE(D9:D38)</f>
        <v>25.621698480273746</v>
      </c>
      <c r="E42" s="161">
        <f>AVERAGE(E9:E38)</f>
        <v>7.1485030751058964</v>
      </c>
      <c r="F42" s="161">
        <f>AVERAGE(F9:F38)</f>
        <v>3.87780347591826</v>
      </c>
      <c r="G42" s="161">
        <f>AVERAGE(G9:G38)</f>
        <v>85.445362277554878</v>
      </c>
      <c r="H42" s="161">
        <f>AVERAGE(H9:H38)</f>
        <v>35.404697667728982</v>
      </c>
      <c r="I42" s="161">
        <f>AVERAGE(I9:I38)</f>
        <v>8.2195865862573108</v>
      </c>
      <c r="J42" s="161">
        <f>AVERAGE(J9:J38)</f>
        <v>0.24641118421052635</v>
      </c>
      <c r="K42" s="161">
        <f>AVERAGE(K9:K38)</f>
        <v>115.03972675438597</v>
      </c>
      <c r="L42" s="161">
        <f>AVERAGE(L9:L38)</f>
        <v>23.68328004385965</v>
      </c>
      <c r="M42" s="161">
        <f>AVERAGE(M9:M38)</f>
        <v>70.086417653508775</v>
      </c>
      <c r="N42" s="161">
        <f>AVERAGE(N9:N38)</f>
        <v>107.02631067251464</v>
      </c>
      <c r="O42" s="161">
        <f>AVERAGE(O9:O38)</f>
        <v>2.5168128654970766E-3</v>
      </c>
      <c r="P42" s="161">
        <f>AVERAGE(P9:P38)</f>
        <v>0.81512083333333341</v>
      </c>
      <c r="Q42" s="161">
        <f>AVERAGE(Q9:Q38)</f>
        <v>4.481188608156029</v>
      </c>
      <c r="R42" s="161"/>
      <c r="S42" s="161"/>
      <c r="T42" s="161"/>
      <c r="U42" s="161"/>
    </row>
    <row r="43" spans="1:21" s="2" customFormat="1">
      <c r="A43" s="144" t="s">
        <v>51</v>
      </c>
      <c r="B43" s="161">
        <f>STDEV(B9:B38)</f>
        <v>6.6594711788959167</v>
      </c>
      <c r="C43" s="161">
        <f>STDEV(C9:C38)</f>
        <v>1.9710285971051518</v>
      </c>
      <c r="D43" s="161">
        <f>STDEV(D9:D38)</f>
        <v>5.8208262689287213</v>
      </c>
      <c r="E43" s="161">
        <f>STDEV(E9:E38)</f>
        <v>1.260177167551259</v>
      </c>
      <c r="F43" s="161">
        <f>STDEV(F9:F38)</f>
        <v>1.1055651817641605</v>
      </c>
      <c r="G43" s="161">
        <f>STDEV(G9:G38)</f>
        <v>17.586815008762084</v>
      </c>
      <c r="H43" s="161">
        <f>STDEV(H9:H38)</f>
        <v>9.1758246566460002</v>
      </c>
      <c r="I43" s="161">
        <f>STDEV(I9:I38)</f>
        <v>3.274576026709263</v>
      </c>
      <c r="J43" s="161">
        <f>STDEV(J9:J38)</f>
        <v>6.4463817198241929E-2</v>
      </c>
      <c r="K43" s="161">
        <f>STDEV(K9:K38)</f>
        <v>31.229420407728377</v>
      </c>
      <c r="L43" s="161">
        <f>STDEV(L9:L38)</f>
        <v>1.1721228729089281</v>
      </c>
      <c r="M43" s="161">
        <f>STDEV(M9:M38)</f>
        <v>5.5850826630998878</v>
      </c>
      <c r="N43" s="161">
        <f>STDEV(N9:N38)</f>
        <v>23.668788077820281</v>
      </c>
      <c r="O43" s="161">
        <f>STDEV(O9:O38)</f>
        <v>9.9794182547547454E-3</v>
      </c>
      <c r="P43" s="161">
        <f>STDEV(P9:P38)</f>
        <v>0.20049635423818948</v>
      </c>
      <c r="Q43" s="161">
        <f>STDEV(Q9:Q38)</f>
        <v>0.89852488532689823</v>
      </c>
      <c r="R43" s="147"/>
      <c r="S43" s="147"/>
      <c r="T43" s="147"/>
      <c r="U43" s="147"/>
    </row>
    <row r="44" spans="1:21" s="2" customFormat="1">
      <c r="A44" s="144" t="s">
        <v>52</v>
      </c>
      <c r="B44" s="147">
        <f>COUNT(B9:B38)</f>
        <v>30</v>
      </c>
      <c r="C44" s="147">
        <f>COUNT(C9:C38)</f>
        <v>30</v>
      </c>
      <c r="D44" s="147">
        <f>COUNT(D9:D38)</f>
        <v>30</v>
      </c>
      <c r="E44" s="147">
        <f>COUNT(E9:E38)</f>
        <v>30</v>
      </c>
      <c r="F44" s="147">
        <f>COUNT(F9:F38)</f>
        <v>30</v>
      </c>
      <c r="G44" s="147">
        <f>COUNT(G9:G38)</f>
        <v>30</v>
      </c>
      <c r="H44" s="147">
        <f>COUNT(H9:H38)</f>
        <v>30</v>
      </c>
      <c r="I44" s="147">
        <f>COUNT(I9:I38)</f>
        <v>30</v>
      </c>
      <c r="J44" s="147">
        <f>COUNT(J9:J38)</f>
        <v>30</v>
      </c>
      <c r="K44" s="147">
        <f>COUNT(K9:K38)</f>
        <v>30</v>
      </c>
      <c r="L44" s="147">
        <f>COUNT(L9:L38)</f>
        <v>30</v>
      </c>
      <c r="M44" s="147">
        <f>COUNT(M9:M38)</f>
        <v>30</v>
      </c>
      <c r="N44" s="147">
        <f>COUNT(N9:N38)</f>
        <v>30</v>
      </c>
      <c r="O44" s="147">
        <f>COUNT(O9:O38)</f>
        <v>30</v>
      </c>
      <c r="P44" s="147">
        <f>COUNT(P9:P38)</f>
        <v>30</v>
      </c>
      <c r="Q44" s="147">
        <f>COUNT(Q9:Q38)</f>
        <v>30</v>
      </c>
      <c r="R44" s="147"/>
      <c r="S44" s="147"/>
      <c r="T44" s="147"/>
      <c r="U44" s="147"/>
    </row>
    <row r="45" spans="1:21">
      <c r="A45" s="144" t="s">
        <v>53</v>
      </c>
      <c r="B45" s="147" t="str">
        <f>IF(B44&gt;=28,"&gt;90%",IF(B44&lt;=28,"&lt;90%"))</f>
        <v>&gt;90%</v>
      </c>
      <c r="C45" s="147" t="str">
        <f t="shared" ref="C45:Q45" si="0">IF(C44&gt;=28,"&gt;90%",IF(C44&lt;=28,"&lt;90%"))</f>
        <v>&gt;90%</v>
      </c>
      <c r="D45" s="147" t="str">
        <f t="shared" si="0"/>
        <v>&gt;90%</v>
      </c>
      <c r="E45" s="147" t="str">
        <f t="shared" si="0"/>
        <v>&gt;90%</v>
      </c>
      <c r="F45" s="147" t="str">
        <f t="shared" si="0"/>
        <v>&gt;90%</v>
      </c>
      <c r="G45" s="147" t="str">
        <f t="shared" si="0"/>
        <v>&gt;90%</v>
      </c>
      <c r="H45" s="147" t="str">
        <f t="shared" si="0"/>
        <v>&gt;90%</v>
      </c>
      <c r="I45" s="147" t="str">
        <f t="shared" si="0"/>
        <v>&gt;90%</v>
      </c>
      <c r="J45" s="147" t="str">
        <f t="shared" si="0"/>
        <v>&gt;90%</v>
      </c>
      <c r="K45" s="147" t="str">
        <f t="shared" si="0"/>
        <v>&gt;90%</v>
      </c>
      <c r="L45" s="147" t="str">
        <f t="shared" si="0"/>
        <v>&gt;90%</v>
      </c>
      <c r="M45" s="147" t="str">
        <f t="shared" si="0"/>
        <v>&gt;90%</v>
      </c>
      <c r="N45" s="147" t="str">
        <f t="shared" si="0"/>
        <v>&gt;90%</v>
      </c>
      <c r="O45" s="147" t="str">
        <f t="shared" si="0"/>
        <v>&gt;90%</v>
      </c>
      <c r="P45" s="147" t="str">
        <f t="shared" si="0"/>
        <v>&gt;90%</v>
      </c>
      <c r="Q45" s="147" t="str">
        <f t="shared" si="0"/>
        <v>&gt;90%</v>
      </c>
      <c r="R45" s="147"/>
      <c r="S45" s="147"/>
      <c r="T45" s="147"/>
      <c r="U45" s="147"/>
    </row>
    <row r="46" spans="1:21">
      <c r="A46" s="144" t="s">
        <v>54</v>
      </c>
      <c r="B46" s="147" t="str">
        <f>IF(B44&gt;=28,"OK",IF(B44&lt;=28,"LESS"))</f>
        <v>OK</v>
      </c>
      <c r="C46" s="147" t="str">
        <f t="shared" ref="C46:Q46" si="1">IF(C44&gt;=28,"OK",IF(C44&lt;=28,"LESS"))</f>
        <v>OK</v>
      </c>
      <c r="D46" s="147" t="str">
        <f t="shared" si="1"/>
        <v>OK</v>
      </c>
      <c r="E46" s="147" t="str">
        <f t="shared" si="1"/>
        <v>OK</v>
      </c>
      <c r="F46" s="147" t="str">
        <f t="shared" si="1"/>
        <v>OK</v>
      </c>
      <c r="G46" s="147" t="str">
        <f t="shared" si="1"/>
        <v>OK</v>
      </c>
      <c r="H46" s="147" t="str">
        <f t="shared" si="1"/>
        <v>OK</v>
      </c>
      <c r="I46" s="147" t="str">
        <f t="shared" si="1"/>
        <v>OK</v>
      </c>
      <c r="J46" s="147" t="str">
        <f t="shared" si="1"/>
        <v>OK</v>
      </c>
      <c r="K46" s="147" t="str">
        <f t="shared" si="1"/>
        <v>OK</v>
      </c>
      <c r="L46" s="147" t="str">
        <f t="shared" si="1"/>
        <v>OK</v>
      </c>
      <c r="M46" s="147" t="str">
        <f t="shared" si="1"/>
        <v>OK</v>
      </c>
      <c r="N46" s="147" t="str">
        <f t="shared" si="1"/>
        <v>OK</v>
      </c>
      <c r="O46" s="147" t="str">
        <f t="shared" si="1"/>
        <v>OK</v>
      </c>
      <c r="P46" s="147" t="str">
        <f t="shared" si="1"/>
        <v>OK</v>
      </c>
      <c r="Q46" s="147" t="str">
        <f t="shared" si="1"/>
        <v>OK</v>
      </c>
      <c r="R46" s="2"/>
      <c r="S46" s="2"/>
      <c r="T46" s="2"/>
    </row>
    <row r="47" spans="1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9" spans="1:16">
      <c r="A49" s="144" t="s">
        <v>55</v>
      </c>
      <c r="B49" s="192" t="s">
        <v>56</v>
      </c>
      <c r="C49" s="192"/>
      <c r="D49" s="19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62"/>
      <c r="B50" s="2"/>
      <c r="C50" s="2"/>
      <c r="D50" s="163"/>
      <c r="E50" s="163"/>
      <c r="F50" s="163"/>
      <c r="G50" s="163"/>
      <c r="H50" s="163"/>
      <c r="I50" s="163"/>
      <c r="J50" s="2"/>
      <c r="K50" s="2"/>
      <c r="L50" s="2"/>
      <c r="M50" s="2"/>
      <c r="N50" s="2"/>
      <c r="O50" s="2"/>
      <c r="P50" s="2"/>
    </row>
    <row r="51" spans="1:16" ht="15.75">
      <c r="A51" s="164" t="s">
        <v>57</v>
      </c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</row>
    <row r="52" spans="1:16">
      <c r="A52" s="16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</sheetData>
  <mergeCells count="2">
    <mergeCell ref="B49:D49"/>
    <mergeCell ref="B51:P51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>
  <dimension ref="B1:X119"/>
  <sheetViews>
    <sheetView topLeftCell="A20" zoomScale="85" zoomScaleNormal="85" workbookViewId="0">
      <selection activeCell="B29" sqref="B29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9" t="s">
        <v>61</v>
      </c>
      <c r="E1" s="199"/>
      <c r="F1" s="199"/>
      <c r="G1" s="199"/>
      <c r="H1" s="199"/>
      <c r="I1" s="199"/>
      <c r="J1" s="200"/>
    </row>
    <row r="2" spans="2:24" ht="22.5" customHeight="1">
      <c r="B2" s="2"/>
      <c r="C2" s="91" t="s">
        <v>2</v>
      </c>
      <c r="D2" s="201" t="s">
        <v>238</v>
      </c>
      <c r="E2" s="202"/>
      <c r="F2" s="202"/>
      <c r="G2" s="202"/>
      <c r="H2" s="202"/>
      <c r="I2" s="202"/>
      <c r="J2" s="203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7" t="s">
        <v>62</v>
      </c>
      <c r="H5" s="197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/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/>
      <c r="I8" s="6">
        <v>0</v>
      </c>
      <c r="J8" s="95" t="e">
        <f>F8/H8</f>
        <v>#DIV/0!</v>
      </c>
      <c r="K8" s="95">
        <f>(H8-F8)*100/F8</f>
        <v>-100</v>
      </c>
      <c r="L8" s="6" t="s">
        <v>80</v>
      </c>
      <c r="M8" s="115" t="s">
        <v>56</v>
      </c>
      <c r="O8" s="82">
        <v>45246.55</v>
      </c>
      <c r="P8" s="112" t="s">
        <v>63</v>
      </c>
      <c r="Q8" s="112">
        <v>5163.58</v>
      </c>
      <c r="R8" s="112">
        <v>3977.45</v>
      </c>
      <c r="S8" s="134" t="s">
        <v>81</v>
      </c>
      <c r="T8" s="134">
        <v>868.68</v>
      </c>
      <c r="U8" s="130">
        <v>0.97809999999999997</v>
      </c>
      <c r="V8" s="130">
        <v>0.9728</v>
      </c>
      <c r="W8" s="6" t="s">
        <v>80</v>
      </c>
      <c r="X8" s="115" t="s">
        <v>56</v>
      </c>
    </row>
    <row r="9" spans="2:24" ht="15.75">
      <c r="B9" s="8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80</v>
      </c>
      <c r="M9" s="115" t="s">
        <v>56</v>
      </c>
      <c r="O9" s="82">
        <v>45258.540277777778</v>
      </c>
      <c r="P9" s="112" t="s">
        <v>63</v>
      </c>
      <c r="Q9" s="112">
        <v>4827.7299999999996</v>
      </c>
      <c r="R9" s="112">
        <v>3709.2</v>
      </c>
      <c r="S9" s="134" t="s">
        <v>81</v>
      </c>
      <c r="T9" s="134">
        <v>868.32</v>
      </c>
      <c r="U9" s="130">
        <v>0.9728</v>
      </c>
      <c r="V9" s="130">
        <v>0.96799999999999997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2"/>
      <c r="P10" s="112" t="s">
        <v>63</v>
      </c>
      <c r="Q10" s="112"/>
      <c r="R10" s="112"/>
      <c r="S10" s="134" t="s">
        <v>81</v>
      </c>
      <c r="T10" s="134"/>
      <c r="U10" s="130"/>
      <c r="V10" s="130"/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/>
      <c r="P11" s="112" t="s">
        <v>63</v>
      </c>
      <c r="Q11" s="112"/>
      <c r="R11" s="112"/>
      <c r="S11" s="134" t="s">
        <v>81</v>
      </c>
      <c r="T11" s="134"/>
      <c r="U11" s="130"/>
      <c r="V11" s="130"/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5" t="s">
        <v>82</v>
      </c>
      <c r="D21" s="195"/>
      <c r="E21" s="195"/>
      <c r="F21" s="195"/>
      <c r="G21" s="195"/>
      <c r="H21" s="195"/>
      <c r="I21" s="119">
        <f>COUNT(B8:B20)</f>
        <v>0</v>
      </c>
      <c r="J21" s="120"/>
      <c r="K21" s="120"/>
      <c r="L21" s="106"/>
      <c r="M21" s="121"/>
      <c r="O21" s="122"/>
      <c r="P21" s="198" t="s">
        <v>83</v>
      </c>
      <c r="Q21" s="198"/>
      <c r="R21" s="198"/>
      <c r="S21" s="198"/>
      <c r="T21" s="135">
        <f>COUNT(O8:O20)</f>
        <v>2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196" t="s">
        <v>84</v>
      </c>
      <c r="H24" s="196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>
        <v>45248.554166666669</v>
      </c>
      <c r="C27" s="6" t="s">
        <v>85</v>
      </c>
      <c r="D27" s="6" t="s">
        <v>39</v>
      </c>
      <c r="E27" s="6">
        <v>0</v>
      </c>
      <c r="F27" s="6">
        <v>200</v>
      </c>
      <c r="G27" s="6">
        <v>0</v>
      </c>
      <c r="H27" s="95">
        <v>199.1</v>
      </c>
      <c r="I27" s="6">
        <v>0</v>
      </c>
      <c r="J27" s="95">
        <f>F27/H27</f>
        <v>1.0045203415369162</v>
      </c>
      <c r="K27" s="95">
        <f>(H27-F27)*100/F27</f>
        <v>-0.45000000000000284</v>
      </c>
      <c r="L27" s="6" t="s">
        <v>80</v>
      </c>
      <c r="M27" s="115" t="s">
        <v>56</v>
      </c>
      <c r="O27" s="82">
        <v>45246.55</v>
      </c>
      <c r="P27" s="112" t="s">
        <v>29</v>
      </c>
      <c r="Q27" s="112">
        <v>4650.01</v>
      </c>
      <c r="R27" s="112">
        <v>3607.36</v>
      </c>
      <c r="S27" s="134" t="s">
        <v>86</v>
      </c>
      <c r="T27" s="134">
        <v>787.81</v>
      </c>
      <c r="U27" s="130">
        <v>0.91120000000000001</v>
      </c>
      <c r="V27" s="130">
        <v>0.91259999999999997</v>
      </c>
      <c r="W27" s="6" t="s">
        <v>80</v>
      </c>
      <c r="X27" s="115" t="s">
        <v>56</v>
      </c>
    </row>
    <row r="28" spans="2:24" ht="15.75">
      <c r="B28" s="82">
        <v>45258.573611111111</v>
      </c>
      <c r="C28" s="6" t="s">
        <v>85</v>
      </c>
      <c r="D28" s="6" t="s">
        <v>39</v>
      </c>
      <c r="E28" s="6">
        <v>0</v>
      </c>
      <c r="F28" s="6">
        <v>200</v>
      </c>
      <c r="G28" s="6">
        <v>0</v>
      </c>
      <c r="H28" s="95">
        <v>200.6</v>
      </c>
      <c r="I28" s="6">
        <v>0</v>
      </c>
      <c r="J28" s="95">
        <f t="shared" ref="J28:J33" si="2">F28/H28</f>
        <v>0.99700897308075775</v>
      </c>
      <c r="K28" s="95">
        <f t="shared" ref="K28:K33" si="3">(H28-F28)*100/F28</f>
        <v>0.29999999999999716</v>
      </c>
      <c r="L28" s="6" t="s">
        <v>80</v>
      </c>
      <c r="M28" s="115" t="s">
        <v>56</v>
      </c>
      <c r="O28" s="82">
        <v>45258.540277777778</v>
      </c>
      <c r="P28" s="112" t="s">
        <v>29</v>
      </c>
      <c r="Q28" s="112">
        <v>4769.01</v>
      </c>
      <c r="R28" s="112">
        <v>3707.77</v>
      </c>
      <c r="S28" s="134" t="s">
        <v>86</v>
      </c>
      <c r="T28" s="134">
        <v>778.49</v>
      </c>
      <c r="U28" s="130">
        <v>0.91259999999999997</v>
      </c>
      <c r="V28" s="130">
        <v>0.92490000000000006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/>
      <c r="P29" s="112" t="s">
        <v>29</v>
      </c>
      <c r="Q29" s="112"/>
      <c r="R29" s="112"/>
      <c r="S29" s="134" t="s">
        <v>86</v>
      </c>
      <c r="T29" s="134"/>
      <c r="U29" s="130"/>
      <c r="V29" s="130"/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/>
      <c r="P30" s="112" t="s">
        <v>29</v>
      </c>
      <c r="Q30" s="112"/>
      <c r="R30" s="112"/>
      <c r="S30" s="134" t="s">
        <v>86</v>
      </c>
      <c r="T30" s="134"/>
      <c r="U30" s="130"/>
      <c r="V30" s="130"/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198" t="s">
        <v>87</v>
      </c>
      <c r="Q40" s="198"/>
      <c r="R40" s="198"/>
      <c r="S40" s="198"/>
      <c r="T40" s="135">
        <f>COUNT(O27:O39)</f>
        <v>2</v>
      </c>
      <c r="U40" s="136"/>
      <c r="V40" s="136"/>
      <c r="W40" s="137"/>
      <c r="X40" s="138"/>
    </row>
    <row r="41" spans="2:24">
      <c r="B41" s="99"/>
      <c r="C41" s="106"/>
      <c r="D41" s="195" t="s">
        <v>88</v>
      </c>
      <c r="E41" s="195"/>
      <c r="F41" s="195"/>
      <c r="G41" s="195"/>
      <c r="H41" s="195"/>
      <c r="I41" s="195"/>
      <c r="J41" s="126">
        <f>COUNT(B27:B39)</f>
        <v>2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196" t="s">
        <v>38</v>
      </c>
      <c r="H44" s="196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5" t="s">
        <v>89</v>
      </c>
      <c r="E61" s="195"/>
      <c r="F61" s="195"/>
      <c r="G61" s="195"/>
      <c r="H61" s="195"/>
      <c r="I61" s="195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196" t="s">
        <v>37</v>
      </c>
      <c r="H64" s="196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>
        <v>45248.521527777775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>
        <v>5.08</v>
      </c>
      <c r="I67" s="6">
        <v>0</v>
      </c>
      <c r="J67" s="95">
        <f>F67/H67</f>
        <v>0.98425196850393704</v>
      </c>
      <c r="K67" s="95">
        <f>(H67-F67)*100/F67</f>
        <v>1.6000000000000014</v>
      </c>
      <c r="L67" s="6" t="s">
        <v>80</v>
      </c>
      <c r="M67" s="115" t="s">
        <v>56</v>
      </c>
    </row>
    <row r="68" spans="2:13" ht="15.75">
      <c r="B68" s="82">
        <v>45258.54791666667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>
        <v>5.19</v>
      </c>
      <c r="I68" s="6">
        <v>0</v>
      </c>
      <c r="J68" s="95">
        <f t="shared" ref="J68:J73" si="4">F68/H68</f>
        <v>0.96339113680154131</v>
      </c>
      <c r="K68" s="95">
        <f t="shared" ref="K68:K73" si="5">(H68-F68)*100/F68</f>
        <v>3.8000000000000078</v>
      </c>
      <c r="L68" s="6" t="s">
        <v>80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5" t="s">
        <v>90</v>
      </c>
      <c r="E81" s="195"/>
      <c r="F81" s="195"/>
      <c r="G81" s="195"/>
      <c r="H81" s="195"/>
      <c r="I81" s="195"/>
      <c r="J81" s="126">
        <f>COUNT(B67:B79)</f>
        <v>2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196" t="s">
        <v>91</v>
      </c>
      <c r="H84" s="196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5" t="s">
        <v>92</v>
      </c>
      <c r="E101" s="195"/>
      <c r="F101" s="195"/>
      <c r="G101" s="195"/>
      <c r="H101" s="195"/>
      <c r="I101" s="195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7" t="s">
        <v>93</v>
      </c>
      <c r="H104" s="197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>
        <v>45248.522916666669</v>
      </c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>
        <v>320.10000000000002</v>
      </c>
      <c r="I107" s="6">
        <f>G107-E107</f>
        <v>0</v>
      </c>
      <c r="J107" s="95">
        <f>F107/H107</f>
        <v>0.99968759762574189</v>
      </c>
      <c r="K107" s="95">
        <f>(H107-F107)*100/F107</f>
        <v>3.1250000000007105E-2</v>
      </c>
      <c r="L107" s="6" t="s">
        <v>80</v>
      </c>
      <c r="M107" s="115" t="s">
        <v>56</v>
      </c>
    </row>
    <row r="108" spans="2:13" ht="15.75">
      <c r="B108" s="82">
        <v>45258.556250000001</v>
      </c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>
        <v>321.10000000000002</v>
      </c>
      <c r="I108" s="6">
        <f>G108-E108</f>
        <v>0</v>
      </c>
      <c r="J108" s="95">
        <f>F108/H108</f>
        <v>0.99657427592650261</v>
      </c>
      <c r="K108" s="95">
        <f>(H108-F108)*100/F108</f>
        <v>0.34375000000000711</v>
      </c>
      <c r="L108" s="6" t="s">
        <v>80</v>
      </c>
      <c r="M108" s="115" t="s">
        <v>56</v>
      </c>
    </row>
    <row r="109" spans="2:13" ht="15.75">
      <c r="B109" s="8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5" t="s">
        <v>94</v>
      </c>
      <c r="D119" s="195"/>
      <c r="E119" s="195"/>
      <c r="F119" s="195"/>
      <c r="G119" s="195"/>
      <c r="H119" s="195"/>
      <c r="I119" s="126">
        <f>COUNT(B107:B118)</f>
        <v>2</v>
      </c>
      <c r="J119" s="120"/>
      <c r="K119" s="120"/>
      <c r="L119" s="106"/>
      <c r="M119" s="12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C9" sqref="C9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4" t="s">
        <v>95</v>
      </c>
      <c r="C2" s="204"/>
      <c r="D2" s="206" t="str">
        <f>'MONTHLY 30'!$B$2</f>
        <v>01/11/2023 00:15</v>
      </c>
      <c r="E2" s="206"/>
    </row>
    <row r="3" spans="2:5">
      <c r="B3" s="204" t="s">
        <v>96</v>
      </c>
      <c r="C3" s="204"/>
      <c r="D3" s="206"/>
      <c r="E3" s="206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>
        <v>45258.71875</v>
      </c>
      <c r="C8" s="80">
        <v>45258.729166666664</v>
      </c>
      <c r="D8" s="81">
        <f t="shared" ref="D8:D13" si="0">C8-B8</f>
        <v>1.0416666664241347E-2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1.0416666664241347E-2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5" t="s">
        <v>100</v>
      </c>
      <c r="C44" s="205"/>
      <c r="D44" s="87">
        <f>SUM(D11:D42)</f>
        <v>1.0416666664241347E-2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7" t="s">
        <v>101</v>
      </c>
      <c r="C2" s="207"/>
      <c r="D2" s="207"/>
      <c r="E2" s="207"/>
      <c r="F2" s="208">
        <v>1</v>
      </c>
      <c r="G2" s="209"/>
      <c r="H2" s="209"/>
    </row>
    <row r="3" spans="2:24" customFormat="1" ht="15" customHeight="1">
      <c r="B3" s="207"/>
      <c r="C3" s="207"/>
      <c r="D3" s="207"/>
      <c r="E3" s="207"/>
      <c r="F3" s="209"/>
      <c r="G3" s="209"/>
      <c r="H3" s="209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2" t="s">
        <v>93</v>
      </c>
      <c r="C12" s="223" t="s">
        <v>102</v>
      </c>
      <c r="D12" s="224"/>
      <c r="E12" s="224"/>
      <c r="F12" s="224"/>
      <c r="G12" s="224"/>
      <c r="H12" s="224"/>
      <c r="I12" s="224"/>
      <c r="J12" s="224"/>
      <c r="K12" s="224"/>
      <c r="L12" s="224"/>
      <c r="M12" s="224"/>
      <c r="N12" s="224"/>
      <c r="O12" s="224"/>
      <c r="P12" s="224"/>
      <c r="Q12" s="224"/>
      <c r="R12" s="46"/>
      <c r="U12" s="45"/>
    </row>
    <row r="13" spans="2:24" ht="15" customHeight="1">
      <c r="B13" s="213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3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3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3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3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3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4" t="s">
        <v>84</v>
      </c>
      <c r="C25" s="225" t="s">
        <v>102</v>
      </c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10"/>
      <c r="S25" s="56"/>
      <c r="T25" s="57"/>
    </row>
    <row r="26" spans="2:28" ht="15" customHeight="1">
      <c r="B26" s="214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4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4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5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6" t="s">
        <v>37</v>
      </c>
      <c r="C36" s="227" t="s">
        <v>102</v>
      </c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8"/>
    </row>
    <row r="37" spans="2:25" ht="15.75" customHeight="1">
      <c r="B37" s="217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7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7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8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9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9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9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9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4" t="s">
        <v>196</v>
      </c>
      <c r="C61" s="225" t="s">
        <v>102</v>
      </c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10"/>
      <c r="S61" s="65"/>
      <c r="T61" s="66"/>
    </row>
    <row r="62" spans="2:20" ht="15.75">
      <c r="B62" s="214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20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2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5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4" t="s">
        <v>213</v>
      </c>
      <c r="C69" s="225" t="s">
        <v>102</v>
      </c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10"/>
      <c r="S69" s="65"/>
      <c r="T69" s="66"/>
    </row>
    <row r="70" spans="2:20" ht="15.75">
      <c r="B70" s="214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4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2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5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21" t="s">
        <v>91</v>
      </c>
      <c r="C77" s="210" t="s">
        <v>102</v>
      </c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70"/>
      <c r="S77" s="70"/>
      <c r="T77" s="15"/>
    </row>
    <row r="78" spans="2:20">
      <c r="B78" s="222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2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2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2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2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2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2023-12-05T13:06:28Z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