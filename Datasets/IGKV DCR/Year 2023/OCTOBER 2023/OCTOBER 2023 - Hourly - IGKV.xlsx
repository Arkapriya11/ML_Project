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Q45"/>
  <c r="B45"/>
  <c r="G39" l="1"/>
  <c r="H39"/>
  <c r="I39"/>
  <c r="N39"/>
  <c r="O39"/>
  <c r="Q38"/>
  <c r="P38"/>
  <c r="O38"/>
  <c r="L38"/>
  <c r="I38"/>
  <c r="H38"/>
  <c r="G38"/>
  <c r="D38"/>
  <c r="O37"/>
  <c r="M37"/>
  <c r="L37"/>
  <c r="G37"/>
  <c r="E37"/>
  <c r="D37"/>
  <c r="O36"/>
  <c r="M36"/>
  <c r="L36"/>
  <c r="G36"/>
  <c r="F36"/>
  <c r="E36"/>
  <c r="D36"/>
  <c r="Q35"/>
  <c r="P35"/>
  <c r="N35"/>
  <c r="I35"/>
  <c r="G35"/>
  <c r="D35"/>
  <c r="O34"/>
  <c r="L34"/>
  <c r="H34"/>
  <c r="E34"/>
  <c r="D34"/>
  <c r="M33"/>
  <c r="L33"/>
  <c r="F33"/>
  <c r="B33"/>
  <c r="Q32"/>
  <c r="J32"/>
  <c r="I32"/>
  <c r="G32"/>
  <c r="N31"/>
  <c r="G31"/>
  <c r="C31"/>
  <c r="O30"/>
  <c r="K30"/>
  <c r="J30"/>
  <c r="D30"/>
  <c r="C30"/>
  <c r="B30"/>
  <c r="N29"/>
  <c r="J29"/>
  <c r="G29"/>
  <c r="E29"/>
  <c r="B29"/>
  <c r="P28"/>
  <c r="K28"/>
  <c r="H28"/>
  <c r="C28"/>
  <c r="K27"/>
  <c r="D27"/>
  <c r="D26"/>
  <c r="C26"/>
  <c r="M25"/>
  <c r="K25"/>
  <c r="C25"/>
  <c r="N24"/>
  <c r="G24"/>
  <c r="P23"/>
  <c r="M23"/>
  <c r="H23"/>
  <c r="E23"/>
  <c r="P22"/>
  <c r="I22"/>
  <c r="Q21"/>
  <c r="J21"/>
  <c r="A21"/>
  <c r="O18"/>
  <c r="I18"/>
  <c r="N17"/>
  <c r="M17"/>
  <c r="F17"/>
  <c r="E17"/>
  <c r="I15"/>
  <c r="K13"/>
  <c r="H13"/>
  <c r="Q38" i="4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N36"/>
  <c r="M36"/>
  <c r="M39" i="39" s="1"/>
  <c r="L36" i="41"/>
  <c r="L39" i="39" s="1"/>
  <c r="K36" i="41"/>
  <c r="K39" i="39" s="1"/>
  <c r="J36" i="41"/>
  <c r="J39" i="39" s="1"/>
  <c r="I36" i="41"/>
  <c r="H36"/>
  <c r="G36"/>
  <c r="F36"/>
  <c r="F39" i="39" s="1"/>
  <c r="E36" i="41"/>
  <c r="E39" i="39" s="1"/>
  <c r="D36" i="41"/>
  <c r="D39" i="39" s="1"/>
  <c r="C36" i="41"/>
  <c r="C39" i="39" s="1"/>
  <c r="B36" i="41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8" i="39" s="1"/>
  <c r="M36" i="40"/>
  <c r="M38" i="39" s="1"/>
  <c r="L36" i="40"/>
  <c r="K36"/>
  <c r="K38" i="39" s="1"/>
  <c r="J36" i="40"/>
  <c r="J38" i="39" s="1"/>
  <c r="I36" i="40"/>
  <c r="H36"/>
  <c r="G36"/>
  <c r="F36"/>
  <c r="F38" i="39" s="1"/>
  <c r="E36" i="40"/>
  <c r="E38" i="39" s="1"/>
  <c r="D36" i="40"/>
  <c r="C36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P37" i="39" s="1"/>
  <c r="O36" i="43"/>
  <c r="N36"/>
  <c r="N37" i="39" s="1"/>
  <c r="M36" i="43"/>
  <c r="L36"/>
  <c r="K36"/>
  <c r="K37" i="39" s="1"/>
  <c r="J36" i="43"/>
  <c r="J37" i="39" s="1"/>
  <c r="I36" i="43"/>
  <c r="I37" i="39" s="1"/>
  <c r="H36" i="43"/>
  <c r="H37" i="39" s="1"/>
  <c r="G36" i="43"/>
  <c r="F36"/>
  <c r="F37" i="39" s="1"/>
  <c r="E36" i="43"/>
  <c r="D36"/>
  <c r="C36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N36"/>
  <c r="N36" i="39" s="1"/>
  <c r="M36" i="33"/>
  <c r="L36"/>
  <c r="K36"/>
  <c r="K36" i="39" s="1"/>
  <c r="J36" i="33"/>
  <c r="J36" i="39" s="1"/>
  <c r="I36" i="33"/>
  <c r="I36" i="39" s="1"/>
  <c r="H36" i="33"/>
  <c r="H36" i="39" s="1"/>
  <c r="G36" i="33"/>
  <c r="F36"/>
  <c r="E36"/>
  <c r="D36"/>
  <c r="C36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35" i="39" s="1"/>
  <c r="N36" i="32"/>
  <c r="M36"/>
  <c r="M35" i="39" s="1"/>
  <c r="L36" i="32"/>
  <c r="L35" i="39" s="1"/>
  <c r="K36" i="32"/>
  <c r="K35" i="39" s="1"/>
  <c r="J36" i="32"/>
  <c r="J35" i="39" s="1"/>
  <c r="I36" i="32"/>
  <c r="H36"/>
  <c r="H35" i="39" s="1"/>
  <c r="G36" i="32"/>
  <c r="F36"/>
  <c r="F35" i="39" s="1"/>
  <c r="E36" i="32"/>
  <c r="E35" i="39" s="1"/>
  <c r="D36" i="32"/>
  <c r="C36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N36"/>
  <c r="N34" i="39" s="1"/>
  <c r="M36" i="31"/>
  <c r="M34" i="39" s="1"/>
  <c r="L36" i="31"/>
  <c r="K36"/>
  <c r="K34" i="39" s="1"/>
  <c r="J36" i="31"/>
  <c r="J34" i="39" s="1"/>
  <c r="I36" i="31"/>
  <c r="I34" i="39" s="1"/>
  <c r="H36" i="31"/>
  <c r="G36"/>
  <c r="G34" i="39" s="1"/>
  <c r="F36" i="31"/>
  <c r="F34" i="39" s="1"/>
  <c r="E36" i="31"/>
  <c r="D36"/>
  <c r="C36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L36"/>
  <c r="K36"/>
  <c r="K33" i="39" s="1"/>
  <c r="J36" i="30"/>
  <c r="J33" i="39" s="1"/>
  <c r="I36" i="30"/>
  <c r="I33" i="39" s="1"/>
  <c r="H36" i="30"/>
  <c r="H33" i="39" s="1"/>
  <c r="G36" i="30"/>
  <c r="G33" i="39" s="1"/>
  <c r="F36" i="30"/>
  <c r="E36"/>
  <c r="E33" i="39" s="1"/>
  <c r="D36" i="30"/>
  <c r="D33" i="39" s="1"/>
  <c r="C36" i="30"/>
  <c r="C33" i="39" s="1"/>
  <c r="B36" i="3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E39" i="2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I36"/>
  <c r="H36"/>
  <c r="H32" i="39" s="1"/>
  <c r="G36" i="29"/>
  <c r="F36"/>
  <c r="F32" i="39" s="1"/>
  <c r="E36" i="29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M36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F36"/>
  <c r="F31" i="39" s="1"/>
  <c r="E36" i="28"/>
  <c r="E31" i="39" s="1"/>
  <c r="D36" i="28"/>
  <c r="D31" i="39" s="1"/>
  <c r="C36" i="28"/>
  <c r="B36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N36"/>
  <c r="N30" i="39" s="1"/>
  <c r="M36" i="27"/>
  <c r="M30" i="39" s="1"/>
  <c r="L36" i="27"/>
  <c r="L30" i="39" s="1"/>
  <c r="K36" i="27"/>
  <c r="J36"/>
  <c r="I36"/>
  <c r="I30" i="39" s="1"/>
  <c r="H36" i="27"/>
  <c r="H30" i="39" s="1"/>
  <c r="G36" i="27"/>
  <c r="G30" i="39" s="1"/>
  <c r="F36" i="27"/>
  <c r="F30" i="39" s="1"/>
  <c r="E36" i="27"/>
  <c r="E30" i="39" s="1"/>
  <c r="D36" i="27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M36"/>
  <c r="M29" i="39" s="1"/>
  <c r="L36" i="26"/>
  <c r="L29" i="39" s="1"/>
  <c r="K36" i="26"/>
  <c r="K29" i="39" s="1"/>
  <c r="J36" i="26"/>
  <c r="I36"/>
  <c r="I29" i="39" s="1"/>
  <c r="H36" i="26"/>
  <c r="H29" i="39" s="1"/>
  <c r="G36" i="26"/>
  <c r="F36"/>
  <c r="F29" i="39" s="1"/>
  <c r="E36" i="26"/>
  <c r="D36"/>
  <c r="D29" i="39" s="1"/>
  <c r="C36" i="26"/>
  <c r="C29" i="39" s="1"/>
  <c r="B36" i="2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O36"/>
  <c r="O28" i="39" s="1"/>
  <c r="N36" i="25"/>
  <c r="N28" i="39" s="1"/>
  <c r="M36" i="25"/>
  <c r="M28" i="39" s="1"/>
  <c r="L36" i="25"/>
  <c r="L28" i="39" s="1"/>
  <c r="K36" i="25"/>
  <c r="J36"/>
  <c r="J28" i="39" s="1"/>
  <c r="I36" i="25"/>
  <c r="I28" i="39" s="1"/>
  <c r="H36" i="25"/>
  <c r="G36"/>
  <c r="G28" i="39" s="1"/>
  <c r="F36" i="25"/>
  <c r="F28" i="39" s="1"/>
  <c r="E36" i="25"/>
  <c r="E28" i="39" s="1"/>
  <c r="D36" i="25"/>
  <c r="D28" i="39" s="1"/>
  <c r="C36" i="25"/>
  <c r="B36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40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J36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C36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C36"/>
  <c r="B36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L36"/>
  <c r="L25" i="39" s="1"/>
  <c r="K36" i="22"/>
  <c r="J36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B36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M36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F36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N39" i="2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O36"/>
  <c r="O23" i="39" s="1"/>
  <c r="N36" i="20"/>
  <c r="N23" i="39" s="1"/>
  <c r="M36" i="20"/>
  <c r="L36"/>
  <c r="L23" i="39" s="1"/>
  <c r="K36" i="20"/>
  <c r="K23" i="39" s="1"/>
  <c r="J36" i="20"/>
  <c r="J23" i="39" s="1"/>
  <c r="I36" i="20"/>
  <c r="I23" i="39" s="1"/>
  <c r="H36" i="20"/>
  <c r="G36"/>
  <c r="G23" i="39" s="1"/>
  <c r="F36" i="20"/>
  <c r="F23" i="39" s="1"/>
  <c r="E36" i="20"/>
  <c r="D36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O36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H36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I36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7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39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N36"/>
  <c r="N18" i="39" s="1"/>
  <c r="M36" i="15"/>
  <c r="M18" i="39" s="1"/>
  <c r="L36" i="15"/>
  <c r="L18" i="39" s="1"/>
  <c r="K36" i="15"/>
  <c r="K18" i="39" s="1"/>
  <c r="J36" i="15"/>
  <c r="J18" i="39" s="1"/>
  <c r="I36" i="15"/>
  <c r="H36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M36"/>
  <c r="L36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E36"/>
  <c r="D36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D40" i="12"/>
  <c r="D39"/>
  <c r="Q38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C39" i="1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J36"/>
  <c r="J13" i="39" s="1"/>
  <c r="I36" i="10"/>
  <c r="I13" i="39" s="1"/>
  <c r="H36" i="10"/>
  <c r="G36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40" i="8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40" i="3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F39" i="41" l="1"/>
  <c r="E39"/>
  <c r="D39"/>
  <c r="C39"/>
  <c r="B39"/>
  <c r="Q39"/>
  <c r="P39"/>
  <c r="O39"/>
  <c r="N39"/>
  <c r="M39"/>
  <c r="L39"/>
  <c r="K39"/>
  <c r="J39"/>
  <c r="I39"/>
  <c r="H39"/>
  <c r="G39"/>
  <c r="O39" i="40"/>
  <c r="N39"/>
  <c r="M39"/>
  <c r="L39"/>
  <c r="K39"/>
  <c r="J39"/>
  <c r="I39"/>
  <c r="H39"/>
  <c r="G39"/>
  <c r="F39"/>
  <c r="E39"/>
  <c r="D39"/>
  <c r="C39"/>
  <c r="B39"/>
  <c r="Q39"/>
  <c r="P39"/>
  <c r="J39" i="43"/>
  <c r="I39"/>
  <c r="H39"/>
  <c r="G39"/>
  <c r="F39"/>
  <c r="E39"/>
  <c r="D39"/>
  <c r="C39"/>
  <c r="B39"/>
  <c r="Q39"/>
  <c r="P39"/>
  <c r="O39"/>
  <c r="N39"/>
  <c r="M39"/>
  <c r="L39"/>
  <c r="K39"/>
  <c r="D39" i="33"/>
  <c r="C39"/>
  <c r="B39"/>
  <c r="Q39"/>
  <c r="P39"/>
  <c r="O39"/>
  <c r="N39"/>
  <c r="M39"/>
  <c r="L39"/>
  <c r="K39"/>
  <c r="J39"/>
  <c r="I39"/>
  <c r="H39"/>
  <c r="G39"/>
  <c r="F39"/>
  <c r="E39"/>
  <c r="O39" i="32"/>
  <c r="N39"/>
  <c r="M39"/>
  <c r="L39"/>
  <c r="K39"/>
  <c r="J39"/>
  <c r="I39"/>
  <c r="H39"/>
  <c r="G39"/>
  <c r="F39"/>
  <c r="E39"/>
  <c r="D39"/>
  <c r="C39"/>
  <c r="B39"/>
  <c r="Q39"/>
  <c r="P39"/>
  <c r="L39" i="31"/>
  <c r="K39"/>
  <c r="J39"/>
  <c r="I39"/>
  <c r="H39"/>
  <c r="G39"/>
  <c r="F39"/>
  <c r="E39"/>
  <c r="D39"/>
  <c r="C39"/>
  <c r="B39"/>
  <c r="Q39"/>
  <c r="P39"/>
  <c r="O39"/>
  <c r="N39"/>
  <c r="M39"/>
  <c r="J39" i="30"/>
  <c r="I39"/>
  <c r="H39"/>
  <c r="G39"/>
  <c r="F39"/>
  <c r="E39"/>
  <c r="D39"/>
  <c r="C39"/>
  <c r="B39"/>
  <c r="Q39"/>
  <c r="P39"/>
  <c r="O39"/>
  <c r="N39"/>
  <c r="M39"/>
  <c r="L39"/>
  <c r="K39"/>
  <c r="G39" i="29"/>
  <c r="F39"/>
  <c r="D39"/>
  <c r="C39"/>
  <c r="B39"/>
  <c r="Q39"/>
  <c r="P39"/>
  <c r="O39"/>
  <c r="N39"/>
  <c r="M39"/>
  <c r="L39"/>
  <c r="K39"/>
  <c r="J39"/>
  <c r="I39"/>
  <c r="H39"/>
  <c r="F39" i="28"/>
  <c r="E39"/>
  <c r="D39"/>
  <c r="C39"/>
  <c r="B39"/>
  <c r="Q39"/>
  <c r="P39"/>
  <c r="O39"/>
  <c r="N39"/>
  <c r="M39"/>
  <c r="L39"/>
  <c r="K39"/>
  <c r="J39"/>
  <c r="I39"/>
  <c r="H39"/>
  <c r="G39"/>
  <c r="B39" i="27"/>
  <c r="Q39"/>
  <c r="P39"/>
  <c r="O39"/>
  <c r="N39"/>
  <c r="M39"/>
  <c r="L39"/>
  <c r="K39"/>
  <c r="J39"/>
  <c r="I39"/>
  <c r="H39"/>
  <c r="G39"/>
  <c r="F39"/>
  <c r="E39"/>
  <c r="D39"/>
  <c r="C39"/>
  <c r="E39" i="26"/>
  <c r="D39"/>
  <c r="C39"/>
  <c r="B39"/>
  <c r="Q39"/>
  <c r="P39"/>
  <c r="O39"/>
  <c r="N39"/>
  <c r="M39"/>
  <c r="L39"/>
  <c r="K39"/>
  <c r="J39"/>
  <c r="I39"/>
  <c r="H39"/>
  <c r="G39"/>
  <c r="F39"/>
  <c r="C39" i="25"/>
  <c r="B39"/>
  <c r="Q39"/>
  <c r="P39"/>
  <c r="O39"/>
  <c r="N39"/>
  <c r="M39"/>
  <c r="L39"/>
  <c r="K39"/>
  <c r="J39"/>
  <c r="I39"/>
  <c r="H39"/>
  <c r="G39"/>
  <c r="F39"/>
  <c r="E39"/>
  <c r="D39"/>
  <c r="C39" i="24"/>
  <c r="B39"/>
  <c r="Q39"/>
  <c r="P39"/>
  <c r="O39"/>
  <c r="N39"/>
  <c r="M39"/>
  <c r="L39"/>
  <c r="K39"/>
  <c r="J39"/>
  <c r="I39"/>
  <c r="H39"/>
  <c r="G39"/>
  <c r="F39"/>
  <c r="E39"/>
  <c r="D39"/>
  <c r="C39" i="23"/>
  <c r="B39"/>
  <c r="Q39"/>
  <c r="P39"/>
  <c r="O39"/>
  <c r="N39"/>
  <c r="M39"/>
  <c r="L39"/>
  <c r="K39"/>
  <c r="J39"/>
  <c r="I39"/>
  <c r="H39"/>
  <c r="G39"/>
  <c r="F39"/>
  <c r="E39"/>
  <c r="D39"/>
  <c r="B39" i="22"/>
  <c r="Q39"/>
  <c r="P39"/>
  <c r="O39"/>
  <c r="N39"/>
  <c r="M39"/>
  <c r="L39"/>
  <c r="K39"/>
  <c r="J39"/>
  <c r="I39"/>
  <c r="H39"/>
  <c r="G39"/>
  <c r="F39"/>
  <c r="E39"/>
  <c r="D39"/>
  <c r="C39"/>
  <c r="B39" i="21"/>
  <c r="Q39"/>
  <c r="P40"/>
  <c r="O39"/>
  <c r="N39"/>
  <c r="M39"/>
  <c r="L39"/>
  <c r="K39"/>
  <c r="J39"/>
  <c r="I39"/>
  <c r="H39"/>
  <c r="G39"/>
  <c r="F39"/>
  <c r="E39"/>
  <c r="D39"/>
  <c r="C39"/>
  <c r="P39" i="20"/>
  <c r="O39"/>
  <c r="M39"/>
  <c r="L39"/>
  <c r="K39"/>
  <c r="J39"/>
  <c r="I39"/>
  <c r="H39"/>
  <c r="G39"/>
  <c r="F39"/>
  <c r="E39"/>
  <c r="D39"/>
  <c r="C39"/>
  <c r="B39"/>
  <c r="Q39"/>
  <c r="P39" i="19"/>
  <c r="O39"/>
  <c r="N39"/>
  <c r="M39"/>
  <c r="L39"/>
  <c r="K39"/>
  <c r="J39"/>
  <c r="I39"/>
  <c r="H39"/>
  <c r="G39"/>
  <c r="F39"/>
  <c r="E39"/>
  <c r="D39"/>
  <c r="C39"/>
  <c r="B39"/>
  <c r="Q39"/>
  <c r="O39" i="18"/>
  <c r="N39"/>
  <c r="M39"/>
  <c r="L39"/>
  <c r="K39"/>
  <c r="J39"/>
  <c r="I39"/>
  <c r="H39"/>
  <c r="G39"/>
  <c r="F39"/>
  <c r="E39"/>
  <c r="D39"/>
  <c r="C39"/>
  <c r="B39"/>
  <c r="Q39"/>
  <c r="P39"/>
  <c r="O39" i="17"/>
  <c r="N39"/>
  <c r="M39"/>
  <c r="L39"/>
  <c r="K39"/>
  <c r="J39"/>
  <c r="I39"/>
  <c r="P39"/>
  <c r="H39"/>
  <c r="G39"/>
  <c r="Q40"/>
  <c r="F39"/>
  <c r="E39"/>
  <c r="D39"/>
  <c r="C39"/>
  <c r="B39"/>
  <c r="C39" i="16"/>
  <c r="B39"/>
  <c r="Q39"/>
  <c r="P39"/>
  <c r="O39"/>
  <c r="N39"/>
  <c r="M39"/>
  <c r="L39"/>
  <c r="K39"/>
  <c r="J39"/>
  <c r="I39"/>
  <c r="H39"/>
  <c r="G39"/>
  <c r="F39"/>
  <c r="E39"/>
  <c r="D39"/>
  <c r="C39" i="15"/>
  <c r="B39"/>
  <c r="Q40"/>
  <c r="P39"/>
  <c r="O39"/>
  <c r="N39"/>
  <c r="M39"/>
  <c r="L39"/>
  <c r="K39"/>
  <c r="J40"/>
  <c r="I39"/>
  <c r="H39"/>
  <c r="G39"/>
  <c r="F39"/>
  <c r="E39"/>
  <c r="D39"/>
  <c r="Q39" i="14"/>
  <c r="P39"/>
  <c r="O39"/>
  <c r="N39"/>
  <c r="M39"/>
  <c r="L39"/>
  <c r="K39"/>
  <c r="J39"/>
  <c r="I39"/>
  <c r="H39"/>
  <c r="G39"/>
  <c r="F39"/>
  <c r="E39"/>
  <c r="D39"/>
  <c r="C39"/>
  <c r="B39"/>
  <c r="C39" i="13"/>
  <c r="B39"/>
  <c r="Q39"/>
  <c r="P39"/>
  <c r="O39"/>
  <c r="N39"/>
  <c r="M39"/>
  <c r="L39"/>
  <c r="K39"/>
  <c r="J39"/>
  <c r="I39"/>
  <c r="H39"/>
  <c r="G39"/>
  <c r="F39"/>
  <c r="E39"/>
  <c r="D39"/>
  <c r="C39" i="12"/>
  <c r="B39"/>
  <c r="Q40"/>
  <c r="P39"/>
  <c r="O39"/>
  <c r="N39"/>
  <c r="M39"/>
  <c r="L39"/>
  <c r="K39"/>
  <c r="J39"/>
  <c r="I39"/>
  <c r="H39"/>
  <c r="G39"/>
  <c r="F39"/>
  <c r="E39"/>
  <c r="F39" i="11"/>
  <c r="E39"/>
  <c r="D39"/>
  <c r="C39"/>
  <c r="B39"/>
  <c r="Q39"/>
  <c r="P39"/>
  <c r="O39"/>
  <c r="N39"/>
  <c r="M39"/>
  <c r="L39"/>
  <c r="K39"/>
  <c r="J39"/>
  <c r="I39"/>
  <c r="H39"/>
  <c r="G39"/>
  <c r="E39" i="10"/>
  <c r="F39"/>
  <c r="D39"/>
  <c r="B39"/>
  <c r="Q39"/>
  <c r="P39"/>
  <c r="O39"/>
  <c r="N39"/>
  <c r="M39"/>
  <c r="L39"/>
  <c r="K39"/>
  <c r="J39"/>
  <c r="I39"/>
  <c r="H39"/>
  <c r="G39"/>
  <c r="H39" i="9"/>
  <c r="G39"/>
  <c r="F39"/>
  <c r="E39"/>
  <c r="D39"/>
  <c r="C39"/>
  <c r="B39"/>
  <c r="Q39"/>
  <c r="P39"/>
  <c r="O39"/>
  <c r="N39"/>
  <c r="M39"/>
  <c r="L39"/>
  <c r="K39"/>
  <c r="J39"/>
  <c r="I39"/>
  <c r="J39" i="8"/>
  <c r="I39"/>
  <c r="H39"/>
  <c r="G39"/>
  <c r="F39"/>
  <c r="E39"/>
  <c r="D39"/>
  <c r="C39"/>
  <c r="B39"/>
  <c r="Q39"/>
  <c r="P39"/>
  <c r="O39"/>
  <c r="N39"/>
  <c r="M39"/>
  <c r="L39"/>
  <c r="K39"/>
  <c r="M47" i="39"/>
  <c r="L39" i="3"/>
  <c r="L46" i="39"/>
  <c r="K39" i="3"/>
  <c r="K47" i="39"/>
  <c r="J39" i="3"/>
  <c r="J47" i="39"/>
  <c r="I39" i="3"/>
  <c r="I46" i="39"/>
  <c r="H39" i="3"/>
  <c r="H46" i="39"/>
  <c r="G39" i="3"/>
  <c r="G46" i="39"/>
  <c r="F39" i="3"/>
  <c r="F47" i="39"/>
  <c r="E39" i="3"/>
  <c r="E47" i="39"/>
  <c r="D39" i="3"/>
  <c r="D46" i="39"/>
  <c r="C39" i="3"/>
  <c r="C47" i="39"/>
  <c r="B39" i="3"/>
  <c r="Q39"/>
  <c r="Q46" i="39"/>
  <c r="P39" i="3"/>
  <c r="B47" i="39"/>
  <c r="P46"/>
  <c r="O39" i="3"/>
  <c r="O46" i="39"/>
  <c r="N39" i="3"/>
  <c r="N47" i="39"/>
  <c r="M39" i="3"/>
  <c r="O39" i="2"/>
  <c r="N39"/>
  <c r="M39"/>
  <c r="L39"/>
  <c r="P40"/>
  <c r="K39"/>
  <c r="J39"/>
  <c r="I39"/>
  <c r="H39"/>
  <c r="G39"/>
  <c r="F39"/>
  <c r="E39"/>
  <c r="D39"/>
  <c r="C39"/>
  <c r="B39"/>
  <c r="Q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F46" l="1"/>
  <c r="K46"/>
  <c r="J46"/>
  <c r="I47"/>
  <c r="G47"/>
  <c r="O47"/>
  <c r="N46"/>
  <c r="M46"/>
  <c r="E46"/>
  <c r="B46"/>
  <c r="C46"/>
  <c r="Q47"/>
  <c r="D47"/>
  <c r="L47"/>
  <c r="P47"/>
  <c r="H47"/>
</calcChain>
</file>

<file path=xl/sharedStrings.xml><?xml version="1.0" encoding="utf-8"?>
<sst xmlns="http://schemas.openxmlformats.org/spreadsheetml/2006/main" count="2887" uniqueCount="804">
  <si>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</si>
  <si>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</si>
  <si>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</si>
  <si>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</si>
  <si>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</si>
  <si>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</si>
  <si>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</si>
  <si>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</si>
  <si>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</si>
  <si>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</si>
  <si>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</si>
  <si>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</si>
  <si>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</si>
  <si>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</si>
  <si>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</si>
  <si>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</si>
  <si>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</si>
  <si>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</si>
  <si>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</si>
  <si>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</si>
  <si>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</si>
  <si>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</si>
  <si>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</si>
  <si>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</si>
  <si>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</si>
  <si>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</si>
  <si>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</si>
  <si>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</si>
  <si>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</si>
  <si>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</si>
  <si>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</si>
  <si>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</si>
  <si>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</si>
  <si>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</si>
  <si>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</si>
  <si>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</si>
  <si>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</si>
  <si>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</si>
  <si>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</si>
  <si>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</si>
  <si>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</si>
  <si>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</si>
  <si>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</si>
  <si>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</si>
  <si>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</si>
  <si>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</si>
  <si>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</si>
  <si>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</si>
  <si>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</si>
  <si>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</si>
  <si>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</si>
  <si>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</si>
  <si>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</si>
  <si>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</si>
  <si>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</si>
  <si>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</si>
  <si>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</si>
  <si>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</si>
  <si>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</si>
  <si>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</si>
  <si>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</si>
  <si>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</si>
  <si>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</si>
  <si>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</si>
  <si>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</si>
  <si>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</si>
  <si>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</si>
  <si>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</si>
  <si>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</si>
  <si>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</si>
  <si>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</si>
  <si>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</si>
  <si>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</si>
  <si>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</si>
  <si>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</si>
  <si>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</si>
  <si>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</si>
  <si>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</si>
  <si>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</si>
  <si>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</si>
  <si>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</si>
  <si>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</si>
  <si>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</si>
  <si>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01/10/2023 24:00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</si>
  <si>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</si>
  <si>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</si>
  <si>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</si>
  <si>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</si>
  <si>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</si>
  <si>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</si>
  <si>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</si>
  <si>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</si>
  <si>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</si>
  <si>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</si>
  <si>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</si>
  <si>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</si>
  <si>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</si>
  <si>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</si>
  <si>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</si>
  <si>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</si>
  <si>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</si>
  <si>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</si>
  <si>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</si>
  <si>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</si>
  <si>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</si>
  <si>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</si>
  <si>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</si>
  <si>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02/10/2023 24:00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</si>
  <si>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</si>
  <si>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</si>
  <si>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</si>
  <si>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</si>
  <si>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</si>
  <si>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</si>
  <si>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</si>
  <si>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</si>
  <si>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</si>
  <si>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</si>
  <si>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</si>
  <si>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</si>
  <si>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</si>
  <si>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</si>
  <si>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</si>
  <si>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</si>
  <si>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</si>
  <si>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</si>
  <si>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</si>
  <si>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</si>
  <si>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</si>
  <si>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</si>
  <si>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</si>
  <si>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03/10/2023 24:00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</si>
  <si>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</si>
  <si>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</si>
  <si>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</si>
  <si>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</si>
  <si>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</si>
  <si>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</si>
  <si>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</si>
  <si>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</si>
  <si>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</si>
  <si>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</si>
  <si>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</si>
  <si>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</si>
  <si>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</si>
  <si>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</si>
  <si>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</si>
  <si>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</si>
  <si>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</si>
  <si>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</si>
  <si>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</si>
  <si>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</si>
  <si>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</si>
  <si>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</si>
  <si>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</si>
  <si>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04/10/2023 24:00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</si>
  <si>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</si>
  <si>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</si>
  <si>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</si>
  <si>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</si>
  <si>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</si>
  <si>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</si>
  <si>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</si>
  <si>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</si>
  <si>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</si>
  <si>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</si>
  <si>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</si>
  <si>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</si>
  <si>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</si>
  <si>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</si>
  <si>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</si>
  <si>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</si>
  <si>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</si>
  <si>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</si>
  <si>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</si>
  <si>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</si>
  <si>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</si>
  <si>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</si>
  <si>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</si>
  <si>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05/10/2023 24:00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</si>
  <si>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</si>
  <si>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</si>
  <si>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</si>
  <si>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</si>
  <si>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</si>
  <si>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</si>
  <si>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</si>
  <si>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</si>
  <si>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</si>
  <si>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</si>
  <si>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</si>
  <si>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</si>
  <si>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</si>
  <si>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</si>
  <si>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</si>
  <si>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</si>
  <si>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</si>
  <si>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</si>
  <si>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</si>
  <si>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</si>
  <si>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</si>
  <si>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</si>
  <si>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</si>
  <si>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06/10/2023 24:00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</si>
  <si>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</si>
  <si>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</si>
  <si>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</si>
  <si>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</si>
  <si>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</si>
  <si>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</si>
  <si>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</si>
  <si>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</si>
  <si>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</si>
  <si>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</si>
  <si>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</si>
  <si>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</si>
  <si>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</si>
  <si>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</si>
  <si>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</si>
  <si>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</si>
  <si>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</si>
  <si>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</si>
  <si>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</si>
  <si>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</si>
  <si>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</si>
  <si>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</si>
  <si>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</si>
  <si>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07/10/2023 24:00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</si>
  <si>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</si>
  <si>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</si>
  <si>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</si>
  <si>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</si>
  <si>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</si>
  <si>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</si>
  <si>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</si>
  <si>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</si>
  <si>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</si>
  <si>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</si>
  <si>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</si>
  <si>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</si>
  <si>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</si>
  <si>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</si>
  <si>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</si>
  <si>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</si>
  <si>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</si>
  <si>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</si>
  <si>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</si>
  <si>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</si>
  <si>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</si>
  <si>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</si>
  <si>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</si>
  <si>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08/10/2023 24:00</t>
  </si>
  <si>
    <t>09/10/2023 01:00</t>
  </si>
  <si>
    <t>09/10/2023 02:00</t>
  </si>
  <si>
    <t>09/10/2023 03:00</t>
  </si>
  <si>
    <t>09/10/2023 04:00</t>
  </si>
  <si>
    <t>09/10/2023 05:00</t>
  </si>
  <si>
    <t>09/10/2023 06:00</t>
  </si>
  <si>
    <t>09/10/2023 07:00</t>
  </si>
  <si>
    <t>09/10/2023 08:00</t>
  </si>
  <si>
    <t>09/10/2023 09:00</t>
  </si>
  <si>
    <t>09/10/2023 10:00</t>
  </si>
  <si>
    <t>09/10/2023 11:00</t>
  </si>
  <si>
    <t>09/10/2023 12:00</t>
  </si>
  <si>
    <t>09/10/2023 13:00</t>
  </si>
  <si>
    <t>09/10/2023 14:00</t>
  </si>
  <si>
    <t>09/10/2023 15:00</t>
  </si>
  <si>
    <t>09/10/2023 16:00</t>
  </si>
  <si>
    <t>09/10/2023 17:00</t>
  </si>
  <si>
    <t>09/10/2023 18:00</t>
  </si>
  <si>
    <t>09/10/2023 19:00</t>
  </si>
  <si>
    <t>09/10/2023 20:00</t>
  </si>
  <si>
    <t>09/10/2023 21:00</t>
  </si>
  <si>
    <t>09/10/2023 22:00</t>
  </si>
  <si>
    <t>09/10/2023 23:00</t>
  </si>
  <si>
    <t>09/10/2023 24:00</t>
  </si>
  <si>
    <t>10/10/2023 01:00</t>
  </si>
  <si>
    <t>10/10/2023 02:00</t>
  </si>
  <si>
    <t>10/10/2023 03:00</t>
  </si>
  <si>
    <t>10/10/2023 04:00</t>
  </si>
  <si>
    <t>10/10/2023 05:00</t>
  </si>
  <si>
    <t>10/10/2023 06:00</t>
  </si>
  <si>
    <t>10/10/2023 07:00</t>
  </si>
  <si>
    <t>10/10/2023 08:00</t>
  </si>
  <si>
    <t>10/10/2023 09:00</t>
  </si>
  <si>
    <t>10/10/2023 10:00</t>
  </si>
  <si>
    <t>10/10/2023 11:00</t>
  </si>
  <si>
    <t>10/10/2023 12:00</t>
  </si>
  <si>
    <t>10/10/2023 13:00</t>
  </si>
  <si>
    <t>10/10/2023 14:00</t>
  </si>
  <si>
    <t>10/10/2023 15:00</t>
  </si>
  <si>
    <t>10/10/2023 16:00</t>
  </si>
  <si>
    <t>10/10/2023 17:00</t>
  </si>
  <si>
    <t>10/10/2023 18:00</t>
  </si>
  <si>
    <t>10/10/2023 19:00</t>
  </si>
  <si>
    <t>10/10/2023 20:00</t>
  </si>
  <si>
    <t>10/10/2023 21:00</t>
  </si>
  <si>
    <t>10/10/2023 22:00</t>
  </si>
  <si>
    <t>10/10/2023 23:00</t>
  </si>
  <si>
    <t>10/10/2023 24:00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</si>
  <si>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</si>
  <si>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</si>
  <si>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</si>
  <si>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</si>
  <si>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</si>
  <si>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</si>
  <si>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</si>
  <si>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08:00</t>
  </si>
  <si>
    <t>11/10/2023 09:00</t>
  </si>
  <si>
    <t>11/10/2023 10:00</t>
  </si>
  <si>
    <t>11/10/2023 11:00</t>
  </si>
  <si>
    <t>11/10/2023 12:00</t>
  </si>
  <si>
    <t>11/10/2023 13:00</t>
  </si>
  <si>
    <t>11/10/2023 14:00</t>
  </si>
  <si>
    <t>11/10/2023 15:00</t>
  </si>
  <si>
    <t>11/10/2023 16:00</t>
  </si>
  <si>
    <t>11/10/2023 17:00</t>
  </si>
  <si>
    <t>11/10/2023 18:00</t>
  </si>
  <si>
    <t>11/10/2023 19:00</t>
  </si>
  <si>
    <t>11/10/2023 20:00</t>
  </si>
  <si>
    <t>11/10/2023 21:00</t>
  </si>
  <si>
    <t>11/10/2023 22:00</t>
  </si>
  <si>
    <t>11/10/2023 23:00</t>
  </si>
  <si>
    <t>11/10/2023 24:00</t>
  </si>
  <si>
    <t>12/10/2023 01:00</t>
  </si>
  <si>
    <t>12/10/2023 02:00</t>
  </si>
  <si>
    <t>12/10/2023 03:00</t>
  </si>
  <si>
    <t>12/10/2023 04:00</t>
  </si>
  <si>
    <t>12/10/2023 05:00</t>
  </si>
  <si>
    <t>12/10/2023 06:00</t>
  </si>
  <si>
    <t>12/10/2023 07:00</t>
  </si>
  <si>
    <t>12/10/2023 08:00</t>
  </si>
  <si>
    <t>12/10/2023 09:00</t>
  </si>
  <si>
    <t>12/10/2023 10:00</t>
  </si>
  <si>
    <t>12/10/2023 11:00</t>
  </si>
  <si>
    <t>12/10/2023 12:00</t>
  </si>
  <si>
    <t>12/10/2023 13:00</t>
  </si>
  <si>
    <t>12/10/2023 14:00</t>
  </si>
  <si>
    <t>12/10/2023 15:00</t>
  </si>
  <si>
    <t>12/10/2023 16:00</t>
  </si>
  <si>
    <t>12/10/2023 17:00</t>
  </si>
  <si>
    <t>12/10/2023 18:00</t>
  </si>
  <si>
    <t>12/10/2023 19:00</t>
  </si>
  <si>
    <t>12/10/2023 20:00</t>
  </si>
  <si>
    <t>12/10/2023 21:00</t>
  </si>
  <si>
    <t>12/10/2023 22:00</t>
  </si>
  <si>
    <t>12/10/2023 23:00</t>
  </si>
  <si>
    <t>12/10/2023 24:00</t>
  </si>
  <si>
    <t>13/10/2023 01:00</t>
  </si>
  <si>
    <t>13/10/2023 02:00</t>
  </si>
  <si>
    <t>13/10/2023 03:00</t>
  </si>
  <si>
    <t>13/10/2023 04:00</t>
  </si>
  <si>
    <t>13/10/2023 05:00</t>
  </si>
  <si>
    <t>13/10/2023 06:00</t>
  </si>
  <si>
    <t>13/10/2023 07:00</t>
  </si>
  <si>
    <t>13/10/2023 08:00</t>
  </si>
  <si>
    <t>13/10/2023 09:00</t>
  </si>
  <si>
    <t>13/10/2023 10:00</t>
  </si>
  <si>
    <t>13/10/2023 11:00</t>
  </si>
  <si>
    <t>13/10/2023 12:00</t>
  </si>
  <si>
    <t>13/10/2023 13:00</t>
  </si>
  <si>
    <t>13/10/2023 14:00</t>
  </si>
  <si>
    <t>13/10/2023 15:00</t>
  </si>
  <si>
    <t>13/10/2023 16:00</t>
  </si>
  <si>
    <t>13/10/2023 17:00</t>
  </si>
  <si>
    <t>13/10/2023 18:00</t>
  </si>
  <si>
    <t>13/10/2023 19:00</t>
  </si>
  <si>
    <t>13/10/2023 20:00</t>
  </si>
  <si>
    <t>13/10/2023 21:00</t>
  </si>
  <si>
    <t>13/10/2023 22:00</t>
  </si>
  <si>
    <t>13/10/2023 23:00</t>
  </si>
  <si>
    <t>13/10/2023 24:00</t>
  </si>
  <si>
    <t>14/10/2023 01:00</t>
  </si>
  <si>
    <t>14/10/2023 02:00</t>
  </si>
  <si>
    <t>14/10/2023 03:00</t>
  </si>
  <si>
    <t>14/10/2023 04:00</t>
  </si>
  <si>
    <t>14/10/2023 05:00</t>
  </si>
  <si>
    <t>14/10/2023 06:00</t>
  </si>
  <si>
    <t>14/10/2023 07:00</t>
  </si>
  <si>
    <t>14/10/2023 08:00</t>
  </si>
  <si>
    <t>14/10/2023 09:00</t>
  </si>
  <si>
    <t>14/10/2023 10:00</t>
  </si>
  <si>
    <t>14/10/2023 11:00</t>
  </si>
  <si>
    <t>14/10/2023 12:00</t>
  </si>
  <si>
    <t>14/10/2023 13:00</t>
  </si>
  <si>
    <t>14/10/2023 14:00</t>
  </si>
  <si>
    <t>14/10/2023 15:00</t>
  </si>
  <si>
    <t>14/10/2023 16:00</t>
  </si>
  <si>
    <t>14/10/2023 17:00</t>
  </si>
  <si>
    <t>14/10/2023 18:00</t>
  </si>
  <si>
    <t>14/10/2023 19:00</t>
  </si>
  <si>
    <t>14/10/2023 20:00</t>
  </si>
  <si>
    <t>14/10/2023 21:00</t>
  </si>
  <si>
    <t>14/10/2023 22:00</t>
  </si>
  <si>
    <t>14/10/2023 23:00</t>
  </si>
  <si>
    <t>14/10/2023 24:00</t>
  </si>
  <si>
    <t>15/10/2023 01:00</t>
  </si>
  <si>
    <t>15/10/2023 02:00</t>
  </si>
  <si>
    <t>15/10/2023 03:00</t>
  </si>
  <si>
    <t>15/10/2023 04:00</t>
  </si>
  <si>
    <t>15/10/2023 05:00</t>
  </si>
  <si>
    <t>15/10/2023 06:00</t>
  </si>
  <si>
    <t>15/10/2023 07:00</t>
  </si>
  <si>
    <t>15/10/2023 08:00</t>
  </si>
  <si>
    <t>15/10/2023 09:00</t>
  </si>
  <si>
    <t>15/10/2023 10:00</t>
  </si>
  <si>
    <t>15/10/2023 11:00</t>
  </si>
  <si>
    <t>15/10/2023 12:00</t>
  </si>
  <si>
    <t>15/10/2023 13:00</t>
  </si>
  <si>
    <t>15/10/2023 14:00</t>
  </si>
  <si>
    <t>15/10/2023 15:00</t>
  </si>
  <si>
    <t>15/10/2023 16:00</t>
  </si>
  <si>
    <t>15/10/2023 17:00</t>
  </si>
  <si>
    <t>15/10/2023 18:00</t>
  </si>
  <si>
    <t>15/10/2023 19:00</t>
  </si>
  <si>
    <t>15/10/2023 20:00</t>
  </si>
  <si>
    <t>15/10/2023 21:00</t>
  </si>
  <si>
    <t>15/10/2023 22:00</t>
  </si>
  <si>
    <t>15/10/2023 23:00</t>
  </si>
  <si>
    <t>15/10/2023 24:00</t>
  </si>
  <si>
    <t>16/10/2023 01:00</t>
  </si>
  <si>
    <t>16/10/2023 02:00</t>
  </si>
  <si>
    <t>16/10/2023 03:00</t>
  </si>
  <si>
    <t>16/10/2023 04:00</t>
  </si>
  <si>
    <t>16/10/2023 05:00</t>
  </si>
  <si>
    <t>16/10/2023 06:00</t>
  </si>
  <si>
    <t>16/10/2023 07:00</t>
  </si>
  <si>
    <t>16/10/2023 08:00</t>
  </si>
  <si>
    <t>16/10/2023 09:00</t>
  </si>
  <si>
    <t>16/10/2023 10:00</t>
  </si>
  <si>
    <t>16/10/2023 11:00</t>
  </si>
  <si>
    <t>16/10/2023 12:00</t>
  </si>
  <si>
    <t>16/10/2023 13:00</t>
  </si>
  <si>
    <t>16/10/2023 14:00</t>
  </si>
  <si>
    <t>16/10/2023 15:00</t>
  </si>
  <si>
    <t>16/10/2023 16:00</t>
  </si>
  <si>
    <t>16/10/2023 17:00</t>
  </si>
  <si>
    <t>16/10/2023 18:00</t>
  </si>
  <si>
    <t>16/10/2023 19:00</t>
  </si>
  <si>
    <t>16/10/2023 20:00</t>
  </si>
  <si>
    <t>16/10/2023 21:00</t>
  </si>
  <si>
    <t>16/10/2023 22:00</t>
  </si>
  <si>
    <t>16/10/2023 23:00</t>
  </si>
  <si>
    <t>16/10/2023 24:00</t>
  </si>
  <si>
    <t>17/10/2023 01:00</t>
  </si>
  <si>
    <t>17/10/2023 02:00</t>
  </si>
  <si>
    <t>17/10/2023 03:00</t>
  </si>
  <si>
    <t>17/10/2023 04:00</t>
  </si>
  <si>
    <t>17/10/2023 05:00</t>
  </si>
  <si>
    <t>17/10/2023 06:00</t>
  </si>
  <si>
    <t>17/10/2023 07:00</t>
  </si>
  <si>
    <t>17/10/2023 08:00</t>
  </si>
  <si>
    <t>17/10/2023 09:00</t>
  </si>
  <si>
    <t>17/10/2023 10:00</t>
  </si>
  <si>
    <t>17/10/2023 11:00</t>
  </si>
  <si>
    <t>17/10/2023 12:00</t>
  </si>
  <si>
    <t>17/10/2023 13:00</t>
  </si>
  <si>
    <t>17/10/2023 14:00</t>
  </si>
  <si>
    <t>17/10/2023 15:00</t>
  </si>
  <si>
    <t>17/10/2023 16:00</t>
  </si>
  <si>
    <t>17/10/2023 17:00</t>
  </si>
  <si>
    <t>17/10/2023 18:00</t>
  </si>
  <si>
    <t>17/10/2023 19:00</t>
  </si>
  <si>
    <t>17/10/2023 20:00</t>
  </si>
  <si>
    <t>17/10/2023 21:00</t>
  </si>
  <si>
    <t>17/10/2023 22:00</t>
  </si>
  <si>
    <t>17/10/2023 23:00</t>
  </si>
  <si>
    <t>17/10/2023 24:00</t>
  </si>
  <si>
    <t>18/10/2023 01:00</t>
  </si>
  <si>
    <t>18/10/2023 02:00</t>
  </si>
  <si>
    <t>18/10/2023 03:00</t>
  </si>
  <si>
    <t>18/10/2023 04:00</t>
  </si>
  <si>
    <t>18/10/2023 05:00</t>
  </si>
  <si>
    <t>18/10/2023 06:00</t>
  </si>
  <si>
    <t>18/10/2023 07:00</t>
  </si>
  <si>
    <t>18/10/2023 08:00</t>
  </si>
  <si>
    <t>18/10/2023 09:00</t>
  </si>
  <si>
    <t>18/10/2023 10:00</t>
  </si>
  <si>
    <t>18/10/2023 11:00</t>
  </si>
  <si>
    <t>18/10/2023 12:00</t>
  </si>
  <si>
    <t>18/10/2023 13:00</t>
  </si>
  <si>
    <t>18/10/2023 14:00</t>
  </si>
  <si>
    <t>18/10/2023 15:00</t>
  </si>
  <si>
    <t>18/10/2023 16:00</t>
  </si>
  <si>
    <t>18/10/2023 17:00</t>
  </si>
  <si>
    <t>18/10/2023 18:00</t>
  </si>
  <si>
    <t>18/10/2023 19:00</t>
  </si>
  <si>
    <t>18/10/2023 20:00</t>
  </si>
  <si>
    <t>18/10/2023 21:00</t>
  </si>
  <si>
    <t>18/10/2023 22:00</t>
  </si>
  <si>
    <t>18/10/2023 23:00</t>
  </si>
  <si>
    <t>18/10/2023 24:00</t>
  </si>
  <si>
    <t>19/10/2023 01:00</t>
  </si>
  <si>
    <t>19/10/2023 02:00</t>
  </si>
  <si>
    <t>19/10/2023 03:00</t>
  </si>
  <si>
    <t>19/10/2023 04:00</t>
  </si>
  <si>
    <t>19/10/2023 05:00</t>
  </si>
  <si>
    <t>19/10/2023 06:00</t>
  </si>
  <si>
    <t>19/10/2023 07:00</t>
  </si>
  <si>
    <t>19/10/2023 08:00</t>
  </si>
  <si>
    <t>19/10/2023 09:00</t>
  </si>
  <si>
    <t>19/10/2023 10:00</t>
  </si>
  <si>
    <t>19/10/2023 11:00</t>
  </si>
  <si>
    <t>19/10/2023 12:00</t>
  </si>
  <si>
    <t>19/10/2023 13:00</t>
  </si>
  <si>
    <t>19/10/2023 14:00</t>
  </si>
  <si>
    <t>19/10/2023 15:00</t>
  </si>
  <si>
    <t>19/10/2023 16:00</t>
  </si>
  <si>
    <t>19/10/2023 17:00</t>
  </si>
  <si>
    <t>19/10/2023 18:00</t>
  </si>
  <si>
    <t>19/10/2023 19:00</t>
  </si>
  <si>
    <t>19/10/2023 20:00</t>
  </si>
  <si>
    <t>19/10/2023 21:00</t>
  </si>
  <si>
    <t>19/10/2023 22:00</t>
  </si>
  <si>
    <t>19/10/2023 23:00</t>
  </si>
  <si>
    <t>19/10/2023 24:00</t>
  </si>
  <si>
    <t>20/10/2023 01:00</t>
  </si>
  <si>
    <t>20/10/2023 02:00</t>
  </si>
  <si>
    <t>20/10/2023 03:00</t>
  </si>
  <si>
    <t>20/10/2023 04:00</t>
  </si>
  <si>
    <t>20/10/2023 05:00</t>
  </si>
  <si>
    <t>20/10/2023 06:00</t>
  </si>
  <si>
    <t>20/10/2023 07:00</t>
  </si>
  <si>
    <t>20/10/2023 08:00</t>
  </si>
  <si>
    <t>20/10/2023 09:00</t>
  </si>
  <si>
    <t>20/10/2023 10:00</t>
  </si>
  <si>
    <t>20/10/2023 11:00</t>
  </si>
  <si>
    <t>20/10/2023 12:00</t>
  </si>
  <si>
    <t>20/10/2023 13:00</t>
  </si>
  <si>
    <t>20/10/2023 14:00</t>
  </si>
  <si>
    <t>20/10/2023 15:00</t>
  </si>
  <si>
    <t>20/10/2023 16:00</t>
  </si>
  <si>
    <t>20/10/2023 17:00</t>
  </si>
  <si>
    <t>20/10/2023 18:00</t>
  </si>
  <si>
    <t>20/10/2023 19:00</t>
  </si>
  <si>
    <t>20/10/2023 20:00</t>
  </si>
  <si>
    <t>20/10/2023 21:00</t>
  </si>
  <si>
    <t>20/10/2023 22:00</t>
  </si>
  <si>
    <t>20/10/2023 23:00</t>
  </si>
  <si>
    <t>20/10/2023 24:00</t>
  </si>
  <si>
    <t>21/10/2023 01:00</t>
  </si>
  <si>
    <t>21/10/2023 02:00</t>
  </si>
  <si>
    <t>21/10/2023 03:00</t>
  </si>
  <si>
    <t>21/10/2023 04:00</t>
  </si>
  <si>
    <t>21/10/2023 05:00</t>
  </si>
  <si>
    <t>21/10/2023 06:00</t>
  </si>
  <si>
    <t>21/10/2023 07:00</t>
  </si>
  <si>
    <t>21/10/2023 08:00</t>
  </si>
  <si>
    <t>21/10/2023 09:00</t>
  </si>
  <si>
    <t>21/10/2023 10:00</t>
  </si>
  <si>
    <t>21/10/2023 11:00</t>
  </si>
  <si>
    <t>21/10/2023 12:00</t>
  </si>
  <si>
    <t>21/10/2023 13:00</t>
  </si>
  <si>
    <t>21/10/2023 14:00</t>
  </si>
  <si>
    <t>21/10/2023 15:00</t>
  </si>
  <si>
    <t>21/10/2023 16:00</t>
  </si>
  <si>
    <t>21/10/2023 17:00</t>
  </si>
  <si>
    <t>21/10/2023 18:00</t>
  </si>
  <si>
    <t>21/10/2023 19:00</t>
  </si>
  <si>
    <t>21/10/2023 20:00</t>
  </si>
  <si>
    <t>21/10/2023 21:00</t>
  </si>
  <si>
    <t>21/10/2023 22:00</t>
  </si>
  <si>
    <t>21/10/2023 23:00</t>
  </si>
  <si>
    <t>21/10/2023 24:00</t>
  </si>
  <si>
    <t>22/10/2023 01:00</t>
  </si>
  <si>
    <t>22/10/2023 02:00</t>
  </si>
  <si>
    <t>22/10/2023 03:00</t>
  </si>
  <si>
    <t>22/10/2023 04:00</t>
  </si>
  <si>
    <t>22/10/2023 05:00</t>
  </si>
  <si>
    <t>22/10/2023 06:00</t>
  </si>
  <si>
    <t>22/10/2023 07:00</t>
  </si>
  <si>
    <t>22/10/2023 08:00</t>
  </si>
  <si>
    <t>22/10/2023 09:00</t>
  </si>
  <si>
    <t>22/10/2023 10:00</t>
  </si>
  <si>
    <t>22/10/2023 11:00</t>
  </si>
  <si>
    <t>22/10/2023 12:00</t>
  </si>
  <si>
    <t>22/10/2023 13:00</t>
  </si>
  <si>
    <t>22/10/2023 14:00</t>
  </si>
  <si>
    <t>22/10/2023 15:00</t>
  </si>
  <si>
    <t>22/10/2023 16:00</t>
  </si>
  <si>
    <t>22/10/2023 17:00</t>
  </si>
  <si>
    <t>22/10/2023 18:00</t>
  </si>
  <si>
    <t>22/10/2023 19:00</t>
  </si>
  <si>
    <t>22/10/2023 20:00</t>
  </si>
  <si>
    <t>22/10/2023 21:00</t>
  </si>
  <si>
    <t>22/10/2023 22:00</t>
  </si>
  <si>
    <t>22/10/2023 23:00</t>
  </si>
  <si>
    <t>22/10/2023 24:00</t>
  </si>
  <si>
    <t>23/10/2023 01:00</t>
  </si>
  <si>
    <t>23/10/2023 02:00</t>
  </si>
  <si>
    <t>23/10/2023 03:00</t>
  </si>
  <si>
    <t>23/10/2023 04:00</t>
  </si>
  <si>
    <t>23/10/2023 05:00</t>
  </si>
  <si>
    <t>23/10/2023 06:00</t>
  </si>
  <si>
    <t>23/10/2023 07:00</t>
  </si>
  <si>
    <t>23/10/2023 08:00</t>
  </si>
  <si>
    <t>23/10/2023 09:00</t>
  </si>
  <si>
    <t>23/10/2023 10:00</t>
  </si>
  <si>
    <t>23/10/2023 11:00</t>
  </si>
  <si>
    <t>23/10/2023 12:00</t>
  </si>
  <si>
    <t>23/10/2023 13:00</t>
  </si>
  <si>
    <t>23/10/2023 14:00</t>
  </si>
  <si>
    <t>23/10/2023 15:00</t>
  </si>
  <si>
    <t>23/10/2023 16:00</t>
  </si>
  <si>
    <t>23/10/2023 17:00</t>
  </si>
  <si>
    <t>23/10/2023 18:00</t>
  </si>
  <si>
    <t>23/10/2023 19:00</t>
  </si>
  <si>
    <t>23/10/2023 20:00</t>
  </si>
  <si>
    <t>23/10/2023 21:00</t>
  </si>
  <si>
    <t>23/10/2023 22:00</t>
  </si>
  <si>
    <t>23/10/2023 23:00</t>
  </si>
  <si>
    <t>23/10/2023 24:00</t>
  </si>
  <si>
    <t>24/10/2023 01:00</t>
  </si>
  <si>
    <t>24/10/2023 02:00</t>
  </si>
  <si>
    <t>24/10/2023 03:00</t>
  </si>
  <si>
    <t>24/10/2023 04:00</t>
  </si>
  <si>
    <t>24/10/2023 05:00</t>
  </si>
  <si>
    <t>24/10/2023 06:00</t>
  </si>
  <si>
    <t>24/10/2023 07:00</t>
  </si>
  <si>
    <t>24/10/2023 08:00</t>
  </si>
  <si>
    <t>24/10/2023 09:00</t>
  </si>
  <si>
    <t>24/10/2023 10:00</t>
  </si>
  <si>
    <t>24/10/2023 11:00</t>
  </si>
  <si>
    <t>24/10/2023 12:00</t>
  </si>
  <si>
    <t>24/10/2023 13:00</t>
  </si>
  <si>
    <t>24/10/2023 14:00</t>
  </si>
  <si>
    <t>24/10/2023 15:00</t>
  </si>
  <si>
    <t>24/10/2023 16:00</t>
  </si>
  <si>
    <t>24/10/2023 17:00</t>
  </si>
  <si>
    <t>24/10/2023 18:00</t>
  </si>
  <si>
    <t>24/10/2023 19:00</t>
  </si>
  <si>
    <t>24/10/2023 20:00</t>
  </si>
  <si>
    <t>24/10/2023 21:00</t>
  </si>
  <si>
    <t>24/10/2023 22:00</t>
  </si>
  <si>
    <t>24/10/2023 23:00</t>
  </si>
  <si>
    <t>24/10/2023 24:00</t>
  </si>
  <si>
    <t>25/10/2023 01:00</t>
  </si>
  <si>
    <t>25/10/2023 02:00</t>
  </si>
  <si>
    <t>25/10/2023 03:00</t>
  </si>
  <si>
    <t>25/10/2023 04:00</t>
  </si>
  <si>
    <t>25/10/2023 05:00</t>
  </si>
  <si>
    <t>25/10/2023 06:00</t>
  </si>
  <si>
    <t>25/10/2023 07:00</t>
  </si>
  <si>
    <t>25/10/2023 08:00</t>
  </si>
  <si>
    <t>25/10/2023 09:00</t>
  </si>
  <si>
    <t>25/10/2023 10:00</t>
  </si>
  <si>
    <t>25/10/2023 11:00</t>
  </si>
  <si>
    <t>25/10/2023 12:00</t>
  </si>
  <si>
    <t>25/10/2023 13:00</t>
  </si>
  <si>
    <t>25/10/2023 14:00</t>
  </si>
  <si>
    <t>25/10/2023 15:00</t>
  </si>
  <si>
    <t>25/10/2023 16:00</t>
  </si>
  <si>
    <t>25/10/2023 17:00</t>
  </si>
  <si>
    <t>25/10/2023 18:00</t>
  </si>
  <si>
    <t>25/10/2023 19:00</t>
  </si>
  <si>
    <t>25/10/2023 20:00</t>
  </si>
  <si>
    <t>25/10/2023 21:00</t>
  </si>
  <si>
    <t>25/10/2023 22:00</t>
  </si>
  <si>
    <t>25/10/2023 23:00</t>
  </si>
  <si>
    <t>25/10/2023 24:00</t>
  </si>
  <si>
    <t>26/10/2023 01:00</t>
  </si>
  <si>
    <t>26/10/2023 02:00</t>
  </si>
  <si>
    <t>26/10/2023 03:00</t>
  </si>
  <si>
    <t>26/10/2023 04:00</t>
  </si>
  <si>
    <t>26/10/2023 05:00</t>
  </si>
  <si>
    <t>26/10/2023 06:00</t>
  </si>
  <si>
    <t>26/10/2023 07:00</t>
  </si>
  <si>
    <t>26/10/2023 08:00</t>
  </si>
  <si>
    <t>26/10/2023 09:00</t>
  </si>
  <si>
    <t>26/10/2023 10:00</t>
  </si>
  <si>
    <t>26/10/2023 11:00</t>
  </si>
  <si>
    <t>26/10/2023 12:00</t>
  </si>
  <si>
    <t>26/10/2023 13:00</t>
  </si>
  <si>
    <t>26/10/2023 14:00</t>
  </si>
  <si>
    <t>26/10/2023 15:00</t>
  </si>
  <si>
    <t>26/10/2023 16:00</t>
  </si>
  <si>
    <t>26/10/2023 17:00</t>
  </si>
  <si>
    <t>26/10/2023 18:00</t>
  </si>
  <si>
    <t>26/10/2023 19:00</t>
  </si>
  <si>
    <t>26/10/2023 20:00</t>
  </si>
  <si>
    <t>26/10/2023 21:00</t>
  </si>
  <si>
    <t>26/10/2023 22:00</t>
  </si>
  <si>
    <t>26/10/2023 23:00</t>
  </si>
  <si>
    <t>26/10/2023 24:00</t>
  </si>
  <si>
    <t>27/10/2023 01:00</t>
  </si>
  <si>
    <t>27/10/2023 02:00</t>
  </si>
  <si>
    <t>27/10/2023 03:00</t>
  </si>
  <si>
    <t>27/10/2023 04:00</t>
  </si>
  <si>
    <t>27/10/2023 05:00</t>
  </si>
  <si>
    <t>27/10/2023 06:00</t>
  </si>
  <si>
    <t>27/10/2023 07:00</t>
  </si>
  <si>
    <t>27/10/2023 08:00</t>
  </si>
  <si>
    <t>27/10/2023 09:00</t>
  </si>
  <si>
    <t>27/10/2023 10:00</t>
  </si>
  <si>
    <t>27/10/2023 11:00</t>
  </si>
  <si>
    <t>27/10/2023 12:00</t>
  </si>
  <si>
    <t>27/10/2023 13:00</t>
  </si>
  <si>
    <t>27/10/2023 14:00</t>
  </si>
  <si>
    <t>27/10/2023 15:00</t>
  </si>
  <si>
    <t>27/10/2023 16:00</t>
  </si>
  <si>
    <t>27/10/2023 17:00</t>
  </si>
  <si>
    <t>27/10/2023 18:00</t>
  </si>
  <si>
    <t>27/10/2023 19:00</t>
  </si>
  <si>
    <t>27/10/2023 20:00</t>
  </si>
  <si>
    <t>27/10/2023 21:00</t>
  </si>
  <si>
    <t>27/10/2023 22:00</t>
  </si>
  <si>
    <t>27/10/2023 23:00</t>
  </si>
  <si>
    <t>27/10/2023 24:00</t>
  </si>
  <si>
    <t>28/10/2023 01:00</t>
  </si>
  <si>
    <t>28/10/2023 02:00</t>
  </si>
  <si>
    <t>28/10/2023 03:00</t>
  </si>
  <si>
    <t>28/10/2023 04:00</t>
  </si>
  <si>
    <t>28/10/2023 05:00</t>
  </si>
  <si>
    <t>28/10/2023 06:00</t>
  </si>
  <si>
    <t>28/10/2023 07:00</t>
  </si>
  <si>
    <t>28/10/2023 08:00</t>
  </si>
  <si>
    <t>28/10/2023 09:00</t>
  </si>
  <si>
    <t>28/10/2023 10:00</t>
  </si>
  <si>
    <t>28/10/2023 11:00</t>
  </si>
  <si>
    <t>28/10/2023 12:00</t>
  </si>
  <si>
    <t>28/10/2023 13:00</t>
  </si>
  <si>
    <t>28/10/2023 14:00</t>
  </si>
  <si>
    <t>28/10/2023 15:00</t>
  </si>
  <si>
    <t>28/10/2023 16:00</t>
  </si>
  <si>
    <t>28/10/2023 17:00</t>
  </si>
  <si>
    <t>28/10/2023 18:00</t>
  </si>
  <si>
    <t>28/10/2023 19:00</t>
  </si>
  <si>
    <t>28/10/2023 20:00</t>
  </si>
  <si>
    <t>28/10/2023 21:00</t>
  </si>
  <si>
    <t>28/10/2023 22:00</t>
  </si>
  <si>
    <t>28/10/2023 23:00</t>
  </si>
  <si>
    <t>28/10/2023 24:00</t>
  </si>
  <si>
    <t>29/10/2023 01:00</t>
  </si>
  <si>
    <t>29/10/2023 02:00</t>
  </si>
  <si>
    <t>29/10/2023 03:00</t>
  </si>
  <si>
    <t>29/10/2023 04:00</t>
  </si>
  <si>
    <t>29/10/2023 05:00</t>
  </si>
  <si>
    <t>29/10/2023 06:00</t>
  </si>
  <si>
    <t>29/10/2023 07:00</t>
  </si>
  <si>
    <t>29/10/2023 08:00</t>
  </si>
  <si>
    <t>29/10/2023 09:00</t>
  </si>
  <si>
    <t>29/10/2023 10:00</t>
  </si>
  <si>
    <t>29/10/2023 11:00</t>
  </si>
  <si>
    <t>29/10/2023 12:00</t>
  </si>
  <si>
    <t>29/10/2023 13:00</t>
  </si>
  <si>
    <t>29/10/2023 14:00</t>
  </si>
  <si>
    <t>29/10/2023 15:00</t>
  </si>
  <si>
    <t>29/10/2023 16:00</t>
  </si>
  <si>
    <t>29/10/2023 17:00</t>
  </si>
  <si>
    <t>29/10/2023 18:00</t>
  </si>
  <si>
    <t>29/10/2023 19:00</t>
  </si>
  <si>
    <t>29/10/2023 20:00</t>
  </si>
  <si>
    <t>29/10/2023 21:00</t>
  </si>
  <si>
    <t>29/10/2023 22:00</t>
  </si>
  <si>
    <t>29/10/2023 23:00</t>
  </si>
  <si>
    <t>29/10/2023 24:00</t>
  </si>
  <si>
    <t>30/10/2023 01:00</t>
  </si>
  <si>
    <t>30/10/2023 02:00</t>
  </si>
  <si>
    <t>30/10/2023 03:00</t>
  </si>
  <si>
    <t>30/10/2023 04:00</t>
  </si>
  <si>
    <t>30/10/2023 05:00</t>
  </si>
  <si>
    <t>30/10/2023 06:00</t>
  </si>
  <si>
    <t>30/10/2023 07:00</t>
  </si>
  <si>
    <t>30/10/2023 08:00</t>
  </si>
  <si>
    <t>30/10/2023 09:00</t>
  </si>
  <si>
    <t>30/10/2023 10:00</t>
  </si>
  <si>
    <t>30/10/2023 11:00</t>
  </si>
  <si>
    <t>30/10/2023 12:00</t>
  </si>
  <si>
    <t>30/10/2023 13:00</t>
  </si>
  <si>
    <t>30/10/2023 14:00</t>
  </si>
  <si>
    <t>30/10/2023 15:00</t>
  </si>
  <si>
    <t>30/10/2023 16:00</t>
  </si>
  <si>
    <t>30/10/2023 17:00</t>
  </si>
  <si>
    <t>30/10/2023 18:00</t>
  </si>
  <si>
    <t>30/10/2023 19:00</t>
  </si>
  <si>
    <t>30/10/2023 20:00</t>
  </si>
  <si>
    <t>30/10/2023 21:00</t>
  </si>
  <si>
    <t>30/10/2023 22:00</t>
  </si>
  <si>
    <t>30/10/2023 23:00</t>
  </si>
  <si>
    <t>30/10/2023 24:00</t>
  </si>
  <si>
    <t>31/10/2023 01:00</t>
  </si>
  <si>
    <t>31/10/2023 02:00</t>
  </si>
  <si>
    <t>31/10/2023 03:00</t>
  </si>
  <si>
    <t>31/10/2023 04:00</t>
  </si>
  <si>
    <t>31/10/2023 05:00</t>
  </si>
  <si>
    <t>31/10/2023 06:00</t>
  </si>
  <si>
    <t>31/10/2023 07:00</t>
  </si>
  <si>
    <t>31/10/2023 08:00</t>
  </si>
  <si>
    <t>31/10/2023 09:00</t>
  </si>
  <si>
    <t>31/10/2023 10:00</t>
  </si>
  <si>
    <t>31/10/2023 11:00</t>
  </si>
  <si>
    <t>31/10/2023 12:00</t>
  </si>
  <si>
    <t>31/10/2023 13:00</t>
  </si>
  <si>
    <t>31/10/2023 14:00</t>
  </si>
  <si>
    <t>31/10/2023 15:00</t>
  </si>
  <si>
    <t>31/10/2023 16:00</t>
  </si>
  <si>
    <t>31/10/2023 17:00</t>
  </si>
  <si>
    <t>31/10/2023 18:00</t>
  </si>
  <si>
    <t>31/10/2023 19:00</t>
  </si>
  <si>
    <t>31/10/2023 20:00</t>
  </si>
  <si>
    <t>31/10/2023 21:00</t>
  </si>
  <si>
    <t>31/10/2023 22:00</t>
  </si>
  <si>
    <t>31/10/2023 23:00</t>
  </si>
  <si>
    <t>31/10/2023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</si>
</sst>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60</v>
      </c>
      <c r="B9" s="51">
        <v>14.42</v>
      </c>
      <c r="C9" s="51">
        <v>24.8</v>
      </c>
      <c r="D9" s="51">
        <v>25.65</v>
      </c>
      <c r="E9" s="51">
        <v>7.75</v>
      </c>
      <c r="F9" s="51">
        <v>4.07</v>
      </c>
      <c r="G9" s="51">
        <v>35.07</v>
      </c>
      <c r="H9" s="51">
        <v>15.56</v>
      </c>
      <c r="I9" s="51">
        <v>7.25</v>
      </c>
      <c r="J9" s="51">
        <v>0.36</v>
      </c>
      <c r="K9" s="51">
        <v>263.51</v>
      </c>
      <c r="L9" s="51">
        <v>25.7</v>
      </c>
      <c r="M9" s="51">
        <v>95.27</v>
      </c>
      <c r="N9" s="51">
        <v>0</v>
      </c>
      <c r="O9" s="51">
        <v>0</v>
      </c>
      <c r="P9" s="51">
        <v>0.85</v>
      </c>
      <c r="Q9" s="51">
        <v>4.07</v>
      </c>
    </row>
    <row r="10" spans="1:21" customFormat="1">
      <c r="A10" s="50" t="s">
        <v>61</v>
      </c>
      <c r="B10" s="51">
        <v>15.37</v>
      </c>
      <c r="C10" s="51">
        <v>24.51</v>
      </c>
      <c r="D10" s="51">
        <v>26.35</v>
      </c>
      <c r="E10" s="51">
        <v>7.31</v>
      </c>
      <c r="F10" s="51">
        <v>3.61</v>
      </c>
      <c r="G10" s="51">
        <v>35.07</v>
      </c>
      <c r="H10" s="51">
        <v>14.44</v>
      </c>
      <c r="I10" s="51">
        <v>7.19</v>
      </c>
      <c r="J10" s="51">
        <v>0.22</v>
      </c>
      <c r="K10" s="51">
        <v>257.54000000000002</v>
      </c>
      <c r="L10" s="51">
        <v>25.36</v>
      </c>
      <c r="M10" s="51">
        <v>96.05</v>
      </c>
      <c r="N10" s="51">
        <v>0</v>
      </c>
      <c r="O10" s="51">
        <v>0</v>
      </c>
      <c r="P10" s="51">
        <v>0.83</v>
      </c>
      <c r="Q10" s="51">
        <v>4.0199999999999996</v>
      </c>
    </row>
    <row r="11" spans="1:21" customFormat="1">
      <c r="A11" s="50" t="s">
        <v>62</v>
      </c>
      <c r="B11" s="51">
        <v>16.3</v>
      </c>
      <c r="C11" s="51">
        <v>23.86</v>
      </c>
      <c r="D11" s="51">
        <v>26.59</v>
      </c>
      <c r="E11" s="51">
        <v>7.27</v>
      </c>
      <c r="F11" s="51">
        <v>3.38</v>
      </c>
      <c r="G11" s="51">
        <v>24.26</v>
      </c>
      <c r="H11" s="51">
        <v>13.13</v>
      </c>
      <c r="I11" s="51">
        <v>6.95</v>
      </c>
      <c r="J11" s="51">
        <v>0.28999999999999998</v>
      </c>
      <c r="K11" s="51">
        <v>258.44</v>
      </c>
      <c r="L11" s="51">
        <v>25.05</v>
      </c>
      <c r="M11" s="51">
        <v>96.71</v>
      </c>
      <c r="N11" s="51">
        <v>0</v>
      </c>
      <c r="O11" s="51">
        <v>0</v>
      </c>
      <c r="P11" s="51">
        <v>0.79</v>
      </c>
      <c r="Q11" s="51">
        <v>4.0599999999999996</v>
      </c>
    </row>
    <row r="12" spans="1:21" customFormat="1">
      <c r="A12" s="50" t="s">
        <v>63</v>
      </c>
      <c r="B12" s="51">
        <v>16.989999999999998</v>
      </c>
      <c r="C12" s="51">
        <v>23.37</v>
      </c>
      <c r="D12" s="51">
        <v>27.19</v>
      </c>
      <c r="E12" s="51">
        <v>7.08</v>
      </c>
      <c r="F12" s="51">
        <v>3.26</v>
      </c>
      <c r="G12" s="51">
        <v>23.28</v>
      </c>
      <c r="H12" s="51">
        <v>11.78</v>
      </c>
      <c r="I12" s="51">
        <v>6.69</v>
      </c>
      <c r="J12" s="51">
        <v>0.17</v>
      </c>
      <c r="K12" s="51">
        <v>262.13</v>
      </c>
      <c r="L12" s="51">
        <v>24.83</v>
      </c>
      <c r="M12" s="51">
        <v>97.66</v>
      </c>
      <c r="N12" s="51">
        <v>0</v>
      </c>
      <c r="O12" s="51">
        <v>0</v>
      </c>
      <c r="P12" s="51">
        <v>0.76</v>
      </c>
      <c r="Q12" s="51">
        <v>4.0999999999999996</v>
      </c>
    </row>
    <row r="13" spans="1:21" customFormat="1">
      <c r="A13" s="50" t="s">
        <v>64</v>
      </c>
      <c r="B13" s="51">
        <v>17.38</v>
      </c>
      <c r="C13" s="51">
        <v>22.57</v>
      </c>
      <c r="D13" s="51">
        <v>27.03</v>
      </c>
      <c r="E13" s="51">
        <v>7.54</v>
      </c>
      <c r="F13" s="51">
        <v>2.98</v>
      </c>
      <c r="G13" s="51">
        <v>23.28</v>
      </c>
      <c r="H13" s="51">
        <v>11.14</v>
      </c>
      <c r="I13" s="51">
        <v>6.47</v>
      </c>
      <c r="J13" s="51">
        <v>0.12</v>
      </c>
      <c r="K13" s="51">
        <v>227.46</v>
      </c>
      <c r="L13" s="51">
        <v>24.69</v>
      </c>
      <c r="M13" s="51">
        <v>98.1</v>
      </c>
      <c r="N13" s="51">
        <v>0</v>
      </c>
      <c r="O13" s="51">
        <v>0</v>
      </c>
      <c r="P13" s="51">
        <v>0.72</v>
      </c>
      <c r="Q13" s="51">
        <v>4.13</v>
      </c>
    </row>
    <row r="14" spans="1:21" customFormat="1">
      <c r="A14" s="50" t="s">
        <v>65</v>
      </c>
      <c r="B14" s="51">
        <v>16.670000000000002</v>
      </c>
      <c r="C14" s="51">
        <v>23.94</v>
      </c>
      <c r="D14" s="51">
        <v>26.88</v>
      </c>
      <c r="E14" s="51">
        <v>7.35</v>
      </c>
      <c r="F14" s="51">
        <v>2.81</v>
      </c>
      <c r="G14" s="51">
        <v>23.52</v>
      </c>
      <c r="H14" s="51">
        <v>11.14</v>
      </c>
      <c r="I14" s="51">
        <v>6.17</v>
      </c>
      <c r="J14" s="51">
        <v>0.1</v>
      </c>
      <c r="K14" s="51">
        <v>228.97</v>
      </c>
      <c r="L14" s="51">
        <v>24.53</v>
      </c>
      <c r="M14" s="51">
        <v>99.19</v>
      </c>
      <c r="N14" s="51">
        <v>3.2</v>
      </c>
      <c r="O14" s="51">
        <v>0</v>
      </c>
      <c r="P14" s="51">
        <v>0.74</v>
      </c>
      <c r="Q14" s="51">
        <v>4.09</v>
      </c>
    </row>
    <row r="15" spans="1:21" customFormat="1">
      <c r="A15" s="50" t="s">
        <v>66</v>
      </c>
      <c r="B15" s="51">
        <v>16.149999999999999</v>
      </c>
      <c r="C15" s="51">
        <v>24.59</v>
      </c>
      <c r="D15" s="51">
        <v>26.94</v>
      </c>
      <c r="E15" s="51">
        <v>7.68</v>
      </c>
      <c r="F15" s="51">
        <v>2.59</v>
      </c>
      <c r="G15" s="51">
        <v>23.52</v>
      </c>
      <c r="H15" s="51">
        <v>12.52</v>
      </c>
      <c r="I15" s="51">
        <v>5.98</v>
      </c>
      <c r="J15" s="51">
        <v>0.31</v>
      </c>
      <c r="K15" s="51">
        <v>264.68</v>
      </c>
      <c r="L15" s="51">
        <v>25.44</v>
      </c>
      <c r="M15" s="51">
        <v>97.72</v>
      </c>
      <c r="N15" s="51">
        <v>71.599999999999994</v>
      </c>
      <c r="O15" s="51">
        <v>0</v>
      </c>
      <c r="P15" s="51">
        <v>0.73</v>
      </c>
      <c r="Q15" s="51">
        <v>4.1100000000000003</v>
      </c>
    </row>
    <row r="16" spans="1:21" customFormat="1">
      <c r="A16" s="50" t="s">
        <v>67</v>
      </c>
      <c r="B16" s="51">
        <v>15.83</v>
      </c>
      <c r="C16" s="51">
        <v>25.64</v>
      </c>
      <c r="D16" s="51">
        <v>27.19</v>
      </c>
      <c r="E16" s="51">
        <v>8.1199999999999992</v>
      </c>
      <c r="F16" s="51">
        <v>2.83</v>
      </c>
      <c r="G16" s="51">
        <v>22.81</v>
      </c>
      <c r="H16" s="51">
        <v>12.52</v>
      </c>
      <c r="I16" s="51">
        <v>5.91</v>
      </c>
      <c r="J16" s="51">
        <v>0.52</v>
      </c>
      <c r="K16" s="51">
        <v>267.42</v>
      </c>
      <c r="L16" s="51">
        <v>26.47</v>
      </c>
      <c r="M16" s="51">
        <v>93.47</v>
      </c>
      <c r="N16" s="51">
        <v>114.6</v>
      </c>
      <c r="O16" s="51">
        <v>0</v>
      </c>
      <c r="P16" s="51">
        <v>0.7</v>
      </c>
      <c r="Q16" s="51">
        <v>4.1399999999999997</v>
      </c>
    </row>
    <row r="17" spans="1:17" customFormat="1">
      <c r="A17" s="50" t="s">
        <v>68</v>
      </c>
      <c r="B17" s="51">
        <v>15.27</v>
      </c>
      <c r="C17" s="51">
        <v>26.06</v>
      </c>
      <c r="D17" s="51">
        <v>27.17</v>
      </c>
      <c r="E17" s="51">
        <v>8.36</v>
      </c>
      <c r="F17" s="51">
        <v>2.73</v>
      </c>
      <c r="G17" s="51">
        <v>27.83</v>
      </c>
      <c r="H17" s="51">
        <v>11.56</v>
      </c>
      <c r="I17" s="51">
        <v>6.17</v>
      </c>
      <c r="J17" s="51">
        <v>0.54</v>
      </c>
      <c r="K17" s="51">
        <v>272.18</v>
      </c>
      <c r="L17" s="51">
        <v>28.85</v>
      </c>
      <c r="M17" s="51">
        <v>87.19</v>
      </c>
      <c r="N17" s="51">
        <v>413.9</v>
      </c>
      <c r="O17" s="51">
        <v>0</v>
      </c>
      <c r="P17" s="51">
        <v>0.71</v>
      </c>
      <c r="Q17" s="51">
        <v>4.13</v>
      </c>
    </row>
    <row r="18" spans="1:17" customFormat="1">
      <c r="A18" s="50" t="s">
        <v>69</v>
      </c>
      <c r="B18" s="51">
        <v>13.98</v>
      </c>
      <c r="C18" s="51">
        <v>26.26</v>
      </c>
      <c r="D18" s="51">
        <v>26.26</v>
      </c>
      <c r="E18" s="51">
        <v>8.2899999999999991</v>
      </c>
      <c r="F18" s="51">
        <v>3.21</v>
      </c>
      <c r="G18" s="51">
        <v>31.68</v>
      </c>
      <c r="H18" s="51">
        <v>18.05</v>
      </c>
      <c r="I18" s="51">
        <v>6.51</v>
      </c>
      <c r="J18" s="51">
        <v>0.57999999999999996</v>
      </c>
      <c r="K18" s="51">
        <v>289.57</v>
      </c>
      <c r="L18" s="51">
        <v>30.49</v>
      </c>
      <c r="M18" s="51">
        <v>79.709999999999994</v>
      </c>
      <c r="N18" s="51">
        <v>454.8</v>
      </c>
      <c r="O18" s="51">
        <v>0</v>
      </c>
      <c r="P18" s="51">
        <v>0.76</v>
      </c>
      <c r="Q18" s="51">
        <v>4.05</v>
      </c>
    </row>
    <row r="19" spans="1:17" customFormat="1">
      <c r="A19" s="50" t="s">
        <v>70</v>
      </c>
      <c r="B19" s="51">
        <v>13.23</v>
      </c>
      <c r="C19" s="51">
        <v>24.53</v>
      </c>
      <c r="D19" s="51">
        <v>24.78</v>
      </c>
      <c r="E19" s="51">
        <v>8.69</v>
      </c>
      <c r="F19" s="51">
        <v>4.2</v>
      </c>
      <c r="G19" s="51">
        <v>37.76</v>
      </c>
      <c r="H19" s="51">
        <v>18.05</v>
      </c>
      <c r="I19" s="51">
        <v>7.2</v>
      </c>
      <c r="J19" s="51">
        <v>0.62</v>
      </c>
      <c r="K19" s="51">
        <v>262.95</v>
      </c>
      <c r="L19" s="51">
        <v>31.17</v>
      </c>
      <c r="M19" s="51">
        <v>77.45</v>
      </c>
      <c r="N19" s="51">
        <v>613.4</v>
      </c>
      <c r="O19" s="51">
        <v>0</v>
      </c>
      <c r="P19" s="51">
        <v>0.8</v>
      </c>
      <c r="Q19" s="51">
        <v>3.9</v>
      </c>
    </row>
    <row r="20" spans="1:17" customFormat="1">
      <c r="A20" s="50" t="s">
        <v>71</v>
      </c>
      <c r="B20" s="51">
        <v>12.4</v>
      </c>
      <c r="C20" s="51">
        <v>21.71</v>
      </c>
      <c r="D20" s="51">
        <v>22.64</v>
      </c>
      <c r="E20" s="51">
        <v>8.51</v>
      </c>
      <c r="F20" s="51">
        <v>4.8600000000000003</v>
      </c>
      <c r="G20" s="51">
        <v>37.76</v>
      </c>
      <c r="H20" s="51">
        <v>15.16</v>
      </c>
      <c r="I20" s="51">
        <v>7.15</v>
      </c>
      <c r="J20" s="51">
        <v>0.7</v>
      </c>
      <c r="K20" s="51">
        <v>265.64</v>
      </c>
      <c r="L20" s="51">
        <v>31.59</v>
      </c>
      <c r="M20" s="51">
        <v>75.95</v>
      </c>
      <c r="N20" s="51">
        <v>638.6</v>
      </c>
      <c r="O20" s="51">
        <v>0</v>
      </c>
      <c r="P20" s="51">
        <v>0.75</v>
      </c>
      <c r="Q20" s="51">
        <v>3.77</v>
      </c>
    </row>
    <row r="21" spans="1:17" customFormat="1">
      <c r="A21" s="50" t="s">
        <v>72</v>
      </c>
      <c r="B21" s="51">
        <v>11.03</v>
      </c>
      <c r="C21" s="51">
        <v>20.65</v>
      </c>
      <c r="D21" s="51">
        <v>20.98</v>
      </c>
      <c r="E21" s="51">
        <v>8.06</v>
      </c>
      <c r="F21" s="51">
        <v>7.41</v>
      </c>
      <c r="G21" s="51">
        <v>33.07</v>
      </c>
      <c r="H21" s="51">
        <v>15.51</v>
      </c>
      <c r="I21" s="51">
        <v>6.63</v>
      </c>
      <c r="J21" s="51">
        <v>0.61</v>
      </c>
      <c r="K21" s="51">
        <v>272.42</v>
      </c>
      <c r="L21" s="51">
        <v>31.9</v>
      </c>
      <c r="M21" s="51">
        <v>76.92</v>
      </c>
      <c r="N21" s="51">
        <v>675.6</v>
      </c>
      <c r="O21" s="51">
        <v>0</v>
      </c>
      <c r="P21" s="51">
        <v>0.71</v>
      </c>
      <c r="Q21" s="51">
        <v>3.67</v>
      </c>
    </row>
    <row r="22" spans="1:17" customFormat="1">
      <c r="A22" s="50" t="s">
        <v>73</v>
      </c>
      <c r="B22" s="51">
        <v>9.84</v>
      </c>
      <c r="C22" s="51">
        <v>20.93</v>
      </c>
      <c r="D22" s="51">
        <v>20.18</v>
      </c>
      <c r="E22" s="51">
        <v>7.98</v>
      </c>
      <c r="F22" s="51">
        <v>6.82</v>
      </c>
      <c r="G22" s="51">
        <v>33.47</v>
      </c>
      <c r="H22" s="51">
        <v>15.51</v>
      </c>
      <c r="I22" s="51">
        <v>6.51</v>
      </c>
      <c r="J22" s="51">
        <v>0.74</v>
      </c>
      <c r="K22" s="51">
        <v>280.36</v>
      </c>
      <c r="L22" s="51">
        <v>32.200000000000003</v>
      </c>
      <c r="M22" s="51">
        <v>72.709999999999994</v>
      </c>
      <c r="N22" s="51">
        <v>582.70000000000005</v>
      </c>
      <c r="O22" s="51">
        <v>0</v>
      </c>
      <c r="P22" s="51">
        <v>0.71</v>
      </c>
      <c r="Q22" s="51">
        <v>3.58</v>
      </c>
    </row>
    <row r="23" spans="1:17" customFormat="1">
      <c r="A23" s="50" t="s">
        <v>74</v>
      </c>
      <c r="B23" s="51">
        <v>8.5</v>
      </c>
      <c r="C23" s="51">
        <v>22.25</v>
      </c>
      <c r="D23" s="51">
        <v>19.309999999999999</v>
      </c>
      <c r="E23" s="51">
        <v>8.1199999999999992</v>
      </c>
      <c r="F23" s="51">
        <v>7.84</v>
      </c>
      <c r="G23" s="51">
        <v>34.32</v>
      </c>
      <c r="H23" s="51">
        <v>12.8</v>
      </c>
      <c r="I23" s="51">
        <v>6.34</v>
      </c>
      <c r="J23" s="51">
        <v>0.75</v>
      </c>
      <c r="K23" s="51">
        <v>300.22000000000003</v>
      </c>
      <c r="L23" s="51">
        <v>31.42</v>
      </c>
      <c r="M23" s="51">
        <v>73.209999999999994</v>
      </c>
      <c r="N23" s="51">
        <v>298.60000000000002</v>
      </c>
      <c r="O23" s="51">
        <v>0</v>
      </c>
      <c r="P23" s="51">
        <v>0.68</v>
      </c>
      <c r="Q23" s="51">
        <v>3.53</v>
      </c>
    </row>
    <row r="24" spans="1:17" customFormat="1">
      <c r="A24" s="50" t="s">
        <v>75</v>
      </c>
      <c r="B24" s="51">
        <v>7.27</v>
      </c>
      <c r="C24" s="51">
        <v>23.08</v>
      </c>
      <c r="D24" s="51">
        <v>19.239999999999998</v>
      </c>
      <c r="E24" s="51">
        <v>7.52</v>
      </c>
      <c r="F24" s="51">
        <v>7.49</v>
      </c>
      <c r="G24" s="51">
        <v>34.32</v>
      </c>
      <c r="H24" s="51">
        <v>13.67</v>
      </c>
      <c r="I24" s="51">
        <v>5.89</v>
      </c>
      <c r="J24" s="51">
        <v>0.74</v>
      </c>
      <c r="K24" s="51">
        <v>293.92</v>
      </c>
      <c r="L24" s="51">
        <v>31.01</v>
      </c>
      <c r="M24" s="51">
        <v>71.760000000000005</v>
      </c>
      <c r="N24" s="51">
        <v>269.5</v>
      </c>
      <c r="O24" s="51">
        <v>0</v>
      </c>
      <c r="P24" s="51">
        <v>0.63</v>
      </c>
      <c r="Q24" s="51">
        <v>3.52</v>
      </c>
    </row>
    <row r="25" spans="1:17" customFormat="1">
      <c r="A25" s="50" t="s">
        <v>76</v>
      </c>
      <c r="B25" s="51">
        <v>7.39</v>
      </c>
      <c r="C25" s="51">
        <v>23.92</v>
      </c>
      <c r="D25" s="51">
        <v>19.649999999999999</v>
      </c>
      <c r="E25" s="51">
        <v>7.98</v>
      </c>
      <c r="F25" s="51">
        <v>6.44</v>
      </c>
      <c r="G25" s="51">
        <v>34.28</v>
      </c>
      <c r="H25" s="51">
        <v>14.7</v>
      </c>
      <c r="I25" s="51">
        <v>5.5</v>
      </c>
      <c r="J25" s="51">
        <v>0.81</v>
      </c>
      <c r="K25" s="51">
        <v>279.74</v>
      </c>
      <c r="L25" s="51">
        <v>30.53</v>
      </c>
      <c r="M25" s="51">
        <v>76.06</v>
      </c>
      <c r="N25" s="51">
        <v>82</v>
      </c>
      <c r="O25" s="51">
        <v>0</v>
      </c>
      <c r="P25" s="51">
        <v>0.63</v>
      </c>
      <c r="Q25" s="51">
        <v>3.54</v>
      </c>
    </row>
    <row r="26" spans="1:17" customFormat="1">
      <c r="A26" s="50" t="s">
        <v>77</v>
      </c>
      <c r="B26" s="51">
        <v>7.61</v>
      </c>
      <c r="C26" s="51">
        <v>24.94</v>
      </c>
      <c r="D26" s="51">
        <v>20.49</v>
      </c>
      <c r="E26" s="51">
        <v>7.91</v>
      </c>
      <c r="F26" s="51">
        <v>6.01</v>
      </c>
      <c r="G26" s="51">
        <v>36.26</v>
      </c>
      <c r="H26" s="51">
        <v>14.7</v>
      </c>
      <c r="I26" s="51">
        <v>5.53</v>
      </c>
      <c r="J26" s="51">
        <v>0.95</v>
      </c>
      <c r="K26" s="51">
        <v>295.45999999999998</v>
      </c>
      <c r="L26" s="51">
        <v>29.82</v>
      </c>
      <c r="M26" s="51">
        <v>76.290000000000006</v>
      </c>
      <c r="N26" s="51">
        <v>19.8</v>
      </c>
      <c r="O26" s="51">
        <v>0</v>
      </c>
      <c r="P26" s="51">
        <v>0.65</v>
      </c>
      <c r="Q26" s="51">
        <v>3.62</v>
      </c>
    </row>
    <row r="27" spans="1:17" customFormat="1">
      <c r="A27" s="50" t="s">
        <v>78</v>
      </c>
      <c r="B27" s="51">
        <v>9.3699999999999992</v>
      </c>
      <c r="C27" s="51">
        <v>26.78</v>
      </c>
      <c r="D27" s="51">
        <v>22.86</v>
      </c>
      <c r="E27" s="51">
        <v>8.1999999999999993</v>
      </c>
      <c r="F27" s="51">
        <v>4.63</v>
      </c>
      <c r="G27" s="51">
        <v>42.06</v>
      </c>
      <c r="H27" s="51">
        <v>14.22</v>
      </c>
      <c r="I27" s="51">
        <v>5.35</v>
      </c>
      <c r="J27" s="51">
        <v>0.95</v>
      </c>
      <c r="K27" s="51">
        <v>334.09</v>
      </c>
      <c r="L27" s="51">
        <v>27.62</v>
      </c>
      <c r="M27" s="51">
        <v>89.66</v>
      </c>
      <c r="N27" s="51">
        <v>0</v>
      </c>
      <c r="O27" s="51">
        <v>0.2</v>
      </c>
      <c r="P27" s="51">
        <v>0.66</v>
      </c>
      <c r="Q27" s="51">
        <v>3.72</v>
      </c>
    </row>
    <row r="28" spans="1:17" customFormat="1">
      <c r="A28" s="50" t="s">
        <v>79</v>
      </c>
      <c r="B28" s="51">
        <v>10.79</v>
      </c>
      <c r="C28" s="51">
        <v>27.44</v>
      </c>
      <c r="D28" s="51">
        <v>23.83</v>
      </c>
      <c r="E28" s="51">
        <v>7.69</v>
      </c>
      <c r="F28" s="51">
        <v>3.26</v>
      </c>
      <c r="G28" s="51">
        <v>42.06</v>
      </c>
      <c r="H28" s="51">
        <v>14.22</v>
      </c>
      <c r="I28" s="51">
        <v>5.34</v>
      </c>
      <c r="J28" s="51">
        <v>0.22</v>
      </c>
      <c r="K28" s="51">
        <v>260.98</v>
      </c>
      <c r="L28" s="51">
        <v>26.14</v>
      </c>
      <c r="M28" s="51">
        <v>94.05</v>
      </c>
      <c r="N28" s="51">
        <v>0</v>
      </c>
      <c r="O28" s="51">
        <v>0</v>
      </c>
      <c r="P28" s="51">
        <v>0.65</v>
      </c>
      <c r="Q28" s="51">
        <v>3.81</v>
      </c>
    </row>
    <row r="29" spans="1:17" customFormat="1">
      <c r="A29" s="50" t="s">
        <v>80</v>
      </c>
      <c r="B29" s="51">
        <v>11.35</v>
      </c>
      <c r="C29" s="51">
        <v>23.94</v>
      </c>
      <c r="D29" s="51">
        <v>22.87</v>
      </c>
      <c r="E29" s="51">
        <v>6.49</v>
      </c>
      <c r="F29" s="51">
        <v>3.93</v>
      </c>
      <c r="G29" s="51">
        <v>39.25</v>
      </c>
      <c r="H29" s="51">
        <v>14.96</v>
      </c>
      <c r="I29" s="51">
        <v>5.28</v>
      </c>
      <c r="J29" s="51">
        <v>0.21</v>
      </c>
      <c r="K29" s="51">
        <v>182.75</v>
      </c>
      <c r="L29" s="51">
        <v>26.43</v>
      </c>
      <c r="M29" s="51">
        <v>94.06</v>
      </c>
      <c r="N29" s="51">
        <v>0</v>
      </c>
      <c r="O29" s="51">
        <v>0</v>
      </c>
      <c r="P29" s="51">
        <v>0.64</v>
      </c>
      <c r="Q29" s="51">
        <v>3.8</v>
      </c>
    </row>
    <row r="30" spans="1:17" customFormat="1">
      <c r="A30" s="50" t="s">
        <v>81</v>
      </c>
      <c r="B30" s="51">
        <v>12.36</v>
      </c>
      <c r="C30" s="51">
        <v>22.12</v>
      </c>
      <c r="D30" s="51">
        <v>22.76</v>
      </c>
      <c r="E30" s="51">
        <v>7.36</v>
      </c>
      <c r="F30" s="51">
        <v>4.95</v>
      </c>
      <c r="G30" s="51">
        <v>38.229999999999997</v>
      </c>
      <c r="H30" s="51">
        <v>15.08</v>
      </c>
      <c r="I30" s="51">
        <v>5.21</v>
      </c>
      <c r="J30" s="51">
        <v>0.28000000000000003</v>
      </c>
      <c r="K30" s="51">
        <v>261.27</v>
      </c>
      <c r="L30" s="51">
        <v>26.98</v>
      </c>
      <c r="M30" s="51">
        <v>93.53</v>
      </c>
      <c r="N30" s="51">
        <v>0</v>
      </c>
      <c r="O30" s="51">
        <v>0</v>
      </c>
      <c r="P30" s="51">
        <v>0.68</v>
      </c>
      <c r="Q30" s="51">
        <v>3.83</v>
      </c>
    </row>
    <row r="31" spans="1:17" customFormat="1">
      <c r="A31" s="50" t="s">
        <v>82</v>
      </c>
      <c r="B31" s="51">
        <v>12.87</v>
      </c>
      <c r="C31" s="51">
        <v>21.36</v>
      </c>
      <c r="D31" s="51">
        <v>22.83</v>
      </c>
      <c r="E31" s="51">
        <v>6.81</v>
      </c>
      <c r="F31" s="51">
        <v>6.89</v>
      </c>
      <c r="G31" s="51">
        <v>41.14</v>
      </c>
      <c r="H31" s="51">
        <v>16.21</v>
      </c>
      <c r="I31" s="51">
        <v>5.39</v>
      </c>
      <c r="J31" s="51">
        <v>0.2</v>
      </c>
      <c r="K31" s="51">
        <v>239.56</v>
      </c>
      <c r="L31" s="51">
        <v>26.98</v>
      </c>
      <c r="M31" s="51">
        <v>93.59</v>
      </c>
      <c r="N31" s="51">
        <v>0</v>
      </c>
      <c r="O31" s="51">
        <v>0</v>
      </c>
      <c r="P31" s="51">
        <v>0.66</v>
      </c>
      <c r="Q31" s="51">
        <v>3.87</v>
      </c>
    </row>
    <row r="32" spans="1:17" customFormat="1">
      <c r="A32" s="50" t="s">
        <v>83</v>
      </c>
      <c r="B32" s="51">
        <v>12.89</v>
      </c>
      <c r="C32" s="51">
        <v>21.27</v>
      </c>
      <c r="D32" s="51">
        <v>22.8</v>
      </c>
      <c r="E32" s="51">
        <v>7.13</v>
      </c>
      <c r="F32" s="51">
        <v>6.4</v>
      </c>
      <c r="G32" s="51">
        <v>41.14</v>
      </c>
      <c r="H32" s="51">
        <v>17.39</v>
      </c>
      <c r="I32" s="51">
        <v>5.41</v>
      </c>
      <c r="J32" s="51">
        <v>0.2</v>
      </c>
      <c r="K32" s="51">
        <v>176.78</v>
      </c>
      <c r="L32" s="51">
        <v>26.57</v>
      </c>
      <c r="M32" s="51">
        <v>94.21</v>
      </c>
      <c r="N32" s="51">
        <v>0</v>
      </c>
      <c r="O32" s="51">
        <v>0</v>
      </c>
      <c r="P32" s="51">
        <v>0.67</v>
      </c>
      <c r="Q32" s="51">
        <v>3.9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7.27</v>
      </c>
      <c r="C34" s="41">
        <f t="shared" si="0"/>
        <v>20.65</v>
      </c>
      <c r="D34" s="41">
        <f t="shared" si="0"/>
        <v>19.239999999999998</v>
      </c>
      <c r="E34" s="41">
        <f t="shared" si="0"/>
        <v>6.49</v>
      </c>
      <c r="F34" s="41">
        <f t="shared" si="0"/>
        <v>2.59</v>
      </c>
      <c r="G34" s="41">
        <f t="shared" si="0"/>
        <v>22.81</v>
      </c>
      <c r="H34" s="41">
        <f t="shared" si="0"/>
        <v>11.14</v>
      </c>
      <c r="I34" s="41">
        <f t="shared" si="0"/>
        <v>5.21</v>
      </c>
      <c r="J34" s="41">
        <f t="shared" si="0"/>
        <v>0.1</v>
      </c>
      <c r="K34" s="41">
        <f t="shared" si="0"/>
        <v>176.78</v>
      </c>
      <c r="L34" s="41">
        <f t="shared" si="0"/>
        <v>24.53</v>
      </c>
      <c r="M34" s="41">
        <f t="shared" si="0"/>
        <v>71.760000000000005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3.52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17.38</v>
      </c>
      <c r="C35" s="33">
        <f t="shared" si="1"/>
        <v>27.44</v>
      </c>
      <c r="D35" s="33">
        <f t="shared" si="1"/>
        <v>27.19</v>
      </c>
      <c r="E35" s="33">
        <f t="shared" si="1"/>
        <v>8.69</v>
      </c>
      <c r="F35" s="33">
        <f t="shared" si="1"/>
        <v>7.84</v>
      </c>
      <c r="G35" s="33">
        <f t="shared" si="1"/>
        <v>42.06</v>
      </c>
      <c r="H35" s="33">
        <f t="shared" si="1"/>
        <v>18.05</v>
      </c>
      <c r="I35" s="33">
        <f t="shared" si="1"/>
        <v>7.25</v>
      </c>
      <c r="J35" s="33">
        <f t="shared" si="1"/>
        <v>0.95</v>
      </c>
      <c r="K35" s="33">
        <f t="shared" si="1"/>
        <v>334.09</v>
      </c>
      <c r="L35" s="33">
        <f t="shared" si="1"/>
        <v>32.200000000000003</v>
      </c>
      <c r="M35" s="33">
        <f t="shared" si="1"/>
        <v>99.19</v>
      </c>
      <c r="N35" s="33">
        <f t="shared" si="1"/>
        <v>675.6</v>
      </c>
      <c r="O35" s="33">
        <f t="shared" si="1"/>
        <v>0.2</v>
      </c>
      <c r="P35" s="33">
        <f t="shared" si="1"/>
        <v>0.85</v>
      </c>
      <c r="Q35" s="33">
        <f t="shared" si="1"/>
        <v>4.1399999999999997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12.719166666666668</v>
      </c>
      <c r="C36" s="41">
        <f t="shared" si="2"/>
        <v>23.771666666666665</v>
      </c>
      <c r="D36" s="41">
        <f t="shared" si="2"/>
        <v>23.852916666666669</v>
      </c>
      <c r="E36" s="41">
        <f t="shared" si="2"/>
        <v>7.7166666666666677</v>
      </c>
      <c r="F36" s="41">
        <f t="shared" si="2"/>
        <v>4.6916666666666673</v>
      </c>
      <c r="G36" s="41">
        <f t="shared" si="2"/>
        <v>33.143333333333324</v>
      </c>
      <c r="H36" s="41">
        <f t="shared" si="2"/>
        <v>14.334166666666663</v>
      </c>
      <c r="I36" s="41">
        <f t="shared" si="2"/>
        <v>6.1675000000000004</v>
      </c>
      <c r="J36" s="41">
        <f t="shared" si="2"/>
        <v>0.46625</v>
      </c>
      <c r="K36" s="41">
        <f t="shared" si="2"/>
        <v>262.41833333333335</v>
      </c>
      <c r="L36" s="41">
        <f t="shared" si="2"/>
        <v>27.990416666666661</v>
      </c>
      <c r="M36" s="41">
        <f t="shared" si="2"/>
        <v>87.521666666666661</v>
      </c>
      <c r="N36" s="41">
        <f t="shared" si="2"/>
        <v>176.59583333333333</v>
      </c>
      <c r="O36" s="41">
        <f t="shared" si="2"/>
        <v>8.3333333333333332E-3</v>
      </c>
      <c r="P36" s="41">
        <f t="shared" si="2"/>
        <v>0.71291666666666698</v>
      </c>
      <c r="Q36" s="41">
        <f t="shared" si="2"/>
        <v>3.8733333333333344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3.2192166433934513</v>
      </c>
      <c r="C37" s="41">
        <f t="shared" ref="C37:Q37" si="3">STDEV(C9:C32)</f>
        <v>1.8996170476010092</v>
      </c>
      <c r="D37" s="41">
        <f t="shared" si="3"/>
        <v>2.8367195983583016</v>
      </c>
      <c r="E37" s="41">
        <f t="shared" si="3"/>
        <v>0.54962965133184716</v>
      </c>
      <c r="F37" s="41">
        <f t="shared" si="3"/>
        <v>1.7557524502806945</v>
      </c>
      <c r="G37" s="41">
        <f t="shared" si="3"/>
        <v>6.6262420766201524</v>
      </c>
      <c r="H37" s="41">
        <f t="shared" si="3"/>
        <v>2.0013776052611187</v>
      </c>
      <c r="I37" s="41">
        <f t="shared" si="3"/>
        <v>0.69062196290891631</v>
      </c>
      <c r="J37" s="41">
        <f t="shared" si="3"/>
        <v>0.27256929713217976</v>
      </c>
      <c r="K37" s="41">
        <f t="shared" si="3"/>
        <v>34.15680512331145</v>
      </c>
      <c r="L37" s="41">
        <f t="shared" si="3"/>
        <v>2.6887389628123484</v>
      </c>
      <c r="M37" s="41">
        <f t="shared" si="3"/>
        <v>9.8996028320273268</v>
      </c>
      <c r="N37" s="41">
        <f t="shared" si="3"/>
        <v>246.44538239460519</v>
      </c>
      <c r="O37" s="41">
        <f t="shared" si="3"/>
        <v>4.0824829046386311E-2</v>
      </c>
      <c r="P37" s="41">
        <f t="shared" si="3"/>
        <v>6.2448529530961888E-2</v>
      </c>
      <c r="Q37" s="41">
        <f t="shared" si="3"/>
        <v>0.2162660733743143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P23" sqref="P23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84</v>
      </c>
      <c r="B9" s="51">
        <v>13.3</v>
      </c>
      <c r="C9" s="51">
        <v>23.44</v>
      </c>
      <c r="D9" s="51">
        <v>23.93</v>
      </c>
      <c r="E9" s="51">
        <v>7.07</v>
      </c>
      <c r="F9" s="51">
        <v>3.89</v>
      </c>
      <c r="G9" s="51">
        <v>38.08</v>
      </c>
      <c r="H9" s="51">
        <v>17.39</v>
      </c>
      <c r="I9" s="51">
        <v>5.47</v>
      </c>
      <c r="J9" s="51">
        <v>0.19</v>
      </c>
      <c r="K9" s="51">
        <v>230.56</v>
      </c>
      <c r="L9" s="51">
        <v>26.54</v>
      </c>
      <c r="M9" s="51">
        <v>94.87</v>
      </c>
      <c r="N9" s="51">
        <v>0</v>
      </c>
      <c r="O9" s="51">
        <v>0</v>
      </c>
      <c r="P9" s="51">
        <v>0.7</v>
      </c>
      <c r="Q9" s="51">
        <v>3.98</v>
      </c>
    </row>
    <row r="10" spans="1:21" customFormat="1">
      <c r="A10" s="50" t="s">
        <v>85</v>
      </c>
      <c r="B10" s="51">
        <v>13.12</v>
      </c>
      <c r="C10" s="51">
        <v>23.82</v>
      </c>
      <c r="D10" s="51">
        <v>24.16</v>
      </c>
      <c r="E10" s="51">
        <v>7.57</v>
      </c>
      <c r="F10" s="51">
        <v>3.15</v>
      </c>
      <c r="G10" s="51">
        <v>37.29</v>
      </c>
      <c r="H10" s="51">
        <v>15.17</v>
      </c>
      <c r="I10" s="51">
        <v>5.53</v>
      </c>
      <c r="J10" s="51">
        <v>0.26</v>
      </c>
      <c r="K10" s="51">
        <v>260.07</v>
      </c>
      <c r="L10" s="51">
        <v>26.31</v>
      </c>
      <c r="M10" s="51">
        <v>93.97</v>
      </c>
      <c r="N10" s="51">
        <v>0</v>
      </c>
      <c r="O10" s="51">
        <v>0</v>
      </c>
      <c r="P10" s="51">
        <v>0.69</v>
      </c>
      <c r="Q10" s="51">
        <v>4.01</v>
      </c>
    </row>
    <row r="11" spans="1:21" customFormat="1">
      <c r="A11" s="50" t="s">
        <v>86</v>
      </c>
      <c r="B11" s="51">
        <v>12.6</v>
      </c>
      <c r="C11" s="51">
        <v>24.61</v>
      </c>
      <c r="D11" s="51">
        <v>24.09</v>
      </c>
      <c r="E11" s="51">
        <v>8.94</v>
      </c>
      <c r="F11" s="51">
        <v>2.85</v>
      </c>
      <c r="G11" s="51">
        <v>34.75</v>
      </c>
      <c r="H11" s="51">
        <v>16.09</v>
      </c>
      <c r="I11" s="51">
        <v>5.6</v>
      </c>
      <c r="J11" s="51">
        <v>0.28999999999999998</v>
      </c>
      <c r="K11" s="51">
        <v>266.32</v>
      </c>
      <c r="L11" s="51">
        <v>26.41</v>
      </c>
      <c r="M11" s="51">
        <v>91.63</v>
      </c>
      <c r="N11" s="51">
        <v>0</v>
      </c>
      <c r="O11" s="51">
        <v>0</v>
      </c>
      <c r="P11" s="51">
        <v>0.72</v>
      </c>
      <c r="Q11" s="51">
        <v>4</v>
      </c>
    </row>
    <row r="12" spans="1:21" customFormat="1">
      <c r="A12" s="50" t="s">
        <v>87</v>
      </c>
      <c r="B12" s="51">
        <v>12.26</v>
      </c>
      <c r="C12" s="51">
        <v>25.02</v>
      </c>
      <c r="D12" s="51">
        <v>24.17</v>
      </c>
      <c r="E12" s="51">
        <v>9.08</v>
      </c>
      <c r="F12" s="51">
        <v>2.71</v>
      </c>
      <c r="G12" s="51">
        <v>38.340000000000003</v>
      </c>
      <c r="H12" s="51">
        <v>16.09</v>
      </c>
      <c r="I12" s="51">
        <v>5.83</v>
      </c>
      <c r="J12" s="51">
        <v>0.34</v>
      </c>
      <c r="K12" s="51">
        <v>268.16000000000003</v>
      </c>
      <c r="L12" s="51">
        <v>26.32</v>
      </c>
      <c r="M12" s="51">
        <v>92.25</v>
      </c>
      <c r="N12" s="51">
        <v>0</v>
      </c>
      <c r="O12" s="51">
        <v>0</v>
      </c>
      <c r="P12" s="51">
        <v>0.72</v>
      </c>
      <c r="Q12" s="51">
        <v>4.0199999999999996</v>
      </c>
    </row>
    <row r="13" spans="1:21" customFormat="1">
      <c r="A13" s="50" t="s">
        <v>88</v>
      </c>
      <c r="B13" s="51">
        <v>11.98</v>
      </c>
      <c r="C13" s="51">
        <v>25.58</v>
      </c>
      <c r="D13" s="51">
        <v>24.16</v>
      </c>
      <c r="E13" s="51">
        <v>9.18</v>
      </c>
      <c r="F13" s="51">
        <v>2.68</v>
      </c>
      <c r="G13" s="51">
        <v>38.51</v>
      </c>
      <c r="H13" s="51">
        <v>14.78</v>
      </c>
      <c r="I13" s="51">
        <v>5.9</v>
      </c>
      <c r="J13" s="51">
        <v>0.55000000000000004</v>
      </c>
      <c r="K13" s="51">
        <v>275.51</v>
      </c>
      <c r="L13" s="51">
        <v>26.27</v>
      </c>
      <c r="M13" s="51">
        <v>90.98</v>
      </c>
      <c r="N13" s="51">
        <v>0</v>
      </c>
      <c r="O13" s="51">
        <v>0</v>
      </c>
      <c r="P13" s="51">
        <v>0.72</v>
      </c>
      <c r="Q13" s="51">
        <v>3.97</v>
      </c>
    </row>
    <row r="14" spans="1:21" customFormat="1">
      <c r="A14" s="50" t="s">
        <v>89</v>
      </c>
      <c r="B14" s="51">
        <v>13.27</v>
      </c>
      <c r="C14" s="51">
        <v>25.78</v>
      </c>
      <c r="D14" s="51">
        <v>24.77</v>
      </c>
      <c r="E14" s="51">
        <v>9.16</v>
      </c>
      <c r="F14" s="51">
        <v>3.48</v>
      </c>
      <c r="G14" s="51">
        <v>38.51</v>
      </c>
      <c r="H14" s="51">
        <v>16.54</v>
      </c>
      <c r="I14" s="51">
        <v>5.88</v>
      </c>
      <c r="J14" s="51">
        <v>0.32</v>
      </c>
      <c r="K14" s="51">
        <v>276.67</v>
      </c>
      <c r="L14" s="51">
        <v>26.13</v>
      </c>
      <c r="M14" s="51">
        <v>91.73</v>
      </c>
      <c r="N14" s="51">
        <v>0</v>
      </c>
      <c r="O14" s="51">
        <v>0</v>
      </c>
      <c r="P14" s="51">
        <v>0.7</v>
      </c>
      <c r="Q14" s="51">
        <v>4.0199999999999996</v>
      </c>
    </row>
    <row r="15" spans="1:21" customFormat="1">
      <c r="A15" s="50" t="s">
        <v>90</v>
      </c>
      <c r="B15" s="51">
        <v>13.83</v>
      </c>
      <c r="C15" s="51">
        <v>21.76</v>
      </c>
      <c r="D15" s="51">
        <v>23.58</v>
      </c>
      <c r="E15" s="51">
        <v>8.09</v>
      </c>
      <c r="F15" s="51">
        <v>4.18</v>
      </c>
      <c r="G15" s="51">
        <v>36.729999999999997</v>
      </c>
      <c r="H15" s="51">
        <v>16.54</v>
      </c>
      <c r="I15" s="51">
        <v>5.75</v>
      </c>
      <c r="J15" s="51">
        <v>0.38</v>
      </c>
      <c r="K15" s="51">
        <v>281.24</v>
      </c>
      <c r="L15" s="51">
        <v>26.42</v>
      </c>
      <c r="M15" s="51">
        <v>91.6</v>
      </c>
      <c r="N15" s="51">
        <v>56</v>
      </c>
      <c r="O15" s="51">
        <v>0</v>
      </c>
      <c r="P15" s="51">
        <v>0.63</v>
      </c>
      <c r="Q15" s="51">
        <v>3.97</v>
      </c>
    </row>
    <row r="16" spans="1:21" customFormat="1">
      <c r="A16" s="50" t="s">
        <v>91</v>
      </c>
      <c r="B16" s="51">
        <v>14.58</v>
      </c>
      <c r="C16" s="51">
        <v>22.66</v>
      </c>
      <c r="D16" s="51">
        <v>24.58</v>
      </c>
      <c r="E16" s="51">
        <v>8.06</v>
      </c>
      <c r="F16" s="51">
        <v>4.07</v>
      </c>
      <c r="G16" s="51">
        <v>36.729999999999997</v>
      </c>
      <c r="H16" s="51">
        <v>14.81</v>
      </c>
      <c r="I16" s="51">
        <v>5.6</v>
      </c>
      <c r="J16" s="51">
        <v>0.45</v>
      </c>
      <c r="K16" s="51">
        <v>286.26</v>
      </c>
      <c r="L16" s="51">
        <v>27</v>
      </c>
      <c r="M16" s="51">
        <v>87.68</v>
      </c>
      <c r="N16" s="51">
        <v>87.3</v>
      </c>
      <c r="O16" s="51">
        <v>0</v>
      </c>
      <c r="P16" s="51">
        <v>0.62</v>
      </c>
      <c r="Q16" s="51">
        <v>4.01</v>
      </c>
    </row>
    <row r="17" spans="1:17" customFormat="1">
      <c r="A17" s="50" t="s">
        <v>92</v>
      </c>
      <c r="B17" s="51">
        <v>15.05</v>
      </c>
      <c r="C17" s="51">
        <v>22.27</v>
      </c>
      <c r="D17" s="51">
        <v>25.06</v>
      </c>
      <c r="E17" s="51">
        <v>7.87</v>
      </c>
      <c r="F17" s="51">
        <v>4.1100000000000003</v>
      </c>
      <c r="G17" s="51">
        <v>30.54</v>
      </c>
      <c r="H17" s="51">
        <v>12.02</v>
      </c>
      <c r="I17" s="51">
        <v>5.37</v>
      </c>
      <c r="J17" s="51">
        <v>0.49</v>
      </c>
      <c r="K17" s="51">
        <v>323.99</v>
      </c>
      <c r="L17" s="51">
        <v>28.36</v>
      </c>
      <c r="M17" s="51">
        <v>84.88</v>
      </c>
      <c r="N17" s="51">
        <v>282.2</v>
      </c>
      <c r="O17" s="51">
        <v>0</v>
      </c>
      <c r="P17" s="51">
        <v>0.59</v>
      </c>
      <c r="Q17" s="51">
        <v>4.03</v>
      </c>
    </row>
    <row r="18" spans="1:17" customFormat="1">
      <c r="A18" s="50" t="s">
        <v>93</v>
      </c>
      <c r="B18" s="51">
        <v>15.13</v>
      </c>
      <c r="C18" s="51">
        <v>21.47</v>
      </c>
      <c r="D18" s="51">
        <v>24.7</v>
      </c>
      <c r="E18" s="51">
        <v>8.19</v>
      </c>
      <c r="F18" s="51">
        <v>4.33</v>
      </c>
      <c r="G18" s="51">
        <v>30.54</v>
      </c>
      <c r="H18" s="51">
        <v>12.09</v>
      </c>
      <c r="I18" s="51">
        <v>5.35</v>
      </c>
      <c r="J18" s="51">
        <v>0.52</v>
      </c>
      <c r="K18" s="51">
        <v>333.94</v>
      </c>
      <c r="L18" s="51">
        <v>30.57</v>
      </c>
      <c r="M18" s="51">
        <v>77.709999999999994</v>
      </c>
      <c r="N18" s="51">
        <v>551.70000000000005</v>
      </c>
      <c r="O18" s="51">
        <v>0</v>
      </c>
      <c r="P18" s="51">
        <v>0.59</v>
      </c>
      <c r="Q18" s="51">
        <v>4.04</v>
      </c>
    </row>
    <row r="19" spans="1:17" customFormat="1">
      <c r="A19" s="50" t="s">
        <v>94</v>
      </c>
      <c r="B19" s="51">
        <v>14.08</v>
      </c>
      <c r="C19" s="51">
        <v>23.81</v>
      </c>
      <c r="D19" s="51">
        <v>24.04</v>
      </c>
      <c r="E19" s="51">
        <v>8.83</v>
      </c>
      <c r="F19" s="51">
        <v>6.71</v>
      </c>
      <c r="G19" s="51">
        <v>32.35</v>
      </c>
      <c r="H19" s="51">
        <v>12.09</v>
      </c>
      <c r="I19" s="51">
        <v>5.3</v>
      </c>
      <c r="J19" s="51">
        <v>0.56000000000000005</v>
      </c>
      <c r="K19" s="51">
        <v>337.9</v>
      </c>
      <c r="L19" s="51">
        <v>31.91</v>
      </c>
      <c r="M19" s="51">
        <v>72.489999999999995</v>
      </c>
      <c r="N19" s="51">
        <v>693.2</v>
      </c>
      <c r="O19" s="51">
        <v>0</v>
      </c>
      <c r="P19" s="51">
        <v>0.61</v>
      </c>
      <c r="Q19" s="51">
        <v>3.88</v>
      </c>
    </row>
    <row r="20" spans="1:17" customFormat="1">
      <c r="A20" s="50" t="s">
        <v>95</v>
      </c>
      <c r="B20" s="51">
        <v>11.7</v>
      </c>
      <c r="C20" s="51">
        <v>24.65</v>
      </c>
      <c r="D20" s="51">
        <v>23.41</v>
      </c>
      <c r="E20" s="51">
        <v>7.85</v>
      </c>
      <c r="F20" s="51">
        <v>5.79</v>
      </c>
      <c r="G20" s="51">
        <v>34.869999999999997</v>
      </c>
      <c r="H20" s="51">
        <v>11.57</v>
      </c>
      <c r="I20" s="51">
        <v>5.22</v>
      </c>
      <c r="J20" s="51">
        <v>0.47</v>
      </c>
      <c r="K20" s="51">
        <v>345.47</v>
      </c>
      <c r="L20" s="51">
        <v>31.94</v>
      </c>
      <c r="M20" s="51">
        <v>68.459999999999994</v>
      </c>
      <c r="N20" s="51">
        <v>570.20000000000005</v>
      </c>
      <c r="O20" s="51">
        <v>0</v>
      </c>
      <c r="P20" s="51">
        <v>0.61</v>
      </c>
      <c r="Q20" s="51">
        <v>3.88</v>
      </c>
    </row>
    <row r="21" spans="1:17" customFormat="1">
      <c r="A21" s="50" t="s">
        <v>96</v>
      </c>
      <c r="B21" s="51">
        <v>10.39</v>
      </c>
      <c r="C21" s="51">
        <v>24.69</v>
      </c>
      <c r="D21" s="51">
        <v>22.41</v>
      </c>
      <c r="E21" s="51">
        <v>7.81</v>
      </c>
      <c r="F21" s="51">
        <v>5.34</v>
      </c>
      <c r="G21" s="51">
        <v>34.869999999999997</v>
      </c>
      <c r="H21" s="51">
        <v>12.22</v>
      </c>
      <c r="I21" s="51">
        <v>5</v>
      </c>
      <c r="J21" s="51">
        <v>0.71</v>
      </c>
      <c r="K21" s="51">
        <v>353.81</v>
      </c>
      <c r="L21" s="51">
        <v>31.47</v>
      </c>
      <c r="M21" s="51">
        <v>69.67</v>
      </c>
      <c r="N21" s="51">
        <v>578.5</v>
      </c>
      <c r="O21" s="51">
        <v>0</v>
      </c>
      <c r="P21" s="51">
        <v>0.59</v>
      </c>
      <c r="Q21" s="51">
        <v>3.83</v>
      </c>
    </row>
    <row r="22" spans="1:17" customFormat="1">
      <c r="A22" s="50" t="s">
        <v>97</v>
      </c>
      <c r="B22" s="51">
        <v>10.27</v>
      </c>
      <c r="C22" s="51">
        <v>24.88</v>
      </c>
      <c r="D22" s="51">
        <v>22.35</v>
      </c>
      <c r="E22" s="51">
        <v>7.72</v>
      </c>
      <c r="F22" s="51">
        <v>4.4800000000000004</v>
      </c>
      <c r="G22" s="51">
        <v>30.42</v>
      </c>
      <c r="H22" s="51">
        <v>13.17</v>
      </c>
      <c r="I22" s="51">
        <v>4.6500000000000004</v>
      </c>
      <c r="J22" s="51">
        <v>0.43</v>
      </c>
      <c r="K22" s="51">
        <v>328.63</v>
      </c>
      <c r="L22" s="51">
        <v>32.49</v>
      </c>
      <c r="M22" s="51">
        <v>66.97</v>
      </c>
      <c r="N22" s="51">
        <v>738.9</v>
      </c>
      <c r="O22" s="51">
        <v>0</v>
      </c>
      <c r="P22" s="51">
        <v>0.56999999999999995</v>
      </c>
      <c r="Q22" s="51">
        <v>3.84</v>
      </c>
    </row>
    <row r="23" spans="1:17" customFormat="1">
      <c r="A23" s="50" t="s">
        <v>98</v>
      </c>
      <c r="B23" s="51">
        <v>9.7200000000000006</v>
      </c>
      <c r="C23" s="51">
        <v>24.88</v>
      </c>
      <c r="D23" s="51">
        <v>22.02</v>
      </c>
      <c r="E23" s="51">
        <v>7.72</v>
      </c>
      <c r="F23" s="51">
        <v>4.7300000000000004</v>
      </c>
      <c r="G23" s="51">
        <v>29.19</v>
      </c>
      <c r="H23" s="51">
        <v>13.17</v>
      </c>
      <c r="I23" s="51">
        <v>4.51</v>
      </c>
      <c r="J23" s="51">
        <v>0.39</v>
      </c>
      <c r="K23" s="51">
        <v>327.95</v>
      </c>
      <c r="L23" s="51">
        <v>31.93</v>
      </c>
      <c r="M23" s="51">
        <v>67.709999999999994</v>
      </c>
      <c r="N23" s="51">
        <v>323.39999999999998</v>
      </c>
      <c r="O23" s="51">
        <v>0</v>
      </c>
      <c r="P23" s="51">
        <v>0.56999999999999995</v>
      </c>
      <c r="Q23" s="51">
        <v>3.82</v>
      </c>
    </row>
    <row r="24" spans="1:17" customFormat="1">
      <c r="A24" s="50" t="s">
        <v>99</v>
      </c>
      <c r="B24" s="51">
        <v>10.76</v>
      </c>
      <c r="C24" s="51">
        <v>24.3</v>
      </c>
      <c r="D24" s="51">
        <v>21.88</v>
      </c>
      <c r="E24" s="51">
        <v>7.74</v>
      </c>
      <c r="F24" s="51">
        <v>5.76</v>
      </c>
      <c r="G24" s="51">
        <v>29.19</v>
      </c>
      <c r="H24" s="51">
        <v>12.34</v>
      </c>
      <c r="I24" s="51">
        <v>4.2</v>
      </c>
      <c r="J24" s="51">
        <v>0.54</v>
      </c>
      <c r="K24" s="51">
        <v>296.2</v>
      </c>
      <c r="L24" s="51">
        <v>30.95</v>
      </c>
      <c r="M24" s="51">
        <v>70.37</v>
      </c>
      <c r="N24" s="51">
        <v>69.7</v>
      </c>
      <c r="O24" s="51">
        <v>0</v>
      </c>
      <c r="P24" s="51">
        <v>0.56000000000000005</v>
      </c>
      <c r="Q24" s="51">
        <v>3.79</v>
      </c>
    </row>
    <row r="25" spans="1:17" customFormat="1">
      <c r="A25" s="50" t="s">
        <v>100</v>
      </c>
      <c r="B25" s="51">
        <v>10.45</v>
      </c>
      <c r="C25" s="51">
        <v>20.79</v>
      </c>
      <c r="D25" s="51">
        <v>20.6</v>
      </c>
      <c r="E25" s="51">
        <v>7.23</v>
      </c>
      <c r="F25" s="51">
        <v>8.6</v>
      </c>
      <c r="G25" s="51">
        <v>24.53</v>
      </c>
      <c r="H25" s="51">
        <v>10.220000000000001</v>
      </c>
      <c r="I25" s="51">
        <v>4.09</v>
      </c>
      <c r="J25" s="51">
        <v>0.41</v>
      </c>
      <c r="K25" s="51">
        <v>262.93</v>
      </c>
      <c r="L25" s="51">
        <v>30.06</v>
      </c>
      <c r="M25" s="51">
        <v>79.650000000000006</v>
      </c>
      <c r="N25" s="51">
        <v>48.6</v>
      </c>
      <c r="O25" s="51">
        <v>0</v>
      </c>
      <c r="P25" s="51">
        <v>0.55000000000000004</v>
      </c>
      <c r="Q25" s="51">
        <v>3.74</v>
      </c>
    </row>
    <row r="26" spans="1:17" customFormat="1">
      <c r="A26" s="50" t="s">
        <v>101</v>
      </c>
      <c r="B26" s="51">
        <v>12.35</v>
      </c>
      <c r="C26" s="51">
        <v>20.45</v>
      </c>
      <c r="D26" s="51">
        <v>21.94</v>
      </c>
      <c r="E26" s="51">
        <v>7.37</v>
      </c>
      <c r="F26" s="51">
        <v>6.7</v>
      </c>
      <c r="G26" s="51">
        <v>24.93</v>
      </c>
      <c r="H26" s="51">
        <v>9.5399999999999991</v>
      </c>
      <c r="I26" s="51">
        <v>4.3</v>
      </c>
      <c r="J26" s="51">
        <v>0.51</v>
      </c>
      <c r="K26" s="51">
        <v>292.76</v>
      </c>
      <c r="L26" s="51">
        <v>29.4</v>
      </c>
      <c r="M26" s="51">
        <v>100.18</v>
      </c>
      <c r="N26" s="51">
        <v>4.8</v>
      </c>
      <c r="O26" s="51">
        <v>1.4</v>
      </c>
      <c r="P26" s="51">
        <v>0.6</v>
      </c>
      <c r="Q26" s="27" t="s">
        <v>14</v>
      </c>
    </row>
    <row r="27" spans="1:17" customFormat="1">
      <c r="A27" s="50" t="s">
        <v>102</v>
      </c>
      <c r="B27" s="51">
        <v>17.89</v>
      </c>
      <c r="C27" s="51">
        <v>24.16</v>
      </c>
      <c r="D27" s="51">
        <v>28.32</v>
      </c>
      <c r="E27" s="51">
        <v>7.75</v>
      </c>
      <c r="F27" s="51">
        <v>3.68</v>
      </c>
      <c r="G27" s="51">
        <v>25.76</v>
      </c>
      <c r="H27" s="51">
        <v>10.54</v>
      </c>
      <c r="I27" s="51">
        <v>6.15</v>
      </c>
      <c r="J27" s="51">
        <v>0.28999999999999998</v>
      </c>
      <c r="K27" s="51">
        <v>296.39999999999998</v>
      </c>
      <c r="L27" s="51">
        <v>25.92</v>
      </c>
      <c r="M27" s="51">
        <v>99.65</v>
      </c>
      <c r="N27" s="51">
        <v>0</v>
      </c>
      <c r="O27" s="51">
        <v>2.2000000000000002</v>
      </c>
      <c r="P27" s="51">
        <v>0.8</v>
      </c>
      <c r="Q27" s="51">
        <v>3.91</v>
      </c>
    </row>
    <row r="28" spans="1:17" customFormat="1">
      <c r="A28" s="50" t="s">
        <v>103</v>
      </c>
      <c r="B28" s="51">
        <v>17.89</v>
      </c>
      <c r="C28" s="51">
        <v>24.16</v>
      </c>
      <c r="D28" s="51">
        <v>28.32</v>
      </c>
      <c r="E28" s="51">
        <v>8.0299999999999994</v>
      </c>
      <c r="F28" s="51">
        <v>2.93</v>
      </c>
      <c r="G28" s="51">
        <v>26.49</v>
      </c>
      <c r="H28" s="51">
        <v>10.98</v>
      </c>
      <c r="I28" s="51">
        <v>7.67</v>
      </c>
      <c r="J28" s="51">
        <v>7.0000000000000007E-2</v>
      </c>
      <c r="K28" s="51">
        <v>289.66000000000003</v>
      </c>
      <c r="L28" s="51">
        <v>25.92</v>
      </c>
      <c r="M28" s="51">
        <v>99.97</v>
      </c>
      <c r="N28" s="51">
        <v>0</v>
      </c>
      <c r="O28" s="51">
        <v>0</v>
      </c>
      <c r="P28" s="51">
        <v>0.8</v>
      </c>
      <c r="Q28" s="51">
        <v>4.03</v>
      </c>
    </row>
    <row r="29" spans="1:17" customFormat="1">
      <c r="A29" s="50" t="s">
        <v>104</v>
      </c>
      <c r="B29" s="51">
        <v>18.97</v>
      </c>
      <c r="C29" s="51">
        <v>22.45</v>
      </c>
      <c r="D29" s="51">
        <v>28.29</v>
      </c>
      <c r="E29" s="51">
        <v>7.87</v>
      </c>
      <c r="F29" s="51">
        <v>3.43</v>
      </c>
      <c r="G29" s="51">
        <v>30.04</v>
      </c>
      <c r="H29" s="51">
        <v>8.92</v>
      </c>
      <c r="I29" s="51">
        <v>6.36</v>
      </c>
      <c r="J29" s="51">
        <v>0.16</v>
      </c>
      <c r="K29" s="51">
        <v>260.97000000000003</v>
      </c>
      <c r="L29" s="51">
        <v>25.62</v>
      </c>
      <c r="M29" s="51">
        <v>100.25</v>
      </c>
      <c r="N29" s="51">
        <v>0</v>
      </c>
      <c r="O29" s="51">
        <v>0</v>
      </c>
      <c r="P29" s="51">
        <v>0.72</v>
      </c>
      <c r="Q29" s="51">
        <v>4.1500000000000004</v>
      </c>
    </row>
    <row r="30" spans="1:17" customFormat="1">
      <c r="A30" s="50" t="s">
        <v>105</v>
      </c>
      <c r="B30" s="51">
        <v>18.41</v>
      </c>
      <c r="C30" s="51">
        <v>25.64</v>
      </c>
      <c r="D30" s="51">
        <v>29.51</v>
      </c>
      <c r="E30" s="51">
        <v>8.2799999999999994</v>
      </c>
      <c r="F30" s="51">
        <v>3.03</v>
      </c>
      <c r="G30" s="51">
        <v>29.78</v>
      </c>
      <c r="H30" s="51">
        <v>11.79</v>
      </c>
      <c r="I30" s="51">
        <v>6.37</v>
      </c>
      <c r="J30" s="51">
        <v>0.17</v>
      </c>
      <c r="K30" s="51">
        <v>239.74</v>
      </c>
      <c r="L30" s="51">
        <v>25.9</v>
      </c>
      <c r="M30" s="51">
        <v>101.97</v>
      </c>
      <c r="N30" s="51">
        <v>0</v>
      </c>
      <c r="O30" s="51">
        <v>0</v>
      </c>
      <c r="P30" s="51">
        <v>0.78</v>
      </c>
      <c r="Q30" s="27" t="s">
        <v>14</v>
      </c>
    </row>
    <row r="31" spans="1:17" customFormat="1">
      <c r="A31" s="50" t="s">
        <v>106</v>
      </c>
      <c r="B31" s="51">
        <v>18.41</v>
      </c>
      <c r="C31" s="51">
        <v>25.64</v>
      </c>
      <c r="D31" s="51">
        <v>29.51</v>
      </c>
      <c r="E31" s="51">
        <v>8.2799999999999994</v>
      </c>
      <c r="F31" s="51">
        <v>2.83</v>
      </c>
      <c r="G31" s="51">
        <v>29.56</v>
      </c>
      <c r="H31" s="51">
        <v>11.79</v>
      </c>
      <c r="I31" s="51">
        <v>6.37</v>
      </c>
      <c r="J31" s="51">
        <v>0.17</v>
      </c>
      <c r="K31" s="51">
        <v>206.42</v>
      </c>
      <c r="L31" s="51">
        <v>25.9</v>
      </c>
      <c r="M31" s="51">
        <v>101.83</v>
      </c>
      <c r="N31" s="51">
        <v>0</v>
      </c>
      <c r="O31" s="51">
        <v>0</v>
      </c>
      <c r="P31" s="51">
        <v>0.78</v>
      </c>
      <c r="Q31" s="27" t="s">
        <v>14</v>
      </c>
    </row>
    <row r="32" spans="1:17" customFormat="1">
      <c r="A32" s="50" t="s">
        <v>107</v>
      </c>
      <c r="B32" s="51">
        <v>19.920000000000002</v>
      </c>
      <c r="C32" s="51">
        <v>27.36</v>
      </c>
      <c r="D32" s="51">
        <v>31.62</v>
      </c>
      <c r="E32" s="51">
        <v>9.1</v>
      </c>
      <c r="F32" s="51">
        <v>2.83</v>
      </c>
      <c r="G32" s="51">
        <v>33.4</v>
      </c>
      <c r="H32" s="51">
        <v>12.49</v>
      </c>
      <c r="I32" s="51">
        <v>6.37</v>
      </c>
      <c r="J32" s="51">
        <v>0.21</v>
      </c>
      <c r="K32" s="51">
        <v>240.37</v>
      </c>
      <c r="L32" s="51">
        <v>25.9</v>
      </c>
      <c r="M32" s="51">
        <v>101.83</v>
      </c>
      <c r="N32" s="51">
        <v>0</v>
      </c>
      <c r="O32" s="51">
        <v>0</v>
      </c>
      <c r="P32" s="51">
        <v>0.8</v>
      </c>
      <c r="Q32" s="51">
        <v>4.3899999999999997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9.7200000000000006</v>
      </c>
      <c r="C34" s="41">
        <f t="shared" si="0"/>
        <v>20.45</v>
      </c>
      <c r="D34" s="41">
        <f t="shared" si="0"/>
        <v>20.6</v>
      </c>
      <c r="E34" s="41">
        <f t="shared" si="0"/>
        <v>7.07</v>
      </c>
      <c r="F34" s="41">
        <f t="shared" si="0"/>
        <v>2.68</v>
      </c>
      <c r="G34" s="41">
        <f t="shared" si="0"/>
        <v>24.53</v>
      </c>
      <c r="H34" s="41">
        <f t="shared" si="0"/>
        <v>8.92</v>
      </c>
      <c r="I34" s="41">
        <f t="shared" si="0"/>
        <v>4.09</v>
      </c>
      <c r="J34" s="41">
        <f t="shared" si="0"/>
        <v>7.0000000000000007E-2</v>
      </c>
      <c r="K34" s="41">
        <f t="shared" si="0"/>
        <v>206.42</v>
      </c>
      <c r="L34" s="41">
        <f t="shared" si="0"/>
        <v>25.62</v>
      </c>
      <c r="M34" s="41">
        <f t="shared" si="0"/>
        <v>66.97</v>
      </c>
      <c r="N34" s="41">
        <f t="shared" si="0"/>
        <v>0</v>
      </c>
      <c r="O34" s="41">
        <f t="shared" si="0"/>
        <v>0</v>
      </c>
      <c r="P34" s="41">
        <f t="shared" si="0"/>
        <v>0.55000000000000004</v>
      </c>
      <c r="Q34" s="41">
        <f t="shared" si="0"/>
        <v>3.74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19.920000000000002</v>
      </c>
      <c r="C35" s="33">
        <f t="shared" si="1"/>
        <v>27.36</v>
      </c>
      <c r="D35" s="33">
        <f t="shared" si="1"/>
        <v>31.62</v>
      </c>
      <c r="E35" s="33">
        <f t="shared" si="1"/>
        <v>9.18</v>
      </c>
      <c r="F35" s="33">
        <f t="shared" si="1"/>
        <v>8.6</v>
      </c>
      <c r="G35" s="33">
        <f t="shared" si="1"/>
        <v>38.51</v>
      </c>
      <c r="H35" s="33">
        <f t="shared" si="1"/>
        <v>17.39</v>
      </c>
      <c r="I35" s="33">
        <f t="shared" si="1"/>
        <v>7.67</v>
      </c>
      <c r="J35" s="33">
        <f t="shared" si="1"/>
        <v>0.71</v>
      </c>
      <c r="K35" s="33">
        <f t="shared" si="1"/>
        <v>353.81</v>
      </c>
      <c r="L35" s="33">
        <f t="shared" si="1"/>
        <v>32.49</v>
      </c>
      <c r="M35" s="33">
        <f t="shared" si="1"/>
        <v>101.97</v>
      </c>
      <c r="N35" s="33">
        <f t="shared" si="1"/>
        <v>738.9</v>
      </c>
      <c r="O35" s="33">
        <f t="shared" si="1"/>
        <v>2.2000000000000002</v>
      </c>
      <c r="P35" s="33">
        <f t="shared" si="1"/>
        <v>0.8</v>
      </c>
      <c r="Q35" s="33">
        <f t="shared" si="1"/>
        <v>4.3899999999999997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14.013750000000003</v>
      </c>
      <c r="C36" s="41">
        <f t="shared" si="2"/>
        <v>23.927916666666665</v>
      </c>
      <c r="D36" s="41">
        <f t="shared" si="2"/>
        <v>24.892500000000002</v>
      </c>
      <c r="E36" s="41">
        <f t="shared" si="2"/>
        <v>8.1162499999999991</v>
      </c>
      <c r="F36" s="41">
        <f t="shared" si="2"/>
        <v>4.2620833333333348</v>
      </c>
      <c r="G36" s="41">
        <f t="shared" si="2"/>
        <v>32.30833333333333</v>
      </c>
      <c r="H36" s="41">
        <f t="shared" si="2"/>
        <v>13.014583333333336</v>
      </c>
      <c r="I36" s="41">
        <f t="shared" si="2"/>
        <v>5.535000000000001</v>
      </c>
      <c r="J36" s="41">
        <f t="shared" si="2"/>
        <v>0.37000000000000005</v>
      </c>
      <c r="K36" s="41">
        <f t="shared" si="2"/>
        <v>286.74708333333331</v>
      </c>
      <c r="L36" s="41">
        <f t="shared" si="2"/>
        <v>28.15166666666666</v>
      </c>
      <c r="M36" s="41">
        <f t="shared" si="2"/>
        <v>87.429166666666688</v>
      </c>
      <c r="N36" s="41">
        <f t="shared" si="2"/>
        <v>166.85416666666669</v>
      </c>
      <c r="O36" s="41">
        <f t="shared" si="2"/>
        <v>0.15</v>
      </c>
      <c r="P36" s="41">
        <f t="shared" si="2"/>
        <v>0.66750000000000009</v>
      </c>
      <c r="Q36" s="41">
        <f t="shared" si="2"/>
        <v>3.9671428571428571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3.0849956838811128</v>
      </c>
      <c r="C37" s="41">
        <f t="shared" ref="C37:Q37" si="3">STDEV(C9:C32)</f>
        <v>1.7208212881636098</v>
      </c>
      <c r="D37" s="41">
        <f t="shared" si="3"/>
        <v>2.8592127983217135</v>
      </c>
      <c r="E37" s="41">
        <f t="shared" si="3"/>
        <v>0.62508999352092121</v>
      </c>
      <c r="F37" s="41">
        <f t="shared" si="3"/>
        <v>1.534379861041913</v>
      </c>
      <c r="G37" s="41">
        <f t="shared" si="3"/>
        <v>4.5245616330220093</v>
      </c>
      <c r="H37" s="41">
        <f t="shared" si="3"/>
        <v>2.3775196779081496</v>
      </c>
      <c r="I37" s="41">
        <f t="shared" si="3"/>
        <v>0.82983497573705334</v>
      </c>
      <c r="J37" s="41">
        <f t="shared" si="3"/>
        <v>0.16043419347128771</v>
      </c>
      <c r="K37" s="41">
        <f t="shared" si="3"/>
        <v>38.892334941607132</v>
      </c>
      <c r="L37" s="41">
        <f t="shared" si="3"/>
        <v>2.5316924510428267</v>
      </c>
      <c r="M37" s="41">
        <f t="shared" si="3"/>
        <v>12.520753178020994</v>
      </c>
      <c r="N37" s="41">
        <f t="shared" si="3"/>
        <v>257.47265786312425</v>
      </c>
      <c r="O37" s="41">
        <f t="shared" si="3"/>
        <v>0.52170289729258579</v>
      </c>
      <c r="P37" s="41">
        <f t="shared" si="3"/>
        <v>8.5681411915454656E-2</v>
      </c>
      <c r="Q37" s="41">
        <f t="shared" si="3"/>
        <v>0.14036177745891526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Q38" sqref="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108</v>
      </c>
      <c r="B9" s="51">
        <v>20.88</v>
      </c>
      <c r="C9" s="51">
        <v>27.02</v>
      </c>
      <c r="D9" s="51">
        <v>32.21</v>
      </c>
      <c r="E9" s="51">
        <v>9.16</v>
      </c>
      <c r="F9" s="51">
        <v>2.39</v>
      </c>
      <c r="G9" s="51">
        <v>32.659999999999997</v>
      </c>
      <c r="H9" s="51">
        <v>10.55</v>
      </c>
      <c r="I9" s="51">
        <v>6</v>
      </c>
      <c r="J9" s="51">
        <v>0.28000000000000003</v>
      </c>
      <c r="K9" s="51">
        <v>260.01</v>
      </c>
      <c r="L9" s="51">
        <v>25.78</v>
      </c>
      <c r="M9" s="51">
        <v>97.04</v>
      </c>
      <c r="N9" s="51">
        <v>0</v>
      </c>
      <c r="O9" s="51">
        <v>0</v>
      </c>
      <c r="P9" s="51">
        <v>0.78</v>
      </c>
      <c r="Q9" s="27" t="s">
        <v>14</v>
      </c>
    </row>
    <row r="10" spans="1:21" customFormat="1">
      <c r="A10" s="50" t="s">
        <v>109</v>
      </c>
      <c r="B10" s="51">
        <v>22.42</v>
      </c>
      <c r="C10" s="51">
        <v>27.9</v>
      </c>
      <c r="D10" s="51">
        <v>33.840000000000003</v>
      </c>
      <c r="E10" s="51">
        <v>9.48</v>
      </c>
      <c r="F10" s="51">
        <v>2.59</v>
      </c>
      <c r="G10" s="51">
        <v>31.58</v>
      </c>
      <c r="H10" s="51">
        <v>10.66</v>
      </c>
      <c r="I10" s="51">
        <v>5.72</v>
      </c>
      <c r="J10" s="51">
        <v>0.23</v>
      </c>
      <c r="K10" s="51">
        <v>295.33</v>
      </c>
      <c r="L10" s="51">
        <v>25.85</v>
      </c>
      <c r="M10" s="51">
        <v>97</v>
      </c>
      <c r="N10" s="51">
        <v>0</v>
      </c>
      <c r="O10" s="51">
        <v>0</v>
      </c>
      <c r="P10" s="51">
        <v>0.75</v>
      </c>
      <c r="Q10" s="27" t="s">
        <v>14</v>
      </c>
    </row>
    <row r="11" spans="1:21" customFormat="1">
      <c r="A11" s="50" t="s">
        <v>110</v>
      </c>
      <c r="B11" s="51">
        <v>22.95</v>
      </c>
      <c r="C11" s="51">
        <v>27.76</v>
      </c>
      <c r="D11" s="51">
        <v>33.840000000000003</v>
      </c>
      <c r="E11" s="51">
        <v>9.4700000000000006</v>
      </c>
      <c r="F11" s="51">
        <v>3.25</v>
      </c>
      <c r="G11" s="51">
        <v>31.64</v>
      </c>
      <c r="H11" s="51">
        <v>10.66</v>
      </c>
      <c r="I11" s="51">
        <v>5.64</v>
      </c>
      <c r="J11" s="51">
        <v>0.26</v>
      </c>
      <c r="K11" s="51">
        <v>295.33</v>
      </c>
      <c r="L11" s="51">
        <v>25.75</v>
      </c>
      <c r="M11" s="51">
        <v>97.3</v>
      </c>
      <c r="N11" s="51">
        <v>0</v>
      </c>
      <c r="O11" s="51">
        <v>0</v>
      </c>
      <c r="P11" s="51">
        <v>0.74</v>
      </c>
      <c r="Q11" s="27" t="s">
        <v>14</v>
      </c>
    </row>
    <row r="12" spans="1:21" customFormat="1">
      <c r="A12" s="50" t="s">
        <v>111</v>
      </c>
      <c r="B12" s="51">
        <v>24.88</v>
      </c>
      <c r="C12" s="51">
        <v>23.84</v>
      </c>
      <c r="D12" s="51">
        <v>33.76</v>
      </c>
      <c r="E12" s="51">
        <v>8.66</v>
      </c>
      <c r="F12" s="51">
        <v>3.25</v>
      </c>
      <c r="G12" s="51">
        <v>31.64</v>
      </c>
      <c r="H12" s="51">
        <v>13.07</v>
      </c>
      <c r="I12" s="51">
        <v>5.51</v>
      </c>
      <c r="J12" s="51">
        <v>0.26</v>
      </c>
      <c r="K12" s="51">
        <v>264.27999999999997</v>
      </c>
      <c r="L12" s="51">
        <v>25.6</v>
      </c>
      <c r="M12" s="51">
        <v>97.3</v>
      </c>
      <c r="N12" s="51">
        <v>0</v>
      </c>
      <c r="O12" s="51">
        <v>0</v>
      </c>
      <c r="P12" s="51">
        <v>0.68</v>
      </c>
      <c r="Q12" s="27" t="s">
        <v>14</v>
      </c>
    </row>
    <row r="13" spans="1:21" customFormat="1">
      <c r="A13" s="50" t="s">
        <v>112</v>
      </c>
      <c r="B13" s="51">
        <v>25.42</v>
      </c>
      <c r="C13" s="51">
        <v>23.54</v>
      </c>
      <c r="D13" s="51">
        <v>34.04</v>
      </c>
      <c r="E13" s="51">
        <v>7.16</v>
      </c>
      <c r="F13" s="51">
        <v>3.05</v>
      </c>
      <c r="G13" s="51">
        <v>32.729999999999997</v>
      </c>
      <c r="H13" s="51">
        <v>13.3</v>
      </c>
      <c r="I13" s="51">
        <v>5.22</v>
      </c>
      <c r="J13" s="51">
        <v>0.44</v>
      </c>
      <c r="K13" s="51">
        <v>287.19</v>
      </c>
      <c r="L13" s="51">
        <v>25.5</v>
      </c>
      <c r="M13" s="51">
        <v>94.33</v>
      </c>
      <c r="N13" s="51">
        <v>0</v>
      </c>
      <c r="O13" s="51">
        <v>0</v>
      </c>
      <c r="P13" s="51">
        <v>0.64</v>
      </c>
      <c r="Q13" s="51">
        <v>4.5999999999999996</v>
      </c>
    </row>
    <row r="14" spans="1:21" customFormat="1">
      <c r="A14" s="50" t="s">
        <v>113</v>
      </c>
      <c r="B14" s="51">
        <v>25.54</v>
      </c>
      <c r="C14" s="51">
        <v>23.92</v>
      </c>
      <c r="D14" s="51">
        <v>34.29</v>
      </c>
      <c r="E14" s="51">
        <v>7.43</v>
      </c>
      <c r="F14" s="51">
        <v>3.07</v>
      </c>
      <c r="G14" s="51">
        <v>32.729999999999997</v>
      </c>
      <c r="H14" s="51">
        <v>12.28</v>
      </c>
      <c r="I14" s="51">
        <v>5.0599999999999996</v>
      </c>
      <c r="J14" s="51">
        <v>0.45</v>
      </c>
      <c r="K14" s="51">
        <v>297.58999999999997</v>
      </c>
      <c r="L14" s="51">
        <v>25.38</v>
      </c>
      <c r="M14" s="51">
        <v>96.06</v>
      </c>
      <c r="N14" s="51">
        <v>0</v>
      </c>
      <c r="O14" s="51">
        <v>0</v>
      </c>
      <c r="P14" s="51">
        <v>0.62</v>
      </c>
      <c r="Q14" s="51">
        <v>4.62</v>
      </c>
    </row>
    <row r="15" spans="1:21" customFormat="1">
      <c r="A15" s="50" t="s">
        <v>114</v>
      </c>
      <c r="B15" s="51">
        <v>25.39</v>
      </c>
      <c r="C15" s="51">
        <v>25.91</v>
      </c>
      <c r="D15" s="51">
        <v>34.909999999999997</v>
      </c>
      <c r="E15" s="51">
        <v>7.19</v>
      </c>
      <c r="F15" s="51">
        <v>2.74</v>
      </c>
      <c r="G15" s="51">
        <v>26.43</v>
      </c>
      <c r="H15" s="51">
        <v>11.39</v>
      </c>
      <c r="I15" s="51">
        <v>4.88</v>
      </c>
      <c r="J15" s="51">
        <v>0.4</v>
      </c>
      <c r="K15" s="51">
        <v>285.61</v>
      </c>
      <c r="L15" s="51">
        <v>25.96</v>
      </c>
      <c r="M15" s="51">
        <v>92.99</v>
      </c>
      <c r="N15" s="51">
        <v>68.7</v>
      </c>
      <c r="O15" s="51">
        <v>0</v>
      </c>
      <c r="P15" s="51">
        <v>0.61</v>
      </c>
      <c r="Q15" s="51">
        <v>4.66</v>
      </c>
    </row>
    <row r="16" spans="1:21" customFormat="1">
      <c r="A16" s="50" t="s">
        <v>115</v>
      </c>
      <c r="B16" s="51">
        <v>24.31</v>
      </c>
      <c r="C16" s="51">
        <v>26.92</v>
      </c>
      <c r="D16" s="51">
        <v>34.58</v>
      </c>
      <c r="E16" s="51">
        <v>7.38</v>
      </c>
      <c r="F16" s="51">
        <v>2.77</v>
      </c>
      <c r="G16" s="51">
        <v>26.43</v>
      </c>
      <c r="H16" s="51">
        <v>10.49</v>
      </c>
      <c r="I16" s="51">
        <v>4.6399999999999997</v>
      </c>
      <c r="J16" s="51">
        <v>0.8</v>
      </c>
      <c r="K16" s="51">
        <v>317.97000000000003</v>
      </c>
      <c r="L16" s="51">
        <v>27.25</v>
      </c>
      <c r="M16" s="51">
        <v>90.08</v>
      </c>
      <c r="N16" s="51">
        <v>174.4</v>
      </c>
      <c r="O16" s="51">
        <v>0</v>
      </c>
      <c r="P16" s="51">
        <v>0.6</v>
      </c>
      <c r="Q16" s="51">
        <v>4.67</v>
      </c>
    </row>
    <row r="17" spans="1:17" customFormat="1">
      <c r="A17" s="50" t="s">
        <v>116</v>
      </c>
      <c r="B17" s="51">
        <v>23.06</v>
      </c>
      <c r="C17" s="51">
        <v>27.03</v>
      </c>
      <c r="D17" s="51">
        <v>33.799999999999997</v>
      </c>
      <c r="E17" s="51">
        <v>7.87</v>
      </c>
      <c r="F17" s="51">
        <v>2.94</v>
      </c>
      <c r="G17" s="51">
        <v>25.03</v>
      </c>
      <c r="H17" s="51">
        <v>9.82</v>
      </c>
      <c r="I17" s="51">
        <v>4.4800000000000004</v>
      </c>
      <c r="J17" s="51">
        <v>0.52</v>
      </c>
      <c r="K17" s="51">
        <v>320.29000000000002</v>
      </c>
      <c r="L17" s="51">
        <v>27.94</v>
      </c>
      <c r="M17" s="51">
        <v>85.45</v>
      </c>
      <c r="N17" s="51">
        <v>251.1</v>
      </c>
      <c r="O17" s="51">
        <v>0</v>
      </c>
      <c r="P17" s="51">
        <v>0.6</v>
      </c>
      <c r="Q17" s="51">
        <v>4.6100000000000003</v>
      </c>
    </row>
    <row r="18" spans="1:17" customFormat="1">
      <c r="A18" s="50" t="s">
        <v>117</v>
      </c>
      <c r="B18" s="51">
        <v>21.58</v>
      </c>
      <c r="C18" s="51">
        <v>27.43</v>
      </c>
      <c r="D18" s="51">
        <v>32.909999999999997</v>
      </c>
      <c r="E18" s="51">
        <v>7.92</v>
      </c>
      <c r="F18" s="51">
        <v>3.07</v>
      </c>
      <c r="G18" s="51">
        <v>24.26</v>
      </c>
      <c r="H18" s="51">
        <v>9.5299999999999994</v>
      </c>
      <c r="I18" s="51">
        <v>4.38</v>
      </c>
      <c r="J18" s="51">
        <v>0.7</v>
      </c>
      <c r="K18" s="51">
        <v>325.91000000000003</v>
      </c>
      <c r="L18" s="51">
        <v>30.45</v>
      </c>
      <c r="M18" s="51">
        <v>81.760000000000005</v>
      </c>
      <c r="N18" s="51">
        <v>610.70000000000005</v>
      </c>
      <c r="O18" s="51">
        <v>0</v>
      </c>
      <c r="P18" s="51">
        <v>0.63</v>
      </c>
      <c r="Q18" s="51">
        <v>4.5599999999999996</v>
      </c>
    </row>
    <row r="19" spans="1:17" customFormat="1">
      <c r="A19" s="50" t="s">
        <v>118</v>
      </c>
      <c r="B19" s="51">
        <v>19.47</v>
      </c>
      <c r="C19" s="51">
        <v>27.21</v>
      </c>
      <c r="D19" s="51">
        <v>31.06</v>
      </c>
      <c r="E19" s="51">
        <v>7.85</v>
      </c>
      <c r="F19" s="51">
        <v>3.57</v>
      </c>
      <c r="G19" s="51">
        <v>27.94</v>
      </c>
      <c r="H19" s="51">
        <v>10.93</v>
      </c>
      <c r="I19" s="51">
        <v>4.3499999999999996</v>
      </c>
      <c r="J19" s="51">
        <v>0.77</v>
      </c>
      <c r="K19" s="51">
        <v>326.24</v>
      </c>
      <c r="L19" s="51">
        <v>30.28</v>
      </c>
      <c r="M19" s="51">
        <v>76.650000000000006</v>
      </c>
      <c r="N19" s="51">
        <v>481.1</v>
      </c>
      <c r="O19" s="51">
        <v>0</v>
      </c>
      <c r="P19" s="51">
        <v>0.62</v>
      </c>
      <c r="Q19" s="51">
        <v>4.43</v>
      </c>
    </row>
    <row r="20" spans="1:17" customFormat="1">
      <c r="A20" s="50" t="s">
        <v>119</v>
      </c>
      <c r="B20" s="51">
        <v>16.55</v>
      </c>
      <c r="C20" s="51">
        <v>25.58</v>
      </c>
      <c r="D20" s="51">
        <v>27.98</v>
      </c>
      <c r="E20" s="51">
        <v>7.52</v>
      </c>
      <c r="F20" s="51">
        <v>6.56</v>
      </c>
      <c r="G20" s="51">
        <v>27.94</v>
      </c>
      <c r="H20" s="51">
        <v>10.93</v>
      </c>
      <c r="I20" s="51">
        <v>4.32</v>
      </c>
      <c r="J20" s="51">
        <v>0.93</v>
      </c>
      <c r="K20" s="51">
        <v>331.45</v>
      </c>
      <c r="L20" s="51">
        <v>30.65</v>
      </c>
      <c r="M20" s="51">
        <v>73.98</v>
      </c>
      <c r="N20" s="51">
        <v>672.6</v>
      </c>
      <c r="O20" s="51">
        <v>0</v>
      </c>
      <c r="P20" s="51">
        <v>0.59</v>
      </c>
      <c r="Q20" s="51">
        <v>4.2300000000000004</v>
      </c>
    </row>
    <row r="21" spans="1:17" customFormat="1">
      <c r="A21" s="50" t="s">
        <v>120</v>
      </c>
      <c r="B21" s="51">
        <v>13.71</v>
      </c>
      <c r="C21" s="51">
        <v>19.86</v>
      </c>
      <c r="D21" s="51">
        <v>22.72</v>
      </c>
      <c r="E21" s="51">
        <v>6.06</v>
      </c>
      <c r="F21" s="51">
        <v>7.86</v>
      </c>
      <c r="G21" s="51">
        <v>25.13</v>
      </c>
      <c r="H21" s="51">
        <v>10.8</v>
      </c>
      <c r="I21" s="51">
        <v>4</v>
      </c>
      <c r="J21" s="51">
        <v>1.1100000000000001</v>
      </c>
      <c r="K21" s="51">
        <v>353.8</v>
      </c>
      <c r="L21" s="51">
        <v>30.74</v>
      </c>
      <c r="M21" s="51">
        <v>76.680000000000007</v>
      </c>
      <c r="N21" s="51">
        <v>511.6</v>
      </c>
      <c r="O21" s="51">
        <v>0</v>
      </c>
      <c r="P21" s="51">
        <v>0.55000000000000004</v>
      </c>
      <c r="Q21" s="51">
        <v>3.98</v>
      </c>
    </row>
    <row r="22" spans="1:17" customFormat="1">
      <c r="A22" s="50" t="s">
        <v>121</v>
      </c>
      <c r="B22" s="51">
        <v>12.55</v>
      </c>
      <c r="C22" s="51">
        <v>19.97</v>
      </c>
      <c r="D22" s="51">
        <v>20.85</v>
      </c>
      <c r="E22" s="51">
        <v>8.6300000000000008</v>
      </c>
      <c r="F22" s="51">
        <v>8.99</v>
      </c>
      <c r="G22" s="51">
        <v>25.16</v>
      </c>
      <c r="H22" s="51">
        <v>9.1999999999999993</v>
      </c>
      <c r="I22" s="51">
        <v>3.63</v>
      </c>
      <c r="J22" s="51">
        <v>1.98</v>
      </c>
      <c r="K22" s="51">
        <v>27.38</v>
      </c>
      <c r="L22" s="51">
        <v>31.02</v>
      </c>
      <c r="M22" s="51">
        <v>98.5</v>
      </c>
      <c r="N22" s="51">
        <v>676.1</v>
      </c>
      <c r="O22" s="51">
        <v>2</v>
      </c>
      <c r="P22" s="51">
        <v>0.5</v>
      </c>
      <c r="Q22" s="51">
        <v>3.89</v>
      </c>
    </row>
    <row r="23" spans="1:17" customFormat="1">
      <c r="A23" s="50" t="s">
        <v>122</v>
      </c>
      <c r="B23" s="51">
        <v>7.78</v>
      </c>
      <c r="C23" s="51">
        <v>19.8</v>
      </c>
      <c r="D23" s="51">
        <v>17.93</v>
      </c>
      <c r="E23" s="51">
        <v>11.94</v>
      </c>
      <c r="F23" s="51">
        <v>11.78</v>
      </c>
      <c r="G23" s="51">
        <v>26.58</v>
      </c>
      <c r="H23" s="51">
        <v>8.01</v>
      </c>
      <c r="I23" s="51">
        <v>2.92</v>
      </c>
      <c r="J23" s="51">
        <v>2.16</v>
      </c>
      <c r="K23" s="51">
        <v>20</v>
      </c>
      <c r="L23" s="51">
        <v>29.1</v>
      </c>
      <c r="M23" s="51">
        <v>77.83</v>
      </c>
      <c r="N23" s="51">
        <v>564.5</v>
      </c>
      <c r="O23" s="51">
        <v>0</v>
      </c>
      <c r="P23" s="51">
        <v>0.5</v>
      </c>
      <c r="Q23" s="51">
        <v>3.64</v>
      </c>
    </row>
    <row r="24" spans="1:17" customFormat="1">
      <c r="A24" s="50" t="s">
        <v>123</v>
      </c>
      <c r="B24" s="51">
        <v>5.0599999999999996</v>
      </c>
      <c r="C24" s="51">
        <v>23.06</v>
      </c>
      <c r="D24" s="51">
        <v>17.45</v>
      </c>
      <c r="E24" s="51">
        <v>7.87</v>
      </c>
      <c r="F24" s="51">
        <v>8.9700000000000006</v>
      </c>
      <c r="G24" s="51">
        <v>26.58</v>
      </c>
      <c r="H24" s="51">
        <v>8.01</v>
      </c>
      <c r="I24" s="51">
        <v>2.36</v>
      </c>
      <c r="J24" s="51">
        <v>1.76</v>
      </c>
      <c r="K24" s="51">
        <v>22.57</v>
      </c>
      <c r="L24" s="51">
        <v>28.74</v>
      </c>
      <c r="M24" s="51">
        <v>63.19</v>
      </c>
      <c r="N24" s="51">
        <v>332</v>
      </c>
      <c r="O24" s="51">
        <v>0</v>
      </c>
      <c r="P24" s="51">
        <v>0.43</v>
      </c>
      <c r="Q24" s="51">
        <v>3.5</v>
      </c>
    </row>
    <row r="25" spans="1:17" customFormat="1">
      <c r="A25" s="50" t="s">
        <v>124</v>
      </c>
      <c r="B25" s="51">
        <v>10.029999999999999</v>
      </c>
      <c r="C25" s="51">
        <v>26.87</v>
      </c>
      <c r="D25" s="51">
        <v>23.44</v>
      </c>
      <c r="E25" s="51">
        <v>7.37</v>
      </c>
      <c r="F25" s="51">
        <v>4.55</v>
      </c>
      <c r="G25" s="51">
        <v>33.880000000000003</v>
      </c>
      <c r="H25" s="51">
        <v>6.89</v>
      </c>
      <c r="I25" s="51">
        <v>2.81</v>
      </c>
      <c r="J25" s="51">
        <v>0.59</v>
      </c>
      <c r="K25" s="51">
        <v>28.74</v>
      </c>
      <c r="L25" s="51">
        <v>28.67</v>
      </c>
      <c r="M25" s="51">
        <v>67.040000000000006</v>
      </c>
      <c r="N25" s="51">
        <v>100.6</v>
      </c>
      <c r="O25" s="51">
        <v>0</v>
      </c>
      <c r="P25" s="51">
        <v>0.53</v>
      </c>
      <c r="Q25" s="51">
        <v>3.91</v>
      </c>
    </row>
    <row r="26" spans="1:17" customFormat="1">
      <c r="A26" s="50" t="s">
        <v>125</v>
      </c>
      <c r="B26" s="51">
        <v>13.49</v>
      </c>
      <c r="C26" s="51">
        <v>28.74</v>
      </c>
      <c r="D26" s="51">
        <v>27.19</v>
      </c>
      <c r="E26" s="51">
        <v>6.21</v>
      </c>
      <c r="F26" s="51">
        <v>3.37</v>
      </c>
      <c r="G26" s="51">
        <v>44.35</v>
      </c>
      <c r="H26" s="51">
        <v>10.62</v>
      </c>
      <c r="I26" s="51">
        <v>3.2</v>
      </c>
      <c r="J26" s="51">
        <v>0.25</v>
      </c>
      <c r="K26" s="51">
        <v>79.17</v>
      </c>
      <c r="L26" s="51">
        <v>28.26</v>
      </c>
      <c r="M26" s="51">
        <v>71.39</v>
      </c>
      <c r="N26" s="51">
        <v>24.3</v>
      </c>
      <c r="O26" s="51">
        <v>0</v>
      </c>
      <c r="P26" s="51">
        <v>0.6</v>
      </c>
      <c r="Q26" s="51">
        <v>4.22</v>
      </c>
    </row>
    <row r="27" spans="1:17" customFormat="1">
      <c r="A27" s="50" t="s">
        <v>126</v>
      </c>
      <c r="B27" s="51">
        <v>17.39</v>
      </c>
      <c r="C27" s="51">
        <v>29.88</v>
      </c>
      <c r="D27" s="51">
        <v>30.86</v>
      </c>
      <c r="E27" s="51">
        <v>7.69</v>
      </c>
      <c r="F27" s="51">
        <v>2.71</v>
      </c>
      <c r="G27" s="51">
        <v>54.88</v>
      </c>
      <c r="H27" s="51">
        <v>14</v>
      </c>
      <c r="I27" s="51">
        <v>3.77</v>
      </c>
      <c r="J27" s="51">
        <v>0.25</v>
      </c>
      <c r="K27" s="51">
        <v>249.08</v>
      </c>
      <c r="L27" s="51">
        <v>27.32</v>
      </c>
      <c r="M27" s="51">
        <v>83.91</v>
      </c>
      <c r="N27" s="51">
        <v>0</v>
      </c>
      <c r="O27" s="51">
        <v>0</v>
      </c>
      <c r="P27" s="51">
        <v>0.69</v>
      </c>
      <c r="Q27" s="51">
        <v>4.45</v>
      </c>
    </row>
    <row r="28" spans="1:17" customFormat="1">
      <c r="A28" s="50" t="s">
        <v>127</v>
      </c>
      <c r="B28" s="51">
        <v>18.739999999999998</v>
      </c>
      <c r="C28" s="51">
        <v>29.66</v>
      </c>
      <c r="D28" s="51">
        <v>31.88</v>
      </c>
      <c r="E28" s="51">
        <v>7.73</v>
      </c>
      <c r="F28" s="51">
        <v>2.46</v>
      </c>
      <c r="G28" s="51">
        <v>54.92</v>
      </c>
      <c r="H28" s="51">
        <v>14</v>
      </c>
      <c r="I28" s="51">
        <v>4.45</v>
      </c>
      <c r="J28" s="51">
        <v>0.18</v>
      </c>
      <c r="K28" s="51">
        <v>195.66</v>
      </c>
      <c r="L28" s="51">
        <v>26.45</v>
      </c>
      <c r="M28" s="51">
        <v>84.81</v>
      </c>
      <c r="N28" s="51">
        <v>0</v>
      </c>
      <c r="O28" s="51">
        <v>0</v>
      </c>
      <c r="P28" s="51">
        <v>0.74</v>
      </c>
      <c r="Q28" s="51">
        <v>4.4400000000000004</v>
      </c>
    </row>
    <row r="29" spans="1:17" customFormat="1">
      <c r="A29" s="50" t="s">
        <v>128</v>
      </c>
      <c r="B29" s="51">
        <v>21.27</v>
      </c>
      <c r="C29" s="51">
        <v>30.03</v>
      </c>
      <c r="D29" s="51">
        <v>34.06</v>
      </c>
      <c r="E29" s="51">
        <v>8</v>
      </c>
      <c r="F29" s="51">
        <v>2.52</v>
      </c>
      <c r="G29" s="51">
        <v>59.33</v>
      </c>
      <c r="H29" s="51">
        <v>16.010000000000002</v>
      </c>
      <c r="I29" s="51">
        <v>5.49</v>
      </c>
      <c r="J29" s="51">
        <v>0.21</v>
      </c>
      <c r="K29" s="51">
        <v>192.19</v>
      </c>
      <c r="L29" s="51">
        <v>26.7</v>
      </c>
      <c r="M29" s="51">
        <v>84.94</v>
      </c>
      <c r="N29" s="51">
        <v>0</v>
      </c>
      <c r="O29" s="51">
        <v>0</v>
      </c>
      <c r="P29" s="51">
        <v>0.83</v>
      </c>
      <c r="Q29" s="51">
        <v>4.55</v>
      </c>
    </row>
    <row r="30" spans="1:17" customFormat="1">
      <c r="A30" s="50" t="s">
        <v>129</v>
      </c>
      <c r="B30" s="51">
        <v>22.46</v>
      </c>
      <c r="C30" s="51">
        <v>28.19</v>
      </c>
      <c r="D30" s="51">
        <v>33.54</v>
      </c>
      <c r="E30" s="51">
        <v>9.5</v>
      </c>
      <c r="F30" s="51">
        <v>3.72</v>
      </c>
      <c r="G30" s="51">
        <v>60.15</v>
      </c>
      <c r="H30" s="51">
        <v>16.13</v>
      </c>
      <c r="I30" s="51">
        <v>5.92</v>
      </c>
      <c r="J30" s="51">
        <v>0.21</v>
      </c>
      <c r="K30" s="51">
        <v>249.88</v>
      </c>
      <c r="L30" s="51">
        <v>26.73</v>
      </c>
      <c r="M30" s="51">
        <v>78.33</v>
      </c>
      <c r="N30" s="51">
        <v>0</v>
      </c>
      <c r="O30" s="51">
        <v>0</v>
      </c>
      <c r="P30" s="51">
        <v>0.83</v>
      </c>
      <c r="Q30" s="51">
        <v>4.55</v>
      </c>
    </row>
    <row r="31" spans="1:17" customFormat="1">
      <c r="A31" s="50" t="s">
        <v>130</v>
      </c>
      <c r="B31" s="51">
        <v>23.24</v>
      </c>
      <c r="C31" s="51">
        <v>27.05</v>
      </c>
      <c r="D31" s="51">
        <v>34.020000000000003</v>
      </c>
      <c r="E31" s="51">
        <v>11.61</v>
      </c>
      <c r="F31" s="51">
        <v>3.73</v>
      </c>
      <c r="G31" s="51">
        <v>64.36</v>
      </c>
      <c r="H31" s="51">
        <v>20.25</v>
      </c>
      <c r="I31" s="51">
        <v>5.86</v>
      </c>
      <c r="J31" s="51">
        <v>0.35</v>
      </c>
      <c r="K31" s="51">
        <v>284.24</v>
      </c>
      <c r="L31" s="51">
        <v>26.94</v>
      </c>
      <c r="M31" s="51">
        <v>75.67</v>
      </c>
      <c r="N31" s="51">
        <v>0</v>
      </c>
      <c r="O31" s="51">
        <v>0</v>
      </c>
      <c r="P31" s="51">
        <v>0.81</v>
      </c>
      <c r="Q31" s="51">
        <v>4.5199999999999996</v>
      </c>
    </row>
    <row r="32" spans="1:17" customFormat="1">
      <c r="A32" s="50" t="s">
        <v>131</v>
      </c>
      <c r="B32" s="51">
        <v>23.12</v>
      </c>
      <c r="C32" s="51">
        <v>26.71</v>
      </c>
      <c r="D32" s="51">
        <v>33.85</v>
      </c>
      <c r="E32" s="51">
        <v>7.99</v>
      </c>
      <c r="F32" s="51">
        <v>3.88</v>
      </c>
      <c r="G32" s="51">
        <v>64.36</v>
      </c>
      <c r="H32" s="51">
        <v>20.25</v>
      </c>
      <c r="I32" s="51">
        <v>5.9</v>
      </c>
      <c r="J32" s="51">
        <v>0.5</v>
      </c>
      <c r="K32" s="51">
        <v>266.58999999999997</v>
      </c>
      <c r="L32" s="51">
        <v>26.6</v>
      </c>
      <c r="M32" s="51">
        <v>74.760000000000005</v>
      </c>
      <c r="N32" s="51">
        <v>0</v>
      </c>
      <c r="O32" s="51">
        <v>0</v>
      </c>
      <c r="P32" s="51">
        <v>0.79</v>
      </c>
      <c r="Q32" s="51">
        <v>4.53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5.0599999999999996</v>
      </c>
      <c r="C34" s="41">
        <f t="shared" si="0"/>
        <v>19.8</v>
      </c>
      <c r="D34" s="41">
        <f t="shared" si="0"/>
        <v>17.45</v>
      </c>
      <c r="E34" s="41">
        <f t="shared" si="0"/>
        <v>6.06</v>
      </c>
      <c r="F34" s="41">
        <f t="shared" si="0"/>
        <v>2.39</v>
      </c>
      <c r="G34" s="41">
        <f t="shared" si="0"/>
        <v>24.26</v>
      </c>
      <c r="H34" s="41">
        <f t="shared" si="0"/>
        <v>6.89</v>
      </c>
      <c r="I34" s="41">
        <f t="shared" si="0"/>
        <v>2.36</v>
      </c>
      <c r="J34" s="41">
        <f t="shared" si="0"/>
        <v>0.18</v>
      </c>
      <c r="K34" s="41">
        <f t="shared" si="0"/>
        <v>20</v>
      </c>
      <c r="L34" s="41">
        <f t="shared" si="0"/>
        <v>25.38</v>
      </c>
      <c r="M34" s="41">
        <f t="shared" si="0"/>
        <v>63.19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3.5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25.54</v>
      </c>
      <c r="C35" s="33">
        <f t="shared" si="1"/>
        <v>30.03</v>
      </c>
      <c r="D35" s="33">
        <f t="shared" si="1"/>
        <v>34.909999999999997</v>
      </c>
      <c r="E35" s="33">
        <f t="shared" si="1"/>
        <v>11.94</v>
      </c>
      <c r="F35" s="33">
        <f t="shared" si="1"/>
        <v>11.78</v>
      </c>
      <c r="G35" s="33">
        <f t="shared" si="1"/>
        <v>64.36</v>
      </c>
      <c r="H35" s="33">
        <f t="shared" si="1"/>
        <v>20.25</v>
      </c>
      <c r="I35" s="33">
        <f t="shared" si="1"/>
        <v>6</v>
      </c>
      <c r="J35" s="33">
        <f t="shared" si="1"/>
        <v>2.16</v>
      </c>
      <c r="K35" s="33">
        <f t="shared" si="1"/>
        <v>353.8</v>
      </c>
      <c r="L35" s="33">
        <f t="shared" si="1"/>
        <v>31.02</v>
      </c>
      <c r="M35" s="33">
        <f t="shared" si="1"/>
        <v>98.5</v>
      </c>
      <c r="N35" s="33">
        <f t="shared" si="1"/>
        <v>676.1</v>
      </c>
      <c r="O35" s="33">
        <f t="shared" si="1"/>
        <v>2</v>
      </c>
      <c r="P35" s="33">
        <f t="shared" si="1"/>
        <v>0.83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19.220416666666662</v>
      </c>
      <c r="C36" s="41">
        <f t="shared" si="2"/>
        <v>25.995000000000005</v>
      </c>
      <c r="D36" s="41">
        <f t="shared" si="2"/>
        <v>30.208749999999995</v>
      </c>
      <c r="E36" s="41">
        <f t="shared" si="2"/>
        <v>8.2370833333333326</v>
      </c>
      <c r="F36" s="41">
        <f t="shared" si="2"/>
        <v>4.324583333333333</v>
      </c>
      <c r="G36" s="41">
        <f t="shared" si="2"/>
        <v>37.112083333333331</v>
      </c>
      <c r="H36" s="41">
        <f t="shared" si="2"/>
        <v>11.990833333333333</v>
      </c>
      <c r="I36" s="41">
        <f t="shared" si="2"/>
        <v>4.6045833333333341</v>
      </c>
      <c r="J36" s="41">
        <f t="shared" si="2"/>
        <v>0.64958333333333329</v>
      </c>
      <c r="K36" s="41">
        <f t="shared" si="2"/>
        <v>232.3541666666666</v>
      </c>
      <c r="L36" s="41">
        <f t="shared" si="2"/>
        <v>27.652500000000007</v>
      </c>
      <c r="M36" s="41">
        <f t="shared" si="2"/>
        <v>84.041250000000005</v>
      </c>
      <c r="N36" s="41">
        <f t="shared" si="2"/>
        <v>186.15416666666667</v>
      </c>
      <c r="O36" s="41">
        <f t="shared" si="2"/>
        <v>8.3333333333333329E-2</v>
      </c>
      <c r="P36" s="41">
        <f t="shared" si="2"/>
        <v>0.65249999999999997</v>
      </c>
      <c r="Q36" s="41">
        <f t="shared" si="2"/>
        <v>4.3279999999999994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5.9049614210473953</v>
      </c>
      <c r="C37" s="41">
        <f t="shared" ref="C37:Q37" si="3">STDEV(C9:C32)</f>
        <v>3.0136933862101123</v>
      </c>
      <c r="D37" s="41">
        <f t="shared" si="3"/>
        <v>5.5579925313247029</v>
      </c>
      <c r="E37" s="41">
        <f t="shared" si="3"/>
        <v>1.4124276946993155</v>
      </c>
      <c r="F37" s="41">
        <f t="shared" si="3"/>
        <v>2.5443184432338093</v>
      </c>
      <c r="G37" s="41">
        <f t="shared" si="3"/>
        <v>14.09524217573979</v>
      </c>
      <c r="H37" s="41">
        <f t="shared" si="3"/>
        <v>3.4313071620855689</v>
      </c>
      <c r="I37" s="41">
        <f t="shared" si="3"/>
        <v>1.0800925047608525</v>
      </c>
      <c r="J37" s="41">
        <f t="shared" si="3"/>
        <v>0.56858695305855</v>
      </c>
      <c r="K37" s="41">
        <f t="shared" si="3"/>
        <v>110.42742243375216</v>
      </c>
      <c r="L37" s="41">
        <f t="shared" si="3"/>
        <v>1.8846548524976725</v>
      </c>
      <c r="M37" s="41">
        <f t="shared" si="3"/>
        <v>10.620605613003228</v>
      </c>
      <c r="N37" s="41">
        <f t="shared" si="3"/>
        <v>253.8185435017748</v>
      </c>
      <c r="O37" s="41">
        <f t="shared" si="3"/>
        <v>0.40824829046386302</v>
      </c>
      <c r="P37" s="41">
        <f t="shared" si="3"/>
        <v>0.11194913441225098</v>
      </c>
      <c r="Q37" s="41">
        <f t="shared" si="3"/>
        <v>0.35553665885457475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132</v>
      </c>
      <c r="B9" s="51">
        <v>23.61</v>
      </c>
      <c r="C9" s="51">
        <v>26.56</v>
      </c>
      <c r="D9" s="51">
        <v>33.18</v>
      </c>
      <c r="E9" s="51">
        <v>7.69</v>
      </c>
      <c r="F9" s="51">
        <v>3.74</v>
      </c>
      <c r="G9" s="51">
        <v>60.03</v>
      </c>
      <c r="H9" s="51">
        <v>19.170000000000002</v>
      </c>
      <c r="I9" s="51">
        <v>5.8</v>
      </c>
      <c r="J9" s="51">
        <v>0.44</v>
      </c>
      <c r="K9" s="51">
        <v>296.01</v>
      </c>
      <c r="L9" s="51">
        <v>26.08</v>
      </c>
      <c r="M9" s="51">
        <v>73</v>
      </c>
      <c r="N9" s="51">
        <v>0</v>
      </c>
      <c r="O9" s="51">
        <v>0</v>
      </c>
      <c r="P9" s="51">
        <v>0.77</v>
      </c>
      <c r="Q9" s="51">
        <v>4.51</v>
      </c>
    </row>
    <row r="10" spans="1:21" customFormat="1">
      <c r="A10" s="50" t="s">
        <v>133</v>
      </c>
      <c r="B10" s="51">
        <v>22.36</v>
      </c>
      <c r="C10" s="51">
        <v>26.1</v>
      </c>
      <c r="D10" s="51">
        <v>32.92</v>
      </c>
      <c r="E10" s="51">
        <v>7.92</v>
      </c>
      <c r="F10" s="51">
        <v>3.51</v>
      </c>
      <c r="G10" s="51">
        <v>51.48</v>
      </c>
      <c r="H10" s="51">
        <v>12.78</v>
      </c>
      <c r="I10" s="51">
        <v>5.57</v>
      </c>
      <c r="J10" s="51">
        <v>0.43</v>
      </c>
      <c r="K10" s="51">
        <v>281.79000000000002</v>
      </c>
      <c r="L10" s="51">
        <v>26.01</v>
      </c>
      <c r="M10" s="51">
        <v>72.150000000000006</v>
      </c>
      <c r="N10" s="51">
        <v>0</v>
      </c>
      <c r="O10" s="51">
        <v>0</v>
      </c>
      <c r="P10" s="51">
        <v>0.74</v>
      </c>
      <c r="Q10" s="51">
        <v>4.43</v>
      </c>
    </row>
    <row r="11" spans="1:21" customFormat="1">
      <c r="A11" s="50" t="s">
        <v>134</v>
      </c>
      <c r="B11" s="51">
        <v>19.73</v>
      </c>
      <c r="C11" s="51">
        <v>27.09</v>
      </c>
      <c r="D11" s="51">
        <v>30.39</v>
      </c>
      <c r="E11" s="51">
        <v>7.85</v>
      </c>
      <c r="F11" s="51">
        <v>3.77</v>
      </c>
      <c r="G11" s="51">
        <v>39.68</v>
      </c>
      <c r="H11" s="51">
        <v>9</v>
      </c>
      <c r="I11" s="51">
        <v>5.3</v>
      </c>
      <c r="J11" s="51">
        <v>0.45</v>
      </c>
      <c r="K11" s="51">
        <v>313.89</v>
      </c>
      <c r="L11" s="51">
        <v>26</v>
      </c>
      <c r="M11" s="51">
        <v>70.150000000000006</v>
      </c>
      <c r="N11" s="51">
        <v>0</v>
      </c>
      <c r="O11" s="51">
        <v>0</v>
      </c>
      <c r="P11" s="51">
        <v>0.7</v>
      </c>
      <c r="Q11" s="51">
        <v>4.2300000000000004</v>
      </c>
    </row>
    <row r="12" spans="1:21" customFormat="1">
      <c r="A12" s="50" t="s">
        <v>135</v>
      </c>
      <c r="B12" s="51">
        <v>16.09</v>
      </c>
      <c r="C12" s="51">
        <v>28.21</v>
      </c>
      <c r="D12" s="51">
        <v>28.52</v>
      </c>
      <c r="E12" s="51">
        <v>7.93</v>
      </c>
      <c r="F12" s="51">
        <v>3.33</v>
      </c>
      <c r="G12" s="51">
        <v>37.5</v>
      </c>
      <c r="H12" s="51">
        <v>10.38</v>
      </c>
      <c r="I12" s="51">
        <v>4.8499999999999996</v>
      </c>
      <c r="J12" s="51">
        <v>0.41</v>
      </c>
      <c r="K12" s="51">
        <v>302.88</v>
      </c>
      <c r="L12" s="51">
        <v>25.8</v>
      </c>
      <c r="M12" s="51">
        <v>71.06</v>
      </c>
      <c r="N12" s="51">
        <v>0</v>
      </c>
      <c r="O12" s="51">
        <v>0</v>
      </c>
      <c r="P12" s="51">
        <v>0.66</v>
      </c>
      <c r="Q12" s="51">
        <v>4.07</v>
      </c>
    </row>
    <row r="13" spans="1:21" customFormat="1">
      <c r="A13" s="50" t="s">
        <v>136</v>
      </c>
      <c r="B13" s="51">
        <v>13.72</v>
      </c>
      <c r="C13" s="51">
        <v>28.94</v>
      </c>
      <c r="D13" s="51">
        <v>27.3</v>
      </c>
      <c r="E13" s="51">
        <v>8.0299999999999994</v>
      </c>
      <c r="F13" s="51">
        <v>2.89</v>
      </c>
      <c r="G13" s="51">
        <v>36.24</v>
      </c>
      <c r="H13" s="51">
        <v>10.38</v>
      </c>
      <c r="I13" s="51">
        <v>4.4800000000000004</v>
      </c>
      <c r="J13" s="51">
        <v>0.34</v>
      </c>
      <c r="K13" s="51">
        <v>297.02999999999997</v>
      </c>
      <c r="L13" s="51">
        <v>25.26</v>
      </c>
      <c r="M13" s="51">
        <v>72.38</v>
      </c>
      <c r="N13" s="51">
        <v>0</v>
      </c>
      <c r="O13" s="51">
        <v>0</v>
      </c>
      <c r="P13" s="51">
        <v>0.61</v>
      </c>
      <c r="Q13" s="51">
        <v>3.97</v>
      </c>
    </row>
    <row r="14" spans="1:21" customFormat="1">
      <c r="A14" s="50" t="s">
        <v>137</v>
      </c>
      <c r="B14" s="51">
        <v>12.51</v>
      </c>
      <c r="C14" s="51">
        <v>29.28</v>
      </c>
      <c r="D14" s="51">
        <v>26.5</v>
      </c>
      <c r="E14" s="51">
        <v>7.96</v>
      </c>
      <c r="F14" s="51">
        <v>2.7</v>
      </c>
      <c r="G14" s="51">
        <v>36.24</v>
      </c>
      <c r="H14" s="51">
        <v>10.31</v>
      </c>
      <c r="I14" s="51">
        <v>4.17</v>
      </c>
      <c r="J14" s="51">
        <v>0.44</v>
      </c>
      <c r="K14" s="51">
        <v>261.22000000000003</v>
      </c>
      <c r="L14" s="51">
        <v>24.14</v>
      </c>
      <c r="M14" s="51">
        <v>74.19</v>
      </c>
      <c r="N14" s="51">
        <v>0</v>
      </c>
      <c r="O14" s="51">
        <v>0</v>
      </c>
      <c r="P14" s="51">
        <v>0.56999999999999995</v>
      </c>
      <c r="Q14" s="51">
        <v>3.91</v>
      </c>
    </row>
    <row r="15" spans="1:21" customFormat="1">
      <c r="A15" s="50" t="s">
        <v>138</v>
      </c>
      <c r="B15" s="51">
        <v>11.78</v>
      </c>
      <c r="C15" s="51">
        <v>29.53</v>
      </c>
      <c r="D15" s="51">
        <v>25.91</v>
      </c>
      <c r="E15" s="51">
        <v>8.39</v>
      </c>
      <c r="F15" s="51">
        <v>2.82</v>
      </c>
      <c r="G15" s="51">
        <v>37.409999999999997</v>
      </c>
      <c r="H15" s="51">
        <v>12.04</v>
      </c>
      <c r="I15" s="51">
        <v>4</v>
      </c>
      <c r="J15" s="51">
        <v>0.52</v>
      </c>
      <c r="K15" s="51">
        <v>270.04000000000002</v>
      </c>
      <c r="L15" s="51">
        <v>24.54</v>
      </c>
      <c r="M15" s="51">
        <v>69.78</v>
      </c>
      <c r="N15" s="51">
        <v>57.5</v>
      </c>
      <c r="O15" s="51">
        <v>0</v>
      </c>
      <c r="P15" s="51">
        <v>0.55000000000000004</v>
      </c>
      <c r="Q15" s="51">
        <v>3.85</v>
      </c>
    </row>
    <row r="16" spans="1:21" customFormat="1">
      <c r="A16" s="50" t="s">
        <v>139</v>
      </c>
      <c r="B16" s="51">
        <v>11.78</v>
      </c>
      <c r="C16" s="51">
        <v>27.49</v>
      </c>
      <c r="D16" s="51">
        <v>24.95</v>
      </c>
      <c r="E16" s="51">
        <v>7.94</v>
      </c>
      <c r="F16" s="51">
        <v>3.69</v>
      </c>
      <c r="G16" s="51">
        <v>37.409999999999997</v>
      </c>
      <c r="H16" s="51">
        <v>12.04</v>
      </c>
      <c r="I16" s="51">
        <v>4.0599999999999996</v>
      </c>
      <c r="J16" s="51">
        <v>0.49</v>
      </c>
      <c r="K16" s="51">
        <v>308.67</v>
      </c>
      <c r="L16" s="51">
        <v>26.67</v>
      </c>
      <c r="M16" s="51">
        <v>63.03</v>
      </c>
      <c r="N16" s="51">
        <v>245.5</v>
      </c>
      <c r="O16" s="51">
        <v>0</v>
      </c>
      <c r="P16" s="51">
        <v>0.53</v>
      </c>
      <c r="Q16" s="51">
        <v>3.85</v>
      </c>
    </row>
    <row r="17" spans="1:17" customFormat="1">
      <c r="A17" s="50" t="s">
        <v>140</v>
      </c>
      <c r="B17" s="51">
        <v>11.49</v>
      </c>
      <c r="C17" s="51">
        <v>25.01</v>
      </c>
      <c r="D17" s="51">
        <v>23.15</v>
      </c>
      <c r="E17" s="51">
        <v>7.68</v>
      </c>
      <c r="F17" s="51">
        <v>3.74</v>
      </c>
      <c r="G17" s="51">
        <v>39.69</v>
      </c>
      <c r="H17" s="51">
        <v>10.83</v>
      </c>
      <c r="I17" s="51">
        <v>4.22</v>
      </c>
      <c r="J17" s="51">
        <v>0.85</v>
      </c>
      <c r="K17" s="51">
        <v>310.91000000000003</v>
      </c>
      <c r="L17" s="51">
        <v>28.63</v>
      </c>
      <c r="M17" s="51">
        <v>55.44</v>
      </c>
      <c r="N17" s="51">
        <v>507.4</v>
      </c>
      <c r="O17" s="51">
        <v>0</v>
      </c>
      <c r="P17" s="51">
        <v>0.52</v>
      </c>
      <c r="Q17" s="51">
        <v>3.74</v>
      </c>
    </row>
    <row r="18" spans="1:17" customFormat="1">
      <c r="A18" s="50" t="s">
        <v>141</v>
      </c>
      <c r="B18" s="51">
        <v>10.3</v>
      </c>
      <c r="C18" s="51">
        <v>23.92</v>
      </c>
      <c r="D18" s="51">
        <v>22.1</v>
      </c>
      <c r="E18" s="51">
        <v>7.97</v>
      </c>
      <c r="F18" s="51">
        <v>4.8</v>
      </c>
      <c r="G18" s="51">
        <v>44.83</v>
      </c>
      <c r="H18" s="51">
        <v>11.05</v>
      </c>
      <c r="I18" s="51">
        <v>4.3</v>
      </c>
      <c r="J18" s="51">
        <v>0.77</v>
      </c>
      <c r="K18" s="51">
        <v>326.72000000000003</v>
      </c>
      <c r="L18" s="51">
        <v>30.24</v>
      </c>
      <c r="M18" s="51">
        <v>50.98</v>
      </c>
      <c r="N18" s="51">
        <v>550.29999999999995</v>
      </c>
      <c r="O18" s="51">
        <v>0</v>
      </c>
      <c r="P18" s="51">
        <v>0.54</v>
      </c>
      <c r="Q18" s="51">
        <v>3.67</v>
      </c>
    </row>
    <row r="19" spans="1:17" customFormat="1">
      <c r="A19" s="50" t="s">
        <v>142</v>
      </c>
      <c r="B19" s="51">
        <v>8.9499999999999993</v>
      </c>
      <c r="C19" s="51">
        <v>23.77</v>
      </c>
      <c r="D19" s="51">
        <v>20.89</v>
      </c>
      <c r="E19" s="51">
        <v>7.28</v>
      </c>
      <c r="F19" s="51">
        <v>7.19</v>
      </c>
      <c r="G19" s="51">
        <v>53.65</v>
      </c>
      <c r="H19" s="51">
        <v>14.48</v>
      </c>
      <c r="I19" s="51">
        <v>4.3499999999999996</v>
      </c>
      <c r="J19" s="51">
        <v>0.93</v>
      </c>
      <c r="K19" s="51">
        <v>318.36</v>
      </c>
      <c r="L19" s="51">
        <v>30.98</v>
      </c>
      <c r="M19" s="51">
        <v>49.89</v>
      </c>
      <c r="N19" s="51">
        <v>763</v>
      </c>
      <c r="O19" s="51">
        <v>0</v>
      </c>
      <c r="P19" s="51">
        <v>0.56000000000000005</v>
      </c>
      <c r="Q19" s="51">
        <v>3.57</v>
      </c>
    </row>
    <row r="20" spans="1:17" customFormat="1">
      <c r="A20" s="50" t="s">
        <v>143</v>
      </c>
      <c r="B20" s="51">
        <v>7.04</v>
      </c>
      <c r="C20" s="51">
        <v>24.17</v>
      </c>
      <c r="D20" s="51">
        <v>19.2</v>
      </c>
      <c r="E20" s="51">
        <v>7.22</v>
      </c>
      <c r="F20" s="51">
        <v>10.61</v>
      </c>
      <c r="G20" s="51">
        <v>53.65</v>
      </c>
      <c r="H20" s="51">
        <v>16.79</v>
      </c>
      <c r="I20" s="51">
        <v>4.3600000000000003</v>
      </c>
      <c r="J20" s="51">
        <v>0.93</v>
      </c>
      <c r="K20" s="51">
        <v>328.72</v>
      </c>
      <c r="L20" s="51">
        <v>31.36</v>
      </c>
      <c r="M20" s="51">
        <v>48.56</v>
      </c>
      <c r="N20" s="51">
        <v>840.7</v>
      </c>
      <c r="O20" s="51">
        <v>0</v>
      </c>
      <c r="P20" s="51">
        <v>0.56999999999999995</v>
      </c>
      <c r="Q20" s="51">
        <v>3.46</v>
      </c>
    </row>
    <row r="21" spans="1:17" customFormat="1">
      <c r="A21" s="50" t="s">
        <v>144</v>
      </c>
      <c r="B21" s="51">
        <v>5.23</v>
      </c>
      <c r="C21" s="51">
        <v>24.26</v>
      </c>
      <c r="D21" s="51">
        <v>18.22</v>
      </c>
      <c r="E21" s="51">
        <v>7.42</v>
      </c>
      <c r="F21" s="51">
        <v>10.44</v>
      </c>
      <c r="G21" s="51">
        <v>56.21</v>
      </c>
      <c r="H21" s="51">
        <v>16.79</v>
      </c>
      <c r="I21" s="51">
        <v>4.2699999999999996</v>
      </c>
      <c r="J21" s="51">
        <v>1.06</v>
      </c>
      <c r="K21" s="51">
        <v>320.14999999999998</v>
      </c>
      <c r="L21" s="51">
        <v>32.049999999999997</v>
      </c>
      <c r="M21" s="51">
        <v>46.7</v>
      </c>
      <c r="N21" s="51">
        <v>850.2</v>
      </c>
      <c r="O21" s="51">
        <v>0</v>
      </c>
      <c r="P21" s="51">
        <v>0.56999999999999995</v>
      </c>
      <c r="Q21" s="51">
        <v>3.36</v>
      </c>
    </row>
    <row r="22" spans="1:17" customFormat="1">
      <c r="A22" s="50" t="s">
        <v>145</v>
      </c>
      <c r="B22" s="51">
        <v>5.17</v>
      </c>
      <c r="C22" s="51">
        <v>24.51</v>
      </c>
      <c r="D22" s="51">
        <v>18.3</v>
      </c>
      <c r="E22" s="51">
        <v>7.17</v>
      </c>
      <c r="F22" s="51">
        <v>10.34</v>
      </c>
      <c r="G22" s="51">
        <v>56.21</v>
      </c>
      <c r="H22" s="51">
        <v>14.82</v>
      </c>
      <c r="I22" s="51">
        <v>4.1100000000000003</v>
      </c>
      <c r="J22" s="51">
        <v>0.62</v>
      </c>
      <c r="K22" s="51">
        <v>339.32</v>
      </c>
      <c r="L22" s="51">
        <v>32.520000000000003</v>
      </c>
      <c r="M22" s="51">
        <v>47.77</v>
      </c>
      <c r="N22" s="51">
        <v>744.5</v>
      </c>
      <c r="O22" s="51">
        <v>0</v>
      </c>
      <c r="P22" s="51">
        <v>0.56999999999999995</v>
      </c>
      <c r="Q22" s="51">
        <v>3.4</v>
      </c>
    </row>
    <row r="23" spans="1:17" customFormat="1">
      <c r="A23" s="50" t="s">
        <v>146</v>
      </c>
      <c r="B23" s="51">
        <v>5.38</v>
      </c>
      <c r="C23" s="51">
        <v>24.89</v>
      </c>
      <c r="D23" s="51">
        <v>18.600000000000001</v>
      </c>
      <c r="E23" s="51">
        <v>7.07</v>
      </c>
      <c r="F23" s="51">
        <v>9.39</v>
      </c>
      <c r="G23" s="51">
        <v>53.04</v>
      </c>
      <c r="H23" s="51">
        <v>14.41</v>
      </c>
      <c r="I23" s="51">
        <v>4.01</v>
      </c>
      <c r="J23" s="51">
        <v>0.83</v>
      </c>
      <c r="K23" s="51">
        <v>329.2</v>
      </c>
      <c r="L23" s="51">
        <v>32.520000000000003</v>
      </c>
      <c r="M23" s="51">
        <v>45.89</v>
      </c>
      <c r="N23" s="51">
        <v>652.20000000000005</v>
      </c>
      <c r="O23" s="51">
        <v>0</v>
      </c>
      <c r="P23" s="51">
        <v>0.53</v>
      </c>
      <c r="Q23" s="51">
        <v>3.43</v>
      </c>
    </row>
    <row r="24" spans="1:17" customFormat="1">
      <c r="A24" s="50" t="s">
        <v>147</v>
      </c>
      <c r="B24" s="51">
        <v>5.36</v>
      </c>
      <c r="C24" s="51">
        <v>25.25</v>
      </c>
      <c r="D24" s="51">
        <v>18.84</v>
      </c>
      <c r="E24" s="51">
        <v>7.41</v>
      </c>
      <c r="F24" s="51">
        <v>11.51</v>
      </c>
      <c r="G24" s="51">
        <v>50.07</v>
      </c>
      <c r="H24" s="51">
        <v>14.41</v>
      </c>
      <c r="I24" s="51">
        <v>3.86</v>
      </c>
      <c r="J24" s="51">
        <v>0.86</v>
      </c>
      <c r="K24" s="51">
        <v>320.86</v>
      </c>
      <c r="L24" s="51">
        <v>31.65</v>
      </c>
      <c r="M24" s="51">
        <v>44.04</v>
      </c>
      <c r="N24" s="51">
        <v>398</v>
      </c>
      <c r="O24" s="51">
        <v>0</v>
      </c>
      <c r="P24" s="51">
        <v>0.54</v>
      </c>
      <c r="Q24" s="51">
        <v>3.45</v>
      </c>
    </row>
    <row r="25" spans="1:17" customFormat="1">
      <c r="A25" s="50" t="s">
        <v>148</v>
      </c>
      <c r="B25" s="51">
        <v>5.7</v>
      </c>
      <c r="C25" s="51">
        <v>25.84</v>
      </c>
      <c r="D25" s="51">
        <v>19.18</v>
      </c>
      <c r="E25" s="51">
        <v>7.5</v>
      </c>
      <c r="F25" s="51">
        <v>9.1</v>
      </c>
      <c r="G25" s="51">
        <v>52.52</v>
      </c>
      <c r="H25" s="51">
        <v>13.67</v>
      </c>
      <c r="I25" s="51">
        <v>3.71</v>
      </c>
      <c r="J25" s="51">
        <v>0.67</v>
      </c>
      <c r="K25" s="51">
        <v>314.89</v>
      </c>
      <c r="L25" s="51">
        <v>31.1</v>
      </c>
      <c r="M25" s="51">
        <v>46.62</v>
      </c>
      <c r="N25" s="51">
        <v>42.7</v>
      </c>
      <c r="O25" s="51">
        <v>0</v>
      </c>
      <c r="P25" s="51">
        <v>0.54</v>
      </c>
      <c r="Q25" s="51">
        <v>3.44</v>
      </c>
    </row>
    <row r="26" spans="1:17" customFormat="1">
      <c r="A26" s="50" t="s">
        <v>149</v>
      </c>
      <c r="B26" s="51">
        <v>6.32</v>
      </c>
      <c r="C26" s="51">
        <v>25.36</v>
      </c>
      <c r="D26" s="51">
        <v>19.670000000000002</v>
      </c>
      <c r="E26" s="51">
        <v>7.28</v>
      </c>
      <c r="F26" s="51">
        <v>8.35</v>
      </c>
      <c r="G26" s="51">
        <v>55.15</v>
      </c>
      <c r="H26" s="51">
        <v>18.46</v>
      </c>
      <c r="I26" s="51">
        <v>3.81</v>
      </c>
      <c r="J26" s="51">
        <v>0.43</v>
      </c>
      <c r="K26" s="51">
        <v>295.64999999999998</v>
      </c>
      <c r="L26" s="51">
        <v>30.09</v>
      </c>
      <c r="M26" s="51">
        <v>55.8</v>
      </c>
      <c r="N26" s="51">
        <v>10.5</v>
      </c>
      <c r="O26" s="51">
        <v>0</v>
      </c>
      <c r="P26" s="51">
        <v>0.57999999999999996</v>
      </c>
      <c r="Q26" s="51">
        <v>3.44</v>
      </c>
    </row>
    <row r="27" spans="1:17" customFormat="1">
      <c r="A27" s="50" t="s">
        <v>150</v>
      </c>
      <c r="B27" s="51">
        <v>7.15</v>
      </c>
      <c r="C27" s="51">
        <v>25.8</v>
      </c>
      <c r="D27" s="51">
        <v>20.56</v>
      </c>
      <c r="E27" s="51">
        <v>5.46</v>
      </c>
      <c r="F27" s="51">
        <v>7.9</v>
      </c>
      <c r="G27" s="51">
        <v>58.02</v>
      </c>
      <c r="H27" s="51">
        <v>18.46</v>
      </c>
      <c r="I27" s="51">
        <v>4.08</v>
      </c>
      <c r="J27" s="51">
        <v>0.42</v>
      </c>
      <c r="K27" s="51">
        <v>262.95</v>
      </c>
      <c r="L27" s="51">
        <v>28.52</v>
      </c>
      <c r="M27" s="51">
        <v>57.07</v>
      </c>
      <c r="N27" s="51">
        <v>0</v>
      </c>
      <c r="O27" s="51">
        <v>0</v>
      </c>
      <c r="P27" s="51">
        <v>0.61</v>
      </c>
      <c r="Q27" s="51">
        <v>3.47</v>
      </c>
    </row>
    <row r="28" spans="1:17" customFormat="1">
      <c r="A28" s="50" t="s">
        <v>151</v>
      </c>
      <c r="B28" s="51">
        <v>8.4700000000000006</v>
      </c>
      <c r="C28" s="51">
        <v>25.93</v>
      </c>
      <c r="D28" s="51">
        <v>21.55</v>
      </c>
      <c r="E28" s="51">
        <v>5.78</v>
      </c>
      <c r="F28" s="51">
        <v>6.71</v>
      </c>
      <c r="G28" s="51">
        <v>58.02</v>
      </c>
      <c r="H28" s="51">
        <v>16.059999999999999</v>
      </c>
      <c r="I28" s="51">
        <v>4.38</v>
      </c>
      <c r="J28" s="51">
        <v>0.38</v>
      </c>
      <c r="K28" s="51">
        <v>282.54000000000002</v>
      </c>
      <c r="L28" s="51">
        <v>27.73</v>
      </c>
      <c r="M28" s="51">
        <v>57.69</v>
      </c>
      <c r="N28" s="51">
        <v>0</v>
      </c>
      <c r="O28" s="51">
        <v>0</v>
      </c>
      <c r="P28" s="51">
        <v>0.64</v>
      </c>
      <c r="Q28" s="51">
        <v>3.61</v>
      </c>
    </row>
    <row r="29" spans="1:17" customFormat="1">
      <c r="A29" s="50" t="s">
        <v>152</v>
      </c>
      <c r="B29" s="51">
        <v>9.82</v>
      </c>
      <c r="C29" s="51">
        <v>26.35</v>
      </c>
      <c r="D29" s="51">
        <v>22.84</v>
      </c>
      <c r="E29" s="51">
        <v>5.29</v>
      </c>
      <c r="F29" s="51">
        <v>5.28</v>
      </c>
      <c r="G29" s="51">
        <v>56.82</v>
      </c>
      <c r="H29" s="51">
        <v>16.05</v>
      </c>
      <c r="I29" s="51">
        <v>4.62</v>
      </c>
      <c r="J29" s="51">
        <v>0.32</v>
      </c>
      <c r="K29" s="51">
        <v>283.14</v>
      </c>
      <c r="L29" s="51">
        <v>27.27</v>
      </c>
      <c r="M29" s="51">
        <v>58.94</v>
      </c>
      <c r="N29" s="51">
        <v>0</v>
      </c>
      <c r="O29" s="51">
        <v>0</v>
      </c>
      <c r="P29" s="51">
        <v>0.67</v>
      </c>
      <c r="Q29" s="51">
        <v>3.68</v>
      </c>
    </row>
    <row r="30" spans="1:17" customFormat="1">
      <c r="A30" s="50" t="s">
        <v>153</v>
      </c>
      <c r="B30" s="51">
        <v>10.65</v>
      </c>
      <c r="C30" s="51">
        <v>26.65</v>
      </c>
      <c r="D30" s="51">
        <v>23.8</v>
      </c>
      <c r="E30" s="51">
        <v>5.12</v>
      </c>
      <c r="F30" s="51">
        <v>3.11</v>
      </c>
      <c r="G30" s="51">
        <v>61.73</v>
      </c>
      <c r="H30" s="51">
        <v>16.89</v>
      </c>
      <c r="I30" s="51">
        <v>4.82</v>
      </c>
      <c r="J30" s="51">
        <v>0.21</v>
      </c>
      <c r="K30" s="51">
        <v>195.4</v>
      </c>
      <c r="L30" s="51">
        <v>25.83</v>
      </c>
      <c r="M30" s="51">
        <v>76.5</v>
      </c>
      <c r="N30" s="51">
        <v>0</v>
      </c>
      <c r="O30" s="51">
        <v>0</v>
      </c>
      <c r="P30" s="51">
        <v>0.71</v>
      </c>
      <c r="Q30" s="51">
        <v>3.76</v>
      </c>
    </row>
    <row r="31" spans="1:17" customFormat="1">
      <c r="A31" s="50" t="s">
        <v>154</v>
      </c>
      <c r="B31" s="51">
        <v>10.71</v>
      </c>
      <c r="C31" s="51">
        <v>26.93</v>
      </c>
      <c r="D31" s="51">
        <v>23.96</v>
      </c>
      <c r="E31" s="51">
        <v>5.12</v>
      </c>
      <c r="F31" s="51">
        <v>2.98</v>
      </c>
      <c r="G31" s="51">
        <v>63.93</v>
      </c>
      <c r="H31" s="51">
        <v>16.89</v>
      </c>
      <c r="I31" s="51">
        <v>5.9</v>
      </c>
      <c r="J31" s="51">
        <v>0.15</v>
      </c>
      <c r="K31" s="51">
        <v>200.98</v>
      </c>
      <c r="L31" s="51">
        <v>24.27</v>
      </c>
      <c r="M31" s="51">
        <v>84.21</v>
      </c>
      <c r="N31" s="51">
        <v>0</v>
      </c>
      <c r="O31" s="51">
        <v>0</v>
      </c>
      <c r="P31" s="51">
        <v>0.77</v>
      </c>
      <c r="Q31" s="51">
        <v>3.82</v>
      </c>
    </row>
    <row r="32" spans="1:17" customFormat="1">
      <c r="A32" s="50" t="s">
        <v>155</v>
      </c>
      <c r="B32" s="51">
        <v>10.73</v>
      </c>
      <c r="C32" s="51">
        <v>27.39</v>
      </c>
      <c r="D32" s="51">
        <v>24.25</v>
      </c>
      <c r="E32" s="51">
        <v>5.34</v>
      </c>
      <c r="F32" s="51">
        <v>2.73</v>
      </c>
      <c r="G32" s="51">
        <v>63.93</v>
      </c>
      <c r="H32" s="51">
        <v>17.89</v>
      </c>
      <c r="I32" s="51">
        <v>6.77</v>
      </c>
      <c r="J32" s="51">
        <v>0.18</v>
      </c>
      <c r="K32" s="51">
        <v>225.24</v>
      </c>
      <c r="L32" s="51">
        <v>24.22</v>
      </c>
      <c r="M32" s="51">
        <v>82.67</v>
      </c>
      <c r="N32" s="51">
        <v>0</v>
      </c>
      <c r="O32" s="51">
        <v>0</v>
      </c>
      <c r="P32" s="51">
        <v>0.8</v>
      </c>
      <c r="Q32" s="51">
        <v>3.84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5.17</v>
      </c>
      <c r="C34" s="41">
        <f t="shared" si="0"/>
        <v>23.77</v>
      </c>
      <c r="D34" s="41">
        <f t="shared" si="0"/>
        <v>18.22</v>
      </c>
      <c r="E34" s="41">
        <f t="shared" si="0"/>
        <v>5.12</v>
      </c>
      <c r="F34" s="41">
        <f t="shared" si="0"/>
        <v>2.7</v>
      </c>
      <c r="G34" s="41">
        <f t="shared" si="0"/>
        <v>36.24</v>
      </c>
      <c r="H34" s="41">
        <f t="shared" si="0"/>
        <v>9</v>
      </c>
      <c r="I34" s="41">
        <f t="shared" si="0"/>
        <v>3.71</v>
      </c>
      <c r="J34" s="41">
        <f t="shared" si="0"/>
        <v>0.15</v>
      </c>
      <c r="K34" s="41">
        <f t="shared" si="0"/>
        <v>195.4</v>
      </c>
      <c r="L34" s="41">
        <f t="shared" si="0"/>
        <v>24.14</v>
      </c>
      <c r="M34" s="41">
        <f t="shared" si="0"/>
        <v>44.04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3.36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23.61</v>
      </c>
      <c r="C35" s="33">
        <f t="shared" si="1"/>
        <v>29.53</v>
      </c>
      <c r="D35" s="33">
        <f t="shared" si="1"/>
        <v>33.18</v>
      </c>
      <c r="E35" s="33">
        <f t="shared" si="1"/>
        <v>8.39</v>
      </c>
      <c r="F35" s="33">
        <f t="shared" si="1"/>
        <v>11.51</v>
      </c>
      <c r="G35" s="33">
        <f t="shared" si="1"/>
        <v>63.93</v>
      </c>
      <c r="H35" s="33">
        <f t="shared" si="1"/>
        <v>19.170000000000002</v>
      </c>
      <c r="I35" s="33">
        <f t="shared" si="1"/>
        <v>6.77</v>
      </c>
      <c r="J35" s="33">
        <f t="shared" si="1"/>
        <v>1.06</v>
      </c>
      <c r="K35" s="33">
        <f t="shared" si="1"/>
        <v>339.32</v>
      </c>
      <c r="L35" s="33">
        <f t="shared" si="1"/>
        <v>32.520000000000003</v>
      </c>
      <c r="M35" s="33">
        <f t="shared" si="1"/>
        <v>84.21</v>
      </c>
      <c r="N35" s="33">
        <f t="shared" si="1"/>
        <v>850.2</v>
      </c>
      <c r="O35" s="33">
        <f t="shared" si="1"/>
        <v>0</v>
      </c>
      <c r="P35" s="33">
        <f t="shared" si="1"/>
        <v>0.8</v>
      </c>
      <c r="Q35" s="33">
        <f t="shared" si="1"/>
        <v>4.51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10.835416666666667</v>
      </c>
      <c r="C36" s="41">
        <f t="shared" si="2"/>
        <v>26.217916666666664</v>
      </c>
      <c r="D36" s="41">
        <f t="shared" si="2"/>
        <v>23.532500000000002</v>
      </c>
      <c r="E36" s="41">
        <f t="shared" si="2"/>
        <v>7.0758333333333345</v>
      </c>
      <c r="F36" s="41">
        <f t="shared" si="2"/>
        <v>5.8595833333333323</v>
      </c>
      <c r="G36" s="41">
        <f t="shared" si="2"/>
        <v>50.560833333333335</v>
      </c>
      <c r="H36" s="41">
        <f t="shared" si="2"/>
        <v>14.335416666666662</v>
      </c>
      <c r="I36" s="41">
        <f t="shared" si="2"/>
        <v>4.5750000000000002</v>
      </c>
      <c r="J36" s="41">
        <f t="shared" si="2"/>
        <v>0.54708333333333325</v>
      </c>
      <c r="K36" s="41">
        <f t="shared" si="2"/>
        <v>291.10666666666663</v>
      </c>
      <c r="L36" s="41">
        <f t="shared" si="2"/>
        <v>28.061666666666667</v>
      </c>
      <c r="M36" s="41">
        <f t="shared" si="2"/>
        <v>61.437916666666673</v>
      </c>
      <c r="N36" s="41">
        <f t="shared" si="2"/>
        <v>235.93749999999997</v>
      </c>
      <c r="O36" s="41">
        <f t="shared" si="2"/>
        <v>0</v>
      </c>
      <c r="P36" s="41">
        <f t="shared" si="2"/>
        <v>0.61875000000000002</v>
      </c>
      <c r="Q36" s="41">
        <f t="shared" si="2"/>
        <v>3.7483333333333335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5.2112153127875898</v>
      </c>
      <c r="C37" s="41">
        <f t="shared" ref="C37:Q37" si="3">STDEV(C9:C32)</f>
        <v>1.6659218081935132</v>
      </c>
      <c r="D37" s="41">
        <f t="shared" si="3"/>
        <v>4.4796265857575346</v>
      </c>
      <c r="E37" s="41">
        <f t="shared" si="3"/>
        <v>1.0716785560681092</v>
      </c>
      <c r="F37" s="41">
        <f t="shared" si="3"/>
        <v>3.0680293620933097</v>
      </c>
      <c r="G37" s="41">
        <f t="shared" si="3"/>
        <v>9.4026818175623692</v>
      </c>
      <c r="H37" s="41">
        <f t="shared" si="3"/>
        <v>3.0485805380704005</v>
      </c>
      <c r="I37" s="41">
        <f t="shared" si="3"/>
        <v>0.76758231395444121</v>
      </c>
      <c r="J37" s="41">
        <f t="shared" si="3"/>
        <v>0.2573523919127011</v>
      </c>
      <c r="K37" s="41">
        <f t="shared" si="3"/>
        <v>38.958418598682236</v>
      </c>
      <c r="L37" s="41">
        <f t="shared" si="3"/>
        <v>2.9227572846419405</v>
      </c>
      <c r="M37" s="41">
        <f t="shared" si="3"/>
        <v>12.59973118387037</v>
      </c>
      <c r="N37" s="41">
        <f t="shared" si="3"/>
        <v>325.6854588369369</v>
      </c>
      <c r="O37" s="41">
        <f t="shared" si="3"/>
        <v>0</v>
      </c>
      <c r="P37" s="41">
        <f t="shared" si="3"/>
        <v>8.7591566995319989E-2</v>
      </c>
      <c r="Q37" s="41">
        <f t="shared" si="3"/>
        <v>0.32066055012395878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156</v>
      </c>
      <c r="B9" s="51">
        <v>10.28</v>
      </c>
      <c r="C9" s="51">
        <v>28.48</v>
      </c>
      <c r="D9" s="51">
        <v>24.47</v>
      </c>
      <c r="E9" s="51">
        <v>5.24</v>
      </c>
      <c r="F9" s="51">
        <v>2.66</v>
      </c>
      <c r="G9" s="51">
        <v>62</v>
      </c>
      <c r="H9" s="51">
        <v>18.079999999999998</v>
      </c>
      <c r="I9" s="51">
        <v>7</v>
      </c>
      <c r="J9" s="51">
        <v>0.31</v>
      </c>
      <c r="K9" s="51">
        <v>255.2</v>
      </c>
      <c r="L9" s="51">
        <v>24.54</v>
      </c>
      <c r="M9" s="51">
        <v>76.760000000000005</v>
      </c>
      <c r="N9" s="51">
        <v>0</v>
      </c>
      <c r="O9" s="51">
        <v>0</v>
      </c>
      <c r="P9" s="51">
        <v>0.82</v>
      </c>
      <c r="Q9" s="51">
        <v>3.87</v>
      </c>
    </row>
    <row r="10" spans="1:21" customFormat="1">
      <c r="A10" s="50" t="s">
        <v>157</v>
      </c>
      <c r="B10" s="51">
        <v>10.93</v>
      </c>
      <c r="C10" s="51">
        <v>30.5</v>
      </c>
      <c r="D10" s="51">
        <v>26.05</v>
      </c>
      <c r="E10" s="51">
        <v>5.9</v>
      </c>
      <c r="F10" s="51">
        <v>2.4900000000000002</v>
      </c>
      <c r="G10" s="51">
        <v>63.29</v>
      </c>
      <c r="H10" s="51">
        <v>18.37</v>
      </c>
      <c r="I10" s="51">
        <v>7.39</v>
      </c>
      <c r="J10" s="51">
        <v>0.4</v>
      </c>
      <c r="K10" s="51">
        <v>261.14</v>
      </c>
      <c r="L10" s="51">
        <v>24.66</v>
      </c>
      <c r="M10" s="51">
        <v>77.22</v>
      </c>
      <c r="N10" s="51">
        <v>0</v>
      </c>
      <c r="O10" s="51">
        <v>0</v>
      </c>
      <c r="P10" s="51">
        <v>0.82</v>
      </c>
      <c r="Q10" s="51">
        <v>3.96</v>
      </c>
    </row>
    <row r="11" spans="1:21" customFormat="1">
      <c r="A11" s="50" t="s">
        <v>158</v>
      </c>
      <c r="B11" s="51">
        <v>11.42</v>
      </c>
      <c r="C11" s="51">
        <v>30.28</v>
      </c>
      <c r="D11" s="51">
        <v>25.9</v>
      </c>
      <c r="E11" s="51">
        <v>6.95</v>
      </c>
      <c r="F11" s="51">
        <v>3.09</v>
      </c>
      <c r="G11" s="51">
        <v>63.29</v>
      </c>
      <c r="H11" s="51">
        <v>19.77</v>
      </c>
      <c r="I11" s="51">
        <v>7.92</v>
      </c>
      <c r="J11" s="51">
        <v>0.4</v>
      </c>
      <c r="K11" s="51">
        <v>264.36</v>
      </c>
      <c r="L11" s="51">
        <v>24.37</v>
      </c>
      <c r="M11" s="51">
        <v>82.8</v>
      </c>
      <c r="N11" s="51">
        <v>0</v>
      </c>
      <c r="O11" s="51">
        <v>0</v>
      </c>
      <c r="P11" s="51">
        <v>0.8</v>
      </c>
      <c r="Q11" s="51">
        <v>3.95</v>
      </c>
    </row>
    <row r="12" spans="1:21" customFormat="1">
      <c r="A12" s="50" t="s">
        <v>159</v>
      </c>
      <c r="B12" s="51">
        <v>12.37</v>
      </c>
      <c r="C12" s="51">
        <v>26.8</v>
      </c>
      <c r="D12" s="51">
        <v>25.27</v>
      </c>
      <c r="E12" s="51">
        <v>6.56</v>
      </c>
      <c r="F12" s="51">
        <v>3.26</v>
      </c>
      <c r="G12" s="51">
        <v>60.54</v>
      </c>
      <c r="H12" s="51">
        <v>19.77</v>
      </c>
      <c r="I12" s="51">
        <v>8.18</v>
      </c>
      <c r="J12" s="51">
        <v>0.47</v>
      </c>
      <c r="K12" s="51">
        <v>267.02</v>
      </c>
      <c r="L12" s="51">
        <v>23.9</v>
      </c>
      <c r="M12" s="51">
        <v>86.44</v>
      </c>
      <c r="N12" s="51">
        <v>0</v>
      </c>
      <c r="O12" s="51">
        <v>0</v>
      </c>
      <c r="P12" s="51">
        <v>0.75</v>
      </c>
      <c r="Q12" s="51">
        <v>3.9</v>
      </c>
    </row>
    <row r="13" spans="1:21" customFormat="1">
      <c r="A13" s="50" t="s">
        <v>160</v>
      </c>
      <c r="B13" s="51">
        <v>13.53</v>
      </c>
      <c r="C13" s="51">
        <v>25.82</v>
      </c>
      <c r="D13" s="51">
        <v>25.45</v>
      </c>
      <c r="E13" s="51">
        <v>6.25</v>
      </c>
      <c r="F13" s="51">
        <v>2.99</v>
      </c>
      <c r="G13" s="51">
        <v>59.25</v>
      </c>
      <c r="H13" s="51">
        <v>18.07</v>
      </c>
      <c r="I13" s="51">
        <v>8.23</v>
      </c>
      <c r="J13" s="51">
        <v>0.14000000000000001</v>
      </c>
      <c r="K13" s="51">
        <v>188.95</v>
      </c>
      <c r="L13" s="51">
        <v>22.84</v>
      </c>
      <c r="M13" s="51">
        <v>90.27</v>
      </c>
      <c r="N13" s="51">
        <v>0</v>
      </c>
      <c r="O13" s="51">
        <v>0</v>
      </c>
      <c r="P13" s="51">
        <v>0.74</v>
      </c>
      <c r="Q13" s="51">
        <v>3.93</v>
      </c>
    </row>
    <row r="14" spans="1:21" customFormat="1">
      <c r="A14" s="50" t="s">
        <v>161</v>
      </c>
      <c r="B14" s="51">
        <v>14.18</v>
      </c>
      <c r="C14" s="51">
        <v>25.62</v>
      </c>
      <c r="D14" s="51">
        <v>26.1</v>
      </c>
      <c r="E14" s="51">
        <v>6.59</v>
      </c>
      <c r="F14" s="51">
        <v>3.04</v>
      </c>
      <c r="G14" s="51">
        <v>58.22</v>
      </c>
      <c r="H14" s="51">
        <v>19.8</v>
      </c>
      <c r="I14" s="51">
        <v>8.35</v>
      </c>
      <c r="J14" s="51">
        <v>0.14000000000000001</v>
      </c>
      <c r="K14" s="51">
        <v>215.13</v>
      </c>
      <c r="L14" s="51">
        <v>22.5</v>
      </c>
      <c r="M14" s="51">
        <v>95.73</v>
      </c>
      <c r="N14" s="51">
        <v>0.4</v>
      </c>
      <c r="O14" s="51">
        <v>0</v>
      </c>
      <c r="P14" s="51">
        <v>0.74</v>
      </c>
      <c r="Q14" s="51">
        <v>3.97</v>
      </c>
    </row>
    <row r="15" spans="1:21" customFormat="1">
      <c r="A15" s="50" t="s">
        <v>162</v>
      </c>
      <c r="B15" s="51">
        <v>15.31</v>
      </c>
      <c r="C15" s="51">
        <v>26.32</v>
      </c>
      <c r="D15" s="51">
        <v>27.38</v>
      </c>
      <c r="E15" s="51">
        <v>6.73</v>
      </c>
      <c r="F15" s="51">
        <v>2.94</v>
      </c>
      <c r="G15" s="51">
        <v>56.45</v>
      </c>
      <c r="H15" s="51">
        <v>19.8</v>
      </c>
      <c r="I15" s="51">
        <v>8.35</v>
      </c>
      <c r="J15" s="51">
        <v>0.4</v>
      </c>
      <c r="K15" s="51">
        <v>265.63</v>
      </c>
      <c r="L15" s="51">
        <v>23.91</v>
      </c>
      <c r="M15" s="51">
        <v>88.36</v>
      </c>
      <c r="N15" s="51">
        <v>39.5</v>
      </c>
      <c r="O15" s="51">
        <v>0</v>
      </c>
      <c r="P15" s="51">
        <v>0.75</v>
      </c>
      <c r="Q15" s="51">
        <v>4.03</v>
      </c>
    </row>
    <row r="16" spans="1:21" customFormat="1">
      <c r="A16" s="50" t="s">
        <v>163</v>
      </c>
      <c r="B16" s="51">
        <v>15.45</v>
      </c>
      <c r="C16" s="51">
        <v>26.24</v>
      </c>
      <c r="D16" s="51">
        <v>26.83</v>
      </c>
      <c r="E16" s="51">
        <v>6.56</v>
      </c>
      <c r="F16" s="51">
        <v>3.12</v>
      </c>
      <c r="G16" s="51">
        <v>54.7</v>
      </c>
      <c r="H16" s="51">
        <v>17.2</v>
      </c>
      <c r="I16" s="51">
        <v>8.33</v>
      </c>
      <c r="J16" s="51">
        <v>0.4</v>
      </c>
      <c r="K16" s="51">
        <v>269.63</v>
      </c>
      <c r="L16" s="51">
        <v>26.19</v>
      </c>
      <c r="M16" s="51">
        <v>72.22</v>
      </c>
      <c r="N16" s="51">
        <v>227.1</v>
      </c>
      <c r="O16" s="51">
        <v>0</v>
      </c>
      <c r="P16" s="51">
        <v>0.73</v>
      </c>
      <c r="Q16" s="51">
        <v>4.0599999999999996</v>
      </c>
    </row>
    <row r="17" spans="1:17" customFormat="1">
      <c r="A17" s="50" t="s">
        <v>164</v>
      </c>
      <c r="B17" s="51">
        <v>12.44</v>
      </c>
      <c r="C17" s="51">
        <v>29.12</v>
      </c>
      <c r="D17" s="51">
        <v>25.45</v>
      </c>
      <c r="E17" s="51">
        <v>6.45</v>
      </c>
      <c r="F17" s="51">
        <v>3.7</v>
      </c>
      <c r="G17" s="51">
        <v>54.7</v>
      </c>
      <c r="H17" s="51">
        <v>15.24</v>
      </c>
      <c r="I17" s="51">
        <v>7.86</v>
      </c>
      <c r="J17" s="51">
        <v>0.64</v>
      </c>
      <c r="K17" s="51">
        <v>323.04000000000002</v>
      </c>
      <c r="L17" s="51">
        <v>28.7</v>
      </c>
      <c r="M17" s="51">
        <v>62.48</v>
      </c>
      <c r="N17" s="51">
        <v>490.2</v>
      </c>
      <c r="O17" s="51">
        <v>0</v>
      </c>
      <c r="P17" s="51">
        <v>0.72</v>
      </c>
      <c r="Q17" s="51">
        <v>3.9</v>
      </c>
    </row>
    <row r="18" spans="1:17" customFormat="1">
      <c r="A18" s="50" t="s">
        <v>165</v>
      </c>
      <c r="B18" s="51">
        <v>9.16</v>
      </c>
      <c r="C18" s="51">
        <v>29.88</v>
      </c>
      <c r="D18" s="51">
        <v>23.98</v>
      </c>
      <c r="E18" s="51">
        <v>6.82</v>
      </c>
      <c r="F18" s="51">
        <v>4.8899999999999997</v>
      </c>
      <c r="G18" s="51">
        <v>57.12</v>
      </c>
      <c r="H18" s="51">
        <v>16.73</v>
      </c>
      <c r="I18" s="51">
        <v>7.38</v>
      </c>
      <c r="J18" s="51">
        <v>0.59</v>
      </c>
      <c r="K18" s="51">
        <v>329.18</v>
      </c>
      <c r="L18" s="51">
        <v>30.76</v>
      </c>
      <c r="M18" s="51">
        <v>56.05</v>
      </c>
      <c r="N18" s="51">
        <v>536.9</v>
      </c>
      <c r="O18" s="51">
        <v>0</v>
      </c>
      <c r="P18" s="51">
        <v>0.72</v>
      </c>
      <c r="Q18" s="51">
        <v>3.75</v>
      </c>
    </row>
    <row r="19" spans="1:17" customFormat="1">
      <c r="A19" s="50" t="s">
        <v>166</v>
      </c>
      <c r="B19" s="51">
        <v>6.85</v>
      </c>
      <c r="C19" s="51">
        <v>30.15</v>
      </c>
      <c r="D19" s="51">
        <v>22.46</v>
      </c>
      <c r="E19" s="51">
        <v>7.45</v>
      </c>
      <c r="F19" s="51">
        <v>6.74</v>
      </c>
      <c r="G19" s="51">
        <v>65.89</v>
      </c>
      <c r="H19" s="51">
        <v>21.35</v>
      </c>
      <c r="I19" s="51">
        <v>6.92</v>
      </c>
      <c r="J19" s="51">
        <v>0.57999999999999996</v>
      </c>
      <c r="K19" s="51">
        <v>346.75</v>
      </c>
      <c r="L19" s="51">
        <v>31.9</v>
      </c>
      <c r="M19" s="51">
        <v>52.22</v>
      </c>
      <c r="N19" s="51">
        <v>751.5</v>
      </c>
      <c r="O19" s="51">
        <v>0</v>
      </c>
      <c r="P19" s="51">
        <v>0.73</v>
      </c>
      <c r="Q19" s="51">
        <v>3.6</v>
      </c>
    </row>
    <row r="20" spans="1:17" customFormat="1">
      <c r="A20" s="50" t="s">
        <v>167</v>
      </c>
      <c r="B20" s="51">
        <v>5.56</v>
      </c>
      <c r="C20" s="51">
        <v>29.72</v>
      </c>
      <c r="D20" s="51">
        <v>21.33</v>
      </c>
      <c r="E20" s="51">
        <v>7.85</v>
      </c>
      <c r="F20" s="51">
        <v>9.51</v>
      </c>
      <c r="G20" s="51">
        <v>65.89</v>
      </c>
      <c r="H20" s="51">
        <v>21.35</v>
      </c>
      <c r="I20" s="51">
        <v>6.54</v>
      </c>
      <c r="J20" s="51">
        <v>0.69</v>
      </c>
      <c r="K20" s="51">
        <v>356.24</v>
      </c>
      <c r="L20" s="51">
        <v>32.119999999999997</v>
      </c>
      <c r="M20" s="51">
        <v>46.21</v>
      </c>
      <c r="N20" s="51">
        <v>839.9</v>
      </c>
      <c r="O20" s="51">
        <v>0</v>
      </c>
      <c r="P20" s="51">
        <v>0.71</v>
      </c>
      <c r="Q20" s="51">
        <v>3.54</v>
      </c>
    </row>
    <row r="21" spans="1:17" customFormat="1">
      <c r="A21" s="50" t="s">
        <v>168</v>
      </c>
      <c r="B21" s="51">
        <v>5.35</v>
      </c>
      <c r="C21" s="51">
        <v>28.32</v>
      </c>
      <c r="D21" s="51">
        <v>20.27</v>
      </c>
      <c r="E21" s="51">
        <v>7.34</v>
      </c>
      <c r="F21" s="51">
        <v>9.84</v>
      </c>
      <c r="G21" s="51">
        <v>64.430000000000007</v>
      </c>
      <c r="H21" s="51">
        <v>19.149999999999999</v>
      </c>
      <c r="I21" s="51">
        <v>6.01</v>
      </c>
      <c r="J21" s="51">
        <v>0.59</v>
      </c>
      <c r="K21" s="51">
        <v>357.83</v>
      </c>
      <c r="L21" s="51">
        <v>32.270000000000003</v>
      </c>
      <c r="M21" s="51">
        <v>46.06</v>
      </c>
      <c r="N21" s="51">
        <v>841</v>
      </c>
      <c r="O21" s="51">
        <v>0</v>
      </c>
      <c r="P21" s="51">
        <v>0.68</v>
      </c>
      <c r="Q21" s="51">
        <v>3.48</v>
      </c>
    </row>
    <row r="22" spans="1:17" customFormat="1">
      <c r="A22" s="50" t="s">
        <v>169</v>
      </c>
      <c r="B22" s="51">
        <v>5.5</v>
      </c>
      <c r="C22" s="51">
        <v>24.09</v>
      </c>
      <c r="D22" s="51">
        <v>18.34</v>
      </c>
      <c r="E22" s="51">
        <v>6.69</v>
      </c>
      <c r="F22" s="51">
        <v>10.25</v>
      </c>
      <c r="G22" s="51">
        <v>64.2</v>
      </c>
      <c r="H22" s="51">
        <v>19.149999999999999</v>
      </c>
      <c r="I22" s="51">
        <v>5.53</v>
      </c>
      <c r="J22" s="51">
        <v>0.92</v>
      </c>
      <c r="K22" s="51">
        <v>34.11</v>
      </c>
      <c r="L22" s="51">
        <v>32.369999999999997</v>
      </c>
      <c r="M22" s="51">
        <v>46.43</v>
      </c>
      <c r="N22" s="51">
        <v>754</v>
      </c>
      <c r="O22" s="51">
        <v>0</v>
      </c>
      <c r="P22" s="51">
        <v>0.64</v>
      </c>
      <c r="Q22" s="51">
        <v>3.4</v>
      </c>
    </row>
    <row r="23" spans="1:17" customFormat="1">
      <c r="A23" s="50" t="s">
        <v>170</v>
      </c>
      <c r="B23" s="51">
        <v>5.88</v>
      </c>
      <c r="C23" s="51">
        <v>22.4</v>
      </c>
      <c r="D23" s="51">
        <v>17.52</v>
      </c>
      <c r="E23" s="51">
        <v>6.51</v>
      </c>
      <c r="F23" s="51">
        <v>9.49</v>
      </c>
      <c r="G23" s="51">
        <v>63.62</v>
      </c>
      <c r="H23" s="51">
        <v>17.850000000000001</v>
      </c>
      <c r="I23" s="51">
        <v>5.21</v>
      </c>
      <c r="J23" s="51">
        <v>0.66</v>
      </c>
      <c r="K23" s="51">
        <v>31.73</v>
      </c>
      <c r="L23" s="51">
        <v>32.56</v>
      </c>
      <c r="M23" s="51">
        <v>46.39</v>
      </c>
      <c r="N23" s="51">
        <v>639.4</v>
      </c>
      <c r="O23" s="51">
        <v>0</v>
      </c>
      <c r="P23" s="51">
        <v>0.61</v>
      </c>
      <c r="Q23" s="51">
        <v>3.36</v>
      </c>
    </row>
    <row r="24" spans="1:17" customFormat="1">
      <c r="A24" s="50" t="s">
        <v>171</v>
      </c>
      <c r="B24" s="51">
        <v>6.35</v>
      </c>
      <c r="C24" s="51">
        <v>24.95</v>
      </c>
      <c r="D24" s="51">
        <v>19.47</v>
      </c>
      <c r="E24" s="51">
        <v>7.58</v>
      </c>
      <c r="F24" s="51">
        <v>12</v>
      </c>
      <c r="G24" s="51">
        <v>58.49</v>
      </c>
      <c r="H24" s="51">
        <v>17.850000000000001</v>
      </c>
      <c r="I24" s="51">
        <v>5</v>
      </c>
      <c r="J24" s="51">
        <v>0.46</v>
      </c>
      <c r="K24" s="51">
        <v>345.18</v>
      </c>
      <c r="L24" s="51">
        <v>31.68</v>
      </c>
      <c r="M24" s="51">
        <v>46.83</v>
      </c>
      <c r="N24" s="51">
        <v>334</v>
      </c>
      <c r="O24" s="51">
        <v>0</v>
      </c>
      <c r="P24" s="51">
        <v>0.61</v>
      </c>
      <c r="Q24" s="51">
        <v>3.39</v>
      </c>
    </row>
    <row r="25" spans="1:17" customFormat="1">
      <c r="A25" s="50" t="s">
        <v>172</v>
      </c>
      <c r="B25" s="51">
        <v>6.36</v>
      </c>
      <c r="C25" s="51">
        <v>23.57</v>
      </c>
      <c r="D25" s="51">
        <v>18.77</v>
      </c>
      <c r="E25" s="51">
        <v>8.32</v>
      </c>
      <c r="F25" s="51">
        <v>14.75</v>
      </c>
      <c r="G25" s="51">
        <v>59.81</v>
      </c>
      <c r="H25" s="51">
        <v>17.37</v>
      </c>
      <c r="I25" s="51">
        <v>4.7300000000000004</v>
      </c>
      <c r="J25" s="51">
        <v>0.32</v>
      </c>
      <c r="K25" s="51">
        <v>316.64999999999998</v>
      </c>
      <c r="L25" s="51">
        <v>31.08</v>
      </c>
      <c r="M25" s="51">
        <v>50.94</v>
      </c>
      <c r="N25" s="51">
        <v>43.2</v>
      </c>
      <c r="O25" s="51">
        <v>0</v>
      </c>
      <c r="P25" s="51">
        <v>0.61</v>
      </c>
      <c r="Q25" s="51">
        <v>3.5</v>
      </c>
    </row>
    <row r="26" spans="1:17" customFormat="1">
      <c r="A26" s="50" t="s">
        <v>173</v>
      </c>
      <c r="B26" s="51">
        <v>6.41</v>
      </c>
      <c r="C26" s="51">
        <v>27.78</v>
      </c>
      <c r="D26" s="51">
        <v>21</v>
      </c>
      <c r="E26" s="51">
        <v>6.89</v>
      </c>
      <c r="F26" s="51">
        <v>9.73</v>
      </c>
      <c r="G26" s="51">
        <v>60.63</v>
      </c>
      <c r="H26" s="51">
        <v>17.8</v>
      </c>
      <c r="I26" s="51">
        <v>4.8</v>
      </c>
      <c r="J26" s="51">
        <v>0.28999999999999998</v>
      </c>
      <c r="K26" s="51">
        <v>261.85000000000002</v>
      </c>
      <c r="L26" s="51">
        <v>29.51</v>
      </c>
      <c r="M26" s="51">
        <v>59.25</v>
      </c>
      <c r="N26" s="51">
        <v>0.5</v>
      </c>
      <c r="O26" s="51">
        <v>0</v>
      </c>
      <c r="P26" s="51">
        <v>0.68</v>
      </c>
      <c r="Q26" s="51">
        <v>3.75</v>
      </c>
    </row>
    <row r="27" spans="1:17" customFormat="1">
      <c r="A27" s="50" t="s">
        <v>174</v>
      </c>
      <c r="B27" s="51">
        <v>7</v>
      </c>
      <c r="C27" s="51">
        <v>28.48</v>
      </c>
      <c r="D27" s="51">
        <v>21.53</v>
      </c>
      <c r="E27" s="51">
        <v>8.0399999999999991</v>
      </c>
      <c r="F27" s="51">
        <v>5.43</v>
      </c>
      <c r="G27" s="51">
        <v>69</v>
      </c>
      <c r="H27" s="51">
        <v>19.13</v>
      </c>
      <c r="I27" s="51">
        <v>5.19</v>
      </c>
      <c r="J27" s="51">
        <v>0.28000000000000003</v>
      </c>
      <c r="K27" s="51">
        <v>176.27</v>
      </c>
      <c r="L27" s="51">
        <v>28.18</v>
      </c>
      <c r="M27" s="51">
        <v>75.739999999999995</v>
      </c>
      <c r="N27" s="51">
        <v>0</v>
      </c>
      <c r="O27" s="51">
        <v>0</v>
      </c>
      <c r="P27" s="51">
        <v>0.69</v>
      </c>
      <c r="Q27" s="51">
        <v>3.94</v>
      </c>
    </row>
    <row r="28" spans="1:17" customFormat="1">
      <c r="A28" s="50" t="s">
        <v>175</v>
      </c>
      <c r="B28" s="51">
        <v>7.04</v>
      </c>
      <c r="C28" s="51">
        <v>26.74</v>
      </c>
      <c r="D28" s="51">
        <v>20.97</v>
      </c>
      <c r="E28" s="51">
        <v>8</v>
      </c>
      <c r="F28" s="51">
        <v>4.29</v>
      </c>
      <c r="G28" s="51">
        <v>69</v>
      </c>
      <c r="H28" s="51">
        <v>19.13</v>
      </c>
      <c r="I28" s="51">
        <v>5.42</v>
      </c>
      <c r="J28" s="51">
        <v>0.16</v>
      </c>
      <c r="K28" s="51">
        <v>199.62</v>
      </c>
      <c r="L28" s="51">
        <v>26.25</v>
      </c>
      <c r="M28" s="51">
        <v>76.239999999999995</v>
      </c>
      <c r="N28" s="51">
        <v>0</v>
      </c>
      <c r="O28" s="51">
        <v>0</v>
      </c>
      <c r="P28" s="51">
        <v>0.71</v>
      </c>
      <c r="Q28" s="51">
        <v>3.95</v>
      </c>
    </row>
    <row r="29" spans="1:17" customFormat="1">
      <c r="A29" s="50" t="s">
        <v>176</v>
      </c>
      <c r="B29" s="51">
        <v>7.47</v>
      </c>
      <c r="C29" s="51">
        <v>26.57</v>
      </c>
      <c r="D29" s="51">
        <v>21.16</v>
      </c>
      <c r="E29" s="51">
        <v>8.32</v>
      </c>
      <c r="F29" s="51">
        <v>3.26</v>
      </c>
      <c r="G29" s="51">
        <v>69.790000000000006</v>
      </c>
      <c r="H29" s="51">
        <v>20.76</v>
      </c>
      <c r="I29" s="51">
        <v>6.26</v>
      </c>
      <c r="J29" s="51">
        <v>0.16</v>
      </c>
      <c r="K29" s="51">
        <v>191.79</v>
      </c>
      <c r="L29" s="51">
        <v>25.5</v>
      </c>
      <c r="M29" s="51">
        <v>81.72</v>
      </c>
      <c r="N29" s="51">
        <v>0</v>
      </c>
      <c r="O29" s="51">
        <v>0</v>
      </c>
      <c r="P29" s="51">
        <v>0.76</v>
      </c>
      <c r="Q29" s="51">
        <v>3.88</v>
      </c>
    </row>
    <row r="30" spans="1:17" customFormat="1">
      <c r="A30" s="50" t="s">
        <v>177</v>
      </c>
      <c r="B30" s="51">
        <v>7.89</v>
      </c>
      <c r="C30" s="51">
        <v>26.5</v>
      </c>
      <c r="D30" s="51">
        <v>21.49</v>
      </c>
      <c r="E30" s="51">
        <v>8.7200000000000006</v>
      </c>
      <c r="F30" s="51">
        <v>3.11</v>
      </c>
      <c r="G30" s="51">
        <v>69.790000000000006</v>
      </c>
      <c r="H30" s="51">
        <v>20.76</v>
      </c>
      <c r="I30" s="51">
        <v>7.46</v>
      </c>
      <c r="J30" s="51">
        <v>0.18</v>
      </c>
      <c r="K30" s="51">
        <v>241.94</v>
      </c>
      <c r="L30" s="51">
        <v>25.15</v>
      </c>
      <c r="M30" s="51">
        <v>82.46</v>
      </c>
      <c r="N30" s="51">
        <v>0</v>
      </c>
      <c r="O30" s="51">
        <v>0</v>
      </c>
      <c r="P30" s="51">
        <v>0.81</v>
      </c>
      <c r="Q30" s="51">
        <v>3.83</v>
      </c>
    </row>
    <row r="31" spans="1:17" customFormat="1">
      <c r="A31" s="50" t="s">
        <v>178</v>
      </c>
      <c r="B31" s="51">
        <v>9.01</v>
      </c>
      <c r="C31" s="51">
        <v>26.68</v>
      </c>
      <c r="D31" s="51">
        <v>21.89</v>
      </c>
      <c r="E31" s="51">
        <v>8.49</v>
      </c>
      <c r="F31" s="51">
        <v>3.33</v>
      </c>
      <c r="G31" s="51">
        <v>68.48</v>
      </c>
      <c r="H31" s="51">
        <v>19.79</v>
      </c>
      <c r="I31" s="51">
        <v>7.58</v>
      </c>
      <c r="J31" s="51">
        <v>0.16</v>
      </c>
      <c r="K31" s="51">
        <v>199.69</v>
      </c>
      <c r="L31" s="51">
        <v>24.83</v>
      </c>
      <c r="M31" s="51">
        <v>89.26</v>
      </c>
      <c r="N31" s="51">
        <v>0</v>
      </c>
      <c r="O31" s="51">
        <v>0</v>
      </c>
      <c r="P31" s="51">
        <v>0.83</v>
      </c>
      <c r="Q31" s="51">
        <v>3.8</v>
      </c>
    </row>
    <row r="32" spans="1:17" customFormat="1">
      <c r="A32" s="50" t="s">
        <v>179</v>
      </c>
      <c r="B32" s="51">
        <v>10.31</v>
      </c>
      <c r="C32" s="51">
        <v>24.17</v>
      </c>
      <c r="D32" s="51">
        <v>22.23</v>
      </c>
      <c r="E32" s="51">
        <v>8.48</v>
      </c>
      <c r="F32" s="51">
        <v>3.17</v>
      </c>
      <c r="G32" s="51">
        <v>67.63</v>
      </c>
      <c r="H32" s="51">
        <v>18.95</v>
      </c>
      <c r="I32" s="51">
        <v>7.65</v>
      </c>
      <c r="J32" s="51">
        <v>0.19</v>
      </c>
      <c r="K32" s="51">
        <v>216.96</v>
      </c>
      <c r="L32" s="51">
        <v>24.1</v>
      </c>
      <c r="M32" s="51">
        <v>86.1</v>
      </c>
      <c r="N32" s="51">
        <v>0</v>
      </c>
      <c r="O32" s="51">
        <v>0</v>
      </c>
      <c r="P32" s="51">
        <v>0.81</v>
      </c>
      <c r="Q32" s="51">
        <v>3.72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5.35</v>
      </c>
      <c r="C34" s="41">
        <f t="shared" si="0"/>
        <v>22.4</v>
      </c>
      <c r="D34" s="41">
        <f t="shared" si="0"/>
        <v>17.52</v>
      </c>
      <c r="E34" s="41">
        <f t="shared" si="0"/>
        <v>5.24</v>
      </c>
      <c r="F34" s="41">
        <f t="shared" si="0"/>
        <v>2.4900000000000002</v>
      </c>
      <c r="G34" s="41">
        <f t="shared" si="0"/>
        <v>54.7</v>
      </c>
      <c r="H34" s="41">
        <f t="shared" si="0"/>
        <v>15.24</v>
      </c>
      <c r="I34" s="41">
        <f t="shared" si="0"/>
        <v>4.7300000000000004</v>
      </c>
      <c r="J34" s="41">
        <f t="shared" si="0"/>
        <v>0.14000000000000001</v>
      </c>
      <c r="K34" s="41">
        <f t="shared" si="0"/>
        <v>31.73</v>
      </c>
      <c r="L34" s="41">
        <f t="shared" si="0"/>
        <v>22.5</v>
      </c>
      <c r="M34" s="41">
        <f t="shared" si="0"/>
        <v>46.06</v>
      </c>
      <c r="N34" s="41">
        <f t="shared" si="0"/>
        <v>0</v>
      </c>
      <c r="O34" s="41">
        <f t="shared" si="0"/>
        <v>0</v>
      </c>
      <c r="P34" s="41">
        <f t="shared" si="0"/>
        <v>0.61</v>
      </c>
      <c r="Q34" s="41">
        <f t="shared" si="0"/>
        <v>3.36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15.45</v>
      </c>
      <c r="C35" s="33">
        <f t="shared" si="1"/>
        <v>30.5</v>
      </c>
      <c r="D35" s="33">
        <f t="shared" si="1"/>
        <v>27.38</v>
      </c>
      <c r="E35" s="33">
        <f t="shared" si="1"/>
        <v>8.7200000000000006</v>
      </c>
      <c r="F35" s="33">
        <f t="shared" si="1"/>
        <v>14.75</v>
      </c>
      <c r="G35" s="33">
        <f t="shared" si="1"/>
        <v>69.790000000000006</v>
      </c>
      <c r="H35" s="33">
        <f t="shared" si="1"/>
        <v>21.35</v>
      </c>
      <c r="I35" s="33">
        <f t="shared" si="1"/>
        <v>8.35</v>
      </c>
      <c r="J35" s="33">
        <f t="shared" si="1"/>
        <v>0.92</v>
      </c>
      <c r="K35" s="33">
        <f t="shared" si="1"/>
        <v>357.83</v>
      </c>
      <c r="L35" s="33">
        <f t="shared" si="1"/>
        <v>32.56</v>
      </c>
      <c r="M35" s="33">
        <f t="shared" si="1"/>
        <v>95.73</v>
      </c>
      <c r="N35" s="33">
        <f t="shared" si="1"/>
        <v>841</v>
      </c>
      <c r="O35" s="33">
        <f t="shared" si="1"/>
        <v>0</v>
      </c>
      <c r="P35" s="33">
        <f t="shared" si="1"/>
        <v>0.83</v>
      </c>
      <c r="Q35" s="33">
        <f t="shared" si="1"/>
        <v>4.0599999999999996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9.2520833333333332</v>
      </c>
      <c r="C36" s="41">
        <f t="shared" si="2"/>
        <v>27.049166666666661</v>
      </c>
      <c r="D36" s="41">
        <f t="shared" si="2"/>
        <v>22.721249999999998</v>
      </c>
      <c r="E36" s="41">
        <f t="shared" si="2"/>
        <v>7.1970833333333344</v>
      </c>
      <c r="F36" s="41">
        <f t="shared" si="2"/>
        <v>5.7116666666666669</v>
      </c>
      <c r="G36" s="41">
        <f t="shared" si="2"/>
        <v>62.758749999999999</v>
      </c>
      <c r="H36" s="41">
        <f t="shared" si="2"/>
        <v>18.884166666666669</v>
      </c>
      <c r="I36" s="41">
        <f t="shared" si="2"/>
        <v>6.8037500000000009</v>
      </c>
      <c r="J36" s="41">
        <f t="shared" si="2"/>
        <v>0.39708333333333323</v>
      </c>
      <c r="K36" s="41">
        <f t="shared" si="2"/>
        <v>246.49541666666664</v>
      </c>
      <c r="L36" s="41">
        <f t="shared" si="2"/>
        <v>27.494583333333335</v>
      </c>
      <c r="M36" s="41">
        <f t="shared" si="2"/>
        <v>69.757500000000007</v>
      </c>
      <c r="N36" s="41">
        <f t="shared" si="2"/>
        <v>229.06666666666663</v>
      </c>
      <c r="O36" s="41">
        <f t="shared" si="2"/>
        <v>0</v>
      </c>
      <c r="P36" s="41">
        <f t="shared" si="2"/>
        <v>0.72791666666666643</v>
      </c>
      <c r="Q36" s="41">
        <f t="shared" si="2"/>
        <v>3.7691666666666666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3.2788955976944028</v>
      </c>
      <c r="C37" s="41">
        <f t="shared" ref="C37:Q37" si="3">STDEV(C9:C32)</f>
        <v>2.2686692453788528</v>
      </c>
      <c r="D37" s="41">
        <f t="shared" si="3"/>
        <v>2.8741415542581055</v>
      </c>
      <c r="E37" s="41">
        <f t="shared" si="3"/>
        <v>0.92228675709825791</v>
      </c>
      <c r="F37" s="41">
        <f t="shared" si="3"/>
        <v>3.5997326792858986</v>
      </c>
      <c r="G37" s="41">
        <f t="shared" si="3"/>
        <v>4.8020505696956182</v>
      </c>
      <c r="H37" s="41">
        <f t="shared" si="3"/>
        <v>1.4959362828405771</v>
      </c>
      <c r="I37" s="41">
        <f t="shared" si="3"/>
        <v>1.2704665781070117</v>
      </c>
      <c r="J37" s="41">
        <f t="shared" si="3"/>
        <v>0.21203935579461936</v>
      </c>
      <c r="K37" s="41">
        <f t="shared" si="3"/>
        <v>86.664410326328053</v>
      </c>
      <c r="L37" s="41">
        <f t="shared" si="3"/>
        <v>3.5527931194027182</v>
      </c>
      <c r="M37" s="41">
        <f t="shared" si="3"/>
        <v>17.163087096896398</v>
      </c>
      <c r="N37" s="41">
        <f t="shared" si="3"/>
        <v>322.39670899532229</v>
      </c>
      <c r="O37" s="41">
        <f t="shared" si="3"/>
        <v>0</v>
      </c>
      <c r="P37" s="41">
        <f t="shared" si="3"/>
        <v>6.7436228598110326E-2</v>
      </c>
      <c r="Q37" s="41">
        <f t="shared" si="3"/>
        <v>0.2185906769694784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H39" sqref="H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180</v>
      </c>
      <c r="B9" s="51">
        <v>12.33</v>
      </c>
      <c r="C9" s="51">
        <v>24.15</v>
      </c>
      <c r="D9" s="51">
        <v>23.51</v>
      </c>
      <c r="E9" s="51">
        <v>8.4499999999999993</v>
      </c>
      <c r="F9" s="51">
        <v>3.09</v>
      </c>
      <c r="G9" s="51">
        <v>66.17</v>
      </c>
      <c r="H9" s="51">
        <v>19.88</v>
      </c>
      <c r="I9" s="51">
        <v>7.89</v>
      </c>
      <c r="J9" s="51">
        <v>0.2</v>
      </c>
      <c r="K9" s="51">
        <v>221.89</v>
      </c>
      <c r="L9" s="51">
        <v>23.77</v>
      </c>
      <c r="M9" s="51">
        <v>90.2</v>
      </c>
      <c r="N9" s="51">
        <v>0</v>
      </c>
      <c r="O9" s="51">
        <v>0</v>
      </c>
      <c r="P9" s="51">
        <v>0.82</v>
      </c>
      <c r="Q9" s="51">
        <v>3.84</v>
      </c>
    </row>
    <row r="10" spans="1:21" customFormat="1">
      <c r="A10" s="50" t="s">
        <v>181</v>
      </c>
      <c r="B10" s="51">
        <v>13.6</v>
      </c>
      <c r="C10" s="51">
        <v>24.8</v>
      </c>
      <c r="D10" s="51">
        <v>25.22</v>
      </c>
      <c r="E10" s="51">
        <v>8.77</v>
      </c>
      <c r="F10" s="51">
        <v>2.96</v>
      </c>
      <c r="G10" s="51">
        <v>63.03</v>
      </c>
      <c r="H10" s="51">
        <v>19.88</v>
      </c>
      <c r="I10" s="51">
        <v>7.93</v>
      </c>
      <c r="J10" s="51">
        <v>0.14000000000000001</v>
      </c>
      <c r="K10" s="51">
        <v>181.77</v>
      </c>
      <c r="L10" s="51">
        <v>23.38</v>
      </c>
      <c r="M10" s="51">
        <v>92.72</v>
      </c>
      <c r="N10" s="51">
        <v>0</v>
      </c>
      <c r="O10" s="51">
        <v>0</v>
      </c>
      <c r="P10" s="51">
        <v>0.83</v>
      </c>
      <c r="Q10" s="51">
        <v>3.87</v>
      </c>
    </row>
    <row r="11" spans="1:21" customFormat="1">
      <c r="A11" s="50" t="s">
        <v>182</v>
      </c>
      <c r="B11" s="51">
        <v>14.75</v>
      </c>
      <c r="C11" s="51">
        <v>24.33</v>
      </c>
      <c r="D11" s="51">
        <v>25.67</v>
      </c>
      <c r="E11" s="51">
        <v>7.84</v>
      </c>
      <c r="F11" s="51">
        <v>2.97</v>
      </c>
      <c r="G11" s="51">
        <v>58.81</v>
      </c>
      <c r="H11" s="51">
        <v>17.440000000000001</v>
      </c>
      <c r="I11" s="51">
        <v>7.9</v>
      </c>
      <c r="J11" s="51">
        <v>0.17</v>
      </c>
      <c r="K11" s="51">
        <v>241.15</v>
      </c>
      <c r="L11" s="51">
        <v>23.05</v>
      </c>
      <c r="M11" s="51">
        <v>93.31</v>
      </c>
      <c r="N11" s="51">
        <v>0</v>
      </c>
      <c r="O11" s="51">
        <v>0</v>
      </c>
      <c r="P11" s="51">
        <v>0.83</v>
      </c>
      <c r="Q11" s="51">
        <v>3.96</v>
      </c>
    </row>
    <row r="12" spans="1:21" customFormat="1">
      <c r="A12" s="50" t="s">
        <v>183</v>
      </c>
      <c r="B12" s="51">
        <v>14.74</v>
      </c>
      <c r="C12" s="51">
        <v>24.43</v>
      </c>
      <c r="D12" s="51">
        <v>25.47</v>
      </c>
      <c r="E12" s="51">
        <v>7.72</v>
      </c>
      <c r="F12" s="51">
        <v>2.91</v>
      </c>
      <c r="G12" s="51">
        <v>58.81</v>
      </c>
      <c r="H12" s="51">
        <v>15.24</v>
      </c>
      <c r="I12" s="51">
        <v>7.75</v>
      </c>
      <c r="J12" s="51">
        <v>0.22</v>
      </c>
      <c r="K12" s="51">
        <v>184.3</v>
      </c>
      <c r="L12" s="51">
        <v>23</v>
      </c>
      <c r="M12" s="51">
        <v>93.12</v>
      </c>
      <c r="N12" s="51">
        <v>0</v>
      </c>
      <c r="O12" s="51">
        <v>0</v>
      </c>
      <c r="P12" s="51">
        <v>0.82</v>
      </c>
      <c r="Q12" s="51">
        <v>3.95</v>
      </c>
    </row>
    <row r="13" spans="1:21" customFormat="1">
      <c r="A13" s="50" t="s">
        <v>184</v>
      </c>
      <c r="B13" s="51">
        <v>13.89</v>
      </c>
      <c r="C13" s="51">
        <v>25.8</v>
      </c>
      <c r="D13" s="51">
        <v>25.53</v>
      </c>
      <c r="E13" s="51">
        <v>7.9</v>
      </c>
      <c r="F13" s="51">
        <v>2.81</v>
      </c>
      <c r="G13" s="51">
        <v>52.36</v>
      </c>
      <c r="H13" s="51">
        <v>14.75</v>
      </c>
      <c r="I13" s="51">
        <v>7.41</v>
      </c>
      <c r="J13" s="51">
        <v>0.14000000000000001</v>
      </c>
      <c r="K13" s="51">
        <v>214.43</v>
      </c>
      <c r="L13" s="51">
        <v>22.71</v>
      </c>
      <c r="M13" s="51">
        <v>94.74</v>
      </c>
      <c r="N13" s="51">
        <v>0</v>
      </c>
      <c r="O13" s="51">
        <v>0</v>
      </c>
      <c r="P13" s="51">
        <v>0.81</v>
      </c>
      <c r="Q13" s="51">
        <v>3.94</v>
      </c>
    </row>
    <row r="14" spans="1:21" customFormat="1">
      <c r="A14" s="50" t="s">
        <v>185</v>
      </c>
      <c r="B14" s="51">
        <v>13.27</v>
      </c>
      <c r="C14" s="51">
        <v>26.59</v>
      </c>
      <c r="D14" s="51">
        <v>25.73</v>
      </c>
      <c r="E14" s="51">
        <v>8.06</v>
      </c>
      <c r="F14" s="51">
        <v>2.58</v>
      </c>
      <c r="G14" s="51">
        <v>47.5</v>
      </c>
      <c r="H14" s="51">
        <v>15.29</v>
      </c>
      <c r="I14" s="51">
        <v>7.15</v>
      </c>
      <c r="J14" s="51">
        <v>0.17</v>
      </c>
      <c r="K14" s="51">
        <v>200.38</v>
      </c>
      <c r="L14" s="51">
        <v>22.66</v>
      </c>
      <c r="M14" s="51">
        <v>94.71</v>
      </c>
      <c r="N14" s="51">
        <v>0</v>
      </c>
      <c r="O14" s="51">
        <v>0</v>
      </c>
      <c r="P14" s="51">
        <v>0.79</v>
      </c>
      <c r="Q14" s="51">
        <v>3.98</v>
      </c>
    </row>
    <row r="15" spans="1:21" customFormat="1">
      <c r="A15" s="50" t="s">
        <v>186</v>
      </c>
      <c r="B15" s="51">
        <v>13.17</v>
      </c>
      <c r="C15" s="51">
        <v>27.21</v>
      </c>
      <c r="D15" s="51">
        <v>26.13</v>
      </c>
      <c r="E15" s="51">
        <v>7.95</v>
      </c>
      <c r="F15" s="51">
        <v>2.57</v>
      </c>
      <c r="G15" s="51">
        <v>48.16</v>
      </c>
      <c r="H15" s="51">
        <v>15.29</v>
      </c>
      <c r="I15" s="51">
        <v>6.97</v>
      </c>
      <c r="J15" s="51">
        <v>0.15</v>
      </c>
      <c r="K15" s="51">
        <v>204.2</v>
      </c>
      <c r="L15" s="51">
        <v>23.81</v>
      </c>
      <c r="M15" s="51">
        <v>95.39</v>
      </c>
      <c r="N15" s="51">
        <v>37.299999999999997</v>
      </c>
      <c r="O15" s="51">
        <v>0</v>
      </c>
      <c r="P15" s="51">
        <v>0.77</v>
      </c>
      <c r="Q15" s="51">
        <v>3.99</v>
      </c>
    </row>
    <row r="16" spans="1:21" customFormat="1">
      <c r="A16" s="50" t="s">
        <v>187</v>
      </c>
      <c r="B16" s="51">
        <v>13.15</v>
      </c>
      <c r="C16" s="51">
        <v>27.99</v>
      </c>
      <c r="D16" s="51">
        <v>26.18</v>
      </c>
      <c r="E16" s="51">
        <v>8.5299999999999994</v>
      </c>
      <c r="F16" s="51">
        <v>2.66</v>
      </c>
      <c r="G16" s="51">
        <v>49.4</v>
      </c>
      <c r="H16" s="51">
        <v>14.52</v>
      </c>
      <c r="I16" s="51">
        <v>6.88</v>
      </c>
      <c r="J16" s="51">
        <v>0.23</v>
      </c>
      <c r="K16" s="51">
        <v>239.12</v>
      </c>
      <c r="L16" s="51">
        <v>27.03</v>
      </c>
      <c r="M16" s="51">
        <v>90.12</v>
      </c>
      <c r="N16" s="51">
        <v>235.8</v>
      </c>
      <c r="O16" s="51">
        <v>0</v>
      </c>
      <c r="P16" s="51">
        <v>0.75</v>
      </c>
      <c r="Q16" s="51">
        <v>4</v>
      </c>
    </row>
    <row r="17" spans="1:17" customFormat="1">
      <c r="A17" s="50" t="s">
        <v>188</v>
      </c>
      <c r="B17" s="51">
        <v>12.8</v>
      </c>
      <c r="C17" s="51">
        <v>27.84</v>
      </c>
      <c r="D17" s="51">
        <v>25.92</v>
      </c>
      <c r="E17" s="51">
        <v>8.81</v>
      </c>
      <c r="F17" s="51">
        <v>3.49</v>
      </c>
      <c r="G17" s="51">
        <v>52.98</v>
      </c>
      <c r="H17" s="51">
        <v>15.59</v>
      </c>
      <c r="I17" s="51">
        <v>7.01</v>
      </c>
      <c r="J17" s="51">
        <v>0.24</v>
      </c>
      <c r="K17" s="51">
        <v>349.19</v>
      </c>
      <c r="L17" s="51">
        <v>30.14</v>
      </c>
      <c r="M17" s="51">
        <v>73.67</v>
      </c>
      <c r="N17" s="51">
        <v>478.6</v>
      </c>
      <c r="O17" s="51">
        <v>0</v>
      </c>
      <c r="P17" s="51">
        <v>0.75</v>
      </c>
      <c r="Q17" s="51">
        <v>3.98</v>
      </c>
    </row>
    <row r="18" spans="1:17" customFormat="1">
      <c r="A18" s="50" t="s">
        <v>189</v>
      </c>
      <c r="B18" s="51">
        <v>12.69</v>
      </c>
      <c r="C18" s="51">
        <v>26.48</v>
      </c>
      <c r="D18" s="51">
        <v>25.31</v>
      </c>
      <c r="E18" s="51">
        <v>10.73</v>
      </c>
      <c r="F18" s="51">
        <v>4.34</v>
      </c>
      <c r="G18" s="51">
        <v>65.989999999999995</v>
      </c>
      <c r="H18" s="51">
        <v>23.63</v>
      </c>
      <c r="I18" s="51">
        <v>7.03</v>
      </c>
      <c r="J18" s="51">
        <v>0.34</v>
      </c>
      <c r="K18" s="51">
        <v>357.16</v>
      </c>
      <c r="L18" s="51">
        <v>31.41</v>
      </c>
      <c r="M18" s="51">
        <v>63.3</v>
      </c>
      <c r="N18" s="51">
        <v>519.79999999999995</v>
      </c>
      <c r="O18" s="51">
        <v>0</v>
      </c>
      <c r="P18" s="51">
        <v>0.78</v>
      </c>
      <c r="Q18" s="51">
        <v>3.88</v>
      </c>
    </row>
    <row r="19" spans="1:17" customFormat="1">
      <c r="A19" s="50" t="s">
        <v>190</v>
      </c>
      <c r="B19" s="51">
        <v>12.2</v>
      </c>
      <c r="C19" s="51">
        <v>26.99</v>
      </c>
      <c r="D19" s="51">
        <v>25.14</v>
      </c>
      <c r="E19" s="51">
        <v>10.210000000000001</v>
      </c>
      <c r="F19" s="51">
        <v>5.46</v>
      </c>
      <c r="G19" s="51">
        <v>92.22</v>
      </c>
      <c r="H19" s="51">
        <v>35.380000000000003</v>
      </c>
      <c r="I19" s="51">
        <v>7.15</v>
      </c>
      <c r="J19" s="51">
        <v>0.42</v>
      </c>
      <c r="K19" s="51">
        <v>338.13</v>
      </c>
      <c r="L19" s="51">
        <v>32.39</v>
      </c>
      <c r="M19" s="51">
        <v>61.87</v>
      </c>
      <c r="N19" s="51">
        <v>645</v>
      </c>
      <c r="O19" s="51">
        <v>0</v>
      </c>
      <c r="P19" s="51">
        <v>0.8</v>
      </c>
      <c r="Q19" s="51">
        <v>3.8</v>
      </c>
    </row>
    <row r="20" spans="1:17" customFormat="1">
      <c r="A20" s="50" t="s">
        <v>191</v>
      </c>
      <c r="B20" s="51">
        <v>9.39</v>
      </c>
      <c r="C20" s="51">
        <v>24.71</v>
      </c>
      <c r="D20" s="51">
        <v>21.73</v>
      </c>
      <c r="E20" s="51">
        <v>13.64</v>
      </c>
      <c r="F20" s="51">
        <v>28.28</v>
      </c>
      <c r="G20" s="51">
        <v>92.22</v>
      </c>
      <c r="H20" s="51">
        <v>35.380000000000003</v>
      </c>
      <c r="I20" s="51">
        <v>7.07</v>
      </c>
      <c r="J20" s="51">
        <v>0.4</v>
      </c>
      <c r="K20" s="51">
        <v>335.99</v>
      </c>
      <c r="L20" s="51">
        <v>32.950000000000003</v>
      </c>
      <c r="M20" s="51">
        <v>58.39</v>
      </c>
      <c r="N20" s="51">
        <v>763.4</v>
      </c>
      <c r="O20" s="51">
        <v>0</v>
      </c>
      <c r="P20" s="51">
        <v>0.79</v>
      </c>
      <c r="Q20" s="51">
        <v>3.63</v>
      </c>
    </row>
    <row r="21" spans="1:17" customFormat="1">
      <c r="A21" s="50" t="s">
        <v>192</v>
      </c>
      <c r="B21" s="51">
        <v>3.08</v>
      </c>
      <c r="C21" s="51">
        <v>23.56</v>
      </c>
      <c r="D21" s="51">
        <v>15.79</v>
      </c>
      <c r="E21" s="51">
        <v>15.57</v>
      </c>
      <c r="F21" s="51">
        <v>25.72</v>
      </c>
      <c r="G21" s="11" t="s">
        <v>12</v>
      </c>
      <c r="H21" s="11" t="s">
        <v>12</v>
      </c>
      <c r="I21" s="51">
        <v>4.99</v>
      </c>
      <c r="J21" s="51">
        <v>0.54</v>
      </c>
      <c r="K21" s="51">
        <v>356.96</v>
      </c>
      <c r="L21" s="51">
        <v>32.979999999999997</v>
      </c>
      <c r="M21" s="51">
        <v>58.45</v>
      </c>
      <c r="N21" s="51">
        <v>510.3</v>
      </c>
      <c r="O21" s="51">
        <v>0</v>
      </c>
      <c r="P21" s="51">
        <v>0.69</v>
      </c>
      <c r="Q21" s="51">
        <v>3.3</v>
      </c>
    </row>
    <row r="22" spans="1:17" customFormat="1">
      <c r="A22" s="50" t="s">
        <v>193</v>
      </c>
      <c r="B22" s="51">
        <v>3.87</v>
      </c>
      <c r="C22" s="51">
        <v>25.18</v>
      </c>
      <c r="D22" s="51">
        <v>17</v>
      </c>
      <c r="E22" s="51">
        <v>11.08</v>
      </c>
      <c r="F22" s="51">
        <v>30.66</v>
      </c>
      <c r="G22" s="51">
        <v>61.29</v>
      </c>
      <c r="H22" s="51">
        <v>10.88</v>
      </c>
      <c r="I22" s="51">
        <v>4.0999999999999996</v>
      </c>
      <c r="J22" s="51">
        <v>0.57999999999999996</v>
      </c>
      <c r="K22" s="51">
        <v>353.8</v>
      </c>
      <c r="L22" s="51">
        <v>33.57</v>
      </c>
      <c r="M22" s="51">
        <v>49.99</v>
      </c>
      <c r="N22" s="51">
        <v>677.7</v>
      </c>
      <c r="O22" s="51">
        <v>0</v>
      </c>
      <c r="P22" s="51">
        <v>0.6</v>
      </c>
      <c r="Q22" s="51">
        <v>3.33</v>
      </c>
    </row>
    <row r="23" spans="1:17" customFormat="1">
      <c r="A23" s="50" t="s">
        <v>194</v>
      </c>
      <c r="B23" s="51">
        <v>4.2</v>
      </c>
      <c r="C23" s="51">
        <v>26.63</v>
      </c>
      <c r="D23" s="51">
        <v>18.48</v>
      </c>
      <c r="E23" s="51">
        <v>8.1999999999999993</v>
      </c>
      <c r="F23" s="51">
        <v>8.19</v>
      </c>
      <c r="G23" s="51">
        <v>57.34</v>
      </c>
      <c r="H23" s="51">
        <v>12.3</v>
      </c>
      <c r="I23" s="51">
        <v>3.3</v>
      </c>
      <c r="J23" s="51">
        <v>0.61</v>
      </c>
      <c r="K23" s="51">
        <v>347.31</v>
      </c>
      <c r="L23" s="51">
        <v>33.130000000000003</v>
      </c>
      <c r="M23" s="51">
        <v>50.85</v>
      </c>
      <c r="N23" s="51">
        <v>565.6</v>
      </c>
      <c r="O23" s="51">
        <v>0</v>
      </c>
      <c r="P23" s="51">
        <v>0.66</v>
      </c>
      <c r="Q23" s="51">
        <v>3.42</v>
      </c>
    </row>
    <row r="24" spans="1:17" customFormat="1">
      <c r="A24" s="50" t="s">
        <v>195</v>
      </c>
      <c r="B24" s="51">
        <v>5.64</v>
      </c>
      <c r="C24" s="51">
        <v>28.7</v>
      </c>
      <c r="D24" s="51">
        <v>20.87</v>
      </c>
      <c r="E24" s="51">
        <v>9.94</v>
      </c>
      <c r="F24" s="51">
        <v>9.5299999999999994</v>
      </c>
      <c r="G24" s="51">
        <v>56.3</v>
      </c>
      <c r="H24" s="51">
        <v>12.06</v>
      </c>
      <c r="I24" s="51">
        <v>3.92</v>
      </c>
      <c r="J24" s="51">
        <v>0.53</v>
      </c>
      <c r="K24" s="51">
        <v>344.91</v>
      </c>
      <c r="L24" s="51">
        <v>32.090000000000003</v>
      </c>
      <c r="M24" s="51">
        <v>52.38</v>
      </c>
      <c r="N24" s="51">
        <v>278.5</v>
      </c>
      <c r="O24" s="51">
        <v>0</v>
      </c>
      <c r="P24" s="51">
        <v>0.68</v>
      </c>
      <c r="Q24" s="51">
        <v>3.51</v>
      </c>
    </row>
    <row r="25" spans="1:17" customFormat="1">
      <c r="A25" s="50" t="s">
        <v>196</v>
      </c>
      <c r="B25" s="51">
        <v>6.76</v>
      </c>
      <c r="C25" s="51">
        <v>31.26</v>
      </c>
      <c r="D25" s="51">
        <v>23.11</v>
      </c>
      <c r="E25" s="51">
        <v>10.119999999999999</v>
      </c>
      <c r="F25" s="51">
        <v>9.49</v>
      </c>
      <c r="G25" s="51">
        <v>57.74</v>
      </c>
      <c r="H25" s="51">
        <v>12.73</v>
      </c>
      <c r="I25" s="51">
        <v>3.99</v>
      </c>
      <c r="J25" s="51">
        <v>0.39</v>
      </c>
      <c r="K25" s="51">
        <v>29.75</v>
      </c>
      <c r="L25" s="51">
        <v>31.42</v>
      </c>
      <c r="M25" s="51">
        <v>56.79</v>
      </c>
      <c r="N25" s="51">
        <v>43.7</v>
      </c>
      <c r="O25" s="51">
        <v>0</v>
      </c>
      <c r="P25" s="51">
        <v>0.72</v>
      </c>
      <c r="Q25" s="51">
        <v>3.58</v>
      </c>
    </row>
    <row r="26" spans="1:17" customFormat="1">
      <c r="A26" s="50" t="s">
        <v>197</v>
      </c>
      <c r="B26" s="51">
        <v>7.87</v>
      </c>
      <c r="C26" s="51">
        <v>30.95</v>
      </c>
      <c r="D26" s="51">
        <v>23.78</v>
      </c>
      <c r="E26" s="51">
        <v>9.49</v>
      </c>
      <c r="F26" s="51">
        <v>5</v>
      </c>
      <c r="G26" s="51">
        <v>61.92</v>
      </c>
      <c r="H26" s="51">
        <v>15.05</v>
      </c>
      <c r="I26" s="51">
        <v>4.3</v>
      </c>
      <c r="J26" s="51">
        <v>0.32</v>
      </c>
      <c r="K26" s="51">
        <v>169.6</v>
      </c>
      <c r="L26" s="51">
        <v>30.2</v>
      </c>
      <c r="M26" s="51">
        <v>72.67</v>
      </c>
      <c r="N26" s="51">
        <v>7.5</v>
      </c>
      <c r="O26" s="51">
        <v>0</v>
      </c>
      <c r="P26" s="51">
        <v>0.75</v>
      </c>
      <c r="Q26" s="51">
        <v>3.66</v>
      </c>
    </row>
    <row r="27" spans="1:17" customFormat="1">
      <c r="A27" s="50" t="s">
        <v>198</v>
      </c>
      <c r="B27" s="51">
        <v>9.23</v>
      </c>
      <c r="C27" s="51">
        <v>29.62</v>
      </c>
      <c r="D27" s="51">
        <v>23.38</v>
      </c>
      <c r="E27" s="51">
        <v>6.02</v>
      </c>
      <c r="F27" s="51">
        <v>5.6</v>
      </c>
      <c r="G27" s="51">
        <v>70.55</v>
      </c>
      <c r="H27" s="51">
        <v>15.6</v>
      </c>
      <c r="I27" s="51">
        <v>4.6500000000000004</v>
      </c>
      <c r="J27" s="51">
        <v>0.27</v>
      </c>
      <c r="K27" s="51">
        <v>220.84</v>
      </c>
      <c r="L27" s="51">
        <v>28.21</v>
      </c>
      <c r="M27" s="51">
        <v>81.47</v>
      </c>
      <c r="N27" s="51">
        <v>0</v>
      </c>
      <c r="O27" s="51">
        <v>0</v>
      </c>
      <c r="P27" s="51">
        <v>0.78</v>
      </c>
      <c r="Q27" s="51">
        <v>3.73</v>
      </c>
    </row>
    <row r="28" spans="1:17" customFormat="1">
      <c r="A28" s="50" t="s">
        <v>199</v>
      </c>
      <c r="B28" s="51">
        <v>10.09</v>
      </c>
      <c r="C28" s="51">
        <v>22.19</v>
      </c>
      <c r="D28" s="51">
        <v>20.86</v>
      </c>
      <c r="E28" s="51">
        <v>5.83</v>
      </c>
      <c r="F28" s="51">
        <v>7.34</v>
      </c>
      <c r="G28" s="51">
        <v>68.34</v>
      </c>
      <c r="H28" s="51">
        <v>15.83</v>
      </c>
      <c r="I28" s="51">
        <v>5.05</v>
      </c>
      <c r="J28" s="51">
        <v>0.16</v>
      </c>
      <c r="K28" s="51">
        <v>208.69</v>
      </c>
      <c r="L28" s="51">
        <v>26.56</v>
      </c>
      <c r="M28" s="51">
        <v>88.31</v>
      </c>
      <c r="N28" s="51">
        <v>0</v>
      </c>
      <c r="O28" s="51">
        <v>0</v>
      </c>
      <c r="P28" s="51">
        <v>0.81</v>
      </c>
      <c r="Q28" s="51">
        <v>3.7</v>
      </c>
    </row>
    <row r="29" spans="1:17" customFormat="1">
      <c r="A29" s="50" t="s">
        <v>200</v>
      </c>
      <c r="B29" s="51">
        <v>11.93</v>
      </c>
      <c r="C29" s="51">
        <v>24.73</v>
      </c>
      <c r="D29" s="51">
        <v>23.48</v>
      </c>
      <c r="E29" s="51">
        <v>5.58</v>
      </c>
      <c r="F29" s="51">
        <v>3.5</v>
      </c>
      <c r="G29" s="51">
        <v>66.69</v>
      </c>
      <c r="H29" s="51">
        <v>16.86</v>
      </c>
      <c r="I29" s="51">
        <v>5.67</v>
      </c>
      <c r="J29" s="51">
        <v>0.23</v>
      </c>
      <c r="K29" s="51">
        <v>219.14</v>
      </c>
      <c r="L29" s="51">
        <v>25.9</v>
      </c>
      <c r="M29" s="51">
        <v>89.51</v>
      </c>
      <c r="N29" s="51">
        <v>0</v>
      </c>
      <c r="O29" s="51">
        <v>0</v>
      </c>
      <c r="P29" s="51">
        <v>0.84</v>
      </c>
      <c r="Q29" s="51">
        <v>3.79</v>
      </c>
    </row>
    <row r="30" spans="1:17" customFormat="1">
      <c r="A30" s="50" t="s">
        <v>201</v>
      </c>
      <c r="B30" s="51">
        <v>13.16</v>
      </c>
      <c r="C30" s="51">
        <v>24</v>
      </c>
      <c r="D30" s="51">
        <v>24.33</v>
      </c>
      <c r="E30" s="51">
        <v>5.12</v>
      </c>
      <c r="F30" s="51">
        <v>3.46</v>
      </c>
      <c r="G30" s="51">
        <v>65.34</v>
      </c>
      <c r="H30" s="51">
        <v>18.149999999999999</v>
      </c>
      <c r="I30" s="51">
        <v>5.97</v>
      </c>
      <c r="J30" s="51">
        <v>0.12</v>
      </c>
      <c r="K30" s="51">
        <v>231.49</v>
      </c>
      <c r="L30" s="51">
        <v>25.1</v>
      </c>
      <c r="M30" s="51">
        <v>89.39</v>
      </c>
      <c r="N30" s="51">
        <v>0</v>
      </c>
      <c r="O30" s="51">
        <v>0</v>
      </c>
      <c r="P30" s="51">
        <v>0.87</v>
      </c>
      <c r="Q30" s="51">
        <v>3.87</v>
      </c>
    </row>
    <row r="31" spans="1:17" customFormat="1">
      <c r="A31" s="50" t="s">
        <v>202</v>
      </c>
      <c r="B31" s="51">
        <v>14.27</v>
      </c>
      <c r="C31" s="51">
        <v>24.13</v>
      </c>
      <c r="D31" s="51">
        <v>25.31</v>
      </c>
      <c r="E31" s="51">
        <v>5.76</v>
      </c>
      <c r="F31" s="51">
        <v>3.22</v>
      </c>
      <c r="G31" s="51">
        <v>65.75</v>
      </c>
      <c r="H31" s="51">
        <v>19.38</v>
      </c>
      <c r="I31" s="51">
        <v>6.31</v>
      </c>
      <c r="J31" s="51">
        <v>0.2</v>
      </c>
      <c r="K31" s="51">
        <v>207.49</v>
      </c>
      <c r="L31" s="51">
        <v>24.99</v>
      </c>
      <c r="M31" s="51">
        <v>87.64</v>
      </c>
      <c r="N31" s="51">
        <v>0</v>
      </c>
      <c r="O31" s="51">
        <v>0</v>
      </c>
      <c r="P31" s="51">
        <v>0.91</v>
      </c>
      <c r="Q31" s="51">
        <v>3.93</v>
      </c>
    </row>
    <row r="32" spans="1:17" customFormat="1">
      <c r="A32" s="50" t="s">
        <v>203</v>
      </c>
      <c r="B32" s="51">
        <v>14.25</v>
      </c>
      <c r="C32" s="51">
        <v>27.2</v>
      </c>
      <c r="D32" s="51">
        <v>26.79</v>
      </c>
      <c r="E32" s="51">
        <v>5.69</v>
      </c>
      <c r="F32" s="51">
        <v>3.02</v>
      </c>
      <c r="G32" s="51">
        <v>64.78</v>
      </c>
      <c r="H32" s="51">
        <v>20.46</v>
      </c>
      <c r="I32" s="51">
        <v>6.64</v>
      </c>
      <c r="J32" s="51">
        <v>0.21</v>
      </c>
      <c r="K32" s="51">
        <v>211.11</v>
      </c>
      <c r="L32" s="51">
        <v>25.55</v>
      </c>
      <c r="M32" s="51">
        <v>82.79</v>
      </c>
      <c r="N32" s="51">
        <v>0</v>
      </c>
      <c r="O32" s="51">
        <v>0</v>
      </c>
      <c r="P32" s="51">
        <v>0.94</v>
      </c>
      <c r="Q32" s="51">
        <v>3.93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3.08</v>
      </c>
      <c r="C34" s="41">
        <f t="shared" si="0"/>
        <v>22.19</v>
      </c>
      <c r="D34" s="41">
        <f t="shared" si="0"/>
        <v>15.79</v>
      </c>
      <c r="E34" s="41">
        <f t="shared" si="0"/>
        <v>5.12</v>
      </c>
      <c r="F34" s="41">
        <f t="shared" si="0"/>
        <v>2.57</v>
      </c>
      <c r="G34" s="41">
        <f t="shared" si="0"/>
        <v>47.5</v>
      </c>
      <c r="H34" s="41">
        <f t="shared" si="0"/>
        <v>10.88</v>
      </c>
      <c r="I34" s="41">
        <f t="shared" si="0"/>
        <v>3.3</v>
      </c>
      <c r="J34" s="41">
        <f t="shared" si="0"/>
        <v>0.12</v>
      </c>
      <c r="K34" s="41">
        <f t="shared" si="0"/>
        <v>29.75</v>
      </c>
      <c r="L34" s="41">
        <f t="shared" si="0"/>
        <v>22.66</v>
      </c>
      <c r="M34" s="41">
        <f t="shared" si="0"/>
        <v>49.99</v>
      </c>
      <c r="N34" s="41">
        <f t="shared" si="0"/>
        <v>0</v>
      </c>
      <c r="O34" s="41">
        <f t="shared" si="0"/>
        <v>0</v>
      </c>
      <c r="P34" s="41">
        <f t="shared" si="0"/>
        <v>0.6</v>
      </c>
      <c r="Q34" s="41">
        <f t="shared" si="0"/>
        <v>3.3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14.75</v>
      </c>
      <c r="C35" s="33">
        <f t="shared" si="1"/>
        <v>31.26</v>
      </c>
      <c r="D35" s="33">
        <f t="shared" si="1"/>
        <v>26.79</v>
      </c>
      <c r="E35" s="33">
        <f t="shared" si="1"/>
        <v>15.57</v>
      </c>
      <c r="F35" s="33">
        <f t="shared" si="1"/>
        <v>30.66</v>
      </c>
      <c r="G35" s="33">
        <f t="shared" si="1"/>
        <v>92.22</v>
      </c>
      <c r="H35" s="33">
        <f t="shared" si="1"/>
        <v>35.380000000000003</v>
      </c>
      <c r="I35" s="33">
        <f t="shared" si="1"/>
        <v>7.93</v>
      </c>
      <c r="J35" s="33">
        <f t="shared" si="1"/>
        <v>0.61</v>
      </c>
      <c r="K35" s="33">
        <f t="shared" si="1"/>
        <v>357.16</v>
      </c>
      <c r="L35" s="33">
        <f t="shared" si="1"/>
        <v>33.57</v>
      </c>
      <c r="M35" s="33">
        <f t="shared" si="1"/>
        <v>95.39</v>
      </c>
      <c r="N35" s="33">
        <f t="shared" si="1"/>
        <v>763.4</v>
      </c>
      <c r="O35" s="33">
        <f t="shared" si="1"/>
        <v>0</v>
      </c>
      <c r="P35" s="33">
        <f t="shared" si="1"/>
        <v>0.94</v>
      </c>
      <c r="Q35" s="33">
        <f t="shared" si="1"/>
        <v>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10.847083333333336</v>
      </c>
      <c r="C36" s="41">
        <f t="shared" si="2"/>
        <v>26.227916666666669</v>
      </c>
      <c r="D36" s="41">
        <f t="shared" si="2"/>
        <v>23.53</v>
      </c>
      <c r="E36" s="41">
        <f t="shared" si="2"/>
        <v>8.6254166666666681</v>
      </c>
      <c r="F36" s="41">
        <f t="shared" si="2"/>
        <v>7.4520833333333343</v>
      </c>
      <c r="G36" s="41">
        <f t="shared" si="2"/>
        <v>62.769130434782603</v>
      </c>
      <c r="H36" s="41">
        <f t="shared" si="2"/>
        <v>17.894347826086957</v>
      </c>
      <c r="I36" s="41">
        <f t="shared" si="2"/>
        <v>6.1262499999999989</v>
      </c>
      <c r="J36" s="41">
        <f t="shared" si="2"/>
        <v>0.29083333333333339</v>
      </c>
      <c r="K36" s="41">
        <f t="shared" si="2"/>
        <v>248.70000000000002</v>
      </c>
      <c r="L36" s="41">
        <f t="shared" si="2"/>
        <v>27.75</v>
      </c>
      <c r="M36" s="41">
        <f t="shared" si="2"/>
        <v>77.57416666666667</v>
      </c>
      <c r="N36" s="41">
        <f t="shared" si="2"/>
        <v>198.4666666666667</v>
      </c>
      <c r="O36" s="41">
        <f t="shared" si="2"/>
        <v>0</v>
      </c>
      <c r="P36" s="41">
        <f t="shared" si="2"/>
        <v>0.78291666666666682</v>
      </c>
      <c r="Q36" s="41">
        <f t="shared" si="2"/>
        <v>3.773750000000001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3.7068485140071568</v>
      </c>
      <c r="C37" s="41">
        <f t="shared" ref="C37:Q37" si="3">STDEV(C9:C32)</f>
        <v>2.3368075196853497</v>
      </c>
      <c r="D37" s="41">
        <f t="shared" si="3"/>
        <v>2.9890393978231637</v>
      </c>
      <c r="E37" s="41">
        <f t="shared" si="3"/>
        <v>2.5285740596949662</v>
      </c>
      <c r="F37" s="41">
        <f t="shared" si="3"/>
        <v>8.3277153708025704</v>
      </c>
      <c r="G37" s="41">
        <f t="shared" si="3"/>
        <v>11.368942908021445</v>
      </c>
      <c r="H37" s="41">
        <f t="shared" si="3"/>
        <v>6.2828358001542197</v>
      </c>
      <c r="I37" s="41">
        <f t="shared" si="3"/>
        <v>1.46966962421758</v>
      </c>
      <c r="J37" s="41">
        <f t="shared" si="3"/>
        <v>0.15119571729231024</v>
      </c>
      <c r="K37" s="41">
        <f t="shared" si="3"/>
        <v>82.109100750689976</v>
      </c>
      <c r="L37" s="41">
        <f t="shared" si="3"/>
        <v>3.9979657870950471</v>
      </c>
      <c r="M37" s="41">
        <f t="shared" si="3"/>
        <v>16.481172899552</v>
      </c>
      <c r="N37" s="41">
        <f t="shared" si="3"/>
        <v>274.16481819561</v>
      </c>
      <c r="O37" s="41">
        <f t="shared" si="3"/>
        <v>0</v>
      </c>
      <c r="P37" s="41">
        <f t="shared" si="3"/>
        <v>7.6866862123763022E-2</v>
      </c>
      <c r="Q37" s="41">
        <f t="shared" si="3"/>
        <v>0.21416800597335547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204</v>
      </c>
      <c r="B9" s="51">
        <v>13.69</v>
      </c>
      <c r="C9" s="51">
        <v>27.93</v>
      </c>
      <c r="D9" s="51">
        <v>26.77</v>
      </c>
      <c r="E9" s="51">
        <v>5.53</v>
      </c>
      <c r="F9" s="51">
        <v>2.76</v>
      </c>
      <c r="G9" s="51">
        <v>65.650000000000006</v>
      </c>
      <c r="H9" s="51">
        <v>22.89</v>
      </c>
      <c r="I9" s="51">
        <v>6.67</v>
      </c>
      <c r="J9" s="51">
        <v>0.16</v>
      </c>
      <c r="K9" s="51">
        <v>227.73</v>
      </c>
      <c r="L9" s="51">
        <v>24.33</v>
      </c>
      <c r="M9" s="51">
        <v>88.19</v>
      </c>
      <c r="N9" s="51">
        <v>0</v>
      </c>
      <c r="O9" s="51">
        <v>0</v>
      </c>
      <c r="P9" s="51">
        <v>0.93</v>
      </c>
      <c r="Q9" s="51">
        <v>3.96</v>
      </c>
    </row>
    <row r="10" spans="1:21" customFormat="1">
      <c r="A10" s="50" t="s">
        <v>205</v>
      </c>
      <c r="B10" s="51">
        <v>13.84</v>
      </c>
      <c r="C10" s="51">
        <v>27.49</v>
      </c>
      <c r="D10" s="51">
        <v>26.82</v>
      </c>
      <c r="E10" s="51">
        <v>5.62</v>
      </c>
      <c r="F10" s="51">
        <v>2.62</v>
      </c>
      <c r="G10" s="51">
        <v>56.3</v>
      </c>
      <c r="H10" s="51">
        <v>20.22</v>
      </c>
      <c r="I10" s="51">
        <v>6.74</v>
      </c>
      <c r="J10" s="51">
        <v>0.13</v>
      </c>
      <c r="K10" s="51">
        <v>207.88</v>
      </c>
      <c r="L10" s="51">
        <v>23.56</v>
      </c>
      <c r="M10" s="51">
        <v>92.55</v>
      </c>
      <c r="N10" s="51">
        <v>0</v>
      </c>
      <c r="O10" s="51">
        <v>0</v>
      </c>
      <c r="P10" s="51">
        <v>0.92</v>
      </c>
      <c r="Q10" s="51">
        <v>4</v>
      </c>
    </row>
    <row r="11" spans="1:21" customFormat="1">
      <c r="A11" s="50" t="s">
        <v>206</v>
      </c>
      <c r="B11" s="51">
        <v>16.850000000000001</v>
      </c>
      <c r="C11" s="51">
        <v>30.36</v>
      </c>
      <c r="D11" s="51">
        <v>30.71</v>
      </c>
      <c r="E11" s="51">
        <v>7.71</v>
      </c>
      <c r="F11" s="51">
        <v>2.5099999999999998</v>
      </c>
      <c r="G11" s="51">
        <v>59.65</v>
      </c>
      <c r="H11" s="51">
        <v>19.73</v>
      </c>
      <c r="I11" s="51">
        <v>6.71</v>
      </c>
      <c r="J11" s="51">
        <v>0.19</v>
      </c>
      <c r="K11" s="51">
        <v>309.58999999999997</v>
      </c>
      <c r="L11" s="51">
        <v>23.92</v>
      </c>
      <c r="M11" s="51">
        <v>84.31</v>
      </c>
      <c r="N11" s="51">
        <v>0</v>
      </c>
      <c r="O11" s="51">
        <v>0</v>
      </c>
      <c r="P11" s="51">
        <v>0.91</v>
      </c>
      <c r="Q11" s="51">
        <v>4.21</v>
      </c>
    </row>
    <row r="12" spans="1:21" customFormat="1">
      <c r="A12" s="50" t="s">
        <v>207</v>
      </c>
      <c r="B12" s="51">
        <v>18.2</v>
      </c>
      <c r="C12" s="51">
        <v>31.33</v>
      </c>
      <c r="D12" s="51">
        <v>32.32</v>
      </c>
      <c r="E12" s="51">
        <v>7.64</v>
      </c>
      <c r="F12" s="51">
        <v>2.4700000000000002</v>
      </c>
      <c r="G12" s="51">
        <v>63.89</v>
      </c>
      <c r="H12" s="51">
        <v>23.79</v>
      </c>
      <c r="I12" s="51">
        <v>6.61</v>
      </c>
      <c r="J12" s="51">
        <v>0.15</v>
      </c>
      <c r="K12" s="51">
        <v>169.62</v>
      </c>
      <c r="L12" s="51">
        <v>23.59</v>
      </c>
      <c r="M12" s="51">
        <v>81.52</v>
      </c>
      <c r="N12" s="51">
        <v>0</v>
      </c>
      <c r="O12" s="51">
        <v>0</v>
      </c>
      <c r="P12" s="51">
        <v>0.9</v>
      </c>
      <c r="Q12" s="51">
        <v>4.28</v>
      </c>
    </row>
    <row r="13" spans="1:21" customFormat="1">
      <c r="A13" s="50" t="s">
        <v>208</v>
      </c>
      <c r="B13" s="51">
        <v>20.47</v>
      </c>
      <c r="C13" s="51">
        <v>29.72</v>
      </c>
      <c r="D13" s="51">
        <v>32.9</v>
      </c>
      <c r="E13" s="51">
        <v>6.96</v>
      </c>
      <c r="F13" s="51">
        <v>3.19</v>
      </c>
      <c r="G13" s="51">
        <v>75.150000000000006</v>
      </c>
      <c r="H13" s="51">
        <v>27.63</v>
      </c>
      <c r="I13" s="51">
        <v>6.62</v>
      </c>
      <c r="J13" s="51">
        <v>0.14000000000000001</v>
      </c>
      <c r="K13" s="51">
        <v>209.71</v>
      </c>
      <c r="L13" s="51">
        <v>22.98</v>
      </c>
      <c r="M13" s="51">
        <v>83.25</v>
      </c>
      <c r="N13" s="51">
        <v>0</v>
      </c>
      <c r="O13" s="51">
        <v>0</v>
      </c>
      <c r="P13" s="51">
        <v>0.87</v>
      </c>
      <c r="Q13" s="51">
        <v>4.3</v>
      </c>
    </row>
    <row r="14" spans="1:21" customFormat="1">
      <c r="A14" s="50" t="s">
        <v>209</v>
      </c>
      <c r="B14" s="51">
        <v>22.31</v>
      </c>
      <c r="C14" s="51">
        <v>28.75</v>
      </c>
      <c r="D14" s="51">
        <v>33.9</v>
      </c>
      <c r="E14" s="51">
        <v>7.2</v>
      </c>
      <c r="F14" s="51">
        <v>3.09</v>
      </c>
      <c r="G14" s="51">
        <v>72.02</v>
      </c>
      <c r="H14" s="51">
        <v>28.52</v>
      </c>
      <c r="I14" s="51">
        <v>6.58</v>
      </c>
      <c r="J14" s="51">
        <v>0.15</v>
      </c>
      <c r="K14" s="51">
        <v>226.88</v>
      </c>
      <c r="L14" s="51">
        <v>22.56</v>
      </c>
      <c r="M14" s="51">
        <v>91.18</v>
      </c>
      <c r="N14" s="51">
        <v>0</v>
      </c>
      <c r="O14" s="51">
        <v>0</v>
      </c>
      <c r="P14" s="51">
        <v>0.83</v>
      </c>
      <c r="Q14" s="51">
        <v>4.42</v>
      </c>
    </row>
    <row r="15" spans="1:21" customFormat="1">
      <c r="A15" s="50" t="s">
        <v>210</v>
      </c>
      <c r="B15" s="51">
        <v>24.86</v>
      </c>
      <c r="C15" s="51">
        <v>28.72</v>
      </c>
      <c r="D15" s="51">
        <v>35.770000000000003</v>
      </c>
      <c r="E15" s="51">
        <v>7.07</v>
      </c>
      <c r="F15" s="51">
        <v>2.96</v>
      </c>
      <c r="G15" s="51">
        <v>83.41</v>
      </c>
      <c r="H15" s="51">
        <v>30.48</v>
      </c>
      <c r="I15" s="51">
        <v>6.63</v>
      </c>
      <c r="J15" s="51">
        <v>0.19</v>
      </c>
      <c r="K15" s="51">
        <v>231.49</v>
      </c>
      <c r="L15" s="51">
        <v>23.26</v>
      </c>
      <c r="M15" s="51">
        <v>92</v>
      </c>
      <c r="N15" s="51">
        <v>35.4</v>
      </c>
      <c r="O15" s="51">
        <v>0</v>
      </c>
      <c r="P15" s="51">
        <v>0.83</v>
      </c>
      <c r="Q15" s="51">
        <v>4.5199999999999996</v>
      </c>
    </row>
    <row r="16" spans="1:21" customFormat="1">
      <c r="A16" s="50" t="s">
        <v>211</v>
      </c>
      <c r="B16" s="51">
        <v>27.07</v>
      </c>
      <c r="C16" s="51">
        <v>29</v>
      </c>
      <c r="D16" s="51">
        <v>37.86</v>
      </c>
      <c r="E16" s="51">
        <v>7.28</v>
      </c>
      <c r="F16" s="51">
        <v>3.02</v>
      </c>
      <c r="G16" s="51">
        <v>96.73</v>
      </c>
      <c r="H16" s="51">
        <v>33.85</v>
      </c>
      <c r="I16" s="51">
        <v>6.77</v>
      </c>
      <c r="J16" s="51">
        <v>0.14000000000000001</v>
      </c>
      <c r="K16" s="51">
        <v>322.56</v>
      </c>
      <c r="L16" s="51">
        <v>26.31</v>
      </c>
      <c r="M16" s="51">
        <v>81.92</v>
      </c>
      <c r="N16" s="51">
        <v>220.1</v>
      </c>
      <c r="O16" s="51">
        <v>0</v>
      </c>
      <c r="P16" s="51">
        <v>0.86</v>
      </c>
      <c r="Q16" s="51">
        <v>4.66</v>
      </c>
    </row>
    <row r="17" spans="1:17" customFormat="1">
      <c r="A17" s="50" t="s">
        <v>212</v>
      </c>
      <c r="B17" s="51">
        <v>27.4</v>
      </c>
      <c r="C17" s="51">
        <v>29.32</v>
      </c>
      <c r="D17" s="51">
        <v>37.880000000000003</v>
      </c>
      <c r="E17" s="51">
        <v>9.68</v>
      </c>
      <c r="F17" s="51">
        <v>3.35</v>
      </c>
      <c r="G17" s="51">
        <v>101.8</v>
      </c>
      <c r="H17" s="51">
        <v>37.53</v>
      </c>
      <c r="I17" s="51">
        <v>7.08</v>
      </c>
      <c r="J17" s="51">
        <v>0.22</v>
      </c>
      <c r="K17" s="51">
        <v>350.92</v>
      </c>
      <c r="L17" s="51">
        <v>29.25</v>
      </c>
      <c r="M17" s="51">
        <v>62.19</v>
      </c>
      <c r="N17" s="51">
        <v>453.6</v>
      </c>
      <c r="O17" s="51">
        <v>0</v>
      </c>
      <c r="P17" s="51">
        <v>0.91</v>
      </c>
      <c r="Q17" s="51">
        <v>4.66</v>
      </c>
    </row>
    <row r="18" spans="1:17" customFormat="1">
      <c r="A18" s="50" t="s">
        <v>213</v>
      </c>
      <c r="B18" s="51">
        <v>24.6</v>
      </c>
      <c r="C18" s="51">
        <v>34.409999999999997</v>
      </c>
      <c r="D18" s="51">
        <v>37.32</v>
      </c>
      <c r="E18" s="51">
        <v>10.029999999999999</v>
      </c>
      <c r="F18" s="51">
        <v>3.99</v>
      </c>
      <c r="G18" s="51">
        <v>113.87</v>
      </c>
      <c r="H18" s="51">
        <v>39.04</v>
      </c>
      <c r="I18" s="51">
        <v>7.26</v>
      </c>
      <c r="J18" s="51">
        <v>0.37</v>
      </c>
      <c r="K18" s="51">
        <v>346.24</v>
      </c>
      <c r="L18" s="51">
        <v>31.18</v>
      </c>
      <c r="M18" s="51">
        <v>53.47</v>
      </c>
      <c r="N18" s="51">
        <v>496.6</v>
      </c>
      <c r="O18" s="51">
        <v>0</v>
      </c>
      <c r="P18" s="51">
        <v>0.99</v>
      </c>
      <c r="Q18" s="51">
        <v>4.5199999999999996</v>
      </c>
    </row>
    <row r="19" spans="1:17" customFormat="1">
      <c r="A19" s="50" t="s">
        <v>214</v>
      </c>
      <c r="B19" s="51">
        <v>19.2</v>
      </c>
      <c r="C19" s="51">
        <v>35.700000000000003</v>
      </c>
      <c r="D19" s="51">
        <v>35.07</v>
      </c>
      <c r="E19" s="51">
        <v>11.83</v>
      </c>
      <c r="F19" s="51">
        <v>5.39</v>
      </c>
      <c r="G19" s="51">
        <v>119.32</v>
      </c>
      <c r="H19" s="51">
        <v>38.049999999999997</v>
      </c>
      <c r="I19" s="51">
        <v>7.19</v>
      </c>
      <c r="J19" s="51">
        <v>0.46</v>
      </c>
      <c r="K19" s="51">
        <v>43.01</v>
      </c>
      <c r="L19" s="51">
        <v>32.43</v>
      </c>
      <c r="M19" s="51">
        <v>47.62</v>
      </c>
      <c r="N19" s="51">
        <v>702.1</v>
      </c>
      <c r="O19" s="51">
        <v>0</v>
      </c>
      <c r="P19" s="51">
        <v>1.03</v>
      </c>
      <c r="Q19" s="51">
        <v>4.33</v>
      </c>
    </row>
    <row r="20" spans="1:17" customFormat="1">
      <c r="A20" s="50" t="s">
        <v>215</v>
      </c>
      <c r="B20" s="51">
        <v>13.63</v>
      </c>
      <c r="C20" s="51">
        <v>35.65</v>
      </c>
      <c r="D20" s="51">
        <v>30.9</v>
      </c>
      <c r="E20" s="51">
        <v>12.61</v>
      </c>
      <c r="F20" s="51">
        <v>7.61</v>
      </c>
      <c r="G20" s="51">
        <v>116.37</v>
      </c>
      <c r="H20" s="51">
        <v>40.119999999999997</v>
      </c>
      <c r="I20" s="51">
        <v>6.92</v>
      </c>
      <c r="J20" s="51">
        <v>0.35</v>
      </c>
      <c r="K20" s="51">
        <v>359.17</v>
      </c>
      <c r="L20" s="51">
        <v>33.08</v>
      </c>
      <c r="M20" s="51">
        <v>46.37</v>
      </c>
      <c r="N20" s="51">
        <v>795.8</v>
      </c>
      <c r="O20" s="51">
        <v>0</v>
      </c>
      <c r="P20" s="51">
        <v>1.01</v>
      </c>
      <c r="Q20" s="51">
        <v>4.08</v>
      </c>
    </row>
    <row r="21" spans="1:17" customFormat="1">
      <c r="A21" s="50" t="s">
        <v>216</v>
      </c>
      <c r="B21" s="51">
        <v>8.8800000000000008</v>
      </c>
      <c r="C21" s="51">
        <v>34.06</v>
      </c>
      <c r="D21" s="51">
        <v>26.27</v>
      </c>
      <c r="E21" s="51">
        <v>18.190000000000001</v>
      </c>
      <c r="F21" s="51">
        <v>10.31</v>
      </c>
      <c r="G21" s="51">
        <v>100.46</v>
      </c>
      <c r="H21" s="51">
        <v>35.35</v>
      </c>
      <c r="I21" s="51">
        <v>6.49</v>
      </c>
      <c r="J21" s="51">
        <v>0.61</v>
      </c>
      <c r="K21" s="51">
        <v>37.76</v>
      </c>
      <c r="L21" s="51">
        <v>33.450000000000003</v>
      </c>
      <c r="M21" s="51">
        <v>40.43</v>
      </c>
      <c r="N21" s="51">
        <v>804.6</v>
      </c>
      <c r="O21" s="51">
        <v>0</v>
      </c>
      <c r="P21" s="51">
        <v>0.96</v>
      </c>
      <c r="Q21" s="51">
        <v>3.79</v>
      </c>
    </row>
    <row r="22" spans="1:17" customFormat="1">
      <c r="A22" s="50" t="s">
        <v>217</v>
      </c>
      <c r="B22" s="51">
        <v>6.71</v>
      </c>
      <c r="C22" s="51">
        <v>31.83</v>
      </c>
      <c r="D22" s="51">
        <v>23.36</v>
      </c>
      <c r="E22" s="51">
        <v>9.61</v>
      </c>
      <c r="F22" s="51">
        <v>8.69</v>
      </c>
      <c r="G22" s="51">
        <v>82.84</v>
      </c>
      <c r="H22" s="51">
        <v>28</v>
      </c>
      <c r="I22" s="51">
        <v>5.99</v>
      </c>
      <c r="J22" s="51">
        <v>0.72</v>
      </c>
      <c r="K22" s="51">
        <v>35.799999999999997</v>
      </c>
      <c r="L22" s="51">
        <v>33.81</v>
      </c>
      <c r="M22" s="51">
        <v>40.909999999999997</v>
      </c>
      <c r="N22" s="51">
        <v>738.4</v>
      </c>
      <c r="O22" s="51">
        <v>0</v>
      </c>
      <c r="P22" s="51">
        <v>0.89</v>
      </c>
      <c r="Q22" s="51">
        <v>3.61</v>
      </c>
    </row>
    <row r="23" spans="1:17" customFormat="1">
      <c r="A23" s="50" t="s">
        <v>218</v>
      </c>
      <c r="B23" s="51">
        <v>6.31</v>
      </c>
      <c r="C23" s="51">
        <v>28.4</v>
      </c>
      <c r="D23" s="51">
        <v>21.12</v>
      </c>
      <c r="E23" s="51">
        <v>11.46</v>
      </c>
      <c r="F23" s="51">
        <v>14.32</v>
      </c>
      <c r="G23" s="51">
        <v>71.87</v>
      </c>
      <c r="H23" s="51">
        <v>25.43</v>
      </c>
      <c r="I23" s="51">
        <v>5.57</v>
      </c>
      <c r="J23" s="51">
        <v>0.5</v>
      </c>
      <c r="K23" s="51">
        <v>353.89</v>
      </c>
      <c r="L23" s="51">
        <v>33.53</v>
      </c>
      <c r="M23" s="51">
        <v>40.03</v>
      </c>
      <c r="N23" s="51">
        <v>645.1</v>
      </c>
      <c r="O23" s="51">
        <v>0</v>
      </c>
      <c r="P23" s="51">
        <v>0.74</v>
      </c>
      <c r="Q23" s="51">
        <v>3.53</v>
      </c>
    </row>
    <row r="24" spans="1:17" customFormat="1">
      <c r="A24" s="50" t="s">
        <v>219</v>
      </c>
      <c r="B24" s="51">
        <v>6.9</v>
      </c>
      <c r="C24" s="51">
        <v>24.45</v>
      </c>
      <c r="D24" s="51">
        <v>19.66</v>
      </c>
      <c r="E24" s="51">
        <v>14.45</v>
      </c>
      <c r="F24" s="51">
        <v>24.57</v>
      </c>
      <c r="G24" s="51">
        <v>56.93</v>
      </c>
      <c r="H24" s="51">
        <v>22.29</v>
      </c>
      <c r="I24" s="51">
        <v>5.25</v>
      </c>
      <c r="J24" s="51">
        <v>0.38</v>
      </c>
      <c r="K24" s="51">
        <v>56.91</v>
      </c>
      <c r="L24" s="51">
        <v>32.35</v>
      </c>
      <c r="M24" s="51">
        <v>37.700000000000003</v>
      </c>
      <c r="N24" s="51">
        <v>282.39999999999998</v>
      </c>
      <c r="O24" s="51">
        <v>0</v>
      </c>
      <c r="P24" s="51">
        <v>0.69</v>
      </c>
      <c r="Q24" s="51">
        <v>3.42</v>
      </c>
    </row>
    <row r="25" spans="1:17" customFormat="1">
      <c r="A25" s="50" t="s">
        <v>220</v>
      </c>
      <c r="B25" s="51">
        <v>8.23</v>
      </c>
      <c r="C25" s="51">
        <v>28.51</v>
      </c>
      <c r="D25" s="51">
        <v>22.85</v>
      </c>
      <c r="E25" s="51">
        <v>13.57</v>
      </c>
      <c r="F25" s="51">
        <v>17.88</v>
      </c>
      <c r="G25" s="51">
        <v>56.57</v>
      </c>
      <c r="H25" s="51">
        <v>16.059999999999999</v>
      </c>
      <c r="I25" s="51">
        <v>4.6500000000000004</v>
      </c>
      <c r="J25" s="51">
        <v>0.46</v>
      </c>
      <c r="K25" s="51">
        <v>116.37</v>
      </c>
      <c r="L25" s="51">
        <v>31.72</v>
      </c>
      <c r="M25" s="51">
        <v>49.59</v>
      </c>
      <c r="N25" s="51">
        <v>46.1</v>
      </c>
      <c r="O25" s="51">
        <v>0</v>
      </c>
      <c r="P25" s="51">
        <v>0.67</v>
      </c>
      <c r="Q25" s="51">
        <v>3.56</v>
      </c>
    </row>
    <row r="26" spans="1:17" customFormat="1">
      <c r="A26" s="50" t="s">
        <v>221</v>
      </c>
      <c r="B26" s="51">
        <v>8.2899999999999991</v>
      </c>
      <c r="C26" s="51">
        <v>30.53</v>
      </c>
      <c r="D26" s="51">
        <v>23.95</v>
      </c>
      <c r="E26" s="51">
        <v>12.96</v>
      </c>
      <c r="F26" s="51">
        <v>14.25</v>
      </c>
      <c r="G26" s="51">
        <v>59.85</v>
      </c>
      <c r="H26" s="51">
        <v>18.34</v>
      </c>
      <c r="I26" s="51">
        <v>4.6900000000000004</v>
      </c>
      <c r="J26" s="51">
        <v>0.28000000000000003</v>
      </c>
      <c r="K26" s="51">
        <v>177.59</v>
      </c>
      <c r="L26" s="51">
        <v>29.43</v>
      </c>
      <c r="M26" s="51">
        <v>62.02</v>
      </c>
      <c r="N26" s="51">
        <v>11.3</v>
      </c>
      <c r="O26" s="51">
        <v>0</v>
      </c>
      <c r="P26" s="51">
        <v>0.77</v>
      </c>
      <c r="Q26" s="51">
        <v>3.9</v>
      </c>
    </row>
    <row r="27" spans="1:17" customFormat="1">
      <c r="A27" s="50" t="s">
        <v>222</v>
      </c>
      <c r="B27" s="51">
        <v>9.83</v>
      </c>
      <c r="C27" s="51">
        <v>29.6</v>
      </c>
      <c r="D27" s="51">
        <v>24.36</v>
      </c>
      <c r="E27" s="51">
        <v>8.26</v>
      </c>
      <c r="F27" s="51">
        <v>5.3</v>
      </c>
      <c r="G27" s="51">
        <v>78.78</v>
      </c>
      <c r="H27" s="51">
        <v>20.65</v>
      </c>
      <c r="I27" s="51">
        <v>5.61</v>
      </c>
      <c r="J27" s="51">
        <v>0.23</v>
      </c>
      <c r="K27" s="51">
        <v>199.04</v>
      </c>
      <c r="L27" s="51">
        <v>27.49</v>
      </c>
      <c r="M27" s="51">
        <v>77.25</v>
      </c>
      <c r="N27" s="51">
        <v>0</v>
      </c>
      <c r="O27" s="51">
        <v>0</v>
      </c>
      <c r="P27" s="51">
        <v>0.78</v>
      </c>
      <c r="Q27" s="51">
        <v>4.3099999999999996</v>
      </c>
    </row>
    <row r="28" spans="1:17" customFormat="1">
      <c r="A28" s="50" t="s">
        <v>223</v>
      </c>
      <c r="B28" s="51">
        <v>10.029999999999999</v>
      </c>
      <c r="C28" s="51">
        <v>27.16</v>
      </c>
      <c r="D28" s="51">
        <v>23.52</v>
      </c>
      <c r="E28" s="51">
        <v>7.74</v>
      </c>
      <c r="F28" s="51">
        <v>4.29</v>
      </c>
      <c r="G28" s="51">
        <v>79.72</v>
      </c>
      <c r="H28" s="51">
        <v>20.9</v>
      </c>
      <c r="I28" s="51">
        <v>5.88</v>
      </c>
      <c r="J28" s="51">
        <v>0.25</v>
      </c>
      <c r="K28" s="51">
        <v>229.11</v>
      </c>
      <c r="L28" s="51">
        <v>26.28</v>
      </c>
      <c r="M28" s="51">
        <v>83.42</v>
      </c>
      <c r="N28" s="51">
        <v>0</v>
      </c>
      <c r="O28" s="51">
        <v>0</v>
      </c>
      <c r="P28" s="51">
        <v>0.81</v>
      </c>
      <c r="Q28" s="51">
        <v>4.3499999999999996</v>
      </c>
    </row>
    <row r="29" spans="1:17" customFormat="1">
      <c r="A29" s="50" t="s">
        <v>224</v>
      </c>
      <c r="B29" s="51">
        <v>10.1</v>
      </c>
      <c r="C29" s="51">
        <v>27.37</v>
      </c>
      <c r="D29" s="51">
        <v>23.68</v>
      </c>
      <c r="E29" s="51">
        <v>7.79</v>
      </c>
      <c r="F29" s="51">
        <v>3.34</v>
      </c>
      <c r="G29" s="51">
        <v>68.61</v>
      </c>
      <c r="H29" s="51">
        <v>19.25</v>
      </c>
      <c r="I29" s="51">
        <v>6.16</v>
      </c>
      <c r="J29" s="51">
        <v>0.16</v>
      </c>
      <c r="K29" s="51">
        <v>228.15</v>
      </c>
      <c r="L29" s="51">
        <v>25.72</v>
      </c>
      <c r="M29" s="51">
        <v>83.31</v>
      </c>
      <c r="N29" s="51">
        <v>0</v>
      </c>
      <c r="O29" s="51">
        <v>0</v>
      </c>
      <c r="P29" s="51">
        <v>0.84</v>
      </c>
      <c r="Q29" s="51">
        <v>4.2699999999999996</v>
      </c>
    </row>
    <row r="30" spans="1:17" customFormat="1">
      <c r="A30" s="50" t="s">
        <v>225</v>
      </c>
      <c r="B30" s="51">
        <v>10.48</v>
      </c>
      <c r="C30" s="51">
        <v>28.53</v>
      </c>
      <c r="D30" s="51">
        <v>24.66</v>
      </c>
      <c r="E30" s="51">
        <v>7.87</v>
      </c>
      <c r="F30" s="51">
        <v>2.71</v>
      </c>
      <c r="G30" s="51">
        <v>64.42</v>
      </c>
      <c r="H30" s="51">
        <v>18.73</v>
      </c>
      <c r="I30" s="51">
        <v>6.6</v>
      </c>
      <c r="J30" s="51">
        <v>0.14000000000000001</v>
      </c>
      <c r="K30" s="51">
        <v>228.19</v>
      </c>
      <c r="L30" s="51">
        <v>25.34</v>
      </c>
      <c r="M30" s="51">
        <v>84.38</v>
      </c>
      <c r="N30" s="51">
        <v>0</v>
      </c>
      <c r="O30" s="51">
        <v>0</v>
      </c>
      <c r="P30" s="51">
        <v>0.9</v>
      </c>
      <c r="Q30" s="51">
        <v>4.1100000000000003</v>
      </c>
    </row>
    <row r="31" spans="1:17" customFormat="1">
      <c r="A31" s="50" t="s">
        <v>226</v>
      </c>
      <c r="B31" s="51">
        <v>10.94</v>
      </c>
      <c r="C31" s="51">
        <v>29.1</v>
      </c>
      <c r="D31" s="51">
        <v>25.31</v>
      </c>
      <c r="E31" s="51">
        <v>8.25</v>
      </c>
      <c r="F31" s="51">
        <v>2.54</v>
      </c>
      <c r="G31" s="51">
        <v>67.540000000000006</v>
      </c>
      <c r="H31" s="51">
        <v>21.09</v>
      </c>
      <c r="I31" s="51">
        <v>6.98</v>
      </c>
      <c r="J31" s="51">
        <v>0.14000000000000001</v>
      </c>
      <c r="K31" s="51">
        <v>197.54</v>
      </c>
      <c r="L31" s="51">
        <v>24.75</v>
      </c>
      <c r="M31" s="51">
        <v>87.63</v>
      </c>
      <c r="N31" s="51">
        <v>0</v>
      </c>
      <c r="O31" s="51">
        <v>0</v>
      </c>
      <c r="P31" s="51">
        <v>0.93</v>
      </c>
      <c r="Q31" s="51">
        <v>4.05</v>
      </c>
    </row>
    <row r="32" spans="1:17" customFormat="1">
      <c r="A32" s="50" t="s">
        <v>227</v>
      </c>
      <c r="B32" s="51">
        <v>11.11</v>
      </c>
      <c r="C32" s="51">
        <v>29.35</v>
      </c>
      <c r="D32" s="51">
        <v>25.46</v>
      </c>
      <c r="E32" s="51">
        <v>8.5299999999999994</v>
      </c>
      <c r="F32" s="51">
        <v>2.72</v>
      </c>
      <c r="G32" s="51">
        <v>67.86</v>
      </c>
      <c r="H32" s="51">
        <v>20.71</v>
      </c>
      <c r="I32" s="51">
        <v>7</v>
      </c>
      <c r="J32" s="51">
        <v>0.13</v>
      </c>
      <c r="K32" s="51">
        <v>234.52</v>
      </c>
      <c r="L32" s="51">
        <v>24.36</v>
      </c>
      <c r="M32" s="51">
        <v>86.21</v>
      </c>
      <c r="N32" s="51">
        <v>0</v>
      </c>
      <c r="O32" s="51">
        <v>0</v>
      </c>
      <c r="P32" s="51">
        <v>0.94</v>
      </c>
      <c r="Q32" s="51">
        <v>3.99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6.31</v>
      </c>
      <c r="C34" s="41">
        <f t="shared" si="0"/>
        <v>24.45</v>
      </c>
      <c r="D34" s="41">
        <f t="shared" si="0"/>
        <v>19.66</v>
      </c>
      <c r="E34" s="41">
        <f t="shared" si="0"/>
        <v>5.53</v>
      </c>
      <c r="F34" s="41">
        <f t="shared" si="0"/>
        <v>2.4700000000000002</v>
      </c>
      <c r="G34" s="41">
        <f t="shared" si="0"/>
        <v>56.3</v>
      </c>
      <c r="H34" s="41">
        <f t="shared" si="0"/>
        <v>16.059999999999999</v>
      </c>
      <c r="I34" s="41">
        <f t="shared" si="0"/>
        <v>4.6500000000000004</v>
      </c>
      <c r="J34" s="41">
        <f t="shared" si="0"/>
        <v>0.13</v>
      </c>
      <c r="K34" s="41">
        <f t="shared" si="0"/>
        <v>35.799999999999997</v>
      </c>
      <c r="L34" s="41">
        <f t="shared" si="0"/>
        <v>22.56</v>
      </c>
      <c r="M34" s="41">
        <f t="shared" si="0"/>
        <v>37.700000000000003</v>
      </c>
      <c r="N34" s="41">
        <f t="shared" si="0"/>
        <v>0</v>
      </c>
      <c r="O34" s="41">
        <f t="shared" si="0"/>
        <v>0</v>
      </c>
      <c r="P34" s="41">
        <f t="shared" si="0"/>
        <v>0.67</v>
      </c>
      <c r="Q34" s="41">
        <f t="shared" si="0"/>
        <v>3.42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27.4</v>
      </c>
      <c r="C35" s="33">
        <f t="shared" si="1"/>
        <v>35.700000000000003</v>
      </c>
      <c r="D35" s="33">
        <f t="shared" si="1"/>
        <v>37.880000000000003</v>
      </c>
      <c r="E35" s="33">
        <f t="shared" si="1"/>
        <v>18.190000000000001</v>
      </c>
      <c r="F35" s="33">
        <f t="shared" si="1"/>
        <v>24.57</v>
      </c>
      <c r="G35" s="33">
        <f t="shared" si="1"/>
        <v>119.32</v>
      </c>
      <c r="H35" s="33">
        <f t="shared" si="1"/>
        <v>40.119999999999997</v>
      </c>
      <c r="I35" s="33">
        <f t="shared" si="1"/>
        <v>7.26</v>
      </c>
      <c r="J35" s="33">
        <f t="shared" si="1"/>
        <v>0.72</v>
      </c>
      <c r="K35" s="33">
        <f t="shared" si="1"/>
        <v>359.17</v>
      </c>
      <c r="L35" s="33">
        <f t="shared" si="1"/>
        <v>33.81</v>
      </c>
      <c r="M35" s="33">
        <f t="shared" si="1"/>
        <v>92.55</v>
      </c>
      <c r="N35" s="33">
        <f t="shared" si="1"/>
        <v>804.6</v>
      </c>
      <c r="O35" s="33">
        <f t="shared" si="1"/>
        <v>0</v>
      </c>
      <c r="P35" s="33">
        <f t="shared" si="1"/>
        <v>1.03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14.580416666666666</v>
      </c>
      <c r="C36" s="41">
        <f t="shared" si="2"/>
        <v>29.886249999999993</v>
      </c>
      <c r="D36" s="41">
        <f t="shared" si="2"/>
        <v>28.434166666666666</v>
      </c>
      <c r="E36" s="41">
        <f t="shared" si="2"/>
        <v>9.4933333333333323</v>
      </c>
      <c r="F36" s="41">
        <f t="shared" si="2"/>
        <v>6.4116666666666662</v>
      </c>
      <c r="G36" s="41">
        <f t="shared" si="2"/>
        <v>78.317083333333315</v>
      </c>
      <c r="H36" s="41">
        <f t="shared" si="2"/>
        <v>26.193750000000005</v>
      </c>
      <c r="I36" s="41">
        <f t="shared" si="2"/>
        <v>6.3604166666666657</v>
      </c>
      <c r="J36" s="41">
        <f t="shared" si="2"/>
        <v>0.27708333333333329</v>
      </c>
      <c r="K36" s="41">
        <f t="shared" si="2"/>
        <v>212.48625000000001</v>
      </c>
      <c r="L36" s="41">
        <f t="shared" si="2"/>
        <v>27.695000000000004</v>
      </c>
      <c r="M36" s="41">
        <f t="shared" si="2"/>
        <v>69.893749999999997</v>
      </c>
      <c r="N36" s="41">
        <f t="shared" si="2"/>
        <v>217.97916666666671</v>
      </c>
      <c r="O36" s="41">
        <f t="shared" si="2"/>
        <v>0</v>
      </c>
      <c r="P36" s="41">
        <f t="shared" si="2"/>
        <v>0.87124999999999986</v>
      </c>
      <c r="Q36" s="41">
        <f t="shared" si="2"/>
        <v>4.117916666666666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6.8201902811442521</v>
      </c>
      <c r="C37" s="41">
        <f t="shared" ref="C37:Q37" si="3">STDEV(C9:C32)</f>
        <v>2.7584428696671948</v>
      </c>
      <c r="D37" s="41">
        <f t="shared" si="3"/>
        <v>5.6907063187092231</v>
      </c>
      <c r="E37" s="41">
        <f t="shared" si="3"/>
        <v>3.0969517505004154</v>
      </c>
      <c r="F37" s="41">
        <f t="shared" si="3"/>
        <v>5.8388836534769704</v>
      </c>
      <c r="G37" s="41">
        <f t="shared" si="3"/>
        <v>19.671129911440158</v>
      </c>
      <c r="H37" s="41">
        <f t="shared" si="3"/>
        <v>7.4971500744703219</v>
      </c>
      <c r="I37" s="41">
        <f t="shared" si="3"/>
        <v>0.73782570798416269</v>
      </c>
      <c r="J37" s="41">
        <f t="shared" si="3"/>
        <v>0.16781146684835666</v>
      </c>
      <c r="K37" s="41">
        <f t="shared" si="3"/>
        <v>99.905422136551792</v>
      </c>
      <c r="L37" s="41">
        <f t="shared" si="3"/>
        <v>4.0239403141912922</v>
      </c>
      <c r="M37" s="41">
        <f t="shared" si="3"/>
        <v>19.948680421107525</v>
      </c>
      <c r="N37" s="41">
        <f t="shared" si="3"/>
        <v>307.77731359619844</v>
      </c>
      <c r="O37" s="41">
        <f t="shared" si="3"/>
        <v>0</v>
      </c>
      <c r="P37" s="41">
        <f t="shared" si="3"/>
        <v>9.3915433745750287E-2</v>
      </c>
      <c r="Q37" s="41">
        <f t="shared" si="3"/>
        <v>0.351851984278304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228</v>
      </c>
      <c r="B9" s="51">
        <v>11.69</v>
      </c>
      <c r="C9" s="51">
        <v>26.2</v>
      </c>
      <c r="D9" s="51">
        <v>24.1</v>
      </c>
      <c r="E9" s="51">
        <v>8.01</v>
      </c>
      <c r="F9" s="51">
        <v>3.28</v>
      </c>
      <c r="G9" s="51">
        <v>64.13</v>
      </c>
      <c r="H9" s="51">
        <v>19.75</v>
      </c>
      <c r="I9" s="51">
        <v>6.88</v>
      </c>
      <c r="J9" s="51">
        <v>0.12</v>
      </c>
      <c r="K9" s="51">
        <v>244.21</v>
      </c>
      <c r="L9" s="51">
        <v>24.1</v>
      </c>
      <c r="M9" s="51">
        <v>88.18</v>
      </c>
      <c r="N9" s="51">
        <v>0</v>
      </c>
      <c r="O9" s="51">
        <v>0</v>
      </c>
      <c r="P9" s="51">
        <v>0.89</v>
      </c>
      <c r="Q9" s="51">
        <v>3.89</v>
      </c>
    </row>
    <row r="10" spans="1:21" customFormat="1">
      <c r="A10" s="50" t="s">
        <v>229</v>
      </c>
      <c r="B10" s="51">
        <v>12.96</v>
      </c>
      <c r="C10" s="51">
        <v>25.45</v>
      </c>
      <c r="D10" s="51">
        <v>24.72</v>
      </c>
      <c r="E10" s="51">
        <v>7.68</v>
      </c>
      <c r="F10" s="51">
        <v>3.03</v>
      </c>
      <c r="G10" s="51">
        <v>53.76</v>
      </c>
      <c r="H10" s="51">
        <v>19.96</v>
      </c>
      <c r="I10" s="51">
        <v>6.74</v>
      </c>
      <c r="J10" s="51">
        <v>0.18</v>
      </c>
      <c r="K10" s="51">
        <v>235.49</v>
      </c>
      <c r="L10" s="51">
        <v>23.73</v>
      </c>
      <c r="M10" s="51">
        <v>94.62</v>
      </c>
      <c r="N10" s="51">
        <v>0</v>
      </c>
      <c r="O10" s="51">
        <v>0</v>
      </c>
      <c r="P10" s="51">
        <v>0.86</v>
      </c>
      <c r="Q10" s="51">
        <v>3.85</v>
      </c>
    </row>
    <row r="11" spans="1:21" customFormat="1">
      <c r="A11" s="50" t="s">
        <v>230</v>
      </c>
      <c r="B11" s="51">
        <v>13.87</v>
      </c>
      <c r="C11" s="51">
        <v>24.78</v>
      </c>
      <c r="D11" s="51">
        <v>25.28</v>
      </c>
      <c r="E11" s="51">
        <v>6.82</v>
      </c>
      <c r="F11" s="51">
        <v>3.02</v>
      </c>
      <c r="G11" s="51">
        <v>49.79</v>
      </c>
      <c r="H11" s="51">
        <v>16.559999999999999</v>
      </c>
      <c r="I11" s="51">
        <v>6.67</v>
      </c>
      <c r="J11" s="51">
        <v>0.13</v>
      </c>
      <c r="K11" s="51">
        <v>238.23</v>
      </c>
      <c r="L11" s="51">
        <v>23.06</v>
      </c>
      <c r="M11" s="51">
        <v>95.76</v>
      </c>
      <c r="N11" s="51">
        <v>0</v>
      </c>
      <c r="O11" s="51">
        <v>0</v>
      </c>
      <c r="P11" s="51">
        <v>0.82</v>
      </c>
      <c r="Q11" s="51">
        <v>3.91</v>
      </c>
    </row>
    <row r="12" spans="1:21" customFormat="1">
      <c r="A12" s="50" t="s">
        <v>231</v>
      </c>
      <c r="B12" s="51">
        <v>14.77</v>
      </c>
      <c r="C12" s="51">
        <v>25</v>
      </c>
      <c r="D12" s="51">
        <v>26.03</v>
      </c>
      <c r="E12" s="51">
        <v>6.93</v>
      </c>
      <c r="F12" s="51">
        <v>2.92</v>
      </c>
      <c r="G12" s="51">
        <v>45.46</v>
      </c>
      <c r="H12" s="51">
        <v>16.29</v>
      </c>
      <c r="I12" s="51">
        <v>6.46</v>
      </c>
      <c r="J12" s="51">
        <v>0.19</v>
      </c>
      <c r="K12" s="51">
        <v>250.65</v>
      </c>
      <c r="L12" s="51">
        <v>22.8</v>
      </c>
      <c r="M12" s="51">
        <v>93.52</v>
      </c>
      <c r="N12" s="51">
        <v>0</v>
      </c>
      <c r="O12" s="51">
        <v>0</v>
      </c>
      <c r="P12" s="51">
        <v>0.81</v>
      </c>
      <c r="Q12" s="51">
        <v>3.95</v>
      </c>
    </row>
    <row r="13" spans="1:21" customFormat="1">
      <c r="A13" s="50" t="s">
        <v>232</v>
      </c>
      <c r="B13" s="51">
        <v>16.22</v>
      </c>
      <c r="C13" s="51">
        <v>26.02</v>
      </c>
      <c r="D13" s="51">
        <v>27.95</v>
      </c>
      <c r="E13" s="51">
        <v>7.35</v>
      </c>
      <c r="F13" s="51">
        <v>2.85</v>
      </c>
      <c r="G13" s="51">
        <v>45.33</v>
      </c>
      <c r="H13" s="51">
        <v>16.47</v>
      </c>
      <c r="I13" s="51">
        <v>6.32</v>
      </c>
      <c r="J13" s="51">
        <v>0.14000000000000001</v>
      </c>
      <c r="K13" s="51">
        <v>245.38</v>
      </c>
      <c r="L13" s="51">
        <v>23.46</v>
      </c>
      <c r="M13" s="51">
        <v>90.75</v>
      </c>
      <c r="N13" s="51">
        <v>0</v>
      </c>
      <c r="O13" s="51">
        <v>0</v>
      </c>
      <c r="P13" s="51">
        <v>0.79</v>
      </c>
      <c r="Q13" s="51">
        <v>4.01</v>
      </c>
    </row>
    <row r="14" spans="1:21" customFormat="1">
      <c r="A14" s="50" t="s">
        <v>233</v>
      </c>
      <c r="B14" s="51">
        <v>16.690000000000001</v>
      </c>
      <c r="C14" s="51">
        <v>27.68</v>
      </c>
      <c r="D14" s="51">
        <v>29.13</v>
      </c>
      <c r="E14" s="51">
        <v>6.85</v>
      </c>
      <c r="F14" s="51">
        <v>2.68</v>
      </c>
      <c r="G14" s="51">
        <v>49.16</v>
      </c>
      <c r="H14" s="51">
        <v>16.27</v>
      </c>
      <c r="I14" s="51">
        <v>6.35</v>
      </c>
      <c r="J14" s="51">
        <v>0.22</v>
      </c>
      <c r="K14" s="51">
        <v>230.02</v>
      </c>
      <c r="L14" s="51">
        <v>22.9</v>
      </c>
      <c r="M14" s="51">
        <v>96.65</v>
      </c>
      <c r="N14" s="51">
        <v>0</v>
      </c>
      <c r="O14" s="51">
        <v>0</v>
      </c>
      <c r="P14" s="51">
        <v>0.79</v>
      </c>
      <c r="Q14" s="51">
        <v>4.07</v>
      </c>
    </row>
    <row r="15" spans="1:21" customFormat="1">
      <c r="A15" s="50" t="s">
        <v>234</v>
      </c>
      <c r="B15" s="51">
        <v>16.04</v>
      </c>
      <c r="C15" s="51">
        <v>27.91</v>
      </c>
      <c r="D15" s="51">
        <v>28.8</v>
      </c>
      <c r="E15" s="51">
        <v>7</v>
      </c>
      <c r="F15" s="51">
        <v>2.5299999999999998</v>
      </c>
      <c r="G15" s="51">
        <v>52.81</v>
      </c>
      <c r="H15" s="51">
        <v>19.57</v>
      </c>
      <c r="I15" s="51">
        <v>6.28</v>
      </c>
      <c r="J15" s="51">
        <v>0.24</v>
      </c>
      <c r="K15" s="51">
        <v>175.52</v>
      </c>
      <c r="L15" s="51">
        <v>23.65</v>
      </c>
      <c r="M15" s="51">
        <v>96.85</v>
      </c>
      <c r="N15" s="51">
        <v>49.6</v>
      </c>
      <c r="O15" s="51">
        <v>0</v>
      </c>
      <c r="P15" s="51">
        <v>0.77</v>
      </c>
      <c r="Q15" s="51">
        <v>4.05</v>
      </c>
    </row>
    <row r="16" spans="1:21" customFormat="1">
      <c r="A16" s="50" t="s">
        <v>235</v>
      </c>
      <c r="B16" s="51">
        <v>15.31</v>
      </c>
      <c r="C16" s="51">
        <v>28.42</v>
      </c>
      <c r="D16" s="51">
        <v>28.38</v>
      </c>
      <c r="E16" s="51">
        <v>7.29</v>
      </c>
      <c r="F16" s="51">
        <v>2.62</v>
      </c>
      <c r="G16" s="51">
        <v>51.32</v>
      </c>
      <c r="H16" s="51">
        <v>19.3</v>
      </c>
      <c r="I16" s="51">
        <v>6.22</v>
      </c>
      <c r="J16" s="51">
        <v>0.4</v>
      </c>
      <c r="K16" s="51">
        <v>160.97</v>
      </c>
      <c r="L16" s="51">
        <v>26.78</v>
      </c>
      <c r="M16" s="51">
        <v>88.97</v>
      </c>
      <c r="N16" s="51">
        <v>240.2</v>
      </c>
      <c r="O16" s="51">
        <v>0</v>
      </c>
      <c r="P16" s="51">
        <v>0.75</v>
      </c>
      <c r="Q16" s="51">
        <v>4.03</v>
      </c>
    </row>
    <row r="17" spans="1:17" customFormat="1">
      <c r="A17" s="50" t="s">
        <v>236</v>
      </c>
      <c r="B17" s="51">
        <v>13.95</v>
      </c>
      <c r="C17" s="51">
        <v>29.7</v>
      </c>
      <c r="D17" s="51">
        <v>27.56</v>
      </c>
      <c r="E17" s="51">
        <v>7.58</v>
      </c>
      <c r="F17" s="51">
        <v>2.78</v>
      </c>
      <c r="G17" s="51">
        <v>51.18</v>
      </c>
      <c r="H17" s="51">
        <v>20.18</v>
      </c>
      <c r="I17" s="51">
        <v>6.44</v>
      </c>
      <c r="J17" s="51">
        <v>0.2</v>
      </c>
      <c r="K17" s="51">
        <v>248.98</v>
      </c>
      <c r="L17" s="51">
        <v>29.42</v>
      </c>
      <c r="M17" s="51">
        <v>75.319999999999993</v>
      </c>
      <c r="N17" s="51">
        <v>448.5</v>
      </c>
      <c r="O17" s="51">
        <v>0</v>
      </c>
      <c r="P17" s="51">
        <v>0.76</v>
      </c>
      <c r="Q17" s="51">
        <v>4.01</v>
      </c>
    </row>
    <row r="18" spans="1:17" customFormat="1">
      <c r="A18" s="50" t="s">
        <v>237</v>
      </c>
      <c r="B18" s="51">
        <v>11.52</v>
      </c>
      <c r="C18" s="51">
        <v>30.9</v>
      </c>
      <c r="D18" s="51">
        <v>26.34</v>
      </c>
      <c r="E18" s="51">
        <v>8.57</v>
      </c>
      <c r="F18" s="51">
        <v>4.28</v>
      </c>
      <c r="G18" s="51">
        <v>68.45</v>
      </c>
      <c r="H18" s="51">
        <v>25.01</v>
      </c>
      <c r="I18" s="51">
        <v>6.93</v>
      </c>
      <c r="J18" s="51">
        <v>0.42</v>
      </c>
      <c r="K18" s="51">
        <v>314.74</v>
      </c>
      <c r="L18" s="51">
        <v>31.58</v>
      </c>
      <c r="M18" s="51">
        <v>66.34</v>
      </c>
      <c r="N18" s="51">
        <v>485.1</v>
      </c>
      <c r="O18" s="51">
        <v>0</v>
      </c>
      <c r="P18" s="51">
        <v>0.84</v>
      </c>
      <c r="Q18" s="51">
        <v>3.87</v>
      </c>
    </row>
    <row r="19" spans="1:17" customFormat="1">
      <c r="A19" s="50" t="s">
        <v>238</v>
      </c>
      <c r="B19" s="51">
        <v>10.01</v>
      </c>
      <c r="C19" s="51">
        <v>30.34</v>
      </c>
      <c r="D19" s="51">
        <v>25.23</v>
      </c>
      <c r="E19" s="51">
        <v>11.48</v>
      </c>
      <c r="F19" s="51">
        <v>6.62</v>
      </c>
      <c r="G19" s="51">
        <v>97.26</v>
      </c>
      <c r="H19" s="51">
        <v>34.11</v>
      </c>
      <c r="I19" s="51">
        <v>7.2</v>
      </c>
      <c r="J19" s="51">
        <v>0.35</v>
      </c>
      <c r="K19" s="51">
        <v>311.42</v>
      </c>
      <c r="L19" s="51">
        <v>32.950000000000003</v>
      </c>
      <c r="M19" s="51">
        <v>52.7</v>
      </c>
      <c r="N19" s="51">
        <v>673.9</v>
      </c>
      <c r="O19" s="51">
        <v>0</v>
      </c>
      <c r="P19" s="51">
        <v>0.84</v>
      </c>
      <c r="Q19" s="51">
        <v>3.72</v>
      </c>
    </row>
    <row r="20" spans="1:17" customFormat="1">
      <c r="A20" s="50" t="s">
        <v>239</v>
      </c>
      <c r="B20" s="51">
        <v>8.65</v>
      </c>
      <c r="C20" s="51">
        <v>27.54</v>
      </c>
      <c r="D20" s="51">
        <v>22.67</v>
      </c>
      <c r="E20" s="51">
        <v>10.79</v>
      </c>
      <c r="F20" s="51">
        <v>8.5399999999999991</v>
      </c>
      <c r="G20" s="51">
        <v>98.72</v>
      </c>
      <c r="H20" s="51">
        <v>35.69</v>
      </c>
      <c r="I20" s="51">
        <v>7.16</v>
      </c>
      <c r="J20" s="51">
        <v>0.27</v>
      </c>
      <c r="K20" s="51">
        <v>358.74</v>
      </c>
      <c r="L20" s="51">
        <v>33.81</v>
      </c>
      <c r="M20" s="51">
        <v>47.02</v>
      </c>
      <c r="N20" s="51">
        <v>760</v>
      </c>
      <c r="O20" s="51">
        <v>0</v>
      </c>
      <c r="P20" s="51">
        <v>0.82</v>
      </c>
      <c r="Q20" s="51">
        <v>3.6</v>
      </c>
    </row>
    <row r="21" spans="1:17" customFormat="1">
      <c r="A21" s="50" t="s">
        <v>240</v>
      </c>
      <c r="B21" s="51">
        <v>7.02</v>
      </c>
      <c r="C21" s="51">
        <v>26.37</v>
      </c>
      <c r="D21" s="51">
        <v>20.55</v>
      </c>
      <c r="E21" s="51">
        <v>10.79</v>
      </c>
      <c r="F21" s="51">
        <v>9.4499999999999993</v>
      </c>
      <c r="G21" s="51">
        <v>90.23</v>
      </c>
      <c r="H21" s="51">
        <v>33.82</v>
      </c>
      <c r="I21" s="51">
        <v>6.92</v>
      </c>
      <c r="J21" s="51">
        <v>0.49</v>
      </c>
      <c r="K21" s="51">
        <v>359.65</v>
      </c>
      <c r="L21" s="51">
        <v>34.159999999999997</v>
      </c>
      <c r="M21" s="51">
        <v>42.3</v>
      </c>
      <c r="N21" s="51">
        <v>765.5</v>
      </c>
      <c r="O21" s="51">
        <v>0</v>
      </c>
      <c r="P21" s="51">
        <v>0.79</v>
      </c>
      <c r="Q21" s="51">
        <v>3.5</v>
      </c>
    </row>
    <row r="22" spans="1:17" customFormat="1">
      <c r="A22" s="50" t="s">
        <v>241</v>
      </c>
      <c r="B22" s="51">
        <v>6.46</v>
      </c>
      <c r="C22" s="51">
        <v>25.98</v>
      </c>
      <c r="D22" s="51">
        <v>20.04</v>
      </c>
      <c r="E22" s="51">
        <v>9.84</v>
      </c>
      <c r="F22" s="51">
        <v>7.54</v>
      </c>
      <c r="G22" s="51">
        <v>80.650000000000006</v>
      </c>
      <c r="H22" s="51">
        <v>23.81</v>
      </c>
      <c r="I22" s="51">
        <v>6.56</v>
      </c>
      <c r="J22" s="51">
        <v>0.48</v>
      </c>
      <c r="K22" s="51">
        <v>340.91</v>
      </c>
      <c r="L22" s="51">
        <v>34.549999999999997</v>
      </c>
      <c r="M22" s="51">
        <v>40.39</v>
      </c>
      <c r="N22" s="51">
        <v>708.3</v>
      </c>
      <c r="O22" s="51">
        <v>0</v>
      </c>
      <c r="P22" s="51">
        <v>0.76</v>
      </c>
      <c r="Q22" s="51">
        <v>3.41</v>
      </c>
    </row>
    <row r="23" spans="1:17" customFormat="1">
      <c r="A23" s="50" t="s">
        <v>242</v>
      </c>
      <c r="B23" s="51">
        <v>6.07</v>
      </c>
      <c r="C23" s="51">
        <v>25.45</v>
      </c>
      <c r="D23" s="51">
        <v>19.27</v>
      </c>
      <c r="E23" s="51">
        <v>10.01</v>
      </c>
      <c r="F23" s="51">
        <v>11.8</v>
      </c>
      <c r="G23" s="51">
        <v>72.86</v>
      </c>
      <c r="H23" s="51">
        <v>24.28</v>
      </c>
      <c r="I23" s="51">
        <v>6.3</v>
      </c>
      <c r="J23" s="51">
        <v>0.69</v>
      </c>
      <c r="K23" s="51">
        <v>63.04</v>
      </c>
      <c r="L23" s="51">
        <v>34.61</v>
      </c>
      <c r="M23" s="51">
        <v>39.08</v>
      </c>
      <c r="N23" s="51">
        <v>610.6</v>
      </c>
      <c r="O23" s="51">
        <v>0</v>
      </c>
      <c r="P23" s="51">
        <v>0.63</v>
      </c>
      <c r="Q23" s="51">
        <v>3.42</v>
      </c>
    </row>
    <row r="24" spans="1:17" customFormat="1">
      <c r="A24" s="50" t="s">
        <v>243</v>
      </c>
      <c r="B24" s="51">
        <v>4.87</v>
      </c>
      <c r="C24" s="51">
        <v>25.4</v>
      </c>
      <c r="D24" s="51">
        <v>18.53</v>
      </c>
      <c r="E24" s="51">
        <v>11.25</v>
      </c>
      <c r="F24" s="51">
        <v>15.2</v>
      </c>
      <c r="G24" s="51">
        <v>64.73</v>
      </c>
      <c r="H24" s="51">
        <v>21.43</v>
      </c>
      <c r="I24" s="51">
        <v>5.8</v>
      </c>
      <c r="J24" s="51">
        <v>0.41</v>
      </c>
      <c r="K24" s="51">
        <v>158.78</v>
      </c>
      <c r="L24" s="51">
        <v>32.92</v>
      </c>
      <c r="M24" s="51">
        <v>44.33</v>
      </c>
      <c r="N24" s="51">
        <v>226.1</v>
      </c>
      <c r="O24" s="51">
        <v>0</v>
      </c>
      <c r="P24" s="51">
        <v>0.56000000000000005</v>
      </c>
      <c r="Q24" s="51">
        <v>3.39</v>
      </c>
    </row>
    <row r="25" spans="1:17" customFormat="1">
      <c r="A25" s="50" t="s">
        <v>244</v>
      </c>
      <c r="B25" s="51">
        <v>5.15</v>
      </c>
      <c r="C25" s="51">
        <v>25.67</v>
      </c>
      <c r="D25" s="51">
        <v>18.79</v>
      </c>
      <c r="E25" s="51">
        <v>11.86</v>
      </c>
      <c r="F25" s="51">
        <v>12.48</v>
      </c>
      <c r="G25" s="51">
        <v>62.14</v>
      </c>
      <c r="H25" s="51">
        <v>19.12</v>
      </c>
      <c r="I25" s="51">
        <v>5.0599999999999996</v>
      </c>
      <c r="J25" s="51">
        <v>0.3</v>
      </c>
      <c r="K25" s="51">
        <v>170.83</v>
      </c>
      <c r="L25" s="51">
        <v>32.18</v>
      </c>
      <c r="M25" s="51">
        <v>54.63</v>
      </c>
      <c r="N25" s="51">
        <v>39.299999999999997</v>
      </c>
      <c r="O25" s="51">
        <v>0</v>
      </c>
      <c r="P25" s="51">
        <v>0.54</v>
      </c>
      <c r="Q25" s="51">
        <v>3.44</v>
      </c>
    </row>
    <row r="26" spans="1:17" customFormat="1">
      <c r="A26" s="50" t="s">
        <v>245</v>
      </c>
      <c r="B26" s="51">
        <v>5.59</v>
      </c>
      <c r="C26" s="51">
        <v>25.55</v>
      </c>
      <c r="D26" s="51">
        <v>19.12</v>
      </c>
      <c r="E26" s="51">
        <v>9.75</v>
      </c>
      <c r="F26" s="51">
        <v>8.48</v>
      </c>
      <c r="G26" s="51">
        <v>57.05</v>
      </c>
      <c r="H26" s="51">
        <v>20.92</v>
      </c>
      <c r="I26" s="51">
        <v>4.95</v>
      </c>
      <c r="J26" s="51">
        <v>0.32</v>
      </c>
      <c r="K26" s="51">
        <v>178.3</v>
      </c>
      <c r="L26" s="51">
        <v>30.07</v>
      </c>
      <c r="M26" s="51">
        <v>75.14</v>
      </c>
      <c r="N26" s="51">
        <v>7.1</v>
      </c>
      <c r="O26" s="51">
        <v>0</v>
      </c>
      <c r="P26" s="51">
        <v>0.54</v>
      </c>
      <c r="Q26" s="51">
        <v>3.49</v>
      </c>
    </row>
    <row r="27" spans="1:17" customFormat="1">
      <c r="A27" s="50" t="s">
        <v>246</v>
      </c>
      <c r="B27" s="51">
        <v>6.41</v>
      </c>
      <c r="C27" s="51">
        <v>25.49</v>
      </c>
      <c r="D27" s="51">
        <v>19.809999999999999</v>
      </c>
      <c r="E27" s="51">
        <v>6.36</v>
      </c>
      <c r="F27" s="51">
        <v>6.18</v>
      </c>
      <c r="G27" s="51">
        <v>61.79</v>
      </c>
      <c r="H27" s="51">
        <v>22.33</v>
      </c>
      <c r="I27" s="51">
        <v>5.45</v>
      </c>
      <c r="J27" s="51">
        <v>0.19</v>
      </c>
      <c r="K27" s="51">
        <v>208.44</v>
      </c>
      <c r="L27" s="51">
        <v>27.81</v>
      </c>
      <c r="M27" s="51">
        <v>74.38</v>
      </c>
      <c r="N27" s="51">
        <v>0</v>
      </c>
      <c r="O27" s="51">
        <v>0</v>
      </c>
      <c r="P27" s="51">
        <v>0.56000000000000005</v>
      </c>
      <c r="Q27" s="51">
        <v>3.6</v>
      </c>
    </row>
    <row r="28" spans="1:17" customFormat="1">
      <c r="A28" s="50" t="s">
        <v>247</v>
      </c>
      <c r="B28" s="51">
        <v>7.4</v>
      </c>
      <c r="C28" s="51">
        <v>25.63</v>
      </c>
      <c r="D28" s="51">
        <v>20.07</v>
      </c>
      <c r="E28" s="51">
        <v>6.21</v>
      </c>
      <c r="F28" s="51">
        <v>4.5599999999999996</v>
      </c>
      <c r="G28" s="51">
        <v>56.03</v>
      </c>
      <c r="H28" s="51">
        <v>17.47</v>
      </c>
      <c r="I28" s="51">
        <v>5.45</v>
      </c>
      <c r="J28" s="51">
        <v>0.13</v>
      </c>
      <c r="K28" s="51">
        <v>219.64</v>
      </c>
      <c r="L28" s="51">
        <v>27.01</v>
      </c>
      <c r="M28" s="51">
        <v>85.87</v>
      </c>
      <c r="N28" s="51">
        <v>0</v>
      </c>
      <c r="O28" s="51">
        <v>0</v>
      </c>
      <c r="P28" s="51">
        <v>0.57999999999999996</v>
      </c>
      <c r="Q28" s="51">
        <v>3.62</v>
      </c>
    </row>
    <row r="29" spans="1:17" customFormat="1">
      <c r="A29" s="50" t="s">
        <v>248</v>
      </c>
      <c r="B29" s="51">
        <v>7.98</v>
      </c>
      <c r="C29" s="51">
        <v>21.09</v>
      </c>
      <c r="D29" s="51">
        <v>18.440000000000001</v>
      </c>
      <c r="E29" s="51">
        <v>5.83</v>
      </c>
      <c r="F29" s="51">
        <v>7.78</v>
      </c>
      <c r="G29" s="51">
        <v>58.6</v>
      </c>
      <c r="H29" s="51">
        <v>17.16</v>
      </c>
      <c r="I29" s="51">
        <v>5.67</v>
      </c>
      <c r="J29" s="51">
        <v>0.09</v>
      </c>
      <c r="K29" s="51">
        <v>226.9</v>
      </c>
      <c r="L29" s="51">
        <v>26.44</v>
      </c>
      <c r="M29" s="51">
        <v>90.27</v>
      </c>
      <c r="N29" s="51">
        <v>0</v>
      </c>
      <c r="O29" s="51">
        <v>0</v>
      </c>
      <c r="P29" s="51">
        <v>0.57999999999999996</v>
      </c>
      <c r="Q29" s="51">
        <v>3.6</v>
      </c>
    </row>
    <row r="30" spans="1:17" customFormat="1">
      <c r="A30" s="50" t="s">
        <v>249</v>
      </c>
      <c r="B30" s="51">
        <v>9.23</v>
      </c>
      <c r="C30" s="51">
        <v>21.86</v>
      </c>
      <c r="D30" s="51">
        <v>20.170000000000002</v>
      </c>
      <c r="E30" s="51">
        <v>6.01</v>
      </c>
      <c r="F30" s="51">
        <v>8.8000000000000007</v>
      </c>
      <c r="G30" s="51">
        <v>55.89</v>
      </c>
      <c r="H30" s="51">
        <v>18.39</v>
      </c>
      <c r="I30" s="51">
        <v>5.73</v>
      </c>
      <c r="J30" s="51">
        <v>0.1</v>
      </c>
      <c r="K30" s="51">
        <v>206.97</v>
      </c>
      <c r="L30" s="51">
        <v>26.1</v>
      </c>
      <c r="M30" s="51">
        <v>88.99</v>
      </c>
      <c r="N30" s="51">
        <v>0</v>
      </c>
      <c r="O30" s="51">
        <v>0</v>
      </c>
      <c r="P30" s="51">
        <v>0.6</v>
      </c>
      <c r="Q30" s="51">
        <v>3.64</v>
      </c>
    </row>
    <row r="31" spans="1:17" customFormat="1">
      <c r="A31" s="50" t="s">
        <v>250</v>
      </c>
      <c r="B31" s="51">
        <v>9.7799999999999994</v>
      </c>
      <c r="C31" s="51">
        <v>21.34</v>
      </c>
      <c r="D31" s="51">
        <v>20.34</v>
      </c>
      <c r="E31" s="51">
        <v>6.2</v>
      </c>
      <c r="F31" s="51">
        <v>6.6</v>
      </c>
      <c r="G31" s="51">
        <v>54.06</v>
      </c>
      <c r="H31" s="51">
        <v>19.47</v>
      </c>
      <c r="I31" s="51">
        <v>5.85</v>
      </c>
      <c r="J31" s="51">
        <v>0.13</v>
      </c>
      <c r="K31" s="51">
        <v>230.08</v>
      </c>
      <c r="L31" s="51">
        <v>25.97</v>
      </c>
      <c r="M31" s="51">
        <v>87.32</v>
      </c>
      <c r="N31" s="51">
        <v>0</v>
      </c>
      <c r="O31" s="51">
        <v>0</v>
      </c>
      <c r="P31" s="51">
        <v>0.6</v>
      </c>
      <c r="Q31" s="51">
        <v>3.68</v>
      </c>
    </row>
    <row r="32" spans="1:17" customFormat="1">
      <c r="A32" s="50" t="s">
        <v>251</v>
      </c>
      <c r="B32" s="51">
        <v>10.6</v>
      </c>
      <c r="C32" s="51">
        <v>22.19</v>
      </c>
      <c r="D32" s="51">
        <v>21.14</v>
      </c>
      <c r="E32" s="51">
        <v>6.45</v>
      </c>
      <c r="F32" s="51">
        <v>4.22</v>
      </c>
      <c r="G32" s="51">
        <v>51.36</v>
      </c>
      <c r="H32" s="51">
        <v>19.91</v>
      </c>
      <c r="I32" s="51">
        <v>5.85</v>
      </c>
      <c r="J32" s="51">
        <v>0.12</v>
      </c>
      <c r="K32" s="51">
        <v>222.64</v>
      </c>
      <c r="L32" s="51">
        <v>25.59</v>
      </c>
      <c r="M32" s="51">
        <v>92.56</v>
      </c>
      <c r="N32" s="51">
        <v>0</v>
      </c>
      <c r="O32" s="51">
        <v>0</v>
      </c>
      <c r="P32" s="51">
        <v>0.6</v>
      </c>
      <c r="Q32" s="51">
        <v>3.74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4.87</v>
      </c>
      <c r="C34" s="41">
        <f t="shared" si="0"/>
        <v>21.09</v>
      </c>
      <c r="D34" s="41">
        <f t="shared" si="0"/>
        <v>18.440000000000001</v>
      </c>
      <c r="E34" s="41">
        <f t="shared" si="0"/>
        <v>5.83</v>
      </c>
      <c r="F34" s="41">
        <f t="shared" si="0"/>
        <v>2.5299999999999998</v>
      </c>
      <c r="G34" s="41">
        <f t="shared" si="0"/>
        <v>45.33</v>
      </c>
      <c r="H34" s="41">
        <f t="shared" si="0"/>
        <v>16.27</v>
      </c>
      <c r="I34" s="41">
        <f t="shared" si="0"/>
        <v>4.95</v>
      </c>
      <c r="J34" s="41">
        <f t="shared" si="0"/>
        <v>0.09</v>
      </c>
      <c r="K34" s="41">
        <f t="shared" si="0"/>
        <v>63.04</v>
      </c>
      <c r="L34" s="41">
        <f t="shared" si="0"/>
        <v>22.8</v>
      </c>
      <c r="M34" s="41">
        <f t="shared" si="0"/>
        <v>39.08</v>
      </c>
      <c r="N34" s="41">
        <f t="shared" si="0"/>
        <v>0</v>
      </c>
      <c r="O34" s="41">
        <f t="shared" si="0"/>
        <v>0</v>
      </c>
      <c r="P34" s="41">
        <f t="shared" si="0"/>
        <v>0.54</v>
      </c>
      <c r="Q34" s="41">
        <f t="shared" si="0"/>
        <v>3.39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16.690000000000001</v>
      </c>
      <c r="C35" s="33">
        <f t="shared" si="1"/>
        <v>30.9</v>
      </c>
      <c r="D35" s="33">
        <f t="shared" si="1"/>
        <v>29.13</v>
      </c>
      <c r="E35" s="33">
        <f t="shared" si="1"/>
        <v>11.86</v>
      </c>
      <c r="F35" s="33">
        <f t="shared" si="1"/>
        <v>15.2</v>
      </c>
      <c r="G35" s="33">
        <f t="shared" si="1"/>
        <v>98.72</v>
      </c>
      <c r="H35" s="33">
        <f t="shared" si="1"/>
        <v>35.69</v>
      </c>
      <c r="I35" s="33">
        <f t="shared" si="1"/>
        <v>7.2</v>
      </c>
      <c r="J35" s="33">
        <f t="shared" si="1"/>
        <v>0.69</v>
      </c>
      <c r="K35" s="33">
        <f t="shared" si="1"/>
        <v>359.65</v>
      </c>
      <c r="L35" s="33">
        <f t="shared" si="1"/>
        <v>34.61</v>
      </c>
      <c r="M35" s="33">
        <f t="shared" si="1"/>
        <v>96.85</v>
      </c>
      <c r="N35" s="33">
        <f t="shared" si="1"/>
        <v>765.5</v>
      </c>
      <c r="O35" s="33">
        <f t="shared" si="1"/>
        <v>0</v>
      </c>
      <c r="P35" s="33">
        <f t="shared" si="1"/>
        <v>0.89</v>
      </c>
      <c r="Q35" s="33">
        <f t="shared" si="1"/>
        <v>4.07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10.343333333333332</v>
      </c>
      <c r="C36" s="41">
        <f t="shared" si="2"/>
        <v>25.915000000000006</v>
      </c>
      <c r="D36" s="41">
        <f t="shared" si="2"/>
        <v>23.019166666666667</v>
      </c>
      <c r="E36" s="41">
        <f t="shared" si="2"/>
        <v>8.2045833333333338</v>
      </c>
      <c r="F36" s="41">
        <f t="shared" si="2"/>
        <v>6.1766666666666685</v>
      </c>
      <c r="G36" s="41">
        <f t="shared" si="2"/>
        <v>62.198333333333323</v>
      </c>
      <c r="H36" s="41">
        <f t="shared" si="2"/>
        <v>21.552916666666665</v>
      </c>
      <c r="I36" s="41">
        <f t="shared" si="2"/>
        <v>6.2183333333333328</v>
      </c>
      <c r="J36" s="41">
        <f t="shared" si="2"/>
        <v>0.26291666666666669</v>
      </c>
      <c r="K36" s="41">
        <f t="shared" si="2"/>
        <v>233.35541666666668</v>
      </c>
      <c r="L36" s="41">
        <f t="shared" si="2"/>
        <v>28.152083333333337</v>
      </c>
      <c r="M36" s="41">
        <f t="shared" si="2"/>
        <v>75.080833333333331</v>
      </c>
      <c r="N36" s="41">
        <f t="shared" si="2"/>
        <v>208.92500000000007</v>
      </c>
      <c r="O36" s="41">
        <f t="shared" si="2"/>
        <v>0</v>
      </c>
      <c r="P36" s="41">
        <f t="shared" si="2"/>
        <v>0.71166666666666689</v>
      </c>
      <c r="Q36" s="41">
        <f t="shared" si="2"/>
        <v>3.7287499999999998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3.8743882172506998</v>
      </c>
      <c r="C37" s="41">
        <f t="shared" ref="C37:Q37" si="3">STDEV(C9:C32)</f>
        <v>2.5781658461849029</v>
      </c>
      <c r="D37" s="41">
        <f t="shared" si="3"/>
        <v>3.7286714228676643</v>
      </c>
      <c r="E37" s="41">
        <f t="shared" si="3"/>
        <v>1.9695485670505808</v>
      </c>
      <c r="F37" s="41">
        <f t="shared" si="3"/>
        <v>3.585888606949363</v>
      </c>
      <c r="G37" s="41">
        <f t="shared" si="3"/>
        <v>15.380988170512703</v>
      </c>
      <c r="H37" s="41">
        <f t="shared" si="3"/>
        <v>5.5775290455203619</v>
      </c>
      <c r="I37" s="41">
        <f t="shared" si="3"/>
        <v>0.63046336766779876</v>
      </c>
      <c r="J37" s="41">
        <f t="shared" si="3"/>
        <v>0.15431416758950087</v>
      </c>
      <c r="K37" s="41">
        <f t="shared" si="3"/>
        <v>68.704934825556919</v>
      </c>
      <c r="L37" s="41">
        <f t="shared" si="3"/>
        <v>4.2321132342526031</v>
      </c>
      <c r="M37" s="41">
        <f t="shared" si="3"/>
        <v>20.849011011194904</v>
      </c>
      <c r="N37" s="41">
        <f t="shared" si="3"/>
        <v>294.44181125884836</v>
      </c>
      <c r="O37" s="41">
        <f t="shared" si="3"/>
        <v>0</v>
      </c>
      <c r="P37" s="41">
        <f t="shared" si="3"/>
        <v>0.12006037128720992</v>
      </c>
      <c r="Q37" s="41">
        <f t="shared" si="3"/>
        <v>0.22721972702172069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252</v>
      </c>
      <c r="B9" s="51">
        <v>11.87</v>
      </c>
      <c r="C9" s="51">
        <v>24.06</v>
      </c>
      <c r="D9" s="51">
        <v>23.02</v>
      </c>
      <c r="E9" s="51">
        <v>6.51</v>
      </c>
      <c r="F9" s="51">
        <v>3.26</v>
      </c>
      <c r="G9" s="51">
        <v>48.34</v>
      </c>
      <c r="H9" s="51">
        <v>17.61</v>
      </c>
      <c r="I9" s="51">
        <v>5.82</v>
      </c>
      <c r="J9" s="51">
        <v>0.17</v>
      </c>
      <c r="K9" s="51">
        <v>209.88</v>
      </c>
      <c r="L9" s="51">
        <v>24.93</v>
      </c>
      <c r="M9" s="51">
        <v>92.4</v>
      </c>
      <c r="N9" s="51">
        <v>0</v>
      </c>
      <c r="O9" s="51">
        <v>0</v>
      </c>
      <c r="P9" s="51">
        <v>0.62</v>
      </c>
      <c r="Q9" s="51">
        <v>3.79</v>
      </c>
    </row>
    <row r="10" spans="1:21" customFormat="1">
      <c r="A10" s="50" t="s">
        <v>253</v>
      </c>
      <c r="B10" s="51">
        <v>11.22</v>
      </c>
      <c r="C10" s="51">
        <v>25.34</v>
      </c>
      <c r="D10" s="51">
        <v>23.23</v>
      </c>
      <c r="E10" s="51">
        <v>6.59</v>
      </c>
      <c r="F10" s="51">
        <v>2.99</v>
      </c>
      <c r="G10" s="51">
        <v>44.06</v>
      </c>
      <c r="H10" s="51">
        <v>17.45</v>
      </c>
      <c r="I10" s="51">
        <v>5.71</v>
      </c>
      <c r="J10" s="51">
        <v>0.16</v>
      </c>
      <c r="K10" s="51">
        <v>168.73</v>
      </c>
      <c r="L10" s="51">
        <v>24.89</v>
      </c>
      <c r="M10" s="51">
        <v>90.47</v>
      </c>
      <c r="N10" s="51">
        <v>0</v>
      </c>
      <c r="O10" s="51">
        <v>0</v>
      </c>
      <c r="P10" s="51">
        <v>0.61</v>
      </c>
      <c r="Q10" s="51">
        <v>3.82</v>
      </c>
    </row>
    <row r="11" spans="1:21" customFormat="1">
      <c r="A11" s="50" t="s">
        <v>254</v>
      </c>
      <c r="B11" s="51">
        <v>10.77</v>
      </c>
      <c r="C11" s="51">
        <v>25.88</v>
      </c>
      <c r="D11" s="51">
        <v>23.24</v>
      </c>
      <c r="E11" s="51">
        <v>8.2100000000000009</v>
      </c>
      <c r="F11" s="51">
        <v>2.8</v>
      </c>
      <c r="G11" s="51">
        <v>43.16</v>
      </c>
      <c r="H11" s="51">
        <v>16.059999999999999</v>
      </c>
      <c r="I11" s="51">
        <v>5.44</v>
      </c>
      <c r="J11" s="51">
        <v>0.16</v>
      </c>
      <c r="K11" s="51">
        <v>168.83</v>
      </c>
      <c r="L11" s="51">
        <v>24.67</v>
      </c>
      <c r="M11" s="51">
        <v>91.89</v>
      </c>
      <c r="N11" s="51">
        <v>0</v>
      </c>
      <c r="O11" s="51">
        <v>0</v>
      </c>
      <c r="P11" s="51">
        <v>0.59</v>
      </c>
      <c r="Q11" s="51">
        <v>3.81</v>
      </c>
    </row>
    <row r="12" spans="1:21" customFormat="1">
      <c r="A12" s="50" t="s">
        <v>255</v>
      </c>
      <c r="B12" s="51">
        <v>10.45</v>
      </c>
      <c r="C12" s="51">
        <v>26.12</v>
      </c>
      <c r="D12" s="51">
        <v>23.35</v>
      </c>
      <c r="E12" s="51">
        <v>8.44</v>
      </c>
      <c r="F12" s="51">
        <v>2.64</v>
      </c>
      <c r="G12" s="51">
        <v>43.19</v>
      </c>
      <c r="H12" s="51">
        <v>15.25</v>
      </c>
      <c r="I12" s="51">
        <v>5.28</v>
      </c>
      <c r="J12" s="51">
        <v>0.13</v>
      </c>
      <c r="K12" s="51">
        <v>173.11</v>
      </c>
      <c r="L12" s="51">
        <v>24.32</v>
      </c>
      <c r="M12" s="51">
        <v>94.14</v>
      </c>
      <c r="N12" s="51">
        <v>0</v>
      </c>
      <c r="O12" s="51">
        <v>0</v>
      </c>
      <c r="P12" s="51">
        <v>0.56000000000000005</v>
      </c>
      <c r="Q12" s="51">
        <v>3.83</v>
      </c>
    </row>
    <row r="13" spans="1:21" customFormat="1">
      <c r="A13" s="50" t="s">
        <v>256</v>
      </c>
      <c r="B13" s="51">
        <v>10.87</v>
      </c>
      <c r="C13" s="51">
        <v>26.35</v>
      </c>
      <c r="D13" s="51">
        <v>23.65</v>
      </c>
      <c r="E13" s="51">
        <v>8.76</v>
      </c>
      <c r="F13" s="51">
        <v>2.5499999999999998</v>
      </c>
      <c r="G13" s="51">
        <v>41.5</v>
      </c>
      <c r="H13" s="51">
        <v>15.27</v>
      </c>
      <c r="I13" s="51">
        <v>5.2</v>
      </c>
      <c r="J13" s="51">
        <v>0.18</v>
      </c>
      <c r="K13" s="51">
        <v>198.88</v>
      </c>
      <c r="L13" s="51">
        <v>23.89</v>
      </c>
      <c r="M13" s="51">
        <v>94.13</v>
      </c>
      <c r="N13" s="51">
        <v>0</v>
      </c>
      <c r="O13" s="51">
        <v>0</v>
      </c>
      <c r="P13" s="51">
        <v>0.55000000000000004</v>
      </c>
      <c r="Q13" s="51">
        <v>3.81</v>
      </c>
    </row>
    <row r="14" spans="1:21" customFormat="1">
      <c r="A14" s="50" t="s">
        <v>257</v>
      </c>
      <c r="B14" s="51">
        <v>12.17</v>
      </c>
      <c r="C14" s="51">
        <v>26.41</v>
      </c>
      <c r="D14" s="51">
        <v>23.85</v>
      </c>
      <c r="E14" s="51">
        <v>8.93</v>
      </c>
      <c r="F14" s="51">
        <v>3.15</v>
      </c>
      <c r="G14" s="51">
        <v>38.82</v>
      </c>
      <c r="H14" s="51">
        <v>18.739999999999998</v>
      </c>
      <c r="I14" s="51">
        <v>5.09</v>
      </c>
      <c r="J14" s="51">
        <v>0.14000000000000001</v>
      </c>
      <c r="K14" s="51">
        <v>181.95</v>
      </c>
      <c r="L14" s="51">
        <v>23.74</v>
      </c>
      <c r="M14" s="51">
        <v>96.1</v>
      </c>
      <c r="N14" s="51">
        <v>0.1</v>
      </c>
      <c r="O14" s="51">
        <v>0</v>
      </c>
      <c r="P14" s="51">
        <v>0.53</v>
      </c>
      <c r="Q14" s="51">
        <v>3.84</v>
      </c>
    </row>
    <row r="15" spans="1:21" customFormat="1">
      <c r="A15" s="50" t="s">
        <v>258</v>
      </c>
      <c r="B15" s="51">
        <v>13.49</v>
      </c>
      <c r="C15" s="51">
        <v>24.23</v>
      </c>
      <c r="D15" s="51">
        <v>24.49</v>
      </c>
      <c r="E15" s="51">
        <v>8.1</v>
      </c>
      <c r="F15" s="51">
        <v>3.07</v>
      </c>
      <c r="G15" s="51">
        <v>36.19</v>
      </c>
      <c r="H15" s="51">
        <v>14.14</v>
      </c>
      <c r="I15" s="51">
        <v>5.18</v>
      </c>
      <c r="J15" s="51">
        <v>0.15</v>
      </c>
      <c r="K15" s="51">
        <v>153.80000000000001</v>
      </c>
      <c r="L15" s="51">
        <v>24.4</v>
      </c>
      <c r="M15" s="51">
        <v>96.58</v>
      </c>
      <c r="N15" s="51">
        <v>35.5</v>
      </c>
      <c r="O15" s="51">
        <v>0</v>
      </c>
      <c r="P15" s="51">
        <v>0.5</v>
      </c>
      <c r="Q15" s="51">
        <v>3.88</v>
      </c>
    </row>
    <row r="16" spans="1:21" customFormat="1">
      <c r="A16" s="50" t="s">
        <v>259</v>
      </c>
      <c r="B16" s="51">
        <v>14.03</v>
      </c>
      <c r="C16" s="51">
        <v>24.23</v>
      </c>
      <c r="D16" s="51">
        <v>25.26</v>
      </c>
      <c r="E16" s="51">
        <v>7.8</v>
      </c>
      <c r="F16" s="51">
        <v>3.21</v>
      </c>
      <c r="G16" s="51">
        <v>37.61</v>
      </c>
      <c r="H16" s="51">
        <v>13.37</v>
      </c>
      <c r="I16" s="51">
        <v>5.33</v>
      </c>
      <c r="J16" s="51">
        <v>0.22</v>
      </c>
      <c r="K16" s="51">
        <v>190.02</v>
      </c>
      <c r="L16" s="51">
        <v>27.49</v>
      </c>
      <c r="M16" s="51">
        <v>89.71</v>
      </c>
      <c r="N16" s="51">
        <v>245.7</v>
      </c>
      <c r="O16" s="51">
        <v>0</v>
      </c>
      <c r="P16" s="51">
        <v>0.53</v>
      </c>
      <c r="Q16" s="51">
        <v>3.88</v>
      </c>
    </row>
    <row r="17" spans="1:17" customFormat="1">
      <c r="A17" s="50" t="s">
        <v>260</v>
      </c>
      <c r="B17" s="51">
        <v>14.17</v>
      </c>
      <c r="C17" s="51">
        <v>23.3</v>
      </c>
      <c r="D17" s="51">
        <v>24.89</v>
      </c>
      <c r="E17" s="51">
        <v>8.2899999999999991</v>
      </c>
      <c r="F17" s="51">
        <v>4.1399999999999997</v>
      </c>
      <c r="G17" s="51">
        <v>45.29</v>
      </c>
      <c r="H17" s="51">
        <v>14.95</v>
      </c>
      <c r="I17" s="51">
        <v>5.54</v>
      </c>
      <c r="J17" s="51">
        <v>0.15</v>
      </c>
      <c r="K17" s="51">
        <v>352.75</v>
      </c>
      <c r="L17" s="51">
        <v>30.86</v>
      </c>
      <c r="M17" s="51">
        <v>73.98</v>
      </c>
      <c r="N17" s="51">
        <v>453.5</v>
      </c>
      <c r="O17" s="51">
        <v>0</v>
      </c>
      <c r="P17" s="51">
        <v>0.54</v>
      </c>
      <c r="Q17" s="51">
        <v>3.9</v>
      </c>
    </row>
    <row r="18" spans="1:17" customFormat="1">
      <c r="A18" s="50" t="s">
        <v>261</v>
      </c>
      <c r="B18" s="51">
        <v>13.12</v>
      </c>
      <c r="C18" s="51">
        <v>24.99</v>
      </c>
      <c r="D18" s="51">
        <v>24.01</v>
      </c>
      <c r="E18" s="51">
        <v>11.07</v>
      </c>
      <c r="F18" s="51">
        <v>5.55</v>
      </c>
      <c r="G18" s="51">
        <v>48.85</v>
      </c>
      <c r="H18" s="51">
        <v>17.739999999999998</v>
      </c>
      <c r="I18" s="51">
        <v>5.73</v>
      </c>
      <c r="J18" s="51">
        <v>0.38</v>
      </c>
      <c r="K18" s="51">
        <v>351.24</v>
      </c>
      <c r="L18" s="51">
        <v>32.19</v>
      </c>
      <c r="M18" s="51">
        <v>57.8</v>
      </c>
      <c r="N18" s="51">
        <v>495.6</v>
      </c>
      <c r="O18" s="51">
        <v>0</v>
      </c>
      <c r="P18" s="51">
        <v>0.6</v>
      </c>
      <c r="Q18" s="51">
        <v>3.8</v>
      </c>
    </row>
    <row r="19" spans="1:17" customFormat="1">
      <c r="A19" s="50" t="s">
        <v>262</v>
      </c>
      <c r="B19" s="51">
        <v>11.7</v>
      </c>
      <c r="C19" s="51">
        <v>28.32</v>
      </c>
      <c r="D19" s="51">
        <v>24.44</v>
      </c>
      <c r="E19" s="51">
        <v>10.58</v>
      </c>
      <c r="F19" s="51">
        <v>7.74</v>
      </c>
      <c r="G19" s="51">
        <v>63.03</v>
      </c>
      <c r="H19" s="51">
        <v>24.97</v>
      </c>
      <c r="I19" s="51">
        <v>5.92</v>
      </c>
      <c r="J19" s="51">
        <v>0.42</v>
      </c>
      <c r="K19" s="51">
        <v>347.18</v>
      </c>
      <c r="L19" s="51">
        <v>33</v>
      </c>
      <c r="M19" s="51">
        <v>55.83</v>
      </c>
      <c r="N19" s="51">
        <v>686</v>
      </c>
      <c r="O19" s="51">
        <v>0</v>
      </c>
      <c r="P19" s="51">
        <v>0.62</v>
      </c>
      <c r="Q19" s="51">
        <v>3.76</v>
      </c>
    </row>
    <row r="20" spans="1:17" customFormat="1">
      <c r="A20" s="50" t="s">
        <v>263</v>
      </c>
      <c r="B20" s="51">
        <v>8.36</v>
      </c>
      <c r="C20" s="51">
        <v>28.57</v>
      </c>
      <c r="D20" s="51">
        <v>22.93</v>
      </c>
      <c r="E20" s="51">
        <v>9.93</v>
      </c>
      <c r="F20" s="51">
        <v>10.220000000000001</v>
      </c>
      <c r="G20" s="51">
        <v>75.59</v>
      </c>
      <c r="H20" s="51">
        <v>26.22</v>
      </c>
      <c r="I20" s="51">
        <v>5.82</v>
      </c>
      <c r="J20" s="51">
        <v>0.44</v>
      </c>
      <c r="K20" s="51">
        <v>317.36</v>
      </c>
      <c r="L20" s="51">
        <v>33.729999999999997</v>
      </c>
      <c r="M20" s="51">
        <v>48.4</v>
      </c>
      <c r="N20" s="51">
        <v>737.8</v>
      </c>
      <c r="O20" s="51">
        <v>0</v>
      </c>
      <c r="P20" s="51">
        <v>0.62</v>
      </c>
      <c r="Q20" s="51">
        <v>3.64</v>
      </c>
    </row>
    <row r="21" spans="1:17" customFormat="1">
      <c r="A21" s="50" t="s">
        <v>264</v>
      </c>
      <c r="B21" s="51">
        <v>6.32</v>
      </c>
      <c r="C21" s="51">
        <v>27.86</v>
      </c>
      <c r="D21" s="51">
        <v>20.98</v>
      </c>
      <c r="E21" s="51">
        <v>10.46</v>
      </c>
      <c r="F21" s="51">
        <v>10.57</v>
      </c>
      <c r="G21" s="51">
        <v>72.819999999999993</v>
      </c>
      <c r="H21" s="51">
        <v>24.7</v>
      </c>
      <c r="I21" s="51">
        <v>5.44</v>
      </c>
      <c r="J21" s="51">
        <v>0.84</v>
      </c>
      <c r="K21" s="51">
        <v>358.62</v>
      </c>
      <c r="L21" s="51">
        <v>33.909999999999997</v>
      </c>
      <c r="M21" s="51">
        <v>47.47</v>
      </c>
      <c r="N21" s="51">
        <v>721.3</v>
      </c>
      <c r="O21" s="51">
        <v>0</v>
      </c>
      <c r="P21" s="51">
        <v>0.59</v>
      </c>
      <c r="Q21" s="51">
        <v>3.53</v>
      </c>
    </row>
    <row r="22" spans="1:17" customFormat="1">
      <c r="A22" s="50" t="s">
        <v>265</v>
      </c>
      <c r="B22" s="51">
        <v>6.39</v>
      </c>
      <c r="C22" s="51">
        <v>27.27</v>
      </c>
      <c r="D22" s="51">
        <v>20.54</v>
      </c>
      <c r="E22" s="51">
        <v>9.17</v>
      </c>
      <c r="F22" s="51">
        <v>10.050000000000001</v>
      </c>
      <c r="G22" s="51">
        <v>71.209999999999994</v>
      </c>
      <c r="H22" s="51">
        <v>20.98</v>
      </c>
      <c r="I22" s="51">
        <v>5.15</v>
      </c>
      <c r="J22" s="51">
        <v>0.81</v>
      </c>
      <c r="K22" s="51">
        <v>349.66</v>
      </c>
      <c r="L22" s="51">
        <v>34.01</v>
      </c>
      <c r="M22" s="51">
        <v>45.01</v>
      </c>
      <c r="N22" s="51">
        <v>656.1</v>
      </c>
      <c r="O22" s="51">
        <v>0</v>
      </c>
      <c r="P22" s="51">
        <v>0.56999999999999995</v>
      </c>
      <c r="Q22" s="51">
        <v>3.51</v>
      </c>
    </row>
    <row r="23" spans="1:17" customFormat="1">
      <c r="A23" s="50" t="s">
        <v>266</v>
      </c>
      <c r="B23" s="51">
        <v>6.69</v>
      </c>
      <c r="C23" s="51">
        <v>26.89</v>
      </c>
      <c r="D23" s="51">
        <v>20.76</v>
      </c>
      <c r="E23" s="51">
        <v>9.42</v>
      </c>
      <c r="F23" s="51">
        <v>9.8000000000000007</v>
      </c>
      <c r="G23" s="51">
        <v>70.59</v>
      </c>
      <c r="H23" s="51">
        <v>18.52</v>
      </c>
      <c r="I23" s="51">
        <v>4.75</v>
      </c>
      <c r="J23" s="51">
        <v>0.67</v>
      </c>
      <c r="K23" s="51">
        <v>35.159999999999997</v>
      </c>
      <c r="L23" s="51">
        <v>33.94</v>
      </c>
      <c r="M23" s="51">
        <v>47</v>
      </c>
      <c r="N23" s="51">
        <v>530.79999999999995</v>
      </c>
      <c r="O23" s="51">
        <v>0</v>
      </c>
      <c r="P23" s="51">
        <v>0.63</v>
      </c>
      <c r="Q23" s="51">
        <v>3.53</v>
      </c>
    </row>
    <row r="24" spans="1:17" customFormat="1">
      <c r="A24" s="50" t="s">
        <v>267</v>
      </c>
      <c r="B24" s="51">
        <v>7.73</v>
      </c>
      <c r="C24" s="51">
        <v>28.38</v>
      </c>
      <c r="D24" s="51">
        <v>21.63</v>
      </c>
      <c r="E24" s="51">
        <v>10.7</v>
      </c>
      <c r="F24" s="51">
        <v>20.97</v>
      </c>
      <c r="G24" s="51">
        <v>68.92</v>
      </c>
      <c r="H24" s="51">
        <v>18.809999999999999</v>
      </c>
      <c r="I24" s="51">
        <v>4.5999999999999996</v>
      </c>
      <c r="J24" s="51">
        <v>0.52</v>
      </c>
      <c r="K24" s="51">
        <v>32.909999999999997</v>
      </c>
      <c r="L24" s="51">
        <v>32.549999999999997</v>
      </c>
      <c r="M24" s="51">
        <v>50.63</v>
      </c>
      <c r="N24" s="51">
        <v>186.9</v>
      </c>
      <c r="O24" s="51">
        <v>0</v>
      </c>
      <c r="P24" s="51">
        <v>0.62</v>
      </c>
      <c r="Q24" s="51">
        <v>3.53</v>
      </c>
    </row>
    <row r="25" spans="1:17" customFormat="1">
      <c r="A25" s="50" t="s">
        <v>268</v>
      </c>
      <c r="B25" s="51">
        <v>8.56</v>
      </c>
      <c r="C25" s="51">
        <v>25.43</v>
      </c>
      <c r="D25" s="51">
        <v>21.5</v>
      </c>
      <c r="E25" s="51">
        <v>10.72</v>
      </c>
      <c r="F25" s="51">
        <v>19.45</v>
      </c>
      <c r="G25" s="51">
        <v>68.45</v>
      </c>
      <c r="H25" s="51">
        <v>20.170000000000002</v>
      </c>
      <c r="I25" s="51">
        <v>4.2</v>
      </c>
      <c r="J25" s="51">
        <v>0.32</v>
      </c>
      <c r="K25" s="51">
        <v>357.99</v>
      </c>
      <c r="L25" s="51">
        <v>32.380000000000003</v>
      </c>
      <c r="M25" s="51">
        <v>61.17</v>
      </c>
      <c r="N25" s="51">
        <v>47.4</v>
      </c>
      <c r="O25" s="51">
        <v>0</v>
      </c>
      <c r="P25" s="51">
        <v>0.64</v>
      </c>
      <c r="Q25" s="51">
        <v>3.49</v>
      </c>
    </row>
    <row r="26" spans="1:17" customFormat="1">
      <c r="A26" s="50" t="s">
        <v>269</v>
      </c>
      <c r="B26" s="51">
        <v>8.09</v>
      </c>
      <c r="C26" s="51">
        <v>22.08</v>
      </c>
      <c r="D26" s="51">
        <v>18.690000000000001</v>
      </c>
      <c r="E26" s="51">
        <v>9.61</v>
      </c>
      <c r="F26" s="51">
        <v>22.29</v>
      </c>
      <c r="G26" s="51">
        <v>72.569999999999993</v>
      </c>
      <c r="H26" s="51">
        <v>18.09</v>
      </c>
      <c r="I26" s="51">
        <v>4.0199999999999996</v>
      </c>
      <c r="J26" s="51">
        <v>0.2</v>
      </c>
      <c r="K26" s="51">
        <v>182.71</v>
      </c>
      <c r="L26" s="51">
        <v>30.34</v>
      </c>
      <c r="M26" s="51">
        <v>71.72</v>
      </c>
      <c r="N26" s="51">
        <v>9.5</v>
      </c>
      <c r="O26" s="51">
        <v>0</v>
      </c>
      <c r="P26" s="51">
        <v>0.66</v>
      </c>
      <c r="Q26" s="51">
        <v>3.49</v>
      </c>
    </row>
    <row r="27" spans="1:17" customFormat="1">
      <c r="A27" s="50" t="s">
        <v>270</v>
      </c>
      <c r="B27" s="51">
        <v>8.5299999999999994</v>
      </c>
      <c r="C27" s="51">
        <v>23.48</v>
      </c>
      <c r="D27" s="51">
        <v>20.46</v>
      </c>
      <c r="E27" s="51">
        <v>6.55</v>
      </c>
      <c r="F27" s="51">
        <v>13.71</v>
      </c>
      <c r="G27" s="51">
        <v>66.55</v>
      </c>
      <c r="H27" s="51">
        <v>18.13</v>
      </c>
      <c r="I27" s="51">
        <v>4.59</v>
      </c>
      <c r="J27" s="51">
        <v>0.2</v>
      </c>
      <c r="K27" s="51">
        <v>197.24</v>
      </c>
      <c r="L27" s="51">
        <v>28.63</v>
      </c>
      <c r="M27" s="51">
        <v>82.27</v>
      </c>
      <c r="N27" s="51">
        <v>0</v>
      </c>
      <c r="O27" s="51">
        <v>0</v>
      </c>
      <c r="P27" s="51">
        <v>0.67</v>
      </c>
      <c r="Q27" s="51">
        <v>3.53</v>
      </c>
    </row>
    <row r="28" spans="1:17" customFormat="1">
      <c r="A28" s="50" t="s">
        <v>271</v>
      </c>
      <c r="B28" s="51">
        <v>8.57</v>
      </c>
      <c r="C28" s="51">
        <v>20.89</v>
      </c>
      <c r="D28" s="51">
        <v>18.82</v>
      </c>
      <c r="E28" s="51">
        <v>6.9</v>
      </c>
      <c r="F28" s="51">
        <v>9.2100000000000009</v>
      </c>
      <c r="G28" s="51">
        <v>60.34</v>
      </c>
      <c r="H28" s="51">
        <v>18.86</v>
      </c>
      <c r="I28" s="51">
        <v>4.92</v>
      </c>
      <c r="J28" s="51">
        <v>0.22</v>
      </c>
      <c r="K28" s="51">
        <v>210</v>
      </c>
      <c r="L28" s="51">
        <v>27.68</v>
      </c>
      <c r="M28" s="51">
        <v>83.47</v>
      </c>
      <c r="N28" s="51">
        <v>0</v>
      </c>
      <c r="O28" s="51">
        <v>0</v>
      </c>
      <c r="P28" s="51">
        <v>0.67</v>
      </c>
      <c r="Q28" s="51">
        <v>3.6</v>
      </c>
    </row>
    <row r="29" spans="1:17" customFormat="1">
      <c r="A29" s="50" t="s">
        <v>272</v>
      </c>
      <c r="B29" s="51">
        <v>9.18</v>
      </c>
      <c r="C29" s="51">
        <v>22.7</v>
      </c>
      <c r="D29" s="51">
        <v>20.57</v>
      </c>
      <c r="E29" s="51">
        <v>6.49</v>
      </c>
      <c r="F29" s="51">
        <v>5.73</v>
      </c>
      <c r="G29" s="51">
        <v>62.66</v>
      </c>
      <c r="H29" s="51">
        <v>19.23</v>
      </c>
      <c r="I29" s="51">
        <v>5.18</v>
      </c>
      <c r="J29" s="51">
        <v>0.14000000000000001</v>
      </c>
      <c r="K29" s="51">
        <v>212.69</v>
      </c>
      <c r="L29" s="51">
        <v>26.75</v>
      </c>
      <c r="M29" s="51">
        <v>85.36</v>
      </c>
      <c r="N29" s="51">
        <v>0</v>
      </c>
      <c r="O29" s="51">
        <v>0</v>
      </c>
      <c r="P29" s="51">
        <v>0.72</v>
      </c>
      <c r="Q29" s="51">
        <v>3.7</v>
      </c>
    </row>
    <row r="30" spans="1:17" customFormat="1">
      <c r="A30" s="50" t="s">
        <v>273</v>
      </c>
      <c r="B30" s="51">
        <v>9.51</v>
      </c>
      <c r="C30" s="51">
        <v>24.04</v>
      </c>
      <c r="D30" s="51">
        <v>21.54</v>
      </c>
      <c r="E30" s="51">
        <v>6.84</v>
      </c>
      <c r="F30" s="51">
        <v>4.2699999999999996</v>
      </c>
      <c r="G30" s="51">
        <v>60.63</v>
      </c>
      <c r="H30" s="51">
        <v>17.41</v>
      </c>
      <c r="I30" s="51">
        <v>5.47</v>
      </c>
      <c r="J30" s="51">
        <v>0.14000000000000001</v>
      </c>
      <c r="K30" s="51">
        <v>201.45</v>
      </c>
      <c r="L30" s="51">
        <v>26.42</v>
      </c>
      <c r="M30" s="51">
        <v>88</v>
      </c>
      <c r="N30" s="51">
        <v>0</v>
      </c>
      <c r="O30" s="51">
        <v>0</v>
      </c>
      <c r="P30" s="51">
        <v>0.74</v>
      </c>
      <c r="Q30" s="51">
        <v>3.81</v>
      </c>
    </row>
    <row r="31" spans="1:17" customFormat="1">
      <c r="A31" s="50" t="s">
        <v>274</v>
      </c>
      <c r="B31" s="51">
        <v>9.52</v>
      </c>
      <c r="C31" s="51">
        <v>24.92</v>
      </c>
      <c r="D31" s="51">
        <v>21.91</v>
      </c>
      <c r="E31" s="51">
        <v>6.84</v>
      </c>
      <c r="F31" s="51">
        <v>3.3</v>
      </c>
      <c r="G31" s="51">
        <v>59.06</v>
      </c>
      <c r="H31" s="51">
        <v>19.43</v>
      </c>
      <c r="I31" s="51">
        <v>5.51</v>
      </c>
      <c r="J31" s="51">
        <v>0.21</v>
      </c>
      <c r="K31" s="51">
        <v>206.07</v>
      </c>
      <c r="L31" s="51">
        <v>26.13</v>
      </c>
      <c r="M31" s="51">
        <v>87.77</v>
      </c>
      <c r="N31" s="51">
        <v>0</v>
      </c>
      <c r="O31" s="51">
        <v>0</v>
      </c>
      <c r="P31" s="51">
        <v>0.74</v>
      </c>
      <c r="Q31" s="51">
        <v>3.87</v>
      </c>
    </row>
    <row r="32" spans="1:17" customFormat="1">
      <c r="A32" s="50" t="s">
        <v>275</v>
      </c>
      <c r="B32" s="51">
        <v>9.41</v>
      </c>
      <c r="C32" s="51">
        <v>25.4</v>
      </c>
      <c r="D32" s="51">
        <v>22.15</v>
      </c>
      <c r="E32" s="51">
        <v>7.27</v>
      </c>
      <c r="F32" s="51">
        <v>3.39</v>
      </c>
      <c r="G32" s="51">
        <v>52.79</v>
      </c>
      <c r="H32" s="51">
        <v>20.05</v>
      </c>
      <c r="I32" s="51">
        <v>5.51</v>
      </c>
      <c r="J32" s="51">
        <v>0.1</v>
      </c>
      <c r="K32" s="51">
        <v>199.57</v>
      </c>
      <c r="L32" s="51">
        <v>25.73</v>
      </c>
      <c r="M32" s="51">
        <v>89.61</v>
      </c>
      <c r="N32" s="51">
        <v>0</v>
      </c>
      <c r="O32" s="51">
        <v>0</v>
      </c>
      <c r="P32" s="51">
        <v>0.73</v>
      </c>
      <c r="Q32" s="51">
        <v>3.88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6.32</v>
      </c>
      <c r="C34" s="41">
        <f t="shared" si="0"/>
        <v>20.89</v>
      </c>
      <c r="D34" s="41">
        <f t="shared" si="0"/>
        <v>18.690000000000001</v>
      </c>
      <c r="E34" s="41">
        <f t="shared" si="0"/>
        <v>6.49</v>
      </c>
      <c r="F34" s="41">
        <f t="shared" si="0"/>
        <v>2.5499999999999998</v>
      </c>
      <c r="G34" s="41">
        <f t="shared" si="0"/>
        <v>36.19</v>
      </c>
      <c r="H34" s="41">
        <f t="shared" si="0"/>
        <v>13.37</v>
      </c>
      <c r="I34" s="41">
        <f t="shared" si="0"/>
        <v>4.0199999999999996</v>
      </c>
      <c r="J34" s="41">
        <f t="shared" si="0"/>
        <v>0.1</v>
      </c>
      <c r="K34" s="41">
        <f t="shared" si="0"/>
        <v>32.909999999999997</v>
      </c>
      <c r="L34" s="41">
        <f t="shared" si="0"/>
        <v>23.74</v>
      </c>
      <c r="M34" s="41">
        <f t="shared" si="0"/>
        <v>45.01</v>
      </c>
      <c r="N34" s="41">
        <f t="shared" si="0"/>
        <v>0</v>
      </c>
      <c r="O34" s="41">
        <f t="shared" si="0"/>
        <v>0</v>
      </c>
      <c r="P34" s="41">
        <f t="shared" si="0"/>
        <v>0.5</v>
      </c>
      <c r="Q34" s="41">
        <f t="shared" si="0"/>
        <v>3.49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14.17</v>
      </c>
      <c r="C35" s="33">
        <f t="shared" si="1"/>
        <v>28.57</v>
      </c>
      <c r="D35" s="33">
        <f t="shared" si="1"/>
        <v>25.26</v>
      </c>
      <c r="E35" s="33">
        <f t="shared" si="1"/>
        <v>11.07</v>
      </c>
      <c r="F35" s="33">
        <f t="shared" si="1"/>
        <v>22.29</v>
      </c>
      <c r="G35" s="33">
        <f t="shared" si="1"/>
        <v>75.59</v>
      </c>
      <c r="H35" s="33">
        <f t="shared" si="1"/>
        <v>26.22</v>
      </c>
      <c r="I35" s="33">
        <f t="shared" si="1"/>
        <v>5.92</v>
      </c>
      <c r="J35" s="33">
        <f t="shared" si="1"/>
        <v>0.84</v>
      </c>
      <c r="K35" s="33">
        <f t="shared" si="1"/>
        <v>358.62</v>
      </c>
      <c r="L35" s="33">
        <f t="shared" si="1"/>
        <v>34.01</v>
      </c>
      <c r="M35" s="33">
        <f t="shared" si="1"/>
        <v>96.58</v>
      </c>
      <c r="N35" s="33">
        <f t="shared" si="1"/>
        <v>737.8</v>
      </c>
      <c r="O35" s="33">
        <f t="shared" si="1"/>
        <v>0</v>
      </c>
      <c r="P35" s="33">
        <f t="shared" si="1"/>
        <v>0.74</v>
      </c>
      <c r="Q35" s="33">
        <f t="shared" si="1"/>
        <v>3.9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10.029999999999998</v>
      </c>
      <c r="C36" s="41">
        <f t="shared" si="2"/>
        <v>25.297499999999996</v>
      </c>
      <c r="D36" s="41">
        <f t="shared" si="2"/>
        <v>22.329583333333332</v>
      </c>
      <c r="E36" s="41">
        <f t="shared" si="2"/>
        <v>8.5075000000000003</v>
      </c>
      <c r="F36" s="41">
        <f t="shared" si="2"/>
        <v>7.6691666666666665</v>
      </c>
      <c r="G36" s="41">
        <f t="shared" si="2"/>
        <v>56.342500000000001</v>
      </c>
      <c r="H36" s="41">
        <f t="shared" si="2"/>
        <v>18.589583333333334</v>
      </c>
      <c r="I36" s="41">
        <f t="shared" si="2"/>
        <v>5.2250000000000005</v>
      </c>
      <c r="J36" s="41">
        <f t="shared" si="2"/>
        <v>0.29458333333333325</v>
      </c>
      <c r="K36" s="41">
        <f t="shared" si="2"/>
        <v>223.24166666666659</v>
      </c>
      <c r="L36" s="41">
        <f t="shared" si="2"/>
        <v>28.607499999999998</v>
      </c>
      <c r="M36" s="41">
        <f t="shared" si="2"/>
        <v>75.871250000000003</v>
      </c>
      <c r="N36" s="41">
        <f t="shared" si="2"/>
        <v>200.2583333333333</v>
      </c>
      <c r="O36" s="41">
        <f t="shared" si="2"/>
        <v>0</v>
      </c>
      <c r="P36" s="41">
        <f t="shared" si="2"/>
        <v>0.61875000000000002</v>
      </c>
      <c r="Q36" s="41">
        <f t="shared" si="2"/>
        <v>3.7179166666666661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2.3447517714174477</v>
      </c>
      <c r="C37" s="41">
        <f t="shared" ref="C37:Q37" si="3">STDEV(C9:C32)</f>
        <v>2.0342550180007133</v>
      </c>
      <c r="D37" s="41">
        <f t="shared" si="3"/>
        <v>1.8215317948667076</v>
      </c>
      <c r="E37" s="41">
        <f t="shared" si="3"/>
        <v>1.5489330128384706</v>
      </c>
      <c r="F37" s="41">
        <f t="shared" si="3"/>
        <v>6.0473982308360368</v>
      </c>
      <c r="G37" s="41">
        <f t="shared" si="3"/>
        <v>13.024472700667536</v>
      </c>
      <c r="H37" s="41">
        <f t="shared" si="3"/>
        <v>3.2408620420132568</v>
      </c>
      <c r="I37" s="41">
        <f t="shared" si="3"/>
        <v>0.500139111082884</v>
      </c>
      <c r="J37" s="41">
        <f t="shared" si="3"/>
        <v>0.21661384528929473</v>
      </c>
      <c r="K37" s="41">
        <f t="shared" si="3"/>
        <v>93.767907259808652</v>
      </c>
      <c r="L37" s="41">
        <f t="shared" si="3"/>
        <v>3.7970334530365206</v>
      </c>
      <c r="M37" s="41">
        <f t="shared" si="3"/>
        <v>18.71447366228934</v>
      </c>
      <c r="N37" s="41">
        <f t="shared" si="3"/>
        <v>282.46829436034159</v>
      </c>
      <c r="O37" s="41">
        <f t="shared" si="3"/>
        <v>0</v>
      </c>
      <c r="P37" s="41">
        <f t="shared" si="3"/>
        <v>6.8608055047430422E-2</v>
      </c>
      <c r="Q37" s="41">
        <f t="shared" si="3"/>
        <v>0.15047689889630933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276</v>
      </c>
      <c r="B9" s="51">
        <v>8.7200000000000006</v>
      </c>
      <c r="C9" s="51">
        <v>25.73</v>
      </c>
      <c r="D9" s="51">
        <v>21.74</v>
      </c>
      <c r="E9" s="51">
        <v>7.44</v>
      </c>
      <c r="F9" s="51">
        <v>3.43</v>
      </c>
      <c r="G9" s="51">
        <v>53.05</v>
      </c>
      <c r="H9" s="51">
        <v>18.59</v>
      </c>
      <c r="I9" s="51">
        <v>5.4</v>
      </c>
      <c r="J9" s="51">
        <v>0.12</v>
      </c>
      <c r="K9" s="51">
        <v>197.41</v>
      </c>
      <c r="L9" s="51">
        <v>25.34</v>
      </c>
      <c r="M9" s="51">
        <v>90.72</v>
      </c>
      <c r="N9" s="51">
        <v>0</v>
      </c>
      <c r="O9" s="51">
        <v>0</v>
      </c>
      <c r="P9" s="51">
        <v>0.71</v>
      </c>
      <c r="Q9" s="51">
        <v>3.85</v>
      </c>
    </row>
    <row r="10" spans="1:21" customFormat="1">
      <c r="A10" s="50" t="s">
        <v>277</v>
      </c>
      <c r="B10" s="51">
        <v>9.67</v>
      </c>
      <c r="C10" s="51">
        <v>25.58</v>
      </c>
      <c r="D10" s="51">
        <v>21.79</v>
      </c>
      <c r="E10" s="51">
        <v>7.33</v>
      </c>
      <c r="F10" s="51">
        <v>3.53</v>
      </c>
      <c r="G10" s="51">
        <v>50.55</v>
      </c>
      <c r="H10" s="51">
        <v>18.600000000000001</v>
      </c>
      <c r="I10" s="51">
        <v>5.3</v>
      </c>
      <c r="J10" s="51">
        <v>0.16</v>
      </c>
      <c r="K10" s="51">
        <v>230.94</v>
      </c>
      <c r="L10" s="51">
        <v>25.09</v>
      </c>
      <c r="M10" s="51">
        <v>90.74</v>
      </c>
      <c r="N10" s="51">
        <v>0</v>
      </c>
      <c r="O10" s="51">
        <v>0</v>
      </c>
      <c r="P10" s="51">
        <v>0.68</v>
      </c>
      <c r="Q10" s="51">
        <v>3.8</v>
      </c>
    </row>
    <row r="11" spans="1:21" customFormat="1">
      <c r="A11" s="50" t="s">
        <v>278</v>
      </c>
      <c r="B11" s="51">
        <v>10.29</v>
      </c>
      <c r="C11" s="51">
        <v>23.13</v>
      </c>
      <c r="D11" s="51">
        <v>21.68</v>
      </c>
      <c r="E11" s="51">
        <v>6.56</v>
      </c>
      <c r="F11" s="51">
        <v>3.86</v>
      </c>
      <c r="G11" s="51">
        <v>47.24</v>
      </c>
      <c r="H11" s="51">
        <v>16.440000000000001</v>
      </c>
      <c r="I11" s="51">
        <v>5.21</v>
      </c>
      <c r="J11" s="51">
        <v>0.18</v>
      </c>
      <c r="K11" s="51">
        <v>184.41</v>
      </c>
      <c r="L11" s="51">
        <v>24.86</v>
      </c>
      <c r="M11" s="51">
        <v>93.23</v>
      </c>
      <c r="N11" s="51">
        <v>0</v>
      </c>
      <c r="O11" s="51">
        <v>0</v>
      </c>
      <c r="P11" s="51">
        <v>0.65</v>
      </c>
      <c r="Q11" s="51">
        <v>3.69</v>
      </c>
    </row>
    <row r="12" spans="1:21" customFormat="1">
      <c r="A12" s="50" t="s">
        <v>279</v>
      </c>
      <c r="B12" s="51">
        <v>11.25</v>
      </c>
      <c r="C12" s="51">
        <v>22.95</v>
      </c>
      <c r="D12" s="51">
        <v>22.36</v>
      </c>
      <c r="E12" s="51">
        <v>7.28</v>
      </c>
      <c r="F12" s="51">
        <v>3.34</v>
      </c>
      <c r="G12" s="51">
        <v>43.07</v>
      </c>
      <c r="H12" s="51">
        <v>19.23</v>
      </c>
      <c r="I12" s="51">
        <v>5.31</v>
      </c>
      <c r="J12" s="51">
        <v>0.18</v>
      </c>
      <c r="K12" s="51">
        <v>198.79</v>
      </c>
      <c r="L12" s="51">
        <v>24.52</v>
      </c>
      <c r="M12" s="51">
        <v>95.89</v>
      </c>
      <c r="N12" s="51">
        <v>0</v>
      </c>
      <c r="O12" s="51">
        <v>0</v>
      </c>
      <c r="P12" s="51">
        <v>0.65</v>
      </c>
      <c r="Q12" s="51">
        <v>3.76</v>
      </c>
    </row>
    <row r="13" spans="1:21" customFormat="1">
      <c r="A13" s="50" t="s">
        <v>280</v>
      </c>
      <c r="B13" s="51">
        <v>12.21</v>
      </c>
      <c r="C13" s="51">
        <v>22.84</v>
      </c>
      <c r="D13" s="51">
        <v>23.07</v>
      </c>
      <c r="E13" s="51">
        <v>6.75</v>
      </c>
      <c r="F13" s="51">
        <v>2.98</v>
      </c>
      <c r="G13" s="51">
        <v>43.88</v>
      </c>
      <c r="H13" s="51">
        <v>17.97</v>
      </c>
      <c r="I13" s="51">
        <v>5.33</v>
      </c>
      <c r="J13" s="51">
        <v>0.19</v>
      </c>
      <c r="K13" s="51">
        <v>180.15</v>
      </c>
      <c r="L13" s="51">
        <v>24.15</v>
      </c>
      <c r="M13" s="51">
        <v>95.82</v>
      </c>
      <c r="N13" s="51">
        <v>0</v>
      </c>
      <c r="O13" s="51">
        <v>0</v>
      </c>
      <c r="P13" s="51">
        <v>0.64</v>
      </c>
      <c r="Q13" s="51">
        <v>3.83</v>
      </c>
    </row>
    <row r="14" spans="1:21" customFormat="1">
      <c r="A14" s="50" t="s">
        <v>281</v>
      </c>
      <c r="B14" s="51">
        <v>13.21</v>
      </c>
      <c r="C14" s="51">
        <v>23.74</v>
      </c>
      <c r="D14" s="51">
        <v>24.35</v>
      </c>
      <c r="E14" s="51">
        <v>7.18</v>
      </c>
      <c r="F14" s="51">
        <v>3.1</v>
      </c>
      <c r="G14" s="51">
        <v>40.74</v>
      </c>
      <c r="H14" s="51">
        <v>16.07</v>
      </c>
      <c r="I14" s="51">
        <v>5.31</v>
      </c>
      <c r="J14" s="51">
        <v>0.15</v>
      </c>
      <c r="K14" s="51">
        <v>201.67</v>
      </c>
      <c r="L14" s="51">
        <v>23.87</v>
      </c>
      <c r="M14" s="51">
        <v>95.7</v>
      </c>
      <c r="N14" s="51">
        <v>0</v>
      </c>
      <c r="O14" s="51">
        <v>0</v>
      </c>
      <c r="P14" s="51">
        <v>0.64</v>
      </c>
      <c r="Q14" s="51">
        <v>3.89</v>
      </c>
    </row>
    <row r="15" spans="1:21" customFormat="1">
      <c r="A15" s="50" t="s">
        <v>282</v>
      </c>
      <c r="B15" s="51">
        <v>13.13</v>
      </c>
      <c r="C15" s="51">
        <v>24.82</v>
      </c>
      <c r="D15" s="51">
        <v>24.63</v>
      </c>
      <c r="E15" s="51">
        <v>7.05</v>
      </c>
      <c r="F15" s="51">
        <v>2.77</v>
      </c>
      <c r="G15" s="51">
        <v>37.590000000000003</v>
      </c>
      <c r="H15" s="51">
        <v>17.059999999999999</v>
      </c>
      <c r="I15" s="51">
        <v>5.33</v>
      </c>
      <c r="J15" s="51">
        <v>0.21</v>
      </c>
      <c r="K15" s="51">
        <v>183.36</v>
      </c>
      <c r="L15" s="51">
        <v>24.85</v>
      </c>
      <c r="M15" s="51">
        <v>95.5</v>
      </c>
      <c r="N15" s="51">
        <v>41.2</v>
      </c>
      <c r="O15" s="51">
        <v>0</v>
      </c>
      <c r="P15" s="51">
        <v>0.66</v>
      </c>
      <c r="Q15" s="51">
        <v>3.95</v>
      </c>
    </row>
    <row r="16" spans="1:21" customFormat="1">
      <c r="A16" s="50" t="s">
        <v>283</v>
      </c>
      <c r="B16" s="51">
        <v>12.87</v>
      </c>
      <c r="C16" s="51">
        <v>25.94</v>
      </c>
      <c r="D16" s="51">
        <v>24.82</v>
      </c>
      <c r="E16" s="51">
        <v>7.07</v>
      </c>
      <c r="F16" s="51">
        <v>2.52</v>
      </c>
      <c r="G16" s="51">
        <v>36.28</v>
      </c>
      <c r="H16" s="51">
        <v>12.83</v>
      </c>
      <c r="I16" s="51">
        <v>5.5</v>
      </c>
      <c r="J16" s="51">
        <v>0.22</v>
      </c>
      <c r="K16" s="51">
        <v>226.94</v>
      </c>
      <c r="L16" s="51">
        <v>27.56</v>
      </c>
      <c r="M16" s="51">
        <v>90.31</v>
      </c>
      <c r="N16" s="51">
        <v>235.3</v>
      </c>
      <c r="O16" s="51">
        <v>0</v>
      </c>
      <c r="P16" s="51">
        <v>0.67</v>
      </c>
      <c r="Q16" s="51">
        <v>3.97</v>
      </c>
    </row>
    <row r="17" spans="1:17" customFormat="1">
      <c r="A17" s="50" t="s">
        <v>284</v>
      </c>
      <c r="B17" s="51">
        <v>11.8</v>
      </c>
      <c r="C17" s="51">
        <v>26.77</v>
      </c>
      <c r="D17" s="51">
        <v>24.57</v>
      </c>
      <c r="E17" s="51">
        <v>7.18</v>
      </c>
      <c r="F17" s="51">
        <v>3.14</v>
      </c>
      <c r="G17" s="51">
        <v>44.65</v>
      </c>
      <c r="H17" s="51">
        <v>16.52</v>
      </c>
      <c r="I17" s="51">
        <v>5.75</v>
      </c>
      <c r="J17" s="51">
        <v>0.28000000000000003</v>
      </c>
      <c r="K17" s="51">
        <v>294.95</v>
      </c>
      <c r="L17" s="51">
        <v>30.68</v>
      </c>
      <c r="M17" s="51">
        <v>78.22</v>
      </c>
      <c r="N17" s="51">
        <v>431.4</v>
      </c>
      <c r="O17" s="51">
        <v>0</v>
      </c>
      <c r="P17" s="51">
        <v>0.7</v>
      </c>
      <c r="Q17" s="51">
        <v>3.94</v>
      </c>
    </row>
    <row r="18" spans="1:17" customFormat="1">
      <c r="A18" s="50" t="s">
        <v>285</v>
      </c>
      <c r="B18" s="51">
        <v>9.3800000000000008</v>
      </c>
      <c r="C18" s="51">
        <v>29.76</v>
      </c>
      <c r="D18" s="51">
        <v>23.25</v>
      </c>
      <c r="E18" s="51">
        <v>8.01</v>
      </c>
      <c r="F18" s="51">
        <v>4.21</v>
      </c>
      <c r="G18" s="51">
        <v>52.04</v>
      </c>
      <c r="H18" s="51">
        <v>18.07</v>
      </c>
      <c r="I18" s="51">
        <v>6.01</v>
      </c>
      <c r="J18" s="51">
        <v>0.45</v>
      </c>
      <c r="K18" s="51">
        <v>284.45</v>
      </c>
      <c r="L18" s="51">
        <v>32.270000000000003</v>
      </c>
      <c r="M18" s="51">
        <v>59.49</v>
      </c>
      <c r="N18" s="51">
        <v>476.8</v>
      </c>
      <c r="O18" s="51">
        <v>0</v>
      </c>
      <c r="P18" s="51">
        <v>0.76</v>
      </c>
      <c r="Q18" s="51">
        <v>3.82</v>
      </c>
    </row>
    <row r="19" spans="1:17" customFormat="1">
      <c r="A19" s="50" t="s">
        <v>286</v>
      </c>
      <c r="B19" s="51">
        <v>7.59</v>
      </c>
      <c r="C19" s="51">
        <v>30.93</v>
      </c>
      <c r="D19" s="51">
        <v>23.58</v>
      </c>
      <c r="E19" s="51">
        <v>10.29</v>
      </c>
      <c r="F19" s="51">
        <v>8.82</v>
      </c>
      <c r="G19" s="51">
        <v>65.489999999999995</v>
      </c>
      <c r="H19" s="51">
        <v>23.86</v>
      </c>
      <c r="I19" s="51">
        <v>6.39</v>
      </c>
      <c r="J19" s="51">
        <v>0.71</v>
      </c>
      <c r="K19" s="51">
        <v>25.56</v>
      </c>
      <c r="L19" s="51">
        <v>33.11</v>
      </c>
      <c r="M19" s="51">
        <v>56.28</v>
      </c>
      <c r="N19" s="51">
        <v>644.4</v>
      </c>
      <c r="O19" s="51">
        <v>0</v>
      </c>
      <c r="P19" s="51">
        <v>0.79</v>
      </c>
      <c r="Q19" s="51">
        <v>3.72</v>
      </c>
    </row>
    <row r="20" spans="1:17" customFormat="1">
      <c r="A20" s="50" t="s">
        <v>287</v>
      </c>
      <c r="B20" s="51">
        <v>7.08</v>
      </c>
      <c r="C20" s="51">
        <v>28.47</v>
      </c>
      <c r="D20" s="51">
        <v>21.79</v>
      </c>
      <c r="E20" s="51">
        <v>9.67</v>
      </c>
      <c r="F20" s="51">
        <v>10.01</v>
      </c>
      <c r="G20" s="51">
        <v>82.92</v>
      </c>
      <c r="H20" s="51">
        <v>24.38</v>
      </c>
      <c r="I20" s="51">
        <v>6.32</v>
      </c>
      <c r="J20" s="51">
        <v>0.68</v>
      </c>
      <c r="K20" s="51">
        <v>357.36</v>
      </c>
      <c r="L20" s="51">
        <v>34.130000000000003</v>
      </c>
      <c r="M20" s="51">
        <v>48.88</v>
      </c>
      <c r="N20" s="51">
        <v>740.7</v>
      </c>
      <c r="O20" s="51">
        <v>0</v>
      </c>
      <c r="P20" s="51">
        <v>0.77</v>
      </c>
      <c r="Q20" s="51">
        <v>3.65</v>
      </c>
    </row>
    <row r="21" spans="1:17" customFormat="1">
      <c r="A21" s="50" t="s">
        <v>288</v>
      </c>
      <c r="B21" s="51">
        <v>6.85</v>
      </c>
      <c r="C21" s="51">
        <v>26.03</v>
      </c>
      <c r="D21" s="51">
        <v>20.32</v>
      </c>
      <c r="E21" s="51">
        <v>18.77</v>
      </c>
      <c r="F21" s="51">
        <v>22.17</v>
      </c>
      <c r="G21" s="51">
        <v>79.19</v>
      </c>
      <c r="H21" s="51">
        <v>24.49</v>
      </c>
      <c r="I21" s="51">
        <v>5.84</v>
      </c>
      <c r="J21" s="51">
        <v>0.67</v>
      </c>
      <c r="K21" s="51">
        <v>352.9</v>
      </c>
      <c r="L21" s="51">
        <v>33.950000000000003</v>
      </c>
      <c r="M21" s="51">
        <v>54.06</v>
      </c>
      <c r="N21" s="51">
        <v>686</v>
      </c>
      <c r="O21" s="51">
        <v>0</v>
      </c>
      <c r="P21" s="51">
        <v>0.76</v>
      </c>
      <c r="Q21" s="51">
        <v>3.53</v>
      </c>
    </row>
    <row r="22" spans="1:17" customFormat="1">
      <c r="A22" s="50" t="s">
        <v>289</v>
      </c>
      <c r="B22" s="51">
        <v>2.95</v>
      </c>
      <c r="C22" s="51">
        <v>24.52</v>
      </c>
      <c r="D22" s="51">
        <v>16.53</v>
      </c>
      <c r="E22" s="51">
        <v>17.27</v>
      </c>
      <c r="F22" s="51">
        <v>22.35</v>
      </c>
      <c r="G22" s="51">
        <v>80.67</v>
      </c>
      <c r="H22" s="51">
        <v>24.02</v>
      </c>
      <c r="I22" s="51">
        <v>5.44</v>
      </c>
      <c r="J22" s="51">
        <v>0.77</v>
      </c>
      <c r="K22" s="51">
        <v>39.340000000000003</v>
      </c>
      <c r="L22" s="51">
        <v>33.99</v>
      </c>
      <c r="M22" s="51">
        <v>51.2</v>
      </c>
      <c r="N22" s="51">
        <v>631.4</v>
      </c>
      <c r="O22" s="51">
        <v>0</v>
      </c>
      <c r="P22" s="51">
        <v>0.72</v>
      </c>
      <c r="Q22" s="51">
        <v>3.35</v>
      </c>
    </row>
    <row r="23" spans="1:17" customFormat="1">
      <c r="A23" s="50" t="s">
        <v>290</v>
      </c>
      <c r="B23" s="51">
        <v>3.09</v>
      </c>
      <c r="C23" s="51">
        <v>24.84</v>
      </c>
      <c r="D23" s="51">
        <v>16.13</v>
      </c>
      <c r="E23" s="51">
        <v>13</v>
      </c>
      <c r="F23" s="51">
        <v>19.760000000000002</v>
      </c>
      <c r="G23" s="51">
        <v>78.45</v>
      </c>
      <c r="H23" s="51">
        <v>22.97</v>
      </c>
      <c r="I23" s="51">
        <v>142.38999999999999</v>
      </c>
      <c r="J23" s="51">
        <v>0.59</v>
      </c>
      <c r="K23" s="51">
        <v>41.86</v>
      </c>
      <c r="L23" s="51">
        <v>34.03</v>
      </c>
      <c r="M23" s="51">
        <v>49.34</v>
      </c>
      <c r="N23" s="51">
        <v>546.20000000000005</v>
      </c>
      <c r="O23" s="51">
        <v>0</v>
      </c>
      <c r="P23" s="51">
        <v>0.56999999999999995</v>
      </c>
      <c r="Q23" s="51">
        <v>3.3</v>
      </c>
    </row>
    <row r="24" spans="1:17" customFormat="1">
      <c r="A24" s="50" t="s">
        <v>291</v>
      </c>
      <c r="B24" s="51">
        <v>4.5599999999999996</v>
      </c>
      <c r="C24" s="51">
        <v>24.78</v>
      </c>
      <c r="D24" s="51">
        <v>17.28</v>
      </c>
      <c r="E24" s="51">
        <v>6.36</v>
      </c>
      <c r="F24" s="51">
        <v>13.7</v>
      </c>
      <c r="G24" s="51">
        <v>71.52</v>
      </c>
      <c r="H24" s="51">
        <v>22.16</v>
      </c>
      <c r="I24" s="51">
        <v>131.28</v>
      </c>
      <c r="J24" s="51">
        <v>0.55000000000000004</v>
      </c>
      <c r="K24" s="51">
        <v>46.9</v>
      </c>
      <c r="L24" s="51">
        <v>32.67</v>
      </c>
      <c r="M24" s="51">
        <v>48.77</v>
      </c>
      <c r="N24" s="51">
        <v>186.1</v>
      </c>
      <c r="O24" s="51">
        <v>0</v>
      </c>
      <c r="P24" s="51">
        <v>0.54</v>
      </c>
      <c r="Q24" s="51">
        <v>3.31</v>
      </c>
    </row>
    <row r="25" spans="1:17" customFormat="1">
      <c r="A25" s="50" t="s">
        <v>292</v>
      </c>
      <c r="B25" s="51">
        <v>6.32</v>
      </c>
      <c r="C25" s="51">
        <v>28.73</v>
      </c>
      <c r="D25" s="51">
        <v>20.75</v>
      </c>
      <c r="E25" s="51">
        <v>6.94</v>
      </c>
      <c r="F25" s="51">
        <v>12.71</v>
      </c>
      <c r="G25" s="51">
        <v>63.72</v>
      </c>
      <c r="H25" s="51">
        <v>18.559999999999999</v>
      </c>
      <c r="I25" s="51">
        <v>107.85</v>
      </c>
      <c r="J25" s="51">
        <v>0.54</v>
      </c>
      <c r="K25" s="51">
        <v>69.3</v>
      </c>
      <c r="L25" s="51">
        <v>32.15</v>
      </c>
      <c r="M25" s="51">
        <v>55.22</v>
      </c>
      <c r="N25" s="51">
        <v>47.2</v>
      </c>
      <c r="O25" s="51">
        <v>0</v>
      </c>
      <c r="P25" s="51">
        <v>0.57999999999999996</v>
      </c>
      <c r="Q25" s="51">
        <v>3.38</v>
      </c>
    </row>
    <row r="26" spans="1:17" customFormat="1">
      <c r="A26" s="50" t="s">
        <v>293</v>
      </c>
      <c r="B26" s="51">
        <v>7.32</v>
      </c>
      <c r="C26" s="51">
        <v>29.86</v>
      </c>
      <c r="D26" s="51">
        <v>22.15</v>
      </c>
      <c r="E26" s="51">
        <v>7.3</v>
      </c>
      <c r="F26" s="51">
        <v>8.26</v>
      </c>
      <c r="G26" s="51">
        <v>74.28</v>
      </c>
      <c r="H26" s="51">
        <v>19.850000000000001</v>
      </c>
      <c r="I26" s="51">
        <v>80.84</v>
      </c>
      <c r="J26" s="51">
        <v>0.32</v>
      </c>
      <c r="K26" s="51">
        <v>179.38</v>
      </c>
      <c r="L26" s="51">
        <v>30.93</v>
      </c>
      <c r="M26" s="51">
        <v>68.63</v>
      </c>
      <c r="N26" s="51">
        <v>7.1</v>
      </c>
      <c r="O26" s="51">
        <v>0</v>
      </c>
      <c r="P26" s="51">
        <v>0.63</v>
      </c>
      <c r="Q26" s="51">
        <v>3.5</v>
      </c>
    </row>
    <row r="27" spans="1:17" customFormat="1">
      <c r="A27" s="50" t="s">
        <v>294</v>
      </c>
      <c r="B27" s="51">
        <v>8.82</v>
      </c>
      <c r="C27" s="51">
        <v>31.27</v>
      </c>
      <c r="D27" s="51">
        <v>23.38</v>
      </c>
      <c r="E27" s="51">
        <v>6.23</v>
      </c>
      <c r="F27" s="51">
        <v>3.59</v>
      </c>
      <c r="G27" s="51">
        <v>85.06</v>
      </c>
      <c r="H27" s="51">
        <v>19.21</v>
      </c>
      <c r="I27" s="51">
        <v>70.540000000000006</v>
      </c>
      <c r="J27" s="51">
        <v>0.17</v>
      </c>
      <c r="K27" s="51">
        <v>207.68</v>
      </c>
      <c r="L27" s="51">
        <v>28.6</v>
      </c>
      <c r="M27" s="51">
        <v>81.3</v>
      </c>
      <c r="N27" s="51">
        <v>0</v>
      </c>
      <c r="O27" s="51">
        <v>0</v>
      </c>
      <c r="P27" s="51">
        <v>0.67</v>
      </c>
      <c r="Q27" s="51">
        <v>3.65</v>
      </c>
    </row>
    <row r="28" spans="1:17" customFormat="1">
      <c r="A28" s="50" t="s">
        <v>295</v>
      </c>
      <c r="B28" s="51">
        <v>9.6999999999999993</v>
      </c>
      <c r="C28" s="51">
        <v>28.27</v>
      </c>
      <c r="D28" s="51">
        <v>22.87</v>
      </c>
      <c r="E28" s="51">
        <v>6.39</v>
      </c>
      <c r="F28" s="51">
        <v>3.17</v>
      </c>
      <c r="G28" s="51">
        <v>83.56</v>
      </c>
      <c r="H28" s="51">
        <v>19.25</v>
      </c>
      <c r="I28" s="51">
        <v>61.83</v>
      </c>
      <c r="J28" s="51">
        <v>0.16</v>
      </c>
      <c r="K28" s="51">
        <v>216.01</v>
      </c>
      <c r="L28" s="51">
        <v>27.14</v>
      </c>
      <c r="M28" s="51">
        <v>84.72</v>
      </c>
      <c r="N28" s="51">
        <v>0</v>
      </c>
      <c r="O28" s="51">
        <v>0</v>
      </c>
      <c r="P28" s="51">
        <v>0.71</v>
      </c>
      <c r="Q28" s="51">
        <v>3.75</v>
      </c>
    </row>
    <row r="29" spans="1:17" customFormat="1">
      <c r="A29" s="50" t="s">
        <v>296</v>
      </c>
      <c r="B29" s="51">
        <v>10.66</v>
      </c>
      <c r="C29" s="51">
        <v>27.94</v>
      </c>
      <c r="D29" s="51">
        <v>23.5</v>
      </c>
      <c r="E29" s="51">
        <v>7.08</v>
      </c>
      <c r="F29" s="51">
        <v>2.77</v>
      </c>
      <c r="G29" s="51">
        <v>68.17</v>
      </c>
      <c r="H29" s="51">
        <v>18.829999999999998</v>
      </c>
      <c r="I29" s="51">
        <v>52.93</v>
      </c>
      <c r="J29" s="51">
        <v>0.14000000000000001</v>
      </c>
      <c r="K29" s="51">
        <v>230.96</v>
      </c>
      <c r="L29" s="51">
        <v>26.56</v>
      </c>
      <c r="M29" s="51">
        <v>85.29</v>
      </c>
      <c r="N29" s="51">
        <v>0</v>
      </c>
      <c r="O29" s="51">
        <v>0</v>
      </c>
      <c r="P29" s="51">
        <v>0.74</v>
      </c>
      <c r="Q29" s="51">
        <v>3.77</v>
      </c>
    </row>
    <row r="30" spans="1:17" customFormat="1">
      <c r="A30" s="50" t="s">
        <v>297</v>
      </c>
      <c r="B30" s="51">
        <v>11.95</v>
      </c>
      <c r="C30" s="51">
        <v>25.36</v>
      </c>
      <c r="D30" s="51">
        <v>22.92</v>
      </c>
      <c r="E30" s="51">
        <v>6.98</v>
      </c>
      <c r="F30" s="51">
        <v>4.03</v>
      </c>
      <c r="G30" s="51">
        <v>68.040000000000006</v>
      </c>
      <c r="H30" s="51">
        <v>18.850000000000001</v>
      </c>
      <c r="I30" s="51">
        <v>45.34</v>
      </c>
      <c r="J30" s="51">
        <v>0.11</v>
      </c>
      <c r="K30" s="51">
        <v>229.56</v>
      </c>
      <c r="L30" s="51">
        <v>26.16</v>
      </c>
      <c r="M30" s="51">
        <v>89.36</v>
      </c>
      <c r="N30" s="51">
        <v>0</v>
      </c>
      <c r="O30" s="51">
        <v>0</v>
      </c>
      <c r="P30" s="51">
        <v>0.73</v>
      </c>
      <c r="Q30" s="51">
        <v>3.78</v>
      </c>
    </row>
    <row r="31" spans="1:17" customFormat="1">
      <c r="A31" s="50" t="s">
        <v>298</v>
      </c>
      <c r="B31" s="51">
        <v>12.02</v>
      </c>
      <c r="C31" s="51">
        <v>21.16</v>
      </c>
      <c r="D31" s="51">
        <v>21.37</v>
      </c>
      <c r="E31" s="51">
        <v>6.51</v>
      </c>
      <c r="F31" s="51">
        <v>5.52</v>
      </c>
      <c r="G31" s="51">
        <v>60.51</v>
      </c>
      <c r="H31" s="51">
        <v>19.54</v>
      </c>
      <c r="I31" s="51">
        <v>41.79</v>
      </c>
      <c r="J31" s="51">
        <v>0.12</v>
      </c>
      <c r="K31" s="51">
        <v>235.22</v>
      </c>
      <c r="L31" s="51">
        <v>25.71</v>
      </c>
      <c r="M31" s="51">
        <v>85.93</v>
      </c>
      <c r="N31" s="51">
        <v>0</v>
      </c>
      <c r="O31" s="51">
        <v>0</v>
      </c>
      <c r="P31" s="51">
        <v>0.71</v>
      </c>
      <c r="Q31" s="51">
        <v>3.73</v>
      </c>
    </row>
    <row r="32" spans="1:17" customFormat="1">
      <c r="A32" s="50" t="s">
        <v>299</v>
      </c>
      <c r="B32" s="51">
        <v>13.07</v>
      </c>
      <c r="C32" s="51">
        <v>22.84</v>
      </c>
      <c r="D32" s="51">
        <v>22.73</v>
      </c>
      <c r="E32" s="51">
        <v>6.56</v>
      </c>
      <c r="F32" s="51">
        <v>3.93</v>
      </c>
      <c r="G32" s="51">
        <v>61.61</v>
      </c>
      <c r="H32" s="51">
        <v>22.27</v>
      </c>
      <c r="I32" s="51">
        <v>35.5</v>
      </c>
      <c r="J32" s="51">
        <v>0.18</v>
      </c>
      <c r="K32" s="51">
        <v>244.84</v>
      </c>
      <c r="L32" s="51">
        <v>25.62</v>
      </c>
      <c r="M32" s="51">
        <v>91.85</v>
      </c>
      <c r="N32" s="51">
        <v>0</v>
      </c>
      <c r="O32" s="51">
        <v>0</v>
      </c>
      <c r="P32" s="51">
        <v>0.73</v>
      </c>
      <c r="Q32" s="51">
        <v>3.79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2.95</v>
      </c>
      <c r="C34" s="41">
        <f t="shared" si="0"/>
        <v>21.16</v>
      </c>
      <c r="D34" s="41">
        <f t="shared" si="0"/>
        <v>16.13</v>
      </c>
      <c r="E34" s="41">
        <f t="shared" si="0"/>
        <v>6.23</v>
      </c>
      <c r="F34" s="41">
        <f t="shared" si="0"/>
        <v>2.52</v>
      </c>
      <c r="G34" s="41">
        <f t="shared" si="0"/>
        <v>36.28</v>
      </c>
      <c r="H34" s="41">
        <f t="shared" si="0"/>
        <v>12.83</v>
      </c>
      <c r="I34" s="41">
        <f t="shared" si="0"/>
        <v>5.21</v>
      </c>
      <c r="J34" s="41">
        <f t="shared" si="0"/>
        <v>0.11</v>
      </c>
      <c r="K34" s="41">
        <f t="shared" si="0"/>
        <v>25.56</v>
      </c>
      <c r="L34" s="41">
        <f t="shared" si="0"/>
        <v>23.87</v>
      </c>
      <c r="M34" s="41">
        <f t="shared" si="0"/>
        <v>48.77</v>
      </c>
      <c r="N34" s="41">
        <f t="shared" si="0"/>
        <v>0</v>
      </c>
      <c r="O34" s="41">
        <f t="shared" si="0"/>
        <v>0</v>
      </c>
      <c r="P34" s="41">
        <f t="shared" si="0"/>
        <v>0.54</v>
      </c>
      <c r="Q34" s="41">
        <f t="shared" si="0"/>
        <v>3.3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13.21</v>
      </c>
      <c r="C35" s="33">
        <f t="shared" si="1"/>
        <v>31.27</v>
      </c>
      <c r="D35" s="33">
        <f t="shared" si="1"/>
        <v>24.82</v>
      </c>
      <c r="E35" s="33">
        <f t="shared" si="1"/>
        <v>18.77</v>
      </c>
      <c r="F35" s="33">
        <f t="shared" si="1"/>
        <v>22.35</v>
      </c>
      <c r="G35" s="33">
        <f t="shared" si="1"/>
        <v>85.06</v>
      </c>
      <c r="H35" s="33">
        <f t="shared" si="1"/>
        <v>24.49</v>
      </c>
      <c r="I35" s="33">
        <f t="shared" si="1"/>
        <v>142.38999999999999</v>
      </c>
      <c r="J35" s="33">
        <f t="shared" si="1"/>
        <v>0.77</v>
      </c>
      <c r="K35" s="33">
        <f t="shared" si="1"/>
        <v>357.36</v>
      </c>
      <c r="L35" s="33">
        <f t="shared" si="1"/>
        <v>34.130000000000003</v>
      </c>
      <c r="M35" s="33">
        <f t="shared" si="1"/>
        <v>95.89</v>
      </c>
      <c r="N35" s="33">
        <f t="shared" si="1"/>
        <v>740.7</v>
      </c>
      <c r="O35" s="33">
        <f t="shared" si="1"/>
        <v>0</v>
      </c>
      <c r="P35" s="33">
        <f t="shared" si="1"/>
        <v>0.79</v>
      </c>
      <c r="Q35" s="33">
        <f t="shared" si="1"/>
        <v>3.97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9.3545833333333306</v>
      </c>
      <c r="C36" s="41">
        <f t="shared" si="2"/>
        <v>26.094166666666666</v>
      </c>
      <c r="D36" s="41">
        <f t="shared" si="2"/>
        <v>21.981666666666666</v>
      </c>
      <c r="E36" s="41">
        <f t="shared" si="2"/>
        <v>8.3833333333333311</v>
      </c>
      <c r="F36" s="41">
        <f t="shared" si="2"/>
        <v>7.236250000000001</v>
      </c>
      <c r="G36" s="41">
        <f t="shared" si="2"/>
        <v>61.344999999999992</v>
      </c>
      <c r="H36" s="41">
        <f t="shared" si="2"/>
        <v>19.567500000000003</v>
      </c>
      <c r="I36" s="41">
        <f t="shared" si="2"/>
        <v>35.363750000000003</v>
      </c>
      <c r="J36" s="41">
        <f t="shared" si="2"/>
        <v>0.32708333333333334</v>
      </c>
      <c r="K36" s="41">
        <f t="shared" si="2"/>
        <v>194.16416666666672</v>
      </c>
      <c r="L36" s="41">
        <f t="shared" si="2"/>
        <v>28.664166666666663</v>
      </c>
      <c r="M36" s="41">
        <f t="shared" si="2"/>
        <v>76.518749999999997</v>
      </c>
      <c r="N36" s="41">
        <f t="shared" si="2"/>
        <v>194.7416666666667</v>
      </c>
      <c r="O36" s="41">
        <f t="shared" si="2"/>
        <v>0</v>
      </c>
      <c r="P36" s="41">
        <f t="shared" si="2"/>
        <v>0.68374999999999997</v>
      </c>
      <c r="Q36" s="41">
        <f t="shared" si="2"/>
        <v>3.6962500000000009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3.103256325030312</v>
      </c>
      <c r="C37" s="41">
        <f t="shared" ref="C37:Q37" si="3">STDEV(C9:C32)</f>
        <v>2.7748042103537909</v>
      </c>
      <c r="D37" s="41">
        <f t="shared" si="3"/>
        <v>2.3804578782547807</v>
      </c>
      <c r="E37" s="41">
        <f t="shared" si="3"/>
        <v>3.3340804959723491</v>
      </c>
      <c r="F37" s="41">
        <f t="shared" si="3"/>
        <v>6.3361219880796247</v>
      </c>
      <c r="G37" s="41">
        <f t="shared" si="3"/>
        <v>16.012800043009129</v>
      </c>
      <c r="H37" s="41">
        <f t="shared" si="3"/>
        <v>2.9738603955420824</v>
      </c>
      <c r="I37" s="41">
        <f t="shared" si="3"/>
        <v>43.120714563380346</v>
      </c>
      <c r="J37" s="41">
        <f t="shared" si="3"/>
        <v>0.22410166882692886</v>
      </c>
      <c r="K37" s="41">
        <f t="shared" si="3"/>
        <v>91.763796778878628</v>
      </c>
      <c r="L37" s="41">
        <f t="shared" si="3"/>
        <v>3.7921760607021304</v>
      </c>
      <c r="M37" s="41">
        <f t="shared" si="3"/>
        <v>18.227200484440861</v>
      </c>
      <c r="N37" s="41">
        <f t="shared" si="3"/>
        <v>274.15640080335396</v>
      </c>
      <c r="O37" s="41">
        <f t="shared" si="3"/>
        <v>0</v>
      </c>
      <c r="P37" s="41">
        <f t="shared" si="3"/>
        <v>6.4525862694904818E-2</v>
      </c>
      <c r="Q37" s="41">
        <f t="shared" si="3"/>
        <v>0.2011232047235065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300</v>
      </c>
      <c r="B9" s="51">
        <v>13.82</v>
      </c>
      <c r="C9" s="51">
        <v>22.77</v>
      </c>
      <c r="D9" s="51">
        <v>23.42</v>
      </c>
      <c r="E9" s="51">
        <v>6.3</v>
      </c>
      <c r="F9" s="51">
        <v>3.97</v>
      </c>
      <c r="G9" s="51">
        <v>59.72</v>
      </c>
      <c r="H9" s="51">
        <v>21.32</v>
      </c>
      <c r="I9" s="51">
        <v>32.49</v>
      </c>
      <c r="J9" s="51">
        <v>0.17</v>
      </c>
      <c r="K9" s="51">
        <v>208.63</v>
      </c>
      <c r="L9" s="51">
        <v>25.15</v>
      </c>
      <c r="M9" s="51">
        <v>94.84</v>
      </c>
      <c r="N9" s="51">
        <v>0</v>
      </c>
      <c r="O9" s="51">
        <v>0</v>
      </c>
      <c r="P9" s="51">
        <v>0.73</v>
      </c>
      <c r="Q9" s="51">
        <v>3.87</v>
      </c>
    </row>
    <row r="10" spans="1:21" customFormat="1">
      <c r="A10" s="50" t="s">
        <v>301</v>
      </c>
      <c r="B10" s="51">
        <v>14.13</v>
      </c>
      <c r="C10" s="51">
        <v>23.46</v>
      </c>
      <c r="D10" s="51">
        <v>24.18</v>
      </c>
      <c r="E10" s="51">
        <v>6.38</v>
      </c>
      <c r="F10" s="51">
        <v>4.22</v>
      </c>
      <c r="G10" s="51">
        <v>54.13</v>
      </c>
      <c r="H10" s="51">
        <v>18.64</v>
      </c>
      <c r="I10" s="51">
        <v>31.13</v>
      </c>
      <c r="J10" s="51">
        <v>0.12</v>
      </c>
      <c r="K10" s="51">
        <v>231.05</v>
      </c>
      <c r="L10" s="51">
        <v>24.93</v>
      </c>
      <c r="M10" s="51">
        <v>94.34</v>
      </c>
      <c r="N10" s="51">
        <v>0</v>
      </c>
      <c r="O10" s="51">
        <v>0</v>
      </c>
      <c r="P10" s="51">
        <v>0.73</v>
      </c>
      <c r="Q10" s="51">
        <v>3.87</v>
      </c>
    </row>
    <row r="11" spans="1:21" customFormat="1">
      <c r="A11" s="50" t="s">
        <v>302</v>
      </c>
      <c r="B11" s="51">
        <v>13.78</v>
      </c>
      <c r="C11" s="51">
        <v>24.26</v>
      </c>
      <c r="D11" s="51">
        <v>24.21</v>
      </c>
      <c r="E11" s="51">
        <v>7.4</v>
      </c>
      <c r="F11" s="51">
        <v>2.86</v>
      </c>
      <c r="G11" s="51">
        <v>47.53</v>
      </c>
      <c r="H11" s="51">
        <v>18.03</v>
      </c>
      <c r="I11" s="51">
        <v>28.38</v>
      </c>
      <c r="J11" s="51">
        <v>0.16</v>
      </c>
      <c r="K11" s="51">
        <v>189.96</v>
      </c>
      <c r="L11" s="51">
        <v>24.74</v>
      </c>
      <c r="M11" s="51">
        <v>94.35</v>
      </c>
      <c r="N11" s="51">
        <v>0</v>
      </c>
      <c r="O11" s="51">
        <v>0</v>
      </c>
      <c r="P11" s="51">
        <v>0.73</v>
      </c>
      <c r="Q11" s="51">
        <v>3.91</v>
      </c>
    </row>
    <row r="12" spans="1:21" customFormat="1">
      <c r="A12" s="50" t="s">
        <v>303</v>
      </c>
      <c r="B12" s="51">
        <v>13.19</v>
      </c>
      <c r="C12" s="51">
        <v>24.75</v>
      </c>
      <c r="D12" s="51">
        <v>24.17</v>
      </c>
      <c r="E12" s="51">
        <v>7.43</v>
      </c>
      <c r="F12" s="51">
        <v>2.5299999999999998</v>
      </c>
      <c r="G12" s="51">
        <v>48.16</v>
      </c>
      <c r="H12" s="51">
        <v>19.36</v>
      </c>
      <c r="I12" s="51">
        <v>25.55</v>
      </c>
      <c r="J12" s="51">
        <v>0.17</v>
      </c>
      <c r="K12" s="51">
        <v>225.84</v>
      </c>
      <c r="L12" s="51">
        <v>24.56</v>
      </c>
      <c r="M12" s="51">
        <v>95.34</v>
      </c>
      <c r="N12" s="51">
        <v>0</v>
      </c>
      <c r="O12" s="51">
        <v>0</v>
      </c>
      <c r="P12" s="51">
        <v>0.71</v>
      </c>
      <c r="Q12" s="51">
        <v>3.94</v>
      </c>
    </row>
    <row r="13" spans="1:21" customFormat="1">
      <c r="A13" s="50" t="s">
        <v>304</v>
      </c>
      <c r="B13" s="51">
        <v>13.08</v>
      </c>
      <c r="C13" s="51">
        <v>25.24</v>
      </c>
      <c r="D13" s="51">
        <v>24.35</v>
      </c>
      <c r="E13" s="51">
        <v>7.44</v>
      </c>
      <c r="F13" s="51">
        <v>2.58</v>
      </c>
      <c r="G13" s="51">
        <v>46.18</v>
      </c>
      <c r="H13" s="51">
        <v>19.46</v>
      </c>
      <c r="I13" s="51">
        <v>22.32</v>
      </c>
      <c r="J13" s="51">
        <v>0.14000000000000001</v>
      </c>
      <c r="K13" s="51">
        <v>215.67</v>
      </c>
      <c r="L13" s="51">
        <v>24.18</v>
      </c>
      <c r="M13" s="51">
        <v>97.24</v>
      </c>
      <c r="N13" s="51">
        <v>0</v>
      </c>
      <c r="O13" s="51">
        <v>0</v>
      </c>
      <c r="P13" s="51">
        <v>0.7</v>
      </c>
      <c r="Q13" s="51">
        <v>3.94</v>
      </c>
    </row>
    <row r="14" spans="1:21" customFormat="1">
      <c r="A14" s="50" t="s">
        <v>305</v>
      </c>
      <c r="B14" s="51">
        <v>13.2</v>
      </c>
      <c r="C14" s="51">
        <v>25.47</v>
      </c>
      <c r="D14" s="51">
        <v>24.42</v>
      </c>
      <c r="E14" s="51">
        <v>8.02</v>
      </c>
      <c r="F14" s="51">
        <v>2.5099999999999998</v>
      </c>
      <c r="G14" s="51">
        <v>46.77</v>
      </c>
      <c r="H14" s="51">
        <v>15.29</v>
      </c>
      <c r="I14" s="51">
        <v>19.86</v>
      </c>
      <c r="J14" s="51">
        <v>0.23</v>
      </c>
      <c r="K14" s="51">
        <v>169.61</v>
      </c>
      <c r="L14" s="51">
        <v>24.06</v>
      </c>
      <c r="M14" s="51">
        <v>98.8</v>
      </c>
      <c r="N14" s="51">
        <v>0</v>
      </c>
      <c r="O14" s="51">
        <v>0</v>
      </c>
      <c r="P14" s="51">
        <v>0.71</v>
      </c>
      <c r="Q14" s="51">
        <v>3.95</v>
      </c>
    </row>
    <row r="15" spans="1:21" customFormat="1">
      <c r="A15" s="50" t="s">
        <v>306</v>
      </c>
      <c r="B15" s="51">
        <v>14.03</v>
      </c>
      <c r="C15" s="51">
        <v>25.61</v>
      </c>
      <c r="D15" s="51">
        <v>24.77</v>
      </c>
      <c r="E15" s="51">
        <v>8.23</v>
      </c>
      <c r="F15" s="51">
        <v>2.9</v>
      </c>
      <c r="G15" s="51">
        <v>41.17</v>
      </c>
      <c r="H15" s="51">
        <v>17.940000000000001</v>
      </c>
      <c r="I15" s="51">
        <v>17.63</v>
      </c>
      <c r="J15" s="51">
        <v>0.22</v>
      </c>
      <c r="K15" s="51">
        <v>229.33</v>
      </c>
      <c r="L15" s="51">
        <v>24.65</v>
      </c>
      <c r="M15" s="51">
        <v>99.02</v>
      </c>
      <c r="N15" s="51">
        <v>40.200000000000003</v>
      </c>
      <c r="O15" s="51">
        <v>0</v>
      </c>
      <c r="P15" s="51">
        <v>0.68</v>
      </c>
      <c r="Q15" s="51">
        <v>3.97</v>
      </c>
    </row>
    <row r="16" spans="1:21" customFormat="1">
      <c r="A16" s="50" t="s">
        <v>307</v>
      </c>
      <c r="B16" s="51">
        <v>15.17</v>
      </c>
      <c r="C16" s="51">
        <v>21.51</v>
      </c>
      <c r="D16" s="51">
        <v>23.65</v>
      </c>
      <c r="E16" s="51">
        <v>7.36</v>
      </c>
      <c r="F16" s="51">
        <v>3.26</v>
      </c>
      <c r="G16" s="51">
        <v>37.630000000000003</v>
      </c>
      <c r="H16" s="51">
        <v>16.34</v>
      </c>
      <c r="I16" s="51">
        <v>15.85</v>
      </c>
      <c r="J16" s="51">
        <v>0.21</v>
      </c>
      <c r="K16" s="51">
        <v>265.20999999999998</v>
      </c>
      <c r="L16" s="51">
        <v>27.11</v>
      </c>
      <c r="M16" s="51">
        <v>95.05</v>
      </c>
      <c r="N16" s="51">
        <v>248.2</v>
      </c>
      <c r="O16" s="51">
        <v>0</v>
      </c>
      <c r="P16" s="51">
        <v>0.64</v>
      </c>
      <c r="Q16" s="51">
        <v>3.96</v>
      </c>
    </row>
    <row r="17" spans="1:17" customFormat="1">
      <c r="A17" s="50" t="s">
        <v>308</v>
      </c>
      <c r="B17" s="51">
        <v>14.95</v>
      </c>
      <c r="C17" s="51">
        <v>21.85</v>
      </c>
      <c r="D17" s="51">
        <v>23.61</v>
      </c>
      <c r="E17" s="51">
        <v>6.94</v>
      </c>
      <c r="F17" s="51">
        <v>3.46</v>
      </c>
      <c r="G17" s="51">
        <v>41.75</v>
      </c>
      <c r="H17" s="51">
        <v>17.350000000000001</v>
      </c>
      <c r="I17" s="51">
        <v>15.13</v>
      </c>
      <c r="J17" s="51">
        <v>0.17</v>
      </c>
      <c r="K17" s="51">
        <v>313.24</v>
      </c>
      <c r="L17" s="51">
        <v>30.09</v>
      </c>
      <c r="M17" s="51">
        <v>79.5</v>
      </c>
      <c r="N17" s="51">
        <v>450.6</v>
      </c>
      <c r="O17" s="51">
        <v>0</v>
      </c>
      <c r="P17" s="51">
        <v>0.65</v>
      </c>
      <c r="Q17" s="51">
        <v>3.87</v>
      </c>
    </row>
    <row r="18" spans="1:17" customFormat="1">
      <c r="A18" s="50" t="s">
        <v>309</v>
      </c>
      <c r="B18" s="51">
        <v>13.78</v>
      </c>
      <c r="C18" s="51">
        <v>22.96</v>
      </c>
      <c r="D18" s="51">
        <v>23.17</v>
      </c>
      <c r="E18" s="51">
        <v>6.64</v>
      </c>
      <c r="F18" s="51">
        <v>6.21</v>
      </c>
      <c r="G18" s="51">
        <v>46.34</v>
      </c>
      <c r="H18" s="51">
        <v>18.79</v>
      </c>
      <c r="I18" s="51">
        <v>14.42</v>
      </c>
      <c r="J18" s="51">
        <v>0.33</v>
      </c>
      <c r="K18" s="51">
        <v>343.45</v>
      </c>
      <c r="L18" s="51">
        <v>31.89</v>
      </c>
      <c r="M18" s="51">
        <v>65.510000000000005</v>
      </c>
      <c r="N18" s="51">
        <v>522.4</v>
      </c>
      <c r="O18" s="51">
        <v>0</v>
      </c>
      <c r="P18" s="51">
        <v>0.68</v>
      </c>
      <c r="Q18" s="51">
        <v>3.83</v>
      </c>
    </row>
    <row r="19" spans="1:17" customFormat="1">
      <c r="A19" s="50" t="s">
        <v>310</v>
      </c>
      <c r="B19" s="51">
        <v>11.02</v>
      </c>
      <c r="C19" s="51">
        <v>24.1</v>
      </c>
      <c r="D19" s="51">
        <v>21.53</v>
      </c>
      <c r="E19" s="51">
        <v>12.41</v>
      </c>
      <c r="F19" s="51">
        <v>10.6</v>
      </c>
      <c r="G19" s="51">
        <v>53.73</v>
      </c>
      <c r="H19" s="51">
        <v>20.81</v>
      </c>
      <c r="I19" s="51">
        <v>13.45</v>
      </c>
      <c r="J19" s="51">
        <v>0.73</v>
      </c>
      <c r="K19" s="51">
        <v>334.68</v>
      </c>
      <c r="L19" s="51">
        <v>32.97</v>
      </c>
      <c r="M19" s="51">
        <v>53.72</v>
      </c>
      <c r="N19" s="51">
        <v>655.29999999999995</v>
      </c>
      <c r="O19" s="51">
        <v>0</v>
      </c>
      <c r="P19" s="51">
        <v>0.7</v>
      </c>
      <c r="Q19" s="51">
        <v>3.66</v>
      </c>
    </row>
    <row r="20" spans="1:17" customFormat="1">
      <c r="A20" s="50" t="s">
        <v>311</v>
      </c>
      <c r="B20" s="51">
        <v>9.51</v>
      </c>
      <c r="C20" s="51">
        <v>24.87</v>
      </c>
      <c r="D20" s="51">
        <v>20.57</v>
      </c>
      <c r="E20" s="51">
        <v>11.81</v>
      </c>
      <c r="F20" s="51">
        <v>10.07</v>
      </c>
      <c r="G20" s="51">
        <v>73.02</v>
      </c>
      <c r="H20" s="51">
        <v>27.26</v>
      </c>
      <c r="I20" s="51">
        <v>12.94</v>
      </c>
      <c r="J20" s="51">
        <v>0.64</v>
      </c>
      <c r="K20" s="51">
        <v>23.84</v>
      </c>
      <c r="L20" s="51">
        <v>33.71</v>
      </c>
      <c r="M20" s="51">
        <v>51.25</v>
      </c>
      <c r="N20" s="51">
        <v>772.3</v>
      </c>
      <c r="O20" s="51">
        <v>0</v>
      </c>
      <c r="P20" s="51">
        <v>0.69</v>
      </c>
      <c r="Q20" s="51">
        <v>3.54</v>
      </c>
    </row>
    <row r="21" spans="1:17" customFormat="1">
      <c r="A21" s="50" t="s">
        <v>312</v>
      </c>
      <c r="B21" s="51">
        <v>7.23</v>
      </c>
      <c r="C21" s="51">
        <v>25.56</v>
      </c>
      <c r="D21" s="51">
        <v>19.489999999999998</v>
      </c>
      <c r="E21" s="51">
        <v>11.84</v>
      </c>
      <c r="F21" s="51">
        <v>10.07</v>
      </c>
      <c r="G21" s="51">
        <v>74.290000000000006</v>
      </c>
      <c r="H21" s="51">
        <v>22.41</v>
      </c>
      <c r="I21" s="51">
        <v>11.55</v>
      </c>
      <c r="J21" s="51">
        <v>0.63</v>
      </c>
      <c r="K21" s="51">
        <v>326.29000000000002</v>
      </c>
      <c r="L21" s="51">
        <v>34.450000000000003</v>
      </c>
      <c r="M21" s="51">
        <v>46.65</v>
      </c>
      <c r="N21" s="51">
        <v>749.8</v>
      </c>
      <c r="O21" s="51">
        <v>0</v>
      </c>
      <c r="P21" s="51">
        <v>0.66</v>
      </c>
      <c r="Q21" s="51">
        <v>3.52</v>
      </c>
    </row>
    <row r="22" spans="1:17" customFormat="1">
      <c r="A22" s="50" t="s">
        <v>313</v>
      </c>
      <c r="B22" s="51">
        <v>6.37</v>
      </c>
      <c r="C22" s="51">
        <v>25.1</v>
      </c>
      <c r="D22" s="51">
        <v>18.899999999999999</v>
      </c>
      <c r="E22" s="51">
        <v>12.36</v>
      </c>
      <c r="F22" s="51">
        <v>10.9</v>
      </c>
      <c r="G22" s="51">
        <v>73.58</v>
      </c>
      <c r="H22" s="51">
        <v>22.46</v>
      </c>
      <c r="I22" s="51">
        <v>10.17</v>
      </c>
      <c r="J22" s="51">
        <v>0.68</v>
      </c>
      <c r="K22" s="51">
        <v>33.89</v>
      </c>
      <c r="L22" s="51">
        <v>34.29</v>
      </c>
      <c r="M22" s="51">
        <v>46.92</v>
      </c>
      <c r="N22" s="51">
        <v>633.70000000000005</v>
      </c>
      <c r="O22" s="51">
        <v>0</v>
      </c>
      <c r="P22" s="51">
        <v>0.64</v>
      </c>
      <c r="Q22" s="51">
        <v>3.46</v>
      </c>
    </row>
    <row r="23" spans="1:17" customFormat="1">
      <c r="A23" s="50" t="s">
        <v>314</v>
      </c>
      <c r="B23" s="51">
        <v>6.67</v>
      </c>
      <c r="C23" s="51">
        <v>25.66</v>
      </c>
      <c r="D23" s="51">
        <v>19.29</v>
      </c>
      <c r="E23" s="51">
        <v>11.02</v>
      </c>
      <c r="F23" s="51">
        <v>10.26</v>
      </c>
      <c r="G23" s="51">
        <v>75.72</v>
      </c>
      <c r="H23" s="51">
        <v>22.87</v>
      </c>
      <c r="I23" s="51">
        <v>8.83</v>
      </c>
      <c r="J23" s="51">
        <v>0.57999999999999996</v>
      </c>
      <c r="K23" s="51">
        <v>46.83</v>
      </c>
      <c r="L23" s="51">
        <v>34.21</v>
      </c>
      <c r="M23" s="51">
        <v>44.72</v>
      </c>
      <c r="N23" s="51">
        <v>526.4</v>
      </c>
      <c r="O23" s="51">
        <v>0</v>
      </c>
      <c r="P23" s="51">
        <v>0.62</v>
      </c>
      <c r="Q23" s="51">
        <v>3.5</v>
      </c>
    </row>
    <row r="24" spans="1:17" customFormat="1">
      <c r="A24" s="50" t="s">
        <v>315</v>
      </c>
      <c r="B24" s="51">
        <v>6.5</v>
      </c>
      <c r="C24" s="51">
        <v>25.88</v>
      </c>
      <c r="D24" s="51">
        <v>19.38</v>
      </c>
      <c r="E24" s="51">
        <v>11.86</v>
      </c>
      <c r="F24" s="51">
        <v>11.68</v>
      </c>
      <c r="G24" s="51">
        <v>75.95</v>
      </c>
      <c r="H24" s="51">
        <v>19.52</v>
      </c>
      <c r="I24" s="51">
        <v>8.02</v>
      </c>
      <c r="J24" s="51">
        <v>0.48</v>
      </c>
      <c r="K24" s="51">
        <v>70.28</v>
      </c>
      <c r="L24" s="51">
        <v>32.86</v>
      </c>
      <c r="M24" s="51">
        <v>46.11</v>
      </c>
      <c r="N24" s="51">
        <v>144.80000000000001</v>
      </c>
      <c r="O24" s="51">
        <v>0</v>
      </c>
      <c r="P24" s="51">
        <v>0.61</v>
      </c>
      <c r="Q24" s="51">
        <v>3.5</v>
      </c>
    </row>
    <row r="25" spans="1:17" customFormat="1">
      <c r="A25" s="50" t="s">
        <v>316</v>
      </c>
      <c r="B25" s="51">
        <v>6.79</v>
      </c>
      <c r="C25" s="51">
        <v>26.12</v>
      </c>
      <c r="D25" s="51">
        <v>19.68</v>
      </c>
      <c r="E25" s="51">
        <v>11.91</v>
      </c>
      <c r="F25" s="51">
        <v>11.84</v>
      </c>
      <c r="G25" s="51">
        <v>67.92</v>
      </c>
      <c r="H25" s="51">
        <v>20.23</v>
      </c>
      <c r="I25" s="51">
        <v>7.25</v>
      </c>
      <c r="J25" s="51">
        <v>0.27</v>
      </c>
      <c r="K25" s="51">
        <v>149.97999999999999</v>
      </c>
      <c r="L25" s="51">
        <v>32.31</v>
      </c>
      <c r="M25" s="51">
        <v>54.64</v>
      </c>
      <c r="N25" s="51">
        <v>42.3</v>
      </c>
      <c r="O25" s="51">
        <v>0</v>
      </c>
      <c r="P25" s="51">
        <v>0.6</v>
      </c>
      <c r="Q25" s="51">
        <v>3.5</v>
      </c>
    </row>
    <row r="26" spans="1:17" customFormat="1">
      <c r="A26" s="50" t="s">
        <v>317</v>
      </c>
      <c r="B26" s="51">
        <v>7.86</v>
      </c>
      <c r="C26" s="51">
        <v>24.43</v>
      </c>
      <c r="D26" s="51">
        <v>19.47</v>
      </c>
      <c r="E26" s="51">
        <v>10.130000000000001</v>
      </c>
      <c r="F26" s="51">
        <v>11.07</v>
      </c>
      <c r="G26" s="51">
        <v>69.5</v>
      </c>
      <c r="H26" s="51">
        <v>19.899999999999999</v>
      </c>
      <c r="I26" s="51">
        <v>6.48</v>
      </c>
      <c r="J26" s="51">
        <v>0.33</v>
      </c>
      <c r="K26" s="51">
        <v>174.82</v>
      </c>
      <c r="L26" s="51">
        <v>30.13</v>
      </c>
      <c r="M26" s="51">
        <v>70.739999999999995</v>
      </c>
      <c r="N26" s="51">
        <v>6.1</v>
      </c>
      <c r="O26" s="51">
        <v>0</v>
      </c>
      <c r="P26" s="51">
        <v>0.64</v>
      </c>
      <c r="Q26" s="51">
        <v>3.5</v>
      </c>
    </row>
    <row r="27" spans="1:17" customFormat="1">
      <c r="A27" s="50" t="s">
        <v>318</v>
      </c>
      <c r="B27" s="51">
        <v>8.2799999999999994</v>
      </c>
      <c r="C27" s="51">
        <v>20.46</v>
      </c>
      <c r="D27" s="51">
        <v>17.559999999999999</v>
      </c>
      <c r="E27" s="51">
        <v>8.7100000000000009</v>
      </c>
      <c r="F27" s="51">
        <v>10.89</v>
      </c>
      <c r="G27" s="51">
        <v>81.650000000000006</v>
      </c>
      <c r="H27" s="51">
        <v>21.4</v>
      </c>
      <c r="I27" s="51">
        <v>6.83</v>
      </c>
      <c r="J27" s="51">
        <v>0.18</v>
      </c>
      <c r="K27" s="51">
        <v>219.97</v>
      </c>
      <c r="L27" s="51">
        <v>27.84</v>
      </c>
      <c r="M27" s="51">
        <v>77.64</v>
      </c>
      <c r="N27" s="51">
        <v>0</v>
      </c>
      <c r="O27" s="51">
        <v>0</v>
      </c>
      <c r="P27" s="51">
        <v>0.6</v>
      </c>
      <c r="Q27" s="51">
        <v>3.49</v>
      </c>
    </row>
    <row r="28" spans="1:17" customFormat="1">
      <c r="A28" s="50" t="s">
        <v>319</v>
      </c>
      <c r="B28" s="51">
        <v>8.4499999999999993</v>
      </c>
      <c r="C28" s="51">
        <v>18.29</v>
      </c>
      <c r="D28" s="51">
        <v>17</v>
      </c>
      <c r="E28" s="51">
        <v>9.4</v>
      </c>
      <c r="F28" s="51">
        <v>11.37</v>
      </c>
      <c r="G28" s="51">
        <v>74.56</v>
      </c>
      <c r="H28" s="51">
        <v>19.63</v>
      </c>
      <c r="I28" s="51">
        <v>6.89</v>
      </c>
      <c r="J28" s="51">
        <v>0.11</v>
      </c>
      <c r="K28" s="51">
        <v>209.82</v>
      </c>
      <c r="L28" s="51">
        <v>26.92</v>
      </c>
      <c r="M28" s="51">
        <v>83.61</v>
      </c>
      <c r="N28" s="51">
        <v>0</v>
      </c>
      <c r="O28" s="51">
        <v>0</v>
      </c>
      <c r="P28" s="51">
        <v>0.6</v>
      </c>
      <c r="Q28" s="51">
        <v>3.53</v>
      </c>
    </row>
    <row r="29" spans="1:17" customFormat="1">
      <c r="A29" s="50" t="s">
        <v>320</v>
      </c>
      <c r="B29" s="51">
        <v>9.58</v>
      </c>
      <c r="C29" s="51">
        <v>21.12</v>
      </c>
      <c r="D29" s="51">
        <v>19.36</v>
      </c>
      <c r="E29" s="51">
        <v>8.81</v>
      </c>
      <c r="F29" s="51">
        <v>7.16</v>
      </c>
      <c r="G29" s="51">
        <v>66.39</v>
      </c>
      <c r="H29" s="51">
        <v>20.27</v>
      </c>
      <c r="I29" s="51">
        <v>7.15</v>
      </c>
      <c r="J29" s="51">
        <v>0.12</v>
      </c>
      <c r="K29" s="51">
        <v>221.39</v>
      </c>
      <c r="L29" s="51">
        <v>26.69</v>
      </c>
      <c r="M29" s="51">
        <v>81.41</v>
      </c>
      <c r="N29" s="51">
        <v>0</v>
      </c>
      <c r="O29" s="51">
        <v>0</v>
      </c>
      <c r="P29" s="51">
        <v>0.65</v>
      </c>
      <c r="Q29" s="51">
        <v>3.63</v>
      </c>
    </row>
    <row r="30" spans="1:17" customFormat="1">
      <c r="A30" s="50" t="s">
        <v>321</v>
      </c>
      <c r="B30" s="51">
        <v>10.24</v>
      </c>
      <c r="C30" s="51">
        <v>20.83</v>
      </c>
      <c r="D30" s="51">
        <v>19.77</v>
      </c>
      <c r="E30" s="51">
        <v>8.7200000000000006</v>
      </c>
      <c r="F30" s="51">
        <v>8.08</v>
      </c>
      <c r="G30" s="51">
        <v>64.680000000000007</v>
      </c>
      <c r="H30" s="51">
        <v>23.6</v>
      </c>
      <c r="I30" s="51">
        <v>7.32</v>
      </c>
      <c r="J30" s="51">
        <v>0.17</v>
      </c>
      <c r="K30" s="51">
        <v>238.99</v>
      </c>
      <c r="L30" s="51">
        <v>26.53</v>
      </c>
      <c r="M30" s="51">
        <v>86.87</v>
      </c>
      <c r="N30" s="51">
        <v>0</v>
      </c>
      <c r="O30" s="51">
        <v>0</v>
      </c>
      <c r="P30" s="51">
        <v>0.68</v>
      </c>
      <c r="Q30" s="51">
        <v>3.65</v>
      </c>
    </row>
    <row r="31" spans="1:17" customFormat="1">
      <c r="A31" s="50" t="s">
        <v>322</v>
      </c>
      <c r="B31" s="51">
        <v>10.33</v>
      </c>
      <c r="C31" s="51">
        <v>23.09</v>
      </c>
      <c r="D31" s="51">
        <v>21</v>
      </c>
      <c r="E31" s="51">
        <v>8.68</v>
      </c>
      <c r="F31" s="51">
        <v>3.5</v>
      </c>
      <c r="G31" s="51">
        <v>63.1</v>
      </c>
      <c r="H31" s="51">
        <v>22.3</v>
      </c>
      <c r="I31" s="51">
        <v>7.43</v>
      </c>
      <c r="J31" s="51">
        <v>0.15</v>
      </c>
      <c r="K31" s="51">
        <v>235.34</v>
      </c>
      <c r="L31" s="51">
        <v>25.97</v>
      </c>
      <c r="M31" s="51">
        <v>85.74</v>
      </c>
      <c r="N31" s="51">
        <v>0</v>
      </c>
      <c r="O31" s="51">
        <v>0</v>
      </c>
      <c r="P31" s="51">
        <v>0.73</v>
      </c>
      <c r="Q31" s="51">
        <v>3.72</v>
      </c>
    </row>
    <row r="32" spans="1:17" customFormat="1">
      <c r="A32" s="50" t="s">
        <v>323</v>
      </c>
      <c r="B32" s="51">
        <v>10.34</v>
      </c>
      <c r="C32" s="51">
        <v>24.61</v>
      </c>
      <c r="D32" s="51">
        <v>21.82</v>
      </c>
      <c r="E32" s="51">
        <v>8.36</v>
      </c>
      <c r="F32" s="51">
        <v>3.06</v>
      </c>
      <c r="G32" s="51">
        <v>62.46</v>
      </c>
      <c r="H32" s="51">
        <v>21.82</v>
      </c>
      <c r="I32" s="51">
        <v>7.47</v>
      </c>
      <c r="J32" s="51">
        <v>0.12</v>
      </c>
      <c r="K32" s="51">
        <v>230.94</v>
      </c>
      <c r="L32" s="51">
        <v>25.9</v>
      </c>
      <c r="M32" s="51">
        <v>85.94</v>
      </c>
      <c r="N32" s="51">
        <v>0</v>
      </c>
      <c r="O32" s="51">
        <v>0</v>
      </c>
      <c r="P32" s="51">
        <v>0.75</v>
      </c>
      <c r="Q32" s="51">
        <v>3.79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6.37</v>
      </c>
      <c r="C34" s="41">
        <f t="shared" si="0"/>
        <v>18.29</v>
      </c>
      <c r="D34" s="41">
        <f t="shared" si="0"/>
        <v>17</v>
      </c>
      <c r="E34" s="41">
        <f t="shared" si="0"/>
        <v>6.3</v>
      </c>
      <c r="F34" s="41">
        <f t="shared" si="0"/>
        <v>2.5099999999999998</v>
      </c>
      <c r="G34" s="41">
        <f t="shared" si="0"/>
        <v>37.630000000000003</v>
      </c>
      <c r="H34" s="41">
        <f t="shared" si="0"/>
        <v>15.29</v>
      </c>
      <c r="I34" s="41">
        <f t="shared" si="0"/>
        <v>6.48</v>
      </c>
      <c r="J34" s="41">
        <f t="shared" si="0"/>
        <v>0.11</v>
      </c>
      <c r="K34" s="41">
        <f t="shared" si="0"/>
        <v>23.84</v>
      </c>
      <c r="L34" s="41">
        <f t="shared" si="0"/>
        <v>24.06</v>
      </c>
      <c r="M34" s="41">
        <f t="shared" si="0"/>
        <v>44.72</v>
      </c>
      <c r="N34" s="41">
        <f t="shared" si="0"/>
        <v>0</v>
      </c>
      <c r="O34" s="41">
        <f t="shared" si="0"/>
        <v>0</v>
      </c>
      <c r="P34" s="41">
        <f t="shared" si="0"/>
        <v>0.6</v>
      </c>
      <c r="Q34" s="41">
        <f t="shared" si="0"/>
        <v>3.46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15.17</v>
      </c>
      <c r="C35" s="33">
        <f t="shared" si="1"/>
        <v>26.12</v>
      </c>
      <c r="D35" s="33">
        <f t="shared" si="1"/>
        <v>24.77</v>
      </c>
      <c r="E35" s="33">
        <f t="shared" si="1"/>
        <v>12.41</v>
      </c>
      <c r="F35" s="33">
        <f t="shared" si="1"/>
        <v>11.84</v>
      </c>
      <c r="G35" s="33">
        <f t="shared" si="1"/>
        <v>81.650000000000006</v>
      </c>
      <c r="H35" s="33">
        <f t="shared" si="1"/>
        <v>27.26</v>
      </c>
      <c r="I35" s="33">
        <f t="shared" si="1"/>
        <v>32.49</v>
      </c>
      <c r="J35" s="33">
        <f t="shared" si="1"/>
        <v>0.73</v>
      </c>
      <c r="K35" s="33">
        <f t="shared" si="1"/>
        <v>343.45</v>
      </c>
      <c r="L35" s="33">
        <f t="shared" si="1"/>
        <v>34.450000000000003</v>
      </c>
      <c r="M35" s="33">
        <f t="shared" si="1"/>
        <v>99.02</v>
      </c>
      <c r="N35" s="33">
        <f t="shared" si="1"/>
        <v>772.3</v>
      </c>
      <c r="O35" s="33">
        <f t="shared" si="1"/>
        <v>0</v>
      </c>
      <c r="P35" s="33">
        <f t="shared" si="1"/>
        <v>0.75</v>
      </c>
      <c r="Q35" s="33">
        <f t="shared" si="1"/>
        <v>3.97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10.762500000000001</v>
      </c>
      <c r="C36" s="41">
        <f t="shared" si="2"/>
        <v>23.666666666666671</v>
      </c>
      <c r="D36" s="41">
        <f t="shared" si="2"/>
        <v>21.44875</v>
      </c>
      <c r="E36" s="41">
        <f t="shared" si="2"/>
        <v>9.0900000000000016</v>
      </c>
      <c r="F36" s="41">
        <f t="shared" si="2"/>
        <v>6.8770833333333341</v>
      </c>
      <c r="G36" s="41">
        <f t="shared" si="2"/>
        <v>60.247083333333343</v>
      </c>
      <c r="H36" s="41">
        <f t="shared" si="2"/>
        <v>20.291666666666664</v>
      </c>
      <c r="I36" s="41">
        <f t="shared" si="2"/>
        <v>14.355833333333331</v>
      </c>
      <c r="J36" s="41">
        <f t="shared" si="2"/>
        <v>0.29625000000000001</v>
      </c>
      <c r="K36" s="41">
        <f t="shared" si="2"/>
        <v>204.54374999999996</v>
      </c>
      <c r="L36" s="41">
        <f t="shared" si="2"/>
        <v>28.589166666666671</v>
      </c>
      <c r="M36" s="41">
        <f t="shared" si="2"/>
        <v>76.247916666666669</v>
      </c>
      <c r="N36" s="41">
        <f t="shared" si="2"/>
        <v>199.67083333333335</v>
      </c>
      <c r="O36" s="41">
        <f t="shared" si="2"/>
        <v>0</v>
      </c>
      <c r="P36" s="41">
        <f t="shared" si="2"/>
        <v>0.67208333333333325</v>
      </c>
      <c r="Q36" s="41">
        <f t="shared" si="2"/>
        <v>3.7124999999999999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3.0203616973151863</v>
      </c>
      <c r="C37" s="41">
        <f t="shared" ref="C37:Q37" si="3">STDEV(C9:C32)</f>
        <v>2.0644162595643181</v>
      </c>
      <c r="D37" s="41">
        <f t="shared" si="3"/>
        <v>2.4375706232801382</v>
      </c>
      <c r="E37" s="41">
        <f t="shared" si="3"/>
        <v>2.0560578574163384</v>
      </c>
      <c r="F37" s="41">
        <f t="shared" si="3"/>
        <v>3.7303216776627433</v>
      </c>
      <c r="G37" s="41">
        <f t="shared" si="3"/>
        <v>13.319630977773237</v>
      </c>
      <c r="H37" s="41">
        <f t="shared" si="3"/>
        <v>2.5701305442511848</v>
      </c>
      <c r="I37" s="41">
        <f t="shared" si="3"/>
        <v>8.2359001602299298</v>
      </c>
      <c r="J37" s="41">
        <f t="shared" si="3"/>
        <v>0.20529538633923056</v>
      </c>
      <c r="K37" s="41">
        <f t="shared" si="3"/>
        <v>88.909033571080357</v>
      </c>
      <c r="L37" s="41">
        <f t="shared" si="3"/>
        <v>3.7917346227386699</v>
      </c>
      <c r="M37" s="41">
        <f t="shared" si="3"/>
        <v>19.737594007632847</v>
      </c>
      <c r="N37" s="41">
        <f t="shared" si="3"/>
        <v>285.2802138541449</v>
      </c>
      <c r="O37" s="41">
        <f t="shared" si="3"/>
        <v>0</v>
      </c>
      <c r="P37" s="41">
        <f t="shared" si="3"/>
        <v>4.6994834745465029E-2</v>
      </c>
      <c r="Q37" s="41">
        <f t="shared" si="3"/>
        <v>0.18976530126769356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38" sqref="B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324</v>
      </c>
      <c r="B9" s="51">
        <v>8.32</v>
      </c>
      <c r="C9" s="51">
        <v>25.11</v>
      </c>
      <c r="D9" s="51">
        <v>20.420000000000002</v>
      </c>
      <c r="E9" s="51">
        <v>9.08</v>
      </c>
      <c r="F9" s="51">
        <v>3.24</v>
      </c>
      <c r="G9" s="51">
        <v>64.510000000000005</v>
      </c>
      <c r="H9" s="51">
        <v>22.42</v>
      </c>
      <c r="I9" s="51">
        <v>7.46</v>
      </c>
      <c r="J9" s="51">
        <v>0.12</v>
      </c>
      <c r="K9" s="51">
        <v>251.13</v>
      </c>
      <c r="L9" s="51">
        <v>25.26</v>
      </c>
      <c r="M9" s="51">
        <v>87.76</v>
      </c>
      <c r="N9" s="51">
        <v>0</v>
      </c>
      <c r="O9" s="51">
        <v>0</v>
      </c>
      <c r="P9" s="51">
        <v>0.75</v>
      </c>
      <c r="Q9" s="51">
        <v>3.88</v>
      </c>
    </row>
    <row r="10" spans="1:21" customFormat="1">
      <c r="A10" s="50" t="s">
        <v>325</v>
      </c>
      <c r="B10" s="51">
        <v>8.2899999999999991</v>
      </c>
      <c r="C10" s="51">
        <v>25.41</v>
      </c>
      <c r="D10" s="51">
        <v>20.39</v>
      </c>
      <c r="E10" s="51">
        <v>8.9</v>
      </c>
      <c r="F10" s="51">
        <v>2.83</v>
      </c>
      <c r="G10" s="51">
        <v>59.65</v>
      </c>
      <c r="H10" s="51">
        <v>20.49</v>
      </c>
      <c r="I10" s="51">
        <v>7.25</v>
      </c>
      <c r="J10" s="51">
        <v>0.15</v>
      </c>
      <c r="K10" s="51">
        <v>246.1</v>
      </c>
      <c r="L10" s="51">
        <v>25.02</v>
      </c>
      <c r="M10" s="51">
        <v>88.06</v>
      </c>
      <c r="N10" s="51">
        <v>0</v>
      </c>
      <c r="O10" s="51">
        <v>0</v>
      </c>
      <c r="P10" s="51">
        <v>0.74</v>
      </c>
      <c r="Q10" s="51">
        <v>3.89</v>
      </c>
    </row>
    <row r="11" spans="1:21" customFormat="1">
      <c r="A11" s="50" t="s">
        <v>326</v>
      </c>
      <c r="B11" s="51">
        <v>8.1</v>
      </c>
      <c r="C11" s="51">
        <v>25.43</v>
      </c>
      <c r="D11" s="51">
        <v>20.28</v>
      </c>
      <c r="E11" s="51">
        <v>6.42</v>
      </c>
      <c r="F11" s="51">
        <v>3.22</v>
      </c>
      <c r="G11" s="51">
        <v>53.67</v>
      </c>
      <c r="H11" s="51">
        <v>19.45</v>
      </c>
      <c r="I11" s="51">
        <v>7</v>
      </c>
      <c r="J11" s="51">
        <v>0.14000000000000001</v>
      </c>
      <c r="K11" s="51">
        <v>181.86</v>
      </c>
      <c r="L11" s="51">
        <v>24.95</v>
      </c>
      <c r="M11" s="51">
        <v>91.23</v>
      </c>
      <c r="N11" s="51">
        <v>0</v>
      </c>
      <c r="O11" s="51">
        <v>0</v>
      </c>
      <c r="P11" s="51">
        <v>0.71</v>
      </c>
      <c r="Q11" s="51">
        <v>3.82</v>
      </c>
    </row>
    <row r="12" spans="1:21" customFormat="1">
      <c r="A12" s="50" t="s">
        <v>327</v>
      </c>
      <c r="B12" s="51">
        <v>8.76</v>
      </c>
      <c r="C12" s="51">
        <v>21.31</v>
      </c>
      <c r="D12" s="51">
        <v>18.579999999999998</v>
      </c>
      <c r="E12" s="51">
        <v>5.12</v>
      </c>
      <c r="F12" s="51">
        <v>3.26</v>
      </c>
      <c r="G12" s="51">
        <v>50.97</v>
      </c>
      <c r="H12" s="51">
        <v>20.76</v>
      </c>
      <c r="I12" s="51">
        <v>7</v>
      </c>
      <c r="J12" s="51">
        <v>0.23</v>
      </c>
      <c r="K12" s="51">
        <v>187.79</v>
      </c>
      <c r="L12" s="51">
        <v>24.43</v>
      </c>
      <c r="M12" s="51">
        <v>93.64</v>
      </c>
      <c r="N12" s="51">
        <v>0</v>
      </c>
      <c r="O12" s="51">
        <v>0</v>
      </c>
      <c r="P12" s="51">
        <v>0.67</v>
      </c>
      <c r="Q12" s="51">
        <v>3.74</v>
      </c>
    </row>
    <row r="13" spans="1:21" customFormat="1">
      <c r="A13" s="50" t="s">
        <v>328</v>
      </c>
      <c r="B13" s="51">
        <v>9.85</v>
      </c>
      <c r="C13" s="51">
        <v>22.11</v>
      </c>
      <c r="D13" s="51">
        <v>19.7</v>
      </c>
      <c r="E13" s="51">
        <v>5.42</v>
      </c>
      <c r="F13" s="51">
        <v>3.12</v>
      </c>
      <c r="G13" s="51">
        <v>47.61</v>
      </c>
      <c r="H13" s="51">
        <v>20.309999999999999</v>
      </c>
      <c r="I13" s="51">
        <v>7.1</v>
      </c>
      <c r="J13" s="51">
        <v>0.22</v>
      </c>
      <c r="K13" s="51">
        <v>245.27</v>
      </c>
      <c r="L13" s="51">
        <v>24.4</v>
      </c>
      <c r="M13" s="51">
        <v>94.83</v>
      </c>
      <c r="N13" s="51">
        <v>0</v>
      </c>
      <c r="O13" s="51">
        <v>0</v>
      </c>
      <c r="P13" s="51">
        <v>0.68</v>
      </c>
      <c r="Q13" s="51">
        <v>3.76</v>
      </c>
    </row>
    <row r="14" spans="1:21" customFormat="1">
      <c r="A14" s="50" t="s">
        <v>329</v>
      </c>
      <c r="B14" s="51">
        <v>10.96</v>
      </c>
      <c r="C14" s="51">
        <v>22.13</v>
      </c>
      <c r="D14" s="51">
        <v>20.55</v>
      </c>
      <c r="E14" s="51">
        <v>5.96</v>
      </c>
      <c r="F14" s="51">
        <v>3.11</v>
      </c>
      <c r="G14" s="51">
        <v>46.42</v>
      </c>
      <c r="H14" s="51">
        <v>16.329999999999998</v>
      </c>
      <c r="I14" s="51">
        <v>7.05</v>
      </c>
      <c r="J14" s="51">
        <v>0.13</v>
      </c>
      <c r="K14" s="51">
        <v>191.4</v>
      </c>
      <c r="L14" s="51">
        <v>23.93</v>
      </c>
      <c r="M14" s="51">
        <v>96.23</v>
      </c>
      <c r="N14" s="51">
        <v>0</v>
      </c>
      <c r="O14" s="51">
        <v>0</v>
      </c>
      <c r="P14" s="51">
        <v>0.68</v>
      </c>
      <c r="Q14" s="51">
        <v>3.81</v>
      </c>
    </row>
    <row r="15" spans="1:21" customFormat="1">
      <c r="A15" s="50" t="s">
        <v>330</v>
      </c>
      <c r="B15" s="51">
        <v>12.08</v>
      </c>
      <c r="C15" s="51">
        <v>22.19</v>
      </c>
      <c r="D15" s="51">
        <v>21.44</v>
      </c>
      <c r="E15" s="51">
        <v>5.79</v>
      </c>
      <c r="F15" s="51">
        <v>3.21</v>
      </c>
      <c r="G15" s="51">
        <v>44.85</v>
      </c>
      <c r="H15" s="51">
        <v>20.34</v>
      </c>
      <c r="I15" s="51">
        <v>7.01</v>
      </c>
      <c r="J15" s="51">
        <v>0.1</v>
      </c>
      <c r="K15" s="51">
        <v>279.25</v>
      </c>
      <c r="L15" s="51">
        <v>24.91</v>
      </c>
      <c r="M15" s="51">
        <v>95.52</v>
      </c>
      <c r="N15" s="51">
        <v>39.5</v>
      </c>
      <c r="O15" s="51">
        <v>0</v>
      </c>
      <c r="P15" s="51">
        <v>0.66</v>
      </c>
      <c r="Q15" s="51">
        <v>3.85</v>
      </c>
    </row>
    <row r="16" spans="1:21" customFormat="1">
      <c r="A16" s="50" t="s">
        <v>331</v>
      </c>
      <c r="B16" s="51">
        <v>12.11</v>
      </c>
      <c r="C16" s="51">
        <v>22.95</v>
      </c>
      <c r="D16" s="51">
        <v>22.06</v>
      </c>
      <c r="E16" s="51">
        <v>6.16</v>
      </c>
      <c r="F16" s="51">
        <v>2.78</v>
      </c>
      <c r="G16" s="51">
        <v>36.92</v>
      </c>
      <c r="H16" s="51">
        <v>18.96</v>
      </c>
      <c r="I16" s="51">
        <v>6.99</v>
      </c>
      <c r="J16" s="51">
        <v>0.24</v>
      </c>
      <c r="K16" s="51">
        <v>269.89999999999998</v>
      </c>
      <c r="L16" s="51">
        <v>27.2</v>
      </c>
      <c r="M16" s="51">
        <v>90.59</v>
      </c>
      <c r="N16" s="51">
        <v>150.5</v>
      </c>
      <c r="O16" s="51">
        <v>0</v>
      </c>
      <c r="P16" s="51">
        <v>0.69</v>
      </c>
      <c r="Q16" s="51">
        <v>3.87</v>
      </c>
    </row>
    <row r="17" spans="1:17" customFormat="1">
      <c r="A17" s="50" t="s">
        <v>332</v>
      </c>
      <c r="B17" s="51">
        <v>11.18</v>
      </c>
      <c r="C17" s="51">
        <v>23.98</v>
      </c>
      <c r="D17" s="51">
        <v>21.87</v>
      </c>
      <c r="E17" s="51">
        <v>5.82</v>
      </c>
      <c r="F17" s="51">
        <v>3.28</v>
      </c>
      <c r="G17" s="51">
        <v>39.74</v>
      </c>
      <c r="H17" s="51">
        <v>18.260000000000002</v>
      </c>
      <c r="I17" s="51">
        <v>6.96</v>
      </c>
      <c r="J17" s="51">
        <v>0.3</v>
      </c>
      <c r="K17" s="51">
        <v>260.32</v>
      </c>
      <c r="L17" s="51">
        <v>30</v>
      </c>
      <c r="M17" s="51">
        <v>78.44</v>
      </c>
      <c r="N17" s="51">
        <v>435.2</v>
      </c>
      <c r="O17" s="51">
        <v>0</v>
      </c>
      <c r="P17" s="51">
        <v>0.69</v>
      </c>
      <c r="Q17" s="51">
        <v>3.88</v>
      </c>
    </row>
    <row r="18" spans="1:17" customFormat="1">
      <c r="A18" s="50" t="s">
        <v>333</v>
      </c>
      <c r="B18" s="51">
        <v>8.8699999999999992</v>
      </c>
      <c r="C18" s="51">
        <v>25.21</v>
      </c>
      <c r="D18" s="51">
        <v>20.41</v>
      </c>
      <c r="E18" s="51">
        <v>6.08</v>
      </c>
      <c r="F18" s="51">
        <v>3.62</v>
      </c>
      <c r="G18" s="51">
        <v>45.65</v>
      </c>
      <c r="H18" s="51">
        <v>18.899999999999999</v>
      </c>
      <c r="I18" s="51">
        <v>6.83</v>
      </c>
      <c r="J18" s="51">
        <v>0.35</v>
      </c>
      <c r="K18" s="51">
        <v>266.20999999999998</v>
      </c>
      <c r="L18" s="51">
        <v>32.409999999999997</v>
      </c>
      <c r="M18" s="51">
        <v>67.08</v>
      </c>
      <c r="N18" s="51">
        <v>524</v>
      </c>
      <c r="O18" s="51">
        <v>0</v>
      </c>
      <c r="P18" s="51">
        <v>0.67</v>
      </c>
      <c r="Q18" s="51">
        <v>3.8</v>
      </c>
    </row>
    <row r="19" spans="1:17" customFormat="1">
      <c r="A19" s="50" t="s">
        <v>334</v>
      </c>
      <c r="B19" s="51">
        <v>6.81</v>
      </c>
      <c r="C19" s="51">
        <v>25.64</v>
      </c>
      <c r="D19" s="51">
        <v>19.34</v>
      </c>
      <c r="E19" s="51">
        <v>9.31</v>
      </c>
      <c r="F19" s="51">
        <v>4.28</v>
      </c>
      <c r="G19" s="51">
        <v>49.52</v>
      </c>
      <c r="H19" s="51">
        <v>18.8</v>
      </c>
      <c r="I19" s="51">
        <v>7.28</v>
      </c>
      <c r="J19" s="51">
        <v>0.27</v>
      </c>
      <c r="K19" s="51">
        <v>260.54000000000002</v>
      </c>
      <c r="L19" s="51">
        <v>33.4</v>
      </c>
      <c r="M19" s="51">
        <v>54.08</v>
      </c>
      <c r="N19" s="51">
        <v>630.79999999999995</v>
      </c>
      <c r="O19" s="51">
        <v>0</v>
      </c>
      <c r="P19" s="51">
        <v>0.68</v>
      </c>
      <c r="Q19" s="51">
        <v>3.68</v>
      </c>
    </row>
    <row r="20" spans="1:17" customFormat="1">
      <c r="A20" s="50" t="s">
        <v>335</v>
      </c>
      <c r="B20" s="51">
        <v>4.84</v>
      </c>
      <c r="C20" s="51">
        <v>25.75</v>
      </c>
      <c r="D20" s="51">
        <v>18.010000000000002</v>
      </c>
      <c r="E20" s="51">
        <v>12.92</v>
      </c>
      <c r="F20" s="51">
        <v>22.49</v>
      </c>
      <c r="G20" s="51">
        <v>53.3</v>
      </c>
      <c r="H20" s="51">
        <v>19.88</v>
      </c>
      <c r="I20" s="51">
        <v>7.98</v>
      </c>
      <c r="J20" s="51">
        <v>0.27</v>
      </c>
      <c r="K20" s="51">
        <v>331.37</v>
      </c>
      <c r="L20" s="51">
        <v>34.659999999999997</v>
      </c>
      <c r="M20" s="51">
        <v>49.98</v>
      </c>
      <c r="N20" s="51">
        <v>681.3</v>
      </c>
      <c r="O20" s="51">
        <v>0</v>
      </c>
      <c r="P20" s="51">
        <v>0.71</v>
      </c>
      <c r="Q20" s="51">
        <v>3.58</v>
      </c>
    </row>
    <row r="21" spans="1:17" customFormat="1">
      <c r="A21" s="50" t="s">
        <v>336</v>
      </c>
      <c r="B21" s="11" t="s">
        <v>12</v>
      </c>
      <c r="C21" s="11" t="s">
        <v>12</v>
      </c>
      <c r="D21" s="11" t="s">
        <v>12</v>
      </c>
      <c r="E21" s="51">
        <v>10.34</v>
      </c>
      <c r="F21" s="51">
        <v>9.91</v>
      </c>
      <c r="G21" s="51">
        <v>56.22</v>
      </c>
      <c r="H21" s="51">
        <v>17.53</v>
      </c>
      <c r="I21" s="51">
        <v>11.23</v>
      </c>
      <c r="J21" s="51">
        <v>0.24</v>
      </c>
      <c r="K21" s="51">
        <v>242.9</v>
      </c>
      <c r="L21" s="51">
        <v>34.76</v>
      </c>
      <c r="M21" s="51">
        <v>50.08</v>
      </c>
      <c r="N21" s="51">
        <v>683</v>
      </c>
      <c r="O21" s="51">
        <v>0</v>
      </c>
      <c r="P21" s="51">
        <v>0.71</v>
      </c>
      <c r="Q21" s="51">
        <v>3.39</v>
      </c>
    </row>
    <row r="22" spans="1:17" customFormat="1">
      <c r="A22" s="50" t="s">
        <v>337</v>
      </c>
      <c r="B22" s="51">
        <v>5.1100000000000003</v>
      </c>
      <c r="C22" s="51">
        <v>18.510000000000002</v>
      </c>
      <c r="D22" s="51">
        <v>15.12</v>
      </c>
      <c r="E22" s="11" t="s">
        <v>12</v>
      </c>
      <c r="F22" s="51">
        <v>33.18</v>
      </c>
      <c r="G22" s="11" t="s">
        <v>12</v>
      </c>
      <c r="H22" s="11" t="s">
        <v>12</v>
      </c>
      <c r="I22" s="51">
        <v>69.52</v>
      </c>
      <c r="J22" s="51">
        <v>0.23</v>
      </c>
      <c r="K22" s="51">
        <v>169.14</v>
      </c>
      <c r="L22" s="51">
        <v>33.86</v>
      </c>
      <c r="M22" s="51">
        <v>57.8</v>
      </c>
      <c r="N22" s="51">
        <v>365.7</v>
      </c>
      <c r="O22" s="51">
        <v>0</v>
      </c>
      <c r="P22" s="51">
        <v>0.7</v>
      </c>
      <c r="Q22" s="51">
        <v>4.9800000000000004</v>
      </c>
    </row>
    <row r="23" spans="1:17" customFormat="1">
      <c r="A23" s="50" t="s">
        <v>338</v>
      </c>
      <c r="B23" s="51">
        <v>4.03</v>
      </c>
      <c r="C23" s="51">
        <v>16.13</v>
      </c>
      <c r="D23" s="51">
        <v>12.98</v>
      </c>
      <c r="E23" s="51">
        <v>9.3800000000000008</v>
      </c>
      <c r="F23" s="51">
        <v>27.81</v>
      </c>
      <c r="G23" s="51">
        <v>13.83</v>
      </c>
      <c r="H23" s="51">
        <v>0.85</v>
      </c>
      <c r="I23" s="51">
        <v>78.099999999999994</v>
      </c>
      <c r="J23" s="51">
        <v>0.24</v>
      </c>
      <c r="K23" s="51">
        <v>202.41</v>
      </c>
      <c r="L23" s="51">
        <v>32.950000000000003</v>
      </c>
      <c r="M23" s="51">
        <v>60.23</v>
      </c>
      <c r="N23" s="51">
        <v>191</v>
      </c>
      <c r="O23" s="51">
        <v>0</v>
      </c>
      <c r="P23" s="51">
        <v>0.6</v>
      </c>
      <c r="Q23" s="51">
        <v>4.9400000000000004</v>
      </c>
    </row>
    <row r="24" spans="1:17" customFormat="1">
      <c r="A24" s="50" t="s">
        <v>339</v>
      </c>
      <c r="B24" s="51">
        <v>4.62</v>
      </c>
      <c r="C24" s="51">
        <v>15.72</v>
      </c>
      <c r="D24" s="51">
        <v>12.9</v>
      </c>
      <c r="E24" s="51">
        <v>9.61</v>
      </c>
      <c r="F24" s="51">
        <v>23.35</v>
      </c>
      <c r="G24" s="51">
        <v>28.76</v>
      </c>
      <c r="H24" s="51">
        <v>5.77</v>
      </c>
      <c r="I24" s="51">
        <v>64.78</v>
      </c>
      <c r="J24" s="51">
        <v>0.2</v>
      </c>
      <c r="K24" s="51">
        <v>170.21</v>
      </c>
      <c r="L24" s="51">
        <v>30.7</v>
      </c>
      <c r="M24" s="51">
        <v>72.19</v>
      </c>
      <c r="N24" s="51">
        <v>50.1</v>
      </c>
      <c r="O24" s="51">
        <v>0</v>
      </c>
      <c r="P24" s="51">
        <v>0.52</v>
      </c>
      <c r="Q24" s="51">
        <v>5.03</v>
      </c>
    </row>
    <row r="25" spans="1:17" customFormat="1">
      <c r="A25" s="50" t="s">
        <v>340</v>
      </c>
      <c r="B25" s="51">
        <v>5.59</v>
      </c>
      <c r="C25" s="51">
        <v>17.21</v>
      </c>
      <c r="D25" s="51">
        <v>14.82</v>
      </c>
      <c r="E25" s="51">
        <v>10.33</v>
      </c>
      <c r="F25" s="51">
        <v>25.51</v>
      </c>
      <c r="G25" s="51">
        <v>39.700000000000003</v>
      </c>
      <c r="H25" s="51">
        <v>11.65</v>
      </c>
      <c r="I25" s="51">
        <v>48.65</v>
      </c>
      <c r="J25" s="51">
        <v>0.56999999999999995</v>
      </c>
      <c r="K25" s="51">
        <v>276.42</v>
      </c>
      <c r="L25" s="51">
        <v>29.87</v>
      </c>
      <c r="M25" s="51">
        <v>70.7</v>
      </c>
      <c r="N25" s="51">
        <v>19.399999999999999</v>
      </c>
      <c r="O25" s="51">
        <v>0</v>
      </c>
      <c r="P25" s="51">
        <v>0.48</v>
      </c>
      <c r="Q25" s="51">
        <v>6.1</v>
      </c>
    </row>
    <row r="26" spans="1:17" customFormat="1">
      <c r="A26" s="50" t="s">
        <v>341</v>
      </c>
      <c r="B26" s="51">
        <v>6.84</v>
      </c>
      <c r="C26" s="51">
        <v>26.07</v>
      </c>
      <c r="D26" s="51">
        <v>20.46</v>
      </c>
      <c r="E26" s="51">
        <v>10</v>
      </c>
      <c r="F26" s="51">
        <v>7.34</v>
      </c>
      <c r="G26" s="51">
        <v>37.57</v>
      </c>
      <c r="H26" s="51">
        <v>11.65</v>
      </c>
      <c r="I26" s="51">
        <v>47.34</v>
      </c>
      <c r="J26" s="51">
        <v>0.25</v>
      </c>
      <c r="K26" s="51">
        <v>254.19</v>
      </c>
      <c r="L26" s="51">
        <v>29.13</v>
      </c>
      <c r="M26" s="51">
        <v>65.040000000000006</v>
      </c>
      <c r="N26" s="51">
        <v>0.4</v>
      </c>
      <c r="O26" s="51">
        <v>0</v>
      </c>
      <c r="P26" s="51">
        <v>0.57999999999999996</v>
      </c>
      <c r="Q26" s="51">
        <v>6.38</v>
      </c>
    </row>
    <row r="27" spans="1:17" customFormat="1">
      <c r="A27" s="50" t="s">
        <v>342</v>
      </c>
      <c r="B27" s="51">
        <v>8.0299999999999994</v>
      </c>
      <c r="C27" s="51">
        <v>26.81</v>
      </c>
      <c r="D27" s="51">
        <v>21.48</v>
      </c>
      <c r="E27" s="51">
        <v>7.35</v>
      </c>
      <c r="F27" s="51">
        <v>7.4</v>
      </c>
      <c r="G27" s="51">
        <v>48.98</v>
      </c>
      <c r="H27" s="51">
        <v>12.8</v>
      </c>
      <c r="I27" s="51">
        <v>41.76</v>
      </c>
      <c r="J27" s="51">
        <v>0.19</v>
      </c>
      <c r="K27" s="51">
        <v>187.48</v>
      </c>
      <c r="L27" s="51">
        <v>27.84</v>
      </c>
      <c r="M27" s="51">
        <v>72.98</v>
      </c>
      <c r="N27" s="51">
        <v>0</v>
      </c>
      <c r="O27" s="51">
        <v>0</v>
      </c>
      <c r="P27" s="51">
        <v>0.63</v>
      </c>
      <c r="Q27" s="51">
        <v>5.83</v>
      </c>
    </row>
    <row r="28" spans="1:17" customFormat="1">
      <c r="A28" s="50" t="s">
        <v>343</v>
      </c>
      <c r="B28" s="51">
        <v>9.08</v>
      </c>
      <c r="C28" s="51">
        <v>26.71</v>
      </c>
      <c r="D28" s="51">
        <v>22.59</v>
      </c>
      <c r="E28" s="51">
        <v>7.11</v>
      </c>
      <c r="F28" s="51">
        <v>4.43</v>
      </c>
      <c r="G28" s="51">
        <v>52.44</v>
      </c>
      <c r="H28" s="51">
        <v>16.14</v>
      </c>
      <c r="I28" s="51">
        <v>35.78</v>
      </c>
      <c r="J28" s="51">
        <v>0.21</v>
      </c>
      <c r="K28" s="51">
        <v>176.53</v>
      </c>
      <c r="L28" s="51">
        <v>27.41</v>
      </c>
      <c r="M28" s="51">
        <v>80.41</v>
      </c>
      <c r="N28" s="51">
        <v>0</v>
      </c>
      <c r="O28" s="51">
        <v>0</v>
      </c>
      <c r="P28" s="51">
        <v>0.68</v>
      </c>
      <c r="Q28" s="51">
        <v>5.57</v>
      </c>
    </row>
    <row r="29" spans="1:17" customFormat="1">
      <c r="A29" s="50" t="s">
        <v>344</v>
      </c>
      <c r="B29" s="51">
        <v>10.08</v>
      </c>
      <c r="C29" s="51">
        <v>26.95</v>
      </c>
      <c r="D29" s="51">
        <v>23.44</v>
      </c>
      <c r="E29" s="51">
        <v>7.67</v>
      </c>
      <c r="F29" s="51">
        <v>3.35</v>
      </c>
      <c r="G29" s="51">
        <v>54.83</v>
      </c>
      <c r="H29" s="51">
        <v>18.62</v>
      </c>
      <c r="I29" s="51">
        <v>31.26</v>
      </c>
      <c r="J29" s="51">
        <v>0.18</v>
      </c>
      <c r="K29" s="51">
        <v>215.05</v>
      </c>
      <c r="L29" s="51">
        <v>26.36</v>
      </c>
      <c r="M29" s="51">
        <v>83.73</v>
      </c>
      <c r="N29" s="51">
        <v>0</v>
      </c>
      <c r="O29" s="51">
        <v>0</v>
      </c>
      <c r="P29" s="51">
        <v>0.71</v>
      </c>
      <c r="Q29" s="51">
        <v>5.5</v>
      </c>
    </row>
    <row r="30" spans="1:17" customFormat="1">
      <c r="A30" s="50" t="s">
        <v>345</v>
      </c>
      <c r="B30" s="51">
        <v>11.51</v>
      </c>
      <c r="C30" s="51">
        <v>27.71</v>
      </c>
      <c r="D30" s="51">
        <v>25.06</v>
      </c>
      <c r="E30" s="51">
        <v>7.63</v>
      </c>
      <c r="F30" s="51">
        <v>2.8</v>
      </c>
      <c r="G30" s="51">
        <v>58.35</v>
      </c>
      <c r="H30" s="51">
        <v>17.12</v>
      </c>
      <c r="I30" s="51">
        <v>26.17</v>
      </c>
      <c r="J30" s="51">
        <v>0.19</v>
      </c>
      <c r="K30" s="51">
        <v>214.82</v>
      </c>
      <c r="L30" s="51">
        <v>25.78</v>
      </c>
      <c r="M30" s="51">
        <v>86.3</v>
      </c>
      <c r="N30" s="51">
        <v>0</v>
      </c>
      <c r="O30" s="51">
        <v>0</v>
      </c>
      <c r="P30" s="51">
        <v>0.75</v>
      </c>
      <c r="Q30" s="51">
        <v>5.46</v>
      </c>
    </row>
    <row r="31" spans="1:17" customFormat="1">
      <c r="A31" s="50" t="s">
        <v>346</v>
      </c>
      <c r="B31" s="51">
        <v>13.87</v>
      </c>
      <c r="C31" s="51">
        <v>27.35</v>
      </c>
      <c r="D31" s="51">
        <v>25.04</v>
      </c>
      <c r="E31" s="51">
        <v>7.82</v>
      </c>
      <c r="F31" s="51">
        <v>3.15</v>
      </c>
      <c r="G31" s="51">
        <v>57.88</v>
      </c>
      <c r="H31" s="51">
        <v>20.65</v>
      </c>
      <c r="I31" s="51">
        <v>23.1</v>
      </c>
      <c r="J31" s="51">
        <v>0.27</v>
      </c>
      <c r="K31" s="51">
        <v>231.63</v>
      </c>
      <c r="L31" s="51">
        <v>25.3</v>
      </c>
      <c r="M31" s="51">
        <v>87.26</v>
      </c>
      <c r="N31" s="51">
        <v>0</v>
      </c>
      <c r="O31" s="51">
        <v>0</v>
      </c>
      <c r="P31" s="51">
        <v>0.75</v>
      </c>
      <c r="Q31" s="51">
        <v>5.47</v>
      </c>
    </row>
    <row r="32" spans="1:17" customFormat="1">
      <c r="A32" s="50" t="s">
        <v>347</v>
      </c>
      <c r="B32" s="51">
        <v>15.57</v>
      </c>
      <c r="C32" s="51">
        <v>22.28</v>
      </c>
      <c r="D32" s="51">
        <v>25.12</v>
      </c>
      <c r="E32" s="51">
        <v>6.73</v>
      </c>
      <c r="F32" s="51">
        <v>3.24</v>
      </c>
      <c r="G32" s="51">
        <v>59.66</v>
      </c>
      <c r="H32" s="51">
        <v>23.22</v>
      </c>
      <c r="I32" s="51">
        <v>22.39</v>
      </c>
      <c r="J32" s="51">
        <v>0.24</v>
      </c>
      <c r="K32" s="51">
        <v>257.48</v>
      </c>
      <c r="L32" s="51">
        <v>24.88</v>
      </c>
      <c r="M32" s="51">
        <v>91.14</v>
      </c>
      <c r="N32" s="51">
        <v>0</v>
      </c>
      <c r="O32" s="51">
        <v>0</v>
      </c>
      <c r="P32" s="51">
        <v>0.76</v>
      </c>
      <c r="Q32" s="51">
        <v>5.48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4.03</v>
      </c>
      <c r="C34" s="41">
        <f t="shared" si="0"/>
        <v>15.72</v>
      </c>
      <c r="D34" s="41">
        <f t="shared" si="0"/>
        <v>12.9</v>
      </c>
      <c r="E34" s="41">
        <f t="shared" si="0"/>
        <v>5.12</v>
      </c>
      <c r="F34" s="41">
        <f t="shared" si="0"/>
        <v>2.78</v>
      </c>
      <c r="G34" s="41">
        <f t="shared" si="0"/>
        <v>13.83</v>
      </c>
      <c r="H34" s="41">
        <f t="shared" si="0"/>
        <v>0.85</v>
      </c>
      <c r="I34" s="41">
        <f t="shared" si="0"/>
        <v>6.83</v>
      </c>
      <c r="J34" s="41">
        <f t="shared" si="0"/>
        <v>0.1</v>
      </c>
      <c r="K34" s="41">
        <f t="shared" si="0"/>
        <v>169.14</v>
      </c>
      <c r="L34" s="41">
        <f t="shared" si="0"/>
        <v>23.93</v>
      </c>
      <c r="M34" s="41">
        <f t="shared" si="0"/>
        <v>49.98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3.39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15.57</v>
      </c>
      <c r="C35" s="33">
        <f t="shared" si="1"/>
        <v>27.71</v>
      </c>
      <c r="D35" s="33">
        <f t="shared" si="1"/>
        <v>25.12</v>
      </c>
      <c r="E35" s="33">
        <f t="shared" si="1"/>
        <v>12.92</v>
      </c>
      <c r="F35" s="33">
        <f t="shared" si="1"/>
        <v>33.18</v>
      </c>
      <c r="G35" s="33">
        <f t="shared" si="1"/>
        <v>64.510000000000005</v>
      </c>
      <c r="H35" s="33">
        <f t="shared" si="1"/>
        <v>23.22</v>
      </c>
      <c r="I35" s="33">
        <f t="shared" si="1"/>
        <v>78.099999999999994</v>
      </c>
      <c r="J35" s="33">
        <f t="shared" si="1"/>
        <v>0.56999999999999995</v>
      </c>
      <c r="K35" s="33">
        <f t="shared" si="1"/>
        <v>331.37</v>
      </c>
      <c r="L35" s="33">
        <f t="shared" si="1"/>
        <v>34.76</v>
      </c>
      <c r="M35" s="33">
        <f t="shared" si="1"/>
        <v>96.23</v>
      </c>
      <c r="N35" s="33">
        <f t="shared" si="1"/>
        <v>683</v>
      </c>
      <c r="O35" s="33">
        <f t="shared" si="1"/>
        <v>0</v>
      </c>
      <c r="P35" s="33">
        <f t="shared" si="1"/>
        <v>0.76</v>
      </c>
      <c r="Q35" s="33">
        <f t="shared" si="1"/>
        <v>6.38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8.8913043478260878</v>
      </c>
      <c r="C36" s="41">
        <f t="shared" si="2"/>
        <v>23.420434782608687</v>
      </c>
      <c r="D36" s="41">
        <f t="shared" si="2"/>
        <v>20.089565217391304</v>
      </c>
      <c r="E36" s="41">
        <f t="shared" si="2"/>
        <v>7.8673913043478247</v>
      </c>
      <c r="F36" s="41">
        <f t="shared" si="2"/>
        <v>8.7462500000000016</v>
      </c>
      <c r="G36" s="41">
        <f t="shared" si="2"/>
        <v>47.870869565217411</v>
      </c>
      <c r="H36" s="41">
        <f t="shared" si="2"/>
        <v>16.995652173913044</v>
      </c>
      <c r="I36" s="41">
        <f t="shared" si="2"/>
        <v>24.416249999999994</v>
      </c>
      <c r="J36" s="41">
        <f t="shared" si="2"/>
        <v>0.23041666666666671</v>
      </c>
      <c r="K36" s="41">
        <f t="shared" si="2"/>
        <v>232.05833333333331</v>
      </c>
      <c r="L36" s="41">
        <f t="shared" si="2"/>
        <v>28.308749999999993</v>
      </c>
      <c r="M36" s="41">
        <f t="shared" si="2"/>
        <v>77.720833333333346</v>
      </c>
      <c r="N36" s="41">
        <f t="shared" si="2"/>
        <v>157.12083333333334</v>
      </c>
      <c r="O36" s="41">
        <f t="shared" si="2"/>
        <v>0</v>
      </c>
      <c r="P36" s="41">
        <f t="shared" si="2"/>
        <v>0.67499999999999993</v>
      </c>
      <c r="Q36" s="41">
        <f t="shared" si="2"/>
        <v>4.5704166666666657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3.0358663648092628</v>
      </c>
      <c r="C37" s="41">
        <f t="shared" ref="C37:Q37" si="3">STDEV(C9:C32)</f>
        <v>3.6077687366178788</v>
      </c>
      <c r="D37" s="41">
        <f t="shared" si="3"/>
        <v>3.473992304200507</v>
      </c>
      <c r="E37" s="41">
        <f t="shared" si="3"/>
        <v>2.0036154080954116</v>
      </c>
      <c r="F37" s="41">
        <f t="shared" si="3"/>
        <v>9.6125817970172722</v>
      </c>
      <c r="G37" s="41">
        <f t="shared" si="3"/>
        <v>11.440363119254311</v>
      </c>
      <c r="H37" s="41">
        <f t="shared" si="3"/>
        <v>5.3185821983673938</v>
      </c>
      <c r="I37" s="41">
        <f t="shared" si="3"/>
        <v>22.739165755126784</v>
      </c>
      <c r="J37" s="41">
        <f t="shared" si="3"/>
        <v>9.3505599305331727E-2</v>
      </c>
      <c r="K37" s="41">
        <f t="shared" si="3"/>
        <v>42.07033300130373</v>
      </c>
      <c r="L37" s="41">
        <f t="shared" si="3"/>
        <v>3.6974954067056016</v>
      </c>
      <c r="M37" s="41">
        <f t="shared" si="3"/>
        <v>15.210817065401214</v>
      </c>
      <c r="N37" s="41">
        <f t="shared" si="3"/>
        <v>246.48572933233427</v>
      </c>
      <c r="O37" s="41">
        <f t="shared" si="3"/>
        <v>0</v>
      </c>
      <c r="P37" s="41">
        <f t="shared" si="3"/>
        <v>7.0217054784495123E-2</v>
      </c>
      <c r="Q37" s="41">
        <f t="shared" si="3"/>
        <v>0.94826834931829962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f t="shared" ref="I38:Q38" si="4">COUNT(I9:I32)</f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348</v>
      </c>
      <c r="B9" s="51">
        <v>14.27</v>
      </c>
      <c r="C9" s="51">
        <v>24.86</v>
      </c>
      <c r="D9" s="51">
        <v>25.27</v>
      </c>
      <c r="E9" s="51">
        <v>6.99</v>
      </c>
      <c r="F9" s="51">
        <v>3.1</v>
      </c>
      <c r="G9" s="51">
        <v>62.13</v>
      </c>
      <c r="H9" s="51">
        <v>22.35</v>
      </c>
      <c r="I9" s="51">
        <v>21.18</v>
      </c>
      <c r="J9" s="51">
        <v>0.16</v>
      </c>
      <c r="K9" s="51">
        <v>216.13</v>
      </c>
      <c r="L9" s="51">
        <v>24.71</v>
      </c>
      <c r="M9" s="51">
        <v>92.14</v>
      </c>
      <c r="N9" s="51">
        <v>0</v>
      </c>
      <c r="O9" s="51">
        <v>0</v>
      </c>
      <c r="P9" s="51">
        <v>0.78</v>
      </c>
      <c r="Q9" s="51">
        <v>5.56</v>
      </c>
    </row>
    <row r="10" spans="1:21" customFormat="1">
      <c r="A10" s="50" t="s">
        <v>349</v>
      </c>
      <c r="B10" s="51">
        <v>15.2</v>
      </c>
      <c r="C10" s="51">
        <v>23.43</v>
      </c>
      <c r="D10" s="51">
        <v>25.47</v>
      </c>
      <c r="E10" s="51">
        <v>7.12</v>
      </c>
      <c r="F10" s="51">
        <v>3.28</v>
      </c>
      <c r="G10" s="51">
        <v>59.74</v>
      </c>
      <c r="H10" s="51">
        <v>21.23</v>
      </c>
      <c r="I10" s="51">
        <v>20.04</v>
      </c>
      <c r="J10" s="51">
        <v>0.17</v>
      </c>
      <c r="K10" s="51">
        <v>233.27</v>
      </c>
      <c r="L10" s="51">
        <v>24.25</v>
      </c>
      <c r="M10" s="51">
        <v>94.47</v>
      </c>
      <c r="N10" s="51">
        <v>0</v>
      </c>
      <c r="O10" s="51">
        <v>0</v>
      </c>
      <c r="P10" s="51">
        <v>0.79</v>
      </c>
      <c r="Q10" s="51">
        <v>5.6</v>
      </c>
    </row>
    <row r="11" spans="1:21" customFormat="1">
      <c r="A11" s="50" t="s">
        <v>350</v>
      </c>
      <c r="B11" s="51">
        <v>18.71</v>
      </c>
      <c r="C11" s="51">
        <v>23.31</v>
      </c>
      <c r="D11" s="51">
        <v>27.52</v>
      </c>
      <c r="E11" s="51">
        <v>8.42</v>
      </c>
      <c r="F11" s="51">
        <v>3.15</v>
      </c>
      <c r="G11" s="51">
        <v>51.64</v>
      </c>
      <c r="H11" s="51">
        <v>23.49</v>
      </c>
      <c r="I11" s="51">
        <v>18.98</v>
      </c>
      <c r="J11" s="51">
        <v>0.08</v>
      </c>
      <c r="K11" s="51">
        <v>205.88</v>
      </c>
      <c r="L11" s="51">
        <v>24.09</v>
      </c>
      <c r="M11" s="51">
        <v>93.87</v>
      </c>
      <c r="N11" s="51">
        <v>0</v>
      </c>
      <c r="O11" s="51">
        <v>0</v>
      </c>
      <c r="P11" s="51">
        <v>0.78</v>
      </c>
      <c r="Q11" s="51">
        <v>5.75</v>
      </c>
    </row>
    <row r="12" spans="1:21" customFormat="1">
      <c r="A12" s="50" t="s">
        <v>351</v>
      </c>
      <c r="B12" s="51">
        <v>18.989999999999998</v>
      </c>
      <c r="C12" s="51">
        <v>23.44</v>
      </c>
      <c r="D12" s="51">
        <v>27.99</v>
      </c>
      <c r="E12" s="51">
        <v>7.35</v>
      </c>
      <c r="F12" s="51">
        <v>2.83</v>
      </c>
      <c r="G12" s="51">
        <v>53.95</v>
      </c>
      <c r="H12" s="51">
        <v>20.16</v>
      </c>
      <c r="I12" s="51">
        <v>18</v>
      </c>
      <c r="J12" s="51">
        <v>0.38</v>
      </c>
      <c r="K12" s="51">
        <v>199.69</v>
      </c>
      <c r="L12" s="51">
        <v>24.29</v>
      </c>
      <c r="M12" s="51">
        <v>94.1</v>
      </c>
      <c r="N12" s="51">
        <v>0</v>
      </c>
      <c r="O12" s="51">
        <v>0</v>
      </c>
      <c r="P12" s="51">
        <v>0.77</v>
      </c>
      <c r="Q12" s="51">
        <v>5.74</v>
      </c>
    </row>
    <row r="13" spans="1:21" customFormat="1">
      <c r="A13" s="50" t="s">
        <v>352</v>
      </c>
      <c r="B13" s="51">
        <v>17.25</v>
      </c>
      <c r="C13" s="51">
        <v>24.33</v>
      </c>
      <c r="D13" s="51">
        <v>27.6</v>
      </c>
      <c r="E13" s="51">
        <v>7.82</v>
      </c>
      <c r="F13" s="51">
        <v>2.67</v>
      </c>
      <c r="G13" s="51">
        <v>51.12</v>
      </c>
      <c r="H13" s="51">
        <v>19.420000000000002</v>
      </c>
      <c r="I13" s="51">
        <v>16.09</v>
      </c>
      <c r="J13" s="51">
        <v>0.14000000000000001</v>
      </c>
      <c r="K13" s="51">
        <v>227.55</v>
      </c>
      <c r="L13" s="51">
        <v>24.2</v>
      </c>
      <c r="M13" s="51">
        <v>95.32</v>
      </c>
      <c r="N13" s="51">
        <v>0</v>
      </c>
      <c r="O13" s="51">
        <v>0</v>
      </c>
      <c r="P13" s="51">
        <v>0.76</v>
      </c>
      <c r="Q13" s="51">
        <v>5.69</v>
      </c>
    </row>
    <row r="14" spans="1:21" customFormat="1">
      <c r="A14" s="50" t="s">
        <v>353</v>
      </c>
      <c r="B14" s="51">
        <v>16.059999999999999</v>
      </c>
      <c r="C14" s="51">
        <v>25.5</v>
      </c>
      <c r="D14" s="51">
        <v>27.28</v>
      </c>
      <c r="E14" s="51">
        <v>8.35</v>
      </c>
      <c r="F14" s="51">
        <v>2.57</v>
      </c>
      <c r="G14" s="51">
        <v>47.11</v>
      </c>
      <c r="H14" s="51">
        <v>18.53</v>
      </c>
      <c r="I14" s="51">
        <v>14.32</v>
      </c>
      <c r="J14" s="51">
        <v>0.14000000000000001</v>
      </c>
      <c r="K14" s="51">
        <v>197.07</v>
      </c>
      <c r="L14" s="51">
        <v>24.24</v>
      </c>
      <c r="M14" s="51">
        <v>96.06</v>
      </c>
      <c r="N14" s="51">
        <v>0</v>
      </c>
      <c r="O14" s="51">
        <v>0</v>
      </c>
      <c r="P14" s="51">
        <v>0.73</v>
      </c>
      <c r="Q14" s="51">
        <v>5.69</v>
      </c>
    </row>
    <row r="15" spans="1:21" customFormat="1">
      <c r="A15" s="50" t="s">
        <v>354</v>
      </c>
      <c r="B15" s="51">
        <v>15.54</v>
      </c>
      <c r="C15" s="51">
        <v>25.87</v>
      </c>
      <c r="D15" s="51">
        <v>27.25</v>
      </c>
      <c r="E15" s="51">
        <v>8.7799999999999994</v>
      </c>
      <c r="F15" s="51">
        <v>2.5299999999999998</v>
      </c>
      <c r="G15" s="51">
        <v>47.35</v>
      </c>
      <c r="H15" s="51">
        <v>18.440000000000001</v>
      </c>
      <c r="I15" s="51">
        <v>12.87</v>
      </c>
      <c r="J15" s="51">
        <v>0.2</v>
      </c>
      <c r="K15" s="51">
        <v>179.37</v>
      </c>
      <c r="L15" s="51">
        <v>24.89</v>
      </c>
      <c r="M15" s="51">
        <v>96.75</v>
      </c>
      <c r="N15" s="51">
        <v>32.9</v>
      </c>
      <c r="O15" s="51">
        <v>0</v>
      </c>
      <c r="P15" s="51">
        <v>0.7</v>
      </c>
      <c r="Q15" s="51">
        <v>5.71</v>
      </c>
    </row>
    <row r="16" spans="1:21" customFormat="1">
      <c r="A16" s="50" t="s">
        <v>355</v>
      </c>
      <c r="B16" s="51">
        <v>15.34</v>
      </c>
      <c r="C16" s="51">
        <v>26.3</v>
      </c>
      <c r="D16" s="51">
        <v>27.34</v>
      </c>
      <c r="E16" s="51">
        <v>8.89</v>
      </c>
      <c r="F16" s="51">
        <v>2.48</v>
      </c>
      <c r="G16" s="51">
        <v>46.67</v>
      </c>
      <c r="H16" s="51">
        <v>20.8</v>
      </c>
      <c r="I16" s="51">
        <v>11.71</v>
      </c>
      <c r="J16" s="51">
        <v>0.14000000000000001</v>
      </c>
      <c r="K16" s="51">
        <v>246.02</v>
      </c>
      <c r="L16" s="51">
        <v>26.76</v>
      </c>
      <c r="M16" s="51">
        <v>92.89</v>
      </c>
      <c r="N16" s="51">
        <v>206.9</v>
      </c>
      <c r="O16" s="51">
        <v>0</v>
      </c>
      <c r="P16" s="51">
        <v>0.7</v>
      </c>
      <c r="Q16" s="51">
        <v>5.71</v>
      </c>
    </row>
    <row r="17" spans="1:17" customFormat="1">
      <c r="A17" s="50" t="s">
        <v>356</v>
      </c>
      <c r="B17" s="51">
        <v>15.32</v>
      </c>
      <c r="C17" s="51">
        <v>26.99</v>
      </c>
      <c r="D17" s="51">
        <v>27.51</v>
      </c>
      <c r="E17" s="51">
        <v>9</v>
      </c>
      <c r="F17" s="51">
        <v>3.29</v>
      </c>
      <c r="G17" s="51">
        <v>50.32</v>
      </c>
      <c r="H17" s="51">
        <v>19.899999999999999</v>
      </c>
      <c r="I17" s="51">
        <v>10.98</v>
      </c>
      <c r="J17" s="51">
        <v>0.21</v>
      </c>
      <c r="K17" s="51">
        <v>243.13</v>
      </c>
      <c r="L17" s="51">
        <v>29.75</v>
      </c>
      <c r="M17" s="51">
        <v>80.64</v>
      </c>
      <c r="N17" s="51">
        <v>393.6</v>
      </c>
      <c r="O17" s="51">
        <v>0</v>
      </c>
      <c r="P17" s="51">
        <v>0.7</v>
      </c>
      <c r="Q17" s="51">
        <v>5.69</v>
      </c>
    </row>
    <row r="18" spans="1:17" customFormat="1">
      <c r="A18" s="50" t="s">
        <v>357</v>
      </c>
      <c r="B18" s="51">
        <v>15.1</v>
      </c>
      <c r="C18" s="51">
        <v>23.37</v>
      </c>
      <c r="D18" s="51">
        <v>25.37</v>
      </c>
      <c r="E18" s="51">
        <v>8.42</v>
      </c>
      <c r="F18" s="51">
        <v>3.62</v>
      </c>
      <c r="G18" s="51">
        <v>50.69</v>
      </c>
      <c r="H18" s="51">
        <v>21.28</v>
      </c>
      <c r="I18" s="51">
        <v>10.68</v>
      </c>
      <c r="J18" s="51">
        <v>0.28000000000000003</v>
      </c>
      <c r="K18" s="51">
        <v>247.3</v>
      </c>
      <c r="L18" s="51">
        <v>31.81</v>
      </c>
      <c r="M18" s="51">
        <v>61.52</v>
      </c>
      <c r="N18" s="51">
        <v>486.8</v>
      </c>
      <c r="O18" s="51">
        <v>0</v>
      </c>
      <c r="P18" s="51">
        <v>0.68</v>
      </c>
      <c r="Q18" s="51">
        <v>5.61</v>
      </c>
    </row>
    <row r="19" spans="1:17" customFormat="1">
      <c r="A19" s="50" t="s">
        <v>358</v>
      </c>
      <c r="B19" s="51">
        <v>13.11</v>
      </c>
      <c r="C19" s="51">
        <v>22.04</v>
      </c>
      <c r="D19" s="51">
        <v>23.38</v>
      </c>
      <c r="E19" s="51">
        <v>7.75</v>
      </c>
      <c r="F19" s="51">
        <v>5.0199999999999996</v>
      </c>
      <c r="G19" s="51">
        <v>55.59</v>
      </c>
      <c r="H19" s="51">
        <v>24.61</v>
      </c>
      <c r="I19" s="51">
        <v>10.33</v>
      </c>
      <c r="J19" s="51">
        <v>0.25</v>
      </c>
      <c r="K19" s="51">
        <v>223.27</v>
      </c>
      <c r="L19" s="51">
        <v>32.9</v>
      </c>
      <c r="M19" s="51">
        <v>58.88</v>
      </c>
      <c r="N19" s="51">
        <v>630.6</v>
      </c>
      <c r="O19" s="51">
        <v>0</v>
      </c>
      <c r="P19" s="51">
        <v>0.67</v>
      </c>
      <c r="Q19" s="51">
        <v>5.46</v>
      </c>
    </row>
    <row r="20" spans="1:17" customFormat="1">
      <c r="A20" s="50" t="s">
        <v>359</v>
      </c>
      <c r="B20" s="51">
        <v>10.48</v>
      </c>
      <c r="C20" s="51">
        <v>21.01</v>
      </c>
      <c r="D20" s="51">
        <v>20.73</v>
      </c>
      <c r="E20" s="51">
        <v>7.43</v>
      </c>
      <c r="F20" s="51">
        <v>6.21</v>
      </c>
      <c r="G20" s="51">
        <v>58.78</v>
      </c>
      <c r="H20" s="51">
        <v>23.72</v>
      </c>
      <c r="I20" s="51">
        <v>10.199999999999999</v>
      </c>
      <c r="J20" s="51">
        <v>0.33</v>
      </c>
      <c r="K20" s="51">
        <v>222.81</v>
      </c>
      <c r="L20" s="51">
        <v>33.61</v>
      </c>
      <c r="M20" s="51">
        <v>54.85</v>
      </c>
      <c r="N20" s="51">
        <v>697.9</v>
      </c>
      <c r="O20" s="51">
        <v>0</v>
      </c>
      <c r="P20" s="51">
        <v>0.66</v>
      </c>
      <c r="Q20" s="51">
        <v>5.3</v>
      </c>
    </row>
    <row r="21" spans="1:17" customFormat="1">
      <c r="A21" s="50" t="s">
        <v>360</v>
      </c>
      <c r="B21" s="51">
        <v>8.2899999999999991</v>
      </c>
      <c r="C21" s="51">
        <v>19.920000000000002</v>
      </c>
      <c r="D21" s="51">
        <v>18.350000000000001</v>
      </c>
      <c r="E21" s="51">
        <v>7.25</v>
      </c>
      <c r="F21" s="51">
        <v>6.89</v>
      </c>
      <c r="G21" s="51">
        <v>55.4</v>
      </c>
      <c r="H21" s="51">
        <v>22.17</v>
      </c>
      <c r="I21" s="51">
        <v>9.81</v>
      </c>
      <c r="J21" s="51">
        <v>0.28000000000000003</v>
      </c>
      <c r="K21" s="51">
        <v>189.34</v>
      </c>
      <c r="L21" s="51">
        <v>34.24</v>
      </c>
      <c r="M21" s="51">
        <v>51.65</v>
      </c>
      <c r="N21" s="51">
        <v>677</v>
      </c>
      <c r="O21" s="51">
        <v>0</v>
      </c>
      <c r="P21" s="51">
        <v>0.63</v>
      </c>
      <c r="Q21" s="51">
        <v>5.19</v>
      </c>
    </row>
    <row r="22" spans="1:17" customFormat="1">
      <c r="A22" s="50" t="s">
        <v>361</v>
      </c>
      <c r="B22" s="51">
        <v>6.98</v>
      </c>
      <c r="C22" s="51">
        <v>20.91</v>
      </c>
      <c r="D22" s="51">
        <v>17.62</v>
      </c>
      <c r="E22" s="51">
        <v>7.19</v>
      </c>
      <c r="F22" s="51">
        <v>6.75</v>
      </c>
      <c r="G22" s="51">
        <v>50.16</v>
      </c>
      <c r="H22" s="51">
        <v>19.920000000000002</v>
      </c>
      <c r="I22" s="51">
        <v>9.1199999999999992</v>
      </c>
      <c r="J22" s="51">
        <v>0.25</v>
      </c>
      <c r="K22" s="51">
        <v>182.5</v>
      </c>
      <c r="L22" s="51">
        <v>34</v>
      </c>
      <c r="M22" s="51">
        <v>51.22</v>
      </c>
      <c r="N22" s="51">
        <v>487.4</v>
      </c>
      <c r="O22" s="51">
        <v>0</v>
      </c>
      <c r="P22" s="51">
        <v>0.6</v>
      </c>
      <c r="Q22" s="51">
        <v>5.12</v>
      </c>
    </row>
    <row r="23" spans="1:17" customFormat="1">
      <c r="A23" s="50" t="s">
        <v>362</v>
      </c>
      <c r="B23" s="51">
        <v>5.87</v>
      </c>
      <c r="C23" s="51">
        <v>20.67</v>
      </c>
      <c r="D23" s="51">
        <v>16.84</v>
      </c>
      <c r="E23" s="51">
        <v>7.46</v>
      </c>
      <c r="F23" s="51">
        <v>8.94</v>
      </c>
      <c r="G23" s="51">
        <v>44.15</v>
      </c>
      <c r="H23" s="51">
        <v>19.079999999999998</v>
      </c>
      <c r="I23" s="51">
        <v>8.16</v>
      </c>
      <c r="J23" s="51">
        <v>0.35</v>
      </c>
      <c r="K23" s="51">
        <v>175.28</v>
      </c>
      <c r="L23" s="51">
        <v>32.69</v>
      </c>
      <c r="M23" s="51">
        <v>55.69</v>
      </c>
      <c r="N23" s="51">
        <v>211.1</v>
      </c>
      <c r="O23" s="51">
        <v>0</v>
      </c>
      <c r="P23" s="51">
        <v>0.54</v>
      </c>
      <c r="Q23" s="51">
        <v>5.09</v>
      </c>
    </row>
    <row r="24" spans="1:17" customFormat="1">
      <c r="A24" s="50" t="s">
        <v>363</v>
      </c>
      <c r="B24" s="51">
        <v>6.01</v>
      </c>
      <c r="C24" s="51">
        <v>21.52</v>
      </c>
      <c r="D24" s="51">
        <v>17.399999999999999</v>
      </c>
      <c r="E24" s="51">
        <v>8.14</v>
      </c>
      <c r="F24" s="51">
        <v>9.23</v>
      </c>
      <c r="G24" s="51">
        <v>41.65</v>
      </c>
      <c r="H24" s="51">
        <v>15.87</v>
      </c>
      <c r="I24" s="51">
        <v>7.16</v>
      </c>
      <c r="J24" s="51">
        <v>0.25</v>
      </c>
      <c r="K24" s="51">
        <v>216.13</v>
      </c>
      <c r="L24" s="51">
        <v>31.85</v>
      </c>
      <c r="M24" s="51">
        <v>57.19</v>
      </c>
      <c r="N24" s="51">
        <v>115.1</v>
      </c>
      <c r="O24" s="51">
        <v>0</v>
      </c>
      <c r="P24" s="51">
        <v>0.52</v>
      </c>
      <c r="Q24" s="51">
        <v>5.16</v>
      </c>
    </row>
    <row r="25" spans="1:17" customFormat="1">
      <c r="A25" s="50" t="s">
        <v>364</v>
      </c>
      <c r="B25" s="51">
        <v>6.88</v>
      </c>
      <c r="C25" s="51">
        <v>25.26</v>
      </c>
      <c r="D25" s="51">
        <v>20.059999999999999</v>
      </c>
      <c r="E25" s="51">
        <v>9.69</v>
      </c>
      <c r="F25" s="51">
        <v>7.88</v>
      </c>
      <c r="G25" s="51">
        <v>43.76</v>
      </c>
      <c r="H25" s="51">
        <v>15.79</v>
      </c>
      <c r="I25" s="51">
        <v>6.43</v>
      </c>
      <c r="J25" s="51">
        <v>0.4</v>
      </c>
      <c r="K25" s="51">
        <v>159.13999999999999</v>
      </c>
      <c r="L25" s="51">
        <v>31.56</v>
      </c>
      <c r="M25" s="51">
        <v>60.66</v>
      </c>
      <c r="N25" s="51">
        <v>64.2</v>
      </c>
      <c r="O25" s="51">
        <v>0</v>
      </c>
      <c r="P25" s="51">
        <v>0.56000000000000005</v>
      </c>
      <c r="Q25" s="51">
        <v>5.25</v>
      </c>
    </row>
    <row r="26" spans="1:17" customFormat="1">
      <c r="A26" s="50" t="s">
        <v>365</v>
      </c>
      <c r="B26" s="51">
        <v>7.13</v>
      </c>
      <c r="C26" s="51">
        <v>25.99</v>
      </c>
      <c r="D26" s="51">
        <v>20.63</v>
      </c>
      <c r="E26" s="51">
        <v>9.4600000000000009</v>
      </c>
      <c r="F26" s="51">
        <v>8.11</v>
      </c>
      <c r="G26" s="51">
        <v>61.06</v>
      </c>
      <c r="H26" s="51">
        <v>21.15</v>
      </c>
      <c r="I26" s="51">
        <v>6.37</v>
      </c>
      <c r="J26" s="51">
        <v>0.24</v>
      </c>
      <c r="K26" s="51">
        <v>171.25</v>
      </c>
      <c r="L26" s="51">
        <v>30.21</v>
      </c>
      <c r="M26" s="51">
        <v>71.17</v>
      </c>
      <c r="N26" s="51">
        <v>10.9</v>
      </c>
      <c r="O26" s="51">
        <v>0</v>
      </c>
      <c r="P26" s="51">
        <v>0.61</v>
      </c>
      <c r="Q26" s="51">
        <v>5.32</v>
      </c>
    </row>
    <row r="27" spans="1:17" customFormat="1">
      <c r="A27" s="50" t="s">
        <v>366</v>
      </c>
      <c r="B27" s="51">
        <v>7.75</v>
      </c>
      <c r="C27" s="51">
        <v>25.78</v>
      </c>
      <c r="D27" s="51">
        <v>20.67</v>
      </c>
      <c r="E27" s="51">
        <v>8.01</v>
      </c>
      <c r="F27" s="51">
        <v>6.32</v>
      </c>
      <c r="G27" s="51">
        <v>77.83</v>
      </c>
      <c r="H27" s="51">
        <v>21.51</v>
      </c>
      <c r="I27" s="51">
        <v>6.46</v>
      </c>
      <c r="J27" s="51">
        <v>0.2</v>
      </c>
      <c r="K27" s="51">
        <v>200.23</v>
      </c>
      <c r="L27" s="51">
        <v>28.25</v>
      </c>
      <c r="M27" s="51">
        <v>76.680000000000007</v>
      </c>
      <c r="N27" s="51">
        <v>0</v>
      </c>
      <c r="O27" s="51">
        <v>0</v>
      </c>
      <c r="P27" s="51">
        <v>0.66</v>
      </c>
      <c r="Q27" s="51">
        <v>5.31</v>
      </c>
    </row>
    <row r="28" spans="1:17" customFormat="1">
      <c r="A28" s="50" t="s">
        <v>367</v>
      </c>
      <c r="B28" s="51">
        <v>8.14</v>
      </c>
      <c r="C28" s="51">
        <v>21.7</v>
      </c>
      <c r="D28" s="51">
        <v>18.95</v>
      </c>
      <c r="E28" s="51">
        <v>8.48</v>
      </c>
      <c r="F28" s="51">
        <v>8.0500000000000007</v>
      </c>
      <c r="G28" s="51">
        <v>77.430000000000007</v>
      </c>
      <c r="H28" s="51">
        <v>22.74</v>
      </c>
      <c r="I28" s="51">
        <v>6.57</v>
      </c>
      <c r="J28" s="51">
        <v>0.17</v>
      </c>
      <c r="K28" s="51">
        <v>197.95</v>
      </c>
      <c r="L28" s="51">
        <v>27.5</v>
      </c>
      <c r="M28" s="51">
        <v>82.09</v>
      </c>
      <c r="N28" s="51">
        <v>0</v>
      </c>
      <c r="O28" s="51">
        <v>0</v>
      </c>
      <c r="P28" s="51">
        <v>0.69</v>
      </c>
      <c r="Q28" s="51">
        <v>5.22</v>
      </c>
    </row>
    <row r="29" spans="1:17" customFormat="1">
      <c r="A29" s="50" t="s">
        <v>368</v>
      </c>
      <c r="B29" s="51">
        <v>9.23</v>
      </c>
      <c r="C29" s="51">
        <v>21.25</v>
      </c>
      <c r="D29" s="51">
        <v>19.72</v>
      </c>
      <c r="E29" s="51">
        <v>6.74</v>
      </c>
      <c r="F29" s="51">
        <v>7.04</v>
      </c>
      <c r="G29" s="51">
        <v>80.52</v>
      </c>
      <c r="H29" s="51">
        <v>24.69</v>
      </c>
      <c r="I29" s="51">
        <v>6.73</v>
      </c>
      <c r="J29" s="51">
        <v>0.16</v>
      </c>
      <c r="K29" s="51">
        <v>205.73</v>
      </c>
      <c r="L29" s="51">
        <v>26.72</v>
      </c>
      <c r="M29" s="51">
        <v>84.91</v>
      </c>
      <c r="N29" s="51">
        <v>0</v>
      </c>
      <c r="O29" s="51">
        <v>0</v>
      </c>
      <c r="P29" s="51">
        <v>0.72</v>
      </c>
      <c r="Q29" s="51">
        <v>5.26</v>
      </c>
    </row>
    <row r="30" spans="1:17" customFormat="1">
      <c r="A30" s="50" t="s">
        <v>369</v>
      </c>
      <c r="B30" s="51">
        <v>9.6999999999999993</v>
      </c>
      <c r="C30" s="51">
        <v>19.38</v>
      </c>
      <c r="D30" s="51">
        <v>19.149999999999999</v>
      </c>
      <c r="E30" s="51">
        <v>6.5</v>
      </c>
      <c r="F30" s="51">
        <v>6.43</v>
      </c>
      <c r="G30" s="51">
        <v>83.53</v>
      </c>
      <c r="H30" s="51">
        <v>26.09</v>
      </c>
      <c r="I30" s="51">
        <v>7.04</v>
      </c>
      <c r="J30" s="51">
        <v>0.23</v>
      </c>
      <c r="K30" s="51">
        <v>223.6</v>
      </c>
      <c r="L30" s="51">
        <v>26.33</v>
      </c>
      <c r="M30" s="51">
        <v>88.54</v>
      </c>
      <c r="N30" s="51">
        <v>0</v>
      </c>
      <c r="O30" s="51">
        <v>0</v>
      </c>
      <c r="P30" s="51">
        <v>0.73</v>
      </c>
      <c r="Q30" s="51">
        <v>5.3</v>
      </c>
    </row>
    <row r="31" spans="1:17" customFormat="1">
      <c r="A31" s="50" t="s">
        <v>370</v>
      </c>
      <c r="B31" s="51">
        <v>11.07</v>
      </c>
      <c r="C31" s="51">
        <v>21.54</v>
      </c>
      <c r="D31" s="51">
        <v>21.2</v>
      </c>
      <c r="E31" s="51">
        <v>6.33</v>
      </c>
      <c r="F31" s="51">
        <v>3.19</v>
      </c>
      <c r="G31" s="51">
        <v>86.35</v>
      </c>
      <c r="H31" s="51">
        <v>26.87</v>
      </c>
      <c r="I31" s="51">
        <v>7.38</v>
      </c>
      <c r="J31" s="51">
        <v>0.14000000000000001</v>
      </c>
      <c r="K31" s="51">
        <v>229.55</v>
      </c>
      <c r="L31" s="51">
        <v>25.72</v>
      </c>
      <c r="M31" s="51">
        <v>91.6</v>
      </c>
      <c r="N31" s="51">
        <v>0</v>
      </c>
      <c r="O31" s="51">
        <v>0</v>
      </c>
      <c r="P31" s="51">
        <v>0.82</v>
      </c>
      <c r="Q31" s="51">
        <v>5.38</v>
      </c>
    </row>
    <row r="32" spans="1:17" customFormat="1">
      <c r="A32" s="50" t="s">
        <v>371</v>
      </c>
      <c r="B32" s="51">
        <v>11.51</v>
      </c>
      <c r="C32" s="51">
        <v>23.37</v>
      </c>
      <c r="D32" s="51">
        <v>22.79</v>
      </c>
      <c r="E32" s="51">
        <v>6.1</v>
      </c>
      <c r="F32" s="51">
        <v>3.25</v>
      </c>
      <c r="G32" s="51">
        <v>85.07</v>
      </c>
      <c r="H32" s="51">
        <v>26.6</v>
      </c>
      <c r="I32" s="51">
        <v>8.02</v>
      </c>
      <c r="J32" s="51">
        <v>0.17</v>
      </c>
      <c r="K32" s="51">
        <v>216.06</v>
      </c>
      <c r="L32" s="51">
        <v>25.63</v>
      </c>
      <c r="M32" s="51">
        <v>92.05</v>
      </c>
      <c r="N32" s="51">
        <v>0</v>
      </c>
      <c r="O32" s="51">
        <v>0</v>
      </c>
      <c r="P32" s="51">
        <v>0.87</v>
      </c>
      <c r="Q32" s="51">
        <v>5.43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5.87</v>
      </c>
      <c r="C34" s="41">
        <f t="shared" si="0"/>
        <v>19.38</v>
      </c>
      <c r="D34" s="41">
        <f t="shared" si="0"/>
        <v>16.84</v>
      </c>
      <c r="E34" s="41">
        <f t="shared" si="0"/>
        <v>6.1</v>
      </c>
      <c r="F34" s="41">
        <f t="shared" si="0"/>
        <v>2.48</v>
      </c>
      <c r="G34" s="41">
        <f t="shared" si="0"/>
        <v>41.65</v>
      </c>
      <c r="H34" s="41">
        <f t="shared" si="0"/>
        <v>15.79</v>
      </c>
      <c r="I34" s="41">
        <f t="shared" si="0"/>
        <v>6.37</v>
      </c>
      <c r="J34" s="41">
        <f t="shared" si="0"/>
        <v>0.08</v>
      </c>
      <c r="K34" s="41">
        <f t="shared" si="0"/>
        <v>159.13999999999999</v>
      </c>
      <c r="L34" s="41">
        <f t="shared" si="0"/>
        <v>24.09</v>
      </c>
      <c r="M34" s="41">
        <f t="shared" si="0"/>
        <v>51.22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5.09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18.989999999999998</v>
      </c>
      <c r="C35" s="33">
        <f t="shared" si="1"/>
        <v>26.99</v>
      </c>
      <c r="D35" s="33">
        <f t="shared" si="1"/>
        <v>27.99</v>
      </c>
      <c r="E35" s="33">
        <f t="shared" si="1"/>
        <v>9.69</v>
      </c>
      <c r="F35" s="33">
        <f t="shared" si="1"/>
        <v>9.23</v>
      </c>
      <c r="G35" s="33">
        <f t="shared" si="1"/>
        <v>86.35</v>
      </c>
      <c r="H35" s="33">
        <f t="shared" si="1"/>
        <v>26.87</v>
      </c>
      <c r="I35" s="33">
        <f t="shared" si="1"/>
        <v>21.18</v>
      </c>
      <c r="J35" s="33">
        <f t="shared" si="1"/>
        <v>0.4</v>
      </c>
      <c r="K35" s="33">
        <f t="shared" si="1"/>
        <v>247.3</v>
      </c>
      <c r="L35" s="33">
        <f t="shared" si="1"/>
        <v>34.24</v>
      </c>
      <c r="M35" s="33">
        <f t="shared" si="1"/>
        <v>96.75</v>
      </c>
      <c r="N35" s="33">
        <f t="shared" si="1"/>
        <v>697.9</v>
      </c>
      <c r="O35" s="33">
        <f t="shared" si="1"/>
        <v>0</v>
      </c>
      <c r="P35" s="33">
        <f t="shared" si="1"/>
        <v>0.87</v>
      </c>
      <c r="Q35" s="33">
        <f t="shared" si="1"/>
        <v>5.75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11.830416666666665</v>
      </c>
      <c r="C36" s="41">
        <f t="shared" si="2"/>
        <v>23.239166666666673</v>
      </c>
      <c r="D36" s="41">
        <f t="shared" si="2"/>
        <v>22.753749999999997</v>
      </c>
      <c r="E36" s="41">
        <f t="shared" si="2"/>
        <v>7.8195833333333331</v>
      </c>
      <c r="F36" s="41">
        <f t="shared" si="2"/>
        <v>5.1179166666666669</v>
      </c>
      <c r="G36" s="41">
        <f t="shared" si="2"/>
        <v>59.249999999999993</v>
      </c>
      <c r="H36" s="41">
        <f t="shared" si="2"/>
        <v>21.517083333333332</v>
      </c>
      <c r="I36" s="41">
        <f t="shared" si="2"/>
        <v>11.026249999999999</v>
      </c>
      <c r="J36" s="41">
        <f t="shared" si="2"/>
        <v>0.22166666666666671</v>
      </c>
      <c r="K36" s="41">
        <f t="shared" si="2"/>
        <v>208.67708333333337</v>
      </c>
      <c r="L36" s="41">
        <f t="shared" si="2"/>
        <v>28.341666666666672</v>
      </c>
      <c r="M36" s="41">
        <f t="shared" si="2"/>
        <v>78.122500000000016</v>
      </c>
      <c r="N36" s="41">
        <f t="shared" si="2"/>
        <v>167.26666666666668</v>
      </c>
      <c r="O36" s="41">
        <f t="shared" si="2"/>
        <v>0</v>
      </c>
      <c r="P36" s="41">
        <f t="shared" si="2"/>
        <v>0.69458333333333344</v>
      </c>
      <c r="Q36" s="41">
        <f t="shared" si="2"/>
        <v>5.4391666666666678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4.2214663423637768</v>
      </c>
      <c r="C37" s="41">
        <f t="shared" ref="C37:Q37" si="3">STDEV(C9:C32)</f>
        <v>2.2265315523529119</v>
      </c>
      <c r="D37" s="41">
        <f t="shared" si="3"/>
        <v>3.8874892003205654</v>
      </c>
      <c r="E37" s="41">
        <f t="shared" si="3"/>
        <v>0.97168378810082823</v>
      </c>
      <c r="F37" s="41">
        <f t="shared" si="3"/>
        <v>2.3410495215434532</v>
      </c>
      <c r="G37" s="41">
        <f t="shared" si="3"/>
        <v>14.403643560783083</v>
      </c>
      <c r="H37" s="41">
        <f t="shared" si="3"/>
        <v>3.0044018129443413</v>
      </c>
      <c r="I37" s="41">
        <f t="shared" si="3"/>
        <v>4.6920856700173994</v>
      </c>
      <c r="J37" s="41">
        <f t="shared" si="3"/>
        <v>8.2917804594915351E-2</v>
      </c>
      <c r="K37" s="41">
        <f t="shared" si="3"/>
        <v>24.29658742886323</v>
      </c>
      <c r="L37" s="41">
        <f t="shared" si="3"/>
        <v>3.6644836716391174</v>
      </c>
      <c r="M37" s="41">
        <f t="shared" si="3"/>
        <v>16.953472197907285</v>
      </c>
      <c r="N37" s="41">
        <f t="shared" si="3"/>
        <v>247.33097990989401</v>
      </c>
      <c r="O37" s="41">
        <f t="shared" si="3"/>
        <v>0</v>
      </c>
      <c r="P37" s="41">
        <f t="shared" si="3"/>
        <v>8.8316583044067962E-2</v>
      </c>
      <c r="Q37" s="41">
        <f t="shared" si="3"/>
        <v>0.22317699481462519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372</v>
      </c>
      <c r="B9" s="51">
        <v>11.17</v>
      </c>
      <c r="C9" s="51">
        <v>25.09</v>
      </c>
      <c r="D9" s="51">
        <v>23.41</v>
      </c>
      <c r="E9" s="51">
        <v>6.05</v>
      </c>
      <c r="F9" s="51">
        <v>2.73</v>
      </c>
      <c r="G9" s="51">
        <v>80.66</v>
      </c>
      <c r="H9" s="51">
        <v>26.42</v>
      </c>
      <c r="I9" s="51">
        <v>8.19</v>
      </c>
      <c r="J9" s="51">
        <v>0.28000000000000003</v>
      </c>
      <c r="K9" s="51">
        <v>238.45</v>
      </c>
      <c r="L9" s="51">
        <v>25.41</v>
      </c>
      <c r="M9" s="51">
        <v>91.08</v>
      </c>
      <c r="N9" s="51">
        <v>0</v>
      </c>
      <c r="O9" s="51">
        <v>0</v>
      </c>
      <c r="P9" s="51">
        <v>0.91</v>
      </c>
      <c r="Q9" s="51">
        <v>5.47</v>
      </c>
    </row>
    <row r="10" spans="1:21" customFormat="1">
      <c r="A10" s="50" t="s">
        <v>373</v>
      </c>
      <c r="B10" s="51">
        <v>11.49</v>
      </c>
      <c r="C10" s="51">
        <v>25.75</v>
      </c>
      <c r="D10" s="51">
        <v>23.93</v>
      </c>
      <c r="E10" s="51">
        <v>6.32</v>
      </c>
      <c r="F10" s="51">
        <v>2.44</v>
      </c>
      <c r="G10" s="51">
        <v>75.290000000000006</v>
      </c>
      <c r="H10" s="51">
        <v>25.9</v>
      </c>
      <c r="I10" s="51">
        <v>8.3000000000000007</v>
      </c>
      <c r="J10" s="51">
        <v>0.22</v>
      </c>
      <c r="K10" s="51">
        <v>249.47</v>
      </c>
      <c r="L10" s="51">
        <v>24.89</v>
      </c>
      <c r="M10" s="51">
        <v>91.57</v>
      </c>
      <c r="N10" s="51">
        <v>0</v>
      </c>
      <c r="O10" s="51">
        <v>0</v>
      </c>
      <c r="P10" s="51">
        <v>0.9</v>
      </c>
      <c r="Q10" s="51">
        <v>5.58</v>
      </c>
    </row>
    <row r="11" spans="1:21" customFormat="1">
      <c r="A11" s="50" t="s">
        <v>374</v>
      </c>
      <c r="B11" s="51">
        <v>11.43</v>
      </c>
      <c r="C11" s="51">
        <v>25.78</v>
      </c>
      <c r="D11" s="51">
        <v>23.97</v>
      </c>
      <c r="E11" s="51">
        <v>6.72</v>
      </c>
      <c r="F11" s="51">
        <v>2.57</v>
      </c>
      <c r="G11" s="51">
        <v>68.67</v>
      </c>
      <c r="H11" s="51">
        <v>22.03</v>
      </c>
      <c r="I11" s="51">
        <v>8.15</v>
      </c>
      <c r="J11" s="51">
        <v>0.11</v>
      </c>
      <c r="K11" s="51">
        <v>232.21</v>
      </c>
      <c r="L11" s="51">
        <v>24.57</v>
      </c>
      <c r="M11" s="51">
        <v>91.42</v>
      </c>
      <c r="N11" s="51">
        <v>0</v>
      </c>
      <c r="O11" s="51">
        <v>0</v>
      </c>
      <c r="P11" s="51">
        <v>0.88</v>
      </c>
      <c r="Q11" s="51">
        <v>5.58</v>
      </c>
    </row>
    <row r="12" spans="1:21" customFormat="1">
      <c r="A12" s="50" t="s">
        <v>375</v>
      </c>
      <c r="B12" s="51">
        <v>11.66</v>
      </c>
      <c r="C12" s="51">
        <v>25.77</v>
      </c>
      <c r="D12" s="51">
        <v>24.02</v>
      </c>
      <c r="E12" s="51">
        <v>7.09</v>
      </c>
      <c r="F12" s="51">
        <v>2.73</v>
      </c>
      <c r="G12" s="51">
        <v>58.9</v>
      </c>
      <c r="H12" s="51">
        <v>20.61</v>
      </c>
      <c r="I12" s="51">
        <v>7.79</v>
      </c>
      <c r="J12" s="51">
        <v>0.27</v>
      </c>
      <c r="K12" s="51">
        <v>194.76</v>
      </c>
      <c r="L12" s="51">
        <v>24.93</v>
      </c>
      <c r="M12" s="51">
        <v>92.07</v>
      </c>
      <c r="N12" s="51">
        <v>0</v>
      </c>
      <c r="O12" s="51">
        <v>0</v>
      </c>
      <c r="P12" s="51">
        <v>0.82</v>
      </c>
      <c r="Q12" s="51">
        <v>5.57</v>
      </c>
    </row>
    <row r="13" spans="1:21" customFormat="1">
      <c r="A13" s="50" t="s">
        <v>376</v>
      </c>
      <c r="B13" s="51">
        <v>12.7</v>
      </c>
      <c r="C13" s="51">
        <v>23.94</v>
      </c>
      <c r="D13" s="51">
        <v>23.52</v>
      </c>
      <c r="E13" s="51">
        <v>6.95</v>
      </c>
      <c r="F13" s="51">
        <v>3.25</v>
      </c>
      <c r="G13" s="51">
        <v>51.56</v>
      </c>
      <c r="H13" s="51">
        <v>21.91</v>
      </c>
      <c r="I13" s="51">
        <v>7.45</v>
      </c>
      <c r="J13" s="51">
        <v>0.17</v>
      </c>
      <c r="K13" s="51">
        <v>212.03</v>
      </c>
      <c r="L13" s="51">
        <v>25.04</v>
      </c>
      <c r="M13" s="51">
        <v>92</v>
      </c>
      <c r="N13" s="51">
        <v>0</v>
      </c>
      <c r="O13" s="51">
        <v>0</v>
      </c>
      <c r="P13" s="51">
        <v>0.78</v>
      </c>
      <c r="Q13" s="51">
        <v>5.57</v>
      </c>
    </row>
    <row r="14" spans="1:21" customFormat="1">
      <c r="A14" s="50" t="s">
        <v>377</v>
      </c>
      <c r="B14" s="51">
        <v>13.53</v>
      </c>
      <c r="C14" s="51">
        <v>22.2</v>
      </c>
      <c r="D14" s="51">
        <v>23.37</v>
      </c>
      <c r="E14" s="51">
        <v>6.66</v>
      </c>
      <c r="F14" s="51">
        <v>3.16</v>
      </c>
      <c r="G14" s="51">
        <v>44.68</v>
      </c>
      <c r="H14" s="51">
        <v>20.83</v>
      </c>
      <c r="I14" s="51">
        <v>7.31</v>
      </c>
      <c r="J14" s="51">
        <v>0.08</v>
      </c>
      <c r="K14" s="51">
        <v>233.69</v>
      </c>
      <c r="L14" s="51">
        <v>24.32</v>
      </c>
      <c r="M14" s="51">
        <v>94.4</v>
      </c>
      <c r="N14" s="51">
        <v>0</v>
      </c>
      <c r="O14" s="51">
        <v>0</v>
      </c>
      <c r="P14" s="51">
        <v>0.73</v>
      </c>
      <c r="Q14" s="51">
        <v>5.56</v>
      </c>
    </row>
    <row r="15" spans="1:21" customFormat="1">
      <c r="A15" s="50" t="s">
        <v>378</v>
      </c>
      <c r="B15" s="51">
        <v>14.54</v>
      </c>
      <c r="C15" s="51">
        <v>21.88</v>
      </c>
      <c r="D15" s="51">
        <v>24.32</v>
      </c>
      <c r="E15" s="51">
        <v>6.26</v>
      </c>
      <c r="F15" s="51">
        <v>3.11</v>
      </c>
      <c r="G15" s="51">
        <v>42.66</v>
      </c>
      <c r="H15" s="51">
        <v>19.649999999999999</v>
      </c>
      <c r="I15" s="51">
        <v>7.22</v>
      </c>
      <c r="J15" s="51">
        <v>0.18</v>
      </c>
      <c r="K15" s="51">
        <v>253.18</v>
      </c>
      <c r="L15" s="51">
        <v>25.24</v>
      </c>
      <c r="M15" s="51">
        <v>94.14</v>
      </c>
      <c r="N15" s="51">
        <v>43.9</v>
      </c>
      <c r="O15" s="51">
        <v>0</v>
      </c>
      <c r="P15" s="51">
        <v>0.73</v>
      </c>
      <c r="Q15" s="51">
        <v>5.63</v>
      </c>
    </row>
    <row r="16" spans="1:21" customFormat="1">
      <c r="A16" s="50" t="s">
        <v>379</v>
      </c>
      <c r="B16" s="51">
        <v>15.38</v>
      </c>
      <c r="C16" s="51">
        <v>21.92</v>
      </c>
      <c r="D16" s="51">
        <v>24.7</v>
      </c>
      <c r="E16" s="51">
        <v>6.71</v>
      </c>
      <c r="F16" s="51">
        <v>3.32</v>
      </c>
      <c r="G16" s="51">
        <v>42.91</v>
      </c>
      <c r="H16" s="51">
        <v>19.89</v>
      </c>
      <c r="I16" s="51">
        <v>7.27</v>
      </c>
      <c r="J16" s="51">
        <v>0.17</v>
      </c>
      <c r="K16" s="51">
        <v>327.16000000000003</v>
      </c>
      <c r="L16" s="51">
        <v>27.44</v>
      </c>
      <c r="M16" s="51">
        <v>89.92</v>
      </c>
      <c r="N16" s="51">
        <v>223.3</v>
      </c>
      <c r="O16" s="51">
        <v>0</v>
      </c>
      <c r="P16" s="51">
        <v>0.72</v>
      </c>
      <c r="Q16" s="51">
        <v>5.68</v>
      </c>
    </row>
    <row r="17" spans="1:17" customFormat="1">
      <c r="A17" s="50" t="s">
        <v>380</v>
      </c>
      <c r="B17" s="51">
        <v>15.24</v>
      </c>
      <c r="C17" s="51">
        <v>21.49</v>
      </c>
      <c r="D17" s="51">
        <v>23.91</v>
      </c>
      <c r="E17" s="51">
        <v>6.61</v>
      </c>
      <c r="F17" s="51">
        <v>4.17</v>
      </c>
      <c r="G17" s="51">
        <v>43.02</v>
      </c>
      <c r="H17" s="51">
        <v>20.399999999999999</v>
      </c>
      <c r="I17" s="51">
        <v>7.26</v>
      </c>
      <c r="J17" s="51">
        <v>0.16</v>
      </c>
      <c r="K17" s="51">
        <v>324.91000000000003</v>
      </c>
      <c r="L17" s="51">
        <v>29.89</v>
      </c>
      <c r="M17" s="51">
        <v>75.91</v>
      </c>
      <c r="N17" s="51">
        <v>347.4</v>
      </c>
      <c r="O17" s="51">
        <v>0</v>
      </c>
      <c r="P17" s="51">
        <v>0.75</v>
      </c>
      <c r="Q17" s="51">
        <v>5.66</v>
      </c>
    </row>
    <row r="18" spans="1:17" customFormat="1">
      <c r="A18" s="50" t="s">
        <v>381</v>
      </c>
      <c r="B18" s="51">
        <v>12.83</v>
      </c>
      <c r="C18" s="51">
        <v>25.43</v>
      </c>
      <c r="D18" s="51">
        <v>23.69</v>
      </c>
      <c r="E18" s="51">
        <v>6.44</v>
      </c>
      <c r="F18" s="51">
        <v>5.1100000000000003</v>
      </c>
      <c r="G18" s="51">
        <v>49.81</v>
      </c>
      <c r="H18" s="51">
        <v>21.46</v>
      </c>
      <c r="I18" s="51">
        <v>7.97</v>
      </c>
      <c r="J18" s="51">
        <v>0.25</v>
      </c>
      <c r="K18" s="51">
        <v>140.16</v>
      </c>
      <c r="L18" s="51">
        <v>31.5</v>
      </c>
      <c r="M18" s="51">
        <v>69.59</v>
      </c>
      <c r="N18" s="51">
        <v>453.1</v>
      </c>
      <c r="O18" s="51">
        <v>0</v>
      </c>
      <c r="P18" s="51">
        <v>0.84</v>
      </c>
      <c r="Q18" s="51">
        <v>5.52</v>
      </c>
    </row>
    <row r="19" spans="1:17" customFormat="1">
      <c r="A19" s="50" t="s">
        <v>382</v>
      </c>
      <c r="B19" s="51">
        <v>8.1300000000000008</v>
      </c>
      <c r="C19" s="51">
        <v>27.03</v>
      </c>
      <c r="D19" s="51">
        <v>21.37</v>
      </c>
      <c r="E19" s="51">
        <v>8.0399999999999991</v>
      </c>
      <c r="F19" s="51">
        <v>7.03</v>
      </c>
      <c r="G19" s="51">
        <v>66.5</v>
      </c>
      <c r="H19" s="51">
        <v>25.89</v>
      </c>
      <c r="I19" s="51">
        <v>9</v>
      </c>
      <c r="J19" s="51">
        <v>0.39</v>
      </c>
      <c r="K19" s="51">
        <v>58.24</v>
      </c>
      <c r="L19" s="51">
        <v>32.25</v>
      </c>
      <c r="M19" s="51">
        <v>64.77</v>
      </c>
      <c r="N19" s="51">
        <v>540.6</v>
      </c>
      <c r="O19" s="51">
        <v>0</v>
      </c>
      <c r="P19" s="51">
        <v>0.94</v>
      </c>
      <c r="Q19" s="51">
        <v>5.35</v>
      </c>
    </row>
    <row r="20" spans="1:17" customFormat="1">
      <c r="A20" s="50" t="s">
        <v>383</v>
      </c>
      <c r="B20" s="51">
        <v>4.9000000000000004</v>
      </c>
      <c r="C20" s="51">
        <v>27.16</v>
      </c>
      <c r="D20" s="51">
        <v>19.420000000000002</v>
      </c>
      <c r="E20" s="51">
        <v>9.5</v>
      </c>
      <c r="F20" s="51">
        <v>8.67</v>
      </c>
      <c r="G20" s="51">
        <v>82.61</v>
      </c>
      <c r="H20" s="51">
        <v>30.73</v>
      </c>
      <c r="I20" s="51">
        <v>9.6199999999999992</v>
      </c>
      <c r="J20" s="51">
        <v>0.3</v>
      </c>
      <c r="K20" s="51">
        <v>322.27999999999997</v>
      </c>
      <c r="L20" s="51">
        <v>33.32</v>
      </c>
      <c r="M20" s="51">
        <v>62.49</v>
      </c>
      <c r="N20" s="51">
        <v>686</v>
      </c>
      <c r="O20" s="51">
        <v>0</v>
      </c>
      <c r="P20" s="51">
        <v>0.96</v>
      </c>
      <c r="Q20" s="51">
        <v>5.17</v>
      </c>
    </row>
    <row r="21" spans="1:17" customFormat="1">
      <c r="A21" s="50" t="s">
        <v>384</v>
      </c>
      <c r="B21" s="51">
        <v>5</v>
      </c>
      <c r="C21" s="51">
        <v>27.09</v>
      </c>
      <c r="D21" s="51">
        <v>19.059999999999999</v>
      </c>
      <c r="E21" s="51">
        <v>10</v>
      </c>
      <c r="F21" s="51">
        <v>8.41</v>
      </c>
      <c r="G21" s="51">
        <v>89.1</v>
      </c>
      <c r="H21" s="51">
        <v>33.68</v>
      </c>
      <c r="I21" s="51">
        <v>9.5399999999999991</v>
      </c>
      <c r="J21" s="51">
        <v>0.73</v>
      </c>
      <c r="K21" s="51">
        <v>59.16</v>
      </c>
      <c r="L21" s="51">
        <v>33.9</v>
      </c>
      <c r="M21" s="51">
        <v>47.89</v>
      </c>
      <c r="N21" s="51">
        <v>685.6</v>
      </c>
      <c r="O21" s="51">
        <v>0</v>
      </c>
      <c r="P21" s="51">
        <v>0.94</v>
      </c>
      <c r="Q21" s="51">
        <v>5.16</v>
      </c>
    </row>
    <row r="22" spans="1:17" customFormat="1">
      <c r="A22" s="50" t="s">
        <v>385</v>
      </c>
      <c r="B22" s="51">
        <v>5.48</v>
      </c>
      <c r="C22" s="51">
        <v>27.67</v>
      </c>
      <c r="D22" s="51">
        <v>20.12</v>
      </c>
      <c r="E22" s="51">
        <v>10.5</v>
      </c>
      <c r="F22" s="51">
        <v>8.9</v>
      </c>
      <c r="G22" s="51">
        <v>82.98</v>
      </c>
      <c r="H22" s="51">
        <v>25.35</v>
      </c>
      <c r="I22" s="51">
        <v>8.51</v>
      </c>
      <c r="J22" s="51">
        <v>0.78</v>
      </c>
      <c r="K22" s="51">
        <v>41.48</v>
      </c>
      <c r="L22" s="51">
        <v>33.33</v>
      </c>
      <c r="M22" s="51">
        <v>37.36</v>
      </c>
      <c r="N22" s="51">
        <v>489</v>
      </c>
      <c r="O22" s="51">
        <v>0</v>
      </c>
      <c r="P22" s="51">
        <v>0.84</v>
      </c>
      <c r="Q22" s="51">
        <v>5.17</v>
      </c>
    </row>
    <row r="23" spans="1:17" customFormat="1">
      <c r="A23" s="50" t="s">
        <v>386</v>
      </c>
      <c r="B23" s="51">
        <v>6.32</v>
      </c>
      <c r="C23" s="51">
        <v>25.55</v>
      </c>
      <c r="D23" s="51">
        <v>19.39</v>
      </c>
      <c r="E23" s="51">
        <v>8.3800000000000008</v>
      </c>
      <c r="F23" s="51">
        <v>13.71</v>
      </c>
      <c r="G23" s="51">
        <v>72.47</v>
      </c>
      <c r="H23" s="51">
        <v>20.99</v>
      </c>
      <c r="I23" s="51">
        <v>7.58</v>
      </c>
      <c r="J23" s="51">
        <v>0.49</v>
      </c>
      <c r="K23" s="51">
        <v>54.4</v>
      </c>
      <c r="L23" s="51">
        <v>32.24</v>
      </c>
      <c r="M23" s="51">
        <v>42.83</v>
      </c>
      <c r="N23" s="51">
        <v>200.6</v>
      </c>
      <c r="O23" s="51">
        <v>0</v>
      </c>
      <c r="P23" s="51">
        <v>0.75</v>
      </c>
      <c r="Q23" s="51">
        <v>5.17</v>
      </c>
    </row>
    <row r="24" spans="1:17" customFormat="1">
      <c r="A24" s="50" t="s">
        <v>387</v>
      </c>
      <c r="B24" s="51">
        <v>7.77</v>
      </c>
      <c r="C24" s="51">
        <v>23.48</v>
      </c>
      <c r="D24" s="51">
        <v>19.850000000000001</v>
      </c>
      <c r="E24" s="51">
        <v>8.69</v>
      </c>
      <c r="F24" s="51">
        <v>18.87</v>
      </c>
      <c r="G24" s="51">
        <v>66</v>
      </c>
      <c r="H24" s="51">
        <v>20.11</v>
      </c>
      <c r="I24" s="51">
        <v>7.38</v>
      </c>
      <c r="J24" s="51">
        <v>0.55000000000000004</v>
      </c>
      <c r="K24" s="51">
        <v>51.59</v>
      </c>
      <c r="L24" s="51">
        <v>31.84</v>
      </c>
      <c r="M24" s="51">
        <v>44.69</v>
      </c>
      <c r="N24" s="51">
        <v>140.30000000000001</v>
      </c>
      <c r="O24" s="51">
        <v>0</v>
      </c>
      <c r="P24" s="51">
        <v>0.69</v>
      </c>
      <c r="Q24" s="51">
        <v>5.1100000000000003</v>
      </c>
    </row>
    <row r="25" spans="1:17" customFormat="1">
      <c r="A25" s="50" t="s">
        <v>388</v>
      </c>
      <c r="B25" s="51">
        <v>9.18</v>
      </c>
      <c r="C25" s="51">
        <v>26.68</v>
      </c>
      <c r="D25" s="51">
        <v>22.45</v>
      </c>
      <c r="E25" s="51">
        <v>8.5299999999999994</v>
      </c>
      <c r="F25" s="51">
        <v>17.149999999999999</v>
      </c>
      <c r="G25" s="51">
        <v>64.03</v>
      </c>
      <c r="H25" s="51">
        <v>17.37</v>
      </c>
      <c r="I25" s="51">
        <v>6.68</v>
      </c>
      <c r="J25" s="51">
        <v>0.47</v>
      </c>
      <c r="K25" s="51">
        <v>96.11</v>
      </c>
      <c r="L25" s="51">
        <v>31.4</v>
      </c>
      <c r="M25" s="51">
        <v>53.73</v>
      </c>
      <c r="N25" s="51">
        <v>49.8</v>
      </c>
      <c r="O25" s="51">
        <v>0</v>
      </c>
      <c r="P25" s="51">
        <v>0.68</v>
      </c>
      <c r="Q25" s="51">
        <v>5.17</v>
      </c>
    </row>
    <row r="26" spans="1:17" customFormat="1">
      <c r="A26" s="50" t="s">
        <v>389</v>
      </c>
      <c r="B26" s="51">
        <v>8.06</v>
      </c>
      <c r="C26" s="51">
        <v>26.29</v>
      </c>
      <c r="D26" s="51">
        <v>21.55</v>
      </c>
      <c r="E26" s="51">
        <v>7.8</v>
      </c>
      <c r="F26" s="51">
        <v>9.6300000000000008</v>
      </c>
      <c r="G26" s="51">
        <v>68.08</v>
      </c>
      <c r="H26" s="51">
        <v>19.03</v>
      </c>
      <c r="I26" s="51">
        <v>7.17</v>
      </c>
      <c r="J26" s="51">
        <v>0.27</v>
      </c>
      <c r="K26" s="51">
        <v>192.7</v>
      </c>
      <c r="L26" s="51">
        <v>29.2</v>
      </c>
      <c r="M26" s="51">
        <v>71.41</v>
      </c>
      <c r="N26" s="51">
        <v>5.6</v>
      </c>
      <c r="O26" s="51">
        <v>0</v>
      </c>
      <c r="P26" s="51">
        <v>0.74</v>
      </c>
      <c r="Q26" s="51">
        <v>5.3</v>
      </c>
    </row>
    <row r="27" spans="1:17" customFormat="1">
      <c r="A27" s="50" t="s">
        <v>390</v>
      </c>
      <c r="B27" s="51">
        <v>12.02</v>
      </c>
      <c r="C27" s="51">
        <v>27.55</v>
      </c>
      <c r="D27" s="51">
        <v>25.39</v>
      </c>
      <c r="E27" s="51">
        <v>7.5</v>
      </c>
      <c r="F27" s="51">
        <v>4.3099999999999996</v>
      </c>
      <c r="G27" s="51">
        <v>75.010000000000005</v>
      </c>
      <c r="H27" s="51">
        <v>21.51</v>
      </c>
      <c r="I27" s="51">
        <v>7.46</v>
      </c>
      <c r="J27" s="51">
        <v>0.19</v>
      </c>
      <c r="K27" s="51">
        <v>179.23</v>
      </c>
      <c r="L27" s="51">
        <v>27.19</v>
      </c>
      <c r="M27" s="51">
        <v>79.69</v>
      </c>
      <c r="N27" s="51">
        <v>0</v>
      </c>
      <c r="O27" s="51">
        <v>0</v>
      </c>
      <c r="P27" s="51">
        <v>0.79</v>
      </c>
      <c r="Q27" s="51">
        <v>5.56</v>
      </c>
    </row>
    <row r="28" spans="1:17" customFormat="1">
      <c r="A28" s="50" t="s">
        <v>391</v>
      </c>
      <c r="B28" s="51">
        <v>11.2</v>
      </c>
      <c r="C28" s="51">
        <v>26.84</v>
      </c>
      <c r="D28" s="51">
        <v>24.32</v>
      </c>
      <c r="E28" s="51">
        <v>7.98</v>
      </c>
      <c r="F28" s="51">
        <v>3.98</v>
      </c>
      <c r="G28" s="51">
        <v>84.62</v>
      </c>
      <c r="H28" s="51">
        <v>21.73</v>
      </c>
      <c r="I28" s="51">
        <v>7.81</v>
      </c>
      <c r="J28" s="51">
        <v>0.14000000000000001</v>
      </c>
      <c r="K28" s="51">
        <v>231.92</v>
      </c>
      <c r="L28" s="51">
        <v>25.98</v>
      </c>
      <c r="M28" s="51">
        <v>81.33</v>
      </c>
      <c r="N28" s="51">
        <v>0</v>
      </c>
      <c r="O28" s="51">
        <v>0</v>
      </c>
      <c r="P28" s="51">
        <v>0.8</v>
      </c>
      <c r="Q28" s="51">
        <v>5.67</v>
      </c>
    </row>
    <row r="29" spans="1:17" customFormat="1">
      <c r="A29" s="50" t="s">
        <v>392</v>
      </c>
      <c r="B29" s="51">
        <v>11.13</v>
      </c>
      <c r="C29" s="51">
        <v>26.83</v>
      </c>
      <c r="D29" s="51">
        <v>24.21</v>
      </c>
      <c r="E29" s="51">
        <v>7.91</v>
      </c>
      <c r="F29" s="51">
        <v>2.9</v>
      </c>
      <c r="G29" s="51">
        <v>71.16</v>
      </c>
      <c r="H29" s="51">
        <v>21.86</v>
      </c>
      <c r="I29" s="51">
        <v>7.8</v>
      </c>
      <c r="J29" s="51">
        <v>0.19</v>
      </c>
      <c r="K29" s="51">
        <v>246.01</v>
      </c>
      <c r="L29" s="51">
        <v>25.51</v>
      </c>
      <c r="M29" s="51">
        <v>82.75</v>
      </c>
      <c r="N29" s="51">
        <v>0</v>
      </c>
      <c r="O29" s="51">
        <v>0</v>
      </c>
      <c r="P29" s="51">
        <v>0.82</v>
      </c>
      <c r="Q29" s="51">
        <v>5.74</v>
      </c>
    </row>
    <row r="30" spans="1:17" customFormat="1">
      <c r="A30" s="50" t="s">
        <v>393</v>
      </c>
      <c r="B30" s="51">
        <v>11.15</v>
      </c>
      <c r="C30" s="51">
        <v>28</v>
      </c>
      <c r="D30" s="51">
        <v>24.92</v>
      </c>
      <c r="E30" s="51">
        <v>8.0399999999999991</v>
      </c>
      <c r="F30" s="51">
        <v>2.63</v>
      </c>
      <c r="G30" s="51">
        <v>73.94</v>
      </c>
      <c r="H30" s="51">
        <v>21.55</v>
      </c>
      <c r="I30" s="51">
        <v>7.94</v>
      </c>
      <c r="J30" s="51">
        <v>0.3</v>
      </c>
      <c r="K30" s="51">
        <v>221.19</v>
      </c>
      <c r="L30" s="51">
        <v>25.28</v>
      </c>
      <c r="M30" s="51">
        <v>85.7</v>
      </c>
      <c r="N30" s="51">
        <v>0</v>
      </c>
      <c r="O30" s="51">
        <v>0</v>
      </c>
      <c r="P30" s="51">
        <v>0.87</v>
      </c>
      <c r="Q30" s="51">
        <v>5.78</v>
      </c>
    </row>
    <row r="31" spans="1:17" customFormat="1">
      <c r="A31" s="50" t="s">
        <v>394</v>
      </c>
      <c r="B31" s="51">
        <v>12.19</v>
      </c>
      <c r="C31" s="51">
        <v>29.47</v>
      </c>
      <c r="D31" s="51">
        <v>26.53</v>
      </c>
      <c r="E31" s="51">
        <v>8.4600000000000009</v>
      </c>
      <c r="F31" s="51">
        <v>2.48</v>
      </c>
      <c r="G31" s="51">
        <v>79.569999999999993</v>
      </c>
      <c r="H31" s="51">
        <v>24.19</v>
      </c>
      <c r="I31" s="51">
        <v>8.59</v>
      </c>
      <c r="J31" s="51">
        <v>0.2</v>
      </c>
      <c r="K31" s="51">
        <v>253.73</v>
      </c>
      <c r="L31" s="51">
        <v>24.75</v>
      </c>
      <c r="M31" s="51">
        <v>88.69</v>
      </c>
      <c r="N31" s="51">
        <v>0</v>
      </c>
      <c r="O31" s="51">
        <v>0</v>
      </c>
      <c r="P31" s="51">
        <v>0.98</v>
      </c>
      <c r="Q31" s="51">
        <v>5.8</v>
      </c>
    </row>
    <row r="32" spans="1:17" customFormat="1">
      <c r="A32" s="50" t="s">
        <v>395</v>
      </c>
      <c r="B32" s="51">
        <v>13.42</v>
      </c>
      <c r="C32" s="51">
        <v>29.91</v>
      </c>
      <c r="D32" s="51">
        <v>27.24</v>
      </c>
      <c r="E32" s="51">
        <v>8.69</v>
      </c>
      <c r="F32" s="51">
        <v>2.81</v>
      </c>
      <c r="G32" s="51">
        <v>88.5</v>
      </c>
      <c r="H32" s="51">
        <v>25.99</v>
      </c>
      <c r="I32" s="51">
        <v>9.2200000000000006</v>
      </c>
      <c r="J32" s="51">
        <v>0.2</v>
      </c>
      <c r="K32" s="51">
        <v>190.99</v>
      </c>
      <c r="L32" s="51">
        <v>24.79</v>
      </c>
      <c r="M32" s="51">
        <v>86.19</v>
      </c>
      <c r="N32" s="51">
        <v>0</v>
      </c>
      <c r="O32" s="51">
        <v>0</v>
      </c>
      <c r="P32" s="51">
        <v>1.03</v>
      </c>
      <c r="Q32" s="51">
        <v>5.79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4.9000000000000004</v>
      </c>
      <c r="C34" s="41">
        <f t="shared" si="0"/>
        <v>21.49</v>
      </c>
      <c r="D34" s="41">
        <f t="shared" si="0"/>
        <v>19.059999999999999</v>
      </c>
      <c r="E34" s="41">
        <f t="shared" si="0"/>
        <v>6.05</v>
      </c>
      <c r="F34" s="41">
        <f t="shared" si="0"/>
        <v>2.44</v>
      </c>
      <c r="G34" s="41">
        <f t="shared" si="0"/>
        <v>42.66</v>
      </c>
      <c r="H34" s="41">
        <f t="shared" si="0"/>
        <v>17.37</v>
      </c>
      <c r="I34" s="41">
        <f t="shared" si="0"/>
        <v>6.68</v>
      </c>
      <c r="J34" s="41">
        <f t="shared" si="0"/>
        <v>0.08</v>
      </c>
      <c r="K34" s="41">
        <f t="shared" si="0"/>
        <v>41.48</v>
      </c>
      <c r="L34" s="41">
        <f t="shared" si="0"/>
        <v>24.32</v>
      </c>
      <c r="M34" s="41">
        <f t="shared" si="0"/>
        <v>37.36</v>
      </c>
      <c r="N34" s="41">
        <f t="shared" si="0"/>
        <v>0</v>
      </c>
      <c r="O34" s="41">
        <f t="shared" si="0"/>
        <v>0</v>
      </c>
      <c r="P34" s="41">
        <f t="shared" si="0"/>
        <v>0.68</v>
      </c>
      <c r="Q34" s="41">
        <f t="shared" si="0"/>
        <v>5.1100000000000003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15.38</v>
      </c>
      <c r="C35" s="33">
        <f t="shared" si="1"/>
        <v>29.91</v>
      </c>
      <c r="D35" s="33">
        <f t="shared" si="1"/>
        <v>27.24</v>
      </c>
      <c r="E35" s="33">
        <f t="shared" si="1"/>
        <v>10.5</v>
      </c>
      <c r="F35" s="33">
        <f t="shared" si="1"/>
        <v>18.87</v>
      </c>
      <c r="G35" s="33">
        <f t="shared" si="1"/>
        <v>89.1</v>
      </c>
      <c r="H35" s="33">
        <f t="shared" si="1"/>
        <v>33.68</v>
      </c>
      <c r="I35" s="33">
        <f t="shared" si="1"/>
        <v>9.6199999999999992</v>
      </c>
      <c r="J35" s="33">
        <f t="shared" si="1"/>
        <v>0.78</v>
      </c>
      <c r="K35" s="33">
        <f t="shared" si="1"/>
        <v>327.16000000000003</v>
      </c>
      <c r="L35" s="33">
        <f t="shared" si="1"/>
        <v>33.9</v>
      </c>
      <c r="M35" s="33">
        <f t="shared" si="1"/>
        <v>94.4</v>
      </c>
      <c r="N35" s="33">
        <f t="shared" si="1"/>
        <v>686</v>
      </c>
      <c r="O35" s="33">
        <f t="shared" si="1"/>
        <v>0</v>
      </c>
      <c r="P35" s="33">
        <f t="shared" si="1"/>
        <v>1.03</v>
      </c>
      <c r="Q35" s="33">
        <f t="shared" si="1"/>
        <v>5.8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10.663333333333332</v>
      </c>
      <c r="C36" s="41">
        <f t="shared" si="2"/>
        <v>25.783333333333335</v>
      </c>
      <c r="D36" s="41">
        <f t="shared" si="2"/>
        <v>23.110833333333332</v>
      </c>
      <c r="E36" s="41">
        <f t="shared" si="2"/>
        <v>7.742916666666666</v>
      </c>
      <c r="F36" s="41">
        <f t="shared" si="2"/>
        <v>6.0029166666666667</v>
      </c>
      <c r="G36" s="41">
        <f t="shared" si="2"/>
        <v>67.613749999999996</v>
      </c>
      <c r="H36" s="41">
        <f t="shared" si="2"/>
        <v>22.878333333333341</v>
      </c>
      <c r="I36" s="41">
        <f t="shared" si="2"/>
        <v>7.9670833333333348</v>
      </c>
      <c r="J36" s="41">
        <f t="shared" si="2"/>
        <v>0.29541666666666666</v>
      </c>
      <c r="K36" s="41">
        <f t="shared" si="2"/>
        <v>191.8770833333333</v>
      </c>
      <c r="L36" s="41">
        <f t="shared" si="2"/>
        <v>28.092083333333331</v>
      </c>
      <c r="M36" s="41">
        <f t="shared" si="2"/>
        <v>75.484166666666667</v>
      </c>
      <c r="N36" s="41">
        <f t="shared" si="2"/>
        <v>161.04999999999998</v>
      </c>
      <c r="O36" s="41">
        <f t="shared" si="2"/>
        <v>0</v>
      </c>
      <c r="P36" s="41">
        <f t="shared" si="2"/>
        <v>0.82875000000000021</v>
      </c>
      <c r="Q36" s="41">
        <f t="shared" si="2"/>
        <v>5.4899999999999993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3.1284357345049556</v>
      </c>
      <c r="C37" s="41">
        <f t="shared" ref="C37:Q37" si="3">STDEV(C9:C32)</f>
        <v>2.2978584863277192</v>
      </c>
      <c r="D37" s="41">
        <f t="shared" si="3"/>
        <v>2.2530923998626613</v>
      </c>
      <c r="E37" s="41">
        <f t="shared" si="3"/>
        <v>1.2131793629413063</v>
      </c>
      <c r="F37" s="41">
        <f t="shared" si="3"/>
        <v>4.7392252890720137</v>
      </c>
      <c r="G37" s="41">
        <f t="shared" si="3"/>
        <v>15.012318945076265</v>
      </c>
      <c r="H37" s="41">
        <f t="shared" si="3"/>
        <v>3.7732383354661727</v>
      </c>
      <c r="I37" s="41">
        <f t="shared" si="3"/>
        <v>0.78272366808451166</v>
      </c>
      <c r="J37" s="41">
        <f t="shared" si="3"/>
        <v>0.18457893720024238</v>
      </c>
      <c r="K37" s="41">
        <f t="shared" si="3"/>
        <v>89.427240742266946</v>
      </c>
      <c r="L37" s="41">
        <f t="shared" si="3"/>
        <v>3.4762073025274156</v>
      </c>
      <c r="M37" s="41">
        <f t="shared" si="3"/>
        <v>18.361040019010606</v>
      </c>
      <c r="N37" s="41">
        <f t="shared" si="3"/>
        <v>236.80248419672282</v>
      </c>
      <c r="O37" s="41">
        <f t="shared" si="3"/>
        <v>0</v>
      </c>
      <c r="P37" s="41">
        <f t="shared" si="3"/>
        <v>9.7682382373110624E-2</v>
      </c>
      <c r="Q37" s="41">
        <f t="shared" si="3"/>
        <v>0.22921415845184351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2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396</v>
      </c>
      <c r="B9" s="51">
        <v>13.83</v>
      </c>
      <c r="C9" s="51">
        <v>25.62</v>
      </c>
      <c r="D9" s="51">
        <v>25.61</v>
      </c>
      <c r="E9" s="51">
        <v>7.8</v>
      </c>
      <c r="F9" s="51">
        <v>3.15</v>
      </c>
      <c r="G9" s="51">
        <v>82.54</v>
      </c>
      <c r="H9" s="51">
        <v>24.72</v>
      </c>
      <c r="I9" s="51">
        <v>9.2899999999999991</v>
      </c>
      <c r="J9" s="51">
        <v>0.09</v>
      </c>
      <c r="K9" s="51">
        <v>198.22</v>
      </c>
      <c r="L9" s="51">
        <v>24.6</v>
      </c>
      <c r="M9" s="51">
        <v>90.21</v>
      </c>
      <c r="N9" s="51">
        <v>0</v>
      </c>
      <c r="O9" s="51">
        <v>0</v>
      </c>
      <c r="P9" s="51">
        <v>1</v>
      </c>
      <c r="Q9" s="51">
        <v>5.71</v>
      </c>
    </row>
    <row r="10" spans="1:21" customFormat="1">
      <c r="A10" s="50" t="s">
        <v>397</v>
      </c>
      <c r="B10" s="51">
        <v>14.86</v>
      </c>
      <c r="C10" s="51">
        <v>25.73</v>
      </c>
      <c r="D10" s="51">
        <v>26.42</v>
      </c>
      <c r="E10" s="51">
        <v>8.4</v>
      </c>
      <c r="F10" s="51">
        <v>3.24</v>
      </c>
      <c r="G10" s="51">
        <v>75.69</v>
      </c>
      <c r="H10" s="51">
        <v>26.95</v>
      </c>
      <c r="I10" s="51">
        <v>9.25</v>
      </c>
      <c r="J10" s="51">
        <v>0.22</v>
      </c>
      <c r="K10" s="51">
        <v>210.75</v>
      </c>
      <c r="L10" s="51">
        <v>24.24</v>
      </c>
      <c r="M10" s="51">
        <v>93.35</v>
      </c>
      <c r="N10" s="51">
        <v>0</v>
      </c>
      <c r="O10" s="51">
        <v>0</v>
      </c>
      <c r="P10" s="51">
        <v>0.98</v>
      </c>
      <c r="Q10" s="51">
        <v>5.69</v>
      </c>
    </row>
    <row r="11" spans="1:21" customFormat="1">
      <c r="A11" s="50" t="s">
        <v>398</v>
      </c>
      <c r="B11" s="51">
        <v>15.55</v>
      </c>
      <c r="C11" s="51">
        <v>24.8</v>
      </c>
      <c r="D11" s="51">
        <v>26.49</v>
      </c>
      <c r="E11" s="51">
        <v>7.77</v>
      </c>
      <c r="F11" s="51">
        <v>3.14</v>
      </c>
      <c r="G11" s="51">
        <v>67.16</v>
      </c>
      <c r="H11" s="51">
        <v>26.36</v>
      </c>
      <c r="I11" s="51">
        <v>9.18</v>
      </c>
      <c r="J11" s="51">
        <v>0.13</v>
      </c>
      <c r="K11" s="51">
        <v>241.06</v>
      </c>
      <c r="L11" s="51">
        <v>24.06</v>
      </c>
      <c r="M11" s="51">
        <v>93.78</v>
      </c>
      <c r="N11" s="51">
        <v>0</v>
      </c>
      <c r="O11" s="51">
        <v>0</v>
      </c>
      <c r="P11" s="51">
        <v>0.96</v>
      </c>
      <c r="Q11" s="51">
        <v>5.7</v>
      </c>
    </row>
    <row r="12" spans="1:21" customFormat="1">
      <c r="A12" s="50" t="s">
        <v>399</v>
      </c>
      <c r="B12" s="51">
        <v>16.09</v>
      </c>
      <c r="C12" s="51">
        <v>24.28</v>
      </c>
      <c r="D12" s="51">
        <v>26.74</v>
      </c>
      <c r="E12" s="51">
        <v>7.89</v>
      </c>
      <c r="F12" s="51">
        <v>3.1</v>
      </c>
      <c r="G12" s="51">
        <v>63.13</v>
      </c>
      <c r="H12" s="51">
        <v>24.86</v>
      </c>
      <c r="I12" s="51">
        <v>9</v>
      </c>
      <c r="J12" s="51">
        <v>0.1</v>
      </c>
      <c r="K12" s="51">
        <v>277.22000000000003</v>
      </c>
      <c r="L12" s="51">
        <v>24.15</v>
      </c>
      <c r="M12" s="51">
        <v>95.24</v>
      </c>
      <c r="N12" s="51">
        <v>0</v>
      </c>
      <c r="O12" s="51">
        <v>0</v>
      </c>
      <c r="P12" s="51">
        <v>0.95</v>
      </c>
      <c r="Q12" s="51">
        <v>5.74</v>
      </c>
    </row>
    <row r="13" spans="1:21" customFormat="1">
      <c r="A13" s="50" t="s">
        <v>400</v>
      </c>
      <c r="B13" s="51">
        <v>16.16</v>
      </c>
      <c r="C13" s="51">
        <v>24.52</v>
      </c>
      <c r="D13" s="51">
        <v>27.01</v>
      </c>
      <c r="E13" s="51">
        <v>7.88</v>
      </c>
      <c r="F13" s="51">
        <v>2.74</v>
      </c>
      <c r="G13" s="51">
        <v>59.39</v>
      </c>
      <c r="H13" s="51">
        <v>24</v>
      </c>
      <c r="I13" s="51">
        <v>8.7799999999999994</v>
      </c>
      <c r="J13" s="51">
        <v>0.19</v>
      </c>
      <c r="K13" s="51">
        <v>237.2</v>
      </c>
      <c r="L13" s="51">
        <v>24.11</v>
      </c>
      <c r="M13" s="51">
        <v>92.46</v>
      </c>
      <c r="N13" s="51">
        <v>0</v>
      </c>
      <c r="O13" s="51">
        <v>0</v>
      </c>
      <c r="P13" s="51">
        <v>0.92</v>
      </c>
      <c r="Q13" s="51">
        <v>5.73</v>
      </c>
    </row>
    <row r="14" spans="1:21" customFormat="1">
      <c r="A14" s="50" t="s">
        <v>401</v>
      </c>
      <c r="B14" s="51">
        <v>15.08</v>
      </c>
      <c r="C14" s="51">
        <v>26.2</v>
      </c>
      <c r="D14" s="51">
        <v>26.69</v>
      </c>
      <c r="E14" s="51">
        <v>7.72</v>
      </c>
      <c r="F14" s="51">
        <v>2.56</v>
      </c>
      <c r="G14" s="51">
        <v>54.28</v>
      </c>
      <c r="H14" s="51">
        <v>23.12</v>
      </c>
      <c r="I14" s="51">
        <v>8.5399999999999991</v>
      </c>
      <c r="J14" s="51">
        <v>0.16</v>
      </c>
      <c r="K14" s="51">
        <v>186.85</v>
      </c>
      <c r="L14" s="51">
        <v>24.18</v>
      </c>
      <c r="M14" s="51">
        <v>92.72</v>
      </c>
      <c r="N14" s="51">
        <v>0</v>
      </c>
      <c r="O14" s="51">
        <v>0</v>
      </c>
      <c r="P14" s="51">
        <v>0.9</v>
      </c>
      <c r="Q14" s="51">
        <v>5.7</v>
      </c>
    </row>
    <row r="15" spans="1:21" customFormat="1">
      <c r="A15" s="50" t="s">
        <v>402</v>
      </c>
      <c r="B15" s="51">
        <v>13.96</v>
      </c>
      <c r="C15" s="51">
        <v>26.4</v>
      </c>
      <c r="D15" s="51">
        <v>26.34</v>
      </c>
      <c r="E15" s="51">
        <v>8.17</v>
      </c>
      <c r="F15" s="51">
        <v>2.63</v>
      </c>
      <c r="G15" s="51">
        <v>47.62</v>
      </c>
      <c r="H15" s="51">
        <v>21.8</v>
      </c>
      <c r="I15" s="51">
        <v>8</v>
      </c>
      <c r="J15" s="51">
        <v>0.22</v>
      </c>
      <c r="K15" s="51">
        <v>167.5</v>
      </c>
      <c r="L15" s="51">
        <v>24.2</v>
      </c>
      <c r="M15" s="51">
        <v>93.63</v>
      </c>
      <c r="N15" s="51">
        <v>38.5</v>
      </c>
      <c r="O15" s="51">
        <v>0</v>
      </c>
      <c r="P15" s="51">
        <v>0.83</v>
      </c>
      <c r="Q15" s="51">
        <v>5.68</v>
      </c>
    </row>
    <row r="16" spans="1:21" customFormat="1">
      <c r="A16" s="50" t="s">
        <v>403</v>
      </c>
      <c r="B16" s="51">
        <v>13.36</v>
      </c>
      <c r="C16" s="51">
        <v>26.91</v>
      </c>
      <c r="D16" s="51">
        <v>26.12</v>
      </c>
      <c r="E16" s="51">
        <v>8.2200000000000006</v>
      </c>
      <c r="F16" s="51">
        <v>2.63</v>
      </c>
      <c r="G16" s="51">
        <v>44.99</v>
      </c>
      <c r="H16" s="51">
        <v>21.07</v>
      </c>
      <c r="I16" s="51">
        <v>7.6</v>
      </c>
      <c r="J16" s="51">
        <v>0.26</v>
      </c>
      <c r="K16" s="51">
        <v>251.25</v>
      </c>
      <c r="L16" s="51">
        <v>26.97</v>
      </c>
      <c r="M16" s="51">
        <v>89.52</v>
      </c>
      <c r="N16" s="51">
        <v>223.5</v>
      </c>
      <c r="O16" s="51">
        <v>0</v>
      </c>
      <c r="P16" s="51">
        <v>0.8</v>
      </c>
      <c r="Q16" s="51">
        <v>5.69</v>
      </c>
    </row>
    <row r="17" spans="1:17" customFormat="1">
      <c r="A17" s="50" t="s">
        <v>404</v>
      </c>
      <c r="B17" s="51">
        <v>12.52</v>
      </c>
      <c r="C17" s="51">
        <v>27.06</v>
      </c>
      <c r="D17" s="51">
        <v>25.44</v>
      </c>
      <c r="E17" s="51">
        <v>8.31</v>
      </c>
      <c r="F17" s="51">
        <v>2.87</v>
      </c>
      <c r="G17" s="51">
        <v>45.92</v>
      </c>
      <c r="H17" s="51">
        <v>17.940000000000001</v>
      </c>
      <c r="I17" s="51">
        <v>7.55</v>
      </c>
      <c r="J17" s="51">
        <v>0.31</v>
      </c>
      <c r="K17" s="51">
        <v>248.69</v>
      </c>
      <c r="L17" s="51">
        <v>29.65</v>
      </c>
      <c r="M17" s="51">
        <v>73.930000000000007</v>
      </c>
      <c r="N17" s="51">
        <v>409</v>
      </c>
      <c r="O17" s="51">
        <v>0</v>
      </c>
      <c r="P17" s="51">
        <v>0.8</v>
      </c>
      <c r="Q17" s="51">
        <v>5.63</v>
      </c>
    </row>
    <row r="18" spans="1:17" customFormat="1">
      <c r="A18" s="50" t="s">
        <v>405</v>
      </c>
      <c r="B18" s="51">
        <v>9.98</v>
      </c>
      <c r="C18" s="51">
        <v>28.29</v>
      </c>
      <c r="D18" s="51">
        <v>23.44</v>
      </c>
      <c r="E18" s="51">
        <v>8.43</v>
      </c>
      <c r="F18" s="51">
        <v>3.62</v>
      </c>
      <c r="G18" s="51">
        <v>42.98</v>
      </c>
      <c r="H18" s="51">
        <v>19.27</v>
      </c>
      <c r="I18" s="51">
        <v>7.23</v>
      </c>
      <c r="J18" s="51">
        <v>0.24</v>
      </c>
      <c r="K18" s="51">
        <v>245.04</v>
      </c>
      <c r="L18" s="51">
        <v>31.12</v>
      </c>
      <c r="M18" s="51">
        <v>63.74</v>
      </c>
      <c r="N18" s="51">
        <v>530.1</v>
      </c>
      <c r="O18" s="51">
        <v>0</v>
      </c>
      <c r="P18" s="51">
        <v>0.75</v>
      </c>
      <c r="Q18" s="51">
        <v>5.52</v>
      </c>
    </row>
    <row r="19" spans="1:17" customFormat="1">
      <c r="A19" s="50" t="s">
        <v>406</v>
      </c>
      <c r="B19" s="51">
        <v>7.59</v>
      </c>
      <c r="C19" s="51">
        <v>23.05</v>
      </c>
      <c r="D19" s="51">
        <v>19.48</v>
      </c>
      <c r="E19" s="51">
        <v>8.2100000000000009</v>
      </c>
      <c r="F19" s="51">
        <v>17.43</v>
      </c>
      <c r="G19" s="51">
        <v>38.799999999999997</v>
      </c>
      <c r="H19" s="51">
        <v>19.63</v>
      </c>
      <c r="I19" s="51">
        <v>6.89</v>
      </c>
      <c r="J19" s="51">
        <v>0.4</v>
      </c>
      <c r="K19" s="51">
        <v>264.43</v>
      </c>
      <c r="L19" s="51">
        <v>32.11</v>
      </c>
      <c r="M19" s="51">
        <v>57.41</v>
      </c>
      <c r="N19" s="51">
        <v>637.70000000000005</v>
      </c>
      <c r="O19" s="51">
        <v>0</v>
      </c>
      <c r="P19" s="51">
        <v>0.68</v>
      </c>
      <c r="Q19" s="51">
        <v>5.33</v>
      </c>
    </row>
    <row r="20" spans="1:17" customFormat="1">
      <c r="A20" s="50" t="s">
        <v>407</v>
      </c>
      <c r="B20" s="51">
        <v>4.26</v>
      </c>
      <c r="C20" s="51">
        <v>17.87</v>
      </c>
      <c r="D20" s="51">
        <v>13.76</v>
      </c>
      <c r="E20" s="51">
        <v>8.0399999999999991</v>
      </c>
      <c r="F20" s="51">
        <v>21.59</v>
      </c>
      <c r="G20" s="51">
        <v>39.24</v>
      </c>
      <c r="H20" s="51">
        <v>15.2</v>
      </c>
      <c r="I20" s="51">
        <v>6.68</v>
      </c>
      <c r="J20" s="51">
        <v>0.32</v>
      </c>
      <c r="K20" s="51">
        <v>290.89</v>
      </c>
      <c r="L20" s="51">
        <v>32.979999999999997</v>
      </c>
      <c r="M20" s="51">
        <v>49.4</v>
      </c>
      <c r="N20" s="51">
        <v>695.5</v>
      </c>
      <c r="O20" s="51">
        <v>0</v>
      </c>
      <c r="P20" s="51">
        <v>0.55000000000000004</v>
      </c>
      <c r="Q20" s="51">
        <v>4.97</v>
      </c>
    </row>
    <row r="21" spans="1:17" customFormat="1">
      <c r="A21" s="50" t="s">
        <v>408</v>
      </c>
      <c r="B21" s="51">
        <v>5.0199999999999996</v>
      </c>
      <c r="C21" s="51">
        <v>19.91</v>
      </c>
      <c r="D21" s="51">
        <v>15.78</v>
      </c>
      <c r="E21" s="51">
        <v>5.74</v>
      </c>
      <c r="F21" s="51">
        <v>7.44</v>
      </c>
      <c r="G21" s="51">
        <v>40.020000000000003</v>
      </c>
      <c r="H21" s="51">
        <v>17.87</v>
      </c>
      <c r="I21" s="51">
        <v>6.38</v>
      </c>
      <c r="J21" s="51">
        <v>0.3</v>
      </c>
      <c r="K21" s="51">
        <v>235</v>
      </c>
      <c r="L21" s="51">
        <v>34.21</v>
      </c>
      <c r="M21" s="51">
        <v>46.6</v>
      </c>
      <c r="N21" s="51">
        <v>679.7</v>
      </c>
      <c r="O21" s="51">
        <v>0</v>
      </c>
      <c r="P21" s="51">
        <v>0.52</v>
      </c>
      <c r="Q21" s="51">
        <v>4.97</v>
      </c>
    </row>
    <row r="22" spans="1:17" customFormat="1">
      <c r="A22" s="50" t="s">
        <v>409</v>
      </c>
      <c r="B22" s="51">
        <v>5.78</v>
      </c>
      <c r="C22" s="51">
        <v>20.85</v>
      </c>
      <c r="D22" s="51">
        <v>16.809999999999999</v>
      </c>
      <c r="E22" s="51">
        <v>6.75</v>
      </c>
      <c r="F22" s="51">
        <v>9.09</v>
      </c>
      <c r="G22" s="51">
        <v>38.6</v>
      </c>
      <c r="H22" s="51">
        <v>16.399999999999999</v>
      </c>
      <c r="I22" s="51">
        <v>6.07</v>
      </c>
      <c r="J22" s="51">
        <v>0.21</v>
      </c>
      <c r="K22" s="51">
        <v>193.18</v>
      </c>
      <c r="L22" s="51">
        <v>33.69</v>
      </c>
      <c r="M22" s="51">
        <v>53.35</v>
      </c>
      <c r="N22" s="51">
        <v>325.3</v>
      </c>
      <c r="O22" s="51">
        <v>0</v>
      </c>
      <c r="P22" s="51">
        <v>0.51</v>
      </c>
      <c r="Q22" s="51">
        <v>4.99</v>
      </c>
    </row>
    <row r="23" spans="1:17" customFormat="1">
      <c r="A23" s="50" t="s">
        <v>410</v>
      </c>
      <c r="B23" s="51">
        <v>5.82</v>
      </c>
      <c r="C23" s="51">
        <v>21.42</v>
      </c>
      <c r="D23" s="51">
        <v>17.16</v>
      </c>
      <c r="E23" s="51">
        <v>6.41</v>
      </c>
      <c r="F23" s="51">
        <v>7.61</v>
      </c>
      <c r="G23" s="51">
        <v>35</v>
      </c>
      <c r="H23" s="51">
        <v>14.91</v>
      </c>
      <c r="I23" s="51">
        <v>6.06</v>
      </c>
      <c r="J23" s="51">
        <v>0.23</v>
      </c>
      <c r="K23" s="51">
        <v>204.9</v>
      </c>
      <c r="L23" s="51">
        <v>30.71</v>
      </c>
      <c r="M23" s="51">
        <v>58.6</v>
      </c>
      <c r="N23" s="51">
        <v>132</v>
      </c>
      <c r="O23" s="51">
        <v>0</v>
      </c>
      <c r="P23" s="51">
        <v>0.47</v>
      </c>
      <c r="Q23" s="51">
        <v>5.04</v>
      </c>
    </row>
    <row r="24" spans="1:17" customFormat="1">
      <c r="A24" s="50" t="s">
        <v>411</v>
      </c>
      <c r="B24" s="51">
        <v>6.74</v>
      </c>
      <c r="C24" s="51">
        <v>21.43</v>
      </c>
      <c r="D24" s="51">
        <v>17.86</v>
      </c>
      <c r="E24" s="51">
        <v>7.25</v>
      </c>
      <c r="F24" s="51">
        <v>8.41</v>
      </c>
      <c r="G24" s="51">
        <v>34.880000000000003</v>
      </c>
      <c r="H24" s="51">
        <v>17.88</v>
      </c>
      <c r="I24" s="51">
        <v>6.07</v>
      </c>
      <c r="J24" s="51">
        <v>0.26</v>
      </c>
      <c r="K24" s="51">
        <v>175.2</v>
      </c>
      <c r="L24" s="51">
        <v>30.18</v>
      </c>
      <c r="M24" s="51">
        <v>58.57</v>
      </c>
      <c r="N24" s="51">
        <v>86.8</v>
      </c>
      <c r="O24" s="51">
        <v>0</v>
      </c>
      <c r="P24" s="51">
        <v>0.47</v>
      </c>
      <c r="Q24" s="51">
        <v>5.08</v>
      </c>
    </row>
    <row r="25" spans="1:17" customFormat="1">
      <c r="A25" s="50" t="s">
        <v>412</v>
      </c>
      <c r="B25" s="51">
        <v>7.11</v>
      </c>
      <c r="C25" s="51">
        <v>21.5</v>
      </c>
      <c r="D25" s="51">
        <v>18.23</v>
      </c>
      <c r="E25" s="51">
        <v>7.76</v>
      </c>
      <c r="F25" s="51">
        <v>9.06</v>
      </c>
      <c r="G25" s="51">
        <v>37.53</v>
      </c>
      <c r="H25" s="51">
        <v>17.07</v>
      </c>
      <c r="I25" s="51">
        <v>5.74</v>
      </c>
      <c r="J25" s="51">
        <v>0.27</v>
      </c>
      <c r="K25" s="51">
        <v>167.65</v>
      </c>
      <c r="L25" s="51">
        <v>30.23</v>
      </c>
      <c r="M25" s="51">
        <v>63.6</v>
      </c>
      <c r="N25" s="51">
        <v>66.400000000000006</v>
      </c>
      <c r="O25" s="51">
        <v>0</v>
      </c>
      <c r="P25" s="51">
        <v>0.47</v>
      </c>
      <c r="Q25" s="51">
        <v>5.19</v>
      </c>
    </row>
    <row r="26" spans="1:17" customFormat="1">
      <c r="A26" s="50" t="s">
        <v>413</v>
      </c>
      <c r="B26" s="51">
        <v>7.87</v>
      </c>
      <c r="C26" s="51">
        <v>22.61</v>
      </c>
      <c r="D26" s="51">
        <v>19.34</v>
      </c>
      <c r="E26" s="51">
        <v>7.88</v>
      </c>
      <c r="F26" s="51">
        <v>6.49</v>
      </c>
      <c r="G26" s="51">
        <v>35.83</v>
      </c>
      <c r="H26" s="51">
        <v>17.899999999999999</v>
      </c>
      <c r="I26" s="51">
        <v>4.5999999999999996</v>
      </c>
      <c r="J26" s="51">
        <v>0.25</v>
      </c>
      <c r="K26" s="51">
        <v>201.98</v>
      </c>
      <c r="L26" s="51">
        <v>29.3</v>
      </c>
      <c r="M26" s="51">
        <v>72.11</v>
      </c>
      <c r="N26" s="51">
        <v>10.6</v>
      </c>
      <c r="O26" s="51">
        <v>0</v>
      </c>
      <c r="P26" s="51">
        <v>0.48</v>
      </c>
      <c r="Q26" s="51">
        <v>5.28</v>
      </c>
    </row>
    <row r="27" spans="1:17" customFormat="1">
      <c r="A27" s="50" t="s">
        <v>414</v>
      </c>
      <c r="B27" s="51">
        <v>8.74</v>
      </c>
      <c r="C27" s="51">
        <v>23.14</v>
      </c>
      <c r="D27" s="51">
        <v>20.45</v>
      </c>
      <c r="E27" s="51">
        <v>5.61</v>
      </c>
      <c r="F27" s="51">
        <v>4.62</v>
      </c>
      <c r="G27" s="51">
        <v>39.770000000000003</v>
      </c>
      <c r="H27" s="51">
        <v>17.78</v>
      </c>
      <c r="I27" s="51">
        <v>4.4800000000000004</v>
      </c>
      <c r="J27" s="51">
        <v>0.18</v>
      </c>
      <c r="K27" s="51">
        <v>187.82</v>
      </c>
      <c r="L27" s="51">
        <v>27.46</v>
      </c>
      <c r="M27" s="51">
        <v>76.819999999999993</v>
      </c>
      <c r="N27" s="51">
        <v>0</v>
      </c>
      <c r="O27" s="51">
        <v>0</v>
      </c>
      <c r="P27" s="51">
        <v>0.51</v>
      </c>
      <c r="Q27" s="51">
        <v>5.35</v>
      </c>
    </row>
    <row r="28" spans="1:17" customFormat="1">
      <c r="A28" s="50" t="s">
        <v>415</v>
      </c>
      <c r="B28" s="51">
        <v>9.98</v>
      </c>
      <c r="C28" s="51">
        <v>23.74</v>
      </c>
      <c r="D28" s="51">
        <v>21.11</v>
      </c>
      <c r="E28" s="51">
        <v>5.32</v>
      </c>
      <c r="F28" s="51">
        <v>4.01</v>
      </c>
      <c r="G28" s="51">
        <v>41.75</v>
      </c>
      <c r="H28" s="51">
        <v>15.51</v>
      </c>
      <c r="I28" s="51">
        <v>5.53</v>
      </c>
      <c r="J28" s="51">
        <v>0.14000000000000001</v>
      </c>
      <c r="K28" s="51">
        <v>196.6</v>
      </c>
      <c r="L28" s="51">
        <v>26.45</v>
      </c>
      <c r="M28" s="51">
        <v>81.260000000000005</v>
      </c>
      <c r="N28" s="51">
        <v>0</v>
      </c>
      <c r="O28" s="51">
        <v>0</v>
      </c>
      <c r="P28" s="51">
        <v>0.52</v>
      </c>
      <c r="Q28" s="51">
        <v>5.34</v>
      </c>
    </row>
    <row r="29" spans="1:17" customFormat="1">
      <c r="A29" s="50" t="s">
        <v>416</v>
      </c>
      <c r="B29" s="51">
        <v>10.85</v>
      </c>
      <c r="C29" s="51">
        <v>20.239999999999998</v>
      </c>
      <c r="D29" s="51">
        <v>20.29</v>
      </c>
      <c r="E29" s="51">
        <v>5.0599999999999996</v>
      </c>
      <c r="F29" s="51">
        <v>3.3</v>
      </c>
      <c r="G29" s="51">
        <v>42.02</v>
      </c>
      <c r="H29" s="51">
        <v>16.350000000000001</v>
      </c>
      <c r="I29" s="51">
        <v>5.71</v>
      </c>
      <c r="J29" s="51">
        <v>0.18</v>
      </c>
      <c r="K29" s="51">
        <v>200.69</v>
      </c>
      <c r="L29" s="51">
        <v>25.63</v>
      </c>
      <c r="M29" s="51">
        <v>84.31</v>
      </c>
      <c r="N29" s="51">
        <v>0</v>
      </c>
      <c r="O29" s="51">
        <v>0</v>
      </c>
      <c r="P29" s="51">
        <v>0.5</v>
      </c>
      <c r="Q29" s="51">
        <v>5.25</v>
      </c>
    </row>
    <row r="30" spans="1:17" customFormat="1">
      <c r="A30" s="50" t="s">
        <v>417</v>
      </c>
      <c r="B30" s="51">
        <v>12.43</v>
      </c>
      <c r="C30" s="51">
        <v>22.38</v>
      </c>
      <c r="D30" s="51">
        <v>22.66</v>
      </c>
      <c r="E30" s="51">
        <v>5.66</v>
      </c>
      <c r="F30" s="51">
        <v>2.77</v>
      </c>
      <c r="G30" s="51">
        <v>43.06</v>
      </c>
      <c r="H30" s="51">
        <v>16.61</v>
      </c>
      <c r="I30" s="51">
        <v>6.02</v>
      </c>
      <c r="J30" s="51">
        <v>0.19</v>
      </c>
      <c r="K30" s="51">
        <v>248.51</v>
      </c>
      <c r="L30" s="51">
        <v>24.96</v>
      </c>
      <c r="M30" s="51">
        <v>88.32</v>
      </c>
      <c r="N30" s="51">
        <v>0</v>
      </c>
      <c r="O30" s="51">
        <v>0</v>
      </c>
      <c r="P30" s="51">
        <v>0.56999999999999995</v>
      </c>
      <c r="Q30" s="51">
        <v>5.33</v>
      </c>
    </row>
    <row r="31" spans="1:17" customFormat="1">
      <c r="A31" s="50" t="s">
        <v>418</v>
      </c>
      <c r="B31" s="51">
        <v>13.85</v>
      </c>
      <c r="C31" s="51">
        <v>22.6</v>
      </c>
      <c r="D31" s="51">
        <v>24</v>
      </c>
      <c r="E31" s="51">
        <v>5.47</v>
      </c>
      <c r="F31" s="51">
        <v>2.72</v>
      </c>
      <c r="G31" s="51">
        <v>45.43</v>
      </c>
      <c r="H31" s="51">
        <v>17.96</v>
      </c>
      <c r="I31" s="51">
        <v>6.35</v>
      </c>
      <c r="J31" s="51">
        <v>0.15</v>
      </c>
      <c r="K31" s="51">
        <v>216.64</v>
      </c>
      <c r="L31" s="51">
        <v>24.3</v>
      </c>
      <c r="M31" s="51">
        <v>89.42</v>
      </c>
      <c r="N31" s="51">
        <v>0</v>
      </c>
      <c r="O31" s="51">
        <v>0</v>
      </c>
      <c r="P31" s="51">
        <v>0.6</v>
      </c>
      <c r="Q31" s="51">
        <v>5.42</v>
      </c>
    </row>
    <row r="32" spans="1:17" customFormat="1">
      <c r="A32" s="50" t="s">
        <v>419</v>
      </c>
      <c r="B32" s="51">
        <v>14.88</v>
      </c>
      <c r="C32" s="51">
        <v>22.94</v>
      </c>
      <c r="D32" s="51">
        <v>24.96</v>
      </c>
      <c r="E32" s="51">
        <v>5.75</v>
      </c>
      <c r="F32" s="51">
        <v>2.7</v>
      </c>
      <c r="G32" s="51">
        <v>51.11</v>
      </c>
      <c r="H32" s="51">
        <v>21.02</v>
      </c>
      <c r="I32" s="51">
        <v>6.53</v>
      </c>
      <c r="J32" s="51">
        <v>0.12</v>
      </c>
      <c r="K32" s="51">
        <v>238.17</v>
      </c>
      <c r="L32" s="51">
        <v>23.89</v>
      </c>
      <c r="M32" s="51">
        <v>89.47</v>
      </c>
      <c r="N32" s="51">
        <v>0</v>
      </c>
      <c r="O32" s="51">
        <v>0</v>
      </c>
      <c r="P32" s="51">
        <v>0.62</v>
      </c>
      <c r="Q32" s="51">
        <v>5.46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4.26</v>
      </c>
      <c r="C34" s="41">
        <f t="shared" si="0"/>
        <v>17.87</v>
      </c>
      <c r="D34" s="41">
        <f t="shared" si="0"/>
        <v>13.76</v>
      </c>
      <c r="E34" s="41">
        <f t="shared" si="0"/>
        <v>5.0599999999999996</v>
      </c>
      <c r="F34" s="41">
        <f t="shared" si="0"/>
        <v>2.56</v>
      </c>
      <c r="G34" s="41">
        <f t="shared" si="0"/>
        <v>34.880000000000003</v>
      </c>
      <c r="H34" s="41">
        <f t="shared" si="0"/>
        <v>14.91</v>
      </c>
      <c r="I34" s="41">
        <f t="shared" si="0"/>
        <v>4.4800000000000004</v>
      </c>
      <c r="J34" s="41">
        <f t="shared" si="0"/>
        <v>0.09</v>
      </c>
      <c r="K34" s="41">
        <f t="shared" si="0"/>
        <v>167.5</v>
      </c>
      <c r="L34" s="41">
        <f t="shared" si="0"/>
        <v>23.89</v>
      </c>
      <c r="M34" s="41">
        <f t="shared" si="0"/>
        <v>46.6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16.16</v>
      </c>
      <c r="C35" s="33">
        <f t="shared" si="1"/>
        <v>28.29</v>
      </c>
      <c r="D35" s="33">
        <f t="shared" si="1"/>
        <v>27.01</v>
      </c>
      <c r="E35" s="33">
        <f t="shared" si="1"/>
        <v>8.43</v>
      </c>
      <c r="F35" s="33">
        <f t="shared" si="1"/>
        <v>21.59</v>
      </c>
      <c r="G35" s="33">
        <f t="shared" si="1"/>
        <v>82.54</v>
      </c>
      <c r="H35" s="33">
        <f t="shared" si="1"/>
        <v>26.95</v>
      </c>
      <c r="I35" s="33">
        <f t="shared" si="1"/>
        <v>9.2899999999999991</v>
      </c>
      <c r="J35" s="33">
        <f t="shared" si="1"/>
        <v>0.4</v>
      </c>
      <c r="K35" s="33">
        <f t="shared" si="1"/>
        <v>290.89</v>
      </c>
      <c r="L35" s="33">
        <f t="shared" si="1"/>
        <v>34.21</v>
      </c>
      <c r="M35" s="33">
        <f t="shared" si="1"/>
        <v>95.24</v>
      </c>
      <c r="N35" s="33">
        <f t="shared" si="1"/>
        <v>695.5</v>
      </c>
      <c r="O35" s="33">
        <f t="shared" si="1"/>
        <v>0</v>
      </c>
      <c r="P35" s="33">
        <f t="shared" si="1"/>
        <v>1</v>
      </c>
      <c r="Q35" s="33">
        <f t="shared" si="1"/>
        <v>5.74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10.929583333333333</v>
      </c>
      <c r="C36" s="41">
        <f t="shared" si="2"/>
        <v>23.478750000000009</v>
      </c>
      <c r="D36" s="41">
        <f t="shared" si="2"/>
        <v>22.174583333333334</v>
      </c>
      <c r="E36" s="41">
        <f t="shared" si="2"/>
        <v>7.145833333333333</v>
      </c>
      <c r="F36" s="41">
        <f t="shared" si="2"/>
        <v>5.705000000000001</v>
      </c>
      <c r="G36" s="41">
        <f t="shared" si="2"/>
        <v>47.780833333333334</v>
      </c>
      <c r="H36" s="41">
        <f t="shared" si="2"/>
        <v>19.674166666666668</v>
      </c>
      <c r="I36" s="41">
        <f t="shared" si="2"/>
        <v>6.9804166666666667</v>
      </c>
      <c r="J36" s="41">
        <f t="shared" si="2"/>
        <v>0.21333333333333335</v>
      </c>
      <c r="K36" s="41">
        <f t="shared" si="2"/>
        <v>220.22666666666669</v>
      </c>
      <c r="L36" s="41">
        <f t="shared" si="2"/>
        <v>27.640833333333333</v>
      </c>
      <c r="M36" s="41">
        <f t="shared" si="2"/>
        <v>76.992499999999964</v>
      </c>
      <c r="N36" s="41">
        <f t="shared" si="2"/>
        <v>159.79583333333335</v>
      </c>
      <c r="O36" s="41">
        <f t="shared" si="2"/>
        <v>0</v>
      </c>
      <c r="P36" s="41">
        <f t="shared" si="2"/>
        <v>0.68166666666666675</v>
      </c>
      <c r="Q36" s="41">
        <f t="shared" si="2"/>
        <v>5.407916666666666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3.910520346968926</v>
      </c>
      <c r="C37" s="41">
        <f t="shared" ref="C37:Q37" si="3">STDEV(C9:C32)</f>
        <v>2.5888327275635055</v>
      </c>
      <c r="D37" s="41">
        <f t="shared" si="3"/>
        <v>4.1300605103122212</v>
      </c>
      <c r="E37" s="41">
        <f t="shared" si="3"/>
        <v>1.1714202330158194</v>
      </c>
      <c r="F37" s="41">
        <f t="shared" si="3"/>
        <v>4.8428872092729076</v>
      </c>
      <c r="G37" s="41">
        <f t="shared" si="3"/>
        <v>12.95147764497958</v>
      </c>
      <c r="H37" s="41">
        <f t="shared" si="3"/>
        <v>3.6485505361023685</v>
      </c>
      <c r="I37" s="41">
        <f t="shared" si="3"/>
        <v>1.4527978379564734</v>
      </c>
      <c r="J37" s="41">
        <f t="shared" si="3"/>
        <v>7.5852641275078889E-2</v>
      </c>
      <c r="K37" s="41">
        <f t="shared" si="3"/>
        <v>34.394332150195162</v>
      </c>
      <c r="L37" s="41">
        <f t="shared" si="3"/>
        <v>3.5518322481278135</v>
      </c>
      <c r="M37" s="41">
        <f t="shared" si="3"/>
        <v>16.393270689921753</v>
      </c>
      <c r="N37" s="41">
        <f t="shared" si="3"/>
        <v>244.46585869777516</v>
      </c>
      <c r="O37" s="41">
        <f t="shared" si="3"/>
        <v>0</v>
      </c>
      <c r="P37" s="41">
        <f t="shared" si="3"/>
        <v>0.19320335460825705</v>
      </c>
      <c r="Q37" s="41">
        <f t="shared" si="3"/>
        <v>0.27057071994722082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420</v>
      </c>
      <c r="B9" s="51">
        <v>15.09</v>
      </c>
      <c r="C9" s="51">
        <v>26.29</v>
      </c>
      <c r="D9" s="51">
        <v>27.05</v>
      </c>
      <c r="E9" s="51">
        <v>6.09</v>
      </c>
      <c r="F9" s="51">
        <v>2.79</v>
      </c>
      <c r="G9" s="51">
        <v>49.44</v>
      </c>
      <c r="H9" s="51">
        <v>21.19</v>
      </c>
      <c r="I9" s="51">
        <v>6.52</v>
      </c>
      <c r="J9" s="51">
        <v>0.23</v>
      </c>
      <c r="K9" s="51">
        <v>232.15</v>
      </c>
      <c r="L9" s="51">
        <v>23.79</v>
      </c>
      <c r="M9" s="51">
        <v>88.17</v>
      </c>
      <c r="N9" s="51">
        <v>0</v>
      </c>
      <c r="O9" s="51">
        <v>0</v>
      </c>
      <c r="P9" s="51">
        <v>0.66</v>
      </c>
      <c r="Q9" s="51">
        <v>5.68</v>
      </c>
    </row>
    <row r="10" spans="1:21" customFormat="1">
      <c r="A10" s="50" t="s">
        <v>421</v>
      </c>
      <c r="B10" s="51">
        <v>14.63</v>
      </c>
      <c r="C10" s="51">
        <v>26.19</v>
      </c>
      <c r="D10" s="51">
        <v>26.77</v>
      </c>
      <c r="E10" s="51">
        <v>5.99</v>
      </c>
      <c r="F10" s="51">
        <v>2.71</v>
      </c>
      <c r="G10" s="51">
        <v>50.66</v>
      </c>
      <c r="H10" s="51">
        <v>20.440000000000001</v>
      </c>
      <c r="I10" s="51">
        <v>6.39</v>
      </c>
      <c r="J10" s="51">
        <v>0.18</v>
      </c>
      <c r="K10" s="51">
        <v>247.46</v>
      </c>
      <c r="L10" s="51">
        <v>22.9</v>
      </c>
      <c r="M10" s="51">
        <v>93.78</v>
      </c>
      <c r="N10" s="51">
        <v>0</v>
      </c>
      <c r="O10" s="51">
        <v>0</v>
      </c>
      <c r="P10" s="51">
        <v>0.66</v>
      </c>
      <c r="Q10" s="51">
        <v>5.68</v>
      </c>
    </row>
    <row r="11" spans="1:21" customFormat="1">
      <c r="A11" s="50" t="s">
        <v>422</v>
      </c>
      <c r="B11" s="51">
        <v>14.41</v>
      </c>
      <c r="C11" s="51">
        <v>27.48</v>
      </c>
      <c r="D11" s="51">
        <v>27.27</v>
      </c>
      <c r="E11" s="51">
        <v>6.64</v>
      </c>
      <c r="F11" s="51">
        <v>2.65</v>
      </c>
      <c r="G11" s="51">
        <v>41.45</v>
      </c>
      <c r="H11" s="51">
        <v>16.489999999999998</v>
      </c>
      <c r="I11" s="51">
        <v>6.26</v>
      </c>
      <c r="J11" s="51">
        <v>0.2</v>
      </c>
      <c r="K11" s="51">
        <v>268.58999999999997</v>
      </c>
      <c r="L11" s="51">
        <v>23.02</v>
      </c>
      <c r="M11" s="51">
        <v>88.56</v>
      </c>
      <c r="N11" s="51">
        <v>0</v>
      </c>
      <c r="O11" s="51">
        <v>0</v>
      </c>
      <c r="P11" s="51">
        <v>0.65</v>
      </c>
      <c r="Q11" s="51">
        <v>5.65</v>
      </c>
    </row>
    <row r="12" spans="1:21" customFormat="1">
      <c r="A12" s="50" t="s">
        <v>423</v>
      </c>
      <c r="B12" s="51">
        <v>15.17</v>
      </c>
      <c r="C12" s="51">
        <v>28.32</v>
      </c>
      <c r="D12" s="51">
        <v>28.31</v>
      </c>
      <c r="E12" s="51">
        <v>7.07</v>
      </c>
      <c r="F12" s="51">
        <v>2.63</v>
      </c>
      <c r="G12" s="51">
        <v>46.3</v>
      </c>
      <c r="H12" s="51">
        <v>16.850000000000001</v>
      </c>
      <c r="I12" s="51">
        <v>6.09</v>
      </c>
      <c r="J12" s="51">
        <v>0.45</v>
      </c>
      <c r="K12" s="51">
        <v>236.68</v>
      </c>
      <c r="L12" s="51">
        <v>23.16</v>
      </c>
      <c r="M12" s="51">
        <v>90.49</v>
      </c>
      <c r="N12" s="51">
        <v>0</v>
      </c>
      <c r="O12" s="51">
        <v>0</v>
      </c>
      <c r="P12" s="51">
        <v>0.63</v>
      </c>
      <c r="Q12" s="51">
        <v>5.73</v>
      </c>
    </row>
    <row r="13" spans="1:21" customFormat="1">
      <c r="A13" s="50" t="s">
        <v>424</v>
      </c>
      <c r="B13" s="51">
        <v>15.53</v>
      </c>
      <c r="C13" s="51">
        <v>28.3</v>
      </c>
      <c r="D13" s="51">
        <v>28.42</v>
      </c>
      <c r="E13" s="51">
        <v>7.29</v>
      </c>
      <c r="F13" s="51">
        <v>2.56</v>
      </c>
      <c r="G13" s="51">
        <v>43.28</v>
      </c>
      <c r="H13" s="51">
        <v>18.21</v>
      </c>
      <c r="I13" s="51">
        <v>6.04</v>
      </c>
      <c r="J13" s="51">
        <v>0.25</v>
      </c>
      <c r="K13" s="51">
        <v>206.66</v>
      </c>
      <c r="L13" s="51">
        <v>22.05</v>
      </c>
      <c r="M13" s="51">
        <v>94.34</v>
      </c>
      <c r="N13" s="51">
        <v>0</v>
      </c>
      <c r="O13" s="51">
        <v>0</v>
      </c>
      <c r="P13" s="51">
        <v>0.62</v>
      </c>
      <c r="Q13" s="51">
        <v>5.74</v>
      </c>
    </row>
    <row r="14" spans="1:21" customFormat="1">
      <c r="A14" s="50" t="s">
        <v>425</v>
      </c>
      <c r="B14" s="51">
        <v>16.11</v>
      </c>
      <c r="C14" s="51">
        <v>27.68</v>
      </c>
      <c r="D14" s="51">
        <v>28.25</v>
      </c>
      <c r="E14" s="51">
        <v>7.24</v>
      </c>
      <c r="F14" s="51">
        <v>2.95</v>
      </c>
      <c r="G14" s="51">
        <v>42.32</v>
      </c>
      <c r="H14" s="51">
        <v>18.579999999999998</v>
      </c>
      <c r="I14" s="51">
        <v>5.93</v>
      </c>
      <c r="J14" s="51">
        <v>0.23</v>
      </c>
      <c r="K14" s="51">
        <v>237.2</v>
      </c>
      <c r="L14" s="51">
        <v>21.95</v>
      </c>
      <c r="M14" s="51">
        <v>97</v>
      </c>
      <c r="N14" s="51">
        <v>0</v>
      </c>
      <c r="O14" s="51">
        <v>0</v>
      </c>
      <c r="P14" s="51">
        <v>0.62</v>
      </c>
      <c r="Q14" s="51">
        <v>5.71</v>
      </c>
    </row>
    <row r="15" spans="1:21" customFormat="1">
      <c r="A15" s="50" t="s">
        <v>426</v>
      </c>
      <c r="B15" s="51">
        <v>16.45</v>
      </c>
      <c r="C15" s="51">
        <v>23.57</v>
      </c>
      <c r="D15" s="51">
        <v>26.82</v>
      </c>
      <c r="E15" s="51">
        <v>6.85</v>
      </c>
      <c r="F15" s="51">
        <v>2.77</v>
      </c>
      <c r="G15" s="51">
        <v>38.61</v>
      </c>
      <c r="H15" s="51">
        <v>17.29</v>
      </c>
      <c r="I15" s="51">
        <v>5.87</v>
      </c>
      <c r="J15" s="51">
        <v>0.1</v>
      </c>
      <c r="K15" s="51">
        <v>215.39</v>
      </c>
      <c r="L15" s="51">
        <v>22.85</v>
      </c>
      <c r="M15" s="51">
        <v>97.29</v>
      </c>
      <c r="N15" s="51">
        <v>37.700000000000003</v>
      </c>
      <c r="O15" s="51">
        <v>0</v>
      </c>
      <c r="P15" s="51">
        <v>0.56000000000000005</v>
      </c>
      <c r="Q15" s="51">
        <v>5.66</v>
      </c>
    </row>
    <row r="16" spans="1:21" customFormat="1">
      <c r="A16" s="50" t="s">
        <v>427</v>
      </c>
      <c r="B16" s="51">
        <v>16.86</v>
      </c>
      <c r="C16" s="51">
        <v>23.96</v>
      </c>
      <c r="D16" s="51">
        <v>27.26</v>
      </c>
      <c r="E16" s="51">
        <v>6.51</v>
      </c>
      <c r="F16" s="51">
        <v>2.9</v>
      </c>
      <c r="G16" s="51">
        <v>41.19</v>
      </c>
      <c r="H16" s="51">
        <v>18.010000000000002</v>
      </c>
      <c r="I16" s="51">
        <v>6.21</v>
      </c>
      <c r="J16" s="51">
        <v>0.11</v>
      </c>
      <c r="K16" s="51">
        <v>202.62</v>
      </c>
      <c r="L16" s="51">
        <v>26.33</v>
      </c>
      <c r="M16" s="51">
        <v>88.98</v>
      </c>
      <c r="N16" s="51">
        <v>244.9</v>
      </c>
      <c r="O16" s="51">
        <v>0</v>
      </c>
      <c r="P16" s="51">
        <v>0.57999999999999996</v>
      </c>
      <c r="Q16" s="51">
        <v>5.73</v>
      </c>
    </row>
    <row r="17" spans="1:17" customFormat="1">
      <c r="A17" s="50" t="s">
        <v>428</v>
      </c>
      <c r="B17" s="51">
        <v>16.47</v>
      </c>
      <c r="C17" s="51">
        <v>23.76</v>
      </c>
      <c r="D17" s="51">
        <v>26.93</v>
      </c>
      <c r="E17" s="51">
        <v>6.92</v>
      </c>
      <c r="F17" s="51">
        <v>2.95</v>
      </c>
      <c r="G17" s="51">
        <v>43.18</v>
      </c>
      <c r="H17" s="51">
        <v>18.62</v>
      </c>
      <c r="I17" s="51">
        <v>6.52</v>
      </c>
      <c r="J17" s="51">
        <v>0.18</v>
      </c>
      <c r="K17" s="51">
        <v>235.15</v>
      </c>
      <c r="L17" s="51">
        <v>29.43</v>
      </c>
      <c r="M17" s="51">
        <v>69.7</v>
      </c>
      <c r="N17" s="51">
        <v>425.3</v>
      </c>
      <c r="O17" s="51">
        <v>0</v>
      </c>
      <c r="P17" s="51">
        <v>0.59</v>
      </c>
      <c r="Q17" s="51">
        <v>5.66</v>
      </c>
    </row>
    <row r="18" spans="1:17" customFormat="1">
      <c r="A18" s="50" t="s">
        <v>429</v>
      </c>
      <c r="B18" s="51">
        <v>14.1</v>
      </c>
      <c r="C18" s="51">
        <v>22.73</v>
      </c>
      <c r="D18" s="51">
        <v>24.54</v>
      </c>
      <c r="E18" s="51">
        <v>6.48</v>
      </c>
      <c r="F18" s="51">
        <v>4.34</v>
      </c>
      <c r="G18" s="51">
        <v>41.97</v>
      </c>
      <c r="H18" s="51">
        <v>20.239999999999998</v>
      </c>
      <c r="I18" s="51">
        <v>6.41</v>
      </c>
      <c r="J18" s="51">
        <v>0.21</v>
      </c>
      <c r="K18" s="51">
        <v>203.45</v>
      </c>
      <c r="L18" s="51">
        <v>31.23</v>
      </c>
      <c r="M18" s="51">
        <v>59.75</v>
      </c>
      <c r="N18" s="51">
        <v>562.6</v>
      </c>
      <c r="O18" s="51">
        <v>0</v>
      </c>
      <c r="P18" s="51">
        <v>0.56999999999999995</v>
      </c>
      <c r="Q18" s="51">
        <v>5.54</v>
      </c>
    </row>
    <row r="19" spans="1:17" customFormat="1">
      <c r="A19" s="50" t="s">
        <v>430</v>
      </c>
      <c r="B19" s="51">
        <v>10.46</v>
      </c>
      <c r="C19" s="51">
        <v>23.01</v>
      </c>
      <c r="D19" s="51">
        <v>21.14</v>
      </c>
      <c r="E19" s="51">
        <v>8.06</v>
      </c>
      <c r="F19" s="51">
        <v>5.58</v>
      </c>
      <c r="G19" s="51">
        <v>43.55</v>
      </c>
      <c r="H19" s="51">
        <v>19.82</v>
      </c>
      <c r="I19" s="51">
        <v>6.16</v>
      </c>
      <c r="J19" s="51">
        <v>0.26</v>
      </c>
      <c r="K19" s="51">
        <v>222.17</v>
      </c>
      <c r="L19" s="51">
        <v>32.44</v>
      </c>
      <c r="M19" s="51">
        <v>51.9</v>
      </c>
      <c r="N19" s="51">
        <v>644.29999999999995</v>
      </c>
      <c r="O19" s="51">
        <v>0</v>
      </c>
      <c r="P19" s="51">
        <v>0.56000000000000005</v>
      </c>
      <c r="Q19" s="51">
        <v>5.38</v>
      </c>
    </row>
    <row r="20" spans="1:17" customFormat="1">
      <c r="A20" s="50" t="s">
        <v>431</v>
      </c>
      <c r="B20" s="51">
        <v>7.18</v>
      </c>
      <c r="C20" s="51">
        <v>23.3</v>
      </c>
      <c r="D20" s="51">
        <v>19.16</v>
      </c>
      <c r="E20" s="51">
        <v>7.82</v>
      </c>
      <c r="F20" s="51">
        <v>5.28</v>
      </c>
      <c r="G20" s="51">
        <v>44.65</v>
      </c>
      <c r="H20" s="51">
        <v>21.33</v>
      </c>
      <c r="I20" s="51">
        <v>5.61</v>
      </c>
      <c r="J20" s="51">
        <v>0.37</v>
      </c>
      <c r="K20" s="51">
        <v>216.87</v>
      </c>
      <c r="L20" s="51">
        <v>33.18</v>
      </c>
      <c r="M20" s="51">
        <v>46.28</v>
      </c>
      <c r="N20" s="51">
        <v>715</v>
      </c>
      <c r="O20" s="51">
        <v>0</v>
      </c>
      <c r="P20" s="51">
        <v>0.53</v>
      </c>
      <c r="Q20" s="51">
        <v>5.16</v>
      </c>
    </row>
    <row r="21" spans="1:17" customFormat="1">
      <c r="A21" s="50" t="s">
        <v>432</v>
      </c>
      <c r="B21" s="51">
        <v>5.79</v>
      </c>
      <c r="C21" s="51">
        <v>22.56</v>
      </c>
      <c r="D21" s="51">
        <v>17.78</v>
      </c>
      <c r="E21" s="51">
        <v>7.97</v>
      </c>
      <c r="F21" s="51">
        <v>6.37</v>
      </c>
      <c r="G21" s="51">
        <v>35.94</v>
      </c>
      <c r="H21" s="51">
        <v>18.3</v>
      </c>
      <c r="I21" s="51">
        <v>5.23</v>
      </c>
      <c r="J21" s="51">
        <v>0.46</v>
      </c>
      <c r="K21" s="51">
        <v>262.48</v>
      </c>
      <c r="L21" s="51">
        <v>34.06</v>
      </c>
      <c r="M21" s="51">
        <v>40.68</v>
      </c>
      <c r="N21" s="51">
        <v>713.8</v>
      </c>
      <c r="O21" s="51">
        <v>0</v>
      </c>
      <c r="P21" s="51">
        <v>0.51</v>
      </c>
      <c r="Q21" s="51">
        <v>5.08</v>
      </c>
    </row>
    <row r="22" spans="1:17" customFormat="1">
      <c r="A22" s="50" t="s">
        <v>433</v>
      </c>
      <c r="B22" s="51">
        <v>5.51</v>
      </c>
      <c r="C22" s="51">
        <v>21.75</v>
      </c>
      <c r="D22" s="51">
        <v>17.11</v>
      </c>
      <c r="E22" s="51">
        <v>8.06</v>
      </c>
      <c r="F22" s="51">
        <v>5.87</v>
      </c>
      <c r="G22" s="51">
        <v>32.729999999999997</v>
      </c>
      <c r="H22" s="51">
        <v>16.04</v>
      </c>
      <c r="I22" s="51">
        <v>4.84</v>
      </c>
      <c r="J22" s="51">
        <v>0.41</v>
      </c>
      <c r="K22" s="51">
        <v>193.62</v>
      </c>
      <c r="L22" s="51">
        <v>34.1</v>
      </c>
      <c r="M22" s="51">
        <v>37.86</v>
      </c>
      <c r="N22" s="51">
        <v>606.6</v>
      </c>
      <c r="O22" s="51">
        <v>0</v>
      </c>
      <c r="P22" s="51">
        <v>0.47</v>
      </c>
      <c r="Q22" s="51">
        <v>5.0599999999999996</v>
      </c>
    </row>
    <row r="23" spans="1:17" customFormat="1">
      <c r="A23" s="50" t="s">
        <v>434</v>
      </c>
      <c r="B23" s="51">
        <v>5.43</v>
      </c>
      <c r="C23" s="51">
        <v>21.57</v>
      </c>
      <c r="D23" s="51">
        <v>16.89</v>
      </c>
      <c r="E23" s="51">
        <v>8.18</v>
      </c>
      <c r="F23" s="51">
        <v>4.58</v>
      </c>
      <c r="G23" s="51">
        <v>29.24</v>
      </c>
      <c r="H23" s="51">
        <v>16.34</v>
      </c>
      <c r="I23" s="51">
        <v>4.55</v>
      </c>
      <c r="J23" s="51">
        <v>0.34</v>
      </c>
      <c r="K23" s="51">
        <v>181.58</v>
      </c>
      <c r="L23" s="51">
        <v>33.71</v>
      </c>
      <c r="M23" s="51">
        <v>39.97</v>
      </c>
      <c r="N23" s="51">
        <v>507.7</v>
      </c>
      <c r="O23" s="51">
        <v>0</v>
      </c>
      <c r="P23" s="51">
        <v>0.5</v>
      </c>
      <c r="Q23" s="51">
        <v>5.05</v>
      </c>
    </row>
    <row r="24" spans="1:17" customFormat="1">
      <c r="A24" s="50" t="s">
        <v>435</v>
      </c>
      <c r="B24" s="51">
        <v>5.87</v>
      </c>
      <c r="C24" s="51">
        <v>22.23</v>
      </c>
      <c r="D24" s="51">
        <v>17.47</v>
      </c>
      <c r="E24" s="51">
        <v>8.5500000000000007</v>
      </c>
      <c r="F24" s="51">
        <v>7.94</v>
      </c>
      <c r="G24" s="51">
        <v>27.8</v>
      </c>
      <c r="H24" s="51">
        <v>12.92</v>
      </c>
      <c r="I24" s="51">
        <v>4.26</v>
      </c>
      <c r="J24" s="51">
        <v>0.32</v>
      </c>
      <c r="K24" s="51">
        <v>164.25</v>
      </c>
      <c r="L24" s="51">
        <v>31.72</v>
      </c>
      <c r="M24" s="51">
        <v>45.41</v>
      </c>
      <c r="N24" s="51">
        <v>96.9</v>
      </c>
      <c r="O24" s="51">
        <v>0</v>
      </c>
      <c r="P24" s="51">
        <v>0.49</v>
      </c>
      <c r="Q24" s="51">
        <v>5.05</v>
      </c>
    </row>
    <row r="25" spans="1:17" customFormat="1">
      <c r="A25" s="50" t="s">
        <v>436</v>
      </c>
      <c r="B25" s="51">
        <v>5.52</v>
      </c>
      <c r="C25" s="51">
        <v>17.43</v>
      </c>
      <c r="D25" s="51">
        <v>14.81</v>
      </c>
      <c r="E25" s="51">
        <v>8.33</v>
      </c>
      <c r="F25" s="51">
        <v>10.07</v>
      </c>
      <c r="G25" s="51">
        <v>27.36</v>
      </c>
      <c r="H25" s="51">
        <v>14.42</v>
      </c>
      <c r="I25" s="51">
        <v>4.05</v>
      </c>
      <c r="J25" s="51">
        <v>0.32</v>
      </c>
      <c r="K25" s="51">
        <v>165.25</v>
      </c>
      <c r="L25" s="51">
        <v>30.47</v>
      </c>
      <c r="M25" s="51">
        <v>54.3</v>
      </c>
      <c r="N25" s="51">
        <v>50.5</v>
      </c>
      <c r="O25" s="51">
        <v>0</v>
      </c>
      <c r="P25" s="51">
        <v>0.44</v>
      </c>
      <c r="Q25" s="51">
        <v>5.03</v>
      </c>
    </row>
    <row r="26" spans="1:17" customFormat="1">
      <c r="A26" s="50" t="s">
        <v>437</v>
      </c>
      <c r="B26" s="51">
        <v>6.24</v>
      </c>
      <c r="C26" s="51">
        <v>17.350000000000001</v>
      </c>
      <c r="D26" s="51">
        <v>15.31</v>
      </c>
      <c r="E26" s="51">
        <v>8.4700000000000006</v>
      </c>
      <c r="F26" s="51">
        <v>8.27</v>
      </c>
      <c r="G26" s="51">
        <v>28.73</v>
      </c>
      <c r="H26" s="51">
        <v>14.56</v>
      </c>
      <c r="I26" s="51">
        <v>3.97</v>
      </c>
      <c r="J26" s="51">
        <v>0.16</v>
      </c>
      <c r="K26" s="51">
        <v>209.72</v>
      </c>
      <c r="L26" s="51">
        <v>28.69</v>
      </c>
      <c r="M26" s="51">
        <v>66.27</v>
      </c>
      <c r="N26" s="51">
        <v>3.5</v>
      </c>
      <c r="O26" s="51">
        <v>0</v>
      </c>
      <c r="P26" s="51">
        <v>0.44</v>
      </c>
      <c r="Q26" s="51">
        <v>5.0599999999999996</v>
      </c>
    </row>
    <row r="27" spans="1:17" customFormat="1">
      <c r="A27" s="50" t="s">
        <v>438</v>
      </c>
      <c r="B27" s="51">
        <v>7.71</v>
      </c>
      <c r="C27" s="51">
        <v>19.97</v>
      </c>
      <c r="D27" s="51">
        <v>17.71</v>
      </c>
      <c r="E27" s="51">
        <v>6.94</v>
      </c>
      <c r="F27" s="51">
        <v>6.81</v>
      </c>
      <c r="G27" s="51">
        <v>43.03</v>
      </c>
      <c r="H27" s="51">
        <v>16.96</v>
      </c>
      <c r="I27" s="51">
        <v>4.0999999999999996</v>
      </c>
      <c r="J27" s="51">
        <v>0.14000000000000001</v>
      </c>
      <c r="K27" s="51">
        <v>216.58</v>
      </c>
      <c r="L27" s="51">
        <v>26.7</v>
      </c>
      <c r="M27" s="51">
        <v>71.349999999999994</v>
      </c>
      <c r="N27" s="51">
        <v>0</v>
      </c>
      <c r="O27" s="51">
        <v>0</v>
      </c>
      <c r="P27" s="51">
        <v>0.47</v>
      </c>
      <c r="Q27" s="51">
        <v>5.09</v>
      </c>
    </row>
    <row r="28" spans="1:17" customFormat="1">
      <c r="A28" s="50" t="s">
        <v>439</v>
      </c>
      <c r="B28" s="51">
        <v>8.8800000000000008</v>
      </c>
      <c r="C28" s="51">
        <v>20.89</v>
      </c>
      <c r="D28" s="51">
        <v>18.899999999999999</v>
      </c>
      <c r="E28" s="51">
        <v>7.45</v>
      </c>
      <c r="F28" s="51">
        <v>4.8600000000000003</v>
      </c>
      <c r="G28" s="51">
        <v>48.38</v>
      </c>
      <c r="H28" s="51">
        <v>18.489999999999998</v>
      </c>
      <c r="I28" s="51">
        <v>4.47</v>
      </c>
      <c r="J28" s="51">
        <v>0.15</v>
      </c>
      <c r="K28" s="51">
        <v>177.04</v>
      </c>
      <c r="L28" s="51">
        <v>26.02</v>
      </c>
      <c r="M28" s="51">
        <v>80.489999999999995</v>
      </c>
      <c r="N28" s="51">
        <v>0</v>
      </c>
      <c r="O28" s="51">
        <v>0</v>
      </c>
      <c r="P28" s="51">
        <v>0.53</v>
      </c>
      <c r="Q28" s="51">
        <v>5.19</v>
      </c>
    </row>
    <row r="29" spans="1:17" customFormat="1">
      <c r="A29" s="50" t="s">
        <v>440</v>
      </c>
      <c r="B29" s="51">
        <v>9.01</v>
      </c>
      <c r="C29" s="51">
        <v>22.27</v>
      </c>
      <c r="D29" s="51">
        <v>20.21</v>
      </c>
      <c r="E29" s="51">
        <v>6.78</v>
      </c>
      <c r="F29" s="51">
        <v>3.05</v>
      </c>
      <c r="G29" s="51">
        <v>50.76</v>
      </c>
      <c r="H29" s="51">
        <v>17.399999999999999</v>
      </c>
      <c r="I29" s="51">
        <v>4.92</v>
      </c>
      <c r="J29" s="51">
        <v>0.14000000000000001</v>
      </c>
      <c r="K29" s="51">
        <v>185.9</v>
      </c>
      <c r="L29" s="51">
        <v>25.17</v>
      </c>
      <c r="M29" s="51">
        <v>81.66</v>
      </c>
      <c r="N29" s="51">
        <v>0</v>
      </c>
      <c r="O29" s="51">
        <v>0</v>
      </c>
      <c r="P29" s="51">
        <v>0.59</v>
      </c>
      <c r="Q29" s="51">
        <v>5.22</v>
      </c>
    </row>
    <row r="30" spans="1:17" customFormat="1">
      <c r="A30" s="50" t="s">
        <v>441</v>
      </c>
      <c r="B30" s="51">
        <v>9.74</v>
      </c>
      <c r="C30" s="51">
        <v>23.72</v>
      </c>
      <c r="D30" s="51">
        <v>21.56</v>
      </c>
      <c r="E30" s="51">
        <v>6.87</v>
      </c>
      <c r="F30" s="51">
        <v>3.04</v>
      </c>
      <c r="G30" s="51">
        <v>51.56</v>
      </c>
      <c r="H30" s="51">
        <v>18.45</v>
      </c>
      <c r="I30" s="51">
        <v>5.23</v>
      </c>
      <c r="J30" s="51">
        <v>0.2</v>
      </c>
      <c r="K30" s="51">
        <v>215.97</v>
      </c>
      <c r="L30" s="51">
        <v>24.68</v>
      </c>
      <c r="M30" s="51">
        <v>83.54</v>
      </c>
      <c r="N30" s="51">
        <v>0</v>
      </c>
      <c r="O30" s="51">
        <v>0</v>
      </c>
      <c r="P30" s="51">
        <v>0.64</v>
      </c>
      <c r="Q30" s="51">
        <v>5.31</v>
      </c>
    </row>
    <row r="31" spans="1:17" customFormat="1">
      <c r="A31" s="50" t="s">
        <v>442</v>
      </c>
      <c r="B31" s="51">
        <v>10.56</v>
      </c>
      <c r="C31" s="51">
        <v>24.88</v>
      </c>
      <c r="D31" s="51">
        <v>22.82</v>
      </c>
      <c r="E31" s="51">
        <v>6.75</v>
      </c>
      <c r="F31" s="51">
        <v>2.66</v>
      </c>
      <c r="G31" s="51">
        <v>48.59</v>
      </c>
      <c r="H31" s="51">
        <v>19.510000000000002</v>
      </c>
      <c r="I31" s="51">
        <v>5.57</v>
      </c>
      <c r="J31" s="51">
        <v>0.17</v>
      </c>
      <c r="K31" s="51">
        <v>235.05</v>
      </c>
      <c r="L31" s="51">
        <v>24.45</v>
      </c>
      <c r="M31" s="51">
        <v>85.91</v>
      </c>
      <c r="N31" s="51">
        <v>0</v>
      </c>
      <c r="O31" s="51">
        <v>0</v>
      </c>
      <c r="P31" s="51">
        <v>0.65</v>
      </c>
      <c r="Q31" s="51">
        <v>5.38</v>
      </c>
    </row>
    <row r="32" spans="1:17" customFormat="1">
      <c r="A32" s="50" t="s">
        <v>443</v>
      </c>
      <c r="B32" s="51">
        <v>11.41</v>
      </c>
      <c r="C32" s="51">
        <v>25.49</v>
      </c>
      <c r="D32" s="51">
        <v>23.82</v>
      </c>
      <c r="E32" s="51">
        <v>7</v>
      </c>
      <c r="F32" s="51">
        <v>2.5499999999999998</v>
      </c>
      <c r="G32" s="51">
        <v>49.38</v>
      </c>
      <c r="H32" s="51">
        <v>20.12</v>
      </c>
      <c r="I32" s="51">
        <v>5.86</v>
      </c>
      <c r="J32" s="51">
        <v>0.14000000000000001</v>
      </c>
      <c r="K32" s="51">
        <v>208.37</v>
      </c>
      <c r="L32" s="51">
        <v>23.7</v>
      </c>
      <c r="M32" s="51">
        <v>91.11</v>
      </c>
      <c r="N32" s="51">
        <v>0</v>
      </c>
      <c r="O32" s="51">
        <v>0</v>
      </c>
      <c r="P32" s="51">
        <v>0.68</v>
      </c>
      <c r="Q32" s="51">
        <v>5.45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5.43</v>
      </c>
      <c r="C34" s="41">
        <f t="shared" si="0"/>
        <v>17.350000000000001</v>
      </c>
      <c r="D34" s="41">
        <f t="shared" si="0"/>
        <v>14.81</v>
      </c>
      <c r="E34" s="41">
        <f t="shared" si="0"/>
        <v>5.99</v>
      </c>
      <c r="F34" s="41">
        <f t="shared" si="0"/>
        <v>2.5499999999999998</v>
      </c>
      <c r="G34" s="41">
        <f t="shared" si="0"/>
        <v>27.36</v>
      </c>
      <c r="H34" s="41">
        <f t="shared" si="0"/>
        <v>12.92</v>
      </c>
      <c r="I34" s="41">
        <f t="shared" si="0"/>
        <v>3.97</v>
      </c>
      <c r="J34" s="41">
        <f t="shared" si="0"/>
        <v>0.1</v>
      </c>
      <c r="K34" s="41">
        <f t="shared" si="0"/>
        <v>164.25</v>
      </c>
      <c r="L34" s="41">
        <f t="shared" si="0"/>
        <v>21.95</v>
      </c>
      <c r="M34" s="41">
        <f t="shared" si="0"/>
        <v>37.86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5.03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16.86</v>
      </c>
      <c r="C35" s="33">
        <f t="shared" si="1"/>
        <v>28.32</v>
      </c>
      <c r="D35" s="33">
        <f t="shared" si="1"/>
        <v>28.42</v>
      </c>
      <c r="E35" s="33">
        <f t="shared" si="1"/>
        <v>8.5500000000000007</v>
      </c>
      <c r="F35" s="33">
        <f t="shared" si="1"/>
        <v>10.07</v>
      </c>
      <c r="G35" s="33">
        <f t="shared" si="1"/>
        <v>51.56</v>
      </c>
      <c r="H35" s="33">
        <f t="shared" si="1"/>
        <v>21.33</v>
      </c>
      <c r="I35" s="33">
        <f t="shared" si="1"/>
        <v>6.52</v>
      </c>
      <c r="J35" s="33">
        <f t="shared" si="1"/>
        <v>0.46</v>
      </c>
      <c r="K35" s="33">
        <f t="shared" si="1"/>
        <v>268.58999999999997</v>
      </c>
      <c r="L35" s="33">
        <f t="shared" si="1"/>
        <v>34.1</v>
      </c>
      <c r="M35" s="33">
        <f t="shared" si="1"/>
        <v>97.29</v>
      </c>
      <c r="N35" s="33">
        <f t="shared" si="1"/>
        <v>715</v>
      </c>
      <c r="O35" s="33">
        <f t="shared" si="1"/>
        <v>0</v>
      </c>
      <c r="P35" s="33">
        <f t="shared" si="1"/>
        <v>0.68</v>
      </c>
      <c r="Q35" s="33">
        <f t="shared" si="1"/>
        <v>5.74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11.005416666666669</v>
      </c>
      <c r="C36" s="41">
        <f t="shared" si="2"/>
        <v>23.529166666666669</v>
      </c>
      <c r="D36" s="41">
        <f t="shared" si="2"/>
        <v>22.346250000000001</v>
      </c>
      <c r="E36" s="41">
        <f t="shared" si="2"/>
        <v>7.2629166666666665</v>
      </c>
      <c r="F36" s="41">
        <f t="shared" si="2"/>
        <v>4.4241666666666664</v>
      </c>
      <c r="G36" s="41">
        <f t="shared" si="2"/>
        <v>41.670833333333341</v>
      </c>
      <c r="H36" s="41">
        <f t="shared" si="2"/>
        <v>17.940833333333334</v>
      </c>
      <c r="I36" s="41">
        <f t="shared" si="2"/>
        <v>5.4608333333333334</v>
      </c>
      <c r="J36" s="41">
        <f t="shared" si="2"/>
        <v>0.23833333333333337</v>
      </c>
      <c r="K36" s="41">
        <f t="shared" si="2"/>
        <v>214.17499999999998</v>
      </c>
      <c r="L36" s="41">
        <f t="shared" si="2"/>
        <v>27.324999999999999</v>
      </c>
      <c r="M36" s="41">
        <f t="shared" si="2"/>
        <v>72.699583333333337</v>
      </c>
      <c r="N36" s="41">
        <f t="shared" si="2"/>
        <v>192.03333333333333</v>
      </c>
      <c r="O36" s="41">
        <f t="shared" si="2"/>
        <v>0</v>
      </c>
      <c r="P36" s="41">
        <f t="shared" si="2"/>
        <v>0.56833333333333336</v>
      </c>
      <c r="Q36" s="41">
        <f t="shared" si="2"/>
        <v>5.387083333333333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4.2352208290730795</v>
      </c>
      <c r="C37" s="41">
        <f t="shared" ref="C37:Q37" si="3">STDEV(C9:C32)</f>
        <v>2.9955922934213932</v>
      </c>
      <c r="D37" s="41">
        <f t="shared" si="3"/>
        <v>4.6807188341479842</v>
      </c>
      <c r="E37" s="41">
        <f t="shared" si="3"/>
        <v>0.74960557261319216</v>
      </c>
      <c r="F37" s="41">
        <f t="shared" si="3"/>
        <v>2.1686600083655483</v>
      </c>
      <c r="G37" s="41">
        <f t="shared" si="3"/>
        <v>7.6799405096578459</v>
      </c>
      <c r="H37" s="41">
        <f t="shared" si="3"/>
        <v>2.1481901718639427</v>
      </c>
      <c r="I37" s="41">
        <f t="shared" si="3"/>
        <v>0.86254888540311003</v>
      </c>
      <c r="J37" s="41">
        <f t="shared" si="3"/>
        <v>0.10610358624708568</v>
      </c>
      <c r="K37" s="41">
        <f t="shared" si="3"/>
        <v>27.684178027232175</v>
      </c>
      <c r="L37" s="41">
        <f t="shared" si="3"/>
        <v>4.2938408872729958</v>
      </c>
      <c r="M37" s="41">
        <f t="shared" si="3"/>
        <v>20.532360350382788</v>
      </c>
      <c r="N37" s="41">
        <f t="shared" si="3"/>
        <v>275.62465130281271</v>
      </c>
      <c r="O37" s="41">
        <f t="shared" si="3"/>
        <v>0</v>
      </c>
      <c r="P37" s="41">
        <f t="shared" si="3"/>
        <v>7.4464270198746144E-2</v>
      </c>
      <c r="Q37" s="41">
        <f t="shared" si="3"/>
        <v>0.27636584396437086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444</v>
      </c>
      <c r="B9" s="51">
        <v>11.18</v>
      </c>
      <c r="C9" s="51">
        <v>26.31</v>
      </c>
      <c r="D9" s="51">
        <v>24.01</v>
      </c>
      <c r="E9" s="51">
        <v>7.77</v>
      </c>
      <c r="F9" s="51">
        <v>2.56</v>
      </c>
      <c r="G9" s="51">
        <v>52.56</v>
      </c>
      <c r="H9" s="51">
        <v>21.42</v>
      </c>
      <c r="I9" s="51">
        <v>6.14</v>
      </c>
      <c r="J9" s="51">
        <v>0.16</v>
      </c>
      <c r="K9" s="51">
        <v>251.49</v>
      </c>
      <c r="L9" s="51">
        <v>23.26</v>
      </c>
      <c r="M9" s="51">
        <v>91.13</v>
      </c>
      <c r="N9" s="51">
        <v>0</v>
      </c>
      <c r="O9" s="51">
        <v>0</v>
      </c>
      <c r="P9" s="51">
        <v>0.71</v>
      </c>
      <c r="Q9" s="51">
        <v>5.54</v>
      </c>
    </row>
    <row r="10" spans="1:21" customFormat="1">
      <c r="A10" s="50" t="s">
        <v>445</v>
      </c>
      <c r="B10" s="51">
        <v>12.28</v>
      </c>
      <c r="C10" s="51">
        <v>26.94</v>
      </c>
      <c r="D10" s="51">
        <v>24.58</v>
      </c>
      <c r="E10" s="51">
        <v>7.87</v>
      </c>
      <c r="F10" s="51">
        <v>2.91</v>
      </c>
      <c r="G10" s="51">
        <v>48.14</v>
      </c>
      <c r="H10" s="51">
        <v>21.79</v>
      </c>
      <c r="I10" s="51">
        <v>6.5</v>
      </c>
      <c r="J10" s="51">
        <v>0.12</v>
      </c>
      <c r="K10" s="51">
        <v>218.63</v>
      </c>
      <c r="L10" s="51">
        <v>22.9</v>
      </c>
      <c r="M10" s="51">
        <v>89.01</v>
      </c>
      <c r="N10" s="51">
        <v>0</v>
      </c>
      <c r="O10" s="51">
        <v>0</v>
      </c>
      <c r="P10" s="51">
        <v>0.71</v>
      </c>
      <c r="Q10" s="51">
        <v>5.51</v>
      </c>
    </row>
    <row r="11" spans="1:21" customFormat="1">
      <c r="A11" s="50" t="s">
        <v>446</v>
      </c>
      <c r="B11" s="51">
        <v>13.21</v>
      </c>
      <c r="C11" s="51">
        <v>24.34</v>
      </c>
      <c r="D11" s="51">
        <v>24.25</v>
      </c>
      <c r="E11" s="51">
        <v>9.1</v>
      </c>
      <c r="F11" s="51">
        <v>2.77</v>
      </c>
      <c r="G11" s="51">
        <v>48.94</v>
      </c>
      <c r="H11" s="51">
        <v>22.73</v>
      </c>
      <c r="I11" s="51">
        <v>6.82</v>
      </c>
      <c r="J11" s="51">
        <v>0.11</v>
      </c>
      <c r="K11" s="51">
        <v>218.56</v>
      </c>
      <c r="L11" s="51">
        <v>22.63</v>
      </c>
      <c r="M11" s="51">
        <v>88.94</v>
      </c>
      <c r="N11" s="51">
        <v>0</v>
      </c>
      <c r="O11" s="51">
        <v>0</v>
      </c>
      <c r="P11" s="51">
        <v>0.7</v>
      </c>
      <c r="Q11" s="51">
        <v>5.51</v>
      </c>
    </row>
    <row r="12" spans="1:21" customFormat="1">
      <c r="A12" s="50" t="s">
        <v>447</v>
      </c>
      <c r="B12" s="51">
        <v>17.170000000000002</v>
      </c>
      <c r="C12" s="51">
        <v>25.4</v>
      </c>
      <c r="D12" s="51">
        <v>28.39</v>
      </c>
      <c r="E12" s="51">
        <v>9.0500000000000007</v>
      </c>
      <c r="F12" s="51">
        <v>2.7</v>
      </c>
      <c r="G12" s="51">
        <v>49.88</v>
      </c>
      <c r="H12" s="51">
        <v>22.05</v>
      </c>
      <c r="I12" s="51">
        <v>7.01</v>
      </c>
      <c r="J12" s="51">
        <v>0.14000000000000001</v>
      </c>
      <c r="K12" s="51">
        <v>159.08000000000001</v>
      </c>
      <c r="L12" s="51">
        <v>22.38</v>
      </c>
      <c r="M12" s="51">
        <v>90.2</v>
      </c>
      <c r="N12" s="51">
        <v>0</v>
      </c>
      <c r="O12" s="51">
        <v>0</v>
      </c>
      <c r="P12" s="51">
        <v>0.71</v>
      </c>
      <c r="Q12" s="51">
        <v>5.72</v>
      </c>
    </row>
    <row r="13" spans="1:21" customFormat="1">
      <c r="A13" s="50" t="s">
        <v>448</v>
      </c>
      <c r="B13" s="51">
        <v>20.67</v>
      </c>
      <c r="C13" s="51">
        <v>25.53</v>
      </c>
      <c r="D13" s="51">
        <v>30.9</v>
      </c>
      <c r="E13" s="51">
        <v>9.19</v>
      </c>
      <c r="F13" s="51">
        <v>2.78</v>
      </c>
      <c r="G13" s="51">
        <v>52.84</v>
      </c>
      <c r="H13" s="51">
        <v>23.84</v>
      </c>
      <c r="I13" s="51">
        <v>7.08</v>
      </c>
      <c r="J13" s="51">
        <v>0.15</v>
      </c>
      <c r="K13" s="51">
        <v>212.13</v>
      </c>
      <c r="L13" s="51">
        <v>22.24</v>
      </c>
      <c r="M13" s="51">
        <v>96.64</v>
      </c>
      <c r="N13" s="51">
        <v>0</v>
      </c>
      <c r="O13" s="51">
        <v>0</v>
      </c>
      <c r="P13" s="51">
        <v>0.71</v>
      </c>
      <c r="Q13" s="51">
        <v>5.91</v>
      </c>
    </row>
    <row r="14" spans="1:21" customFormat="1">
      <c r="A14" s="50" t="s">
        <v>449</v>
      </c>
      <c r="B14" s="51">
        <v>20.83</v>
      </c>
      <c r="C14" s="51">
        <v>26.78</v>
      </c>
      <c r="D14" s="51">
        <v>31.69</v>
      </c>
      <c r="E14" s="51">
        <v>9.2899999999999991</v>
      </c>
      <c r="F14" s="51">
        <v>2.64</v>
      </c>
      <c r="G14" s="51">
        <v>51.3</v>
      </c>
      <c r="H14" s="51">
        <v>22.26</v>
      </c>
      <c r="I14" s="51">
        <v>7.14</v>
      </c>
      <c r="J14" s="51">
        <v>0.28000000000000003</v>
      </c>
      <c r="K14" s="51">
        <v>221.09</v>
      </c>
      <c r="L14" s="51">
        <v>21.82</v>
      </c>
      <c r="M14" s="51">
        <v>96.32</v>
      </c>
      <c r="N14" s="51">
        <v>0</v>
      </c>
      <c r="O14" s="51">
        <v>0</v>
      </c>
      <c r="P14" s="51">
        <v>0.73</v>
      </c>
      <c r="Q14" s="51">
        <v>5.95</v>
      </c>
    </row>
    <row r="15" spans="1:21" customFormat="1">
      <c r="A15" s="50" t="s">
        <v>450</v>
      </c>
      <c r="B15" s="51">
        <v>20.149999999999999</v>
      </c>
      <c r="C15" s="51">
        <v>27.04</v>
      </c>
      <c r="D15" s="51">
        <v>31.64</v>
      </c>
      <c r="E15" s="51">
        <v>8.58</v>
      </c>
      <c r="F15" s="51">
        <v>2.67</v>
      </c>
      <c r="G15" s="51">
        <v>47.5</v>
      </c>
      <c r="H15" s="51">
        <v>19.64</v>
      </c>
      <c r="I15" s="51">
        <v>7.15</v>
      </c>
      <c r="J15" s="51">
        <v>0.19</v>
      </c>
      <c r="K15" s="51">
        <v>181.8</v>
      </c>
      <c r="L15" s="51">
        <v>22.74</v>
      </c>
      <c r="M15" s="51">
        <v>96.8</v>
      </c>
      <c r="N15" s="51">
        <v>40.5</v>
      </c>
      <c r="O15" s="51">
        <v>0</v>
      </c>
      <c r="P15" s="51">
        <v>0.75</v>
      </c>
      <c r="Q15" s="51">
        <v>5.95</v>
      </c>
    </row>
    <row r="16" spans="1:21" customFormat="1">
      <c r="A16" s="50" t="s">
        <v>451</v>
      </c>
      <c r="B16" s="51">
        <v>19.18</v>
      </c>
      <c r="C16" s="51">
        <v>27.88</v>
      </c>
      <c r="D16" s="51">
        <v>30.96</v>
      </c>
      <c r="E16" s="51">
        <v>9.09</v>
      </c>
      <c r="F16" s="51">
        <v>2.77</v>
      </c>
      <c r="G16" s="51">
        <v>49.3</v>
      </c>
      <c r="H16" s="51">
        <v>23.1</v>
      </c>
      <c r="I16" s="51">
        <v>7.46</v>
      </c>
      <c r="J16" s="51">
        <v>0.19</v>
      </c>
      <c r="K16" s="51">
        <v>244.85</v>
      </c>
      <c r="L16" s="51">
        <v>25.68</v>
      </c>
      <c r="M16" s="51">
        <v>90.1</v>
      </c>
      <c r="N16" s="51">
        <v>224.2</v>
      </c>
      <c r="O16" s="51">
        <v>0</v>
      </c>
      <c r="P16" s="51">
        <v>0.78</v>
      </c>
      <c r="Q16" s="51">
        <v>5.94</v>
      </c>
    </row>
    <row r="17" spans="1:17" customFormat="1">
      <c r="A17" s="50" t="s">
        <v>452</v>
      </c>
      <c r="B17" s="51">
        <v>17.3</v>
      </c>
      <c r="C17" s="51">
        <v>28.79</v>
      </c>
      <c r="D17" s="51">
        <v>29.97</v>
      </c>
      <c r="E17" s="51">
        <v>9.15</v>
      </c>
      <c r="F17" s="51">
        <v>2.84</v>
      </c>
      <c r="G17" s="51">
        <v>52.27</v>
      </c>
      <c r="H17" s="51">
        <v>25.23</v>
      </c>
      <c r="I17" s="51">
        <v>8.0399999999999991</v>
      </c>
      <c r="J17" s="51">
        <v>0.18</v>
      </c>
      <c r="K17" s="51">
        <v>242.32</v>
      </c>
      <c r="L17" s="51">
        <v>28.78</v>
      </c>
      <c r="M17" s="51">
        <v>74.69</v>
      </c>
      <c r="N17" s="51">
        <v>394.3</v>
      </c>
      <c r="O17" s="51">
        <v>0</v>
      </c>
      <c r="P17" s="51">
        <v>0.8</v>
      </c>
      <c r="Q17" s="51">
        <v>5.91</v>
      </c>
    </row>
    <row r="18" spans="1:17" customFormat="1">
      <c r="A18" s="50" t="s">
        <v>453</v>
      </c>
      <c r="B18" s="51">
        <v>13.14</v>
      </c>
      <c r="C18" s="51">
        <v>28.73</v>
      </c>
      <c r="D18" s="51">
        <v>26.9</v>
      </c>
      <c r="E18" s="51">
        <v>9.24</v>
      </c>
      <c r="F18" s="51">
        <v>3.28</v>
      </c>
      <c r="G18" s="51">
        <v>52.72</v>
      </c>
      <c r="H18" s="51">
        <v>28.21</v>
      </c>
      <c r="I18" s="51">
        <v>8.18</v>
      </c>
      <c r="J18" s="51">
        <v>0.21</v>
      </c>
      <c r="K18" s="51">
        <v>225.71</v>
      </c>
      <c r="L18" s="51">
        <v>30.74</v>
      </c>
      <c r="M18" s="51">
        <v>63.17</v>
      </c>
      <c r="N18" s="51">
        <v>537.20000000000005</v>
      </c>
      <c r="O18" s="51">
        <v>0</v>
      </c>
      <c r="P18" s="51">
        <v>0.81</v>
      </c>
      <c r="Q18" s="51">
        <v>5.66</v>
      </c>
    </row>
    <row r="19" spans="1:17" customFormat="1">
      <c r="A19" s="50" t="s">
        <v>454</v>
      </c>
      <c r="B19" s="51">
        <v>8.9</v>
      </c>
      <c r="C19" s="51">
        <v>27.94</v>
      </c>
      <c r="D19" s="51">
        <v>23.09</v>
      </c>
      <c r="E19" s="51">
        <v>6.48</v>
      </c>
      <c r="F19" s="51">
        <v>3.69</v>
      </c>
      <c r="G19" s="51">
        <v>50.93</v>
      </c>
      <c r="H19" s="51">
        <v>22.87</v>
      </c>
      <c r="I19" s="51">
        <v>8.06</v>
      </c>
      <c r="J19" s="51">
        <v>0.36</v>
      </c>
      <c r="K19" s="51">
        <v>262.70999999999998</v>
      </c>
      <c r="L19" s="51">
        <v>31.38</v>
      </c>
      <c r="M19" s="51">
        <v>54.18</v>
      </c>
      <c r="N19" s="51">
        <v>614.4</v>
      </c>
      <c r="O19" s="51">
        <v>0</v>
      </c>
      <c r="P19" s="51">
        <v>0.77</v>
      </c>
      <c r="Q19" s="51">
        <v>5.41</v>
      </c>
    </row>
    <row r="20" spans="1:17" customFormat="1">
      <c r="A20" s="50" t="s">
        <v>455</v>
      </c>
      <c r="B20" s="51">
        <v>6.77</v>
      </c>
      <c r="C20" s="51">
        <v>26.77</v>
      </c>
      <c r="D20" s="51">
        <v>20.76</v>
      </c>
      <c r="E20" s="51">
        <v>6.58</v>
      </c>
      <c r="F20" s="51">
        <v>4.1900000000000004</v>
      </c>
      <c r="G20" s="51">
        <v>52.7</v>
      </c>
      <c r="H20" s="51">
        <v>22.3</v>
      </c>
      <c r="I20" s="51">
        <v>7.32</v>
      </c>
      <c r="J20" s="51">
        <v>0.39</v>
      </c>
      <c r="K20" s="51">
        <v>206.09</v>
      </c>
      <c r="L20" s="51">
        <v>32.5</v>
      </c>
      <c r="M20" s="51">
        <v>51.36</v>
      </c>
      <c r="N20" s="51">
        <v>678.5</v>
      </c>
      <c r="O20" s="51">
        <v>0</v>
      </c>
      <c r="P20" s="51">
        <v>0.7</v>
      </c>
      <c r="Q20" s="51">
        <v>5.26</v>
      </c>
    </row>
    <row r="21" spans="1:17" customFormat="1">
      <c r="A21" s="50" t="s">
        <v>456</v>
      </c>
      <c r="B21" s="51">
        <v>5.52</v>
      </c>
      <c r="C21" s="51">
        <v>22.46</v>
      </c>
      <c r="D21" s="51">
        <v>17.510000000000002</v>
      </c>
      <c r="E21" s="51">
        <v>6.18</v>
      </c>
      <c r="F21" s="51">
        <v>4.91</v>
      </c>
      <c r="G21" s="51">
        <v>53.31</v>
      </c>
      <c r="H21" s="51">
        <v>23.74</v>
      </c>
      <c r="I21" s="51">
        <v>7</v>
      </c>
      <c r="J21" s="51">
        <v>0.36</v>
      </c>
      <c r="K21" s="51">
        <v>187.51</v>
      </c>
      <c r="L21" s="51">
        <v>33.43</v>
      </c>
      <c r="M21" s="51">
        <v>43.88</v>
      </c>
      <c r="N21" s="51">
        <v>681.2</v>
      </c>
      <c r="O21" s="51">
        <v>0</v>
      </c>
      <c r="P21" s="51">
        <v>0.7</v>
      </c>
      <c r="Q21" s="51">
        <v>5.1100000000000003</v>
      </c>
    </row>
    <row r="22" spans="1:17" customFormat="1">
      <c r="A22" s="50" t="s">
        <v>457</v>
      </c>
      <c r="B22" s="51">
        <v>5</v>
      </c>
      <c r="C22" s="51">
        <v>21.16</v>
      </c>
      <c r="D22" s="51">
        <v>16.32</v>
      </c>
      <c r="E22" s="51">
        <v>6.97</v>
      </c>
      <c r="F22" s="51">
        <v>7.32</v>
      </c>
      <c r="G22" s="51">
        <v>46.84</v>
      </c>
      <c r="H22" s="51">
        <v>17.36</v>
      </c>
      <c r="I22" s="51">
        <v>6.64</v>
      </c>
      <c r="J22" s="51">
        <v>0.36</v>
      </c>
      <c r="K22" s="51">
        <v>174.95</v>
      </c>
      <c r="L22" s="51">
        <v>33.46</v>
      </c>
      <c r="M22" s="51">
        <v>41.43</v>
      </c>
      <c r="N22" s="51">
        <v>565.5</v>
      </c>
      <c r="O22" s="51">
        <v>0</v>
      </c>
      <c r="P22" s="51">
        <v>0.67</v>
      </c>
      <c r="Q22" s="51">
        <v>5.03</v>
      </c>
    </row>
    <row r="23" spans="1:17" customFormat="1">
      <c r="A23" s="50" t="s">
        <v>458</v>
      </c>
      <c r="B23" s="51">
        <v>4.84</v>
      </c>
      <c r="C23" s="51">
        <v>21.09</v>
      </c>
      <c r="D23" s="51">
        <v>16.25</v>
      </c>
      <c r="E23" s="51">
        <v>7.92</v>
      </c>
      <c r="F23" s="51">
        <v>11.2</v>
      </c>
      <c r="G23" s="51">
        <v>48.41</v>
      </c>
      <c r="H23" s="51">
        <v>17.14</v>
      </c>
      <c r="I23" s="51">
        <v>6.22</v>
      </c>
      <c r="J23" s="51">
        <v>0.34</v>
      </c>
      <c r="K23" s="51">
        <v>194.09</v>
      </c>
      <c r="L23" s="51">
        <v>33.44</v>
      </c>
      <c r="M23" s="51">
        <v>49.21</v>
      </c>
      <c r="N23" s="51">
        <v>423.6</v>
      </c>
      <c r="O23" s="51">
        <v>0</v>
      </c>
      <c r="P23" s="51">
        <v>0.65</v>
      </c>
      <c r="Q23" s="51">
        <v>5.03</v>
      </c>
    </row>
    <row r="24" spans="1:17" customFormat="1">
      <c r="A24" s="50" t="s">
        <v>459</v>
      </c>
      <c r="B24" s="51">
        <v>4.37</v>
      </c>
      <c r="C24" s="51">
        <v>19.41</v>
      </c>
      <c r="D24" s="51">
        <v>14.86</v>
      </c>
      <c r="E24" s="51">
        <v>7.72</v>
      </c>
      <c r="F24" s="51">
        <v>10.93</v>
      </c>
      <c r="G24" s="51">
        <v>45.76</v>
      </c>
      <c r="H24" s="51">
        <v>16.14</v>
      </c>
      <c r="I24" s="51">
        <v>5.83</v>
      </c>
      <c r="J24" s="51">
        <v>0.33</v>
      </c>
      <c r="K24" s="51">
        <v>188.76</v>
      </c>
      <c r="L24" s="51">
        <v>31.32</v>
      </c>
      <c r="M24" s="51">
        <v>54.99</v>
      </c>
      <c r="N24" s="51">
        <v>102.6</v>
      </c>
      <c r="O24" s="51">
        <v>0</v>
      </c>
      <c r="P24" s="51">
        <v>0.62</v>
      </c>
      <c r="Q24" s="51">
        <v>5</v>
      </c>
    </row>
    <row r="25" spans="1:17" customFormat="1">
      <c r="A25" s="50" t="s">
        <v>460</v>
      </c>
      <c r="B25" s="51">
        <v>4.59</v>
      </c>
      <c r="C25" s="51">
        <v>19.850000000000001</v>
      </c>
      <c r="D25" s="51">
        <v>15.4</v>
      </c>
      <c r="E25" s="51">
        <v>6.6</v>
      </c>
      <c r="F25" s="51">
        <v>8.91</v>
      </c>
      <c r="G25" s="51">
        <v>46.91</v>
      </c>
      <c r="H25" s="51">
        <v>17.690000000000001</v>
      </c>
      <c r="I25" s="51">
        <v>5.51</v>
      </c>
      <c r="J25" s="51">
        <v>0.28999999999999998</v>
      </c>
      <c r="K25" s="51">
        <v>173.57</v>
      </c>
      <c r="L25" s="51">
        <v>30.59</v>
      </c>
      <c r="M25" s="51">
        <v>62.87</v>
      </c>
      <c r="N25" s="51">
        <v>51.8</v>
      </c>
      <c r="O25" s="51">
        <v>0</v>
      </c>
      <c r="P25" s="51">
        <v>0.6</v>
      </c>
      <c r="Q25" s="51">
        <v>5</v>
      </c>
    </row>
    <row r="26" spans="1:17" customFormat="1">
      <c r="A26" s="50" t="s">
        <v>461</v>
      </c>
      <c r="B26" s="51">
        <v>5.13</v>
      </c>
      <c r="C26" s="51">
        <v>21.06</v>
      </c>
      <c r="D26" s="51">
        <v>16.47</v>
      </c>
      <c r="E26" s="51">
        <v>5.9</v>
      </c>
      <c r="F26" s="51">
        <v>7.34</v>
      </c>
      <c r="G26" s="51">
        <v>47.75</v>
      </c>
      <c r="H26" s="51">
        <v>20.46</v>
      </c>
      <c r="I26" s="51">
        <v>4.9800000000000004</v>
      </c>
      <c r="J26" s="51">
        <v>0.23</v>
      </c>
      <c r="K26" s="51">
        <v>169.89</v>
      </c>
      <c r="L26" s="51">
        <v>28.83</v>
      </c>
      <c r="M26" s="51">
        <v>69.59</v>
      </c>
      <c r="N26" s="51">
        <v>3.1</v>
      </c>
      <c r="O26" s="51">
        <v>0</v>
      </c>
      <c r="P26" s="51">
        <v>0.59</v>
      </c>
      <c r="Q26" s="51">
        <v>5.07</v>
      </c>
    </row>
    <row r="27" spans="1:17" customFormat="1">
      <c r="A27" s="50" t="s">
        <v>462</v>
      </c>
      <c r="B27" s="51">
        <v>5.83</v>
      </c>
      <c r="C27" s="51">
        <v>22.49</v>
      </c>
      <c r="D27" s="51">
        <v>17.77</v>
      </c>
      <c r="E27" s="51">
        <v>6.6</v>
      </c>
      <c r="F27" s="51">
        <v>4.95</v>
      </c>
      <c r="G27" s="51">
        <v>49.6</v>
      </c>
      <c r="H27" s="51">
        <v>17.059999999999999</v>
      </c>
      <c r="I27" s="51">
        <v>4.91</v>
      </c>
      <c r="J27" s="51">
        <v>0.19</v>
      </c>
      <c r="K27" s="51">
        <v>188.95</v>
      </c>
      <c r="L27" s="51">
        <v>27.25</v>
      </c>
      <c r="M27" s="51">
        <v>78.55</v>
      </c>
      <c r="N27" s="51">
        <v>0</v>
      </c>
      <c r="O27" s="51">
        <v>0</v>
      </c>
      <c r="P27" s="51">
        <v>0.6</v>
      </c>
      <c r="Q27" s="51">
        <v>5.15</v>
      </c>
    </row>
    <row r="28" spans="1:17" customFormat="1">
      <c r="A28" s="50" t="s">
        <v>463</v>
      </c>
      <c r="B28" s="51">
        <v>6.82</v>
      </c>
      <c r="C28" s="51">
        <v>23.84</v>
      </c>
      <c r="D28" s="51">
        <v>19.27</v>
      </c>
      <c r="E28" s="51">
        <v>7.09</v>
      </c>
      <c r="F28" s="51">
        <v>4.25</v>
      </c>
      <c r="G28" s="51">
        <v>52.63</v>
      </c>
      <c r="H28" s="51">
        <v>21.09</v>
      </c>
      <c r="I28" s="51">
        <v>5.31</v>
      </c>
      <c r="J28" s="51">
        <v>0.31</v>
      </c>
      <c r="K28" s="51">
        <v>184.06</v>
      </c>
      <c r="L28" s="51">
        <v>26.53</v>
      </c>
      <c r="M28" s="51">
        <v>76.41</v>
      </c>
      <c r="N28" s="51">
        <v>0</v>
      </c>
      <c r="O28" s="51">
        <v>0</v>
      </c>
      <c r="P28" s="51">
        <v>0.63</v>
      </c>
      <c r="Q28" s="51">
        <v>5.24</v>
      </c>
    </row>
    <row r="29" spans="1:17" customFormat="1">
      <c r="A29" s="50" t="s">
        <v>464</v>
      </c>
      <c r="B29" s="51">
        <v>9.85</v>
      </c>
      <c r="C29" s="51">
        <v>27.09</v>
      </c>
      <c r="D29" s="51">
        <v>23.4</v>
      </c>
      <c r="E29" s="51">
        <v>7.08</v>
      </c>
      <c r="F29" s="51">
        <v>2.83</v>
      </c>
      <c r="G29" s="51">
        <v>56.48</v>
      </c>
      <c r="H29" s="51">
        <v>21.88</v>
      </c>
      <c r="I29" s="51">
        <v>5.56</v>
      </c>
      <c r="J29" s="51">
        <v>0.85</v>
      </c>
      <c r="K29" s="51">
        <v>169.37</v>
      </c>
      <c r="L29" s="51">
        <v>25.96</v>
      </c>
      <c r="M29" s="51">
        <v>82.09</v>
      </c>
      <c r="N29" s="51">
        <v>0</v>
      </c>
      <c r="O29" s="51">
        <v>0</v>
      </c>
      <c r="P29" s="51">
        <v>0.71</v>
      </c>
      <c r="Q29" s="51">
        <v>5.41</v>
      </c>
    </row>
    <row r="30" spans="1:17" customFormat="1">
      <c r="A30" s="50" t="s">
        <v>465</v>
      </c>
      <c r="B30" s="51">
        <v>11.31</v>
      </c>
      <c r="C30" s="51">
        <v>25.27</v>
      </c>
      <c r="D30" s="51">
        <v>22.85</v>
      </c>
      <c r="E30" s="51">
        <v>7.12</v>
      </c>
      <c r="F30" s="51">
        <v>3.39</v>
      </c>
      <c r="G30" s="51">
        <v>64.77</v>
      </c>
      <c r="H30" s="51">
        <v>20.93</v>
      </c>
      <c r="I30" s="51">
        <v>5.75</v>
      </c>
      <c r="J30" s="51">
        <v>0.61</v>
      </c>
      <c r="K30" s="51">
        <v>37.53</v>
      </c>
      <c r="L30" s="51">
        <v>24.7</v>
      </c>
      <c r="M30" s="51">
        <v>78.61</v>
      </c>
      <c r="N30" s="51">
        <v>0</v>
      </c>
      <c r="O30" s="51">
        <v>0</v>
      </c>
      <c r="P30" s="51">
        <v>0.66</v>
      </c>
      <c r="Q30" s="51">
        <v>5.44</v>
      </c>
    </row>
    <row r="31" spans="1:17" customFormat="1">
      <c r="A31" s="50" t="s">
        <v>466</v>
      </c>
      <c r="B31" s="51">
        <v>14.11</v>
      </c>
      <c r="C31" s="51">
        <v>25.6</v>
      </c>
      <c r="D31" s="51">
        <v>26.05</v>
      </c>
      <c r="E31" s="51">
        <v>7.01</v>
      </c>
      <c r="F31" s="51">
        <v>2.62</v>
      </c>
      <c r="G31" s="51">
        <v>65.84</v>
      </c>
      <c r="H31" s="51">
        <v>19.96</v>
      </c>
      <c r="I31" s="51">
        <v>5.61</v>
      </c>
      <c r="J31" s="51">
        <v>0.32</v>
      </c>
      <c r="K31" s="51">
        <v>62.84</v>
      </c>
      <c r="L31" s="51">
        <v>24.23</v>
      </c>
      <c r="M31" s="51">
        <v>79.989999999999995</v>
      </c>
      <c r="N31" s="51">
        <v>0</v>
      </c>
      <c r="O31" s="51">
        <v>0</v>
      </c>
      <c r="P31" s="51">
        <v>0.65</v>
      </c>
      <c r="Q31" s="51">
        <v>5.57</v>
      </c>
    </row>
    <row r="32" spans="1:17" customFormat="1">
      <c r="A32" s="50" t="s">
        <v>467</v>
      </c>
      <c r="B32" s="51">
        <v>16.510000000000002</v>
      </c>
      <c r="C32" s="51">
        <v>26.25</v>
      </c>
      <c r="D32" s="51">
        <v>27.73</v>
      </c>
      <c r="E32" s="51">
        <v>7.03</v>
      </c>
      <c r="F32" s="51">
        <v>2.73</v>
      </c>
      <c r="G32" s="51">
        <v>62.78</v>
      </c>
      <c r="H32" s="51">
        <v>22.02</v>
      </c>
      <c r="I32" s="51">
        <v>5.54</v>
      </c>
      <c r="J32" s="51">
        <v>0.34</v>
      </c>
      <c r="K32" s="51">
        <v>36.380000000000003</v>
      </c>
      <c r="L32" s="51">
        <v>24.08</v>
      </c>
      <c r="M32" s="51">
        <v>79.33</v>
      </c>
      <c r="N32" s="51">
        <v>0</v>
      </c>
      <c r="O32" s="51">
        <v>0</v>
      </c>
      <c r="P32" s="51">
        <v>0.65</v>
      </c>
      <c r="Q32" s="51">
        <v>5.73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4.37</v>
      </c>
      <c r="C34" s="41">
        <f t="shared" si="0"/>
        <v>19.41</v>
      </c>
      <c r="D34" s="41">
        <f t="shared" si="0"/>
        <v>14.86</v>
      </c>
      <c r="E34" s="41">
        <f t="shared" si="0"/>
        <v>5.9</v>
      </c>
      <c r="F34" s="41">
        <f t="shared" si="0"/>
        <v>2.56</v>
      </c>
      <c r="G34" s="41">
        <f t="shared" si="0"/>
        <v>45.76</v>
      </c>
      <c r="H34" s="41">
        <f t="shared" si="0"/>
        <v>16.14</v>
      </c>
      <c r="I34" s="41">
        <f t="shared" si="0"/>
        <v>4.91</v>
      </c>
      <c r="J34" s="41">
        <f t="shared" si="0"/>
        <v>0.11</v>
      </c>
      <c r="K34" s="41">
        <f t="shared" si="0"/>
        <v>36.380000000000003</v>
      </c>
      <c r="L34" s="41">
        <f t="shared" si="0"/>
        <v>21.82</v>
      </c>
      <c r="M34" s="41">
        <f t="shared" si="0"/>
        <v>41.43</v>
      </c>
      <c r="N34" s="41">
        <f t="shared" si="0"/>
        <v>0</v>
      </c>
      <c r="O34" s="41">
        <f t="shared" si="0"/>
        <v>0</v>
      </c>
      <c r="P34" s="41">
        <f t="shared" si="0"/>
        <v>0.59</v>
      </c>
      <c r="Q34" s="41">
        <f t="shared" si="0"/>
        <v>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20.83</v>
      </c>
      <c r="C35" s="33">
        <f t="shared" si="1"/>
        <v>28.79</v>
      </c>
      <c r="D35" s="33">
        <f t="shared" si="1"/>
        <v>31.69</v>
      </c>
      <c r="E35" s="33">
        <f t="shared" si="1"/>
        <v>9.2899999999999991</v>
      </c>
      <c r="F35" s="33">
        <f t="shared" si="1"/>
        <v>11.2</v>
      </c>
      <c r="G35" s="33">
        <f t="shared" si="1"/>
        <v>65.84</v>
      </c>
      <c r="H35" s="33">
        <f t="shared" si="1"/>
        <v>28.21</v>
      </c>
      <c r="I35" s="33">
        <f t="shared" si="1"/>
        <v>8.18</v>
      </c>
      <c r="J35" s="33">
        <f t="shared" si="1"/>
        <v>0.85</v>
      </c>
      <c r="K35" s="33">
        <f t="shared" si="1"/>
        <v>262.70999999999998</v>
      </c>
      <c r="L35" s="33">
        <f t="shared" si="1"/>
        <v>33.46</v>
      </c>
      <c r="M35" s="33">
        <f t="shared" si="1"/>
        <v>96.8</v>
      </c>
      <c r="N35" s="33">
        <f t="shared" si="1"/>
        <v>681.2</v>
      </c>
      <c r="O35" s="33">
        <f t="shared" si="1"/>
        <v>0</v>
      </c>
      <c r="P35" s="33">
        <f t="shared" si="1"/>
        <v>0.81</v>
      </c>
      <c r="Q35" s="33">
        <f t="shared" si="1"/>
        <v>5.95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11.444166666666668</v>
      </c>
      <c r="C36" s="41">
        <f t="shared" si="2"/>
        <v>24.9175</v>
      </c>
      <c r="D36" s="41">
        <f t="shared" si="2"/>
        <v>23.375833333333329</v>
      </c>
      <c r="E36" s="41">
        <f t="shared" si="2"/>
        <v>7.6920833333333336</v>
      </c>
      <c r="F36" s="41">
        <f t="shared" si="2"/>
        <v>4.4658333333333333</v>
      </c>
      <c r="G36" s="41">
        <f t="shared" si="2"/>
        <v>52.089999999999982</v>
      </c>
      <c r="H36" s="41">
        <f t="shared" si="2"/>
        <v>21.287916666666664</v>
      </c>
      <c r="I36" s="41">
        <f t="shared" si="2"/>
        <v>6.4900000000000011</v>
      </c>
      <c r="J36" s="41">
        <f t="shared" si="2"/>
        <v>0.29208333333333331</v>
      </c>
      <c r="K36" s="41">
        <f t="shared" si="2"/>
        <v>183.84833333333336</v>
      </c>
      <c r="L36" s="41">
        <f t="shared" si="2"/>
        <v>27.119583333333335</v>
      </c>
      <c r="M36" s="41">
        <f t="shared" si="2"/>
        <v>74.145416666666648</v>
      </c>
      <c r="N36" s="41">
        <f t="shared" si="2"/>
        <v>179.87083333333339</v>
      </c>
      <c r="O36" s="41">
        <f t="shared" si="2"/>
        <v>0</v>
      </c>
      <c r="P36" s="41">
        <f t="shared" si="2"/>
        <v>0.69208333333333327</v>
      </c>
      <c r="Q36" s="41">
        <f t="shared" si="2"/>
        <v>5.4604166666666663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5.7345792587915509</v>
      </c>
      <c r="C37" s="41">
        <f t="shared" ref="C37:Q37" si="3">STDEV(C9:C32)</f>
        <v>2.8411529349896045</v>
      </c>
      <c r="D37" s="41">
        <f t="shared" si="3"/>
        <v>5.6553329327025796</v>
      </c>
      <c r="E37" s="41">
        <f t="shared" si="3"/>
        <v>1.1239757817546692</v>
      </c>
      <c r="F37" s="41">
        <f t="shared" si="3"/>
        <v>2.6627460762653787</v>
      </c>
      <c r="G37" s="41">
        <f t="shared" si="3"/>
        <v>5.4415103402098692</v>
      </c>
      <c r="H37" s="41">
        <f t="shared" si="3"/>
        <v>2.819498844100508</v>
      </c>
      <c r="I37" s="41">
        <f t="shared" si="3"/>
        <v>0.97960062847281637</v>
      </c>
      <c r="J37" s="41">
        <f t="shared" si="3"/>
        <v>0.1643162160000641</v>
      </c>
      <c r="K37" s="41">
        <f t="shared" si="3"/>
        <v>60.417989810598733</v>
      </c>
      <c r="L37" s="41">
        <f t="shared" si="3"/>
        <v>4.1134450590257075</v>
      </c>
      <c r="M37" s="41">
        <f t="shared" si="3"/>
        <v>17.546968517857085</v>
      </c>
      <c r="N37" s="41">
        <f t="shared" si="3"/>
        <v>258.23882522085876</v>
      </c>
      <c r="O37" s="41">
        <f t="shared" si="3"/>
        <v>0</v>
      </c>
      <c r="P37" s="41">
        <f t="shared" si="3"/>
        <v>6.227422990407086E-2</v>
      </c>
      <c r="Q37" s="41">
        <f t="shared" si="3"/>
        <v>0.33473518627049492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2" activePane="bottomRight" state="frozen"/>
      <selection activeCell="G19" sqref="G19"/>
      <selection pane="topRight" activeCell="G19" sqref="G19"/>
      <selection pane="bottomLeft" activeCell="G19" sqref="G19"/>
      <selection pane="bottomRight" activeCell="Q20" sqref="Q20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468</v>
      </c>
      <c r="B9" s="51">
        <v>18.690000000000001</v>
      </c>
      <c r="C9" s="51">
        <v>26.19</v>
      </c>
      <c r="D9" s="51">
        <v>30.01</v>
      </c>
      <c r="E9" s="51">
        <v>6.82</v>
      </c>
      <c r="F9" s="51">
        <v>2.75</v>
      </c>
      <c r="G9" s="51">
        <v>64.56</v>
      </c>
      <c r="H9" s="51">
        <v>20.68</v>
      </c>
      <c r="I9" s="51">
        <v>5.47</v>
      </c>
      <c r="J9" s="51">
        <v>0.34</v>
      </c>
      <c r="K9" s="51">
        <v>29.76</v>
      </c>
      <c r="L9" s="51">
        <v>23.82</v>
      </c>
      <c r="M9" s="51">
        <v>81.459999999999994</v>
      </c>
      <c r="N9" s="51">
        <v>0</v>
      </c>
      <c r="O9" s="51">
        <v>0</v>
      </c>
      <c r="P9" s="51">
        <v>0.64</v>
      </c>
      <c r="Q9" s="51">
        <v>5.81</v>
      </c>
    </row>
    <row r="10" spans="1:21" customFormat="1">
      <c r="A10" s="50" t="s">
        <v>469</v>
      </c>
      <c r="B10" s="51">
        <v>19.07</v>
      </c>
      <c r="C10" s="51">
        <v>27.46</v>
      </c>
      <c r="D10" s="51">
        <v>30.61</v>
      </c>
      <c r="E10" s="51">
        <v>7.47</v>
      </c>
      <c r="F10" s="51">
        <v>2.79</v>
      </c>
      <c r="G10" s="51">
        <v>60.18</v>
      </c>
      <c r="H10" s="51">
        <v>20.43</v>
      </c>
      <c r="I10" s="51">
        <v>5.31</v>
      </c>
      <c r="J10" s="51">
        <v>0.39</v>
      </c>
      <c r="K10" s="51">
        <v>45.71</v>
      </c>
      <c r="L10" s="51">
        <v>23.46</v>
      </c>
      <c r="M10" s="51">
        <v>84.89</v>
      </c>
      <c r="N10" s="51">
        <v>0</v>
      </c>
      <c r="O10" s="51">
        <v>0</v>
      </c>
      <c r="P10" s="51">
        <v>0.65</v>
      </c>
      <c r="Q10" s="51">
        <v>5.89</v>
      </c>
    </row>
    <row r="11" spans="1:21" customFormat="1">
      <c r="A11" s="50" t="s">
        <v>470</v>
      </c>
      <c r="B11" s="51">
        <v>18.420000000000002</v>
      </c>
      <c r="C11" s="51">
        <v>28.64</v>
      </c>
      <c r="D11" s="51">
        <v>30.72</v>
      </c>
      <c r="E11" s="51">
        <v>7.13</v>
      </c>
      <c r="F11" s="51">
        <v>2.83</v>
      </c>
      <c r="G11" s="51">
        <v>55.19</v>
      </c>
      <c r="H11" s="51">
        <v>19.38</v>
      </c>
      <c r="I11" s="51">
        <v>5.17</v>
      </c>
      <c r="J11" s="51">
        <v>0.28999999999999998</v>
      </c>
      <c r="K11" s="51">
        <v>65.739999999999995</v>
      </c>
      <c r="L11" s="51">
        <v>23.17</v>
      </c>
      <c r="M11" s="51">
        <v>85.04</v>
      </c>
      <c r="N11" s="51">
        <v>0</v>
      </c>
      <c r="O11" s="51">
        <v>0</v>
      </c>
      <c r="P11" s="51">
        <v>0.64</v>
      </c>
      <c r="Q11" s="51">
        <v>5.88</v>
      </c>
    </row>
    <row r="12" spans="1:21" customFormat="1">
      <c r="A12" s="50" t="s">
        <v>471</v>
      </c>
      <c r="B12" s="51">
        <v>17.04</v>
      </c>
      <c r="C12" s="51">
        <v>29.18</v>
      </c>
      <c r="D12" s="51">
        <v>30.12</v>
      </c>
      <c r="E12" s="51">
        <v>7.13</v>
      </c>
      <c r="F12" s="51">
        <v>2.76</v>
      </c>
      <c r="G12" s="51">
        <v>52.77</v>
      </c>
      <c r="H12" s="51">
        <v>18.48</v>
      </c>
      <c r="I12" s="51">
        <v>4.84</v>
      </c>
      <c r="J12" s="51">
        <v>0.11</v>
      </c>
      <c r="K12" s="51">
        <v>199.09</v>
      </c>
      <c r="L12" s="51">
        <v>23.11</v>
      </c>
      <c r="M12" s="51">
        <v>87.45</v>
      </c>
      <c r="N12" s="51">
        <v>0</v>
      </c>
      <c r="O12" s="51">
        <v>0</v>
      </c>
      <c r="P12" s="51">
        <v>0.61</v>
      </c>
      <c r="Q12" s="51">
        <v>5.82</v>
      </c>
    </row>
    <row r="13" spans="1:21" customFormat="1">
      <c r="A13" s="50" t="s">
        <v>472</v>
      </c>
      <c r="B13" s="51">
        <v>16.899999999999999</v>
      </c>
      <c r="C13" s="51">
        <v>29.59</v>
      </c>
      <c r="D13" s="51">
        <v>30.29</v>
      </c>
      <c r="E13" s="51">
        <v>7.27</v>
      </c>
      <c r="F13" s="51">
        <v>2.59</v>
      </c>
      <c r="G13" s="51">
        <v>48.58</v>
      </c>
      <c r="H13" s="51">
        <v>20.09</v>
      </c>
      <c r="I13" s="51">
        <v>4.6100000000000003</v>
      </c>
      <c r="J13" s="51">
        <v>0.19</v>
      </c>
      <c r="K13" s="51">
        <v>234.99</v>
      </c>
      <c r="L13" s="51">
        <v>22.58</v>
      </c>
      <c r="M13" s="51">
        <v>90.32</v>
      </c>
      <c r="N13" s="51">
        <v>0</v>
      </c>
      <c r="O13" s="51">
        <v>0</v>
      </c>
      <c r="P13" s="51">
        <v>0.57999999999999996</v>
      </c>
      <c r="Q13" s="51">
        <v>5.86</v>
      </c>
    </row>
    <row r="14" spans="1:21" customFormat="1">
      <c r="A14" s="50" t="s">
        <v>473</v>
      </c>
      <c r="B14" s="51">
        <v>16.989999999999998</v>
      </c>
      <c r="C14" s="51">
        <v>29.5</v>
      </c>
      <c r="D14" s="51">
        <v>30.39</v>
      </c>
      <c r="E14" s="51">
        <v>6.98</v>
      </c>
      <c r="F14" s="51">
        <v>2.73</v>
      </c>
      <c r="G14" s="51">
        <v>46.89</v>
      </c>
      <c r="H14" s="51">
        <v>19.5</v>
      </c>
      <c r="I14" s="51">
        <v>4.46</v>
      </c>
      <c r="J14" s="51">
        <v>0.16</v>
      </c>
      <c r="K14" s="51">
        <v>215.72</v>
      </c>
      <c r="L14" s="51">
        <v>22.31</v>
      </c>
      <c r="M14" s="51">
        <v>95.75</v>
      </c>
      <c r="N14" s="51">
        <v>0</v>
      </c>
      <c r="O14" s="51">
        <v>0</v>
      </c>
      <c r="P14" s="51">
        <v>0.57999999999999996</v>
      </c>
      <c r="Q14" s="51">
        <v>5.85</v>
      </c>
    </row>
    <row r="15" spans="1:21" customFormat="1">
      <c r="A15" s="50" t="s">
        <v>474</v>
      </c>
      <c r="B15" s="51">
        <v>16.649999999999999</v>
      </c>
      <c r="C15" s="51">
        <v>28.5</v>
      </c>
      <c r="D15" s="51">
        <v>29.51</v>
      </c>
      <c r="E15" s="51">
        <v>7</v>
      </c>
      <c r="F15" s="51">
        <v>2.77</v>
      </c>
      <c r="G15" s="51">
        <v>44.73</v>
      </c>
      <c r="H15" s="51">
        <v>19.11</v>
      </c>
      <c r="I15" s="51">
        <v>4.7699999999999996</v>
      </c>
      <c r="J15" s="51">
        <v>0.18</v>
      </c>
      <c r="K15" s="51">
        <v>277.83</v>
      </c>
      <c r="L15" s="51">
        <v>22.78</v>
      </c>
      <c r="M15" s="51">
        <v>96</v>
      </c>
      <c r="N15" s="51">
        <v>40.700000000000003</v>
      </c>
      <c r="O15" s="51">
        <v>0</v>
      </c>
      <c r="P15" s="51">
        <v>0.59</v>
      </c>
      <c r="Q15" s="51">
        <v>5.83</v>
      </c>
    </row>
    <row r="16" spans="1:21" customFormat="1">
      <c r="A16" s="50" t="s">
        <v>475</v>
      </c>
      <c r="B16" s="51">
        <v>18.59</v>
      </c>
      <c r="C16" s="51">
        <v>25.66</v>
      </c>
      <c r="D16" s="51">
        <v>29.67</v>
      </c>
      <c r="E16" s="51">
        <v>6.89</v>
      </c>
      <c r="F16" s="51">
        <v>2.96</v>
      </c>
      <c r="G16" s="51">
        <v>52.38</v>
      </c>
      <c r="H16" s="51">
        <v>22.47</v>
      </c>
      <c r="I16" s="51">
        <v>5.1100000000000003</v>
      </c>
      <c r="J16" s="51">
        <v>0.26</v>
      </c>
      <c r="K16" s="51">
        <v>340.84</v>
      </c>
      <c r="L16" s="51">
        <v>25.27</v>
      </c>
      <c r="M16" s="51">
        <v>89.57</v>
      </c>
      <c r="N16" s="51">
        <v>188.2</v>
      </c>
      <c r="O16" s="51">
        <v>0</v>
      </c>
      <c r="P16" s="51">
        <v>0.6</v>
      </c>
      <c r="Q16" s="51">
        <v>5.83</v>
      </c>
    </row>
    <row r="17" spans="1:17" customFormat="1">
      <c r="A17" s="50" t="s">
        <v>476</v>
      </c>
      <c r="B17" s="51">
        <v>19.29</v>
      </c>
      <c r="C17" s="51">
        <v>25.44</v>
      </c>
      <c r="D17" s="51">
        <v>30.03</v>
      </c>
      <c r="E17" s="51">
        <v>7.08</v>
      </c>
      <c r="F17" s="51">
        <v>2.98</v>
      </c>
      <c r="G17" s="51">
        <v>67.83</v>
      </c>
      <c r="H17" s="51">
        <v>26.11</v>
      </c>
      <c r="I17" s="51">
        <v>5.64</v>
      </c>
      <c r="J17" s="51">
        <v>0.35</v>
      </c>
      <c r="K17" s="51">
        <v>317.72000000000003</v>
      </c>
      <c r="L17" s="51">
        <v>27.35</v>
      </c>
      <c r="M17" s="51">
        <v>77.81</v>
      </c>
      <c r="N17" s="51">
        <v>337.4</v>
      </c>
      <c r="O17" s="51">
        <v>0</v>
      </c>
      <c r="P17" s="51">
        <v>0.64</v>
      </c>
      <c r="Q17" s="51">
        <v>5.88</v>
      </c>
    </row>
    <row r="18" spans="1:17" customFormat="1">
      <c r="A18" s="50" t="s">
        <v>477</v>
      </c>
      <c r="B18" s="51">
        <v>19.04</v>
      </c>
      <c r="C18" s="51">
        <v>27.38</v>
      </c>
      <c r="D18" s="51">
        <v>30.77</v>
      </c>
      <c r="E18" s="51">
        <v>7.53</v>
      </c>
      <c r="F18" s="51">
        <v>3.02</v>
      </c>
      <c r="G18" s="51">
        <v>87.41</v>
      </c>
      <c r="H18" s="51">
        <v>31.41</v>
      </c>
      <c r="I18" s="51">
        <v>6.33</v>
      </c>
      <c r="J18" s="51">
        <v>0.55000000000000004</v>
      </c>
      <c r="K18" s="51">
        <v>51.99</v>
      </c>
      <c r="L18" s="51">
        <v>29.01</v>
      </c>
      <c r="M18" s="51">
        <v>68.900000000000006</v>
      </c>
      <c r="N18" s="51">
        <v>464.4</v>
      </c>
      <c r="O18" s="51">
        <v>0</v>
      </c>
      <c r="P18" s="51">
        <v>0.73</v>
      </c>
      <c r="Q18" s="51">
        <v>5.88</v>
      </c>
    </row>
    <row r="19" spans="1:17" customFormat="1">
      <c r="A19" s="50" t="s">
        <v>478</v>
      </c>
      <c r="B19" s="51">
        <v>18.41</v>
      </c>
      <c r="C19" s="51">
        <v>29.61</v>
      </c>
      <c r="D19" s="51">
        <v>30.25</v>
      </c>
      <c r="E19" s="51">
        <v>17.809999999999999</v>
      </c>
      <c r="F19" s="51">
        <v>6.94</v>
      </c>
      <c r="G19" s="51">
        <v>108.31</v>
      </c>
      <c r="H19" s="51">
        <v>41.84</v>
      </c>
      <c r="I19" s="51">
        <v>6.64</v>
      </c>
      <c r="J19" s="51">
        <v>0.42</v>
      </c>
      <c r="K19" s="51">
        <v>359.59</v>
      </c>
      <c r="L19" s="51">
        <v>30.68</v>
      </c>
      <c r="M19" s="51">
        <v>61.07</v>
      </c>
      <c r="N19" s="51">
        <v>522.70000000000005</v>
      </c>
      <c r="O19" s="51">
        <v>0</v>
      </c>
      <c r="P19" s="51">
        <v>0.88</v>
      </c>
      <c r="Q19" s="51">
        <v>5.84</v>
      </c>
    </row>
    <row r="20" spans="1:17" customFormat="1">
      <c r="A20" s="50" t="s">
        <v>479</v>
      </c>
      <c r="B20" s="51">
        <v>12.49</v>
      </c>
      <c r="C20" s="51">
        <v>34.76</v>
      </c>
      <c r="D20" s="51">
        <v>26.89</v>
      </c>
      <c r="E20" s="51">
        <v>21.95</v>
      </c>
      <c r="F20" s="51">
        <v>12.52</v>
      </c>
      <c r="G20" s="51">
        <v>115.28</v>
      </c>
      <c r="H20" s="51">
        <v>40.799999999999997</v>
      </c>
      <c r="I20" s="51">
        <v>6.76</v>
      </c>
      <c r="J20" s="51">
        <v>0.59</v>
      </c>
      <c r="K20" s="51">
        <v>45.64</v>
      </c>
      <c r="L20" s="51">
        <v>31.4</v>
      </c>
      <c r="M20" s="51">
        <v>58.14</v>
      </c>
      <c r="N20" s="51">
        <v>611.79999999999995</v>
      </c>
      <c r="O20" s="51">
        <v>0</v>
      </c>
      <c r="P20" s="51">
        <v>0.91</v>
      </c>
      <c r="Q20" s="30" t="s">
        <v>8</v>
      </c>
    </row>
    <row r="21" spans="1:17" customFormat="1">
      <c r="A21" s="50" t="s">
        <v>480</v>
      </c>
      <c r="B21" s="51">
        <v>3.46</v>
      </c>
      <c r="C21" s="51">
        <v>30.81</v>
      </c>
      <c r="D21" s="51">
        <v>20.22</v>
      </c>
      <c r="E21" s="51">
        <v>31.77</v>
      </c>
      <c r="F21" s="51">
        <v>18.239999999999998</v>
      </c>
      <c r="G21" s="51">
        <v>79.5</v>
      </c>
      <c r="H21" s="51">
        <v>27.94</v>
      </c>
      <c r="I21" s="51">
        <v>5.92</v>
      </c>
      <c r="J21" s="51">
        <v>0.56999999999999995</v>
      </c>
      <c r="K21" s="51">
        <v>68.459999999999994</v>
      </c>
      <c r="L21" s="51">
        <v>32.020000000000003</v>
      </c>
      <c r="M21" s="51">
        <v>51.5</v>
      </c>
      <c r="N21" s="51">
        <v>601.4</v>
      </c>
      <c r="O21" s="51">
        <v>0</v>
      </c>
      <c r="P21" s="51">
        <v>0.81</v>
      </c>
      <c r="Q21" s="51">
        <v>4.97</v>
      </c>
    </row>
    <row r="22" spans="1:17" customFormat="1">
      <c r="A22" s="50" t="s">
        <v>481</v>
      </c>
      <c r="B22" s="51">
        <v>1.99</v>
      </c>
      <c r="C22" s="51">
        <v>25.48</v>
      </c>
      <c r="D22" s="51">
        <v>16.03</v>
      </c>
      <c r="E22" s="51">
        <v>22.93</v>
      </c>
      <c r="F22" s="51">
        <v>22.19</v>
      </c>
      <c r="G22" s="51">
        <v>84.72</v>
      </c>
      <c r="H22" s="51">
        <v>27.54</v>
      </c>
      <c r="I22" s="51">
        <v>4.1399999999999997</v>
      </c>
      <c r="J22" s="51">
        <v>0.62</v>
      </c>
      <c r="K22" s="51">
        <v>41.71</v>
      </c>
      <c r="L22" s="51">
        <v>31.83</v>
      </c>
      <c r="M22" s="51">
        <v>54.8</v>
      </c>
      <c r="N22" s="51">
        <v>517</v>
      </c>
      <c r="O22" s="51">
        <v>0</v>
      </c>
      <c r="P22" s="51">
        <v>0.81</v>
      </c>
      <c r="Q22" s="51">
        <v>4.51</v>
      </c>
    </row>
    <row r="23" spans="1:17" customFormat="1">
      <c r="A23" s="50" t="s">
        <v>482</v>
      </c>
      <c r="B23" s="51">
        <v>1.52</v>
      </c>
      <c r="C23" s="51">
        <v>23.59</v>
      </c>
      <c r="D23" s="51">
        <v>14.49</v>
      </c>
      <c r="E23" s="51">
        <v>13.26</v>
      </c>
      <c r="F23" s="51">
        <v>10.96</v>
      </c>
      <c r="G23" s="51">
        <v>84.5</v>
      </c>
      <c r="H23" s="51">
        <v>28.67</v>
      </c>
      <c r="I23" s="51">
        <v>4.1500000000000004</v>
      </c>
      <c r="J23" s="51">
        <v>0.65</v>
      </c>
      <c r="K23" s="51">
        <v>62.26</v>
      </c>
      <c r="L23" s="51">
        <v>31.62</v>
      </c>
      <c r="M23" s="51">
        <v>57.03</v>
      </c>
      <c r="N23" s="51">
        <v>418.8</v>
      </c>
      <c r="O23" s="51">
        <v>0</v>
      </c>
      <c r="P23" s="51">
        <v>0.77</v>
      </c>
      <c r="Q23" s="51">
        <v>4.5</v>
      </c>
    </row>
    <row r="24" spans="1:17" customFormat="1">
      <c r="A24" s="50" t="s">
        <v>483</v>
      </c>
      <c r="B24" s="51">
        <v>1.93</v>
      </c>
      <c r="C24" s="51">
        <v>23.79</v>
      </c>
      <c r="D24" s="51">
        <v>14.94</v>
      </c>
      <c r="E24" s="51">
        <v>11.64</v>
      </c>
      <c r="F24" s="51">
        <v>7.1</v>
      </c>
      <c r="G24" s="51">
        <v>83.01</v>
      </c>
      <c r="H24" s="51">
        <v>29.59</v>
      </c>
      <c r="I24" s="51">
        <v>4.18</v>
      </c>
      <c r="J24" s="51">
        <v>0.62</v>
      </c>
      <c r="K24" s="51">
        <v>54.49</v>
      </c>
      <c r="L24" s="51">
        <v>30.46</v>
      </c>
      <c r="M24" s="51">
        <v>57.7</v>
      </c>
      <c r="N24" s="51">
        <v>107.3</v>
      </c>
      <c r="O24" s="51">
        <v>0</v>
      </c>
      <c r="P24" s="51">
        <v>0.76</v>
      </c>
      <c r="Q24" s="51">
        <v>4.5599999999999996</v>
      </c>
    </row>
    <row r="25" spans="1:17" customFormat="1">
      <c r="A25" s="50" t="s">
        <v>484</v>
      </c>
      <c r="B25" s="51">
        <v>3.53</v>
      </c>
      <c r="C25" s="51">
        <v>28.71</v>
      </c>
      <c r="D25" s="51">
        <v>19.18</v>
      </c>
      <c r="E25" s="51">
        <v>21.28</v>
      </c>
      <c r="F25" s="51">
        <v>16.760000000000002</v>
      </c>
      <c r="G25" s="51">
        <v>80.66</v>
      </c>
      <c r="H25" s="51">
        <v>28.21</v>
      </c>
      <c r="I25" s="51">
        <v>4.5599999999999996</v>
      </c>
      <c r="J25" s="51">
        <v>0.42</v>
      </c>
      <c r="K25" s="51">
        <v>59.59</v>
      </c>
      <c r="L25" s="51">
        <v>30.14</v>
      </c>
      <c r="M25" s="51">
        <v>60.66</v>
      </c>
      <c r="N25" s="51">
        <v>47</v>
      </c>
      <c r="O25" s="51">
        <v>0</v>
      </c>
      <c r="P25" s="51">
        <v>0.74</v>
      </c>
      <c r="Q25" s="51">
        <v>4.6100000000000003</v>
      </c>
    </row>
    <row r="26" spans="1:17" customFormat="1">
      <c r="A26" s="50" t="s">
        <v>485</v>
      </c>
      <c r="B26" s="51">
        <v>3.45</v>
      </c>
      <c r="C26" s="51">
        <v>32.39</v>
      </c>
      <c r="D26" s="51">
        <v>20.68</v>
      </c>
      <c r="E26" s="51">
        <v>15.32</v>
      </c>
      <c r="F26" s="51">
        <v>6.49</v>
      </c>
      <c r="G26" s="51">
        <v>79.98</v>
      </c>
      <c r="H26" s="51">
        <v>27.15</v>
      </c>
      <c r="I26" s="51">
        <v>4.97</v>
      </c>
      <c r="J26" s="51">
        <v>0.23</v>
      </c>
      <c r="K26" s="51">
        <v>184.64</v>
      </c>
      <c r="L26" s="51">
        <v>28.97</v>
      </c>
      <c r="M26" s="51">
        <v>75.959999999999994</v>
      </c>
      <c r="N26" s="51">
        <v>2.4</v>
      </c>
      <c r="O26" s="51">
        <v>0</v>
      </c>
      <c r="P26" s="51">
        <v>0.76</v>
      </c>
      <c r="Q26" s="51">
        <v>4.6500000000000004</v>
      </c>
    </row>
    <row r="27" spans="1:17" customFormat="1">
      <c r="A27" s="50" t="s">
        <v>486</v>
      </c>
      <c r="B27" s="51">
        <v>5.2</v>
      </c>
      <c r="C27" s="51">
        <v>27.35</v>
      </c>
      <c r="D27" s="51">
        <v>18.670000000000002</v>
      </c>
      <c r="E27" s="51">
        <v>8.16</v>
      </c>
      <c r="F27" s="51">
        <v>4.49</v>
      </c>
      <c r="G27" s="51">
        <v>81</v>
      </c>
      <c r="H27" s="51">
        <v>27.52</v>
      </c>
      <c r="I27" s="51">
        <v>4.9800000000000004</v>
      </c>
      <c r="J27" s="51">
        <v>0.14000000000000001</v>
      </c>
      <c r="K27" s="51">
        <v>197.19</v>
      </c>
      <c r="L27" s="51">
        <v>26.99</v>
      </c>
      <c r="M27" s="51">
        <v>83.73</v>
      </c>
      <c r="N27" s="51">
        <v>0</v>
      </c>
      <c r="O27" s="51">
        <v>0</v>
      </c>
      <c r="P27" s="51">
        <v>0.71</v>
      </c>
      <c r="Q27" s="51">
        <v>4.7</v>
      </c>
    </row>
    <row r="28" spans="1:17" customFormat="1">
      <c r="A28" s="50" t="s">
        <v>487</v>
      </c>
      <c r="B28" s="51">
        <v>7.64</v>
      </c>
      <c r="C28" s="51">
        <v>27.07</v>
      </c>
      <c r="D28" s="51">
        <v>21.16</v>
      </c>
      <c r="E28" s="51">
        <v>9.7899999999999991</v>
      </c>
      <c r="F28" s="51">
        <v>4.2300000000000004</v>
      </c>
      <c r="G28" s="51">
        <v>81.27</v>
      </c>
      <c r="H28" s="51">
        <v>28.7</v>
      </c>
      <c r="I28" s="51">
        <v>5.59</v>
      </c>
      <c r="J28" s="51">
        <v>0.15</v>
      </c>
      <c r="K28" s="51">
        <v>200.14</v>
      </c>
      <c r="L28" s="51">
        <v>26.65</v>
      </c>
      <c r="M28" s="51">
        <v>86.69</v>
      </c>
      <c r="N28" s="51">
        <v>0</v>
      </c>
      <c r="O28" s="51">
        <v>0</v>
      </c>
      <c r="P28" s="51">
        <v>0.76</v>
      </c>
      <c r="Q28" s="51">
        <v>4.83</v>
      </c>
    </row>
    <row r="29" spans="1:17" customFormat="1">
      <c r="A29" s="50" t="s">
        <v>488</v>
      </c>
      <c r="B29" s="51">
        <v>9.1300000000000008</v>
      </c>
      <c r="C29" s="51">
        <v>23.31</v>
      </c>
      <c r="D29" s="51">
        <v>20.66</v>
      </c>
      <c r="E29" s="51">
        <v>7.5</v>
      </c>
      <c r="F29" s="51">
        <v>3.45</v>
      </c>
      <c r="G29" s="51">
        <v>80.650000000000006</v>
      </c>
      <c r="H29" s="51">
        <v>28.25</v>
      </c>
      <c r="I29" s="51">
        <v>5.51</v>
      </c>
      <c r="J29" s="51">
        <v>0.17</v>
      </c>
      <c r="K29" s="51">
        <v>231.82</v>
      </c>
      <c r="L29" s="51">
        <v>25.57</v>
      </c>
      <c r="M29" s="51">
        <v>89.88</v>
      </c>
      <c r="N29" s="51">
        <v>0</v>
      </c>
      <c r="O29" s="51">
        <v>0</v>
      </c>
      <c r="P29" s="51">
        <v>0.73</v>
      </c>
      <c r="Q29" s="51">
        <v>4.8899999999999997</v>
      </c>
    </row>
    <row r="30" spans="1:17" customFormat="1">
      <c r="A30" s="50" t="s">
        <v>489</v>
      </c>
      <c r="B30" s="51">
        <v>10.82</v>
      </c>
      <c r="C30" s="51">
        <v>38.6</v>
      </c>
      <c r="D30" s="51">
        <v>29.89</v>
      </c>
      <c r="E30" s="30" t="s">
        <v>8</v>
      </c>
      <c r="F30" s="51">
        <v>2.67</v>
      </c>
      <c r="G30" s="51">
        <v>79.12</v>
      </c>
      <c r="H30" s="51">
        <v>29.47</v>
      </c>
      <c r="I30" s="51">
        <v>5.71</v>
      </c>
      <c r="J30" s="51">
        <v>0.17</v>
      </c>
      <c r="K30" s="51">
        <v>244.93</v>
      </c>
      <c r="L30" s="51">
        <v>24.99</v>
      </c>
      <c r="M30" s="51">
        <v>96.27</v>
      </c>
      <c r="N30" s="51">
        <v>0</v>
      </c>
      <c r="O30" s="51">
        <v>0</v>
      </c>
      <c r="P30" s="51">
        <v>0.79</v>
      </c>
      <c r="Q30" s="51">
        <v>5.12</v>
      </c>
    </row>
    <row r="31" spans="1:17" customFormat="1">
      <c r="A31" s="50" t="s">
        <v>490</v>
      </c>
      <c r="B31" s="51">
        <v>15.15</v>
      </c>
      <c r="C31" s="51">
        <v>35.799999999999997</v>
      </c>
      <c r="D31" s="51">
        <v>30.87</v>
      </c>
      <c r="E31" s="30" t="s">
        <v>8</v>
      </c>
      <c r="F31" s="51">
        <v>2.48</v>
      </c>
      <c r="G31" s="51">
        <v>78.62</v>
      </c>
      <c r="H31" s="51">
        <v>29.44</v>
      </c>
      <c r="I31" s="51">
        <v>6.28</v>
      </c>
      <c r="J31" s="51">
        <v>0.15</v>
      </c>
      <c r="K31" s="51">
        <v>235.24</v>
      </c>
      <c r="L31" s="51">
        <v>24.63</v>
      </c>
      <c r="M31" s="51">
        <v>97.31</v>
      </c>
      <c r="N31" s="51">
        <v>0</v>
      </c>
      <c r="O31" s="51">
        <v>0</v>
      </c>
      <c r="P31" s="51">
        <v>0.82</v>
      </c>
      <c r="Q31" s="51">
        <v>5.32</v>
      </c>
    </row>
    <row r="32" spans="1:17" customFormat="1">
      <c r="A32" s="50" t="s">
        <v>491</v>
      </c>
      <c r="B32" s="51">
        <v>28.67</v>
      </c>
      <c r="C32" s="51">
        <v>33.049999999999997</v>
      </c>
      <c r="D32" s="51">
        <v>41.57</v>
      </c>
      <c r="E32" s="30" t="s">
        <v>8</v>
      </c>
      <c r="F32" s="51">
        <v>2.48</v>
      </c>
      <c r="G32" s="51">
        <v>79.64</v>
      </c>
      <c r="H32" s="51">
        <v>29.29</v>
      </c>
      <c r="I32" s="51">
        <v>9.34</v>
      </c>
      <c r="J32" s="51">
        <v>0.17</v>
      </c>
      <c r="K32" s="51">
        <v>223.32</v>
      </c>
      <c r="L32" s="51">
        <v>24.59</v>
      </c>
      <c r="M32" s="51">
        <v>91.19</v>
      </c>
      <c r="N32" s="51">
        <v>0</v>
      </c>
      <c r="O32" s="51">
        <v>0</v>
      </c>
      <c r="P32" s="51">
        <v>0.88</v>
      </c>
      <c r="Q32" s="51">
        <v>5.97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1.52</v>
      </c>
      <c r="C34" s="41">
        <f t="shared" si="0"/>
        <v>23.31</v>
      </c>
      <c r="D34" s="41">
        <f t="shared" si="0"/>
        <v>14.49</v>
      </c>
      <c r="E34" s="41">
        <f t="shared" si="0"/>
        <v>6.82</v>
      </c>
      <c r="F34" s="41">
        <f t="shared" si="0"/>
        <v>2.48</v>
      </c>
      <c r="G34" s="41">
        <f t="shared" si="0"/>
        <v>44.73</v>
      </c>
      <c r="H34" s="41">
        <f t="shared" si="0"/>
        <v>18.48</v>
      </c>
      <c r="I34" s="41">
        <f t="shared" si="0"/>
        <v>4.1399999999999997</v>
      </c>
      <c r="J34" s="41">
        <f t="shared" si="0"/>
        <v>0.11</v>
      </c>
      <c r="K34" s="41">
        <f t="shared" si="0"/>
        <v>29.76</v>
      </c>
      <c r="L34" s="41">
        <f t="shared" si="0"/>
        <v>22.31</v>
      </c>
      <c r="M34" s="41">
        <f t="shared" si="0"/>
        <v>51.5</v>
      </c>
      <c r="N34" s="41">
        <f t="shared" si="0"/>
        <v>0</v>
      </c>
      <c r="O34" s="41">
        <f t="shared" si="0"/>
        <v>0</v>
      </c>
      <c r="P34" s="41">
        <f t="shared" si="0"/>
        <v>0.57999999999999996</v>
      </c>
      <c r="Q34" s="41">
        <f t="shared" si="0"/>
        <v>4.5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28.67</v>
      </c>
      <c r="C35" s="33">
        <f t="shared" si="1"/>
        <v>38.6</v>
      </c>
      <c r="D35" s="33">
        <f t="shared" si="1"/>
        <v>41.57</v>
      </c>
      <c r="E35" s="33">
        <f t="shared" si="1"/>
        <v>31.77</v>
      </c>
      <c r="F35" s="33">
        <f t="shared" si="1"/>
        <v>22.19</v>
      </c>
      <c r="G35" s="33">
        <f t="shared" si="1"/>
        <v>115.28</v>
      </c>
      <c r="H35" s="33">
        <f t="shared" si="1"/>
        <v>41.84</v>
      </c>
      <c r="I35" s="33">
        <f t="shared" si="1"/>
        <v>9.34</v>
      </c>
      <c r="J35" s="33">
        <f t="shared" si="1"/>
        <v>0.65</v>
      </c>
      <c r="K35" s="33">
        <f t="shared" si="1"/>
        <v>359.59</v>
      </c>
      <c r="L35" s="33">
        <f t="shared" si="1"/>
        <v>32.020000000000003</v>
      </c>
      <c r="M35" s="33">
        <f t="shared" si="1"/>
        <v>97.31</v>
      </c>
      <c r="N35" s="33">
        <f t="shared" si="1"/>
        <v>611.79999999999995</v>
      </c>
      <c r="O35" s="33">
        <f t="shared" si="1"/>
        <v>0</v>
      </c>
      <c r="P35" s="33">
        <f t="shared" si="1"/>
        <v>0.91</v>
      </c>
      <c r="Q35" s="33">
        <f t="shared" si="1"/>
        <v>5.97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12.669583333333334</v>
      </c>
      <c r="C36" s="41">
        <f t="shared" si="2"/>
        <v>28.827499999999997</v>
      </c>
      <c r="D36" s="41">
        <f t="shared" si="2"/>
        <v>26.150833333333338</v>
      </c>
      <c r="E36" s="41">
        <f t="shared" si="2"/>
        <v>12.033809523809524</v>
      </c>
      <c r="F36" s="41">
        <f t="shared" si="2"/>
        <v>6.2158333333333315</v>
      </c>
      <c r="G36" s="41">
        <f t="shared" si="2"/>
        <v>74.032499999999999</v>
      </c>
      <c r="H36" s="41">
        <f t="shared" si="2"/>
        <v>26.752916666666668</v>
      </c>
      <c r="I36" s="41">
        <f t="shared" si="2"/>
        <v>5.4349999999999996</v>
      </c>
      <c r="J36" s="41">
        <f t="shared" si="2"/>
        <v>0.32875000000000004</v>
      </c>
      <c r="K36" s="41">
        <f t="shared" si="2"/>
        <v>166.18375</v>
      </c>
      <c r="L36" s="41">
        <f t="shared" si="2"/>
        <v>26.808333333333334</v>
      </c>
      <c r="M36" s="41">
        <f t="shared" si="2"/>
        <v>78.296666666666681</v>
      </c>
      <c r="N36" s="41">
        <f t="shared" si="2"/>
        <v>160.79583333333335</v>
      </c>
      <c r="O36" s="41">
        <f t="shared" si="2"/>
        <v>0</v>
      </c>
      <c r="P36" s="41">
        <f t="shared" si="2"/>
        <v>0.72458333333333336</v>
      </c>
      <c r="Q36" s="41">
        <f t="shared" si="2"/>
        <v>5.3478260869565233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7.5195226948238547</v>
      </c>
      <c r="C37" s="41">
        <f t="shared" ref="C37:Q37" si="3">STDEV(C9:C32)</f>
        <v>3.8889355311212701</v>
      </c>
      <c r="D37" s="41">
        <f t="shared" si="3"/>
        <v>6.746091890650554</v>
      </c>
      <c r="E37" s="41">
        <f t="shared" si="3"/>
        <v>7.1395024169688988</v>
      </c>
      <c r="F37" s="41">
        <f t="shared" si="3"/>
        <v>5.6922280475159779</v>
      </c>
      <c r="G37" s="41">
        <f t="shared" si="3"/>
        <v>18.095357619878822</v>
      </c>
      <c r="H37" s="41">
        <f t="shared" si="3"/>
        <v>6.1295935599470788</v>
      </c>
      <c r="I37" s="41">
        <f t="shared" si="3"/>
        <v>1.1241731260759169</v>
      </c>
      <c r="J37" s="41">
        <f t="shared" si="3"/>
        <v>0.18392608392456483</v>
      </c>
      <c r="K37" s="41">
        <f t="shared" si="3"/>
        <v>106.9486163421481</v>
      </c>
      <c r="L37" s="41">
        <f t="shared" si="3"/>
        <v>3.389116425401661</v>
      </c>
      <c r="M37" s="41">
        <f t="shared" si="3"/>
        <v>15.33975020109129</v>
      </c>
      <c r="N37" s="41">
        <f t="shared" si="3"/>
        <v>229.52328948641934</v>
      </c>
      <c r="O37" s="41">
        <f t="shared" si="3"/>
        <v>0</v>
      </c>
      <c r="P37" s="41">
        <f t="shared" si="3"/>
        <v>0.10056272827862497</v>
      </c>
      <c r="Q37" s="41">
        <f t="shared" si="3"/>
        <v>0.5781864792115643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23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E38" sqref="E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492</v>
      </c>
      <c r="B9" s="51">
        <v>37.83</v>
      </c>
      <c r="C9" s="51">
        <v>34.39</v>
      </c>
      <c r="D9" s="51">
        <v>48.6</v>
      </c>
      <c r="E9" s="30" t="s">
        <v>8</v>
      </c>
      <c r="F9" s="51">
        <v>2.5499999999999998</v>
      </c>
      <c r="G9" s="51">
        <v>86.45</v>
      </c>
      <c r="H9" s="51">
        <v>30.99</v>
      </c>
      <c r="I9" s="51">
        <v>11.54</v>
      </c>
      <c r="J9" s="51">
        <v>0.15</v>
      </c>
      <c r="K9" s="51">
        <v>194.73</v>
      </c>
      <c r="L9" s="51">
        <v>24.44</v>
      </c>
      <c r="M9" s="51">
        <v>92.59</v>
      </c>
      <c r="N9" s="51">
        <v>0</v>
      </c>
      <c r="O9" s="51">
        <v>0</v>
      </c>
      <c r="P9" s="51">
        <v>0.91</v>
      </c>
      <c r="Q9" s="51">
        <v>6.36</v>
      </c>
    </row>
    <row r="10" spans="1:21" customFormat="1">
      <c r="A10" s="50" t="s">
        <v>493</v>
      </c>
      <c r="B10" s="51">
        <v>37.159999999999997</v>
      </c>
      <c r="C10" s="51">
        <v>31.49</v>
      </c>
      <c r="D10" s="51">
        <v>47.6</v>
      </c>
      <c r="E10" s="30" t="s">
        <v>8</v>
      </c>
      <c r="F10" s="51">
        <v>2.86</v>
      </c>
      <c r="G10" s="51">
        <v>84.73</v>
      </c>
      <c r="H10" s="51">
        <v>30.23</v>
      </c>
      <c r="I10" s="51">
        <v>11.43</v>
      </c>
      <c r="J10" s="51">
        <v>0.25</v>
      </c>
      <c r="K10" s="51">
        <v>182.51</v>
      </c>
      <c r="L10" s="51">
        <v>24.1</v>
      </c>
      <c r="M10" s="51">
        <v>93.46</v>
      </c>
      <c r="N10" s="51">
        <v>0</v>
      </c>
      <c r="O10" s="51">
        <v>0</v>
      </c>
      <c r="P10" s="51">
        <v>0.9</v>
      </c>
      <c r="Q10" s="51">
        <v>6.35</v>
      </c>
    </row>
    <row r="11" spans="1:21" customFormat="1">
      <c r="A11" s="50" t="s">
        <v>494</v>
      </c>
      <c r="B11" s="51">
        <v>35.89</v>
      </c>
      <c r="C11" s="51">
        <v>30.97</v>
      </c>
      <c r="D11" s="51">
        <v>45.56</v>
      </c>
      <c r="E11" s="30" t="s">
        <v>8</v>
      </c>
      <c r="F11" s="51">
        <v>3.16</v>
      </c>
      <c r="G11" s="51">
        <v>79.680000000000007</v>
      </c>
      <c r="H11" s="51">
        <v>29.96</v>
      </c>
      <c r="I11" s="51">
        <v>10.97</v>
      </c>
      <c r="J11" s="51">
        <v>0.24</v>
      </c>
      <c r="K11" s="51">
        <v>62.58</v>
      </c>
      <c r="L11" s="51">
        <v>23.9</v>
      </c>
      <c r="M11" s="51">
        <v>108.27</v>
      </c>
      <c r="N11" s="51">
        <v>0</v>
      </c>
      <c r="O11" s="51">
        <v>0</v>
      </c>
      <c r="P11" s="51">
        <v>0.9</v>
      </c>
      <c r="Q11" s="51">
        <v>6.23</v>
      </c>
    </row>
    <row r="12" spans="1:21" customFormat="1">
      <c r="A12" s="50" t="s">
        <v>495</v>
      </c>
      <c r="B12" s="51">
        <v>36.11</v>
      </c>
      <c r="C12" s="51">
        <v>24.1</v>
      </c>
      <c r="D12" s="51">
        <v>42.83</v>
      </c>
      <c r="E12" s="30" t="s">
        <v>8</v>
      </c>
      <c r="F12" s="51">
        <v>3.13</v>
      </c>
      <c r="G12" s="51">
        <v>85.73</v>
      </c>
      <c r="H12" s="51">
        <v>30.62</v>
      </c>
      <c r="I12" s="51">
        <v>10.199999999999999</v>
      </c>
      <c r="J12" s="51">
        <v>0.25</v>
      </c>
      <c r="K12" s="51">
        <v>61.63</v>
      </c>
      <c r="L12" s="51">
        <v>23.62</v>
      </c>
      <c r="M12" s="51">
        <v>99.18</v>
      </c>
      <c r="N12" s="51">
        <v>0</v>
      </c>
      <c r="O12" s="51">
        <v>0</v>
      </c>
      <c r="P12" s="51">
        <v>0.83</v>
      </c>
      <c r="Q12" s="51">
        <v>6.13</v>
      </c>
    </row>
    <row r="13" spans="1:21" customFormat="1">
      <c r="A13" s="50" t="s">
        <v>496</v>
      </c>
      <c r="B13" s="51">
        <v>35.869999999999997</v>
      </c>
      <c r="C13" s="51">
        <v>23.57</v>
      </c>
      <c r="D13" s="51">
        <v>42.19</v>
      </c>
      <c r="E13" s="30" t="s">
        <v>8</v>
      </c>
      <c r="F13" s="51">
        <v>2.66</v>
      </c>
      <c r="G13" s="51">
        <v>92.58</v>
      </c>
      <c r="H13" s="51">
        <v>31.23</v>
      </c>
      <c r="I13" s="51">
        <v>9.74</v>
      </c>
      <c r="J13" s="51">
        <v>0.11</v>
      </c>
      <c r="K13" s="51">
        <v>224.04</v>
      </c>
      <c r="L13" s="51">
        <v>23.37</v>
      </c>
      <c r="M13" s="51">
        <v>98.51</v>
      </c>
      <c r="N13" s="51">
        <v>0</v>
      </c>
      <c r="O13" s="51">
        <v>0</v>
      </c>
      <c r="P13" s="51">
        <v>0.81</v>
      </c>
      <c r="Q13" s="51">
        <v>6.05</v>
      </c>
    </row>
    <row r="14" spans="1:21" customFormat="1">
      <c r="A14" s="50" t="s">
        <v>497</v>
      </c>
      <c r="B14" s="51">
        <v>35.56</v>
      </c>
      <c r="C14" s="51">
        <v>23.05</v>
      </c>
      <c r="D14" s="51">
        <v>41.41</v>
      </c>
      <c r="E14" s="30" t="s">
        <v>8</v>
      </c>
      <c r="F14" s="51">
        <v>2.75</v>
      </c>
      <c r="G14" s="51">
        <v>91.23</v>
      </c>
      <c r="H14" s="51">
        <v>32.450000000000003</v>
      </c>
      <c r="I14" s="51">
        <v>9.33</v>
      </c>
      <c r="J14" s="51">
        <v>0.27</v>
      </c>
      <c r="K14" s="51">
        <v>138.05000000000001</v>
      </c>
      <c r="L14" s="51">
        <v>23</v>
      </c>
      <c r="M14" s="51">
        <v>99.83</v>
      </c>
      <c r="N14" s="51">
        <v>0</v>
      </c>
      <c r="O14" s="51">
        <v>0</v>
      </c>
      <c r="P14" s="51">
        <v>0.82</v>
      </c>
      <c r="Q14" s="51">
        <v>6.03</v>
      </c>
    </row>
    <row r="15" spans="1:21" customFormat="1">
      <c r="A15" s="50" t="s">
        <v>498</v>
      </c>
      <c r="B15" s="51">
        <v>35.94</v>
      </c>
      <c r="C15" s="51">
        <v>22.91</v>
      </c>
      <c r="D15" s="51">
        <v>42.14</v>
      </c>
      <c r="E15" s="30" t="s">
        <v>8</v>
      </c>
      <c r="F15" s="51">
        <v>2.81</v>
      </c>
      <c r="G15" s="51">
        <v>87.43</v>
      </c>
      <c r="H15" s="51">
        <v>32.65</v>
      </c>
      <c r="I15" s="51">
        <v>8.8699999999999992</v>
      </c>
      <c r="J15" s="51">
        <v>0.32</v>
      </c>
      <c r="K15" s="51">
        <v>131.31</v>
      </c>
      <c r="L15" s="51">
        <v>23.92</v>
      </c>
      <c r="M15" s="51">
        <v>94.62</v>
      </c>
      <c r="N15" s="51">
        <v>40.5</v>
      </c>
      <c r="O15" s="51">
        <v>0</v>
      </c>
      <c r="P15" s="51">
        <v>0.82</v>
      </c>
      <c r="Q15" s="51">
        <v>6.03</v>
      </c>
    </row>
    <row r="16" spans="1:21" customFormat="1">
      <c r="A16" s="50" t="s">
        <v>499</v>
      </c>
      <c r="B16" s="51">
        <v>35.58</v>
      </c>
      <c r="C16" s="51">
        <v>25.47</v>
      </c>
      <c r="D16" s="51">
        <v>42.01</v>
      </c>
      <c r="E16" s="30" t="s">
        <v>8</v>
      </c>
      <c r="F16" s="51">
        <v>2.91</v>
      </c>
      <c r="G16" s="51">
        <v>84.95</v>
      </c>
      <c r="H16" s="51">
        <v>32.29</v>
      </c>
      <c r="I16" s="51">
        <v>8.58</v>
      </c>
      <c r="J16" s="51">
        <v>0.65</v>
      </c>
      <c r="K16" s="51">
        <v>39.130000000000003</v>
      </c>
      <c r="L16" s="51">
        <v>25.29</v>
      </c>
      <c r="M16" s="51">
        <v>93.85</v>
      </c>
      <c r="N16" s="51">
        <v>197.2</v>
      </c>
      <c r="O16" s="51">
        <v>0</v>
      </c>
      <c r="P16" s="51">
        <v>0.86</v>
      </c>
      <c r="Q16" s="51">
        <v>6.03</v>
      </c>
    </row>
    <row r="17" spans="1:17" customFormat="1">
      <c r="A17" s="50" t="s">
        <v>500</v>
      </c>
      <c r="B17" s="51">
        <v>31.67</v>
      </c>
      <c r="C17" s="51">
        <v>27.15</v>
      </c>
      <c r="D17" s="51">
        <v>40.340000000000003</v>
      </c>
      <c r="E17" s="30" t="s">
        <v>8</v>
      </c>
      <c r="F17" s="51">
        <v>3.02</v>
      </c>
      <c r="G17" s="51">
        <v>82.89</v>
      </c>
      <c r="H17" s="51">
        <v>31.36</v>
      </c>
      <c r="I17" s="51">
        <v>8.35</v>
      </c>
      <c r="J17" s="51">
        <v>0.55000000000000004</v>
      </c>
      <c r="K17" s="51">
        <v>47.85</v>
      </c>
      <c r="L17" s="51">
        <v>28.07</v>
      </c>
      <c r="M17" s="51">
        <v>87.03</v>
      </c>
      <c r="N17" s="51">
        <v>351.1</v>
      </c>
      <c r="O17" s="51">
        <v>0</v>
      </c>
      <c r="P17" s="51">
        <v>0.85</v>
      </c>
      <c r="Q17" s="51">
        <v>5.93</v>
      </c>
    </row>
    <row r="18" spans="1:17" customFormat="1">
      <c r="A18" s="50" t="s">
        <v>501</v>
      </c>
      <c r="B18" s="51">
        <v>26.81</v>
      </c>
      <c r="C18" s="51">
        <v>29.57</v>
      </c>
      <c r="D18" s="51">
        <v>37.97</v>
      </c>
      <c r="E18" s="30" t="s">
        <v>8</v>
      </c>
      <c r="F18" s="51">
        <v>3.02</v>
      </c>
      <c r="G18" s="51">
        <v>81.97</v>
      </c>
      <c r="H18" s="51">
        <v>31.51</v>
      </c>
      <c r="I18" s="51">
        <v>7.85</v>
      </c>
      <c r="J18" s="51">
        <v>0.56000000000000005</v>
      </c>
      <c r="K18" s="51">
        <v>41</v>
      </c>
      <c r="L18" s="51">
        <v>29.57</v>
      </c>
      <c r="M18" s="51">
        <v>76.97</v>
      </c>
      <c r="N18" s="51">
        <v>490.2</v>
      </c>
      <c r="O18" s="51">
        <v>0</v>
      </c>
      <c r="P18" s="51">
        <v>0.84</v>
      </c>
      <c r="Q18" s="51">
        <v>5.67</v>
      </c>
    </row>
    <row r="19" spans="1:17" customFormat="1">
      <c r="A19" s="50" t="s">
        <v>502</v>
      </c>
      <c r="B19" s="51">
        <v>25.45</v>
      </c>
      <c r="C19" s="51">
        <v>30.14</v>
      </c>
      <c r="D19" s="51">
        <v>37.24</v>
      </c>
      <c r="E19" s="51">
        <v>10.6</v>
      </c>
      <c r="F19" s="51">
        <v>6.69</v>
      </c>
      <c r="G19" s="51">
        <v>79.83</v>
      </c>
      <c r="H19" s="51">
        <v>31.58</v>
      </c>
      <c r="I19" s="51">
        <v>7.48</v>
      </c>
      <c r="J19" s="51">
        <v>0.39</v>
      </c>
      <c r="K19" s="51">
        <v>97.04</v>
      </c>
      <c r="L19" s="51">
        <v>30.78</v>
      </c>
      <c r="M19" s="51">
        <v>67.760000000000005</v>
      </c>
      <c r="N19" s="51">
        <v>544.70000000000005</v>
      </c>
      <c r="O19" s="51">
        <v>0</v>
      </c>
      <c r="P19" s="51">
        <v>0.83</v>
      </c>
      <c r="Q19" s="51">
        <v>5.63</v>
      </c>
    </row>
    <row r="20" spans="1:17" customFormat="1">
      <c r="A20" s="50" t="s">
        <v>503</v>
      </c>
      <c r="B20" s="51">
        <v>16.41</v>
      </c>
      <c r="C20" s="51">
        <v>29.92</v>
      </c>
      <c r="D20" s="51">
        <v>29.34</v>
      </c>
      <c r="E20" s="51">
        <v>23.98</v>
      </c>
      <c r="F20" s="51">
        <v>13.65</v>
      </c>
      <c r="G20" s="11" t="s">
        <v>12</v>
      </c>
      <c r="H20" s="11" t="s">
        <v>12</v>
      </c>
      <c r="I20" s="51">
        <v>6.87</v>
      </c>
      <c r="J20" s="51">
        <v>0.53</v>
      </c>
      <c r="K20" s="51">
        <v>78.510000000000005</v>
      </c>
      <c r="L20" s="51">
        <v>32.020000000000003</v>
      </c>
      <c r="M20" s="51">
        <v>64.489999999999995</v>
      </c>
      <c r="N20" s="51">
        <v>625.70000000000005</v>
      </c>
      <c r="O20" s="51">
        <v>0</v>
      </c>
      <c r="P20" s="51">
        <v>0.76</v>
      </c>
      <c r="Q20" s="51">
        <v>4.49</v>
      </c>
    </row>
    <row r="21" spans="1:17" customFormat="1">
      <c r="A21" s="50" t="s">
        <v>504</v>
      </c>
      <c r="B21" s="51">
        <v>5.37</v>
      </c>
      <c r="C21" s="51">
        <v>25.75</v>
      </c>
      <c r="D21" s="51">
        <v>19.11</v>
      </c>
      <c r="E21" s="51">
        <v>26.26</v>
      </c>
      <c r="F21" s="51">
        <v>18.98</v>
      </c>
      <c r="G21" s="51">
        <v>48.63</v>
      </c>
      <c r="H21" s="51">
        <v>17.71</v>
      </c>
      <c r="I21" s="51">
        <v>9.77</v>
      </c>
      <c r="J21" s="51">
        <v>0.56000000000000005</v>
      </c>
      <c r="K21" s="51">
        <v>44.84</v>
      </c>
      <c r="L21" s="51">
        <v>31.67</v>
      </c>
      <c r="M21" s="51">
        <v>62.08</v>
      </c>
      <c r="N21" s="51">
        <v>548.29999999999995</v>
      </c>
      <c r="O21" s="51">
        <v>0</v>
      </c>
      <c r="P21" s="51">
        <v>0.64</v>
      </c>
      <c r="Q21" s="51">
        <v>4.66</v>
      </c>
    </row>
    <row r="22" spans="1:17" customFormat="1">
      <c r="A22" s="50" t="s">
        <v>505</v>
      </c>
      <c r="B22" s="51">
        <v>3.73</v>
      </c>
      <c r="C22" s="51">
        <v>22.32</v>
      </c>
      <c r="D22" s="51">
        <v>16</v>
      </c>
      <c r="E22" s="51">
        <v>13.83</v>
      </c>
      <c r="F22" s="51">
        <v>17.87</v>
      </c>
      <c r="G22" s="51">
        <v>52.91</v>
      </c>
      <c r="H22" s="51">
        <v>20.05</v>
      </c>
      <c r="I22" s="51">
        <v>5.59</v>
      </c>
      <c r="J22" s="51">
        <v>0.47</v>
      </c>
      <c r="K22" s="51">
        <v>50.34</v>
      </c>
      <c r="L22" s="51">
        <v>32.1</v>
      </c>
      <c r="M22" s="51">
        <v>58.57</v>
      </c>
      <c r="N22" s="51">
        <v>477.2</v>
      </c>
      <c r="O22" s="51">
        <v>0</v>
      </c>
      <c r="P22" s="51">
        <v>0.61</v>
      </c>
      <c r="Q22" s="51">
        <v>4.38</v>
      </c>
    </row>
    <row r="23" spans="1:17" customFormat="1">
      <c r="A23" s="50" t="s">
        <v>506</v>
      </c>
      <c r="B23" s="51">
        <v>5.45</v>
      </c>
      <c r="C23" s="51">
        <v>20.07</v>
      </c>
      <c r="D23" s="51">
        <v>16.21</v>
      </c>
      <c r="E23" s="51">
        <v>16.04</v>
      </c>
      <c r="F23" s="51">
        <v>9.59</v>
      </c>
      <c r="G23" s="51">
        <v>59.36</v>
      </c>
      <c r="H23" s="51">
        <v>22.03</v>
      </c>
      <c r="I23" s="51">
        <v>4.22</v>
      </c>
      <c r="J23" s="51">
        <v>0.61</v>
      </c>
      <c r="K23" s="51">
        <v>56.2</v>
      </c>
      <c r="L23" s="51">
        <v>31.65</v>
      </c>
      <c r="M23" s="51">
        <v>58.71</v>
      </c>
      <c r="N23" s="51">
        <v>406.8</v>
      </c>
      <c r="O23" s="51">
        <v>0</v>
      </c>
      <c r="P23" s="51">
        <v>0.56999999999999995</v>
      </c>
      <c r="Q23" s="51">
        <v>4.37</v>
      </c>
    </row>
    <row r="24" spans="1:17" customFormat="1">
      <c r="A24" s="50" t="s">
        <v>507</v>
      </c>
      <c r="B24" s="51">
        <v>8.3000000000000007</v>
      </c>
      <c r="C24" s="51">
        <v>22.53</v>
      </c>
      <c r="D24" s="51">
        <v>19.78</v>
      </c>
      <c r="E24" s="51">
        <v>16.64</v>
      </c>
      <c r="F24" s="51">
        <v>14.91</v>
      </c>
      <c r="G24" s="51">
        <v>60.82</v>
      </c>
      <c r="H24" s="51">
        <v>22.03</v>
      </c>
      <c r="I24" s="51">
        <v>4.3099999999999996</v>
      </c>
      <c r="J24" s="51">
        <v>0.56000000000000005</v>
      </c>
      <c r="K24" s="51">
        <v>50.15</v>
      </c>
      <c r="L24" s="51">
        <v>30.39</v>
      </c>
      <c r="M24" s="51">
        <v>59.63</v>
      </c>
      <c r="N24" s="51">
        <v>111.1</v>
      </c>
      <c r="O24" s="51">
        <v>0</v>
      </c>
      <c r="P24" s="51">
        <v>0.55000000000000004</v>
      </c>
      <c r="Q24" s="51">
        <v>4.42</v>
      </c>
    </row>
    <row r="25" spans="1:17" customFormat="1">
      <c r="A25" s="50" t="s">
        <v>508</v>
      </c>
      <c r="B25" s="51">
        <v>7.96</v>
      </c>
      <c r="C25" s="51">
        <v>21.65</v>
      </c>
      <c r="D25" s="51">
        <v>19.04</v>
      </c>
      <c r="E25" s="51">
        <v>18.21</v>
      </c>
      <c r="F25" s="51">
        <v>13.29</v>
      </c>
      <c r="G25" s="51">
        <v>69.510000000000005</v>
      </c>
      <c r="H25" s="51">
        <v>25.64</v>
      </c>
      <c r="I25" s="51">
        <v>4.54</v>
      </c>
      <c r="J25" s="51">
        <v>0.5</v>
      </c>
      <c r="K25" s="51">
        <v>42.76</v>
      </c>
      <c r="L25" s="51">
        <v>30.01</v>
      </c>
      <c r="M25" s="51">
        <v>60.21</v>
      </c>
      <c r="N25" s="51">
        <v>52.6</v>
      </c>
      <c r="O25" s="51">
        <v>0</v>
      </c>
      <c r="P25" s="51">
        <v>0.61</v>
      </c>
      <c r="Q25" s="51">
        <v>4.5</v>
      </c>
    </row>
    <row r="26" spans="1:17" customFormat="1">
      <c r="A26" s="50" t="s">
        <v>509</v>
      </c>
      <c r="B26" s="51">
        <v>9.61</v>
      </c>
      <c r="C26" s="51">
        <v>33.82</v>
      </c>
      <c r="D26" s="51">
        <v>26.73</v>
      </c>
      <c r="E26" s="51">
        <v>10.44</v>
      </c>
      <c r="F26" s="51">
        <v>6.13</v>
      </c>
      <c r="G26" s="51">
        <v>86.55</v>
      </c>
      <c r="H26" s="51">
        <v>29.91</v>
      </c>
      <c r="I26" s="51">
        <v>5.29</v>
      </c>
      <c r="J26" s="51">
        <v>0.39</v>
      </c>
      <c r="K26" s="51">
        <v>58.22</v>
      </c>
      <c r="L26" s="51">
        <v>28.72</v>
      </c>
      <c r="M26" s="51">
        <v>71.97</v>
      </c>
      <c r="N26" s="51">
        <v>2</v>
      </c>
      <c r="O26" s="51">
        <v>0</v>
      </c>
      <c r="P26" s="51">
        <v>0.75</v>
      </c>
      <c r="Q26" s="51">
        <v>4.7</v>
      </c>
    </row>
    <row r="27" spans="1:17" customFormat="1">
      <c r="A27" s="50" t="s">
        <v>510</v>
      </c>
      <c r="B27" s="51">
        <v>10.34</v>
      </c>
      <c r="C27" s="51">
        <v>31.3</v>
      </c>
      <c r="D27" s="51">
        <v>25.35</v>
      </c>
      <c r="E27" s="51">
        <v>6.08</v>
      </c>
      <c r="F27" s="51">
        <v>3.61</v>
      </c>
      <c r="G27" s="51">
        <v>97.64</v>
      </c>
      <c r="H27" s="51">
        <v>32.46</v>
      </c>
      <c r="I27" s="51">
        <v>5.84</v>
      </c>
      <c r="J27" s="51">
        <v>0.22</v>
      </c>
      <c r="K27" s="51">
        <v>157.71</v>
      </c>
      <c r="L27" s="51">
        <v>27.71</v>
      </c>
      <c r="M27" s="51">
        <v>79.430000000000007</v>
      </c>
      <c r="N27" s="51">
        <v>0</v>
      </c>
      <c r="O27" s="51">
        <v>0</v>
      </c>
      <c r="P27" s="51">
        <v>0.8</v>
      </c>
      <c r="Q27" s="51">
        <v>4.91</v>
      </c>
    </row>
    <row r="28" spans="1:17" customFormat="1">
      <c r="A28" s="50" t="s">
        <v>511</v>
      </c>
      <c r="B28" s="51">
        <v>11.65</v>
      </c>
      <c r="C28" s="51">
        <v>28.95</v>
      </c>
      <c r="D28" s="51">
        <v>25.53</v>
      </c>
      <c r="E28" s="51">
        <v>5.78</v>
      </c>
      <c r="F28" s="51">
        <v>3.18</v>
      </c>
      <c r="G28" s="51">
        <v>109.35</v>
      </c>
      <c r="H28" s="51">
        <v>35.89</v>
      </c>
      <c r="I28" s="51">
        <v>6.38</v>
      </c>
      <c r="J28" s="51">
        <v>0.17</v>
      </c>
      <c r="K28" s="51">
        <v>162.55000000000001</v>
      </c>
      <c r="L28" s="51">
        <v>26.95</v>
      </c>
      <c r="M28" s="51">
        <v>82.87</v>
      </c>
      <c r="N28" s="51">
        <v>0</v>
      </c>
      <c r="O28" s="51">
        <v>0</v>
      </c>
      <c r="P28" s="51">
        <v>0.86</v>
      </c>
      <c r="Q28" s="51">
        <v>4.9800000000000004</v>
      </c>
    </row>
    <row r="29" spans="1:17" customFormat="1">
      <c r="A29" s="50" t="s">
        <v>512</v>
      </c>
      <c r="B29" s="51">
        <v>14.03</v>
      </c>
      <c r="C29" s="51">
        <v>28.12</v>
      </c>
      <c r="D29" s="51">
        <v>27.29</v>
      </c>
      <c r="E29" s="51">
        <v>6.31</v>
      </c>
      <c r="F29" s="51">
        <v>2.79</v>
      </c>
      <c r="G29" s="51">
        <v>109.35</v>
      </c>
      <c r="H29" s="51">
        <v>36.049999999999997</v>
      </c>
      <c r="I29" s="51">
        <v>6.6</v>
      </c>
      <c r="J29" s="51">
        <v>0.18</v>
      </c>
      <c r="K29" s="51">
        <v>193.44</v>
      </c>
      <c r="L29" s="51">
        <v>25.78</v>
      </c>
      <c r="M29" s="51">
        <v>89.73</v>
      </c>
      <c r="N29" s="51">
        <v>0</v>
      </c>
      <c r="O29" s="51">
        <v>0</v>
      </c>
      <c r="P29" s="51">
        <v>0.9</v>
      </c>
      <c r="Q29" s="51">
        <v>5.04</v>
      </c>
    </row>
    <row r="30" spans="1:17" customFormat="1">
      <c r="A30" s="50" t="s">
        <v>513</v>
      </c>
      <c r="B30" s="51">
        <v>14.84</v>
      </c>
      <c r="C30" s="51">
        <v>28.03</v>
      </c>
      <c r="D30" s="51">
        <v>27.89</v>
      </c>
      <c r="E30" s="51">
        <v>6.15</v>
      </c>
      <c r="F30" s="51">
        <v>2.74</v>
      </c>
      <c r="G30" s="51">
        <v>106.55</v>
      </c>
      <c r="H30" s="51">
        <v>38.42</v>
      </c>
      <c r="I30" s="51">
        <v>6.76</v>
      </c>
      <c r="J30" s="51">
        <v>0.16</v>
      </c>
      <c r="K30" s="51">
        <v>171.6</v>
      </c>
      <c r="L30" s="51">
        <v>25.55</v>
      </c>
      <c r="M30" s="51">
        <v>85.4</v>
      </c>
      <c r="N30" s="51">
        <v>0</v>
      </c>
      <c r="O30" s="51">
        <v>0</v>
      </c>
      <c r="P30" s="51">
        <v>0.92</v>
      </c>
      <c r="Q30" s="51">
        <v>5.09</v>
      </c>
    </row>
    <row r="31" spans="1:17" customFormat="1">
      <c r="A31" s="50" t="s">
        <v>514</v>
      </c>
      <c r="B31" s="51">
        <v>16.649999999999999</v>
      </c>
      <c r="C31" s="51">
        <v>28.4</v>
      </c>
      <c r="D31" s="51">
        <v>28.13</v>
      </c>
      <c r="E31" s="51">
        <v>5.96</v>
      </c>
      <c r="F31" s="51">
        <v>3.1</v>
      </c>
      <c r="G31" s="51">
        <v>106.55</v>
      </c>
      <c r="H31" s="51">
        <v>38.42</v>
      </c>
      <c r="I31" s="51">
        <v>7.08</v>
      </c>
      <c r="J31" s="51">
        <v>0.16</v>
      </c>
      <c r="K31" s="51">
        <v>206.62</v>
      </c>
      <c r="L31" s="51">
        <v>24.75</v>
      </c>
      <c r="M31" s="51">
        <v>92.98</v>
      </c>
      <c r="N31" s="51">
        <v>0</v>
      </c>
      <c r="O31" s="51">
        <v>0</v>
      </c>
      <c r="P31" s="51">
        <v>0.91</v>
      </c>
      <c r="Q31" s="51">
        <v>5.09</v>
      </c>
    </row>
    <row r="32" spans="1:17" customFormat="1">
      <c r="A32" s="50" t="s">
        <v>515</v>
      </c>
      <c r="B32" s="51">
        <v>20.75</v>
      </c>
      <c r="C32" s="51">
        <v>20.88</v>
      </c>
      <c r="D32" s="51">
        <v>28.89</v>
      </c>
      <c r="E32" s="51">
        <v>4.78</v>
      </c>
      <c r="F32" s="51">
        <v>2.79</v>
      </c>
      <c r="G32" s="51">
        <v>90.72</v>
      </c>
      <c r="H32" s="51">
        <v>35.07</v>
      </c>
      <c r="I32" s="51">
        <v>7.1</v>
      </c>
      <c r="J32" s="51">
        <v>0.14000000000000001</v>
      </c>
      <c r="K32" s="51">
        <v>235.65</v>
      </c>
      <c r="L32" s="51">
        <v>24.39</v>
      </c>
      <c r="M32" s="51">
        <v>88.12</v>
      </c>
      <c r="N32" s="51">
        <v>0</v>
      </c>
      <c r="O32" s="51">
        <v>0</v>
      </c>
      <c r="P32" s="51">
        <v>0.87</v>
      </c>
      <c r="Q32" s="51">
        <v>5.22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3.73</v>
      </c>
      <c r="C34" s="41">
        <f t="shared" si="0"/>
        <v>20.07</v>
      </c>
      <c r="D34" s="41">
        <f t="shared" si="0"/>
        <v>16</v>
      </c>
      <c r="E34" s="41">
        <f t="shared" si="0"/>
        <v>4.78</v>
      </c>
      <c r="F34" s="41">
        <f t="shared" si="0"/>
        <v>2.5499999999999998</v>
      </c>
      <c r="G34" s="41">
        <f t="shared" si="0"/>
        <v>48.63</v>
      </c>
      <c r="H34" s="41">
        <f t="shared" si="0"/>
        <v>17.71</v>
      </c>
      <c r="I34" s="41">
        <f t="shared" si="0"/>
        <v>4.22</v>
      </c>
      <c r="J34" s="41">
        <f t="shared" si="0"/>
        <v>0.11</v>
      </c>
      <c r="K34" s="41">
        <f t="shared" si="0"/>
        <v>39.130000000000003</v>
      </c>
      <c r="L34" s="41">
        <f t="shared" si="0"/>
        <v>23</v>
      </c>
      <c r="M34" s="41">
        <f t="shared" si="0"/>
        <v>58.57</v>
      </c>
      <c r="N34" s="41">
        <f t="shared" si="0"/>
        <v>0</v>
      </c>
      <c r="O34" s="41">
        <f t="shared" si="0"/>
        <v>0</v>
      </c>
      <c r="P34" s="41">
        <f t="shared" si="0"/>
        <v>0.55000000000000004</v>
      </c>
      <c r="Q34" s="41">
        <f t="shared" si="0"/>
        <v>4.37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37.83</v>
      </c>
      <c r="C35" s="33">
        <f t="shared" si="1"/>
        <v>34.39</v>
      </c>
      <c r="D35" s="33">
        <f t="shared" si="1"/>
        <v>48.6</v>
      </c>
      <c r="E35" s="33">
        <f t="shared" si="1"/>
        <v>26.26</v>
      </c>
      <c r="F35" s="33">
        <f t="shared" si="1"/>
        <v>18.98</v>
      </c>
      <c r="G35" s="33">
        <f t="shared" si="1"/>
        <v>109.35</v>
      </c>
      <c r="H35" s="33">
        <f t="shared" si="1"/>
        <v>38.42</v>
      </c>
      <c r="I35" s="33">
        <f t="shared" si="1"/>
        <v>11.54</v>
      </c>
      <c r="J35" s="33">
        <f t="shared" si="1"/>
        <v>0.65</v>
      </c>
      <c r="K35" s="33">
        <f t="shared" si="1"/>
        <v>235.65</v>
      </c>
      <c r="L35" s="33">
        <f t="shared" si="1"/>
        <v>32.1</v>
      </c>
      <c r="M35" s="33">
        <f t="shared" si="1"/>
        <v>108.27</v>
      </c>
      <c r="N35" s="33">
        <f t="shared" si="1"/>
        <v>625.70000000000005</v>
      </c>
      <c r="O35" s="33">
        <f t="shared" si="1"/>
        <v>0</v>
      </c>
      <c r="P35" s="33">
        <f t="shared" si="1"/>
        <v>0.92</v>
      </c>
      <c r="Q35" s="33">
        <f t="shared" si="1"/>
        <v>6.36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21.623333333333331</v>
      </c>
      <c r="C36" s="41">
        <f t="shared" si="2"/>
        <v>26.856249999999999</v>
      </c>
      <c r="D36" s="41">
        <f t="shared" si="2"/>
        <v>32.382499999999993</v>
      </c>
      <c r="E36" s="41">
        <f t="shared" si="2"/>
        <v>12.218571428571432</v>
      </c>
      <c r="F36" s="41">
        <f t="shared" si="2"/>
        <v>6.1745833333333335</v>
      </c>
      <c r="G36" s="41">
        <f t="shared" si="2"/>
        <v>84.148260869565206</v>
      </c>
      <c r="H36" s="41">
        <f t="shared" si="2"/>
        <v>30.371739130434776</v>
      </c>
      <c r="I36" s="41">
        <f t="shared" si="2"/>
        <v>7.6954166666666657</v>
      </c>
      <c r="J36" s="41">
        <f t="shared" si="2"/>
        <v>0.34958333333333336</v>
      </c>
      <c r="K36" s="41">
        <f t="shared" si="2"/>
        <v>113.68583333333332</v>
      </c>
      <c r="L36" s="41">
        <f t="shared" si="2"/>
        <v>27.15625</v>
      </c>
      <c r="M36" s="41">
        <f t="shared" si="2"/>
        <v>81.927500000000009</v>
      </c>
      <c r="N36" s="41">
        <f t="shared" si="2"/>
        <v>160.30833333333331</v>
      </c>
      <c r="O36" s="41">
        <f t="shared" si="2"/>
        <v>0</v>
      </c>
      <c r="P36" s="41">
        <f t="shared" si="2"/>
        <v>0.79666666666666686</v>
      </c>
      <c r="Q36" s="41">
        <f t="shared" si="2"/>
        <v>5.3454166666666678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12.5012092168741</v>
      </c>
      <c r="C37" s="41">
        <f t="shared" ref="C37:Q37" si="3">STDEV(C9:C32)</f>
        <v>4.1730228981753577</v>
      </c>
      <c r="D37" s="41">
        <f t="shared" si="3"/>
        <v>10.463294954475307</v>
      </c>
      <c r="E37" s="41">
        <f t="shared" si="3"/>
        <v>7.1214754922567192</v>
      </c>
      <c r="F37" s="41">
        <f t="shared" si="3"/>
        <v>5.3716631536454225</v>
      </c>
      <c r="G37" s="41">
        <f t="shared" si="3"/>
        <v>16.923586728203869</v>
      </c>
      <c r="H37" s="41">
        <f t="shared" si="3"/>
        <v>5.5004079618730204</v>
      </c>
      <c r="I37" s="41">
        <f t="shared" si="3"/>
        <v>2.2059031063246577</v>
      </c>
      <c r="J37" s="41">
        <f t="shared" si="3"/>
        <v>0.17862954540823756</v>
      </c>
      <c r="K37" s="41">
        <f t="shared" si="3"/>
        <v>68.573291664540534</v>
      </c>
      <c r="L37" s="41">
        <f t="shared" si="3"/>
        <v>3.1839417906248135</v>
      </c>
      <c r="M37" s="41">
        <f t="shared" si="3"/>
        <v>15.434970246869176</v>
      </c>
      <c r="N37" s="41">
        <f t="shared" si="3"/>
        <v>226.93387069070729</v>
      </c>
      <c r="O37" s="41">
        <f t="shared" si="3"/>
        <v>0</v>
      </c>
      <c r="P37" s="41">
        <f t="shared" si="3"/>
        <v>0.11506771793228748</v>
      </c>
      <c r="Q37" s="41">
        <f t="shared" si="3"/>
        <v>0.70718043430701494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516</v>
      </c>
      <c r="B9" s="51">
        <v>22.1</v>
      </c>
      <c r="C9" s="51">
        <v>20.95</v>
      </c>
      <c r="D9" s="51">
        <v>29.23</v>
      </c>
      <c r="E9" s="51">
        <v>4.55</v>
      </c>
      <c r="F9" s="51">
        <v>2.74</v>
      </c>
      <c r="G9" s="51">
        <v>90.68</v>
      </c>
      <c r="H9" s="51">
        <v>38.94</v>
      </c>
      <c r="I9" s="51">
        <v>7.46</v>
      </c>
      <c r="J9" s="51">
        <v>0.26</v>
      </c>
      <c r="K9" s="51">
        <v>60.57</v>
      </c>
      <c r="L9" s="51">
        <v>24.46</v>
      </c>
      <c r="M9" s="51">
        <v>87.44</v>
      </c>
      <c r="N9" s="51">
        <v>0</v>
      </c>
      <c r="O9" s="51">
        <v>0</v>
      </c>
      <c r="P9" s="51">
        <v>0.87</v>
      </c>
      <c r="Q9" s="51">
        <v>5.33</v>
      </c>
    </row>
    <row r="10" spans="1:21" customFormat="1">
      <c r="A10" s="50" t="s">
        <v>517</v>
      </c>
      <c r="B10" s="51">
        <v>22.52</v>
      </c>
      <c r="C10" s="51">
        <v>20.43</v>
      </c>
      <c r="D10" s="51">
        <v>29.97</v>
      </c>
      <c r="E10" s="51">
        <v>4.59</v>
      </c>
      <c r="F10" s="51">
        <v>2.82</v>
      </c>
      <c r="G10" s="51">
        <v>86.91</v>
      </c>
      <c r="H10" s="51">
        <v>38.94</v>
      </c>
      <c r="I10" s="51">
        <v>7.8</v>
      </c>
      <c r="J10" s="51">
        <v>0.35</v>
      </c>
      <c r="K10" s="51">
        <v>57.05</v>
      </c>
      <c r="L10" s="51">
        <v>24.55</v>
      </c>
      <c r="M10" s="51">
        <v>87.06</v>
      </c>
      <c r="N10" s="51">
        <v>0</v>
      </c>
      <c r="O10" s="51">
        <v>0</v>
      </c>
      <c r="P10" s="51">
        <v>0.88</v>
      </c>
      <c r="Q10" s="51">
        <v>5.36</v>
      </c>
    </row>
    <row r="11" spans="1:21" customFormat="1">
      <c r="A11" s="50" t="s">
        <v>518</v>
      </c>
      <c r="B11" s="51">
        <v>22.76</v>
      </c>
      <c r="C11" s="51">
        <v>19.86</v>
      </c>
      <c r="D11" s="51">
        <v>29.9</v>
      </c>
      <c r="E11" s="51">
        <v>6.11</v>
      </c>
      <c r="F11" s="51">
        <v>2.74</v>
      </c>
      <c r="G11" s="51">
        <v>91.55</v>
      </c>
      <c r="H11" s="51">
        <v>37.17</v>
      </c>
      <c r="I11" s="51">
        <v>7.74</v>
      </c>
      <c r="J11" s="51">
        <v>0.41</v>
      </c>
      <c r="K11" s="51">
        <v>43.88</v>
      </c>
      <c r="L11" s="51">
        <v>23.75</v>
      </c>
      <c r="M11" s="51">
        <v>88.59</v>
      </c>
      <c r="N11" s="51">
        <v>0</v>
      </c>
      <c r="O11" s="51">
        <v>0</v>
      </c>
      <c r="P11" s="51">
        <v>0.85</v>
      </c>
      <c r="Q11" s="51">
        <v>5.36</v>
      </c>
    </row>
    <row r="12" spans="1:21" customFormat="1">
      <c r="A12" s="50" t="s">
        <v>519</v>
      </c>
      <c r="B12" s="51">
        <v>22.56</v>
      </c>
      <c r="C12" s="51">
        <v>21.19</v>
      </c>
      <c r="D12" s="51">
        <v>29.69</v>
      </c>
      <c r="E12" s="51">
        <v>6.39</v>
      </c>
      <c r="F12" s="51">
        <v>2.86</v>
      </c>
      <c r="G12" s="51">
        <v>91.55</v>
      </c>
      <c r="H12" s="51">
        <v>36.22</v>
      </c>
      <c r="I12" s="51">
        <v>7.52</v>
      </c>
      <c r="J12" s="51">
        <v>0.13</v>
      </c>
      <c r="K12" s="51">
        <v>216.92</v>
      </c>
      <c r="L12" s="51">
        <v>23.29</v>
      </c>
      <c r="M12" s="51">
        <v>95.46</v>
      </c>
      <c r="N12" s="51">
        <v>0</v>
      </c>
      <c r="O12" s="51">
        <v>0</v>
      </c>
      <c r="P12" s="51">
        <v>0.86</v>
      </c>
      <c r="Q12" s="51">
        <v>5.33</v>
      </c>
    </row>
    <row r="13" spans="1:21" customFormat="1">
      <c r="A13" s="50" t="s">
        <v>520</v>
      </c>
      <c r="B13" s="51">
        <v>21.62</v>
      </c>
      <c r="C13" s="51">
        <v>22.24</v>
      </c>
      <c r="D13" s="51">
        <v>30.31</v>
      </c>
      <c r="E13" s="51">
        <v>6.61</v>
      </c>
      <c r="F13" s="51">
        <v>2.81</v>
      </c>
      <c r="G13" s="51">
        <v>83.57</v>
      </c>
      <c r="H13" s="51">
        <v>36.22</v>
      </c>
      <c r="I13" s="51">
        <v>7.15</v>
      </c>
      <c r="J13" s="51">
        <v>0.16</v>
      </c>
      <c r="K13" s="51">
        <v>216.87</v>
      </c>
      <c r="L13" s="51">
        <v>22.7</v>
      </c>
      <c r="M13" s="51">
        <v>100.97</v>
      </c>
      <c r="N13" s="51">
        <v>0</v>
      </c>
      <c r="O13" s="51">
        <v>0</v>
      </c>
      <c r="P13" s="51">
        <v>0.83</v>
      </c>
      <c r="Q13" s="51">
        <v>5.34</v>
      </c>
    </row>
    <row r="14" spans="1:21" customFormat="1">
      <c r="A14" s="50" t="s">
        <v>521</v>
      </c>
      <c r="B14" s="51">
        <v>21.27</v>
      </c>
      <c r="C14" s="51">
        <v>22.38</v>
      </c>
      <c r="D14" s="51">
        <v>29.99</v>
      </c>
      <c r="E14" s="51">
        <v>6.81</v>
      </c>
      <c r="F14" s="51">
        <v>2.64</v>
      </c>
      <c r="G14" s="51">
        <v>69.92</v>
      </c>
      <c r="H14" s="51">
        <v>34.29</v>
      </c>
      <c r="I14" s="51">
        <v>6.84</v>
      </c>
      <c r="J14" s="51">
        <v>0.16</v>
      </c>
      <c r="K14" s="51">
        <v>226.66</v>
      </c>
      <c r="L14" s="51">
        <v>22.31</v>
      </c>
      <c r="M14" s="51">
        <v>102.31</v>
      </c>
      <c r="N14" s="51">
        <v>0</v>
      </c>
      <c r="O14" s="51">
        <v>0</v>
      </c>
      <c r="P14" s="51">
        <v>0.81</v>
      </c>
      <c r="Q14" s="51">
        <v>5.36</v>
      </c>
    </row>
    <row r="15" spans="1:21" customFormat="1">
      <c r="A15" s="50" t="s">
        <v>522</v>
      </c>
      <c r="B15" s="51">
        <v>23.27</v>
      </c>
      <c r="C15" s="51">
        <v>22.98</v>
      </c>
      <c r="D15" s="51">
        <v>32.020000000000003</v>
      </c>
      <c r="E15" s="51">
        <v>7.31</v>
      </c>
      <c r="F15" s="51">
        <v>2.61</v>
      </c>
      <c r="G15" s="51">
        <v>63.54</v>
      </c>
      <c r="H15" s="51">
        <v>30.26</v>
      </c>
      <c r="I15" s="51">
        <v>6.55</v>
      </c>
      <c r="J15" s="51">
        <v>0.28000000000000003</v>
      </c>
      <c r="K15" s="51">
        <v>231.29</v>
      </c>
      <c r="L15" s="51">
        <v>23.12</v>
      </c>
      <c r="M15" s="51">
        <v>101.88</v>
      </c>
      <c r="N15" s="51">
        <v>38.4</v>
      </c>
      <c r="O15" s="51">
        <v>0</v>
      </c>
      <c r="P15" s="51">
        <v>0.81</v>
      </c>
      <c r="Q15" s="51">
        <v>5.45</v>
      </c>
    </row>
    <row r="16" spans="1:21" customFormat="1">
      <c r="A16" s="50" t="s">
        <v>523</v>
      </c>
      <c r="B16" s="51">
        <v>24.11</v>
      </c>
      <c r="C16" s="51">
        <v>24.19</v>
      </c>
      <c r="D16" s="51">
        <v>33.03</v>
      </c>
      <c r="E16" s="51">
        <v>7.42</v>
      </c>
      <c r="F16" s="51">
        <v>2.62</v>
      </c>
      <c r="G16" s="51">
        <v>71.45</v>
      </c>
      <c r="H16" s="51">
        <v>28.72</v>
      </c>
      <c r="I16" s="51">
        <v>6.61</v>
      </c>
      <c r="J16" s="51">
        <v>0.55000000000000004</v>
      </c>
      <c r="K16" s="51">
        <v>43.78</v>
      </c>
      <c r="L16" s="51">
        <v>24.88</v>
      </c>
      <c r="M16" s="51">
        <v>92.16</v>
      </c>
      <c r="N16" s="51">
        <v>201.1</v>
      </c>
      <c r="O16" s="51">
        <v>0</v>
      </c>
      <c r="P16" s="51">
        <v>0.82</v>
      </c>
      <c r="Q16" s="51">
        <v>5.53</v>
      </c>
    </row>
    <row r="17" spans="1:17" customFormat="1">
      <c r="A17" s="50" t="s">
        <v>524</v>
      </c>
      <c r="B17" s="51">
        <v>24.65</v>
      </c>
      <c r="C17" s="51">
        <v>24.08</v>
      </c>
      <c r="D17" s="51">
        <v>33.04</v>
      </c>
      <c r="E17" s="51">
        <v>7.19</v>
      </c>
      <c r="F17" s="51">
        <v>3.02</v>
      </c>
      <c r="G17" s="51">
        <v>75.489999999999995</v>
      </c>
      <c r="H17" s="51">
        <v>28.7</v>
      </c>
      <c r="I17" s="51">
        <v>6.67</v>
      </c>
      <c r="J17" s="51">
        <v>0.69</v>
      </c>
      <c r="K17" s="51">
        <v>43.13</v>
      </c>
      <c r="L17" s="51">
        <v>27.08</v>
      </c>
      <c r="M17" s="51">
        <v>82.6</v>
      </c>
      <c r="N17" s="51">
        <v>363.2</v>
      </c>
      <c r="O17" s="51">
        <v>0</v>
      </c>
      <c r="P17" s="51">
        <v>0.81</v>
      </c>
      <c r="Q17" s="51">
        <v>5.51</v>
      </c>
    </row>
    <row r="18" spans="1:17" customFormat="1">
      <c r="A18" s="50" t="s">
        <v>525</v>
      </c>
      <c r="B18" s="51">
        <v>24.61</v>
      </c>
      <c r="C18" s="51">
        <v>20.36</v>
      </c>
      <c r="D18" s="51">
        <v>31.59</v>
      </c>
      <c r="E18" s="51">
        <v>7.14</v>
      </c>
      <c r="F18" s="51">
        <v>3.37</v>
      </c>
      <c r="G18" s="51">
        <v>76.73</v>
      </c>
      <c r="H18" s="51">
        <v>28.7</v>
      </c>
      <c r="I18" s="51">
        <v>6.64</v>
      </c>
      <c r="J18" s="51">
        <v>0.68</v>
      </c>
      <c r="K18" s="51">
        <v>39.950000000000003</v>
      </c>
      <c r="L18" s="51">
        <v>28.66</v>
      </c>
      <c r="M18" s="51">
        <v>73.16</v>
      </c>
      <c r="N18" s="51">
        <v>501.4</v>
      </c>
      <c r="O18" s="51">
        <v>0</v>
      </c>
      <c r="P18" s="51">
        <v>0.78</v>
      </c>
      <c r="Q18" s="51">
        <v>5.45</v>
      </c>
    </row>
    <row r="19" spans="1:17" customFormat="1">
      <c r="A19" s="50" t="s">
        <v>526</v>
      </c>
      <c r="B19" s="51">
        <v>23.97</v>
      </c>
      <c r="C19" s="51">
        <v>20.66</v>
      </c>
      <c r="D19" s="51">
        <v>31.36</v>
      </c>
      <c r="E19" s="51">
        <v>6.83</v>
      </c>
      <c r="F19" s="51">
        <v>4.29</v>
      </c>
      <c r="G19" s="51">
        <v>76.73</v>
      </c>
      <c r="H19" s="51">
        <v>27.63</v>
      </c>
      <c r="I19" s="51">
        <v>6.53</v>
      </c>
      <c r="J19" s="51">
        <v>0.62</v>
      </c>
      <c r="K19" s="51">
        <v>36.119999999999997</v>
      </c>
      <c r="L19" s="51">
        <v>29.93</v>
      </c>
      <c r="M19" s="51">
        <v>65.319999999999993</v>
      </c>
      <c r="N19" s="51">
        <v>565.29999999999995</v>
      </c>
      <c r="O19" s="51">
        <v>0</v>
      </c>
      <c r="P19" s="51">
        <v>0.77</v>
      </c>
      <c r="Q19" s="51">
        <v>5.4</v>
      </c>
    </row>
    <row r="20" spans="1:17" customFormat="1">
      <c r="A20" s="50" t="s">
        <v>527</v>
      </c>
      <c r="B20" s="51">
        <v>21.66</v>
      </c>
      <c r="C20" s="51">
        <v>20.91</v>
      </c>
      <c r="D20" s="51">
        <v>29.38</v>
      </c>
      <c r="E20" s="51">
        <v>8.25</v>
      </c>
      <c r="F20" s="51">
        <v>5.39</v>
      </c>
      <c r="G20" s="51">
        <v>78.12</v>
      </c>
      <c r="H20" s="51">
        <v>26.02</v>
      </c>
      <c r="I20" s="51">
        <v>6.38</v>
      </c>
      <c r="J20" s="51">
        <v>0.71</v>
      </c>
      <c r="K20" s="51">
        <v>35.56</v>
      </c>
      <c r="L20" s="51">
        <v>30.68</v>
      </c>
      <c r="M20" s="51">
        <v>59.11</v>
      </c>
      <c r="N20" s="51">
        <v>618.1</v>
      </c>
      <c r="O20" s="51">
        <v>0</v>
      </c>
      <c r="P20" s="51">
        <v>0.75</v>
      </c>
      <c r="Q20" s="51">
        <v>5.27</v>
      </c>
    </row>
    <row r="21" spans="1:17" customFormat="1">
      <c r="A21" s="50" t="s">
        <v>528</v>
      </c>
      <c r="B21" s="51">
        <v>18.37</v>
      </c>
      <c r="C21" s="51">
        <v>22.27</v>
      </c>
      <c r="D21" s="51">
        <v>26.84</v>
      </c>
      <c r="E21" s="51">
        <v>11.84</v>
      </c>
      <c r="F21" s="51">
        <v>6.51</v>
      </c>
      <c r="G21" s="51">
        <v>78.12</v>
      </c>
      <c r="H21" s="51">
        <v>26.02</v>
      </c>
      <c r="I21" s="51">
        <v>6.05</v>
      </c>
      <c r="J21" s="51">
        <v>0.89</v>
      </c>
      <c r="K21" s="51">
        <v>81.14</v>
      </c>
      <c r="L21" s="51">
        <v>31.48</v>
      </c>
      <c r="M21" s="51">
        <v>57.24</v>
      </c>
      <c r="N21" s="51">
        <v>617.9</v>
      </c>
      <c r="O21" s="51">
        <v>0</v>
      </c>
      <c r="P21" s="51">
        <v>0.72</v>
      </c>
      <c r="Q21" s="51">
        <v>5.09</v>
      </c>
    </row>
    <row r="22" spans="1:17" customFormat="1">
      <c r="A22" s="50" t="s">
        <v>529</v>
      </c>
      <c r="B22" s="51">
        <v>16.84</v>
      </c>
      <c r="C22" s="51">
        <v>27.79</v>
      </c>
      <c r="D22" s="51">
        <v>29.09</v>
      </c>
      <c r="E22" s="51">
        <v>24.05</v>
      </c>
      <c r="F22" s="51">
        <v>7.31</v>
      </c>
      <c r="G22" s="51">
        <v>76.709999999999994</v>
      </c>
      <c r="H22" s="51">
        <v>25.16</v>
      </c>
      <c r="I22" s="51">
        <v>5.77</v>
      </c>
      <c r="J22" s="51">
        <v>0.89</v>
      </c>
      <c r="K22" s="51">
        <v>31.93</v>
      </c>
      <c r="L22" s="51">
        <v>31.11</v>
      </c>
      <c r="M22" s="51">
        <v>56.05</v>
      </c>
      <c r="N22" s="51">
        <v>504.7</v>
      </c>
      <c r="O22" s="51">
        <v>0</v>
      </c>
      <c r="P22" s="51">
        <v>0.7</v>
      </c>
      <c r="Q22" s="51">
        <v>5.01</v>
      </c>
    </row>
    <row r="23" spans="1:17" customFormat="1">
      <c r="A23" s="50" t="s">
        <v>530</v>
      </c>
      <c r="B23" s="51">
        <v>15.54</v>
      </c>
      <c r="C23" s="51">
        <v>27.54</v>
      </c>
      <c r="D23" s="51">
        <v>28.19</v>
      </c>
      <c r="E23" s="51">
        <v>16.23</v>
      </c>
      <c r="F23" s="51">
        <v>8.76</v>
      </c>
      <c r="G23" s="51">
        <v>77.67</v>
      </c>
      <c r="H23" s="51">
        <v>27.1</v>
      </c>
      <c r="I23" s="51">
        <v>5.21</v>
      </c>
      <c r="J23" s="51">
        <v>0.76</v>
      </c>
      <c r="K23" s="51">
        <v>46.88</v>
      </c>
      <c r="L23" s="51">
        <v>31.08</v>
      </c>
      <c r="M23" s="51">
        <v>55.77</v>
      </c>
      <c r="N23" s="51">
        <v>464.1</v>
      </c>
      <c r="O23" s="51">
        <v>0</v>
      </c>
      <c r="P23" s="51">
        <v>0.66</v>
      </c>
      <c r="Q23" s="51">
        <v>5.01</v>
      </c>
    </row>
    <row r="24" spans="1:17" customFormat="1">
      <c r="A24" s="50" t="s">
        <v>531</v>
      </c>
      <c r="B24" s="51">
        <v>11.59</v>
      </c>
      <c r="C24" s="51">
        <v>26.8</v>
      </c>
      <c r="D24" s="51">
        <v>24.52</v>
      </c>
      <c r="E24" s="51">
        <v>12.52</v>
      </c>
      <c r="F24" s="51">
        <v>9.75</v>
      </c>
      <c r="G24" s="51">
        <v>77.67</v>
      </c>
      <c r="H24" s="51">
        <v>27.1</v>
      </c>
      <c r="I24" s="51">
        <v>4.88</v>
      </c>
      <c r="J24" s="51">
        <v>0.8</v>
      </c>
      <c r="K24" s="51">
        <v>35.700000000000003</v>
      </c>
      <c r="L24" s="51">
        <v>30.03</v>
      </c>
      <c r="M24" s="51">
        <v>55.64</v>
      </c>
      <c r="N24" s="51">
        <v>89.8</v>
      </c>
      <c r="O24" s="51">
        <v>0</v>
      </c>
      <c r="P24" s="51">
        <v>0.64</v>
      </c>
      <c r="Q24" s="51">
        <v>4.87</v>
      </c>
    </row>
    <row r="25" spans="1:17" customFormat="1">
      <c r="A25" s="50" t="s">
        <v>532</v>
      </c>
      <c r="B25" s="51">
        <v>8.7100000000000009</v>
      </c>
      <c r="C25" s="51">
        <v>27.1</v>
      </c>
      <c r="D25" s="51">
        <v>22.27</v>
      </c>
      <c r="E25" s="51">
        <v>10.79</v>
      </c>
      <c r="F25" s="51">
        <v>7.73</v>
      </c>
      <c r="G25" s="51">
        <v>77.39</v>
      </c>
      <c r="H25" s="51">
        <v>27.33</v>
      </c>
      <c r="I25" s="51">
        <v>4.4800000000000004</v>
      </c>
      <c r="J25" s="51">
        <v>0.56999999999999995</v>
      </c>
      <c r="K25" s="51">
        <v>46.95</v>
      </c>
      <c r="L25" s="51">
        <v>29.53</v>
      </c>
      <c r="M25" s="51">
        <v>58.05</v>
      </c>
      <c r="N25" s="51">
        <v>47.3</v>
      </c>
      <c r="O25" s="51">
        <v>0</v>
      </c>
      <c r="P25" s="51">
        <v>0.64</v>
      </c>
      <c r="Q25" s="51">
        <v>4.66</v>
      </c>
    </row>
    <row r="26" spans="1:17" customFormat="1">
      <c r="A26" s="50" t="s">
        <v>533</v>
      </c>
      <c r="B26" s="51">
        <v>8.1300000000000008</v>
      </c>
      <c r="C26" s="51">
        <v>27.73</v>
      </c>
      <c r="D26" s="51">
        <v>22.33</v>
      </c>
      <c r="E26" s="51">
        <v>9.1</v>
      </c>
      <c r="F26" s="51">
        <v>5.81</v>
      </c>
      <c r="G26" s="51">
        <v>87.47</v>
      </c>
      <c r="H26" s="51">
        <v>30.14</v>
      </c>
      <c r="I26" s="51">
        <v>4.5199999999999996</v>
      </c>
      <c r="J26" s="51">
        <v>0.28000000000000003</v>
      </c>
      <c r="K26" s="51">
        <v>166.45</v>
      </c>
      <c r="L26" s="51">
        <v>28.41</v>
      </c>
      <c r="M26" s="51">
        <v>72.41</v>
      </c>
      <c r="N26" s="51">
        <v>2</v>
      </c>
      <c r="O26" s="51">
        <v>0</v>
      </c>
      <c r="P26" s="51">
        <v>0.68</v>
      </c>
      <c r="Q26" s="51">
        <v>4.62</v>
      </c>
    </row>
    <row r="27" spans="1:17" customFormat="1">
      <c r="A27" s="50" t="s">
        <v>534</v>
      </c>
      <c r="B27" s="51">
        <v>9.4700000000000006</v>
      </c>
      <c r="C27" s="51">
        <v>24.15</v>
      </c>
      <c r="D27" s="51">
        <v>20.78</v>
      </c>
      <c r="E27" s="51">
        <v>6.36</v>
      </c>
      <c r="F27" s="51">
        <v>3.42</v>
      </c>
      <c r="G27" s="51">
        <v>94.5</v>
      </c>
      <c r="H27" s="51">
        <v>32.880000000000003</v>
      </c>
      <c r="I27" s="51">
        <v>4.72</v>
      </c>
      <c r="J27" s="51">
        <v>0.2</v>
      </c>
      <c r="K27" s="51">
        <v>164.3</v>
      </c>
      <c r="L27" s="51">
        <v>26.28</v>
      </c>
      <c r="M27" s="51">
        <v>75.77</v>
      </c>
      <c r="N27" s="51">
        <v>0</v>
      </c>
      <c r="O27" s="51">
        <v>0</v>
      </c>
      <c r="P27" s="51">
        <v>0.67</v>
      </c>
      <c r="Q27" s="51">
        <v>4.62</v>
      </c>
    </row>
    <row r="28" spans="1:17" customFormat="1">
      <c r="A28" s="50" t="s">
        <v>535</v>
      </c>
      <c r="B28" s="51">
        <v>10.48</v>
      </c>
      <c r="C28" s="51">
        <v>21.21</v>
      </c>
      <c r="D28" s="51">
        <v>20.84</v>
      </c>
      <c r="E28" s="51">
        <v>5.25</v>
      </c>
      <c r="F28" s="51">
        <v>3.13</v>
      </c>
      <c r="G28" s="51">
        <v>100.09</v>
      </c>
      <c r="H28" s="51">
        <v>33.76</v>
      </c>
      <c r="I28" s="51">
        <v>4.9800000000000004</v>
      </c>
      <c r="J28" s="51">
        <v>0.15</v>
      </c>
      <c r="K28" s="51">
        <v>189.51</v>
      </c>
      <c r="L28" s="51">
        <v>25.35</v>
      </c>
      <c r="M28" s="51">
        <v>79.41</v>
      </c>
      <c r="N28" s="51">
        <v>0</v>
      </c>
      <c r="O28" s="51">
        <v>0</v>
      </c>
      <c r="P28" s="51">
        <v>0.7</v>
      </c>
      <c r="Q28" s="51">
        <v>4.6100000000000003</v>
      </c>
    </row>
    <row r="29" spans="1:17" customFormat="1">
      <c r="A29" s="50" t="s">
        <v>536</v>
      </c>
      <c r="B29" s="51">
        <v>11.84</v>
      </c>
      <c r="C29" s="51">
        <v>20.41</v>
      </c>
      <c r="D29" s="51">
        <v>21.24</v>
      </c>
      <c r="E29" s="51">
        <v>5.76</v>
      </c>
      <c r="F29" s="51">
        <v>2.95</v>
      </c>
      <c r="G29" s="51">
        <v>100.09</v>
      </c>
      <c r="H29" s="51">
        <v>35.630000000000003</v>
      </c>
      <c r="I29" s="51">
        <v>5.26</v>
      </c>
      <c r="J29" s="51">
        <v>0.13</v>
      </c>
      <c r="K29" s="51">
        <v>177.46</v>
      </c>
      <c r="L29" s="51">
        <v>24.66</v>
      </c>
      <c r="M29" s="51">
        <v>85.87</v>
      </c>
      <c r="N29" s="51">
        <v>0</v>
      </c>
      <c r="O29" s="51">
        <v>0</v>
      </c>
      <c r="P29" s="51">
        <v>0.73</v>
      </c>
      <c r="Q29" s="51">
        <v>4.6900000000000004</v>
      </c>
    </row>
    <row r="30" spans="1:17" customFormat="1">
      <c r="A30" s="50" t="s">
        <v>537</v>
      </c>
      <c r="B30" s="51">
        <v>13</v>
      </c>
      <c r="C30" s="51">
        <v>20.09</v>
      </c>
      <c r="D30" s="51">
        <v>21.74</v>
      </c>
      <c r="E30" s="51">
        <v>4.9800000000000004</v>
      </c>
      <c r="F30" s="51">
        <v>2.77</v>
      </c>
      <c r="G30" s="51">
        <v>97.92</v>
      </c>
      <c r="H30" s="51">
        <v>38.200000000000003</v>
      </c>
      <c r="I30" s="51">
        <v>5.42</v>
      </c>
      <c r="J30" s="51">
        <v>0.22</v>
      </c>
      <c r="K30" s="51">
        <v>213.91</v>
      </c>
      <c r="L30" s="51">
        <v>24.39</v>
      </c>
      <c r="M30" s="51">
        <v>94.73</v>
      </c>
      <c r="N30" s="51">
        <v>0</v>
      </c>
      <c r="O30" s="51">
        <v>0</v>
      </c>
      <c r="P30" s="51">
        <v>0.75</v>
      </c>
      <c r="Q30" s="51">
        <v>4.7699999999999996</v>
      </c>
    </row>
    <row r="31" spans="1:17" customFormat="1">
      <c r="A31" s="50" t="s">
        <v>538</v>
      </c>
      <c r="B31" s="51">
        <v>13.44</v>
      </c>
      <c r="C31" s="51">
        <v>18.8</v>
      </c>
      <c r="D31" s="51">
        <v>21.92</v>
      </c>
      <c r="E31" s="51">
        <v>5.62</v>
      </c>
      <c r="F31" s="51">
        <v>2.82</v>
      </c>
      <c r="G31" s="51">
        <v>92.44</v>
      </c>
      <c r="H31" s="51">
        <v>38.200000000000003</v>
      </c>
      <c r="I31" s="51">
        <v>5.5</v>
      </c>
      <c r="J31" s="51">
        <v>0.15</v>
      </c>
      <c r="K31" s="51">
        <v>229.8</v>
      </c>
      <c r="L31" s="51">
        <v>23.11</v>
      </c>
      <c r="M31" s="51">
        <v>94.87</v>
      </c>
      <c r="N31" s="51">
        <v>0</v>
      </c>
      <c r="O31" s="51">
        <v>0</v>
      </c>
      <c r="P31" s="51">
        <v>0.78</v>
      </c>
      <c r="Q31" s="51">
        <v>4.83</v>
      </c>
    </row>
    <row r="32" spans="1:17" customFormat="1">
      <c r="A32" s="50" t="s">
        <v>539</v>
      </c>
      <c r="B32" s="51">
        <v>15.72</v>
      </c>
      <c r="C32" s="51">
        <v>21.38</v>
      </c>
      <c r="D32" s="51">
        <v>25.13</v>
      </c>
      <c r="E32" s="51">
        <v>5.7</v>
      </c>
      <c r="F32" s="51">
        <v>2.78</v>
      </c>
      <c r="G32" s="51">
        <v>78.69</v>
      </c>
      <c r="H32" s="51">
        <v>34.28</v>
      </c>
      <c r="I32" s="51">
        <v>5.47</v>
      </c>
      <c r="J32" s="51">
        <v>0.17</v>
      </c>
      <c r="K32" s="51">
        <v>229.92</v>
      </c>
      <c r="L32" s="51">
        <v>22.71</v>
      </c>
      <c r="M32" s="51">
        <v>95.85</v>
      </c>
      <c r="N32" s="51">
        <v>0</v>
      </c>
      <c r="O32" s="51">
        <v>0</v>
      </c>
      <c r="P32" s="51">
        <v>0.8</v>
      </c>
      <c r="Q32" s="51">
        <v>4.97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8.1300000000000008</v>
      </c>
      <c r="C34" s="41">
        <f t="shared" si="0"/>
        <v>18.8</v>
      </c>
      <c r="D34" s="41">
        <f t="shared" si="0"/>
        <v>20.78</v>
      </c>
      <c r="E34" s="41">
        <f t="shared" si="0"/>
        <v>4.55</v>
      </c>
      <c r="F34" s="41">
        <f t="shared" si="0"/>
        <v>2.61</v>
      </c>
      <c r="G34" s="41">
        <f t="shared" si="0"/>
        <v>63.54</v>
      </c>
      <c r="H34" s="41">
        <f t="shared" si="0"/>
        <v>25.16</v>
      </c>
      <c r="I34" s="41">
        <f t="shared" si="0"/>
        <v>4.4800000000000004</v>
      </c>
      <c r="J34" s="41">
        <f t="shared" si="0"/>
        <v>0.13</v>
      </c>
      <c r="K34" s="41">
        <f t="shared" si="0"/>
        <v>31.93</v>
      </c>
      <c r="L34" s="41">
        <f t="shared" si="0"/>
        <v>22.31</v>
      </c>
      <c r="M34" s="41">
        <f t="shared" si="0"/>
        <v>55.64</v>
      </c>
      <c r="N34" s="41">
        <f t="shared" si="0"/>
        <v>0</v>
      </c>
      <c r="O34" s="41">
        <f t="shared" si="0"/>
        <v>0</v>
      </c>
      <c r="P34" s="41">
        <f t="shared" si="0"/>
        <v>0.64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24.65</v>
      </c>
      <c r="C35" s="33">
        <f t="shared" si="1"/>
        <v>27.79</v>
      </c>
      <c r="D35" s="33">
        <f t="shared" si="1"/>
        <v>33.04</v>
      </c>
      <c r="E35" s="33">
        <f t="shared" si="1"/>
        <v>24.05</v>
      </c>
      <c r="F35" s="33">
        <f t="shared" si="1"/>
        <v>9.75</v>
      </c>
      <c r="G35" s="33">
        <f t="shared" si="1"/>
        <v>100.09</v>
      </c>
      <c r="H35" s="33">
        <f t="shared" si="1"/>
        <v>38.94</v>
      </c>
      <c r="I35" s="33">
        <f t="shared" si="1"/>
        <v>7.8</v>
      </c>
      <c r="J35" s="33">
        <f t="shared" si="1"/>
        <v>0.89</v>
      </c>
      <c r="K35" s="33">
        <f t="shared" si="1"/>
        <v>231.29</v>
      </c>
      <c r="L35" s="33">
        <f t="shared" si="1"/>
        <v>31.48</v>
      </c>
      <c r="M35" s="33">
        <f t="shared" si="1"/>
        <v>102.31</v>
      </c>
      <c r="N35" s="33">
        <f t="shared" si="1"/>
        <v>618.1</v>
      </c>
      <c r="O35" s="33">
        <f t="shared" si="1"/>
        <v>0</v>
      </c>
      <c r="P35" s="33">
        <f t="shared" si="1"/>
        <v>0.88</v>
      </c>
      <c r="Q35" s="33">
        <f t="shared" si="1"/>
        <v>5.53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17.842916666666667</v>
      </c>
      <c r="C36" s="41">
        <f t="shared" si="2"/>
        <v>22.729166666666668</v>
      </c>
      <c r="D36" s="41">
        <f t="shared" si="2"/>
        <v>27.266666666666662</v>
      </c>
      <c r="E36" s="41">
        <f t="shared" si="2"/>
        <v>8.2249999999999996</v>
      </c>
      <c r="F36" s="41">
        <f t="shared" si="2"/>
        <v>4.2354166666666666</v>
      </c>
      <c r="G36" s="41">
        <f t="shared" si="2"/>
        <v>83.125000000000014</v>
      </c>
      <c r="H36" s="41">
        <f t="shared" si="2"/>
        <v>31.983750000000001</v>
      </c>
      <c r="I36" s="41">
        <f t="shared" si="2"/>
        <v>6.0895833333333327</v>
      </c>
      <c r="J36" s="41">
        <f t="shared" si="2"/>
        <v>0.42541666666666672</v>
      </c>
      <c r="K36" s="41">
        <f t="shared" si="2"/>
        <v>119.40541666666668</v>
      </c>
      <c r="L36" s="41">
        <f t="shared" si="2"/>
        <v>26.397916666666671</v>
      </c>
      <c r="M36" s="41">
        <f t="shared" si="2"/>
        <v>79.904999999999987</v>
      </c>
      <c r="N36" s="41">
        <f t="shared" si="2"/>
        <v>167.22083333333333</v>
      </c>
      <c r="O36" s="41">
        <f t="shared" si="2"/>
        <v>0</v>
      </c>
      <c r="P36" s="41">
        <f t="shared" si="2"/>
        <v>0.7629166666666668</v>
      </c>
      <c r="Q36" s="41">
        <f t="shared" si="2"/>
        <v>5.1016666666666675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5.7352642781810612</v>
      </c>
      <c r="C37" s="41">
        <f t="shared" ref="C37:Q37" si="3">STDEV(C9:C32)</f>
        <v>2.7992202589241133</v>
      </c>
      <c r="D37" s="41">
        <f t="shared" si="3"/>
        <v>4.2443770134007108</v>
      </c>
      <c r="E37" s="41">
        <f t="shared" si="3"/>
        <v>4.3754135208298734</v>
      </c>
      <c r="F37" s="41">
        <f t="shared" si="3"/>
        <v>2.204418446757737</v>
      </c>
      <c r="G37" s="41">
        <f t="shared" si="3"/>
        <v>9.9581249326320691</v>
      </c>
      <c r="H37" s="41">
        <f t="shared" si="3"/>
        <v>4.7056661613144124</v>
      </c>
      <c r="I37" s="41">
        <f t="shared" si="3"/>
        <v>1.0432369323894979</v>
      </c>
      <c r="J37" s="41">
        <f t="shared" si="3"/>
        <v>0.26986275363062129</v>
      </c>
      <c r="K37" s="41">
        <f t="shared" si="3"/>
        <v>83.504393530815321</v>
      </c>
      <c r="L37" s="41">
        <f t="shared" si="3"/>
        <v>3.1845305150757959</v>
      </c>
      <c r="M37" s="41">
        <f t="shared" si="3"/>
        <v>16.472428611101265</v>
      </c>
      <c r="N37" s="41">
        <f t="shared" si="3"/>
        <v>239.37899181217739</v>
      </c>
      <c r="O37" s="41">
        <f t="shared" si="3"/>
        <v>0</v>
      </c>
      <c r="P37" s="41">
        <f t="shared" si="3"/>
        <v>7.4043416562391051E-2</v>
      </c>
      <c r="Q37" s="41">
        <f t="shared" si="3"/>
        <v>0.32393862363732484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540</v>
      </c>
      <c r="B9" s="51">
        <v>15.01</v>
      </c>
      <c r="C9" s="51">
        <v>21.57</v>
      </c>
      <c r="D9" s="51">
        <v>24.66</v>
      </c>
      <c r="E9" s="51">
        <v>6.43</v>
      </c>
      <c r="F9" s="51">
        <v>2.7</v>
      </c>
      <c r="G9" s="51">
        <v>78.69</v>
      </c>
      <c r="H9" s="51">
        <v>32.93</v>
      </c>
      <c r="I9" s="51">
        <v>5.76</v>
      </c>
      <c r="J9" s="51">
        <v>0.12</v>
      </c>
      <c r="K9" s="51">
        <v>213.12</v>
      </c>
      <c r="L9" s="51">
        <v>22.06</v>
      </c>
      <c r="M9" s="51">
        <v>99.49</v>
      </c>
      <c r="N9" s="51">
        <v>0</v>
      </c>
      <c r="O9" s="51">
        <v>0</v>
      </c>
      <c r="P9" s="51">
        <v>0.8</v>
      </c>
      <c r="Q9" s="51">
        <v>5</v>
      </c>
    </row>
    <row r="10" spans="1:21" customFormat="1">
      <c r="A10" s="50" t="s">
        <v>541</v>
      </c>
      <c r="B10" s="51">
        <v>20.79</v>
      </c>
      <c r="C10" s="51">
        <v>23.52</v>
      </c>
      <c r="D10" s="51">
        <v>30.31</v>
      </c>
      <c r="E10" s="51">
        <v>6.23</v>
      </c>
      <c r="F10" s="51">
        <v>2.58</v>
      </c>
      <c r="G10" s="51">
        <v>73.239999999999995</v>
      </c>
      <c r="H10" s="51">
        <v>32.909999999999997</v>
      </c>
      <c r="I10" s="51">
        <v>6.99</v>
      </c>
      <c r="J10" s="51">
        <v>0.13</v>
      </c>
      <c r="K10" s="51">
        <v>215.85</v>
      </c>
      <c r="L10" s="51">
        <v>22.05</v>
      </c>
      <c r="M10" s="51">
        <v>100.98</v>
      </c>
      <c r="N10" s="51">
        <v>0</v>
      </c>
      <c r="O10" s="51">
        <v>0</v>
      </c>
      <c r="P10" s="51">
        <v>0.8</v>
      </c>
      <c r="Q10" s="51">
        <v>5.33</v>
      </c>
    </row>
    <row r="11" spans="1:21" customFormat="1">
      <c r="A11" s="50" t="s">
        <v>542</v>
      </c>
      <c r="B11" s="51">
        <v>23.6</v>
      </c>
      <c r="C11" s="51">
        <v>24.71</v>
      </c>
      <c r="D11" s="51">
        <v>33.19</v>
      </c>
      <c r="E11" s="51">
        <v>7.06</v>
      </c>
      <c r="F11" s="51">
        <v>2.69</v>
      </c>
      <c r="G11" s="51">
        <v>88.74</v>
      </c>
      <c r="H11" s="51">
        <v>36.26</v>
      </c>
      <c r="I11" s="51">
        <v>7.18</v>
      </c>
      <c r="J11" s="51">
        <v>0.31</v>
      </c>
      <c r="K11" s="51">
        <v>56.31</v>
      </c>
      <c r="L11" s="51">
        <v>21.87</v>
      </c>
      <c r="M11" s="51">
        <v>101.81</v>
      </c>
      <c r="N11" s="51">
        <v>0</v>
      </c>
      <c r="O11" s="51">
        <v>0</v>
      </c>
      <c r="P11" s="51">
        <v>0.81</v>
      </c>
      <c r="Q11" s="51">
        <v>5.53</v>
      </c>
    </row>
    <row r="12" spans="1:21" customFormat="1">
      <c r="A12" s="50" t="s">
        <v>543</v>
      </c>
      <c r="B12" s="51">
        <v>23.58</v>
      </c>
      <c r="C12" s="51">
        <v>25.78</v>
      </c>
      <c r="D12" s="51">
        <v>33.729999999999997</v>
      </c>
      <c r="E12" s="51">
        <v>6.91</v>
      </c>
      <c r="F12" s="51">
        <v>2.5299999999999998</v>
      </c>
      <c r="G12" s="51">
        <v>88.74</v>
      </c>
      <c r="H12" s="51">
        <v>36.26</v>
      </c>
      <c r="I12" s="51">
        <v>7.15</v>
      </c>
      <c r="J12" s="51">
        <v>0.4</v>
      </c>
      <c r="K12" s="51">
        <v>58.38</v>
      </c>
      <c r="L12" s="51">
        <v>21.5</v>
      </c>
      <c r="M12" s="51">
        <v>97.13</v>
      </c>
      <c r="N12" s="51">
        <v>0</v>
      </c>
      <c r="O12" s="51">
        <v>0</v>
      </c>
      <c r="P12" s="51">
        <v>0.79</v>
      </c>
      <c r="Q12" s="51">
        <v>5.52</v>
      </c>
    </row>
    <row r="13" spans="1:21" customFormat="1">
      <c r="A13" s="50" t="s">
        <v>544</v>
      </c>
      <c r="B13" s="51">
        <v>24.28</v>
      </c>
      <c r="C13" s="51">
        <v>23.66</v>
      </c>
      <c r="D13" s="51">
        <v>32.979999999999997</v>
      </c>
      <c r="E13" s="51">
        <v>7.13</v>
      </c>
      <c r="F13" s="51">
        <v>2.85</v>
      </c>
      <c r="G13" s="51">
        <v>88.49</v>
      </c>
      <c r="H13" s="51">
        <v>32.869999999999997</v>
      </c>
      <c r="I13" s="51">
        <v>6.8</v>
      </c>
      <c r="J13" s="51">
        <v>0.34</v>
      </c>
      <c r="K13" s="51">
        <v>84.92</v>
      </c>
      <c r="L13" s="51">
        <v>21.3</v>
      </c>
      <c r="M13" s="51">
        <v>85.62</v>
      </c>
      <c r="N13" s="51">
        <v>0</v>
      </c>
      <c r="O13" s="51">
        <v>0</v>
      </c>
      <c r="P13" s="51">
        <v>0.73</v>
      </c>
      <c r="Q13" s="51">
        <v>5.5</v>
      </c>
    </row>
    <row r="14" spans="1:21" customFormat="1">
      <c r="A14" s="50" t="s">
        <v>545</v>
      </c>
      <c r="B14" s="51">
        <v>25.49</v>
      </c>
      <c r="C14" s="51">
        <v>22.92</v>
      </c>
      <c r="D14" s="51">
        <v>33.76</v>
      </c>
      <c r="E14" s="51">
        <v>5.99</v>
      </c>
      <c r="F14" s="51">
        <v>2.71</v>
      </c>
      <c r="G14" s="51">
        <v>81.99</v>
      </c>
      <c r="H14" s="51">
        <v>29.23</v>
      </c>
      <c r="I14" s="51">
        <v>6.68</v>
      </c>
      <c r="J14" s="51">
        <v>0.21</v>
      </c>
      <c r="K14" s="51">
        <v>65.239999999999995</v>
      </c>
      <c r="L14" s="51">
        <v>20.58</v>
      </c>
      <c r="M14" s="51">
        <v>85.13</v>
      </c>
      <c r="N14" s="51">
        <v>0</v>
      </c>
      <c r="O14" s="51">
        <v>0</v>
      </c>
      <c r="P14" s="51">
        <v>0.72</v>
      </c>
      <c r="Q14" s="51">
        <v>5.5</v>
      </c>
    </row>
    <row r="15" spans="1:21" customFormat="1">
      <c r="A15" s="50" t="s">
        <v>546</v>
      </c>
      <c r="B15" s="51">
        <v>27.64</v>
      </c>
      <c r="C15" s="51">
        <v>23.29</v>
      </c>
      <c r="D15" s="51">
        <v>35.1</v>
      </c>
      <c r="E15" s="51">
        <v>5.75</v>
      </c>
      <c r="F15" s="51">
        <v>2.83</v>
      </c>
      <c r="G15" s="51">
        <v>75.91</v>
      </c>
      <c r="H15" s="51">
        <v>26.72</v>
      </c>
      <c r="I15" s="51">
        <v>6.53</v>
      </c>
      <c r="J15" s="51">
        <v>0.38</v>
      </c>
      <c r="K15" s="51">
        <v>45.9</v>
      </c>
      <c r="L15" s="51">
        <v>21.06</v>
      </c>
      <c r="M15" s="51">
        <v>86.96</v>
      </c>
      <c r="N15" s="51">
        <v>34.299999999999997</v>
      </c>
      <c r="O15" s="51">
        <v>0</v>
      </c>
      <c r="P15" s="51">
        <v>0.7</v>
      </c>
      <c r="Q15" s="51">
        <v>5.61</v>
      </c>
    </row>
    <row r="16" spans="1:21" customFormat="1">
      <c r="A16" s="50" t="s">
        <v>547</v>
      </c>
      <c r="B16" s="51">
        <v>28.05</v>
      </c>
      <c r="C16" s="51">
        <v>23.21</v>
      </c>
      <c r="D16" s="51">
        <v>35.81</v>
      </c>
      <c r="E16" s="51">
        <v>5.81</v>
      </c>
      <c r="F16" s="51">
        <v>2.8</v>
      </c>
      <c r="G16" s="51">
        <v>72.12</v>
      </c>
      <c r="H16" s="51">
        <v>25.02</v>
      </c>
      <c r="I16" s="51">
        <v>6.69</v>
      </c>
      <c r="J16" s="51">
        <v>0.67</v>
      </c>
      <c r="K16" s="51">
        <v>39.369999999999997</v>
      </c>
      <c r="L16" s="51">
        <v>23.29</v>
      </c>
      <c r="M16" s="51">
        <v>79.62</v>
      </c>
      <c r="N16" s="51">
        <v>263.60000000000002</v>
      </c>
      <c r="O16" s="51">
        <v>0</v>
      </c>
      <c r="P16" s="51">
        <v>0.73</v>
      </c>
      <c r="Q16" s="51">
        <v>5.62</v>
      </c>
    </row>
    <row r="17" spans="1:17" customFormat="1">
      <c r="A17" s="50" t="s">
        <v>548</v>
      </c>
      <c r="B17" s="51">
        <v>27.61</v>
      </c>
      <c r="C17" s="51">
        <v>23.62</v>
      </c>
      <c r="D17" s="51">
        <v>34.979999999999997</v>
      </c>
      <c r="E17" s="51">
        <v>5.88</v>
      </c>
      <c r="F17" s="51">
        <v>3.65</v>
      </c>
      <c r="G17" s="51">
        <v>71.62</v>
      </c>
      <c r="H17" s="51">
        <v>23.62</v>
      </c>
      <c r="I17" s="51">
        <v>6.74</v>
      </c>
      <c r="J17" s="51">
        <v>0.85</v>
      </c>
      <c r="K17" s="51">
        <v>39.33</v>
      </c>
      <c r="L17" s="51">
        <v>26.03</v>
      </c>
      <c r="M17" s="51">
        <v>67.37</v>
      </c>
      <c r="N17" s="51">
        <v>434.3</v>
      </c>
      <c r="O17" s="51">
        <v>0</v>
      </c>
      <c r="P17" s="51">
        <v>0.75</v>
      </c>
      <c r="Q17" s="51">
        <v>5.6</v>
      </c>
    </row>
    <row r="18" spans="1:17" customFormat="1">
      <c r="A18" s="50" t="s">
        <v>549</v>
      </c>
      <c r="B18" s="51">
        <v>22.26</v>
      </c>
      <c r="C18" s="51">
        <v>25.61</v>
      </c>
      <c r="D18" s="51">
        <v>31.93</v>
      </c>
      <c r="E18" s="51">
        <v>5.94</v>
      </c>
      <c r="F18" s="51">
        <v>3.88</v>
      </c>
      <c r="G18" s="51">
        <v>75.72</v>
      </c>
      <c r="H18" s="51">
        <v>23.28</v>
      </c>
      <c r="I18" s="51">
        <v>6.61</v>
      </c>
      <c r="J18" s="51">
        <v>0.64</v>
      </c>
      <c r="K18" s="51">
        <v>43.1</v>
      </c>
      <c r="L18" s="51">
        <v>28.32</v>
      </c>
      <c r="M18" s="51">
        <v>58.66</v>
      </c>
      <c r="N18" s="51">
        <v>551.79999999999995</v>
      </c>
      <c r="O18" s="51">
        <v>0</v>
      </c>
      <c r="P18" s="51">
        <v>0.76</v>
      </c>
      <c r="Q18" s="51">
        <v>5.37</v>
      </c>
    </row>
    <row r="19" spans="1:17" customFormat="1">
      <c r="A19" s="50" t="s">
        <v>550</v>
      </c>
      <c r="B19" s="51">
        <v>16.32</v>
      </c>
      <c r="C19" s="51">
        <v>26.16</v>
      </c>
      <c r="D19" s="51">
        <v>27.93</v>
      </c>
      <c r="E19" s="51">
        <v>8.17</v>
      </c>
      <c r="F19" s="51">
        <v>6.87</v>
      </c>
      <c r="G19" s="51">
        <v>77.11</v>
      </c>
      <c r="H19" s="51">
        <v>24.25</v>
      </c>
      <c r="I19" s="51">
        <v>6.45</v>
      </c>
      <c r="J19" s="51">
        <v>0.42</v>
      </c>
      <c r="K19" s="51">
        <v>116.64</v>
      </c>
      <c r="L19" s="51">
        <v>30.18</v>
      </c>
      <c r="M19" s="51">
        <v>48.3</v>
      </c>
      <c r="N19" s="51">
        <v>638.1</v>
      </c>
      <c r="O19" s="51">
        <v>0</v>
      </c>
      <c r="P19" s="51">
        <v>0.75</v>
      </c>
      <c r="Q19" s="51">
        <v>5.1100000000000003</v>
      </c>
    </row>
    <row r="20" spans="1:17" customFormat="1">
      <c r="A20" s="50" t="s">
        <v>551</v>
      </c>
      <c r="B20" s="51">
        <v>10.4</v>
      </c>
      <c r="C20" s="51">
        <v>25.74</v>
      </c>
      <c r="D20" s="51">
        <v>23.14</v>
      </c>
      <c r="E20" s="51">
        <v>8.17</v>
      </c>
      <c r="F20" s="51">
        <v>7.85</v>
      </c>
      <c r="G20" s="51">
        <v>77.11</v>
      </c>
      <c r="H20" s="51">
        <v>24.25</v>
      </c>
      <c r="I20" s="51">
        <v>6.05</v>
      </c>
      <c r="J20" s="51">
        <v>0.66</v>
      </c>
      <c r="K20" s="51">
        <v>58.84</v>
      </c>
      <c r="L20" s="51">
        <v>31</v>
      </c>
      <c r="M20" s="51">
        <v>43.82</v>
      </c>
      <c r="N20" s="51">
        <v>693.7</v>
      </c>
      <c r="O20" s="51">
        <v>0</v>
      </c>
      <c r="P20" s="51">
        <v>0.7</v>
      </c>
      <c r="Q20" s="51">
        <v>4.78</v>
      </c>
    </row>
    <row r="21" spans="1:17" customFormat="1">
      <c r="A21" s="50" t="s">
        <v>552</v>
      </c>
      <c r="B21" s="51">
        <v>6.75</v>
      </c>
      <c r="C21" s="51">
        <v>24.58</v>
      </c>
      <c r="D21" s="51">
        <v>19.61</v>
      </c>
      <c r="E21" s="51">
        <v>8.09</v>
      </c>
      <c r="F21" s="51">
        <v>7.35</v>
      </c>
      <c r="G21" s="51">
        <v>71.040000000000006</v>
      </c>
      <c r="H21" s="51">
        <v>20.23</v>
      </c>
      <c r="I21" s="51">
        <v>5.56</v>
      </c>
      <c r="J21" s="51">
        <v>0.45</v>
      </c>
      <c r="K21" s="51">
        <v>74.73</v>
      </c>
      <c r="L21" s="51">
        <v>31.65</v>
      </c>
      <c r="M21" s="51">
        <v>41.79</v>
      </c>
      <c r="N21" s="51">
        <v>695.5</v>
      </c>
      <c r="O21" s="51">
        <v>0</v>
      </c>
      <c r="P21" s="51">
        <v>0.67</v>
      </c>
      <c r="Q21" s="51">
        <v>4.5599999999999996</v>
      </c>
    </row>
    <row r="22" spans="1:17" customFormat="1">
      <c r="A22" s="50" t="s">
        <v>553</v>
      </c>
      <c r="B22" s="51">
        <v>4.79</v>
      </c>
      <c r="C22" s="51">
        <v>22.83</v>
      </c>
      <c r="D22" s="51">
        <v>17.100000000000001</v>
      </c>
      <c r="E22" s="51">
        <v>7.98</v>
      </c>
      <c r="F22" s="51">
        <v>8.02</v>
      </c>
      <c r="G22" s="51">
        <v>66.650000000000006</v>
      </c>
      <c r="H22" s="51">
        <v>19.739999999999998</v>
      </c>
      <c r="I22" s="51">
        <v>5.23</v>
      </c>
      <c r="J22" s="51">
        <v>0.53</v>
      </c>
      <c r="K22" s="51">
        <v>86.33</v>
      </c>
      <c r="L22" s="51">
        <v>31.97</v>
      </c>
      <c r="M22" s="51">
        <v>38.450000000000003</v>
      </c>
      <c r="N22" s="51">
        <v>613.6</v>
      </c>
      <c r="O22" s="51">
        <v>0</v>
      </c>
      <c r="P22" s="51">
        <v>0.62</v>
      </c>
      <c r="Q22" s="51">
        <v>4.4400000000000004</v>
      </c>
    </row>
    <row r="23" spans="1:17" customFormat="1">
      <c r="A23" s="50" t="s">
        <v>554</v>
      </c>
      <c r="B23" s="51">
        <v>5.5</v>
      </c>
      <c r="C23" s="51">
        <v>19.64</v>
      </c>
      <c r="D23" s="51">
        <v>15.66</v>
      </c>
      <c r="E23" s="51">
        <v>6.93</v>
      </c>
      <c r="F23" s="51">
        <v>5.62</v>
      </c>
      <c r="G23" s="51">
        <v>63.53</v>
      </c>
      <c r="H23" s="51">
        <v>17.420000000000002</v>
      </c>
      <c r="I23" s="51">
        <v>4.8600000000000003</v>
      </c>
      <c r="J23" s="51">
        <v>0.66</v>
      </c>
      <c r="K23" s="51">
        <v>46.77</v>
      </c>
      <c r="L23" s="51">
        <v>31.35</v>
      </c>
      <c r="M23" s="51">
        <v>37.29</v>
      </c>
      <c r="N23" s="51">
        <v>566.29999999999995</v>
      </c>
      <c r="O23" s="51">
        <v>0</v>
      </c>
      <c r="P23" s="51">
        <v>0.57999999999999996</v>
      </c>
      <c r="Q23" s="51">
        <v>4.37</v>
      </c>
    </row>
    <row r="24" spans="1:17" customFormat="1">
      <c r="A24" s="50" t="s">
        <v>555</v>
      </c>
      <c r="B24" s="51">
        <v>5.73</v>
      </c>
      <c r="C24" s="51">
        <v>18.62</v>
      </c>
      <c r="D24" s="51">
        <v>15.6</v>
      </c>
      <c r="E24" s="51">
        <v>7.2</v>
      </c>
      <c r="F24" s="51">
        <v>6.06</v>
      </c>
      <c r="G24" s="51">
        <v>57.9</v>
      </c>
      <c r="H24" s="51">
        <v>14.62</v>
      </c>
      <c r="I24" s="51">
        <v>4.71</v>
      </c>
      <c r="J24" s="51">
        <v>0.52</v>
      </c>
      <c r="K24" s="51">
        <v>127.31</v>
      </c>
      <c r="L24" s="51">
        <v>29.82</v>
      </c>
      <c r="M24" s="51">
        <v>37.770000000000003</v>
      </c>
      <c r="N24" s="51">
        <v>79</v>
      </c>
      <c r="O24" s="51">
        <v>0</v>
      </c>
      <c r="P24" s="51">
        <v>0.56000000000000005</v>
      </c>
      <c r="Q24" s="51">
        <v>4.38</v>
      </c>
    </row>
    <row r="25" spans="1:17" customFormat="1">
      <c r="A25" s="50" t="s">
        <v>556</v>
      </c>
      <c r="B25" s="51">
        <v>5.55</v>
      </c>
      <c r="C25" s="51">
        <v>17.940000000000001</v>
      </c>
      <c r="D25" s="51">
        <v>15.17</v>
      </c>
      <c r="E25" s="51">
        <v>6.52</v>
      </c>
      <c r="F25" s="51">
        <v>5.23</v>
      </c>
      <c r="G25" s="51">
        <v>55.47</v>
      </c>
      <c r="H25" s="51">
        <v>15.26</v>
      </c>
      <c r="I25" s="51">
        <v>4.5199999999999996</v>
      </c>
      <c r="J25" s="51">
        <v>0.34</v>
      </c>
      <c r="K25" s="51">
        <v>173.29</v>
      </c>
      <c r="L25" s="51">
        <v>28.92</v>
      </c>
      <c r="M25" s="51">
        <v>41.04</v>
      </c>
      <c r="N25" s="51">
        <v>65</v>
      </c>
      <c r="O25" s="51">
        <v>0</v>
      </c>
      <c r="P25" s="51">
        <v>0.53</v>
      </c>
      <c r="Q25" s="51">
        <v>4.3499999999999996</v>
      </c>
    </row>
    <row r="26" spans="1:17" customFormat="1">
      <c r="A26" s="50" t="s">
        <v>557</v>
      </c>
      <c r="B26" s="51">
        <v>6.47</v>
      </c>
      <c r="C26" s="51">
        <v>17.93</v>
      </c>
      <c r="D26" s="51">
        <v>15.91</v>
      </c>
      <c r="E26" s="51">
        <v>5.54</v>
      </c>
      <c r="F26" s="51">
        <v>3.75</v>
      </c>
      <c r="G26" s="51">
        <v>48.62</v>
      </c>
      <c r="H26" s="51">
        <v>15.42</v>
      </c>
      <c r="I26" s="51">
        <v>4.32</v>
      </c>
      <c r="J26" s="51">
        <v>0.21</v>
      </c>
      <c r="K26" s="51">
        <v>189.48</v>
      </c>
      <c r="L26" s="51">
        <v>26.85</v>
      </c>
      <c r="M26" s="51">
        <v>56.21</v>
      </c>
      <c r="N26" s="51">
        <v>1</v>
      </c>
      <c r="O26" s="51">
        <v>0</v>
      </c>
      <c r="P26" s="51">
        <v>0.52</v>
      </c>
      <c r="Q26" s="51">
        <v>4.37</v>
      </c>
    </row>
    <row r="27" spans="1:17" customFormat="1">
      <c r="A27" s="50" t="s">
        <v>558</v>
      </c>
      <c r="B27" s="51">
        <v>7.93</v>
      </c>
      <c r="C27" s="51">
        <v>19.96</v>
      </c>
      <c r="D27" s="51">
        <v>18.14</v>
      </c>
      <c r="E27" s="51">
        <v>5.44</v>
      </c>
      <c r="F27" s="51">
        <v>2.97</v>
      </c>
      <c r="G27" s="51">
        <v>70.209999999999994</v>
      </c>
      <c r="H27" s="51">
        <v>18.11</v>
      </c>
      <c r="I27" s="51">
        <v>4.7699999999999996</v>
      </c>
      <c r="J27" s="51">
        <v>0.21</v>
      </c>
      <c r="K27" s="51">
        <v>169.09</v>
      </c>
      <c r="L27" s="51">
        <v>25.41</v>
      </c>
      <c r="M27" s="51">
        <v>69.89</v>
      </c>
      <c r="N27" s="51">
        <v>0</v>
      </c>
      <c r="O27" s="51">
        <v>0</v>
      </c>
      <c r="P27" s="51">
        <v>0.62</v>
      </c>
      <c r="Q27" s="51">
        <v>4.53</v>
      </c>
    </row>
    <row r="28" spans="1:17" customFormat="1">
      <c r="A28" s="50" t="s">
        <v>559</v>
      </c>
      <c r="B28" s="51">
        <v>8.1999999999999993</v>
      </c>
      <c r="C28" s="51">
        <v>21.02</v>
      </c>
      <c r="D28" s="51">
        <v>18.91</v>
      </c>
      <c r="E28" s="51">
        <v>5.0999999999999996</v>
      </c>
      <c r="F28" s="51">
        <v>2.99</v>
      </c>
      <c r="G28" s="51">
        <v>72.8</v>
      </c>
      <c r="H28" s="51">
        <v>24.58</v>
      </c>
      <c r="I28" s="51">
        <v>5.33</v>
      </c>
      <c r="J28" s="51">
        <v>0.21</v>
      </c>
      <c r="K28" s="51">
        <v>211.43</v>
      </c>
      <c r="L28" s="51">
        <v>23.83</v>
      </c>
      <c r="M28" s="51">
        <v>76.58</v>
      </c>
      <c r="N28" s="51">
        <v>0</v>
      </c>
      <c r="O28" s="51">
        <v>0</v>
      </c>
      <c r="P28" s="51">
        <v>0.66</v>
      </c>
      <c r="Q28" s="51">
        <v>4.5599999999999996</v>
      </c>
    </row>
    <row r="29" spans="1:17" customFormat="1">
      <c r="A29" s="50" t="s">
        <v>560</v>
      </c>
      <c r="B29" s="51">
        <v>9.9700000000000006</v>
      </c>
      <c r="C29" s="51">
        <v>22.91</v>
      </c>
      <c r="D29" s="51">
        <v>21.31</v>
      </c>
      <c r="E29" s="51">
        <v>5.49</v>
      </c>
      <c r="F29" s="51">
        <v>2.88</v>
      </c>
      <c r="G29" s="51">
        <v>81.11</v>
      </c>
      <c r="H29" s="51">
        <v>24.58</v>
      </c>
      <c r="I29" s="51">
        <v>5.66</v>
      </c>
      <c r="J29" s="51">
        <v>0.18</v>
      </c>
      <c r="K29" s="51">
        <v>231.08</v>
      </c>
      <c r="L29" s="51">
        <v>23.01</v>
      </c>
      <c r="M29" s="51">
        <v>78.78</v>
      </c>
      <c r="N29" s="51">
        <v>0</v>
      </c>
      <c r="O29" s="51">
        <v>0</v>
      </c>
      <c r="P29" s="51">
        <v>0.72</v>
      </c>
      <c r="Q29" s="51">
        <v>4.7</v>
      </c>
    </row>
    <row r="30" spans="1:17" customFormat="1">
      <c r="A30" s="50" t="s">
        <v>561</v>
      </c>
      <c r="B30" s="51">
        <v>14.21</v>
      </c>
      <c r="C30" s="51">
        <v>25.05</v>
      </c>
      <c r="D30" s="51">
        <v>25.84</v>
      </c>
      <c r="E30" s="51">
        <v>5.87</v>
      </c>
      <c r="F30" s="51">
        <v>2.57</v>
      </c>
      <c r="G30" s="51">
        <v>85.38</v>
      </c>
      <c r="H30" s="51">
        <v>26.4</v>
      </c>
      <c r="I30" s="51">
        <v>6.12</v>
      </c>
      <c r="J30" s="51">
        <v>0.22</v>
      </c>
      <c r="K30" s="51">
        <v>229.41</v>
      </c>
      <c r="L30" s="51">
        <v>22.58</v>
      </c>
      <c r="M30" s="51">
        <v>86.6</v>
      </c>
      <c r="N30" s="51">
        <v>0</v>
      </c>
      <c r="O30" s="51">
        <v>0</v>
      </c>
      <c r="P30" s="51">
        <v>0.79</v>
      </c>
      <c r="Q30" s="51">
        <v>4.97</v>
      </c>
    </row>
    <row r="31" spans="1:17" customFormat="1">
      <c r="A31" s="50" t="s">
        <v>562</v>
      </c>
      <c r="B31" s="51">
        <v>18.079999999999998</v>
      </c>
      <c r="C31" s="51">
        <v>25.81</v>
      </c>
      <c r="D31" s="51">
        <v>29.33</v>
      </c>
      <c r="E31" s="51">
        <v>6.47</v>
      </c>
      <c r="F31" s="51">
        <v>2.54</v>
      </c>
      <c r="G31" s="51">
        <v>86.41</v>
      </c>
      <c r="H31" s="51">
        <v>27.51</v>
      </c>
      <c r="I31" s="51">
        <v>6.62</v>
      </c>
      <c r="J31" s="51">
        <v>0.17</v>
      </c>
      <c r="K31" s="51">
        <v>241.13</v>
      </c>
      <c r="L31" s="51">
        <v>21.93</v>
      </c>
      <c r="M31" s="51">
        <v>86.94</v>
      </c>
      <c r="N31" s="51">
        <v>0</v>
      </c>
      <c r="O31" s="51">
        <v>0</v>
      </c>
      <c r="P31" s="51">
        <v>0.88</v>
      </c>
      <c r="Q31" s="51">
        <v>5.19</v>
      </c>
    </row>
    <row r="32" spans="1:17" customFormat="1">
      <c r="A32" s="50" t="s">
        <v>563</v>
      </c>
      <c r="B32" s="51">
        <v>31.4</v>
      </c>
      <c r="C32" s="51">
        <v>27.5</v>
      </c>
      <c r="D32" s="51">
        <v>39.58</v>
      </c>
      <c r="E32" s="51">
        <v>6.33</v>
      </c>
      <c r="F32" s="51">
        <v>2.83</v>
      </c>
      <c r="G32" s="51">
        <v>95.13</v>
      </c>
      <c r="H32" s="51">
        <v>27.51</v>
      </c>
      <c r="I32" s="51">
        <v>7.66</v>
      </c>
      <c r="J32" s="51">
        <v>0.17</v>
      </c>
      <c r="K32" s="51">
        <v>181.17</v>
      </c>
      <c r="L32" s="51">
        <v>21.83</v>
      </c>
      <c r="M32" s="51">
        <v>94.56</v>
      </c>
      <c r="N32" s="51">
        <v>0</v>
      </c>
      <c r="O32" s="51">
        <v>0</v>
      </c>
      <c r="P32" s="51">
        <v>0.95</v>
      </c>
      <c r="Q32" s="51">
        <v>5.79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4.79</v>
      </c>
      <c r="C34" s="41">
        <f t="shared" si="0"/>
        <v>17.93</v>
      </c>
      <c r="D34" s="41">
        <f t="shared" si="0"/>
        <v>15.17</v>
      </c>
      <c r="E34" s="41">
        <f t="shared" si="0"/>
        <v>5.0999999999999996</v>
      </c>
      <c r="F34" s="41">
        <f t="shared" si="0"/>
        <v>2.5299999999999998</v>
      </c>
      <c r="G34" s="41">
        <f t="shared" si="0"/>
        <v>48.62</v>
      </c>
      <c r="H34" s="41">
        <f t="shared" si="0"/>
        <v>14.62</v>
      </c>
      <c r="I34" s="41">
        <f t="shared" si="0"/>
        <v>4.32</v>
      </c>
      <c r="J34" s="41">
        <f t="shared" si="0"/>
        <v>0.12</v>
      </c>
      <c r="K34" s="41">
        <f t="shared" si="0"/>
        <v>39.33</v>
      </c>
      <c r="L34" s="41">
        <f t="shared" si="0"/>
        <v>20.58</v>
      </c>
      <c r="M34" s="41">
        <f t="shared" si="0"/>
        <v>37.29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4.3499999999999996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31.4</v>
      </c>
      <c r="C35" s="33">
        <f t="shared" si="1"/>
        <v>27.5</v>
      </c>
      <c r="D35" s="33">
        <f t="shared" si="1"/>
        <v>39.58</v>
      </c>
      <c r="E35" s="33">
        <f t="shared" si="1"/>
        <v>8.17</v>
      </c>
      <c r="F35" s="33">
        <f t="shared" si="1"/>
        <v>8.02</v>
      </c>
      <c r="G35" s="33">
        <f t="shared" si="1"/>
        <v>95.13</v>
      </c>
      <c r="H35" s="33">
        <f t="shared" si="1"/>
        <v>36.26</v>
      </c>
      <c r="I35" s="33">
        <f t="shared" si="1"/>
        <v>7.66</v>
      </c>
      <c r="J35" s="33">
        <f t="shared" si="1"/>
        <v>0.85</v>
      </c>
      <c r="K35" s="33">
        <f t="shared" si="1"/>
        <v>241.13</v>
      </c>
      <c r="L35" s="33">
        <f t="shared" si="1"/>
        <v>31.97</v>
      </c>
      <c r="M35" s="33">
        <f t="shared" si="1"/>
        <v>101.81</v>
      </c>
      <c r="N35" s="33">
        <f t="shared" si="1"/>
        <v>695.5</v>
      </c>
      <c r="O35" s="33">
        <f t="shared" si="1"/>
        <v>0</v>
      </c>
      <c r="P35" s="33">
        <f t="shared" si="1"/>
        <v>0.95</v>
      </c>
      <c r="Q35" s="33">
        <f t="shared" si="1"/>
        <v>5.79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16.233750000000001</v>
      </c>
      <c r="C36" s="41">
        <f t="shared" si="2"/>
        <v>23.065833333333334</v>
      </c>
      <c r="D36" s="41">
        <f t="shared" si="2"/>
        <v>26.236666666666675</v>
      </c>
      <c r="E36" s="41">
        <f t="shared" si="2"/>
        <v>6.5179166666666681</v>
      </c>
      <c r="F36" s="41">
        <f t="shared" si="2"/>
        <v>4.03125</v>
      </c>
      <c r="G36" s="41">
        <f t="shared" si="2"/>
        <v>75.155416666666667</v>
      </c>
      <c r="H36" s="41">
        <f t="shared" si="2"/>
        <v>24.9575</v>
      </c>
      <c r="I36" s="41">
        <f t="shared" si="2"/>
        <v>6.0412499999999989</v>
      </c>
      <c r="J36" s="41">
        <f t="shared" si="2"/>
        <v>0.37500000000000006</v>
      </c>
      <c r="K36" s="41">
        <f t="shared" si="2"/>
        <v>124.92583333333333</v>
      </c>
      <c r="L36" s="41">
        <f t="shared" si="2"/>
        <v>25.349583333333339</v>
      </c>
      <c r="M36" s="41">
        <f t="shared" si="2"/>
        <v>70.866249999999994</v>
      </c>
      <c r="N36" s="41">
        <f t="shared" si="2"/>
        <v>193.17499999999998</v>
      </c>
      <c r="O36" s="41">
        <f t="shared" si="2"/>
        <v>0</v>
      </c>
      <c r="P36" s="41">
        <f t="shared" si="2"/>
        <v>0.71416666666666651</v>
      </c>
      <c r="Q36" s="41">
        <f t="shared" si="2"/>
        <v>5.0283333333333333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8.8871454861110628</v>
      </c>
      <c r="C37" s="41">
        <f t="shared" ref="C37:Q37" si="3">STDEV(C9:C32)</f>
        <v>2.7022549628149033</v>
      </c>
      <c r="D37" s="41">
        <f t="shared" si="3"/>
        <v>7.8849326134622162</v>
      </c>
      <c r="E37" s="41">
        <f t="shared" si="3"/>
        <v>0.91767655174531282</v>
      </c>
      <c r="F37" s="41">
        <f t="shared" si="3"/>
        <v>1.8796260324168539</v>
      </c>
      <c r="G37" s="41">
        <f t="shared" si="3"/>
        <v>11.324242552332482</v>
      </c>
      <c r="H37" s="41">
        <f t="shared" si="3"/>
        <v>6.367074442514526</v>
      </c>
      <c r="I37" s="41">
        <f t="shared" si="3"/>
        <v>0.94846930458456946</v>
      </c>
      <c r="J37" s="41">
        <f t="shared" si="3"/>
        <v>0.20698666203615526</v>
      </c>
      <c r="K37" s="41">
        <f t="shared" si="3"/>
        <v>74.391230485779758</v>
      </c>
      <c r="L37" s="41">
        <f t="shared" si="3"/>
        <v>4.0055629568700146</v>
      </c>
      <c r="M37" s="41">
        <f t="shared" si="3"/>
        <v>22.76447438492136</v>
      </c>
      <c r="N37" s="41">
        <f t="shared" si="3"/>
        <v>275.67643644079493</v>
      </c>
      <c r="O37" s="41">
        <f t="shared" si="3"/>
        <v>0</v>
      </c>
      <c r="P37" s="41">
        <f t="shared" si="3"/>
        <v>0.10635938529617422</v>
      </c>
      <c r="Q37" s="41">
        <f t="shared" si="3"/>
        <v>0.49905708191999792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564</v>
      </c>
      <c r="B9" s="51">
        <v>37.49</v>
      </c>
      <c r="C9" s="51">
        <v>25.07</v>
      </c>
      <c r="D9" s="51">
        <v>44.51</v>
      </c>
      <c r="E9" s="51">
        <v>6.04</v>
      </c>
      <c r="F9" s="51">
        <v>2.77</v>
      </c>
      <c r="G9" s="51">
        <v>95.13</v>
      </c>
      <c r="H9" s="51">
        <v>27.84</v>
      </c>
      <c r="I9" s="51">
        <v>8.51</v>
      </c>
      <c r="J9" s="51">
        <v>0.18</v>
      </c>
      <c r="K9" s="51">
        <v>221.63</v>
      </c>
      <c r="L9" s="51">
        <v>21.71</v>
      </c>
      <c r="M9" s="51">
        <v>92.48</v>
      </c>
      <c r="N9" s="51">
        <v>0</v>
      </c>
      <c r="O9" s="51">
        <v>0</v>
      </c>
      <c r="P9" s="51">
        <v>0.98</v>
      </c>
      <c r="Q9" s="51">
        <v>6.05</v>
      </c>
    </row>
    <row r="10" spans="1:21" customFormat="1">
      <c r="A10" s="50" t="s">
        <v>565</v>
      </c>
      <c r="B10" s="51">
        <v>42.53</v>
      </c>
      <c r="C10" s="51">
        <v>25.93</v>
      </c>
      <c r="D10" s="51">
        <v>48.47</v>
      </c>
      <c r="E10" s="51">
        <v>5.87</v>
      </c>
      <c r="F10" s="51">
        <v>2.71</v>
      </c>
      <c r="G10" s="51">
        <v>94.13</v>
      </c>
      <c r="H10" s="51">
        <v>27.84</v>
      </c>
      <c r="I10" s="51">
        <v>9.07</v>
      </c>
      <c r="J10" s="51">
        <v>0.17</v>
      </c>
      <c r="K10" s="51">
        <v>200.31</v>
      </c>
      <c r="L10" s="51">
        <v>21.48</v>
      </c>
      <c r="M10" s="51">
        <v>94.21</v>
      </c>
      <c r="N10" s="51">
        <v>0</v>
      </c>
      <c r="O10" s="51">
        <v>0</v>
      </c>
      <c r="P10" s="51">
        <v>1.02</v>
      </c>
      <c r="Q10" s="51">
        <v>6.29</v>
      </c>
    </row>
    <row r="11" spans="1:21" customFormat="1">
      <c r="A11" s="50" t="s">
        <v>566</v>
      </c>
      <c r="B11" s="51">
        <v>42.59</v>
      </c>
      <c r="C11" s="51">
        <v>25.57</v>
      </c>
      <c r="D11" s="51">
        <v>48.75</v>
      </c>
      <c r="E11" s="51">
        <v>4.26</v>
      </c>
      <c r="F11" s="51">
        <v>2.66</v>
      </c>
      <c r="G11" s="51">
        <v>95.45</v>
      </c>
      <c r="H11" s="51">
        <v>28.3</v>
      </c>
      <c r="I11" s="51">
        <v>9.2100000000000009</v>
      </c>
      <c r="J11" s="51">
        <v>0.15</v>
      </c>
      <c r="K11" s="51">
        <v>164.85</v>
      </c>
      <c r="L11" s="51">
        <v>21.24</v>
      </c>
      <c r="M11" s="51">
        <v>89.13</v>
      </c>
      <c r="N11" s="51">
        <v>0</v>
      </c>
      <c r="O11" s="51">
        <v>0</v>
      </c>
      <c r="P11" s="51">
        <v>1.03</v>
      </c>
      <c r="Q11" s="51">
        <v>6.31</v>
      </c>
    </row>
    <row r="12" spans="1:21" customFormat="1">
      <c r="A12" s="50" t="s">
        <v>567</v>
      </c>
      <c r="B12" s="51">
        <v>40.020000000000003</v>
      </c>
      <c r="C12" s="51">
        <v>25.15</v>
      </c>
      <c r="D12" s="51">
        <v>46.59</v>
      </c>
      <c r="E12" s="51">
        <v>4.32</v>
      </c>
      <c r="F12" s="51">
        <v>2.68</v>
      </c>
      <c r="G12" s="51">
        <v>95.45</v>
      </c>
      <c r="H12" s="51">
        <v>31.22</v>
      </c>
      <c r="I12" s="51">
        <v>9.01</v>
      </c>
      <c r="J12" s="51">
        <v>0.15</v>
      </c>
      <c r="K12" s="51">
        <v>229.92</v>
      </c>
      <c r="L12" s="51">
        <v>20.62</v>
      </c>
      <c r="M12" s="51">
        <v>92.93</v>
      </c>
      <c r="N12" s="51">
        <v>0</v>
      </c>
      <c r="O12" s="51">
        <v>0</v>
      </c>
      <c r="P12" s="51">
        <v>1</v>
      </c>
      <c r="Q12" s="51">
        <v>6.16</v>
      </c>
    </row>
    <row r="13" spans="1:21" customFormat="1">
      <c r="A13" s="50" t="s">
        <v>568</v>
      </c>
      <c r="B13" s="51">
        <v>36.020000000000003</v>
      </c>
      <c r="C13" s="51">
        <v>26.18</v>
      </c>
      <c r="D13" s="51">
        <v>43.92</v>
      </c>
      <c r="E13" s="51">
        <v>4.43</v>
      </c>
      <c r="F13" s="51">
        <v>2.5499999999999998</v>
      </c>
      <c r="G13" s="51">
        <v>89.14</v>
      </c>
      <c r="H13" s="51">
        <v>31.22</v>
      </c>
      <c r="I13" s="51">
        <v>8.67</v>
      </c>
      <c r="J13" s="51">
        <v>0.16</v>
      </c>
      <c r="K13" s="51">
        <v>257.26</v>
      </c>
      <c r="L13" s="51">
        <v>20.18</v>
      </c>
      <c r="M13" s="51">
        <v>96.81</v>
      </c>
      <c r="N13" s="51">
        <v>0</v>
      </c>
      <c r="O13" s="51">
        <v>0</v>
      </c>
      <c r="P13" s="51">
        <v>0.95</v>
      </c>
      <c r="Q13" s="51">
        <v>6.02</v>
      </c>
    </row>
    <row r="14" spans="1:21" customFormat="1">
      <c r="A14" s="50" t="s">
        <v>569</v>
      </c>
      <c r="B14" s="51">
        <v>40.82</v>
      </c>
      <c r="C14" s="51">
        <v>27.08</v>
      </c>
      <c r="D14" s="51">
        <v>48.21</v>
      </c>
      <c r="E14" s="51">
        <v>4.5999999999999996</v>
      </c>
      <c r="F14" s="51">
        <v>2.71</v>
      </c>
      <c r="G14" s="51">
        <v>89.44</v>
      </c>
      <c r="H14" s="51">
        <v>31.9</v>
      </c>
      <c r="I14" s="51">
        <v>8.39</v>
      </c>
      <c r="J14" s="51">
        <v>0.28000000000000003</v>
      </c>
      <c r="K14" s="51">
        <v>174.89</v>
      </c>
      <c r="L14" s="51">
        <v>20.22</v>
      </c>
      <c r="M14" s="51">
        <v>96.27</v>
      </c>
      <c r="N14" s="51">
        <v>0</v>
      </c>
      <c r="O14" s="51">
        <v>0</v>
      </c>
      <c r="P14" s="51">
        <v>0.94</v>
      </c>
      <c r="Q14" s="51">
        <v>6.28</v>
      </c>
    </row>
    <row r="15" spans="1:21" customFormat="1">
      <c r="A15" s="50" t="s">
        <v>570</v>
      </c>
      <c r="B15" s="51">
        <v>39.049999999999997</v>
      </c>
      <c r="C15" s="51">
        <v>27.17</v>
      </c>
      <c r="D15" s="51">
        <v>46.86</v>
      </c>
      <c r="E15" s="51">
        <v>4.8600000000000003</v>
      </c>
      <c r="F15" s="51">
        <v>2.66</v>
      </c>
      <c r="G15" s="51">
        <v>89.44</v>
      </c>
      <c r="H15" s="51">
        <v>31.9</v>
      </c>
      <c r="I15" s="51">
        <v>8.36</v>
      </c>
      <c r="J15" s="51">
        <v>0.12</v>
      </c>
      <c r="K15" s="51">
        <v>177.2</v>
      </c>
      <c r="L15" s="51">
        <v>20.99</v>
      </c>
      <c r="M15" s="51">
        <v>97.66</v>
      </c>
      <c r="N15" s="51">
        <v>34.200000000000003</v>
      </c>
      <c r="O15" s="51">
        <v>0</v>
      </c>
      <c r="P15" s="51">
        <v>0.91</v>
      </c>
      <c r="Q15" s="51">
        <v>6.21</v>
      </c>
    </row>
    <row r="16" spans="1:21" customFormat="1">
      <c r="A16" s="50" t="s">
        <v>571</v>
      </c>
      <c r="B16" s="51">
        <v>33.46</v>
      </c>
      <c r="C16" s="51">
        <v>26.24</v>
      </c>
      <c r="D16" s="51">
        <v>41.76</v>
      </c>
      <c r="E16" s="51">
        <v>4.57</v>
      </c>
      <c r="F16" s="51">
        <v>2.65</v>
      </c>
      <c r="G16" s="51">
        <v>85.96</v>
      </c>
      <c r="H16" s="51">
        <v>27.98</v>
      </c>
      <c r="I16" s="51">
        <v>8.16</v>
      </c>
      <c r="J16" s="51">
        <v>0.13</v>
      </c>
      <c r="K16" s="51">
        <v>205.6</v>
      </c>
      <c r="L16" s="51">
        <v>24.31</v>
      </c>
      <c r="M16" s="51">
        <v>87.74</v>
      </c>
      <c r="N16" s="51">
        <v>248.2</v>
      </c>
      <c r="O16" s="51">
        <v>0</v>
      </c>
      <c r="P16" s="51">
        <v>0.87</v>
      </c>
      <c r="Q16" s="51">
        <v>5.97</v>
      </c>
    </row>
    <row r="17" spans="1:17" customFormat="1">
      <c r="A17" s="50" t="s">
        <v>572</v>
      </c>
      <c r="B17" s="51">
        <v>27.26</v>
      </c>
      <c r="C17" s="51">
        <v>28.28</v>
      </c>
      <c r="D17" s="51">
        <v>37.08</v>
      </c>
      <c r="E17" s="51">
        <v>4.95</v>
      </c>
      <c r="F17" s="51">
        <v>2.73</v>
      </c>
      <c r="G17" s="51">
        <v>80.27</v>
      </c>
      <c r="H17" s="51">
        <v>28.85</v>
      </c>
      <c r="I17" s="51">
        <v>7.79</v>
      </c>
      <c r="J17" s="51">
        <v>0.54</v>
      </c>
      <c r="K17" s="51">
        <v>62.48</v>
      </c>
      <c r="L17" s="51">
        <v>27.09</v>
      </c>
      <c r="M17" s="51">
        <v>66.930000000000007</v>
      </c>
      <c r="N17" s="51">
        <v>429</v>
      </c>
      <c r="O17" s="51">
        <v>0</v>
      </c>
      <c r="P17" s="51">
        <v>0.83</v>
      </c>
      <c r="Q17" s="51">
        <v>5.69</v>
      </c>
    </row>
    <row r="18" spans="1:17" customFormat="1">
      <c r="A18" s="50" t="s">
        <v>573</v>
      </c>
      <c r="B18" s="51">
        <v>20.18</v>
      </c>
      <c r="C18" s="51">
        <v>29.55</v>
      </c>
      <c r="D18" s="51">
        <v>32.39</v>
      </c>
      <c r="E18" s="51">
        <v>5.31</v>
      </c>
      <c r="F18" s="51">
        <v>3.19</v>
      </c>
      <c r="G18" s="51">
        <v>78.8</v>
      </c>
      <c r="H18" s="51">
        <v>31.48</v>
      </c>
      <c r="I18" s="51">
        <v>7.48</v>
      </c>
      <c r="J18" s="51">
        <v>0.48</v>
      </c>
      <c r="K18" s="51">
        <v>70.73</v>
      </c>
      <c r="L18" s="51">
        <v>28.92</v>
      </c>
      <c r="M18" s="51">
        <v>60</v>
      </c>
      <c r="N18" s="51">
        <v>549.20000000000005</v>
      </c>
      <c r="O18" s="51">
        <v>0</v>
      </c>
      <c r="P18" s="51">
        <v>0.82</v>
      </c>
      <c r="Q18" s="51">
        <v>5.37</v>
      </c>
    </row>
    <row r="19" spans="1:17" customFormat="1">
      <c r="A19" s="50" t="s">
        <v>574</v>
      </c>
      <c r="B19" s="51">
        <v>16.239999999999998</v>
      </c>
      <c r="C19" s="51">
        <v>26.17</v>
      </c>
      <c r="D19" s="51">
        <v>28.05</v>
      </c>
      <c r="E19" s="51">
        <v>7.26</v>
      </c>
      <c r="F19" s="51">
        <v>4.01</v>
      </c>
      <c r="G19" s="51">
        <v>82.78</v>
      </c>
      <c r="H19" s="51">
        <v>31.48</v>
      </c>
      <c r="I19" s="51">
        <v>7.27</v>
      </c>
      <c r="J19" s="51">
        <v>0.43</v>
      </c>
      <c r="K19" s="51">
        <v>72.45</v>
      </c>
      <c r="L19" s="51">
        <v>30.23</v>
      </c>
      <c r="M19" s="51">
        <v>50.9</v>
      </c>
      <c r="N19" s="51">
        <v>614</v>
      </c>
      <c r="O19" s="51">
        <v>0</v>
      </c>
      <c r="P19" s="51">
        <v>0.79</v>
      </c>
      <c r="Q19" s="51">
        <v>5.03</v>
      </c>
    </row>
    <row r="20" spans="1:17" customFormat="1">
      <c r="A20" s="50" t="s">
        <v>575</v>
      </c>
      <c r="B20" s="51">
        <v>13.38</v>
      </c>
      <c r="C20" s="51">
        <v>24.73</v>
      </c>
      <c r="D20" s="51">
        <v>25</v>
      </c>
      <c r="E20" s="51">
        <v>7.95</v>
      </c>
      <c r="F20" s="51">
        <v>5.23</v>
      </c>
      <c r="G20" s="51">
        <v>82.78</v>
      </c>
      <c r="H20" s="51">
        <v>30.34</v>
      </c>
      <c r="I20" s="51">
        <v>7.03</v>
      </c>
      <c r="J20" s="51">
        <v>0.47</v>
      </c>
      <c r="K20" s="51">
        <v>349.6</v>
      </c>
      <c r="L20" s="51">
        <v>31.25</v>
      </c>
      <c r="M20" s="51">
        <v>44.99</v>
      </c>
      <c r="N20" s="51">
        <v>666.2</v>
      </c>
      <c r="O20" s="51">
        <v>0</v>
      </c>
      <c r="P20" s="51">
        <v>0.76</v>
      </c>
      <c r="Q20" s="51">
        <v>4.87</v>
      </c>
    </row>
    <row r="21" spans="1:17" customFormat="1">
      <c r="A21" s="50" t="s">
        <v>576</v>
      </c>
      <c r="B21" s="51">
        <v>9.6999999999999993</v>
      </c>
      <c r="C21" s="51">
        <v>23.33</v>
      </c>
      <c r="D21" s="51">
        <v>21.32</v>
      </c>
      <c r="E21" s="51">
        <v>6.11</v>
      </c>
      <c r="F21" s="51">
        <v>6.98</v>
      </c>
      <c r="G21" s="51">
        <v>74.27</v>
      </c>
      <c r="H21" s="51">
        <v>26.93</v>
      </c>
      <c r="I21" s="51">
        <v>6.58</v>
      </c>
      <c r="J21" s="51">
        <v>1.07</v>
      </c>
      <c r="K21" s="51">
        <v>30.29</v>
      </c>
      <c r="L21" s="51">
        <v>31.09</v>
      </c>
      <c r="M21" s="51">
        <v>34.270000000000003</v>
      </c>
      <c r="N21" s="51">
        <v>688</v>
      </c>
      <c r="O21" s="51">
        <v>0</v>
      </c>
      <c r="P21" s="51">
        <v>0.71</v>
      </c>
      <c r="Q21" s="51">
        <v>4.63</v>
      </c>
    </row>
    <row r="22" spans="1:17" customFormat="1">
      <c r="A22" s="50" t="s">
        <v>577</v>
      </c>
      <c r="B22" s="51">
        <v>7.74</v>
      </c>
      <c r="C22" s="51">
        <v>21.68</v>
      </c>
      <c r="D22" s="51">
        <v>18.88</v>
      </c>
      <c r="E22" s="51">
        <v>6.68</v>
      </c>
      <c r="F22" s="51">
        <v>8.2899999999999991</v>
      </c>
      <c r="G22" s="51">
        <v>61.02</v>
      </c>
      <c r="H22" s="51">
        <v>18.89</v>
      </c>
      <c r="I22" s="51">
        <v>6.08</v>
      </c>
      <c r="J22" s="51">
        <v>0.96</v>
      </c>
      <c r="K22" s="51">
        <v>30.94</v>
      </c>
      <c r="L22" s="51">
        <v>31.19</v>
      </c>
      <c r="M22" s="51">
        <v>35.799999999999997</v>
      </c>
      <c r="N22" s="51">
        <v>604.79999999999995</v>
      </c>
      <c r="O22" s="51">
        <v>0</v>
      </c>
      <c r="P22" s="51">
        <v>0.67</v>
      </c>
      <c r="Q22" s="51">
        <v>4.5</v>
      </c>
    </row>
    <row r="23" spans="1:17" customFormat="1">
      <c r="A23" s="50" t="s">
        <v>578</v>
      </c>
      <c r="B23" s="51">
        <v>6.32</v>
      </c>
      <c r="C23" s="51">
        <v>21.47</v>
      </c>
      <c r="D23" s="51">
        <v>17.22</v>
      </c>
      <c r="E23" s="51">
        <v>6.34</v>
      </c>
      <c r="F23" s="51">
        <v>8.81</v>
      </c>
      <c r="G23" s="51">
        <v>61.02</v>
      </c>
      <c r="H23" s="51">
        <v>18.89</v>
      </c>
      <c r="I23" s="51">
        <v>5.65</v>
      </c>
      <c r="J23" s="51">
        <v>0.83</v>
      </c>
      <c r="K23" s="51">
        <v>28.96</v>
      </c>
      <c r="L23" s="51">
        <v>31.07</v>
      </c>
      <c r="M23" s="51">
        <v>38.42</v>
      </c>
      <c r="N23" s="51">
        <v>510.3</v>
      </c>
      <c r="O23" s="51">
        <v>0</v>
      </c>
      <c r="P23" s="51">
        <v>0.62</v>
      </c>
      <c r="Q23" s="51">
        <v>4.41</v>
      </c>
    </row>
    <row r="24" spans="1:17" customFormat="1">
      <c r="A24" s="50" t="s">
        <v>579</v>
      </c>
      <c r="B24" s="51">
        <v>6.24</v>
      </c>
      <c r="C24" s="51">
        <v>23.77</v>
      </c>
      <c r="D24" s="51">
        <v>18.77</v>
      </c>
      <c r="E24" s="51">
        <v>6.64</v>
      </c>
      <c r="F24" s="51">
        <v>9.99</v>
      </c>
      <c r="G24" s="51">
        <v>52.54</v>
      </c>
      <c r="H24" s="51">
        <v>19.23</v>
      </c>
      <c r="I24" s="51">
        <v>5.09</v>
      </c>
      <c r="J24" s="51">
        <v>0.76</v>
      </c>
      <c r="K24" s="51">
        <v>25.77</v>
      </c>
      <c r="L24" s="51">
        <v>29.6</v>
      </c>
      <c r="M24" s="51">
        <v>41.25</v>
      </c>
      <c r="N24" s="51">
        <v>75</v>
      </c>
      <c r="O24" s="51">
        <v>0</v>
      </c>
      <c r="P24" s="51">
        <v>0.61</v>
      </c>
      <c r="Q24" s="51">
        <v>4.3600000000000003</v>
      </c>
    </row>
    <row r="25" spans="1:17" customFormat="1">
      <c r="A25" s="50" t="s">
        <v>580</v>
      </c>
      <c r="B25" s="51">
        <v>5.91</v>
      </c>
      <c r="C25" s="51">
        <v>22.93</v>
      </c>
      <c r="D25" s="51">
        <v>18.07</v>
      </c>
      <c r="E25" s="51">
        <v>5.86</v>
      </c>
      <c r="F25" s="51">
        <v>7.94</v>
      </c>
      <c r="G25" s="51">
        <v>51.62</v>
      </c>
      <c r="H25" s="51">
        <v>19.23</v>
      </c>
      <c r="I25" s="51">
        <v>4.75</v>
      </c>
      <c r="J25" s="51">
        <v>0.49</v>
      </c>
      <c r="K25" s="51">
        <v>66.41</v>
      </c>
      <c r="L25" s="51">
        <v>28.71</v>
      </c>
      <c r="M25" s="51">
        <v>43.74</v>
      </c>
      <c r="N25" s="51">
        <v>44.6</v>
      </c>
      <c r="O25" s="51">
        <v>0</v>
      </c>
      <c r="P25" s="51">
        <v>0.61</v>
      </c>
      <c r="Q25" s="51">
        <v>4.38</v>
      </c>
    </row>
    <row r="26" spans="1:17" customFormat="1">
      <c r="A26" s="50" t="s">
        <v>581</v>
      </c>
      <c r="B26" s="51">
        <v>6.17</v>
      </c>
      <c r="C26" s="51">
        <v>22.93</v>
      </c>
      <c r="D26" s="51">
        <v>18.2</v>
      </c>
      <c r="E26" s="51">
        <v>5.89</v>
      </c>
      <c r="F26" s="51">
        <v>4.3099999999999996</v>
      </c>
      <c r="G26" s="51">
        <v>66.64</v>
      </c>
      <c r="H26" s="51">
        <v>18.91</v>
      </c>
      <c r="I26" s="51">
        <v>4.6500000000000004</v>
      </c>
      <c r="J26" s="51">
        <v>0.25</v>
      </c>
      <c r="K26" s="51">
        <v>172.14</v>
      </c>
      <c r="L26" s="51">
        <v>27.55</v>
      </c>
      <c r="M26" s="51">
        <v>57.8</v>
      </c>
      <c r="N26" s="51">
        <v>2.8</v>
      </c>
      <c r="O26" s="51">
        <v>0</v>
      </c>
      <c r="P26" s="51">
        <v>0.63</v>
      </c>
      <c r="Q26" s="51">
        <v>4.46</v>
      </c>
    </row>
    <row r="27" spans="1:17" customFormat="1">
      <c r="A27" s="50" t="s">
        <v>582</v>
      </c>
      <c r="B27" s="51">
        <v>7.4</v>
      </c>
      <c r="C27" s="51">
        <v>23.76</v>
      </c>
      <c r="D27" s="51">
        <v>19.440000000000001</v>
      </c>
      <c r="E27" s="51">
        <v>5.77</v>
      </c>
      <c r="F27" s="51">
        <v>2.88</v>
      </c>
      <c r="G27" s="51">
        <v>79.86</v>
      </c>
      <c r="H27" s="51">
        <v>21.46</v>
      </c>
      <c r="I27" s="51">
        <v>5.09</v>
      </c>
      <c r="J27" s="51">
        <v>0.2</v>
      </c>
      <c r="K27" s="51">
        <v>219.24</v>
      </c>
      <c r="L27" s="51">
        <v>25.12</v>
      </c>
      <c r="M27" s="51">
        <v>73.69</v>
      </c>
      <c r="N27" s="51">
        <v>0</v>
      </c>
      <c r="O27" s="51">
        <v>0</v>
      </c>
      <c r="P27" s="51">
        <v>0.68</v>
      </c>
      <c r="Q27" s="51">
        <v>4.55</v>
      </c>
    </row>
    <row r="28" spans="1:17" customFormat="1">
      <c r="A28" s="50" t="s">
        <v>583</v>
      </c>
      <c r="B28" s="51">
        <v>8.4600000000000009</v>
      </c>
      <c r="C28" s="51">
        <v>23</v>
      </c>
      <c r="D28" s="51">
        <v>19.38</v>
      </c>
      <c r="E28" s="51">
        <v>5.77</v>
      </c>
      <c r="F28" s="51">
        <v>3.04</v>
      </c>
      <c r="G28" s="51">
        <v>79.86</v>
      </c>
      <c r="H28" s="51">
        <v>22.21</v>
      </c>
      <c r="I28" s="51">
        <v>5.36</v>
      </c>
      <c r="J28" s="51">
        <v>0.13</v>
      </c>
      <c r="K28" s="51">
        <v>209.94</v>
      </c>
      <c r="L28" s="51">
        <v>23.43</v>
      </c>
      <c r="M28" s="51">
        <v>78.84</v>
      </c>
      <c r="N28" s="51">
        <v>0</v>
      </c>
      <c r="O28" s="51">
        <v>0</v>
      </c>
      <c r="P28" s="51">
        <v>0.68</v>
      </c>
      <c r="Q28" s="51">
        <v>4.58</v>
      </c>
    </row>
    <row r="29" spans="1:17" customFormat="1">
      <c r="A29" s="50" t="s">
        <v>584</v>
      </c>
      <c r="B29" s="51">
        <v>9.6300000000000008</v>
      </c>
      <c r="C29" s="51">
        <v>19.45</v>
      </c>
      <c r="D29" s="51">
        <v>19.23</v>
      </c>
      <c r="E29" s="51">
        <v>4.95</v>
      </c>
      <c r="F29" s="51">
        <v>2.91</v>
      </c>
      <c r="G29" s="51">
        <v>79.84</v>
      </c>
      <c r="H29" s="51">
        <v>24.35</v>
      </c>
      <c r="I29" s="51">
        <v>5.73</v>
      </c>
      <c r="J29" s="51">
        <v>0.19</v>
      </c>
      <c r="K29" s="51">
        <v>219.67</v>
      </c>
      <c r="L29" s="51">
        <v>23.01</v>
      </c>
      <c r="M29" s="51">
        <v>82.59</v>
      </c>
      <c r="N29" s="51">
        <v>0</v>
      </c>
      <c r="O29" s="51">
        <v>0</v>
      </c>
      <c r="P29" s="51">
        <v>0.67</v>
      </c>
      <c r="Q29" s="51">
        <v>4.6399999999999997</v>
      </c>
    </row>
    <row r="30" spans="1:17" customFormat="1">
      <c r="A30" s="50" t="s">
        <v>585</v>
      </c>
      <c r="B30" s="51">
        <v>15.35</v>
      </c>
      <c r="C30" s="51">
        <v>21.25</v>
      </c>
      <c r="D30" s="51">
        <v>24.76</v>
      </c>
      <c r="E30" s="51">
        <v>5.58</v>
      </c>
      <c r="F30" s="51">
        <v>2.78</v>
      </c>
      <c r="G30" s="51">
        <v>87.61</v>
      </c>
      <c r="H30" s="51">
        <v>24.35</v>
      </c>
      <c r="I30" s="51">
        <v>6.13</v>
      </c>
      <c r="J30" s="51">
        <v>0.18</v>
      </c>
      <c r="K30" s="51">
        <v>240.53</v>
      </c>
      <c r="L30" s="51">
        <v>22.43</v>
      </c>
      <c r="M30" s="51">
        <v>83.02</v>
      </c>
      <c r="N30" s="51">
        <v>0</v>
      </c>
      <c r="O30" s="51">
        <v>0</v>
      </c>
      <c r="P30" s="51">
        <v>0.75</v>
      </c>
      <c r="Q30" s="51">
        <v>4.95</v>
      </c>
    </row>
    <row r="31" spans="1:17" customFormat="1">
      <c r="A31" s="50" t="s">
        <v>586</v>
      </c>
      <c r="B31" s="51">
        <v>19.989999999999998</v>
      </c>
      <c r="C31" s="51">
        <v>23.27</v>
      </c>
      <c r="D31" s="51">
        <v>29.54</v>
      </c>
      <c r="E31" s="51">
        <v>5.82</v>
      </c>
      <c r="F31" s="51">
        <v>2.79</v>
      </c>
      <c r="G31" s="51">
        <v>88.36</v>
      </c>
      <c r="H31" s="51">
        <v>27.5</v>
      </c>
      <c r="I31" s="51">
        <v>6.64</v>
      </c>
      <c r="J31" s="51">
        <v>0.14000000000000001</v>
      </c>
      <c r="K31" s="51">
        <v>358.2</v>
      </c>
      <c r="L31" s="51">
        <v>22.31</v>
      </c>
      <c r="M31" s="51">
        <v>80.2</v>
      </c>
      <c r="N31" s="51">
        <v>0</v>
      </c>
      <c r="O31" s="51">
        <v>0</v>
      </c>
      <c r="P31" s="51">
        <v>0.84</v>
      </c>
      <c r="Q31" s="51">
        <v>5.18</v>
      </c>
    </row>
    <row r="32" spans="1:17" customFormat="1">
      <c r="A32" s="50" t="s">
        <v>587</v>
      </c>
      <c r="B32" s="51">
        <v>22.66</v>
      </c>
      <c r="C32" s="51">
        <v>23.91</v>
      </c>
      <c r="D32" s="51">
        <v>31.79</v>
      </c>
      <c r="E32" s="51">
        <v>6.17</v>
      </c>
      <c r="F32" s="51">
        <v>2.8</v>
      </c>
      <c r="G32" s="51">
        <v>93.41</v>
      </c>
      <c r="H32" s="51">
        <v>27.5</v>
      </c>
      <c r="I32" s="51">
        <v>6.94</v>
      </c>
      <c r="J32" s="51">
        <v>0.36</v>
      </c>
      <c r="K32" s="51">
        <v>247.66</v>
      </c>
      <c r="L32" s="51">
        <v>22.07</v>
      </c>
      <c r="M32" s="51">
        <v>90.14</v>
      </c>
      <c r="N32" s="51">
        <v>0</v>
      </c>
      <c r="O32" s="51">
        <v>0</v>
      </c>
      <c r="P32" s="51">
        <v>0.89</v>
      </c>
      <c r="Q32" s="51">
        <v>5.35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5.91</v>
      </c>
      <c r="C34" s="41">
        <f t="shared" si="0"/>
        <v>19.45</v>
      </c>
      <c r="D34" s="41">
        <f t="shared" si="0"/>
        <v>17.22</v>
      </c>
      <c r="E34" s="41">
        <f t="shared" si="0"/>
        <v>4.26</v>
      </c>
      <c r="F34" s="41">
        <f t="shared" si="0"/>
        <v>2.5499999999999998</v>
      </c>
      <c r="G34" s="41">
        <f t="shared" si="0"/>
        <v>51.62</v>
      </c>
      <c r="H34" s="41">
        <f t="shared" si="0"/>
        <v>18.89</v>
      </c>
      <c r="I34" s="41">
        <f t="shared" si="0"/>
        <v>4.6500000000000004</v>
      </c>
      <c r="J34" s="41">
        <f t="shared" si="0"/>
        <v>0.12</v>
      </c>
      <c r="K34" s="41">
        <f t="shared" si="0"/>
        <v>25.77</v>
      </c>
      <c r="L34" s="41">
        <f t="shared" si="0"/>
        <v>20.18</v>
      </c>
      <c r="M34" s="41">
        <f t="shared" si="0"/>
        <v>34.270000000000003</v>
      </c>
      <c r="N34" s="41">
        <f t="shared" si="0"/>
        <v>0</v>
      </c>
      <c r="O34" s="41">
        <f t="shared" si="0"/>
        <v>0</v>
      </c>
      <c r="P34" s="41">
        <f t="shared" si="0"/>
        <v>0.61</v>
      </c>
      <c r="Q34" s="41">
        <f t="shared" si="0"/>
        <v>4.3600000000000003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42.59</v>
      </c>
      <c r="C35" s="33">
        <f t="shared" si="1"/>
        <v>29.55</v>
      </c>
      <c r="D35" s="33">
        <f t="shared" si="1"/>
        <v>48.75</v>
      </c>
      <c r="E35" s="33">
        <f t="shared" si="1"/>
        <v>7.95</v>
      </c>
      <c r="F35" s="33">
        <f t="shared" si="1"/>
        <v>9.99</v>
      </c>
      <c r="G35" s="33">
        <f t="shared" si="1"/>
        <v>95.45</v>
      </c>
      <c r="H35" s="33">
        <f t="shared" si="1"/>
        <v>31.9</v>
      </c>
      <c r="I35" s="33">
        <f t="shared" si="1"/>
        <v>9.2100000000000009</v>
      </c>
      <c r="J35" s="33">
        <f t="shared" si="1"/>
        <v>1.07</v>
      </c>
      <c r="K35" s="33">
        <f t="shared" si="1"/>
        <v>358.2</v>
      </c>
      <c r="L35" s="33">
        <f t="shared" si="1"/>
        <v>31.25</v>
      </c>
      <c r="M35" s="33">
        <f t="shared" si="1"/>
        <v>97.66</v>
      </c>
      <c r="N35" s="33">
        <f t="shared" si="1"/>
        <v>688</v>
      </c>
      <c r="O35" s="33">
        <f t="shared" si="1"/>
        <v>0</v>
      </c>
      <c r="P35" s="33">
        <f t="shared" si="1"/>
        <v>1.03</v>
      </c>
      <c r="Q35" s="33">
        <f t="shared" si="1"/>
        <v>6.31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21.442083333333333</v>
      </c>
      <c r="C36" s="41">
        <f t="shared" si="2"/>
        <v>24.494583333333335</v>
      </c>
      <c r="D36" s="41">
        <f t="shared" si="2"/>
        <v>31.174583333333334</v>
      </c>
      <c r="E36" s="41">
        <f t="shared" si="2"/>
        <v>5.666666666666667</v>
      </c>
      <c r="F36" s="41">
        <f t="shared" si="2"/>
        <v>4.1695833333333336</v>
      </c>
      <c r="G36" s="41">
        <f t="shared" si="2"/>
        <v>80.617499999999978</v>
      </c>
      <c r="H36" s="41">
        <f t="shared" si="2"/>
        <v>26.241666666666671</v>
      </c>
      <c r="I36" s="41">
        <f t="shared" si="2"/>
        <v>6.9849999999999994</v>
      </c>
      <c r="J36" s="41">
        <f t="shared" si="2"/>
        <v>0.36749999999999999</v>
      </c>
      <c r="K36" s="41">
        <f t="shared" si="2"/>
        <v>168.1945833333333</v>
      </c>
      <c r="L36" s="41">
        <f t="shared" si="2"/>
        <v>25.242499999999996</v>
      </c>
      <c r="M36" s="41">
        <f t="shared" si="2"/>
        <v>71.242083333333341</v>
      </c>
      <c r="N36" s="41">
        <f t="shared" si="2"/>
        <v>186.09583333333339</v>
      </c>
      <c r="O36" s="41">
        <f t="shared" si="2"/>
        <v>0</v>
      </c>
      <c r="P36" s="41">
        <f t="shared" si="2"/>
        <v>0.8025000000000001</v>
      </c>
      <c r="Q36" s="41">
        <f t="shared" si="2"/>
        <v>5.2599999999999989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13.941538178241393</v>
      </c>
      <c r="C37" s="41">
        <f t="shared" ref="C37:Q37" si="3">STDEV(C9:C32)</f>
        <v>2.3855816521009126</v>
      </c>
      <c r="D37" s="41">
        <f t="shared" si="3"/>
        <v>12.012848186752827</v>
      </c>
      <c r="E37" s="41">
        <f t="shared" si="3"/>
        <v>0.9421837108162826</v>
      </c>
      <c r="F37" s="41">
        <f t="shared" si="3"/>
        <v>2.3486212035939324</v>
      </c>
      <c r="G37" s="41">
        <f t="shared" si="3"/>
        <v>13.204181567578045</v>
      </c>
      <c r="H37" s="41">
        <f t="shared" si="3"/>
        <v>4.7298282592837211</v>
      </c>
      <c r="I37" s="41">
        <f t="shared" si="3"/>
        <v>1.4780627744508754</v>
      </c>
      <c r="J37" s="41">
        <f t="shared" si="3"/>
        <v>0.28270817647085877</v>
      </c>
      <c r="K37" s="41">
        <f t="shared" si="3"/>
        <v>98.348540626168486</v>
      </c>
      <c r="L37" s="41">
        <f t="shared" si="3"/>
        <v>4.0990616635687847</v>
      </c>
      <c r="M37" s="41">
        <f t="shared" si="3"/>
        <v>22.431156704975926</v>
      </c>
      <c r="N37" s="41">
        <f t="shared" si="3"/>
        <v>267.45566634518121</v>
      </c>
      <c r="O37" s="41">
        <f t="shared" si="3"/>
        <v>0</v>
      </c>
      <c r="P37" s="41">
        <f t="shared" si="3"/>
        <v>0.14019396501307321</v>
      </c>
      <c r="Q37" s="41">
        <f t="shared" si="3"/>
        <v>0.73446224042404129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588</v>
      </c>
      <c r="B9" s="51">
        <v>27.73</v>
      </c>
      <c r="C9" s="51">
        <v>25.22</v>
      </c>
      <c r="D9" s="51">
        <v>36.76</v>
      </c>
      <c r="E9" s="51">
        <v>5.95</v>
      </c>
      <c r="F9" s="51">
        <v>2.82</v>
      </c>
      <c r="G9" s="51">
        <v>94.49</v>
      </c>
      <c r="H9" s="51">
        <v>26.85</v>
      </c>
      <c r="I9" s="51">
        <v>7.34</v>
      </c>
      <c r="J9" s="51">
        <v>0.12</v>
      </c>
      <c r="K9" s="51">
        <v>189.3</v>
      </c>
      <c r="L9" s="51">
        <v>21.16</v>
      </c>
      <c r="M9" s="51">
        <v>89.14</v>
      </c>
      <c r="N9" s="51">
        <v>0</v>
      </c>
      <c r="O9" s="51">
        <v>0</v>
      </c>
      <c r="P9" s="51">
        <v>1.01</v>
      </c>
      <c r="Q9" s="51">
        <v>5.54</v>
      </c>
    </row>
    <row r="10" spans="1:21" customFormat="1">
      <c r="A10" s="50" t="s">
        <v>589</v>
      </c>
      <c r="B10" s="51">
        <v>30.33</v>
      </c>
      <c r="C10" s="51">
        <v>26.91</v>
      </c>
      <c r="D10" s="51">
        <v>39.729999999999997</v>
      </c>
      <c r="E10" s="51">
        <v>5.96</v>
      </c>
      <c r="F10" s="51">
        <v>2.7</v>
      </c>
      <c r="G10" s="51">
        <v>94.49</v>
      </c>
      <c r="H10" s="51">
        <v>26.57</v>
      </c>
      <c r="I10" s="51">
        <v>7.66</v>
      </c>
      <c r="J10" s="51">
        <v>0.15</v>
      </c>
      <c r="K10" s="51">
        <v>223.05</v>
      </c>
      <c r="L10" s="51">
        <v>21.06</v>
      </c>
      <c r="M10" s="51">
        <v>90.77</v>
      </c>
      <c r="N10" s="51">
        <v>0</v>
      </c>
      <c r="O10" s="51">
        <v>0</v>
      </c>
      <c r="P10" s="51">
        <v>1.06</v>
      </c>
      <c r="Q10" s="51">
        <v>5.73</v>
      </c>
    </row>
    <row r="11" spans="1:21" customFormat="1">
      <c r="A11" s="50" t="s">
        <v>590</v>
      </c>
      <c r="B11" s="51">
        <v>30.91</v>
      </c>
      <c r="C11" s="51">
        <v>27.64</v>
      </c>
      <c r="D11" s="51">
        <v>40.58</v>
      </c>
      <c r="E11" s="51">
        <v>4.6100000000000003</v>
      </c>
      <c r="F11" s="51">
        <v>2.62</v>
      </c>
      <c r="G11" s="51">
        <v>90.1</v>
      </c>
      <c r="H11" s="51">
        <v>26.57</v>
      </c>
      <c r="I11" s="51">
        <v>7.74</v>
      </c>
      <c r="J11" s="51">
        <v>0.22</v>
      </c>
      <c r="K11" s="51">
        <v>188.36</v>
      </c>
      <c r="L11" s="51">
        <v>20.77</v>
      </c>
      <c r="M11" s="51">
        <v>84.71</v>
      </c>
      <c r="N11" s="51">
        <v>0</v>
      </c>
      <c r="O11" s="51">
        <v>0</v>
      </c>
      <c r="P11" s="51">
        <v>1.06</v>
      </c>
      <c r="Q11" s="51">
        <v>5.78</v>
      </c>
    </row>
    <row r="12" spans="1:21" customFormat="1">
      <c r="A12" s="50" t="s">
        <v>591</v>
      </c>
      <c r="B12" s="51">
        <v>29.9</v>
      </c>
      <c r="C12" s="51">
        <v>27.63</v>
      </c>
      <c r="D12" s="51">
        <v>39.76</v>
      </c>
      <c r="E12" s="51">
        <v>5.04</v>
      </c>
      <c r="F12" s="51">
        <v>2.76</v>
      </c>
      <c r="G12" s="51">
        <v>84.92</v>
      </c>
      <c r="H12" s="51">
        <v>26.99</v>
      </c>
      <c r="I12" s="51">
        <v>7.54</v>
      </c>
      <c r="J12" s="51">
        <v>0.28999999999999998</v>
      </c>
      <c r="K12" s="51">
        <v>46.03</v>
      </c>
      <c r="L12" s="51">
        <v>20.7</v>
      </c>
      <c r="M12" s="51">
        <v>79.91</v>
      </c>
      <c r="N12" s="51">
        <v>0</v>
      </c>
      <c r="O12" s="51">
        <v>0</v>
      </c>
      <c r="P12" s="51">
        <v>1.01</v>
      </c>
      <c r="Q12" s="51">
        <v>5.73</v>
      </c>
    </row>
    <row r="13" spans="1:21" customFormat="1">
      <c r="A13" s="50" t="s">
        <v>592</v>
      </c>
      <c r="B13" s="51">
        <v>28.33</v>
      </c>
      <c r="C13" s="51">
        <v>27.53</v>
      </c>
      <c r="D13" s="51">
        <v>38.33</v>
      </c>
      <c r="E13" s="51">
        <v>5.62</v>
      </c>
      <c r="F13" s="51">
        <v>2.66</v>
      </c>
      <c r="G13" s="51">
        <v>108.65</v>
      </c>
      <c r="H13" s="51">
        <v>35.81</v>
      </c>
      <c r="I13" s="51">
        <v>7.56</v>
      </c>
      <c r="J13" s="51">
        <v>0.3</v>
      </c>
      <c r="K13" s="51">
        <v>40.270000000000003</v>
      </c>
      <c r="L13" s="51">
        <v>20.12</v>
      </c>
      <c r="M13" s="51">
        <v>82.67</v>
      </c>
      <c r="N13" s="51">
        <v>0</v>
      </c>
      <c r="O13" s="51">
        <v>0</v>
      </c>
      <c r="P13" s="51">
        <v>1.06</v>
      </c>
      <c r="Q13" s="51">
        <v>5.64</v>
      </c>
    </row>
    <row r="14" spans="1:21" customFormat="1">
      <c r="A14" s="50" t="s">
        <v>593</v>
      </c>
      <c r="B14" s="51">
        <v>30.72</v>
      </c>
      <c r="C14" s="51">
        <v>27.92</v>
      </c>
      <c r="D14" s="51">
        <v>39.07</v>
      </c>
      <c r="E14" s="51">
        <v>5.32</v>
      </c>
      <c r="F14" s="51">
        <v>2.86</v>
      </c>
      <c r="G14" s="51">
        <v>110.66</v>
      </c>
      <c r="H14" s="51">
        <v>38.729999999999997</v>
      </c>
      <c r="I14" s="51">
        <v>8.23</v>
      </c>
      <c r="J14" s="51">
        <v>0.2</v>
      </c>
      <c r="K14" s="51">
        <v>80.66</v>
      </c>
      <c r="L14" s="51">
        <v>19.16</v>
      </c>
      <c r="M14" s="51">
        <v>85.31</v>
      </c>
      <c r="N14" s="51">
        <v>0</v>
      </c>
      <c r="O14" s="51">
        <v>0</v>
      </c>
      <c r="P14" s="51">
        <v>1.1599999999999999</v>
      </c>
      <c r="Q14" s="51">
        <v>5.68</v>
      </c>
    </row>
    <row r="15" spans="1:21" customFormat="1">
      <c r="A15" s="50" t="s">
        <v>594</v>
      </c>
      <c r="B15" s="51">
        <v>33.24</v>
      </c>
      <c r="C15" s="51">
        <v>25.51</v>
      </c>
      <c r="D15" s="51">
        <v>41.33</v>
      </c>
      <c r="E15" s="51">
        <v>4.95</v>
      </c>
      <c r="F15" s="51">
        <v>2.57</v>
      </c>
      <c r="G15" s="51">
        <v>110.66</v>
      </c>
      <c r="H15" s="51">
        <v>38.729999999999997</v>
      </c>
      <c r="I15" s="51">
        <v>8.61</v>
      </c>
      <c r="J15" s="51">
        <v>0.32</v>
      </c>
      <c r="K15" s="51">
        <v>42.6</v>
      </c>
      <c r="L15" s="51">
        <v>19.79</v>
      </c>
      <c r="M15" s="51">
        <v>86.06</v>
      </c>
      <c r="N15" s="51">
        <v>34.4</v>
      </c>
      <c r="O15" s="51">
        <v>0</v>
      </c>
      <c r="P15" s="51">
        <v>1.19</v>
      </c>
      <c r="Q15" s="51">
        <v>5.77</v>
      </c>
    </row>
    <row r="16" spans="1:21" customFormat="1">
      <c r="A16" s="50" t="s">
        <v>595</v>
      </c>
      <c r="B16" s="51">
        <v>33.5</v>
      </c>
      <c r="C16" s="51">
        <v>25.92</v>
      </c>
      <c r="D16" s="51">
        <v>41.27</v>
      </c>
      <c r="E16" s="51">
        <v>4.82</v>
      </c>
      <c r="F16" s="51">
        <v>2.75</v>
      </c>
      <c r="G16" s="51">
        <v>107.63</v>
      </c>
      <c r="H16" s="51">
        <v>36.99</v>
      </c>
      <c r="I16" s="51">
        <v>8.6300000000000008</v>
      </c>
      <c r="J16" s="51">
        <v>0.83</v>
      </c>
      <c r="K16" s="51">
        <v>39.76</v>
      </c>
      <c r="L16" s="51">
        <v>21.98</v>
      </c>
      <c r="M16" s="51">
        <v>76.22</v>
      </c>
      <c r="N16" s="51">
        <v>262.10000000000002</v>
      </c>
      <c r="O16" s="51">
        <v>0</v>
      </c>
      <c r="P16" s="51">
        <v>1.18</v>
      </c>
      <c r="Q16" s="51">
        <v>5.79</v>
      </c>
    </row>
    <row r="17" spans="1:17" customFormat="1">
      <c r="A17" s="50" t="s">
        <v>596</v>
      </c>
      <c r="B17" s="51">
        <v>30.94</v>
      </c>
      <c r="C17" s="51">
        <v>25.5</v>
      </c>
      <c r="D17" s="51">
        <v>38.93</v>
      </c>
      <c r="E17" s="51">
        <v>4.88</v>
      </c>
      <c r="F17" s="51">
        <v>2.83</v>
      </c>
      <c r="G17" s="51">
        <v>97.89</v>
      </c>
      <c r="H17" s="51">
        <v>33.54</v>
      </c>
      <c r="I17" s="51">
        <v>8.4</v>
      </c>
      <c r="J17" s="51">
        <v>0.68</v>
      </c>
      <c r="K17" s="51">
        <v>44.25</v>
      </c>
      <c r="L17" s="51">
        <v>25.12</v>
      </c>
      <c r="M17" s="51">
        <v>64.5</v>
      </c>
      <c r="N17" s="51">
        <v>436.7</v>
      </c>
      <c r="O17" s="51">
        <v>0</v>
      </c>
      <c r="P17" s="51">
        <v>1.1100000000000001</v>
      </c>
      <c r="Q17" s="51">
        <v>5.68</v>
      </c>
    </row>
    <row r="18" spans="1:17" customFormat="1">
      <c r="A18" s="50" t="s">
        <v>597</v>
      </c>
      <c r="B18" s="51">
        <v>29.27</v>
      </c>
      <c r="C18" s="51">
        <v>26.45</v>
      </c>
      <c r="D18" s="51">
        <v>37.29</v>
      </c>
      <c r="E18" s="51">
        <v>5.46</v>
      </c>
      <c r="F18" s="51">
        <v>3.2</v>
      </c>
      <c r="G18" s="51">
        <v>90.05</v>
      </c>
      <c r="H18" s="51">
        <v>32.08</v>
      </c>
      <c r="I18" s="51">
        <v>8.2200000000000006</v>
      </c>
      <c r="J18" s="51">
        <v>0.75</v>
      </c>
      <c r="K18" s="51">
        <v>35.65</v>
      </c>
      <c r="L18" s="51">
        <v>26.66</v>
      </c>
      <c r="M18" s="51">
        <v>59.18</v>
      </c>
      <c r="N18" s="51">
        <v>526</v>
      </c>
      <c r="O18" s="51">
        <v>0</v>
      </c>
      <c r="P18" s="51">
        <v>1.06</v>
      </c>
      <c r="Q18" s="51">
        <v>5.58</v>
      </c>
    </row>
    <row r="19" spans="1:17" customFormat="1">
      <c r="A19" s="50" t="s">
        <v>598</v>
      </c>
      <c r="B19" s="51">
        <v>25.45</v>
      </c>
      <c r="C19" s="51">
        <v>28.21</v>
      </c>
      <c r="D19" s="51">
        <v>36.15</v>
      </c>
      <c r="E19" s="51">
        <v>7.66</v>
      </c>
      <c r="F19" s="51">
        <v>3.85</v>
      </c>
      <c r="G19" s="51">
        <v>84.45</v>
      </c>
      <c r="H19" s="51">
        <v>31.52</v>
      </c>
      <c r="I19" s="51">
        <v>7.99</v>
      </c>
      <c r="J19" s="51">
        <v>0.7</v>
      </c>
      <c r="K19" s="51">
        <v>39.99</v>
      </c>
      <c r="L19" s="51">
        <v>27.87</v>
      </c>
      <c r="M19" s="51">
        <v>54.12</v>
      </c>
      <c r="N19" s="51">
        <v>620.5</v>
      </c>
      <c r="O19" s="51">
        <v>0</v>
      </c>
      <c r="P19" s="51">
        <v>1.03</v>
      </c>
      <c r="Q19" s="51">
        <v>5.47</v>
      </c>
    </row>
    <row r="20" spans="1:17" customFormat="1">
      <c r="A20" s="50" t="s">
        <v>599</v>
      </c>
      <c r="B20" s="51">
        <v>16.239999999999998</v>
      </c>
      <c r="C20" s="51">
        <v>30.61</v>
      </c>
      <c r="D20" s="51">
        <v>29.6</v>
      </c>
      <c r="E20" s="51">
        <v>18.64</v>
      </c>
      <c r="F20" s="51">
        <v>14.84</v>
      </c>
      <c r="G20" s="51">
        <v>74.94</v>
      </c>
      <c r="H20" s="51">
        <v>27.37</v>
      </c>
      <c r="I20" s="51">
        <v>7.12</v>
      </c>
      <c r="J20" s="51">
        <v>0.7</v>
      </c>
      <c r="K20" s="51">
        <v>46.73</v>
      </c>
      <c r="L20" s="51">
        <v>29.93</v>
      </c>
      <c r="M20" s="51">
        <v>49.06</v>
      </c>
      <c r="N20" s="51">
        <v>701.8</v>
      </c>
      <c r="O20" s="51">
        <v>0</v>
      </c>
      <c r="P20" s="51">
        <v>0.94</v>
      </c>
      <c r="Q20" s="51">
        <v>4.97</v>
      </c>
    </row>
    <row r="21" spans="1:17" customFormat="1">
      <c r="A21" s="50" t="s">
        <v>600</v>
      </c>
      <c r="B21" s="51">
        <v>3.71</v>
      </c>
      <c r="C21" s="51">
        <v>29.88</v>
      </c>
      <c r="D21" s="51">
        <v>19.93</v>
      </c>
      <c r="E21" s="51">
        <v>13.44</v>
      </c>
      <c r="F21" s="51">
        <v>16.53</v>
      </c>
      <c r="G21" s="51">
        <v>73.22</v>
      </c>
      <c r="H21" s="51">
        <v>27.37</v>
      </c>
      <c r="I21" s="51">
        <v>5.24</v>
      </c>
      <c r="J21" s="51">
        <v>0.62</v>
      </c>
      <c r="K21" s="51">
        <v>44.56</v>
      </c>
      <c r="L21" s="51">
        <v>30.35</v>
      </c>
      <c r="M21" s="51">
        <v>38.590000000000003</v>
      </c>
      <c r="N21" s="51">
        <v>681.4</v>
      </c>
      <c r="O21" s="51">
        <v>0</v>
      </c>
      <c r="P21" s="51">
        <v>0.73</v>
      </c>
      <c r="Q21" s="51">
        <v>4.47</v>
      </c>
    </row>
    <row r="22" spans="1:17" customFormat="1">
      <c r="A22" s="50" t="s">
        <v>601</v>
      </c>
      <c r="B22" s="51">
        <v>3.59</v>
      </c>
      <c r="C22" s="51">
        <v>27.65</v>
      </c>
      <c r="D22" s="51">
        <v>18.68</v>
      </c>
      <c r="E22" s="51">
        <v>8.23</v>
      </c>
      <c r="F22" s="51">
        <v>7.24</v>
      </c>
      <c r="G22" s="51">
        <v>64.59</v>
      </c>
      <c r="H22" s="51">
        <v>23.68</v>
      </c>
      <c r="I22" s="51">
        <v>4.1500000000000004</v>
      </c>
      <c r="J22" s="51">
        <v>0.56000000000000005</v>
      </c>
      <c r="K22" s="51">
        <v>41.32</v>
      </c>
      <c r="L22" s="51">
        <v>30.65</v>
      </c>
      <c r="M22" s="51">
        <v>41.23</v>
      </c>
      <c r="N22" s="51">
        <v>603.1</v>
      </c>
      <c r="O22" s="51">
        <v>0</v>
      </c>
      <c r="P22" s="51">
        <v>0.65</v>
      </c>
      <c r="Q22" s="51">
        <v>4.41</v>
      </c>
    </row>
    <row r="23" spans="1:17" customFormat="1">
      <c r="A23" s="50" t="s">
        <v>602</v>
      </c>
      <c r="B23" s="51">
        <v>3.64</v>
      </c>
      <c r="C23" s="51">
        <v>28.87</v>
      </c>
      <c r="D23" s="51">
        <v>19.350000000000001</v>
      </c>
      <c r="E23" s="51">
        <v>7.41</v>
      </c>
      <c r="F23" s="51">
        <v>7.36</v>
      </c>
      <c r="G23" s="51">
        <v>62.21</v>
      </c>
      <c r="H23" s="51">
        <v>23.68</v>
      </c>
      <c r="I23" s="51">
        <v>4.09</v>
      </c>
      <c r="J23" s="51">
        <v>0.77</v>
      </c>
      <c r="K23" s="51">
        <v>37.58</v>
      </c>
      <c r="L23" s="51">
        <v>30.25</v>
      </c>
      <c r="M23" s="51">
        <v>41.72</v>
      </c>
      <c r="N23" s="51">
        <v>455.4</v>
      </c>
      <c r="O23" s="51">
        <v>0</v>
      </c>
      <c r="P23" s="51">
        <v>0.59</v>
      </c>
      <c r="Q23" s="51">
        <v>4.45</v>
      </c>
    </row>
    <row r="24" spans="1:17" customFormat="1">
      <c r="A24" s="50" t="s">
        <v>603</v>
      </c>
      <c r="B24" s="51">
        <v>4.1100000000000003</v>
      </c>
      <c r="C24" s="51">
        <v>27.25</v>
      </c>
      <c r="D24" s="51">
        <v>18.77</v>
      </c>
      <c r="E24" s="51">
        <v>8.8800000000000008</v>
      </c>
      <c r="F24" s="51">
        <v>11.94</v>
      </c>
      <c r="G24" s="51">
        <v>58.25</v>
      </c>
      <c r="H24" s="51">
        <v>23.54</v>
      </c>
      <c r="I24" s="51">
        <v>4</v>
      </c>
      <c r="J24" s="51">
        <v>0.7</v>
      </c>
      <c r="K24" s="51">
        <v>32.01</v>
      </c>
      <c r="L24" s="51">
        <v>28.74</v>
      </c>
      <c r="M24" s="51">
        <v>45.83</v>
      </c>
      <c r="N24" s="51">
        <v>73.2</v>
      </c>
      <c r="O24" s="51">
        <v>0</v>
      </c>
      <c r="P24" s="51">
        <v>0.56999999999999995</v>
      </c>
      <c r="Q24" s="51">
        <v>4.45</v>
      </c>
    </row>
    <row r="25" spans="1:17" customFormat="1">
      <c r="A25" s="50" t="s">
        <v>604</v>
      </c>
      <c r="B25" s="51">
        <v>3.19</v>
      </c>
      <c r="C25" s="51">
        <v>27.04</v>
      </c>
      <c r="D25" s="51">
        <v>17.27</v>
      </c>
      <c r="E25" s="51">
        <v>13.38</v>
      </c>
      <c r="F25" s="51">
        <v>23.26</v>
      </c>
      <c r="G25" s="51">
        <v>61.68</v>
      </c>
      <c r="H25" s="51">
        <v>23.36</v>
      </c>
      <c r="I25" s="51">
        <v>3.98</v>
      </c>
      <c r="J25" s="51">
        <v>0.56000000000000005</v>
      </c>
      <c r="K25" s="51">
        <v>31.07</v>
      </c>
      <c r="L25" s="51">
        <v>28.06</v>
      </c>
      <c r="M25" s="51">
        <v>50.15</v>
      </c>
      <c r="N25" s="51">
        <v>43.2</v>
      </c>
      <c r="O25" s="51">
        <v>0</v>
      </c>
      <c r="P25" s="51">
        <v>0.56999999999999995</v>
      </c>
      <c r="Q25" s="51">
        <v>4.3499999999999996</v>
      </c>
    </row>
    <row r="26" spans="1:17" customFormat="1">
      <c r="A26" s="50" t="s">
        <v>605</v>
      </c>
      <c r="B26" s="51">
        <v>4.63</v>
      </c>
      <c r="C26" s="51">
        <v>27.61</v>
      </c>
      <c r="D26" s="51">
        <v>19.489999999999998</v>
      </c>
      <c r="E26" s="51">
        <v>6.37</v>
      </c>
      <c r="F26" s="51">
        <v>4.71</v>
      </c>
      <c r="G26" s="51">
        <v>74.36</v>
      </c>
      <c r="H26" s="51">
        <v>25.29</v>
      </c>
      <c r="I26" s="51">
        <v>4.18</v>
      </c>
      <c r="J26" s="51">
        <v>0.23</v>
      </c>
      <c r="K26" s="51">
        <v>178.46</v>
      </c>
      <c r="L26" s="51">
        <v>26.7</v>
      </c>
      <c r="M26" s="51">
        <v>59.58</v>
      </c>
      <c r="N26" s="51">
        <v>2.2999999999999998</v>
      </c>
      <c r="O26" s="51">
        <v>0</v>
      </c>
      <c r="P26" s="51">
        <v>0.57999999999999996</v>
      </c>
      <c r="Q26" s="51">
        <v>4.3899999999999997</v>
      </c>
    </row>
    <row r="27" spans="1:17" customFormat="1">
      <c r="A27" s="50" t="s">
        <v>606</v>
      </c>
      <c r="B27" s="51">
        <v>6.41</v>
      </c>
      <c r="C27" s="51">
        <v>28.25</v>
      </c>
      <c r="D27" s="51">
        <v>20.29</v>
      </c>
      <c r="E27" s="51">
        <v>6.83</v>
      </c>
      <c r="F27" s="51">
        <v>3.01</v>
      </c>
      <c r="G27" s="51">
        <v>78.48</v>
      </c>
      <c r="H27" s="51">
        <v>26</v>
      </c>
      <c r="I27" s="51">
        <v>4.59</v>
      </c>
      <c r="J27" s="51">
        <v>0.27</v>
      </c>
      <c r="K27" s="51">
        <v>181.6</v>
      </c>
      <c r="L27" s="51">
        <v>24.34</v>
      </c>
      <c r="M27" s="51">
        <v>72.91</v>
      </c>
      <c r="N27" s="51">
        <v>0</v>
      </c>
      <c r="O27" s="51">
        <v>0</v>
      </c>
      <c r="P27" s="51">
        <v>0.63</v>
      </c>
      <c r="Q27" s="51">
        <v>4.4800000000000004</v>
      </c>
    </row>
    <row r="28" spans="1:17" customFormat="1">
      <c r="A28" s="50" t="s">
        <v>607</v>
      </c>
      <c r="B28" s="51">
        <v>7.55</v>
      </c>
      <c r="C28" s="51">
        <v>25.28</v>
      </c>
      <c r="D28" s="51">
        <v>20.18</v>
      </c>
      <c r="E28" s="51">
        <v>7.41</v>
      </c>
      <c r="F28" s="51">
        <v>3</v>
      </c>
      <c r="G28" s="51">
        <v>78.48</v>
      </c>
      <c r="H28" s="51">
        <v>26</v>
      </c>
      <c r="I28" s="51">
        <v>5.0999999999999996</v>
      </c>
      <c r="J28" s="51">
        <v>0.18</v>
      </c>
      <c r="K28" s="51">
        <v>223.28</v>
      </c>
      <c r="L28" s="51">
        <v>22.97</v>
      </c>
      <c r="M28" s="51">
        <v>77.040000000000006</v>
      </c>
      <c r="N28" s="51">
        <v>0</v>
      </c>
      <c r="O28" s="51">
        <v>0</v>
      </c>
      <c r="P28" s="51">
        <v>0.69</v>
      </c>
      <c r="Q28" s="51">
        <v>4.53</v>
      </c>
    </row>
    <row r="29" spans="1:17" customFormat="1">
      <c r="A29" s="50" t="s">
        <v>608</v>
      </c>
      <c r="B29" s="51">
        <v>16.7</v>
      </c>
      <c r="C29" s="51">
        <v>29.71</v>
      </c>
      <c r="D29" s="51">
        <v>30.27</v>
      </c>
      <c r="E29" s="51">
        <v>7.4</v>
      </c>
      <c r="F29" s="51">
        <v>2.77</v>
      </c>
      <c r="G29" s="51">
        <v>91.62</v>
      </c>
      <c r="H29" s="51">
        <v>31.79</v>
      </c>
      <c r="I29" s="51">
        <v>5.72</v>
      </c>
      <c r="J29" s="51">
        <v>0.19</v>
      </c>
      <c r="K29" s="51">
        <v>234.5</v>
      </c>
      <c r="L29" s="51">
        <v>22.64</v>
      </c>
      <c r="M29" s="51">
        <v>77.540000000000006</v>
      </c>
      <c r="N29" s="51">
        <v>0</v>
      </c>
      <c r="O29" s="51">
        <v>0</v>
      </c>
      <c r="P29" s="51">
        <v>0.85</v>
      </c>
      <c r="Q29" s="51">
        <v>4.97</v>
      </c>
    </row>
    <row r="30" spans="1:17" customFormat="1">
      <c r="A30" s="50" t="s">
        <v>609</v>
      </c>
      <c r="B30" s="51">
        <v>26.62</v>
      </c>
      <c r="C30" s="51">
        <v>32.299999999999997</v>
      </c>
      <c r="D30" s="51">
        <v>39.57</v>
      </c>
      <c r="E30" s="51">
        <v>8.35</v>
      </c>
      <c r="F30" s="51">
        <v>2.71</v>
      </c>
      <c r="G30" s="51">
        <v>107.33</v>
      </c>
      <c r="H30" s="51">
        <v>37.270000000000003</v>
      </c>
      <c r="I30" s="51">
        <v>6.59</v>
      </c>
      <c r="J30" s="51">
        <v>0.16</v>
      </c>
      <c r="K30" s="51">
        <v>184.23</v>
      </c>
      <c r="L30" s="51">
        <v>22.32</v>
      </c>
      <c r="M30" s="51">
        <v>78.319999999999993</v>
      </c>
      <c r="N30" s="51">
        <v>0</v>
      </c>
      <c r="O30" s="51">
        <v>0</v>
      </c>
      <c r="P30" s="51">
        <v>0.98</v>
      </c>
      <c r="Q30" s="51">
        <v>5.47</v>
      </c>
    </row>
    <row r="31" spans="1:17" customFormat="1">
      <c r="A31" s="50" t="s">
        <v>610</v>
      </c>
      <c r="B31" s="51">
        <v>30.9</v>
      </c>
      <c r="C31" s="51">
        <v>32.68</v>
      </c>
      <c r="D31" s="51">
        <v>43.05</v>
      </c>
      <c r="E31" s="51">
        <v>8.43</v>
      </c>
      <c r="F31" s="51">
        <v>2.6</v>
      </c>
      <c r="G31" s="51">
        <v>111.81</v>
      </c>
      <c r="H31" s="51">
        <v>37.270000000000003</v>
      </c>
      <c r="I31" s="51">
        <v>7.36</v>
      </c>
      <c r="J31" s="51">
        <v>0.16</v>
      </c>
      <c r="K31" s="51">
        <v>217.67</v>
      </c>
      <c r="L31" s="51">
        <v>21.92</v>
      </c>
      <c r="M31" s="51">
        <v>92.85</v>
      </c>
      <c r="N31" s="51">
        <v>0</v>
      </c>
      <c r="O31" s="51">
        <v>0</v>
      </c>
      <c r="P31" s="51">
        <v>1.07</v>
      </c>
      <c r="Q31" s="51">
        <v>5.72</v>
      </c>
    </row>
    <row r="32" spans="1:17" customFormat="1">
      <c r="A32" s="50" t="s">
        <v>611</v>
      </c>
      <c r="B32" s="51">
        <v>39.19</v>
      </c>
      <c r="C32" s="51">
        <v>32.33</v>
      </c>
      <c r="D32" s="51">
        <v>49.67</v>
      </c>
      <c r="E32" s="51">
        <v>8.98</v>
      </c>
      <c r="F32" s="51">
        <v>2.56</v>
      </c>
      <c r="G32" s="51">
        <v>111.81</v>
      </c>
      <c r="H32" s="51">
        <v>37.090000000000003</v>
      </c>
      <c r="I32" s="51">
        <v>7.74</v>
      </c>
      <c r="J32" s="51">
        <v>0.17</v>
      </c>
      <c r="K32" s="51">
        <v>276.29000000000002</v>
      </c>
      <c r="L32" s="51">
        <v>21.31</v>
      </c>
      <c r="M32" s="51">
        <v>94.06</v>
      </c>
      <c r="N32" s="51">
        <v>0</v>
      </c>
      <c r="O32" s="51">
        <v>0</v>
      </c>
      <c r="P32" s="51">
        <v>1.18</v>
      </c>
      <c r="Q32" s="51">
        <v>6.05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3.19</v>
      </c>
      <c r="C34" s="41">
        <f t="shared" si="0"/>
        <v>25.22</v>
      </c>
      <c r="D34" s="41">
        <f t="shared" si="0"/>
        <v>17.27</v>
      </c>
      <c r="E34" s="41">
        <f t="shared" si="0"/>
        <v>4.6100000000000003</v>
      </c>
      <c r="F34" s="41">
        <f t="shared" si="0"/>
        <v>2.56</v>
      </c>
      <c r="G34" s="41">
        <f t="shared" si="0"/>
        <v>58.25</v>
      </c>
      <c r="H34" s="41">
        <f t="shared" si="0"/>
        <v>23.36</v>
      </c>
      <c r="I34" s="41">
        <f t="shared" si="0"/>
        <v>3.98</v>
      </c>
      <c r="J34" s="41">
        <f t="shared" si="0"/>
        <v>0.12</v>
      </c>
      <c r="K34" s="41">
        <f t="shared" si="0"/>
        <v>31.07</v>
      </c>
      <c r="L34" s="41">
        <f t="shared" si="0"/>
        <v>19.16</v>
      </c>
      <c r="M34" s="41">
        <f t="shared" si="0"/>
        <v>38.590000000000003</v>
      </c>
      <c r="N34" s="41">
        <f t="shared" si="0"/>
        <v>0</v>
      </c>
      <c r="O34" s="41">
        <f t="shared" si="0"/>
        <v>0</v>
      </c>
      <c r="P34" s="41">
        <f t="shared" si="0"/>
        <v>0.56999999999999995</v>
      </c>
      <c r="Q34" s="41">
        <f t="shared" si="0"/>
        <v>4.3499999999999996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39.19</v>
      </c>
      <c r="C35" s="33">
        <f t="shared" si="1"/>
        <v>32.68</v>
      </c>
      <c r="D35" s="33">
        <f t="shared" si="1"/>
        <v>49.67</v>
      </c>
      <c r="E35" s="33">
        <f t="shared" si="1"/>
        <v>18.64</v>
      </c>
      <c r="F35" s="33">
        <f t="shared" si="1"/>
        <v>23.26</v>
      </c>
      <c r="G35" s="33">
        <f t="shared" si="1"/>
        <v>111.81</v>
      </c>
      <c r="H35" s="33">
        <f t="shared" si="1"/>
        <v>38.729999999999997</v>
      </c>
      <c r="I35" s="33">
        <f t="shared" si="1"/>
        <v>8.6300000000000008</v>
      </c>
      <c r="J35" s="33">
        <f t="shared" si="1"/>
        <v>0.83</v>
      </c>
      <c r="K35" s="33">
        <f t="shared" si="1"/>
        <v>276.29000000000002</v>
      </c>
      <c r="L35" s="33">
        <f t="shared" si="1"/>
        <v>30.65</v>
      </c>
      <c r="M35" s="33">
        <f t="shared" si="1"/>
        <v>94.06</v>
      </c>
      <c r="N35" s="33">
        <f t="shared" si="1"/>
        <v>701.8</v>
      </c>
      <c r="O35" s="33">
        <f t="shared" si="1"/>
        <v>0</v>
      </c>
      <c r="P35" s="33">
        <f t="shared" si="1"/>
        <v>1.19</v>
      </c>
      <c r="Q35" s="33">
        <f t="shared" si="1"/>
        <v>6.05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20.7</v>
      </c>
      <c r="C36" s="41">
        <f t="shared" si="2"/>
        <v>28.079166666666666</v>
      </c>
      <c r="D36" s="41">
        <f t="shared" si="2"/>
        <v>32.304999999999993</v>
      </c>
      <c r="E36" s="41">
        <f t="shared" si="2"/>
        <v>7.6675000000000004</v>
      </c>
      <c r="F36" s="41">
        <f t="shared" si="2"/>
        <v>5.5895833333333336</v>
      </c>
      <c r="G36" s="41">
        <f t="shared" si="2"/>
        <v>88.448749999999976</v>
      </c>
      <c r="H36" s="41">
        <f t="shared" si="2"/>
        <v>30.170416666666668</v>
      </c>
      <c r="I36" s="41">
        <f t="shared" si="2"/>
        <v>6.5741666666666676</v>
      </c>
      <c r="J36" s="41">
        <f t="shared" si="2"/>
        <v>0.40958333333333335</v>
      </c>
      <c r="K36" s="41">
        <f t="shared" si="2"/>
        <v>112.46749999999999</v>
      </c>
      <c r="L36" s="41">
        <f t="shared" si="2"/>
        <v>24.357083333333332</v>
      </c>
      <c r="M36" s="41">
        <f t="shared" si="2"/>
        <v>69.64458333333333</v>
      </c>
      <c r="N36" s="41">
        <f t="shared" si="2"/>
        <v>185.00416666666663</v>
      </c>
      <c r="O36" s="41">
        <f t="shared" si="2"/>
        <v>0</v>
      </c>
      <c r="P36" s="41">
        <f t="shared" si="2"/>
        <v>0.91500000000000004</v>
      </c>
      <c r="Q36" s="41">
        <f t="shared" si="2"/>
        <v>5.2124999999999995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12.542327292534011</v>
      </c>
      <c r="C37" s="41">
        <f t="shared" ref="C37:Q37" si="3">STDEV(C9:C32)</f>
        <v>2.1955625537743497</v>
      </c>
      <c r="D37" s="41">
        <f t="shared" si="3"/>
        <v>10.170589312155027</v>
      </c>
      <c r="E37" s="41">
        <f t="shared" si="3"/>
        <v>3.3195890919103879</v>
      </c>
      <c r="F37" s="41">
        <f t="shared" si="3"/>
        <v>5.4954348478229331</v>
      </c>
      <c r="G37" s="41">
        <f t="shared" si="3"/>
        <v>17.587663985206422</v>
      </c>
      <c r="H37" s="41">
        <f t="shared" si="3"/>
        <v>5.4729679406798812</v>
      </c>
      <c r="I37" s="41">
        <f t="shared" si="3"/>
        <v>1.6967947191220738</v>
      </c>
      <c r="J37" s="41">
        <f t="shared" si="3"/>
        <v>0.25006919332311878</v>
      </c>
      <c r="K37" s="41">
        <f t="shared" si="3"/>
        <v>86.619539177897408</v>
      </c>
      <c r="L37" s="41">
        <f t="shared" si="3"/>
        <v>3.8503974714834284</v>
      </c>
      <c r="M37" s="41">
        <f t="shared" si="3"/>
        <v>18.207460720973668</v>
      </c>
      <c r="N37" s="41">
        <f t="shared" si="3"/>
        <v>266.7048237759534</v>
      </c>
      <c r="O37" s="41">
        <f t="shared" si="3"/>
        <v>0</v>
      </c>
      <c r="P37" s="41">
        <f t="shared" si="3"/>
        <v>0.22407296948131322</v>
      </c>
      <c r="Q37" s="41">
        <f t="shared" si="3"/>
        <v>0.60268421322411392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612</v>
      </c>
      <c r="B9" s="51">
        <v>41.8</v>
      </c>
      <c r="C9" s="51">
        <v>32.92</v>
      </c>
      <c r="D9" s="51">
        <v>51.98</v>
      </c>
      <c r="E9" s="51">
        <v>9.4</v>
      </c>
      <c r="F9" s="51">
        <v>2.5099999999999998</v>
      </c>
      <c r="G9" s="51">
        <v>110.62</v>
      </c>
      <c r="H9" s="51">
        <v>36.15</v>
      </c>
      <c r="I9" s="51">
        <v>8.66</v>
      </c>
      <c r="J9" s="51">
        <v>0.26</v>
      </c>
      <c r="K9" s="51">
        <v>50.44</v>
      </c>
      <c r="L9" s="51">
        <v>21.41</v>
      </c>
      <c r="M9" s="51">
        <v>81.510000000000005</v>
      </c>
      <c r="N9" s="51">
        <v>0</v>
      </c>
      <c r="O9" s="51">
        <v>0</v>
      </c>
      <c r="P9" s="51">
        <v>1.22</v>
      </c>
      <c r="Q9" s="51">
        <v>6.27</v>
      </c>
    </row>
    <row r="10" spans="1:21" customFormat="1">
      <c r="A10" s="50" t="s">
        <v>613</v>
      </c>
      <c r="B10" s="51">
        <v>40.42</v>
      </c>
      <c r="C10" s="51">
        <v>30.71</v>
      </c>
      <c r="D10" s="51">
        <v>49.81</v>
      </c>
      <c r="E10" s="51">
        <v>8.27</v>
      </c>
      <c r="F10" s="51">
        <v>2.89</v>
      </c>
      <c r="G10" s="51">
        <v>118.65</v>
      </c>
      <c r="H10" s="51">
        <v>42.16</v>
      </c>
      <c r="I10" s="51">
        <v>9.17</v>
      </c>
      <c r="J10" s="51">
        <v>0.19</v>
      </c>
      <c r="K10" s="51">
        <v>151.93</v>
      </c>
      <c r="L10" s="51">
        <v>21</v>
      </c>
      <c r="M10" s="51">
        <v>83.38</v>
      </c>
      <c r="N10" s="51">
        <v>0</v>
      </c>
      <c r="O10" s="51">
        <v>0</v>
      </c>
      <c r="P10" s="51">
        <v>1.17</v>
      </c>
      <c r="Q10" s="51">
        <v>6.2</v>
      </c>
    </row>
    <row r="11" spans="1:21" customFormat="1">
      <c r="A11" s="50" t="s">
        <v>614</v>
      </c>
      <c r="B11" s="51">
        <v>38.19</v>
      </c>
      <c r="C11" s="51">
        <v>29.2</v>
      </c>
      <c r="D11" s="51">
        <v>47.23</v>
      </c>
      <c r="E11" s="51">
        <v>5.36</v>
      </c>
      <c r="F11" s="51">
        <v>2.63</v>
      </c>
      <c r="G11" s="51">
        <v>120.29</v>
      </c>
      <c r="H11" s="51">
        <v>42.36</v>
      </c>
      <c r="I11" s="51">
        <v>9.1999999999999993</v>
      </c>
      <c r="J11" s="51">
        <v>0.1</v>
      </c>
      <c r="K11" s="51">
        <v>240.16</v>
      </c>
      <c r="L11" s="51">
        <v>20.03</v>
      </c>
      <c r="M11" s="51">
        <v>86.91</v>
      </c>
      <c r="N11" s="51">
        <v>0</v>
      </c>
      <c r="O11" s="51">
        <v>0</v>
      </c>
      <c r="P11" s="51">
        <v>1.18</v>
      </c>
      <c r="Q11" s="51">
        <v>6.03</v>
      </c>
    </row>
    <row r="12" spans="1:21" customFormat="1">
      <c r="A12" s="50" t="s">
        <v>615</v>
      </c>
      <c r="B12" s="51">
        <v>36.950000000000003</v>
      </c>
      <c r="C12" s="51">
        <v>27.93</v>
      </c>
      <c r="D12" s="51">
        <v>45.57</v>
      </c>
      <c r="E12" s="51">
        <v>5.5</v>
      </c>
      <c r="F12" s="51">
        <v>2.83</v>
      </c>
      <c r="G12" s="51">
        <v>120.29</v>
      </c>
      <c r="H12" s="51">
        <v>42.51</v>
      </c>
      <c r="I12" s="51">
        <v>9.18</v>
      </c>
      <c r="J12" s="51">
        <v>0.12</v>
      </c>
      <c r="K12" s="51">
        <v>145.34</v>
      </c>
      <c r="L12" s="51">
        <v>19.579999999999998</v>
      </c>
      <c r="M12" s="51">
        <v>87.9</v>
      </c>
      <c r="N12" s="51">
        <v>0</v>
      </c>
      <c r="O12" s="51">
        <v>0</v>
      </c>
      <c r="P12" s="51">
        <v>1.1599999999999999</v>
      </c>
      <c r="Q12" s="51">
        <v>5.96</v>
      </c>
    </row>
    <row r="13" spans="1:21" customFormat="1">
      <c r="A13" s="50" t="s">
        <v>616</v>
      </c>
      <c r="B13" s="51">
        <v>36.47</v>
      </c>
      <c r="C13" s="51">
        <v>27.37</v>
      </c>
      <c r="D13" s="51">
        <v>44.71</v>
      </c>
      <c r="E13" s="51">
        <v>5.1100000000000003</v>
      </c>
      <c r="F13" s="51">
        <v>2.65</v>
      </c>
      <c r="G13" s="51">
        <v>116.25</v>
      </c>
      <c r="H13" s="51">
        <v>44</v>
      </c>
      <c r="I13" s="51">
        <v>8.92</v>
      </c>
      <c r="J13" s="51">
        <v>0.09</v>
      </c>
      <c r="K13" s="51">
        <v>83.15</v>
      </c>
      <c r="L13" s="51">
        <v>19.48</v>
      </c>
      <c r="M13" s="51">
        <v>87.16</v>
      </c>
      <c r="N13" s="51">
        <v>0</v>
      </c>
      <c r="O13" s="51">
        <v>0</v>
      </c>
      <c r="P13" s="51">
        <v>1.1299999999999999</v>
      </c>
      <c r="Q13" s="51">
        <v>5.96</v>
      </c>
    </row>
    <row r="14" spans="1:21" customFormat="1">
      <c r="A14" s="50" t="s">
        <v>617</v>
      </c>
      <c r="B14" s="51">
        <v>38.33</v>
      </c>
      <c r="C14" s="51">
        <v>27.01</v>
      </c>
      <c r="D14" s="51">
        <v>45.88</v>
      </c>
      <c r="E14" s="51">
        <v>5.84</v>
      </c>
      <c r="F14" s="51">
        <v>2.71</v>
      </c>
      <c r="G14" s="51">
        <v>119.87</v>
      </c>
      <c r="H14" s="51">
        <v>44</v>
      </c>
      <c r="I14" s="51">
        <v>8.73</v>
      </c>
      <c r="J14" s="51">
        <v>0.1</v>
      </c>
      <c r="K14" s="51">
        <v>162.15</v>
      </c>
      <c r="L14" s="51">
        <v>19.11</v>
      </c>
      <c r="M14" s="51">
        <v>85.41</v>
      </c>
      <c r="N14" s="51">
        <v>0</v>
      </c>
      <c r="O14" s="51">
        <v>0</v>
      </c>
      <c r="P14" s="51">
        <v>1.1299999999999999</v>
      </c>
      <c r="Q14" s="51">
        <v>6.03</v>
      </c>
    </row>
    <row r="15" spans="1:21" customFormat="1">
      <c r="A15" s="50" t="s">
        <v>618</v>
      </c>
      <c r="B15" s="51">
        <v>40.72</v>
      </c>
      <c r="C15" s="51">
        <v>27.98</v>
      </c>
      <c r="D15" s="51">
        <v>48.59</v>
      </c>
      <c r="E15" s="51">
        <v>5.91</v>
      </c>
      <c r="F15" s="51">
        <v>2.71</v>
      </c>
      <c r="G15" s="51">
        <v>126.09</v>
      </c>
      <c r="H15" s="51">
        <v>40.950000000000003</v>
      </c>
      <c r="I15" s="51">
        <v>8.5</v>
      </c>
      <c r="J15" s="51">
        <v>0.11</v>
      </c>
      <c r="K15" s="51">
        <v>213.83</v>
      </c>
      <c r="L15" s="51">
        <v>20.12</v>
      </c>
      <c r="M15" s="51">
        <v>84.35</v>
      </c>
      <c r="N15" s="51">
        <v>32.5</v>
      </c>
      <c r="O15" s="51">
        <v>0</v>
      </c>
      <c r="P15" s="51">
        <v>1.1399999999999999</v>
      </c>
      <c r="Q15" s="51">
        <v>6.15</v>
      </c>
    </row>
    <row r="16" spans="1:21" customFormat="1">
      <c r="A16" s="50" t="s">
        <v>619</v>
      </c>
      <c r="B16" s="51">
        <v>40.130000000000003</v>
      </c>
      <c r="C16" s="51">
        <v>29.57</v>
      </c>
      <c r="D16" s="51">
        <v>48.36</v>
      </c>
      <c r="E16" s="51">
        <v>6.32</v>
      </c>
      <c r="F16" s="51">
        <v>2.74</v>
      </c>
      <c r="G16" s="51">
        <v>137.21</v>
      </c>
      <c r="H16" s="51">
        <v>42.73</v>
      </c>
      <c r="I16" s="51">
        <v>8.74</v>
      </c>
      <c r="J16" s="51">
        <v>0.41</v>
      </c>
      <c r="K16" s="51">
        <v>71.28</v>
      </c>
      <c r="L16" s="51">
        <v>22.75</v>
      </c>
      <c r="M16" s="51">
        <v>73.569999999999993</v>
      </c>
      <c r="N16" s="51">
        <v>238.7</v>
      </c>
      <c r="O16" s="51">
        <v>0</v>
      </c>
      <c r="P16" s="51">
        <v>1.17</v>
      </c>
      <c r="Q16" s="51">
        <v>6.13</v>
      </c>
    </row>
    <row r="17" spans="1:17" customFormat="1">
      <c r="A17" s="50" t="s">
        <v>620</v>
      </c>
      <c r="B17" s="51">
        <v>35.25</v>
      </c>
      <c r="C17" s="51">
        <v>31</v>
      </c>
      <c r="D17" s="51">
        <v>45.35</v>
      </c>
      <c r="E17" s="51">
        <v>6.43</v>
      </c>
      <c r="F17" s="51">
        <v>2.84</v>
      </c>
      <c r="G17" s="51">
        <v>137.21</v>
      </c>
      <c r="H17" s="51">
        <v>45.35</v>
      </c>
      <c r="I17" s="51">
        <v>8.77</v>
      </c>
      <c r="J17" s="51">
        <v>0.5</v>
      </c>
      <c r="K17" s="51">
        <v>45.38</v>
      </c>
      <c r="L17" s="51">
        <v>25.8</v>
      </c>
      <c r="M17" s="51">
        <v>65.38</v>
      </c>
      <c r="N17" s="51">
        <v>410.3</v>
      </c>
      <c r="O17" s="51">
        <v>0</v>
      </c>
      <c r="P17" s="51">
        <v>1.1599999999999999</v>
      </c>
      <c r="Q17" s="51">
        <v>5.97</v>
      </c>
    </row>
    <row r="18" spans="1:17" customFormat="1">
      <c r="A18" s="50" t="s">
        <v>621</v>
      </c>
      <c r="B18" s="51">
        <v>27.16</v>
      </c>
      <c r="C18" s="51">
        <v>31.87</v>
      </c>
      <c r="D18" s="51">
        <v>39.53</v>
      </c>
      <c r="E18" s="51">
        <v>6.1</v>
      </c>
      <c r="F18" s="51">
        <v>3.02</v>
      </c>
      <c r="G18" s="51">
        <v>117.23</v>
      </c>
      <c r="H18" s="51">
        <v>45.35</v>
      </c>
      <c r="I18" s="51">
        <v>8.35</v>
      </c>
      <c r="J18" s="51">
        <v>0.51</v>
      </c>
      <c r="K18" s="51">
        <v>48.43</v>
      </c>
      <c r="L18" s="51">
        <v>27.94</v>
      </c>
      <c r="M18" s="51">
        <v>58.78</v>
      </c>
      <c r="N18" s="51">
        <v>529.5</v>
      </c>
      <c r="O18" s="51">
        <v>0</v>
      </c>
      <c r="P18" s="51">
        <v>1.07</v>
      </c>
      <c r="Q18" s="51">
        <v>5.59</v>
      </c>
    </row>
    <row r="19" spans="1:17" customFormat="1">
      <c r="A19" s="50" t="s">
        <v>622</v>
      </c>
      <c r="B19" s="51">
        <v>19.670000000000002</v>
      </c>
      <c r="C19" s="51">
        <v>31.8</v>
      </c>
      <c r="D19" s="51">
        <v>33.65</v>
      </c>
      <c r="E19" s="51">
        <v>5.58</v>
      </c>
      <c r="F19" s="51">
        <v>3.4</v>
      </c>
      <c r="G19" s="51">
        <v>91.28</v>
      </c>
      <c r="H19" s="51">
        <v>37.380000000000003</v>
      </c>
      <c r="I19" s="51">
        <v>7.69</v>
      </c>
      <c r="J19" s="51">
        <v>0.5</v>
      </c>
      <c r="K19" s="51">
        <v>38.9</v>
      </c>
      <c r="L19" s="51">
        <v>29.03</v>
      </c>
      <c r="M19" s="51">
        <v>57.47</v>
      </c>
      <c r="N19" s="51">
        <v>599</v>
      </c>
      <c r="O19" s="51">
        <v>0</v>
      </c>
      <c r="P19" s="51">
        <v>0.97</v>
      </c>
      <c r="Q19" s="51">
        <v>5.25</v>
      </c>
    </row>
    <row r="20" spans="1:17" customFormat="1">
      <c r="A20" s="50" t="s">
        <v>623</v>
      </c>
      <c r="B20" s="51">
        <v>14.67</v>
      </c>
      <c r="C20" s="51">
        <v>27.58</v>
      </c>
      <c r="D20" s="51">
        <v>27.53</v>
      </c>
      <c r="E20" s="51">
        <v>5.38</v>
      </c>
      <c r="F20" s="51">
        <v>4.67</v>
      </c>
      <c r="G20" s="51">
        <v>77.010000000000005</v>
      </c>
      <c r="H20" s="51">
        <v>34.07</v>
      </c>
      <c r="I20" s="51">
        <v>7.12</v>
      </c>
      <c r="J20" s="51">
        <v>0.49</v>
      </c>
      <c r="K20" s="51">
        <v>296.61</v>
      </c>
      <c r="L20" s="51">
        <v>29.93</v>
      </c>
      <c r="M20" s="51">
        <v>51.48</v>
      </c>
      <c r="N20" s="51">
        <v>655.9</v>
      </c>
      <c r="O20" s="51">
        <v>0</v>
      </c>
      <c r="P20" s="51">
        <v>0.87</v>
      </c>
      <c r="Q20" s="51">
        <v>4.97</v>
      </c>
    </row>
    <row r="21" spans="1:17" customFormat="1">
      <c r="A21" s="50" t="s">
        <v>624</v>
      </c>
      <c r="B21" s="51">
        <v>11.14</v>
      </c>
      <c r="C21" s="51">
        <v>24.31</v>
      </c>
      <c r="D21" s="51">
        <v>22.99</v>
      </c>
      <c r="E21" s="51">
        <v>8.4499999999999993</v>
      </c>
      <c r="F21" s="51">
        <v>5.13</v>
      </c>
      <c r="G21" s="51">
        <v>61.81</v>
      </c>
      <c r="H21" s="51">
        <v>27.89</v>
      </c>
      <c r="I21" s="51">
        <v>6.64</v>
      </c>
      <c r="J21" s="51">
        <v>0.76</v>
      </c>
      <c r="K21" s="51">
        <v>34.659999999999997</v>
      </c>
      <c r="L21" s="51">
        <v>30.27</v>
      </c>
      <c r="M21" s="51">
        <v>49.17</v>
      </c>
      <c r="N21" s="51">
        <v>639.20000000000005</v>
      </c>
      <c r="O21" s="51">
        <v>0</v>
      </c>
      <c r="P21" s="51">
        <v>0.79</v>
      </c>
      <c r="Q21" s="51">
        <v>4.71</v>
      </c>
    </row>
    <row r="22" spans="1:17" customFormat="1">
      <c r="A22" s="50" t="s">
        <v>625</v>
      </c>
      <c r="B22" s="51">
        <v>9.32</v>
      </c>
      <c r="C22" s="51">
        <v>23.38</v>
      </c>
      <c r="D22" s="51">
        <v>21.04</v>
      </c>
      <c r="E22" s="51">
        <v>7.12</v>
      </c>
      <c r="F22" s="51">
        <v>7.55</v>
      </c>
      <c r="G22" s="51">
        <v>68.73</v>
      </c>
      <c r="H22" s="51">
        <v>26.23</v>
      </c>
      <c r="I22" s="51">
        <v>6.24</v>
      </c>
      <c r="J22" s="51">
        <v>0.79</v>
      </c>
      <c r="K22" s="51">
        <v>348.08</v>
      </c>
      <c r="L22" s="51">
        <v>30.29</v>
      </c>
      <c r="M22" s="51">
        <v>46.98</v>
      </c>
      <c r="N22" s="51">
        <v>487.8</v>
      </c>
      <c r="O22" s="51">
        <v>0</v>
      </c>
      <c r="P22" s="51">
        <v>0.77</v>
      </c>
      <c r="Q22" s="51">
        <v>4.55</v>
      </c>
    </row>
    <row r="23" spans="1:17" customFormat="1">
      <c r="A23" s="50" t="s">
        <v>626</v>
      </c>
      <c r="B23" s="51">
        <v>7.09</v>
      </c>
      <c r="C23" s="51">
        <v>21.7</v>
      </c>
      <c r="D23" s="51">
        <v>18.37</v>
      </c>
      <c r="E23" s="51">
        <v>7.33</v>
      </c>
      <c r="F23" s="51">
        <v>8.41</v>
      </c>
      <c r="G23" s="51">
        <v>68.73</v>
      </c>
      <c r="H23" s="51">
        <v>29.06</v>
      </c>
      <c r="I23" s="51">
        <v>5.99</v>
      </c>
      <c r="J23" s="51">
        <v>0.74</v>
      </c>
      <c r="K23" s="51">
        <v>36.75</v>
      </c>
      <c r="L23" s="51">
        <v>29.77</v>
      </c>
      <c r="M23" s="51">
        <v>50.24</v>
      </c>
      <c r="N23" s="51">
        <v>422</v>
      </c>
      <c r="O23" s="51">
        <v>0</v>
      </c>
      <c r="P23" s="51">
        <v>0.73</v>
      </c>
      <c r="Q23" s="51">
        <v>4.43</v>
      </c>
    </row>
    <row r="24" spans="1:17" customFormat="1">
      <c r="A24" s="50" t="s">
        <v>627</v>
      </c>
      <c r="B24" s="51">
        <v>6.16</v>
      </c>
      <c r="C24" s="51">
        <v>20.94</v>
      </c>
      <c r="D24" s="51">
        <v>17.11</v>
      </c>
      <c r="E24" s="51">
        <v>7.41</v>
      </c>
      <c r="F24" s="51">
        <v>10.48</v>
      </c>
      <c r="G24" s="51">
        <v>66.05</v>
      </c>
      <c r="H24" s="51">
        <v>29.06</v>
      </c>
      <c r="I24" s="51">
        <v>5.69</v>
      </c>
      <c r="J24" s="51">
        <v>0.8</v>
      </c>
      <c r="K24" s="51">
        <v>34.200000000000003</v>
      </c>
      <c r="L24" s="51">
        <v>28.62</v>
      </c>
      <c r="M24" s="51">
        <v>53.33</v>
      </c>
      <c r="N24" s="51">
        <v>76.599999999999994</v>
      </c>
      <c r="O24" s="51">
        <v>0</v>
      </c>
      <c r="P24" s="51">
        <v>0.71</v>
      </c>
      <c r="Q24" s="51">
        <v>4.37</v>
      </c>
    </row>
    <row r="25" spans="1:17" customFormat="1">
      <c r="A25" s="50" t="s">
        <v>628</v>
      </c>
      <c r="B25" s="51">
        <v>5.49</v>
      </c>
      <c r="C25" s="51">
        <v>22.84</v>
      </c>
      <c r="D25" s="51">
        <v>17.690000000000001</v>
      </c>
      <c r="E25" s="51">
        <v>6.27</v>
      </c>
      <c r="F25" s="51">
        <v>8.26</v>
      </c>
      <c r="G25" s="51">
        <v>60.64</v>
      </c>
      <c r="H25" s="51">
        <v>28.08</v>
      </c>
      <c r="I25" s="51">
        <v>5.48</v>
      </c>
      <c r="J25" s="51">
        <v>0.66</v>
      </c>
      <c r="K25" s="51">
        <v>52.02</v>
      </c>
      <c r="L25" s="51">
        <v>27.75</v>
      </c>
      <c r="M25" s="51">
        <v>55.07</v>
      </c>
      <c r="N25" s="51">
        <v>33.6</v>
      </c>
      <c r="O25" s="51">
        <v>0</v>
      </c>
      <c r="P25" s="51">
        <v>0.7</v>
      </c>
      <c r="Q25" s="51">
        <v>4.32</v>
      </c>
    </row>
    <row r="26" spans="1:17" customFormat="1">
      <c r="A26" s="50" t="s">
        <v>629</v>
      </c>
      <c r="B26" s="51">
        <v>5.96</v>
      </c>
      <c r="C26" s="51">
        <v>23.62</v>
      </c>
      <c r="D26" s="51">
        <v>18.47</v>
      </c>
      <c r="E26" s="51">
        <v>5.24</v>
      </c>
      <c r="F26" s="51">
        <v>4.84</v>
      </c>
      <c r="G26" s="51">
        <v>59.31</v>
      </c>
      <c r="H26" s="51">
        <v>28.08</v>
      </c>
      <c r="I26" s="51">
        <v>5.08</v>
      </c>
      <c r="J26" s="51">
        <v>0.23</v>
      </c>
      <c r="K26" s="51">
        <v>144.30000000000001</v>
      </c>
      <c r="L26" s="51">
        <v>26.6</v>
      </c>
      <c r="M26" s="51">
        <v>66.180000000000007</v>
      </c>
      <c r="N26" s="51">
        <v>0.6</v>
      </c>
      <c r="O26" s="51">
        <v>0</v>
      </c>
      <c r="P26" s="51">
        <v>0.69</v>
      </c>
      <c r="Q26" s="51">
        <v>4.3899999999999997</v>
      </c>
    </row>
    <row r="27" spans="1:17" customFormat="1">
      <c r="A27" s="50" t="s">
        <v>630</v>
      </c>
      <c r="B27" s="51">
        <v>6.68</v>
      </c>
      <c r="C27" s="51">
        <v>23.54</v>
      </c>
      <c r="D27" s="51">
        <v>18.920000000000002</v>
      </c>
      <c r="E27" s="51">
        <v>6.26</v>
      </c>
      <c r="F27" s="51">
        <v>3.23</v>
      </c>
      <c r="G27" s="51">
        <v>69.53</v>
      </c>
      <c r="H27" s="51">
        <v>31.68</v>
      </c>
      <c r="I27" s="51">
        <v>5.33</v>
      </c>
      <c r="J27" s="51">
        <v>0.24</v>
      </c>
      <c r="K27" s="51">
        <v>224.14</v>
      </c>
      <c r="L27" s="51">
        <v>24.57</v>
      </c>
      <c r="M27" s="51">
        <v>79.760000000000005</v>
      </c>
      <c r="N27" s="51">
        <v>0</v>
      </c>
      <c r="O27" s="51">
        <v>0</v>
      </c>
      <c r="P27" s="51">
        <v>0.7</v>
      </c>
      <c r="Q27" s="51">
        <v>4.45</v>
      </c>
    </row>
    <row r="28" spans="1:17" customFormat="1">
      <c r="A28" s="50" t="s">
        <v>631</v>
      </c>
      <c r="B28" s="51">
        <v>7.27</v>
      </c>
      <c r="C28" s="51">
        <v>23.12</v>
      </c>
      <c r="D28" s="51">
        <v>19.14</v>
      </c>
      <c r="E28" s="51">
        <v>6.41</v>
      </c>
      <c r="F28" s="51">
        <v>2.89</v>
      </c>
      <c r="G28" s="51">
        <v>69.53</v>
      </c>
      <c r="H28" s="51">
        <v>31.68</v>
      </c>
      <c r="I28" s="51">
        <v>5.5</v>
      </c>
      <c r="J28" s="51">
        <v>0.19</v>
      </c>
      <c r="K28" s="51">
        <v>236.35</v>
      </c>
      <c r="L28" s="51">
        <v>22.56</v>
      </c>
      <c r="M28" s="51">
        <v>88.83</v>
      </c>
      <c r="N28" s="51">
        <v>0</v>
      </c>
      <c r="O28" s="51">
        <v>0</v>
      </c>
      <c r="P28" s="51">
        <v>0.71</v>
      </c>
      <c r="Q28" s="51">
        <v>4.51</v>
      </c>
    </row>
    <row r="29" spans="1:17" customFormat="1">
      <c r="A29" s="50" t="s">
        <v>632</v>
      </c>
      <c r="B29" s="51">
        <v>8.64</v>
      </c>
      <c r="C29" s="51">
        <v>23.55</v>
      </c>
      <c r="D29" s="51">
        <v>20.239999999999998</v>
      </c>
      <c r="E29" s="51">
        <v>7.02</v>
      </c>
      <c r="F29" s="51">
        <v>2.92</v>
      </c>
      <c r="G29" s="51">
        <v>70.069999999999993</v>
      </c>
      <c r="H29" s="51">
        <v>31.44</v>
      </c>
      <c r="I29" s="51">
        <v>5.84</v>
      </c>
      <c r="J29" s="51">
        <v>0.13</v>
      </c>
      <c r="K29" s="51">
        <v>230.55</v>
      </c>
      <c r="L29" s="51">
        <v>22</v>
      </c>
      <c r="M29" s="51">
        <v>91.3</v>
      </c>
      <c r="N29" s="51">
        <v>0</v>
      </c>
      <c r="O29" s="51">
        <v>0</v>
      </c>
      <c r="P29" s="51">
        <v>0.73</v>
      </c>
      <c r="Q29" s="51">
        <v>4.58</v>
      </c>
    </row>
    <row r="30" spans="1:17" customFormat="1">
      <c r="A30" s="50" t="s">
        <v>633</v>
      </c>
      <c r="B30" s="51">
        <v>17.27</v>
      </c>
      <c r="C30" s="51">
        <v>23.08</v>
      </c>
      <c r="D30" s="51">
        <v>27.05</v>
      </c>
      <c r="E30" s="51">
        <v>6.37</v>
      </c>
      <c r="F30" s="51">
        <v>2.81</v>
      </c>
      <c r="G30" s="51">
        <v>85.5</v>
      </c>
      <c r="H30" s="51">
        <v>34.659999999999997</v>
      </c>
      <c r="I30" s="51">
        <v>6.26</v>
      </c>
      <c r="J30" s="51">
        <v>0.11</v>
      </c>
      <c r="K30" s="51">
        <v>193.43</v>
      </c>
      <c r="L30" s="51">
        <v>22.01</v>
      </c>
      <c r="M30" s="51">
        <v>83.89</v>
      </c>
      <c r="N30" s="51">
        <v>0</v>
      </c>
      <c r="O30" s="51">
        <v>0</v>
      </c>
      <c r="P30" s="51">
        <v>0.82</v>
      </c>
      <c r="Q30" s="51">
        <v>4.9400000000000004</v>
      </c>
    </row>
    <row r="31" spans="1:17" customFormat="1">
      <c r="A31" s="50" t="s">
        <v>634</v>
      </c>
      <c r="B31" s="51">
        <v>20.21</v>
      </c>
      <c r="C31" s="51">
        <v>24.24</v>
      </c>
      <c r="D31" s="51">
        <v>29.73</v>
      </c>
      <c r="E31" s="51">
        <v>6.35</v>
      </c>
      <c r="F31" s="51">
        <v>2.58</v>
      </c>
      <c r="G31" s="51">
        <v>90.21</v>
      </c>
      <c r="H31" s="51">
        <v>41.5</v>
      </c>
      <c r="I31" s="51">
        <v>7.47</v>
      </c>
      <c r="J31" s="51">
        <v>0.17</v>
      </c>
      <c r="K31" s="51">
        <v>247.2</v>
      </c>
      <c r="L31" s="51">
        <v>22.03</v>
      </c>
      <c r="M31" s="51">
        <v>89.49</v>
      </c>
      <c r="N31" s="51">
        <v>0</v>
      </c>
      <c r="O31" s="51">
        <v>0</v>
      </c>
      <c r="P31" s="51">
        <v>0.92</v>
      </c>
      <c r="Q31" s="51">
        <v>5.13</v>
      </c>
    </row>
    <row r="32" spans="1:17" customFormat="1">
      <c r="A32" s="50" t="s">
        <v>635</v>
      </c>
      <c r="B32" s="51">
        <v>24.63</v>
      </c>
      <c r="C32" s="51">
        <v>24.71</v>
      </c>
      <c r="D32" s="51">
        <v>33.590000000000003</v>
      </c>
      <c r="E32" s="51">
        <v>6.53</v>
      </c>
      <c r="F32" s="51">
        <v>2.73</v>
      </c>
      <c r="G32" s="51">
        <v>90.66</v>
      </c>
      <c r="H32" s="51">
        <v>41.5</v>
      </c>
      <c r="I32" s="51">
        <v>8.27</v>
      </c>
      <c r="J32" s="51">
        <v>0.34</v>
      </c>
      <c r="K32" s="51">
        <v>186.21</v>
      </c>
      <c r="L32" s="51">
        <v>21.05</v>
      </c>
      <c r="M32" s="51">
        <v>89.7</v>
      </c>
      <c r="N32" s="51">
        <v>0</v>
      </c>
      <c r="O32" s="51">
        <v>0</v>
      </c>
      <c r="P32" s="51">
        <v>1</v>
      </c>
      <c r="Q32" s="51">
        <v>5.35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5.49</v>
      </c>
      <c r="C34" s="41">
        <f t="shared" si="0"/>
        <v>20.94</v>
      </c>
      <c r="D34" s="41">
        <f t="shared" si="0"/>
        <v>17.11</v>
      </c>
      <c r="E34" s="41">
        <f t="shared" si="0"/>
        <v>5.1100000000000003</v>
      </c>
      <c r="F34" s="41">
        <f t="shared" si="0"/>
        <v>2.5099999999999998</v>
      </c>
      <c r="G34" s="41">
        <f t="shared" si="0"/>
        <v>59.31</v>
      </c>
      <c r="H34" s="41">
        <f t="shared" si="0"/>
        <v>26.23</v>
      </c>
      <c r="I34" s="41">
        <f t="shared" si="0"/>
        <v>5.08</v>
      </c>
      <c r="J34" s="41">
        <f t="shared" si="0"/>
        <v>0.09</v>
      </c>
      <c r="K34" s="41">
        <f t="shared" si="0"/>
        <v>34.200000000000003</v>
      </c>
      <c r="L34" s="41">
        <f t="shared" si="0"/>
        <v>19.11</v>
      </c>
      <c r="M34" s="41">
        <f t="shared" si="0"/>
        <v>46.98</v>
      </c>
      <c r="N34" s="41">
        <f t="shared" si="0"/>
        <v>0</v>
      </c>
      <c r="O34" s="41">
        <f t="shared" si="0"/>
        <v>0</v>
      </c>
      <c r="P34" s="41">
        <f t="shared" si="0"/>
        <v>0.69</v>
      </c>
      <c r="Q34" s="41">
        <f t="shared" si="0"/>
        <v>4.32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41.8</v>
      </c>
      <c r="C35" s="33">
        <f t="shared" si="1"/>
        <v>32.92</v>
      </c>
      <c r="D35" s="33">
        <f t="shared" si="1"/>
        <v>51.98</v>
      </c>
      <c r="E35" s="33">
        <f t="shared" si="1"/>
        <v>9.4</v>
      </c>
      <c r="F35" s="33">
        <f t="shared" si="1"/>
        <v>10.48</v>
      </c>
      <c r="G35" s="33">
        <f t="shared" si="1"/>
        <v>137.21</v>
      </c>
      <c r="H35" s="33">
        <f t="shared" si="1"/>
        <v>45.35</v>
      </c>
      <c r="I35" s="33">
        <f t="shared" si="1"/>
        <v>9.1999999999999993</v>
      </c>
      <c r="J35" s="33">
        <f t="shared" si="1"/>
        <v>0.8</v>
      </c>
      <c r="K35" s="33">
        <f t="shared" si="1"/>
        <v>348.08</v>
      </c>
      <c r="L35" s="33">
        <f t="shared" si="1"/>
        <v>30.29</v>
      </c>
      <c r="M35" s="33">
        <f t="shared" si="1"/>
        <v>91.3</v>
      </c>
      <c r="N35" s="33">
        <f t="shared" si="1"/>
        <v>655.9</v>
      </c>
      <c r="O35" s="33">
        <f t="shared" si="1"/>
        <v>0</v>
      </c>
      <c r="P35" s="33">
        <f t="shared" si="1"/>
        <v>1.22</v>
      </c>
      <c r="Q35" s="33">
        <f t="shared" si="1"/>
        <v>6.27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22.484166666666667</v>
      </c>
      <c r="C36" s="41">
        <f t="shared" si="2"/>
        <v>26.415416666666662</v>
      </c>
      <c r="D36" s="41">
        <f t="shared" si="2"/>
        <v>33.022083333333335</v>
      </c>
      <c r="E36" s="41">
        <f t="shared" si="2"/>
        <v>6.498333333333334</v>
      </c>
      <c r="F36" s="41">
        <f t="shared" si="2"/>
        <v>4.0595833333333342</v>
      </c>
      <c r="G36" s="41">
        <f t="shared" si="2"/>
        <v>93.865416666666647</v>
      </c>
      <c r="H36" s="41">
        <f t="shared" si="2"/>
        <v>36.577916666666667</v>
      </c>
      <c r="I36" s="41">
        <f t="shared" si="2"/>
        <v>7.3674999999999997</v>
      </c>
      <c r="J36" s="41">
        <f t="shared" si="2"/>
        <v>0.35583333333333339</v>
      </c>
      <c r="K36" s="41">
        <f t="shared" si="2"/>
        <v>146.47875000000002</v>
      </c>
      <c r="L36" s="41">
        <f t="shared" si="2"/>
        <v>24.320833333333329</v>
      </c>
      <c r="M36" s="41">
        <f t="shared" si="2"/>
        <v>72.801666666666662</v>
      </c>
      <c r="N36" s="41">
        <f t="shared" si="2"/>
        <v>171.9041666666667</v>
      </c>
      <c r="O36" s="41">
        <f t="shared" si="2"/>
        <v>0</v>
      </c>
      <c r="P36" s="41">
        <f t="shared" si="2"/>
        <v>0.94333333333333347</v>
      </c>
      <c r="Q36" s="41">
        <f t="shared" si="2"/>
        <v>5.2599999999999989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14.09951615471614</v>
      </c>
      <c r="C37" s="41">
        <f t="shared" ref="C37:Q37" si="3">STDEV(C9:C32)</f>
        <v>3.600422655342232</v>
      </c>
      <c r="D37" s="41">
        <f t="shared" si="3"/>
        <v>12.795550170534552</v>
      </c>
      <c r="E37" s="41">
        <f t="shared" si="3"/>
        <v>1.074954667058976</v>
      </c>
      <c r="F37" s="41">
        <f t="shared" si="3"/>
        <v>2.2715049199702984</v>
      </c>
      <c r="G37" s="41">
        <f t="shared" si="3"/>
        <v>26.628306282432177</v>
      </c>
      <c r="H37" s="41">
        <f t="shared" si="3"/>
        <v>6.5755502194421496</v>
      </c>
      <c r="I37" s="41">
        <f t="shared" si="3"/>
        <v>1.4659089775408232</v>
      </c>
      <c r="J37" s="41">
        <f t="shared" si="3"/>
        <v>0.24958951808165317</v>
      </c>
      <c r="K37" s="41">
        <f t="shared" si="3"/>
        <v>95.15418861728071</v>
      </c>
      <c r="L37" s="41">
        <f t="shared" si="3"/>
        <v>3.9891297042214098</v>
      </c>
      <c r="M37" s="41">
        <f t="shared" si="3"/>
        <v>15.963757230913249</v>
      </c>
      <c r="N37" s="41">
        <f t="shared" si="3"/>
        <v>248.31059001242545</v>
      </c>
      <c r="O37" s="41">
        <f t="shared" si="3"/>
        <v>0</v>
      </c>
      <c r="P37" s="41">
        <f t="shared" si="3"/>
        <v>0.19942671459148395</v>
      </c>
      <c r="Q37" s="41">
        <f t="shared" si="3"/>
        <v>0.72388444910232919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636</v>
      </c>
      <c r="B9" s="51">
        <v>27.95</v>
      </c>
      <c r="C9" s="51">
        <v>25.69</v>
      </c>
      <c r="D9" s="51">
        <v>36.86</v>
      </c>
      <c r="E9" s="51">
        <v>6.71</v>
      </c>
      <c r="F9" s="51">
        <v>2.77</v>
      </c>
      <c r="G9" s="51">
        <v>90.66</v>
      </c>
      <c r="H9" s="51">
        <v>39.51</v>
      </c>
      <c r="I9" s="51">
        <v>8.94</v>
      </c>
      <c r="J9" s="51">
        <v>7.0000000000000007E-2</v>
      </c>
      <c r="K9" s="51">
        <v>146.03</v>
      </c>
      <c r="L9" s="51">
        <v>20.99</v>
      </c>
      <c r="M9" s="51">
        <v>85.66</v>
      </c>
      <c r="N9" s="51">
        <v>0</v>
      </c>
      <c r="O9" s="51">
        <v>0</v>
      </c>
      <c r="P9" s="51">
        <v>1.05</v>
      </c>
      <c r="Q9" s="51">
        <v>5.54</v>
      </c>
    </row>
    <row r="10" spans="1:21" customFormat="1">
      <c r="A10" s="50" t="s">
        <v>637</v>
      </c>
      <c r="B10" s="51">
        <v>27.05</v>
      </c>
      <c r="C10" s="51">
        <v>26.33</v>
      </c>
      <c r="D10" s="51">
        <v>36.31</v>
      </c>
      <c r="E10" s="51">
        <v>7.32</v>
      </c>
      <c r="F10" s="51">
        <v>2.73</v>
      </c>
      <c r="G10" s="51">
        <v>92.26</v>
      </c>
      <c r="H10" s="51">
        <v>40.89</v>
      </c>
      <c r="I10" s="51">
        <v>8.9700000000000006</v>
      </c>
      <c r="J10" s="51">
        <v>0.13</v>
      </c>
      <c r="K10" s="51">
        <v>227.21</v>
      </c>
      <c r="L10" s="51">
        <v>20.81</v>
      </c>
      <c r="M10" s="51">
        <v>92.08</v>
      </c>
      <c r="N10" s="51">
        <v>0</v>
      </c>
      <c r="O10" s="51">
        <v>0</v>
      </c>
      <c r="P10" s="51">
        <v>1.07</v>
      </c>
      <c r="Q10" s="51">
        <v>5.51</v>
      </c>
    </row>
    <row r="11" spans="1:21" customFormat="1">
      <c r="A11" s="50" t="s">
        <v>638</v>
      </c>
      <c r="B11" s="51">
        <v>24.55</v>
      </c>
      <c r="C11" s="51">
        <v>25.57</v>
      </c>
      <c r="D11" s="51">
        <v>34.36</v>
      </c>
      <c r="E11" s="51">
        <v>6.56</v>
      </c>
      <c r="F11" s="51">
        <v>2.61</v>
      </c>
      <c r="G11" s="51">
        <v>92.26</v>
      </c>
      <c r="H11" s="51">
        <v>40.89</v>
      </c>
      <c r="I11" s="51">
        <v>9.02</v>
      </c>
      <c r="J11" s="51">
        <v>0.11</v>
      </c>
      <c r="K11" s="51">
        <v>212.87</v>
      </c>
      <c r="L11" s="51">
        <v>19.829999999999998</v>
      </c>
      <c r="M11" s="51">
        <v>98.51</v>
      </c>
      <c r="N11" s="51">
        <v>0</v>
      </c>
      <c r="O11" s="51">
        <v>0</v>
      </c>
      <c r="P11" s="51">
        <v>1.05</v>
      </c>
      <c r="Q11" s="51">
        <v>5.45</v>
      </c>
    </row>
    <row r="12" spans="1:21" customFormat="1">
      <c r="A12" s="50" t="s">
        <v>639</v>
      </c>
      <c r="B12" s="51">
        <v>24.08</v>
      </c>
      <c r="C12" s="51">
        <v>25.11</v>
      </c>
      <c r="D12" s="51">
        <v>33.78</v>
      </c>
      <c r="E12" s="51">
        <v>6.43</v>
      </c>
      <c r="F12" s="51">
        <v>2.5299999999999998</v>
      </c>
      <c r="G12" s="51">
        <v>90.27</v>
      </c>
      <c r="H12" s="51">
        <v>38.76</v>
      </c>
      <c r="I12" s="51">
        <v>9.18</v>
      </c>
      <c r="J12" s="51">
        <v>0.28000000000000003</v>
      </c>
      <c r="K12" s="51">
        <v>204.83</v>
      </c>
      <c r="L12" s="51">
        <v>19.5</v>
      </c>
      <c r="M12" s="51">
        <v>98.74</v>
      </c>
      <c r="N12" s="51">
        <v>0</v>
      </c>
      <c r="O12" s="51">
        <v>0</v>
      </c>
      <c r="P12" s="51">
        <v>1.03</v>
      </c>
      <c r="Q12" s="51">
        <v>5.4</v>
      </c>
    </row>
    <row r="13" spans="1:21" customFormat="1">
      <c r="A13" s="50" t="s">
        <v>640</v>
      </c>
      <c r="B13" s="51">
        <v>21.86</v>
      </c>
      <c r="C13" s="51">
        <v>23.94</v>
      </c>
      <c r="D13" s="51">
        <v>31.39</v>
      </c>
      <c r="E13" s="51">
        <v>6.77</v>
      </c>
      <c r="F13" s="51">
        <v>2.66</v>
      </c>
      <c r="G13" s="51">
        <v>88.69</v>
      </c>
      <c r="H13" s="51">
        <v>36.1</v>
      </c>
      <c r="I13" s="51">
        <v>9.35</v>
      </c>
      <c r="J13" s="51">
        <v>0.11</v>
      </c>
      <c r="K13" s="51">
        <v>234.96</v>
      </c>
      <c r="L13" s="51">
        <v>18.87</v>
      </c>
      <c r="M13" s="51">
        <v>100.86</v>
      </c>
      <c r="N13" s="51">
        <v>0</v>
      </c>
      <c r="O13" s="51">
        <v>0</v>
      </c>
      <c r="P13" s="51">
        <v>1.02</v>
      </c>
      <c r="Q13" s="51">
        <v>5.33</v>
      </c>
    </row>
    <row r="14" spans="1:21" customFormat="1">
      <c r="A14" s="50" t="s">
        <v>641</v>
      </c>
      <c r="B14" s="51">
        <v>21.57</v>
      </c>
      <c r="C14" s="51">
        <v>23.33</v>
      </c>
      <c r="D14" s="51">
        <v>30.84</v>
      </c>
      <c r="E14" s="51">
        <v>7.19</v>
      </c>
      <c r="F14" s="51">
        <v>2.54</v>
      </c>
      <c r="G14" s="51">
        <v>78.53</v>
      </c>
      <c r="H14" s="51">
        <v>35.85</v>
      </c>
      <c r="I14" s="51">
        <v>9.36</v>
      </c>
      <c r="J14" s="51">
        <v>0.28000000000000003</v>
      </c>
      <c r="K14" s="51">
        <v>206.93</v>
      </c>
      <c r="L14" s="51">
        <v>18.86</v>
      </c>
      <c r="M14" s="51">
        <v>99.88</v>
      </c>
      <c r="N14" s="51">
        <v>0</v>
      </c>
      <c r="O14" s="51">
        <v>0</v>
      </c>
      <c r="P14" s="51">
        <v>1</v>
      </c>
      <c r="Q14" s="51">
        <v>5.29</v>
      </c>
    </row>
    <row r="15" spans="1:21" customFormat="1">
      <c r="A15" s="50" t="s">
        <v>642</v>
      </c>
      <c r="B15" s="51">
        <v>19.809999999999999</v>
      </c>
      <c r="C15" s="51">
        <v>23.08</v>
      </c>
      <c r="D15" s="51">
        <v>29.3</v>
      </c>
      <c r="E15" s="51">
        <v>6.89</v>
      </c>
      <c r="F15" s="51">
        <v>2.67</v>
      </c>
      <c r="G15" s="51">
        <v>78.53</v>
      </c>
      <c r="H15" s="51">
        <v>34.979999999999997</v>
      </c>
      <c r="I15" s="51">
        <v>9.36</v>
      </c>
      <c r="J15" s="51">
        <v>0.16</v>
      </c>
      <c r="K15" s="51">
        <v>259.77</v>
      </c>
      <c r="L15" s="51">
        <v>19.399999999999999</v>
      </c>
      <c r="M15" s="51">
        <v>100.2</v>
      </c>
      <c r="N15" s="51">
        <v>35.700000000000003</v>
      </c>
      <c r="O15" s="51">
        <v>0</v>
      </c>
      <c r="P15" s="51">
        <v>0.99</v>
      </c>
      <c r="Q15" s="51">
        <v>5.21</v>
      </c>
    </row>
    <row r="16" spans="1:21" customFormat="1">
      <c r="A16" s="50" t="s">
        <v>643</v>
      </c>
      <c r="B16" s="51">
        <v>19.350000000000001</v>
      </c>
      <c r="C16" s="51">
        <v>21.61</v>
      </c>
      <c r="D16" s="51">
        <v>27.53</v>
      </c>
      <c r="E16" s="51">
        <v>6.1</v>
      </c>
      <c r="F16" s="51">
        <v>2.66</v>
      </c>
      <c r="G16" s="51">
        <v>79.42</v>
      </c>
      <c r="H16" s="51">
        <v>35.81</v>
      </c>
      <c r="I16" s="51">
        <v>9.43</v>
      </c>
      <c r="J16" s="51">
        <v>0.16</v>
      </c>
      <c r="K16" s="51">
        <v>183.33</v>
      </c>
      <c r="L16" s="51">
        <v>22.79</v>
      </c>
      <c r="M16" s="51">
        <v>93.01</v>
      </c>
      <c r="N16" s="51">
        <v>213.4</v>
      </c>
      <c r="O16" s="51">
        <v>0</v>
      </c>
      <c r="P16" s="51">
        <v>0.94</v>
      </c>
      <c r="Q16" s="51">
        <v>5.12</v>
      </c>
    </row>
    <row r="17" spans="1:17" customFormat="1">
      <c r="A17" s="50" t="s">
        <v>644</v>
      </c>
      <c r="B17" s="51">
        <v>18.38</v>
      </c>
      <c r="C17" s="51">
        <v>21.97</v>
      </c>
      <c r="D17" s="51">
        <v>27.26</v>
      </c>
      <c r="E17" s="51">
        <v>6.39</v>
      </c>
      <c r="F17" s="51">
        <v>2.77</v>
      </c>
      <c r="G17" s="51">
        <v>83.33</v>
      </c>
      <c r="H17" s="51">
        <v>37.979999999999997</v>
      </c>
      <c r="I17" s="51">
        <v>9.5299999999999994</v>
      </c>
      <c r="J17" s="51">
        <v>0.33</v>
      </c>
      <c r="K17" s="51">
        <v>307.88</v>
      </c>
      <c r="L17" s="51">
        <v>26.42</v>
      </c>
      <c r="M17" s="51">
        <v>78.13</v>
      </c>
      <c r="N17" s="51">
        <v>372.1</v>
      </c>
      <c r="O17" s="51">
        <v>0</v>
      </c>
      <c r="P17" s="51">
        <v>0.97</v>
      </c>
      <c r="Q17" s="51">
        <v>5.0599999999999996</v>
      </c>
    </row>
    <row r="18" spans="1:17" customFormat="1">
      <c r="A18" s="50" t="s">
        <v>645</v>
      </c>
      <c r="B18" s="51">
        <v>17.41</v>
      </c>
      <c r="C18" s="51">
        <v>23.36</v>
      </c>
      <c r="D18" s="51">
        <v>26.6</v>
      </c>
      <c r="E18" s="51">
        <v>6.56</v>
      </c>
      <c r="F18" s="51">
        <v>2.97</v>
      </c>
      <c r="G18" s="51">
        <v>86.09</v>
      </c>
      <c r="H18" s="51">
        <v>37.979999999999997</v>
      </c>
      <c r="I18" s="51">
        <v>9.59</v>
      </c>
      <c r="J18" s="51">
        <v>0.28000000000000003</v>
      </c>
      <c r="K18" s="51">
        <v>145.88</v>
      </c>
      <c r="L18" s="51">
        <v>28.52</v>
      </c>
      <c r="M18" s="51">
        <v>58.93</v>
      </c>
      <c r="N18" s="51">
        <v>466.8</v>
      </c>
      <c r="O18" s="51">
        <v>0</v>
      </c>
      <c r="P18" s="51">
        <v>0.97</v>
      </c>
      <c r="Q18" s="51">
        <v>5.01</v>
      </c>
    </row>
    <row r="19" spans="1:17" customFormat="1">
      <c r="A19" s="50" t="s">
        <v>646</v>
      </c>
      <c r="B19" s="51">
        <v>16.18</v>
      </c>
      <c r="C19" s="51">
        <v>23.8</v>
      </c>
      <c r="D19" s="51">
        <v>26.76</v>
      </c>
      <c r="E19" s="51">
        <v>6.38</v>
      </c>
      <c r="F19" s="51">
        <v>4.18</v>
      </c>
      <c r="G19" s="51">
        <v>87.27</v>
      </c>
      <c r="H19" s="51">
        <v>37.700000000000003</v>
      </c>
      <c r="I19" s="51">
        <v>9.24</v>
      </c>
      <c r="J19" s="51">
        <v>0.41</v>
      </c>
      <c r="K19" s="51">
        <v>56.17</v>
      </c>
      <c r="L19" s="51">
        <v>29.48</v>
      </c>
      <c r="M19" s="51">
        <v>48.91</v>
      </c>
      <c r="N19" s="51">
        <v>560.79999999999995</v>
      </c>
      <c r="O19" s="51">
        <v>0</v>
      </c>
      <c r="P19" s="51">
        <v>0.98</v>
      </c>
      <c r="Q19" s="51">
        <v>4.95</v>
      </c>
    </row>
    <row r="20" spans="1:17" customFormat="1">
      <c r="A20" s="50" t="s">
        <v>647</v>
      </c>
      <c r="B20" s="51">
        <v>14.14</v>
      </c>
      <c r="C20" s="51">
        <v>25.52</v>
      </c>
      <c r="D20" s="51">
        <v>24.87</v>
      </c>
      <c r="E20" s="51">
        <v>6.54</v>
      </c>
      <c r="F20" s="51">
        <v>5.93</v>
      </c>
      <c r="G20" s="51">
        <v>88.18</v>
      </c>
      <c r="H20" s="51">
        <v>35.659999999999997</v>
      </c>
      <c r="I20" s="51">
        <v>8.85</v>
      </c>
      <c r="J20" s="51">
        <v>0.67</v>
      </c>
      <c r="K20" s="51">
        <v>355.36</v>
      </c>
      <c r="L20" s="51">
        <v>29.87</v>
      </c>
      <c r="M20" s="51">
        <v>44.26</v>
      </c>
      <c r="N20" s="51">
        <v>575.1</v>
      </c>
      <c r="O20" s="51">
        <v>0</v>
      </c>
      <c r="P20" s="51">
        <v>0.94</v>
      </c>
      <c r="Q20" s="51">
        <v>4.8600000000000003</v>
      </c>
    </row>
    <row r="21" spans="1:17" customFormat="1">
      <c r="A21" s="50" t="s">
        <v>648</v>
      </c>
      <c r="B21" s="51">
        <v>9.67</v>
      </c>
      <c r="C21" s="51">
        <v>26.35</v>
      </c>
      <c r="D21" s="51">
        <v>22.74</v>
      </c>
      <c r="E21" s="51">
        <v>7.19</v>
      </c>
      <c r="F21" s="51">
        <v>8.56</v>
      </c>
      <c r="G21" s="51">
        <v>88.18</v>
      </c>
      <c r="H21" s="51">
        <v>35.28</v>
      </c>
      <c r="I21" s="51">
        <v>8</v>
      </c>
      <c r="J21" s="51">
        <v>0.88</v>
      </c>
      <c r="K21" s="51">
        <v>29.46</v>
      </c>
      <c r="L21" s="51">
        <v>30.06</v>
      </c>
      <c r="M21" s="51">
        <v>42.22</v>
      </c>
      <c r="N21" s="51">
        <v>593.29999999999995</v>
      </c>
      <c r="O21" s="51">
        <v>0</v>
      </c>
      <c r="P21" s="51">
        <v>0.89</v>
      </c>
      <c r="Q21" s="51">
        <v>4.66</v>
      </c>
    </row>
    <row r="22" spans="1:17" customFormat="1">
      <c r="A22" s="50" t="s">
        <v>649</v>
      </c>
      <c r="B22" s="51">
        <v>6.65</v>
      </c>
      <c r="C22" s="51">
        <v>26.07</v>
      </c>
      <c r="D22" s="51">
        <v>20.3</v>
      </c>
      <c r="E22" s="51">
        <v>6.59</v>
      </c>
      <c r="F22" s="51">
        <v>9.1199999999999992</v>
      </c>
      <c r="G22" s="51">
        <v>77.75</v>
      </c>
      <c r="H22" s="51">
        <v>28.51</v>
      </c>
      <c r="I22" s="51">
        <v>7.21</v>
      </c>
      <c r="J22" s="51">
        <v>0.99</v>
      </c>
      <c r="K22" s="51">
        <v>29.45</v>
      </c>
      <c r="L22" s="51">
        <v>30.35</v>
      </c>
      <c r="M22" s="51">
        <v>38.119999999999997</v>
      </c>
      <c r="N22" s="51">
        <v>547.5</v>
      </c>
      <c r="O22" s="51">
        <v>0</v>
      </c>
      <c r="P22" s="51">
        <v>0.82</v>
      </c>
      <c r="Q22" s="51">
        <v>4.49</v>
      </c>
    </row>
    <row r="23" spans="1:17" customFormat="1">
      <c r="A23" s="50" t="s">
        <v>650</v>
      </c>
      <c r="B23" s="51">
        <v>5.29</v>
      </c>
      <c r="C23" s="51">
        <v>24.41</v>
      </c>
      <c r="D23" s="51">
        <v>18.34</v>
      </c>
      <c r="E23" s="51">
        <v>5.89</v>
      </c>
      <c r="F23" s="51">
        <v>8.36</v>
      </c>
      <c r="G23" s="51">
        <v>72.260000000000005</v>
      </c>
      <c r="H23" s="51">
        <v>28.51</v>
      </c>
      <c r="I23" s="51">
        <v>6.46</v>
      </c>
      <c r="J23" s="51">
        <v>0.9</v>
      </c>
      <c r="K23" s="51">
        <v>35.79</v>
      </c>
      <c r="L23" s="51">
        <v>29.91</v>
      </c>
      <c r="M23" s="51">
        <v>40.909999999999997</v>
      </c>
      <c r="N23" s="51">
        <v>443.7</v>
      </c>
      <c r="O23" s="51">
        <v>0</v>
      </c>
      <c r="P23" s="51">
        <v>0.74</v>
      </c>
      <c r="Q23" s="51">
        <v>4.41</v>
      </c>
    </row>
    <row r="24" spans="1:17" customFormat="1">
      <c r="A24" s="50" t="s">
        <v>651</v>
      </c>
      <c r="B24" s="51">
        <v>5.36</v>
      </c>
      <c r="C24" s="51">
        <v>24.64</v>
      </c>
      <c r="D24" s="51">
        <v>18.53</v>
      </c>
      <c r="E24" s="51">
        <v>5.69</v>
      </c>
      <c r="F24" s="51">
        <v>7.54</v>
      </c>
      <c r="G24" s="51">
        <v>66.75</v>
      </c>
      <c r="H24" s="51">
        <v>23.93</v>
      </c>
      <c r="I24" s="51">
        <v>5.97</v>
      </c>
      <c r="J24" s="51">
        <v>0.74</v>
      </c>
      <c r="K24" s="51">
        <v>39.770000000000003</v>
      </c>
      <c r="L24" s="51">
        <v>28.77</v>
      </c>
      <c r="M24" s="51">
        <v>42.07</v>
      </c>
      <c r="N24" s="51">
        <v>67.2</v>
      </c>
      <c r="O24" s="51">
        <v>0</v>
      </c>
      <c r="P24" s="51">
        <v>0.7</v>
      </c>
      <c r="Q24" s="51">
        <v>4.3899999999999997</v>
      </c>
    </row>
    <row r="25" spans="1:17" customFormat="1">
      <c r="A25" s="50" t="s">
        <v>652</v>
      </c>
      <c r="B25" s="51">
        <v>6.13</v>
      </c>
      <c r="C25" s="51">
        <v>25.06</v>
      </c>
      <c r="D25" s="51">
        <v>18.600000000000001</v>
      </c>
      <c r="E25" s="51">
        <v>4.7300000000000004</v>
      </c>
      <c r="F25" s="51">
        <v>5.32</v>
      </c>
      <c r="G25" s="51">
        <v>63.24</v>
      </c>
      <c r="H25" s="51">
        <v>23.93</v>
      </c>
      <c r="I25" s="51">
        <v>5.76</v>
      </c>
      <c r="J25" s="51">
        <v>0.43</v>
      </c>
      <c r="K25" s="51">
        <v>141.88999999999999</v>
      </c>
      <c r="L25" s="51">
        <v>28.23</v>
      </c>
      <c r="M25" s="51">
        <v>49.04</v>
      </c>
      <c r="N25" s="51">
        <v>32.4</v>
      </c>
      <c r="O25" s="51">
        <v>0</v>
      </c>
      <c r="P25" s="51">
        <v>0.67</v>
      </c>
      <c r="Q25" s="51">
        <v>4.41</v>
      </c>
    </row>
    <row r="26" spans="1:17" customFormat="1">
      <c r="A26" s="50" t="s">
        <v>653</v>
      </c>
      <c r="B26" s="51">
        <v>6.79</v>
      </c>
      <c r="C26" s="51">
        <v>20.52</v>
      </c>
      <c r="D26" s="51">
        <v>17.34</v>
      </c>
      <c r="E26" s="51">
        <v>3.83</v>
      </c>
      <c r="F26" s="51">
        <v>3.11</v>
      </c>
      <c r="G26" s="51">
        <v>72.03</v>
      </c>
      <c r="H26" s="51">
        <v>23.2</v>
      </c>
      <c r="I26" s="51">
        <v>5.69</v>
      </c>
      <c r="J26" s="51">
        <v>0.27</v>
      </c>
      <c r="K26" s="51">
        <v>175.26</v>
      </c>
      <c r="L26" s="51">
        <v>26.11</v>
      </c>
      <c r="M26" s="51">
        <v>65.06</v>
      </c>
      <c r="N26" s="51">
        <v>0.3</v>
      </c>
      <c r="O26" s="51">
        <v>0</v>
      </c>
      <c r="P26" s="51">
        <v>0.63</v>
      </c>
      <c r="Q26" s="51">
        <v>4.43</v>
      </c>
    </row>
    <row r="27" spans="1:17" customFormat="1">
      <c r="A27" s="50" t="s">
        <v>654</v>
      </c>
      <c r="B27" s="51">
        <v>8.0299999999999994</v>
      </c>
      <c r="C27" s="51">
        <v>21.3</v>
      </c>
      <c r="D27" s="51">
        <v>18.61</v>
      </c>
      <c r="E27" s="51">
        <v>6.73</v>
      </c>
      <c r="F27" s="51">
        <v>2.74</v>
      </c>
      <c r="G27" s="51">
        <v>73.33</v>
      </c>
      <c r="H27" s="51">
        <v>23.2</v>
      </c>
      <c r="I27" s="51">
        <v>5.74</v>
      </c>
      <c r="J27" s="51">
        <v>0.2</v>
      </c>
      <c r="K27" s="51">
        <v>175.97</v>
      </c>
      <c r="L27" s="51">
        <v>23.92</v>
      </c>
      <c r="M27" s="51">
        <v>75.8</v>
      </c>
      <c r="N27" s="51">
        <v>0</v>
      </c>
      <c r="O27" s="51">
        <v>0</v>
      </c>
      <c r="P27" s="51">
        <v>0.66</v>
      </c>
      <c r="Q27" s="51">
        <v>4.4800000000000004</v>
      </c>
    </row>
    <row r="28" spans="1:17" customFormat="1">
      <c r="A28" s="50" t="s">
        <v>655</v>
      </c>
      <c r="B28" s="51">
        <v>9.2799999999999994</v>
      </c>
      <c r="C28" s="51">
        <v>20.92</v>
      </c>
      <c r="D28" s="51">
        <v>19.36</v>
      </c>
      <c r="E28" s="51">
        <v>6.69</v>
      </c>
      <c r="F28" s="51">
        <v>2.85</v>
      </c>
      <c r="G28" s="51">
        <v>73.33</v>
      </c>
      <c r="H28" s="51">
        <v>22.79</v>
      </c>
      <c r="I28" s="51">
        <v>6.1</v>
      </c>
      <c r="J28" s="51">
        <v>0.19</v>
      </c>
      <c r="K28" s="51">
        <v>245.8</v>
      </c>
      <c r="L28" s="51">
        <v>22.73</v>
      </c>
      <c r="M28" s="51">
        <v>78.66</v>
      </c>
      <c r="N28" s="51">
        <v>0</v>
      </c>
      <c r="O28" s="51">
        <v>0</v>
      </c>
      <c r="P28" s="51">
        <v>0.68</v>
      </c>
      <c r="Q28" s="51">
        <v>4.55</v>
      </c>
    </row>
    <row r="29" spans="1:17" customFormat="1">
      <c r="A29" s="50" t="s">
        <v>656</v>
      </c>
      <c r="B29" s="51">
        <v>10.23</v>
      </c>
      <c r="C29" s="51">
        <v>21.36</v>
      </c>
      <c r="D29" s="51">
        <v>20.43</v>
      </c>
      <c r="E29" s="51">
        <v>6.74</v>
      </c>
      <c r="F29" s="51">
        <v>2.69</v>
      </c>
      <c r="G29" s="51">
        <v>71.02</v>
      </c>
      <c r="H29" s="51">
        <v>24.98</v>
      </c>
      <c r="I29" s="51">
        <v>6.21</v>
      </c>
      <c r="J29" s="51">
        <v>0.18</v>
      </c>
      <c r="K29" s="51">
        <v>173.75</v>
      </c>
      <c r="L29" s="51">
        <v>21.75</v>
      </c>
      <c r="M29" s="51">
        <v>82.89</v>
      </c>
      <c r="N29" s="51">
        <v>0</v>
      </c>
      <c r="O29" s="51">
        <v>0</v>
      </c>
      <c r="P29" s="51">
        <v>0.71</v>
      </c>
      <c r="Q29" s="51">
        <v>4.66</v>
      </c>
    </row>
    <row r="30" spans="1:17" customFormat="1">
      <c r="A30" s="50" t="s">
        <v>657</v>
      </c>
      <c r="B30" s="51">
        <v>11.42</v>
      </c>
      <c r="C30" s="51">
        <v>21.63</v>
      </c>
      <c r="D30" s="51">
        <v>21.72</v>
      </c>
      <c r="E30" s="51">
        <v>7.21</v>
      </c>
      <c r="F30" s="51">
        <v>2.8</v>
      </c>
      <c r="G30" s="51">
        <v>67.069999999999993</v>
      </c>
      <c r="H30" s="51">
        <v>25.17</v>
      </c>
      <c r="I30" s="51">
        <v>6.69</v>
      </c>
      <c r="J30" s="51">
        <v>0.2</v>
      </c>
      <c r="K30" s="51">
        <v>242.84</v>
      </c>
      <c r="L30" s="51">
        <v>21.66</v>
      </c>
      <c r="M30" s="51">
        <v>85.4</v>
      </c>
      <c r="N30" s="51">
        <v>0</v>
      </c>
      <c r="O30" s="51">
        <v>0</v>
      </c>
      <c r="P30" s="51">
        <v>0.8</v>
      </c>
      <c r="Q30" s="51">
        <v>4.7</v>
      </c>
    </row>
    <row r="31" spans="1:17" customFormat="1">
      <c r="A31" s="50" t="s">
        <v>658</v>
      </c>
      <c r="B31" s="51">
        <v>11.08</v>
      </c>
      <c r="C31" s="51">
        <v>22.21</v>
      </c>
      <c r="D31" s="51">
        <v>21.8</v>
      </c>
      <c r="E31" s="51">
        <v>7.41</v>
      </c>
      <c r="F31" s="51">
        <v>2.73</v>
      </c>
      <c r="G31" s="51">
        <v>66.760000000000005</v>
      </c>
      <c r="H31" s="51">
        <v>27.42</v>
      </c>
      <c r="I31" s="51">
        <v>7.1</v>
      </c>
      <c r="J31" s="51">
        <v>0.13</v>
      </c>
      <c r="K31" s="51">
        <v>203.16</v>
      </c>
      <c r="L31" s="51">
        <v>20.91</v>
      </c>
      <c r="M31" s="51">
        <v>89.37</v>
      </c>
      <c r="N31" s="51">
        <v>0</v>
      </c>
      <c r="O31" s="51">
        <v>0</v>
      </c>
      <c r="P31" s="51">
        <v>0.85</v>
      </c>
      <c r="Q31" s="51">
        <v>4.7</v>
      </c>
    </row>
    <row r="32" spans="1:17" customFormat="1">
      <c r="A32" s="50" t="s">
        <v>659</v>
      </c>
      <c r="B32" s="51">
        <v>11</v>
      </c>
      <c r="C32" s="51">
        <v>22.33</v>
      </c>
      <c r="D32" s="51">
        <v>21.73</v>
      </c>
      <c r="E32" s="51">
        <v>7.62</v>
      </c>
      <c r="F32" s="51">
        <v>2.77</v>
      </c>
      <c r="G32" s="51">
        <v>65.92</v>
      </c>
      <c r="H32" s="51">
        <v>28.94</v>
      </c>
      <c r="I32" s="51">
        <v>7.37</v>
      </c>
      <c r="J32" s="51">
        <v>0.16</v>
      </c>
      <c r="K32" s="51">
        <v>245.01</v>
      </c>
      <c r="L32" s="51">
        <v>20.54</v>
      </c>
      <c r="M32" s="51">
        <v>86.35</v>
      </c>
      <c r="N32" s="51">
        <v>0</v>
      </c>
      <c r="O32" s="51">
        <v>0</v>
      </c>
      <c r="P32" s="51">
        <v>0.86</v>
      </c>
      <c r="Q32" s="51">
        <v>4.72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5.29</v>
      </c>
      <c r="C34" s="41">
        <f t="shared" si="0"/>
        <v>20.52</v>
      </c>
      <c r="D34" s="41">
        <f t="shared" si="0"/>
        <v>17.34</v>
      </c>
      <c r="E34" s="41">
        <f t="shared" si="0"/>
        <v>3.83</v>
      </c>
      <c r="F34" s="41">
        <f t="shared" si="0"/>
        <v>2.5299999999999998</v>
      </c>
      <c r="G34" s="41">
        <f t="shared" si="0"/>
        <v>63.24</v>
      </c>
      <c r="H34" s="41">
        <f t="shared" si="0"/>
        <v>22.79</v>
      </c>
      <c r="I34" s="41">
        <f t="shared" si="0"/>
        <v>5.69</v>
      </c>
      <c r="J34" s="41">
        <f t="shared" si="0"/>
        <v>7.0000000000000007E-2</v>
      </c>
      <c r="K34" s="41">
        <f t="shared" si="0"/>
        <v>29.45</v>
      </c>
      <c r="L34" s="41">
        <f t="shared" si="0"/>
        <v>18.86</v>
      </c>
      <c r="M34" s="41">
        <f t="shared" si="0"/>
        <v>38.119999999999997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4.3899999999999997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27.95</v>
      </c>
      <c r="C35" s="33">
        <f t="shared" si="1"/>
        <v>26.35</v>
      </c>
      <c r="D35" s="33">
        <f t="shared" si="1"/>
        <v>36.86</v>
      </c>
      <c r="E35" s="33">
        <f t="shared" si="1"/>
        <v>7.62</v>
      </c>
      <c r="F35" s="33">
        <f t="shared" si="1"/>
        <v>9.1199999999999992</v>
      </c>
      <c r="G35" s="33">
        <f t="shared" si="1"/>
        <v>92.26</v>
      </c>
      <c r="H35" s="33">
        <f t="shared" si="1"/>
        <v>40.89</v>
      </c>
      <c r="I35" s="33">
        <f t="shared" si="1"/>
        <v>9.59</v>
      </c>
      <c r="J35" s="33">
        <f t="shared" si="1"/>
        <v>0.99</v>
      </c>
      <c r="K35" s="33">
        <f t="shared" si="1"/>
        <v>355.36</v>
      </c>
      <c r="L35" s="33">
        <f t="shared" si="1"/>
        <v>30.35</v>
      </c>
      <c r="M35" s="33">
        <f t="shared" si="1"/>
        <v>100.86</v>
      </c>
      <c r="N35" s="33">
        <f t="shared" si="1"/>
        <v>593.29999999999995</v>
      </c>
      <c r="O35" s="33">
        <f t="shared" si="1"/>
        <v>0</v>
      </c>
      <c r="P35" s="33">
        <f t="shared" si="1"/>
        <v>1.07</v>
      </c>
      <c r="Q35" s="33">
        <f t="shared" si="1"/>
        <v>5.54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14.719166666666666</v>
      </c>
      <c r="C36" s="41">
        <f t="shared" si="2"/>
        <v>23.587916666666672</v>
      </c>
      <c r="D36" s="41">
        <f t="shared" si="2"/>
        <v>25.223333333333329</v>
      </c>
      <c r="E36" s="41">
        <f t="shared" si="2"/>
        <v>6.5066666666666677</v>
      </c>
      <c r="F36" s="41">
        <f t="shared" si="2"/>
        <v>3.9837499999999988</v>
      </c>
      <c r="G36" s="41">
        <f t="shared" si="2"/>
        <v>78.880416666666662</v>
      </c>
      <c r="H36" s="41">
        <f t="shared" si="2"/>
        <v>31.998749999999998</v>
      </c>
      <c r="I36" s="41">
        <f t="shared" si="2"/>
        <v>7.88</v>
      </c>
      <c r="J36" s="41">
        <f t="shared" si="2"/>
        <v>0.34416666666666673</v>
      </c>
      <c r="K36" s="41">
        <f t="shared" si="2"/>
        <v>178.30708333333334</v>
      </c>
      <c r="L36" s="41">
        <f t="shared" si="2"/>
        <v>24.178333333333331</v>
      </c>
      <c r="M36" s="41">
        <f t="shared" si="2"/>
        <v>73.960833333333326</v>
      </c>
      <c r="N36" s="41">
        <f t="shared" si="2"/>
        <v>162.84583333333333</v>
      </c>
      <c r="O36" s="41">
        <f t="shared" si="2"/>
        <v>0</v>
      </c>
      <c r="P36" s="41">
        <f t="shared" si="2"/>
        <v>0.87583333333333346</v>
      </c>
      <c r="Q36" s="41">
        <f t="shared" si="2"/>
        <v>4.888749999999999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7.2710557314103506</v>
      </c>
      <c r="C37" s="41">
        <f t="shared" ref="C37:Q37" si="3">STDEV(C9:C32)</f>
        <v>1.8740028749610231</v>
      </c>
      <c r="D37" s="41">
        <f t="shared" si="3"/>
        <v>6.1888923407825693</v>
      </c>
      <c r="E37" s="41">
        <f t="shared" si="3"/>
        <v>0.8372868536901199</v>
      </c>
      <c r="F37" s="41">
        <f t="shared" si="3"/>
        <v>2.1999106948277238</v>
      </c>
      <c r="G37" s="41">
        <f t="shared" si="3"/>
        <v>9.5552573642524816</v>
      </c>
      <c r="H37" s="41">
        <f t="shared" si="3"/>
        <v>6.4738237558447382</v>
      </c>
      <c r="I37" s="41">
        <f t="shared" si="3"/>
        <v>1.4879574561473068</v>
      </c>
      <c r="J37" s="41">
        <f t="shared" si="3"/>
        <v>0.27791016169081406</v>
      </c>
      <c r="K37" s="41">
        <f t="shared" si="3"/>
        <v>88.242124589068879</v>
      </c>
      <c r="L37" s="41">
        <f t="shared" si="3"/>
        <v>4.2374917382673596</v>
      </c>
      <c r="M37" s="41">
        <f t="shared" si="3"/>
        <v>22.467612035543759</v>
      </c>
      <c r="N37" s="41">
        <f t="shared" si="3"/>
        <v>234.6280589973002</v>
      </c>
      <c r="O37" s="41">
        <f t="shared" si="3"/>
        <v>0</v>
      </c>
      <c r="P37" s="41">
        <f t="shared" si="3"/>
        <v>0.1448812607280337</v>
      </c>
      <c r="Q37" s="41">
        <f t="shared" si="3"/>
        <v>0.39066623695382863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660</v>
      </c>
      <c r="B9" s="51">
        <v>10.3</v>
      </c>
      <c r="C9" s="51">
        <v>23.02</v>
      </c>
      <c r="D9" s="51">
        <v>21.62</v>
      </c>
      <c r="E9" s="51">
        <v>7.56</v>
      </c>
      <c r="F9" s="51">
        <v>2.77</v>
      </c>
      <c r="G9" s="51">
        <v>62.8</v>
      </c>
      <c r="H9" s="51">
        <v>28.94</v>
      </c>
      <c r="I9" s="51">
        <v>7.32</v>
      </c>
      <c r="J9" s="51">
        <v>0.2</v>
      </c>
      <c r="K9" s="51">
        <v>240.11</v>
      </c>
      <c r="L9" s="51">
        <v>20.23</v>
      </c>
      <c r="M9" s="51">
        <v>87.11</v>
      </c>
      <c r="N9" s="51">
        <v>0</v>
      </c>
      <c r="O9" s="51">
        <v>0</v>
      </c>
      <c r="P9" s="51">
        <v>0.85</v>
      </c>
      <c r="Q9" s="51">
        <v>4.66</v>
      </c>
    </row>
    <row r="10" spans="1:21" customFormat="1">
      <c r="A10" s="50" t="s">
        <v>661</v>
      </c>
      <c r="B10" s="51">
        <v>9.85</v>
      </c>
      <c r="C10" s="51">
        <v>22.07</v>
      </c>
      <c r="D10" s="51">
        <v>20.78</v>
      </c>
      <c r="E10" s="51">
        <v>7.47</v>
      </c>
      <c r="F10" s="51">
        <v>2.74</v>
      </c>
      <c r="G10" s="51">
        <v>60.97</v>
      </c>
      <c r="H10" s="51">
        <v>26.82</v>
      </c>
      <c r="I10" s="51">
        <v>7.23</v>
      </c>
      <c r="J10" s="51">
        <v>0.11</v>
      </c>
      <c r="K10" s="51">
        <v>193.52</v>
      </c>
      <c r="L10" s="51">
        <v>20.309999999999999</v>
      </c>
      <c r="M10" s="51">
        <v>87.83</v>
      </c>
      <c r="N10" s="51">
        <v>0</v>
      </c>
      <c r="O10" s="51">
        <v>0</v>
      </c>
      <c r="P10" s="51">
        <v>0.83</v>
      </c>
      <c r="Q10" s="51">
        <v>4.66</v>
      </c>
    </row>
    <row r="11" spans="1:21" customFormat="1">
      <c r="A11" s="50" t="s">
        <v>662</v>
      </c>
      <c r="B11" s="51">
        <v>9.83</v>
      </c>
      <c r="C11" s="51">
        <v>22.21</v>
      </c>
      <c r="D11" s="51">
        <v>20.65</v>
      </c>
      <c r="E11" s="51">
        <v>4.99</v>
      </c>
      <c r="F11" s="51">
        <v>2.83</v>
      </c>
      <c r="G11" s="51">
        <v>55.3</v>
      </c>
      <c r="H11" s="51">
        <v>25.86</v>
      </c>
      <c r="I11" s="51">
        <v>7.05</v>
      </c>
      <c r="J11" s="51">
        <v>0.15</v>
      </c>
      <c r="K11" s="51">
        <v>247.95</v>
      </c>
      <c r="L11" s="51">
        <v>19.420000000000002</v>
      </c>
      <c r="M11" s="51">
        <v>93.19</v>
      </c>
      <c r="N11" s="51">
        <v>0</v>
      </c>
      <c r="O11" s="51">
        <v>0</v>
      </c>
      <c r="P11" s="51">
        <v>0.79</v>
      </c>
      <c r="Q11" s="51">
        <v>4.63</v>
      </c>
    </row>
    <row r="12" spans="1:21" customFormat="1">
      <c r="A12" s="50" t="s">
        <v>663</v>
      </c>
      <c r="B12" s="51">
        <v>10.130000000000001</v>
      </c>
      <c r="C12" s="51">
        <v>20.079999999999998</v>
      </c>
      <c r="D12" s="51">
        <v>19.97</v>
      </c>
      <c r="E12" s="51">
        <v>5.08</v>
      </c>
      <c r="F12" s="51">
        <v>2.79</v>
      </c>
      <c r="G12" s="51">
        <v>55.29</v>
      </c>
      <c r="H12" s="51">
        <v>27.07</v>
      </c>
      <c r="I12" s="51">
        <v>6.76</v>
      </c>
      <c r="J12" s="51">
        <v>0.17</v>
      </c>
      <c r="K12" s="51">
        <v>233.26</v>
      </c>
      <c r="L12" s="51">
        <v>19.13</v>
      </c>
      <c r="M12" s="51">
        <v>94.47</v>
      </c>
      <c r="N12" s="51">
        <v>0</v>
      </c>
      <c r="O12" s="51">
        <v>0</v>
      </c>
      <c r="P12" s="51">
        <v>0.72</v>
      </c>
      <c r="Q12" s="51">
        <v>4.5999999999999996</v>
      </c>
    </row>
    <row r="13" spans="1:21" customFormat="1">
      <c r="A13" s="50" t="s">
        <v>664</v>
      </c>
      <c r="B13" s="51">
        <v>10.89</v>
      </c>
      <c r="C13" s="51">
        <v>19.88</v>
      </c>
      <c r="D13" s="51">
        <v>20.350000000000001</v>
      </c>
      <c r="E13" s="51">
        <v>5.16</v>
      </c>
      <c r="F13" s="51">
        <v>2.64</v>
      </c>
      <c r="G13" s="51">
        <v>52.35</v>
      </c>
      <c r="H13" s="51">
        <v>27.07</v>
      </c>
      <c r="I13" s="51">
        <v>6.55</v>
      </c>
      <c r="J13" s="51">
        <v>0.19</v>
      </c>
      <c r="K13" s="51">
        <v>211.34</v>
      </c>
      <c r="L13" s="51">
        <v>18.579999999999998</v>
      </c>
      <c r="M13" s="51">
        <v>94.86</v>
      </c>
      <c r="N13" s="51">
        <v>0</v>
      </c>
      <c r="O13" s="51">
        <v>0</v>
      </c>
      <c r="P13" s="51">
        <v>0.69</v>
      </c>
      <c r="Q13" s="51">
        <v>4.6399999999999997</v>
      </c>
    </row>
    <row r="14" spans="1:21" customFormat="1">
      <c r="A14" s="50" t="s">
        <v>665</v>
      </c>
      <c r="B14" s="51">
        <v>15.81</v>
      </c>
      <c r="C14" s="51">
        <v>21.94</v>
      </c>
      <c r="D14" s="51">
        <v>25.49</v>
      </c>
      <c r="E14" s="51">
        <v>5.0199999999999996</v>
      </c>
      <c r="F14" s="51">
        <v>2.48</v>
      </c>
      <c r="G14" s="51">
        <v>51.66</v>
      </c>
      <c r="H14" s="51">
        <v>25.22</v>
      </c>
      <c r="I14" s="51">
        <v>6.36</v>
      </c>
      <c r="J14" s="51">
        <v>0.1</v>
      </c>
      <c r="K14" s="51">
        <v>173.58</v>
      </c>
      <c r="L14" s="51">
        <v>18.3</v>
      </c>
      <c r="M14" s="51">
        <v>95.05</v>
      </c>
      <c r="N14" s="51">
        <v>0</v>
      </c>
      <c r="O14" s="51">
        <v>0</v>
      </c>
      <c r="P14" s="51">
        <v>0.69</v>
      </c>
      <c r="Q14" s="51">
        <v>4.88</v>
      </c>
    </row>
    <row r="15" spans="1:21" customFormat="1">
      <c r="A15" s="50" t="s">
        <v>666</v>
      </c>
      <c r="B15" s="51">
        <v>22.67</v>
      </c>
      <c r="C15" s="51">
        <v>23.05</v>
      </c>
      <c r="D15" s="51">
        <v>31.18</v>
      </c>
      <c r="E15" s="51">
        <v>5.33</v>
      </c>
      <c r="F15" s="51">
        <v>2.64</v>
      </c>
      <c r="G15" s="51">
        <v>74.819999999999993</v>
      </c>
      <c r="H15" s="51">
        <v>32.61</v>
      </c>
      <c r="I15" s="51">
        <v>6.91</v>
      </c>
      <c r="J15" s="51">
        <v>0.26</v>
      </c>
      <c r="K15" s="51">
        <v>214.54</v>
      </c>
      <c r="L15" s="51">
        <v>19.579999999999998</v>
      </c>
      <c r="M15" s="51">
        <v>94.04</v>
      </c>
      <c r="N15" s="51">
        <v>32.299999999999997</v>
      </c>
      <c r="O15" s="51">
        <v>0</v>
      </c>
      <c r="P15" s="51">
        <v>0.8</v>
      </c>
      <c r="Q15" s="51">
        <v>5.23</v>
      </c>
    </row>
    <row r="16" spans="1:21" customFormat="1">
      <c r="A16" s="50" t="s">
        <v>667</v>
      </c>
      <c r="B16" s="51">
        <v>23.56</v>
      </c>
      <c r="C16" s="51">
        <v>24.54</v>
      </c>
      <c r="D16" s="51">
        <v>32.75</v>
      </c>
      <c r="E16" s="51">
        <v>5.92</v>
      </c>
      <c r="F16" s="51">
        <v>2.82</v>
      </c>
      <c r="G16" s="51">
        <v>89.69</v>
      </c>
      <c r="H16" s="51">
        <v>37.57</v>
      </c>
      <c r="I16" s="51">
        <v>8.17</v>
      </c>
      <c r="J16" s="51">
        <v>0.35</v>
      </c>
      <c r="K16" s="51">
        <v>161.02000000000001</v>
      </c>
      <c r="L16" s="51">
        <v>22.45</v>
      </c>
      <c r="M16" s="51">
        <v>86.48</v>
      </c>
      <c r="N16" s="51">
        <v>207.6</v>
      </c>
      <c r="O16" s="51">
        <v>0</v>
      </c>
      <c r="P16" s="51">
        <v>0.89</v>
      </c>
      <c r="Q16" s="51">
        <v>5.29</v>
      </c>
    </row>
    <row r="17" spans="1:17" customFormat="1">
      <c r="A17" s="50" t="s">
        <v>668</v>
      </c>
      <c r="B17" s="51">
        <v>22.26</v>
      </c>
      <c r="C17" s="51">
        <v>27.14</v>
      </c>
      <c r="D17" s="51">
        <v>32.44</v>
      </c>
      <c r="E17" s="51">
        <v>6.28</v>
      </c>
      <c r="F17" s="51">
        <v>2.93</v>
      </c>
      <c r="G17" s="51">
        <v>95.72</v>
      </c>
      <c r="H17" s="51">
        <v>38.67</v>
      </c>
      <c r="I17" s="51">
        <v>8.6199999999999992</v>
      </c>
      <c r="J17" s="51">
        <v>0.26</v>
      </c>
      <c r="K17" s="51">
        <v>213.74</v>
      </c>
      <c r="L17" s="51">
        <v>25.77</v>
      </c>
      <c r="M17" s="51">
        <v>66.150000000000006</v>
      </c>
      <c r="N17" s="51">
        <v>361</v>
      </c>
      <c r="O17" s="51">
        <v>0</v>
      </c>
      <c r="P17" s="51">
        <v>0.98</v>
      </c>
      <c r="Q17" s="51">
        <v>5.24</v>
      </c>
    </row>
    <row r="18" spans="1:17" customFormat="1">
      <c r="A18" s="50" t="s">
        <v>669</v>
      </c>
      <c r="B18" s="51">
        <v>19.22</v>
      </c>
      <c r="C18" s="51">
        <v>30.18</v>
      </c>
      <c r="D18" s="51">
        <v>31.32</v>
      </c>
      <c r="E18" s="51">
        <v>6.64</v>
      </c>
      <c r="F18" s="51">
        <v>2.94</v>
      </c>
      <c r="G18" s="51">
        <v>105.53</v>
      </c>
      <c r="H18" s="51">
        <v>42.79</v>
      </c>
      <c r="I18" s="51">
        <v>8.89</v>
      </c>
      <c r="J18" s="51">
        <v>0.31</v>
      </c>
      <c r="K18" s="51">
        <v>316.73</v>
      </c>
      <c r="L18" s="51">
        <v>27.7</v>
      </c>
      <c r="M18" s="51">
        <v>59.91</v>
      </c>
      <c r="N18" s="51">
        <v>484.4</v>
      </c>
      <c r="O18" s="51">
        <v>0</v>
      </c>
      <c r="P18" s="51">
        <v>1.0900000000000001</v>
      </c>
      <c r="Q18" s="51">
        <v>5.15</v>
      </c>
    </row>
    <row r="19" spans="1:17" customFormat="1">
      <c r="A19" s="50" t="s">
        <v>670</v>
      </c>
      <c r="B19" s="51">
        <v>15.12</v>
      </c>
      <c r="C19" s="51">
        <v>31.25</v>
      </c>
      <c r="D19" s="51">
        <v>29.41</v>
      </c>
      <c r="E19" s="51">
        <v>8.31</v>
      </c>
      <c r="F19" s="51">
        <v>4.76</v>
      </c>
      <c r="G19" s="51">
        <v>118.53</v>
      </c>
      <c r="H19" s="51">
        <v>42.79</v>
      </c>
      <c r="I19" s="51">
        <v>9.0500000000000007</v>
      </c>
      <c r="J19" s="51">
        <v>0.44</v>
      </c>
      <c r="K19" s="51">
        <v>83.95</v>
      </c>
      <c r="L19" s="51">
        <v>29.63</v>
      </c>
      <c r="M19" s="51">
        <v>50.49</v>
      </c>
      <c r="N19" s="51">
        <v>528.1</v>
      </c>
      <c r="O19" s="51">
        <v>0</v>
      </c>
      <c r="P19" s="51">
        <v>1.1399999999999999</v>
      </c>
      <c r="Q19" s="51">
        <v>4.9800000000000004</v>
      </c>
    </row>
    <row r="20" spans="1:17" customFormat="1">
      <c r="A20" s="50" t="s">
        <v>671</v>
      </c>
      <c r="B20" s="51">
        <v>9.75</v>
      </c>
      <c r="C20" s="51">
        <v>31.03</v>
      </c>
      <c r="D20" s="51">
        <v>25.38</v>
      </c>
      <c r="E20" s="51">
        <v>6.95</v>
      </c>
      <c r="F20" s="51">
        <v>5.53</v>
      </c>
      <c r="G20" s="51">
        <v>118.53</v>
      </c>
      <c r="H20" s="51">
        <v>41.07</v>
      </c>
      <c r="I20" s="51">
        <v>9.02</v>
      </c>
      <c r="J20" s="51">
        <v>0.56000000000000005</v>
      </c>
      <c r="K20" s="51">
        <v>74.13</v>
      </c>
      <c r="L20" s="51">
        <v>30.43</v>
      </c>
      <c r="M20" s="51">
        <v>39.25</v>
      </c>
      <c r="N20" s="51">
        <v>588.6</v>
      </c>
      <c r="O20" s="51">
        <v>0</v>
      </c>
      <c r="P20" s="51">
        <v>1.1200000000000001</v>
      </c>
      <c r="Q20" s="51">
        <v>4.72</v>
      </c>
    </row>
    <row r="21" spans="1:17" customFormat="1">
      <c r="A21" s="50" t="s">
        <v>672</v>
      </c>
      <c r="B21" s="51">
        <v>6.27</v>
      </c>
      <c r="C21" s="51">
        <v>27.51</v>
      </c>
      <c r="D21" s="51">
        <v>20.75</v>
      </c>
      <c r="E21" s="51">
        <v>8.17</v>
      </c>
      <c r="F21" s="51">
        <v>7.93</v>
      </c>
      <c r="G21" s="51">
        <v>88.93</v>
      </c>
      <c r="H21" s="51">
        <v>37.299999999999997</v>
      </c>
      <c r="I21" s="51">
        <v>8.35</v>
      </c>
      <c r="J21" s="51">
        <v>0.72</v>
      </c>
      <c r="K21" s="51">
        <v>57.06</v>
      </c>
      <c r="L21" s="51">
        <v>30.6</v>
      </c>
      <c r="M21" s="51">
        <v>36.369999999999997</v>
      </c>
      <c r="N21" s="51">
        <v>565.1</v>
      </c>
      <c r="O21" s="51">
        <v>0</v>
      </c>
      <c r="P21" s="51">
        <v>1.01</v>
      </c>
      <c r="Q21" s="51">
        <v>4.46</v>
      </c>
    </row>
    <row r="22" spans="1:17" customFormat="1">
      <c r="A22" s="50" t="s">
        <v>673</v>
      </c>
      <c r="B22" s="51">
        <v>5.84</v>
      </c>
      <c r="C22" s="51">
        <v>21.78</v>
      </c>
      <c r="D22" s="51">
        <v>17.41</v>
      </c>
      <c r="E22" s="51">
        <v>7.07</v>
      </c>
      <c r="F22" s="51">
        <v>7.83</v>
      </c>
      <c r="G22" s="51">
        <v>73.459999999999994</v>
      </c>
      <c r="H22" s="51">
        <v>35.61</v>
      </c>
      <c r="I22" s="51">
        <v>7.79</v>
      </c>
      <c r="J22" s="51">
        <v>0.59</v>
      </c>
      <c r="K22" s="51">
        <v>333.36</v>
      </c>
      <c r="L22" s="51">
        <v>30.54</v>
      </c>
      <c r="M22" s="51">
        <v>35.630000000000003</v>
      </c>
      <c r="N22" s="51">
        <v>488</v>
      </c>
      <c r="O22" s="51">
        <v>0</v>
      </c>
      <c r="P22" s="51">
        <v>0.94</v>
      </c>
      <c r="Q22" s="51">
        <v>4.3499999999999996</v>
      </c>
    </row>
    <row r="23" spans="1:17" customFormat="1">
      <c r="A23" s="50" t="s">
        <v>674</v>
      </c>
      <c r="B23" s="51">
        <v>5.53</v>
      </c>
      <c r="C23" s="51">
        <v>22.02</v>
      </c>
      <c r="D23" s="51">
        <v>17.29</v>
      </c>
      <c r="E23" s="51">
        <v>7.12</v>
      </c>
      <c r="F23" s="51">
        <v>9.07</v>
      </c>
      <c r="G23" s="51">
        <v>73.459999999999994</v>
      </c>
      <c r="H23" s="51">
        <v>31.83</v>
      </c>
      <c r="I23" s="51">
        <v>7.41</v>
      </c>
      <c r="J23" s="51">
        <v>0.81</v>
      </c>
      <c r="K23" s="51">
        <v>31.58</v>
      </c>
      <c r="L23" s="51">
        <v>30.1</v>
      </c>
      <c r="M23" s="51">
        <v>35.5</v>
      </c>
      <c r="N23" s="51">
        <v>389</v>
      </c>
      <c r="O23" s="51">
        <v>0</v>
      </c>
      <c r="P23" s="51">
        <v>0.81</v>
      </c>
      <c r="Q23" s="51">
        <v>4.32</v>
      </c>
    </row>
    <row r="24" spans="1:17" customFormat="1">
      <c r="A24" s="50" t="s">
        <v>675</v>
      </c>
      <c r="B24" s="51">
        <v>5.91</v>
      </c>
      <c r="C24" s="51">
        <v>20.350000000000001</v>
      </c>
      <c r="D24" s="51">
        <v>16.72</v>
      </c>
      <c r="E24" s="51">
        <v>9.07</v>
      </c>
      <c r="F24" s="51">
        <v>9.32</v>
      </c>
      <c r="G24" s="51">
        <v>71.92</v>
      </c>
      <c r="H24" s="51">
        <v>29.24</v>
      </c>
      <c r="I24" s="51">
        <v>7.08</v>
      </c>
      <c r="J24" s="51">
        <v>0.54</v>
      </c>
      <c r="K24" s="51">
        <v>30.49</v>
      </c>
      <c r="L24" s="51">
        <v>28.86</v>
      </c>
      <c r="M24" s="51">
        <v>37.5</v>
      </c>
      <c r="N24" s="51">
        <v>68.3</v>
      </c>
      <c r="O24" s="51">
        <v>0</v>
      </c>
      <c r="P24" s="51">
        <v>0.75</v>
      </c>
      <c r="Q24" s="51">
        <v>4.32</v>
      </c>
    </row>
    <row r="25" spans="1:17" customFormat="1">
      <c r="A25" s="50" t="s">
        <v>676</v>
      </c>
      <c r="B25" s="51">
        <v>6.6</v>
      </c>
      <c r="C25" s="51">
        <v>22.28</v>
      </c>
      <c r="D25" s="51">
        <v>18.28</v>
      </c>
      <c r="E25" s="51">
        <v>7.37</v>
      </c>
      <c r="F25" s="51">
        <v>8.64</v>
      </c>
      <c r="G25" s="51">
        <v>65.5</v>
      </c>
      <c r="H25" s="51">
        <v>25.83</v>
      </c>
      <c r="I25" s="51">
        <v>6.61</v>
      </c>
      <c r="J25" s="51">
        <v>0.42</v>
      </c>
      <c r="K25" s="51">
        <v>47.61</v>
      </c>
      <c r="L25" s="51">
        <v>28</v>
      </c>
      <c r="M25" s="51">
        <v>42.11</v>
      </c>
      <c r="N25" s="51">
        <v>32.200000000000003</v>
      </c>
      <c r="O25" s="51">
        <v>0</v>
      </c>
      <c r="P25" s="51">
        <v>0.75</v>
      </c>
      <c r="Q25" s="51">
        <v>4.3600000000000003</v>
      </c>
    </row>
    <row r="26" spans="1:17" customFormat="1">
      <c r="A26" s="50" t="s">
        <v>677</v>
      </c>
      <c r="B26" s="51">
        <v>6.89</v>
      </c>
      <c r="C26" s="51">
        <v>24.22</v>
      </c>
      <c r="D26" s="51">
        <v>19.5</v>
      </c>
      <c r="E26" s="51">
        <v>5.77</v>
      </c>
      <c r="F26" s="51">
        <v>3.75</v>
      </c>
      <c r="G26" s="51">
        <v>78.099999999999994</v>
      </c>
      <c r="H26" s="51">
        <v>26.95</v>
      </c>
      <c r="I26" s="51">
        <v>7.79</v>
      </c>
      <c r="J26" s="51">
        <v>0.17</v>
      </c>
      <c r="K26" s="51">
        <v>188.24</v>
      </c>
      <c r="L26" s="51">
        <v>26.62</v>
      </c>
      <c r="M26" s="51">
        <v>63.65</v>
      </c>
      <c r="N26" s="51">
        <v>0.3</v>
      </c>
      <c r="O26" s="51">
        <v>0</v>
      </c>
      <c r="P26" s="51">
        <v>0.77</v>
      </c>
      <c r="Q26" s="51">
        <v>4.43</v>
      </c>
    </row>
    <row r="27" spans="1:17" customFormat="1">
      <c r="A27" s="50" t="s">
        <v>678</v>
      </c>
      <c r="B27" s="51">
        <v>7</v>
      </c>
      <c r="C27" s="51">
        <v>23.85</v>
      </c>
      <c r="D27" s="51">
        <v>19.36</v>
      </c>
      <c r="E27" s="51">
        <v>6.23</v>
      </c>
      <c r="F27" s="51">
        <v>3.24</v>
      </c>
      <c r="G27" s="51">
        <v>78.099999999999994</v>
      </c>
      <c r="H27" s="51">
        <v>26.95</v>
      </c>
      <c r="I27" s="51">
        <v>8.11</v>
      </c>
      <c r="J27" s="51">
        <v>0.18</v>
      </c>
      <c r="K27" s="51">
        <v>223.23</v>
      </c>
      <c r="L27" s="51">
        <v>23.69</v>
      </c>
      <c r="M27" s="51">
        <v>71.89</v>
      </c>
      <c r="N27" s="51">
        <v>0</v>
      </c>
      <c r="O27" s="51">
        <v>0</v>
      </c>
      <c r="P27" s="51">
        <v>0.77</v>
      </c>
      <c r="Q27" s="51">
        <v>4.45</v>
      </c>
    </row>
    <row r="28" spans="1:17" customFormat="1">
      <c r="A28" s="50" t="s">
        <v>679</v>
      </c>
      <c r="B28" s="51">
        <v>7.3</v>
      </c>
      <c r="C28" s="51">
        <v>22.75</v>
      </c>
      <c r="D28" s="51">
        <v>18.920000000000002</v>
      </c>
      <c r="E28" s="51">
        <v>6.43</v>
      </c>
      <c r="F28" s="51">
        <v>2.99</v>
      </c>
      <c r="G28" s="51">
        <v>78.94</v>
      </c>
      <c r="H28" s="51">
        <v>26.17</v>
      </c>
      <c r="I28" s="51">
        <v>7.84</v>
      </c>
      <c r="J28" s="51">
        <v>0.18</v>
      </c>
      <c r="K28" s="51">
        <v>181.46</v>
      </c>
      <c r="L28" s="51">
        <v>22.52</v>
      </c>
      <c r="M28" s="51">
        <v>73.849999999999994</v>
      </c>
      <c r="N28" s="51">
        <v>0</v>
      </c>
      <c r="O28" s="51">
        <v>0</v>
      </c>
      <c r="P28" s="51">
        <v>0.77</v>
      </c>
      <c r="Q28" s="51">
        <v>4.4800000000000004</v>
      </c>
    </row>
    <row r="29" spans="1:17" customFormat="1">
      <c r="A29" s="50" t="s">
        <v>680</v>
      </c>
      <c r="B29" s="51">
        <v>7.4</v>
      </c>
      <c r="C29" s="51">
        <v>22.66</v>
      </c>
      <c r="D29" s="51">
        <v>19.12</v>
      </c>
      <c r="E29" s="51">
        <v>6.27</v>
      </c>
      <c r="F29" s="51">
        <v>3.04</v>
      </c>
      <c r="G29" s="51">
        <v>78.94</v>
      </c>
      <c r="H29" s="51">
        <v>28.01</v>
      </c>
      <c r="I29" s="51">
        <v>7.84</v>
      </c>
      <c r="J29" s="51">
        <v>0.25</v>
      </c>
      <c r="K29" s="51">
        <v>247.87</v>
      </c>
      <c r="L29" s="51">
        <v>21.98</v>
      </c>
      <c r="M29" s="51">
        <v>80.64</v>
      </c>
      <c r="N29" s="51">
        <v>0</v>
      </c>
      <c r="O29" s="51">
        <v>0</v>
      </c>
      <c r="P29" s="51">
        <v>0.76</v>
      </c>
      <c r="Q29" s="51">
        <v>4.5199999999999996</v>
      </c>
    </row>
    <row r="30" spans="1:17" customFormat="1">
      <c r="A30" s="50" t="s">
        <v>681</v>
      </c>
      <c r="B30" s="51">
        <v>8.02</v>
      </c>
      <c r="C30" s="51">
        <v>22.95</v>
      </c>
      <c r="D30" s="51">
        <v>19.77</v>
      </c>
      <c r="E30" s="51">
        <v>6.15</v>
      </c>
      <c r="F30" s="51">
        <v>2.75</v>
      </c>
      <c r="G30" s="51">
        <v>78.510000000000005</v>
      </c>
      <c r="H30" s="51">
        <v>28.01</v>
      </c>
      <c r="I30" s="51">
        <v>7.83</v>
      </c>
      <c r="J30" s="51">
        <v>0.11</v>
      </c>
      <c r="K30" s="51">
        <v>208.67</v>
      </c>
      <c r="L30" s="51">
        <v>20.97</v>
      </c>
      <c r="M30" s="51">
        <v>83.98</v>
      </c>
      <c r="N30" s="51">
        <v>0</v>
      </c>
      <c r="O30" s="51">
        <v>0</v>
      </c>
      <c r="P30" s="51">
        <v>0.76</v>
      </c>
      <c r="Q30" s="51">
        <v>4.53</v>
      </c>
    </row>
    <row r="31" spans="1:17" customFormat="1">
      <c r="A31" s="50" t="s">
        <v>682</v>
      </c>
      <c r="B31" s="51">
        <v>9.5399999999999991</v>
      </c>
      <c r="C31" s="51">
        <v>22.5</v>
      </c>
      <c r="D31" s="51">
        <v>20.190000000000001</v>
      </c>
      <c r="E31" s="51">
        <v>6.24</v>
      </c>
      <c r="F31" s="51">
        <v>2.98</v>
      </c>
      <c r="G31" s="51">
        <v>71.66</v>
      </c>
      <c r="H31" s="51">
        <v>26.79</v>
      </c>
      <c r="I31" s="51">
        <v>7.61</v>
      </c>
      <c r="J31" s="51">
        <v>0.17</v>
      </c>
      <c r="K31" s="51">
        <v>214.62</v>
      </c>
      <c r="L31" s="51">
        <v>20.87</v>
      </c>
      <c r="M31" s="51">
        <v>88.69</v>
      </c>
      <c r="N31" s="51">
        <v>0</v>
      </c>
      <c r="O31" s="51">
        <v>0</v>
      </c>
      <c r="P31" s="51">
        <v>0.74</v>
      </c>
      <c r="Q31" s="51">
        <v>4.62</v>
      </c>
    </row>
    <row r="32" spans="1:17" customFormat="1">
      <c r="A32" s="50" t="s">
        <v>683</v>
      </c>
      <c r="B32" s="51">
        <v>11.46</v>
      </c>
      <c r="C32" s="51">
        <v>23.36</v>
      </c>
      <c r="D32" s="51">
        <v>22.74</v>
      </c>
      <c r="E32" s="51">
        <v>6.1</v>
      </c>
      <c r="F32" s="51">
        <v>2.61</v>
      </c>
      <c r="G32" s="51">
        <v>66.849999999999994</v>
      </c>
      <c r="H32" s="51">
        <v>27.89</v>
      </c>
      <c r="I32" s="51">
        <v>7.46</v>
      </c>
      <c r="J32" s="51">
        <v>0.26</v>
      </c>
      <c r="K32" s="51">
        <v>253</v>
      </c>
      <c r="L32" s="51">
        <v>20.170000000000002</v>
      </c>
      <c r="M32" s="51">
        <v>88.78</v>
      </c>
      <c r="N32" s="51">
        <v>0</v>
      </c>
      <c r="O32" s="51">
        <v>0</v>
      </c>
      <c r="P32" s="51">
        <v>0.75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5.53</v>
      </c>
      <c r="C34" s="41">
        <f t="shared" si="0"/>
        <v>19.88</v>
      </c>
      <c r="D34" s="41">
        <f t="shared" si="0"/>
        <v>16.72</v>
      </c>
      <c r="E34" s="41">
        <f t="shared" si="0"/>
        <v>4.99</v>
      </c>
      <c r="F34" s="41">
        <f t="shared" si="0"/>
        <v>2.48</v>
      </c>
      <c r="G34" s="41">
        <f t="shared" si="0"/>
        <v>51.66</v>
      </c>
      <c r="H34" s="41">
        <f t="shared" si="0"/>
        <v>25.22</v>
      </c>
      <c r="I34" s="41">
        <f t="shared" si="0"/>
        <v>6.36</v>
      </c>
      <c r="J34" s="41">
        <f t="shared" si="0"/>
        <v>0.1</v>
      </c>
      <c r="K34" s="41">
        <f t="shared" si="0"/>
        <v>30.49</v>
      </c>
      <c r="L34" s="41">
        <f t="shared" si="0"/>
        <v>18.3</v>
      </c>
      <c r="M34" s="41">
        <f t="shared" si="0"/>
        <v>35.5</v>
      </c>
      <c r="N34" s="41">
        <f t="shared" si="0"/>
        <v>0</v>
      </c>
      <c r="O34" s="41">
        <f t="shared" si="0"/>
        <v>0</v>
      </c>
      <c r="P34" s="41">
        <f t="shared" si="0"/>
        <v>0.69</v>
      </c>
      <c r="Q34" s="41">
        <f t="shared" si="0"/>
        <v>4.32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23.56</v>
      </c>
      <c r="C35" s="33">
        <f t="shared" si="1"/>
        <v>31.25</v>
      </c>
      <c r="D35" s="33">
        <f t="shared" si="1"/>
        <v>32.75</v>
      </c>
      <c r="E35" s="33">
        <f t="shared" si="1"/>
        <v>9.07</v>
      </c>
      <c r="F35" s="33">
        <f t="shared" si="1"/>
        <v>9.32</v>
      </c>
      <c r="G35" s="33">
        <f t="shared" si="1"/>
        <v>118.53</v>
      </c>
      <c r="H35" s="33">
        <f t="shared" si="1"/>
        <v>42.79</v>
      </c>
      <c r="I35" s="33">
        <f t="shared" si="1"/>
        <v>9.0500000000000007</v>
      </c>
      <c r="J35" s="33">
        <f t="shared" si="1"/>
        <v>0.81</v>
      </c>
      <c r="K35" s="33">
        <f t="shared" si="1"/>
        <v>333.36</v>
      </c>
      <c r="L35" s="33">
        <f t="shared" si="1"/>
        <v>30.6</v>
      </c>
      <c r="M35" s="33">
        <f t="shared" si="1"/>
        <v>95.05</v>
      </c>
      <c r="N35" s="33">
        <f t="shared" si="1"/>
        <v>588.6</v>
      </c>
      <c r="O35" s="33">
        <f t="shared" si="1"/>
        <v>0</v>
      </c>
      <c r="P35" s="33">
        <f t="shared" si="1"/>
        <v>1.1399999999999999</v>
      </c>
      <c r="Q35" s="33">
        <f t="shared" si="1"/>
        <v>5.29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11.131250000000001</v>
      </c>
      <c r="C36" s="41">
        <f t="shared" si="2"/>
        <v>23.859166666666667</v>
      </c>
      <c r="D36" s="41">
        <f t="shared" si="2"/>
        <v>22.557916666666671</v>
      </c>
      <c r="E36" s="41">
        <f t="shared" si="2"/>
        <v>6.5291666666666686</v>
      </c>
      <c r="F36" s="41">
        <f t="shared" si="2"/>
        <v>4.2508333333333335</v>
      </c>
      <c r="G36" s="41">
        <f t="shared" si="2"/>
        <v>76.898333333333326</v>
      </c>
      <c r="H36" s="41">
        <f t="shared" si="2"/>
        <v>31.127500000000001</v>
      </c>
      <c r="I36" s="41">
        <f t="shared" si="2"/>
        <v>7.6520833333333345</v>
      </c>
      <c r="J36" s="41">
        <f t="shared" si="2"/>
        <v>0.3125</v>
      </c>
      <c r="K36" s="41">
        <f t="shared" si="2"/>
        <v>182.54416666666668</v>
      </c>
      <c r="L36" s="41">
        <f t="shared" si="2"/>
        <v>24.018750000000001</v>
      </c>
      <c r="M36" s="41">
        <f t="shared" si="2"/>
        <v>70.30916666666667</v>
      </c>
      <c r="N36" s="41">
        <f t="shared" si="2"/>
        <v>156.03749999999999</v>
      </c>
      <c r="O36" s="41">
        <f t="shared" si="2"/>
        <v>0</v>
      </c>
      <c r="P36" s="41">
        <f t="shared" si="2"/>
        <v>0.8404166666666667</v>
      </c>
      <c r="Q36" s="41">
        <f t="shared" si="2"/>
        <v>4.6745833333333335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5.6278100710358139</v>
      </c>
      <c r="C37" s="41">
        <f t="shared" ref="C37:Q37" si="3">STDEV(C9:C32)</f>
        <v>3.2294041941626248</v>
      </c>
      <c r="D37" s="41">
        <f t="shared" si="3"/>
        <v>5.1218211597783547</v>
      </c>
      <c r="E37" s="41">
        <f t="shared" si="3"/>
        <v>1.0925077521032847</v>
      </c>
      <c r="F37" s="41">
        <f t="shared" si="3"/>
        <v>2.3754174308980907</v>
      </c>
      <c r="G37" s="41">
        <f t="shared" si="3"/>
        <v>18.532209954484671</v>
      </c>
      <c r="H37" s="41">
        <f t="shared" si="3"/>
        <v>5.8566589748614986</v>
      </c>
      <c r="I37" s="41">
        <f t="shared" si="3"/>
        <v>0.7743719989472746</v>
      </c>
      <c r="J37" s="41">
        <f t="shared" si="3"/>
        <v>0.20024441586959807</v>
      </c>
      <c r="K37" s="41">
        <f t="shared" si="3"/>
        <v>85.561008943614425</v>
      </c>
      <c r="L37" s="41">
        <f t="shared" si="3"/>
        <v>4.4537383540220459</v>
      </c>
      <c r="M37" s="41">
        <f t="shared" si="3"/>
        <v>22.543473733455841</v>
      </c>
      <c r="N37" s="41">
        <f t="shared" si="3"/>
        <v>225.0222188304775</v>
      </c>
      <c r="O37" s="41">
        <f t="shared" si="3"/>
        <v>0</v>
      </c>
      <c r="P37" s="41">
        <f t="shared" si="3"/>
        <v>0.1348583529571625</v>
      </c>
      <c r="Q37" s="41">
        <f t="shared" si="3"/>
        <v>0.30053545210343807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684</v>
      </c>
      <c r="B9" s="51">
        <v>14.4</v>
      </c>
      <c r="C9" s="51">
        <v>23.05</v>
      </c>
      <c r="D9" s="51">
        <v>24.94</v>
      </c>
      <c r="E9" s="51">
        <v>6.12</v>
      </c>
      <c r="F9" s="51">
        <v>2.78</v>
      </c>
      <c r="G9" s="51">
        <v>66.22</v>
      </c>
      <c r="H9" s="51">
        <v>27.89</v>
      </c>
      <c r="I9" s="51">
        <v>7.33</v>
      </c>
      <c r="J9" s="51">
        <v>0.15</v>
      </c>
      <c r="K9" s="51">
        <v>222.83</v>
      </c>
      <c r="L9" s="51">
        <v>19.79</v>
      </c>
      <c r="M9" s="51">
        <v>90.62</v>
      </c>
      <c r="N9" s="51">
        <v>0</v>
      </c>
      <c r="O9" s="51">
        <v>0</v>
      </c>
      <c r="P9" s="51">
        <v>0.76</v>
      </c>
      <c r="Q9" s="51">
        <v>4.83</v>
      </c>
    </row>
    <row r="10" spans="1:21" customFormat="1">
      <c r="A10" s="50" t="s">
        <v>685</v>
      </c>
      <c r="B10" s="51">
        <v>17.260000000000002</v>
      </c>
      <c r="C10" s="51">
        <v>24.06</v>
      </c>
      <c r="D10" s="51">
        <v>27.76</v>
      </c>
      <c r="E10" s="51">
        <v>6.46</v>
      </c>
      <c r="F10" s="51">
        <v>2.62</v>
      </c>
      <c r="G10" s="51">
        <v>66.790000000000006</v>
      </c>
      <c r="H10" s="51">
        <v>26.64</v>
      </c>
      <c r="I10" s="51">
        <v>7.37</v>
      </c>
      <c r="J10" s="51">
        <v>0.18</v>
      </c>
      <c r="K10" s="51">
        <v>203.58</v>
      </c>
      <c r="L10" s="51">
        <v>19.66</v>
      </c>
      <c r="M10" s="51">
        <v>92.97</v>
      </c>
      <c r="N10" s="51">
        <v>0</v>
      </c>
      <c r="O10" s="51">
        <v>0</v>
      </c>
      <c r="P10" s="51">
        <v>0.79</v>
      </c>
      <c r="Q10" s="51">
        <v>4.9800000000000004</v>
      </c>
    </row>
    <row r="11" spans="1:21" customFormat="1">
      <c r="A11" s="50" t="s">
        <v>686</v>
      </c>
      <c r="B11" s="51">
        <v>18.829999999999998</v>
      </c>
      <c r="C11" s="51">
        <v>24.87</v>
      </c>
      <c r="D11" s="51">
        <v>29.44</v>
      </c>
      <c r="E11" s="51">
        <v>5.76</v>
      </c>
      <c r="F11" s="51">
        <v>2.62</v>
      </c>
      <c r="G11" s="51">
        <v>66.790000000000006</v>
      </c>
      <c r="H11" s="51">
        <v>26.64</v>
      </c>
      <c r="I11" s="51">
        <v>7.66</v>
      </c>
      <c r="J11" s="51">
        <v>0.1</v>
      </c>
      <c r="K11" s="51">
        <v>215</v>
      </c>
      <c r="L11" s="51">
        <v>19.190000000000001</v>
      </c>
      <c r="M11" s="51">
        <v>96.56</v>
      </c>
      <c r="N11" s="51">
        <v>0</v>
      </c>
      <c r="O11" s="51">
        <v>0</v>
      </c>
      <c r="P11" s="51">
        <v>0.85</v>
      </c>
      <c r="Q11" s="51">
        <v>5.0999999999999996</v>
      </c>
    </row>
    <row r="12" spans="1:21" customFormat="1">
      <c r="A12" s="50" t="s">
        <v>687</v>
      </c>
      <c r="B12" s="51">
        <v>23.44</v>
      </c>
      <c r="C12" s="51">
        <v>25.89</v>
      </c>
      <c r="D12" s="51">
        <v>33.67</v>
      </c>
      <c r="E12" s="51">
        <v>5.59</v>
      </c>
      <c r="F12" s="51">
        <v>2.77</v>
      </c>
      <c r="G12" s="51">
        <v>69.62</v>
      </c>
      <c r="H12" s="51">
        <v>33.21</v>
      </c>
      <c r="I12" s="51">
        <v>8.2100000000000009</v>
      </c>
      <c r="J12" s="51">
        <v>0.18</v>
      </c>
      <c r="K12" s="51">
        <v>195.71</v>
      </c>
      <c r="L12" s="51">
        <v>18.96</v>
      </c>
      <c r="M12" s="51">
        <v>95.69</v>
      </c>
      <c r="N12" s="51">
        <v>0</v>
      </c>
      <c r="O12" s="51">
        <v>0</v>
      </c>
      <c r="P12" s="51">
        <v>0.9</v>
      </c>
      <c r="Q12" s="51">
        <v>5.31</v>
      </c>
    </row>
    <row r="13" spans="1:21" customFormat="1">
      <c r="A13" s="50" t="s">
        <v>688</v>
      </c>
      <c r="B13" s="51">
        <v>27.26</v>
      </c>
      <c r="C13" s="51">
        <v>26.3</v>
      </c>
      <c r="D13" s="51">
        <v>36.950000000000003</v>
      </c>
      <c r="E13" s="51">
        <v>6.04</v>
      </c>
      <c r="F13" s="51">
        <v>2.71</v>
      </c>
      <c r="G13" s="51">
        <v>81.400000000000006</v>
      </c>
      <c r="H13" s="51">
        <v>33.21</v>
      </c>
      <c r="I13" s="51">
        <v>8.76</v>
      </c>
      <c r="J13" s="51">
        <v>0.3</v>
      </c>
      <c r="K13" s="51">
        <v>178.53</v>
      </c>
      <c r="L13" s="51">
        <v>18.649999999999999</v>
      </c>
      <c r="M13" s="51">
        <v>95.89</v>
      </c>
      <c r="N13" s="51">
        <v>0</v>
      </c>
      <c r="O13" s="51">
        <v>0</v>
      </c>
      <c r="P13" s="51">
        <v>0.93</v>
      </c>
      <c r="Q13" s="51">
        <v>5.51</v>
      </c>
    </row>
    <row r="14" spans="1:21" customFormat="1">
      <c r="A14" s="50" t="s">
        <v>689</v>
      </c>
      <c r="B14" s="51">
        <v>29.86</v>
      </c>
      <c r="C14" s="51">
        <v>26.82</v>
      </c>
      <c r="D14" s="51">
        <v>39.26</v>
      </c>
      <c r="E14" s="51">
        <v>6.47</v>
      </c>
      <c r="F14" s="51">
        <v>2.7</v>
      </c>
      <c r="G14" s="51">
        <v>83.4</v>
      </c>
      <c r="H14" s="51">
        <v>35.28</v>
      </c>
      <c r="I14" s="51">
        <v>9.24</v>
      </c>
      <c r="J14" s="51">
        <v>0.24</v>
      </c>
      <c r="K14" s="51">
        <v>176.62</v>
      </c>
      <c r="L14" s="51">
        <v>18.27</v>
      </c>
      <c r="M14" s="51">
        <v>96.36</v>
      </c>
      <c r="N14" s="51">
        <v>0</v>
      </c>
      <c r="O14" s="51">
        <v>0</v>
      </c>
      <c r="P14" s="51">
        <v>0.96</v>
      </c>
      <c r="Q14" s="51">
        <v>5.65</v>
      </c>
    </row>
    <row r="15" spans="1:21" customFormat="1">
      <c r="A15" s="50" t="s">
        <v>690</v>
      </c>
      <c r="B15" s="51">
        <v>28.84</v>
      </c>
      <c r="C15" s="51">
        <v>26.8</v>
      </c>
      <c r="D15" s="51">
        <v>38.479999999999997</v>
      </c>
      <c r="E15" s="51">
        <v>6.69</v>
      </c>
      <c r="F15" s="51">
        <v>2.5099999999999998</v>
      </c>
      <c r="G15" s="51">
        <v>87.6</v>
      </c>
      <c r="H15" s="51">
        <v>36.770000000000003</v>
      </c>
      <c r="I15" s="51">
        <v>9.56</v>
      </c>
      <c r="J15" s="51">
        <v>0.28999999999999998</v>
      </c>
      <c r="K15" s="51">
        <v>204.15</v>
      </c>
      <c r="L15" s="51">
        <v>18.559999999999999</v>
      </c>
      <c r="M15" s="51">
        <v>96.13</v>
      </c>
      <c r="N15" s="51">
        <v>30.7</v>
      </c>
      <c r="O15" s="51">
        <v>0</v>
      </c>
      <c r="P15" s="51">
        <v>0.99</v>
      </c>
      <c r="Q15" s="51">
        <v>5.62</v>
      </c>
    </row>
    <row r="16" spans="1:21" customFormat="1">
      <c r="A16" s="50" t="s">
        <v>691</v>
      </c>
      <c r="B16" s="51">
        <v>26.47</v>
      </c>
      <c r="C16" s="51">
        <v>27.56</v>
      </c>
      <c r="D16" s="51">
        <v>36.31</v>
      </c>
      <c r="E16" s="51">
        <v>6.78</v>
      </c>
      <c r="F16" s="51">
        <v>2.7</v>
      </c>
      <c r="G16" s="51">
        <v>97.49</v>
      </c>
      <c r="H16" s="51">
        <v>41.86</v>
      </c>
      <c r="I16" s="51">
        <v>10.02</v>
      </c>
      <c r="J16" s="51">
        <v>0.12</v>
      </c>
      <c r="K16" s="51">
        <v>242.68</v>
      </c>
      <c r="L16" s="51">
        <v>22.43</v>
      </c>
      <c r="M16" s="51">
        <v>88.15</v>
      </c>
      <c r="N16" s="51">
        <v>229.1</v>
      </c>
      <c r="O16" s="51">
        <v>0</v>
      </c>
      <c r="P16" s="51">
        <v>1.02</v>
      </c>
      <c r="Q16" s="51">
        <v>5.54</v>
      </c>
    </row>
    <row r="17" spans="1:17" customFormat="1">
      <c r="A17" s="50" t="s">
        <v>692</v>
      </c>
      <c r="B17" s="51">
        <v>24.24</v>
      </c>
      <c r="C17" s="51">
        <v>24.45</v>
      </c>
      <c r="D17" s="51">
        <v>33.5</v>
      </c>
      <c r="E17" s="51">
        <v>6.14</v>
      </c>
      <c r="F17" s="51">
        <v>3.06</v>
      </c>
      <c r="G17" s="51">
        <v>97.49</v>
      </c>
      <c r="H17" s="51">
        <v>41.86</v>
      </c>
      <c r="I17" s="51">
        <v>10.37</v>
      </c>
      <c r="J17" s="51">
        <v>0.23</v>
      </c>
      <c r="K17" s="51">
        <v>267.45</v>
      </c>
      <c r="L17" s="51">
        <v>26.29</v>
      </c>
      <c r="M17" s="51">
        <v>69.64</v>
      </c>
      <c r="N17" s="51">
        <v>396.2</v>
      </c>
      <c r="O17" s="51">
        <v>0</v>
      </c>
      <c r="P17" s="51">
        <v>1</v>
      </c>
      <c r="Q17" s="51">
        <v>5.38</v>
      </c>
    </row>
    <row r="18" spans="1:17" customFormat="1">
      <c r="A18" s="50" t="s">
        <v>693</v>
      </c>
      <c r="B18" s="51">
        <v>19.79</v>
      </c>
      <c r="C18" s="51">
        <v>24.7</v>
      </c>
      <c r="D18" s="51">
        <v>29.38</v>
      </c>
      <c r="E18" s="51">
        <v>5.64</v>
      </c>
      <c r="F18" s="51">
        <v>3.14</v>
      </c>
      <c r="G18" s="51">
        <v>94.65</v>
      </c>
      <c r="H18" s="51">
        <v>40.75</v>
      </c>
      <c r="I18" s="51">
        <v>10.27</v>
      </c>
      <c r="J18" s="51">
        <v>0.31</v>
      </c>
      <c r="K18" s="51">
        <v>314.83</v>
      </c>
      <c r="L18" s="51">
        <v>28.36</v>
      </c>
      <c r="M18" s="51">
        <v>55.24</v>
      </c>
      <c r="N18" s="51">
        <v>519.4</v>
      </c>
      <c r="O18" s="51">
        <v>0</v>
      </c>
      <c r="P18" s="51">
        <v>0.95</v>
      </c>
      <c r="Q18" s="51">
        <v>5.13</v>
      </c>
    </row>
    <row r="19" spans="1:17" customFormat="1">
      <c r="A19" s="50" t="s">
        <v>694</v>
      </c>
      <c r="B19" s="51">
        <v>14.23</v>
      </c>
      <c r="C19" s="51">
        <v>24.58</v>
      </c>
      <c r="D19" s="51">
        <v>25.6</v>
      </c>
      <c r="E19" s="51">
        <v>6.65</v>
      </c>
      <c r="F19" s="51">
        <v>3.22</v>
      </c>
      <c r="G19" s="51">
        <v>77.53</v>
      </c>
      <c r="H19" s="51">
        <v>38.58</v>
      </c>
      <c r="I19" s="51">
        <v>9.52</v>
      </c>
      <c r="J19" s="51">
        <v>0.32</v>
      </c>
      <c r="K19" s="51">
        <v>174</v>
      </c>
      <c r="L19" s="51">
        <v>30.5</v>
      </c>
      <c r="M19" s="51">
        <v>42.12</v>
      </c>
      <c r="N19" s="51">
        <v>575.20000000000005</v>
      </c>
      <c r="O19" s="51">
        <v>0</v>
      </c>
      <c r="P19" s="51">
        <v>0.9</v>
      </c>
      <c r="Q19" s="51">
        <v>4.83</v>
      </c>
    </row>
    <row r="20" spans="1:17" customFormat="1">
      <c r="A20" s="50" t="s">
        <v>695</v>
      </c>
      <c r="B20" s="51">
        <v>10.37</v>
      </c>
      <c r="C20" s="51">
        <v>23.39</v>
      </c>
      <c r="D20" s="51">
        <v>21.66</v>
      </c>
      <c r="E20" s="51">
        <v>6.57</v>
      </c>
      <c r="F20" s="51">
        <v>6.28</v>
      </c>
      <c r="G20" s="51">
        <v>64.97</v>
      </c>
      <c r="H20" s="51">
        <v>27.26</v>
      </c>
      <c r="I20" s="51">
        <v>8.82</v>
      </c>
      <c r="J20" s="51">
        <v>0.7</v>
      </c>
      <c r="K20" s="51">
        <v>34.71</v>
      </c>
      <c r="L20" s="51">
        <v>30.74</v>
      </c>
      <c r="M20" s="51">
        <v>32.729999999999997</v>
      </c>
      <c r="N20" s="51">
        <v>629.4</v>
      </c>
      <c r="O20" s="51">
        <v>0</v>
      </c>
      <c r="P20" s="51">
        <v>0.83</v>
      </c>
      <c r="Q20" s="51">
        <v>4.6100000000000003</v>
      </c>
    </row>
    <row r="21" spans="1:17" customFormat="1">
      <c r="A21" s="50" t="s">
        <v>696</v>
      </c>
      <c r="B21" s="51">
        <v>8.6199999999999992</v>
      </c>
      <c r="C21" s="51">
        <v>23.28</v>
      </c>
      <c r="D21" s="51">
        <v>20.329999999999998</v>
      </c>
      <c r="E21" s="51">
        <v>7.36</v>
      </c>
      <c r="F21" s="51">
        <v>8.5299999999999994</v>
      </c>
      <c r="G21" s="51">
        <v>53.47</v>
      </c>
      <c r="H21" s="51">
        <v>24.02</v>
      </c>
      <c r="I21" s="51">
        <v>8</v>
      </c>
      <c r="J21" s="51">
        <v>0.91</v>
      </c>
      <c r="K21" s="51">
        <v>42.67</v>
      </c>
      <c r="L21" s="51">
        <v>30.85</v>
      </c>
      <c r="M21" s="51">
        <v>32.18</v>
      </c>
      <c r="N21" s="51">
        <v>606.9</v>
      </c>
      <c r="O21" s="51">
        <v>0</v>
      </c>
      <c r="P21" s="51">
        <v>0.77</v>
      </c>
      <c r="Q21" s="51">
        <v>4.49</v>
      </c>
    </row>
    <row r="22" spans="1:17" customFormat="1">
      <c r="A22" s="50" t="s">
        <v>697</v>
      </c>
      <c r="B22" s="51">
        <v>6.13</v>
      </c>
      <c r="C22" s="51">
        <v>23.96</v>
      </c>
      <c r="D22" s="51">
        <v>18.59</v>
      </c>
      <c r="E22" s="51">
        <v>7.4</v>
      </c>
      <c r="F22" s="51">
        <v>7.63</v>
      </c>
      <c r="G22" s="51">
        <v>59.03</v>
      </c>
      <c r="H22" s="51">
        <v>23.4</v>
      </c>
      <c r="I22" s="51">
        <v>7.47</v>
      </c>
      <c r="J22" s="51">
        <v>0.84</v>
      </c>
      <c r="K22" s="51">
        <v>50.36</v>
      </c>
      <c r="L22" s="51">
        <v>30.84</v>
      </c>
      <c r="M22" s="51">
        <v>32.01</v>
      </c>
      <c r="N22" s="51">
        <v>525.20000000000005</v>
      </c>
      <c r="O22" s="51">
        <v>0</v>
      </c>
      <c r="P22" s="51">
        <v>0.74</v>
      </c>
      <c r="Q22" s="51">
        <v>4.4000000000000004</v>
      </c>
    </row>
    <row r="23" spans="1:17" customFormat="1">
      <c r="A23" s="50" t="s">
        <v>698</v>
      </c>
      <c r="B23" s="51">
        <v>5.77</v>
      </c>
      <c r="C23" s="51">
        <v>23.82</v>
      </c>
      <c r="D23" s="51">
        <v>18.39</v>
      </c>
      <c r="E23" s="51">
        <v>7.28</v>
      </c>
      <c r="F23" s="51">
        <v>8.18</v>
      </c>
      <c r="G23" s="51">
        <v>59.03</v>
      </c>
      <c r="H23" s="51">
        <v>24.23</v>
      </c>
      <c r="I23" s="51">
        <v>6.8</v>
      </c>
      <c r="J23" s="51">
        <v>0.8</v>
      </c>
      <c r="K23" s="51">
        <v>45.97</v>
      </c>
      <c r="L23" s="51">
        <v>30.64</v>
      </c>
      <c r="M23" s="51">
        <v>29.52</v>
      </c>
      <c r="N23" s="51">
        <v>446.7</v>
      </c>
      <c r="O23" s="51">
        <v>0</v>
      </c>
      <c r="P23" s="51">
        <v>0.67</v>
      </c>
      <c r="Q23" s="51">
        <v>4.32</v>
      </c>
    </row>
    <row r="24" spans="1:17" customFormat="1">
      <c r="A24" s="50" t="s">
        <v>699</v>
      </c>
      <c r="B24" s="51">
        <v>6.03</v>
      </c>
      <c r="C24" s="51">
        <v>23.92</v>
      </c>
      <c r="D24" s="51">
        <v>18.66</v>
      </c>
      <c r="E24" s="51">
        <v>7.99</v>
      </c>
      <c r="F24" s="51">
        <v>10.42</v>
      </c>
      <c r="G24" s="51">
        <v>58.13</v>
      </c>
      <c r="H24" s="51">
        <v>24.23</v>
      </c>
      <c r="I24" s="51">
        <v>6.06</v>
      </c>
      <c r="J24" s="51">
        <v>0.82</v>
      </c>
      <c r="K24" s="51">
        <v>28.83</v>
      </c>
      <c r="L24" s="51">
        <v>29.25</v>
      </c>
      <c r="M24" s="51">
        <v>32.32</v>
      </c>
      <c r="N24" s="51">
        <v>72.8</v>
      </c>
      <c r="O24" s="51">
        <v>0</v>
      </c>
      <c r="P24" s="51">
        <v>0.63</v>
      </c>
      <c r="Q24" s="51">
        <v>4.3499999999999996</v>
      </c>
    </row>
    <row r="25" spans="1:17" customFormat="1">
      <c r="A25" s="50" t="s">
        <v>700</v>
      </c>
      <c r="B25" s="51">
        <v>6.87</v>
      </c>
      <c r="C25" s="51">
        <v>26.32</v>
      </c>
      <c r="D25" s="51">
        <v>20.61</v>
      </c>
      <c r="E25" s="51">
        <v>7.82</v>
      </c>
      <c r="F25" s="51">
        <v>8.17</v>
      </c>
      <c r="G25" s="51">
        <v>60.77</v>
      </c>
      <c r="H25" s="51">
        <v>20.350000000000001</v>
      </c>
      <c r="I25" s="51">
        <v>5.6</v>
      </c>
      <c r="J25" s="51">
        <v>0.56999999999999995</v>
      </c>
      <c r="K25" s="51">
        <v>50.79</v>
      </c>
      <c r="L25" s="51">
        <v>28.37</v>
      </c>
      <c r="M25" s="51">
        <v>40.25</v>
      </c>
      <c r="N25" s="51">
        <v>34.4</v>
      </c>
      <c r="O25" s="51">
        <v>0</v>
      </c>
      <c r="P25" s="51">
        <v>0.63</v>
      </c>
      <c r="Q25" s="51">
        <v>4.3600000000000003</v>
      </c>
    </row>
    <row r="26" spans="1:17" customFormat="1">
      <c r="A26" s="50" t="s">
        <v>701</v>
      </c>
      <c r="B26" s="51">
        <v>8.06</v>
      </c>
      <c r="C26" s="51">
        <v>26.55</v>
      </c>
      <c r="D26" s="51">
        <v>21.27</v>
      </c>
      <c r="E26" s="51">
        <v>6.13</v>
      </c>
      <c r="F26" s="51">
        <v>3.51</v>
      </c>
      <c r="G26" s="51">
        <v>83.2</v>
      </c>
      <c r="H26" s="51">
        <v>25.21</v>
      </c>
      <c r="I26" s="51">
        <v>5.31</v>
      </c>
      <c r="J26" s="51">
        <v>0.3</v>
      </c>
      <c r="K26" s="51">
        <v>169.76</v>
      </c>
      <c r="L26" s="51">
        <v>26.45</v>
      </c>
      <c r="M26" s="51">
        <v>58.01</v>
      </c>
      <c r="N26" s="51">
        <v>0.1</v>
      </c>
      <c r="O26" s="51">
        <v>0</v>
      </c>
      <c r="P26" s="51">
        <v>0.64</v>
      </c>
      <c r="Q26" s="51">
        <v>4.45</v>
      </c>
    </row>
    <row r="27" spans="1:17" customFormat="1">
      <c r="A27" s="50" t="s">
        <v>702</v>
      </c>
      <c r="B27" s="51">
        <v>10.78</v>
      </c>
      <c r="C27" s="51">
        <v>25.57</v>
      </c>
      <c r="D27" s="51">
        <v>23.35</v>
      </c>
      <c r="E27" s="51">
        <v>4.37</v>
      </c>
      <c r="F27" s="51">
        <v>2.95</v>
      </c>
      <c r="G27" s="51">
        <v>107.93</v>
      </c>
      <c r="H27" s="51">
        <v>28.64</v>
      </c>
      <c r="I27" s="51">
        <v>5.72</v>
      </c>
      <c r="J27" s="51">
        <v>0.21</v>
      </c>
      <c r="K27" s="51">
        <v>179.47</v>
      </c>
      <c r="L27" s="51">
        <v>23.8</v>
      </c>
      <c r="M27" s="51">
        <v>76.12</v>
      </c>
      <c r="N27" s="51">
        <v>0</v>
      </c>
      <c r="O27" s="51">
        <v>0</v>
      </c>
      <c r="P27" s="51">
        <v>0.7</v>
      </c>
      <c r="Q27" s="51">
        <v>4.58</v>
      </c>
    </row>
    <row r="28" spans="1:17" customFormat="1">
      <c r="A28" s="50" t="s">
        <v>703</v>
      </c>
      <c r="B28" s="51">
        <v>11.86</v>
      </c>
      <c r="C28" s="51">
        <v>25.33</v>
      </c>
      <c r="D28" s="51">
        <v>23.72</v>
      </c>
      <c r="E28" s="51">
        <v>4.59</v>
      </c>
      <c r="F28" s="51">
        <v>2.78</v>
      </c>
      <c r="G28" s="51">
        <v>107.93</v>
      </c>
      <c r="H28" s="51">
        <v>31.22</v>
      </c>
      <c r="I28" s="51">
        <v>6.35</v>
      </c>
      <c r="J28" s="51">
        <v>0.2</v>
      </c>
      <c r="K28" s="51">
        <v>232.06</v>
      </c>
      <c r="L28" s="51">
        <v>22.19</v>
      </c>
      <c r="M28" s="51">
        <v>78.930000000000007</v>
      </c>
      <c r="N28" s="51">
        <v>0</v>
      </c>
      <c r="O28" s="51">
        <v>0</v>
      </c>
      <c r="P28" s="51">
        <v>0.73</v>
      </c>
      <c r="Q28" s="51">
        <v>4.66</v>
      </c>
    </row>
    <row r="29" spans="1:17" customFormat="1">
      <c r="A29" s="50" t="s">
        <v>704</v>
      </c>
      <c r="B29" s="51">
        <v>12.38</v>
      </c>
      <c r="C29" s="51">
        <v>24.49</v>
      </c>
      <c r="D29" s="51">
        <v>23.81</v>
      </c>
      <c r="E29" s="51">
        <v>4.51</v>
      </c>
      <c r="F29" s="51">
        <v>2.75</v>
      </c>
      <c r="G29" s="51">
        <v>105.79</v>
      </c>
      <c r="H29" s="51">
        <v>31.22</v>
      </c>
      <c r="I29" s="51">
        <v>7.49</v>
      </c>
      <c r="J29" s="51">
        <v>0.21</v>
      </c>
      <c r="K29" s="51">
        <v>240.35</v>
      </c>
      <c r="L29" s="51">
        <v>21.5</v>
      </c>
      <c r="M29" s="51">
        <v>77.61</v>
      </c>
      <c r="N29" s="51">
        <v>0</v>
      </c>
      <c r="O29" s="51">
        <v>0</v>
      </c>
      <c r="P29" s="51">
        <v>0.76</v>
      </c>
      <c r="Q29" s="51">
        <v>4.67</v>
      </c>
    </row>
    <row r="30" spans="1:17" customFormat="1">
      <c r="A30" s="50" t="s">
        <v>705</v>
      </c>
      <c r="B30" s="51">
        <v>12.29</v>
      </c>
      <c r="C30" s="51">
        <v>23.64</v>
      </c>
      <c r="D30" s="51">
        <v>23.53</v>
      </c>
      <c r="E30" s="51">
        <v>4.7699999999999996</v>
      </c>
      <c r="F30" s="51">
        <v>2.64</v>
      </c>
      <c r="G30" s="51">
        <v>105.76</v>
      </c>
      <c r="H30" s="51">
        <v>28.93</v>
      </c>
      <c r="I30" s="51">
        <v>8.4700000000000006</v>
      </c>
      <c r="J30" s="51">
        <v>0.16</v>
      </c>
      <c r="K30" s="51">
        <v>169.34</v>
      </c>
      <c r="L30" s="51">
        <v>20.63</v>
      </c>
      <c r="M30" s="51">
        <v>84.95</v>
      </c>
      <c r="N30" s="51">
        <v>0</v>
      </c>
      <c r="O30" s="51">
        <v>0</v>
      </c>
      <c r="P30" s="51">
        <v>0.77</v>
      </c>
      <c r="Q30" s="51">
        <v>4.7</v>
      </c>
    </row>
    <row r="31" spans="1:17" customFormat="1">
      <c r="A31" s="50" t="s">
        <v>706</v>
      </c>
      <c r="B31" s="51">
        <v>13.57</v>
      </c>
      <c r="C31" s="51">
        <v>24.11</v>
      </c>
      <c r="D31" s="51">
        <v>24.83</v>
      </c>
      <c r="E31" s="51">
        <v>5.05</v>
      </c>
      <c r="F31" s="51">
        <v>2.78</v>
      </c>
      <c r="G31" s="51">
        <v>99.49</v>
      </c>
      <c r="H31" s="51">
        <v>31.04</v>
      </c>
      <c r="I31" s="51">
        <v>8.6</v>
      </c>
      <c r="J31" s="51">
        <v>0.16</v>
      </c>
      <c r="K31" s="51">
        <v>226.09</v>
      </c>
      <c r="L31" s="51">
        <v>20.440000000000001</v>
      </c>
      <c r="M31" s="51">
        <v>87.69</v>
      </c>
      <c r="N31" s="51">
        <v>0</v>
      </c>
      <c r="O31" s="51">
        <v>0</v>
      </c>
      <c r="P31" s="51">
        <v>0.82</v>
      </c>
      <c r="Q31" s="51">
        <v>4.75</v>
      </c>
    </row>
    <row r="32" spans="1:17" customFormat="1">
      <c r="A32" s="50" t="s">
        <v>707</v>
      </c>
      <c r="B32" s="51">
        <v>13.46</v>
      </c>
      <c r="C32" s="51">
        <v>24.32</v>
      </c>
      <c r="D32" s="51">
        <v>24.81</v>
      </c>
      <c r="E32" s="51">
        <v>4.82</v>
      </c>
      <c r="F32" s="51">
        <v>2.76</v>
      </c>
      <c r="G32" s="51">
        <v>80.67</v>
      </c>
      <c r="H32" s="51">
        <v>31.04</v>
      </c>
      <c r="I32" s="51">
        <v>8.56</v>
      </c>
      <c r="J32" s="51">
        <v>0.16</v>
      </c>
      <c r="K32" s="51">
        <v>237.1</v>
      </c>
      <c r="L32" s="51">
        <v>20</v>
      </c>
      <c r="M32" s="51">
        <v>90.21</v>
      </c>
      <c r="N32" s="51">
        <v>0</v>
      </c>
      <c r="O32" s="51">
        <v>0</v>
      </c>
      <c r="P32" s="51">
        <v>0.83</v>
      </c>
      <c r="Q32" s="51">
        <v>4.78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5.77</v>
      </c>
      <c r="C34" s="41">
        <f t="shared" si="0"/>
        <v>23.05</v>
      </c>
      <c r="D34" s="41">
        <f t="shared" si="0"/>
        <v>18.39</v>
      </c>
      <c r="E34" s="41">
        <f t="shared" si="0"/>
        <v>4.37</v>
      </c>
      <c r="F34" s="41">
        <f t="shared" si="0"/>
        <v>2.5099999999999998</v>
      </c>
      <c r="G34" s="41">
        <f t="shared" si="0"/>
        <v>53.47</v>
      </c>
      <c r="H34" s="41">
        <f t="shared" si="0"/>
        <v>20.350000000000001</v>
      </c>
      <c r="I34" s="41">
        <f t="shared" si="0"/>
        <v>5.31</v>
      </c>
      <c r="J34" s="41">
        <f t="shared" si="0"/>
        <v>0.1</v>
      </c>
      <c r="K34" s="41">
        <f t="shared" si="0"/>
        <v>28.83</v>
      </c>
      <c r="L34" s="41">
        <f t="shared" si="0"/>
        <v>18.27</v>
      </c>
      <c r="M34" s="41">
        <f t="shared" si="0"/>
        <v>29.52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4.32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29.86</v>
      </c>
      <c r="C35" s="33">
        <f t="shared" si="1"/>
        <v>27.56</v>
      </c>
      <c r="D35" s="33">
        <f t="shared" si="1"/>
        <v>39.26</v>
      </c>
      <c r="E35" s="33">
        <f t="shared" si="1"/>
        <v>7.99</v>
      </c>
      <c r="F35" s="33">
        <f t="shared" si="1"/>
        <v>10.42</v>
      </c>
      <c r="G35" s="33">
        <f t="shared" si="1"/>
        <v>107.93</v>
      </c>
      <c r="H35" s="33">
        <f t="shared" si="1"/>
        <v>41.86</v>
      </c>
      <c r="I35" s="33">
        <f t="shared" si="1"/>
        <v>10.37</v>
      </c>
      <c r="J35" s="33">
        <f t="shared" si="1"/>
        <v>0.91</v>
      </c>
      <c r="K35" s="33">
        <f t="shared" si="1"/>
        <v>314.83</v>
      </c>
      <c r="L35" s="33">
        <f t="shared" si="1"/>
        <v>30.85</v>
      </c>
      <c r="M35" s="33">
        <f t="shared" si="1"/>
        <v>96.56</v>
      </c>
      <c r="N35" s="33">
        <f t="shared" si="1"/>
        <v>629.4</v>
      </c>
      <c r="O35" s="33">
        <f t="shared" si="1"/>
        <v>0</v>
      </c>
      <c r="P35" s="33">
        <f t="shared" si="1"/>
        <v>1.02</v>
      </c>
      <c r="Q35" s="33">
        <f t="shared" si="1"/>
        <v>5.65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15.450416666666664</v>
      </c>
      <c r="C36" s="41">
        <f t="shared" si="2"/>
        <v>24.907499999999999</v>
      </c>
      <c r="D36" s="41">
        <f t="shared" si="2"/>
        <v>26.618749999999995</v>
      </c>
      <c r="E36" s="41">
        <f t="shared" si="2"/>
        <v>6.125</v>
      </c>
      <c r="F36" s="41">
        <f t="shared" si="2"/>
        <v>4.1754166666666679</v>
      </c>
      <c r="G36" s="41">
        <f t="shared" si="2"/>
        <v>80.631250000000009</v>
      </c>
      <c r="H36" s="41">
        <f t="shared" si="2"/>
        <v>30.561666666666664</v>
      </c>
      <c r="I36" s="41">
        <f t="shared" si="2"/>
        <v>7.9816666666666665</v>
      </c>
      <c r="J36" s="41">
        <f t="shared" si="2"/>
        <v>0.35250000000000004</v>
      </c>
      <c r="K36" s="41">
        <f t="shared" si="2"/>
        <v>170.95333333333335</v>
      </c>
      <c r="L36" s="41">
        <f t="shared" si="2"/>
        <v>24.015000000000001</v>
      </c>
      <c r="M36" s="41">
        <f t="shared" si="2"/>
        <v>69.662499999999994</v>
      </c>
      <c r="N36" s="41">
        <f t="shared" si="2"/>
        <v>169.42083333333335</v>
      </c>
      <c r="O36" s="41">
        <f t="shared" si="2"/>
        <v>0</v>
      </c>
      <c r="P36" s="41">
        <f t="shared" si="2"/>
        <v>0.81541666666666668</v>
      </c>
      <c r="Q36" s="41">
        <f t="shared" si="2"/>
        <v>4.8749999999999991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7.6802255849832939</v>
      </c>
      <c r="C37" s="41">
        <f t="shared" ref="C37:Q37" si="3">STDEV(C9:C32)</f>
        <v>1.2817862875521024</v>
      </c>
      <c r="D37" s="41">
        <f t="shared" si="3"/>
        <v>6.548529415067204</v>
      </c>
      <c r="E37" s="41">
        <f t="shared" si="3"/>
        <v>1.0568739795716626</v>
      </c>
      <c r="F37" s="41">
        <f t="shared" si="3"/>
        <v>2.4655045857428108</v>
      </c>
      <c r="G37" s="41">
        <f t="shared" si="3"/>
        <v>18.030909526964045</v>
      </c>
      <c r="H37" s="41">
        <f t="shared" si="3"/>
        <v>6.1215674794775561</v>
      </c>
      <c r="I37" s="41">
        <f t="shared" si="3"/>
        <v>1.4881464007767946</v>
      </c>
      <c r="J37" s="41">
        <f t="shared" si="3"/>
        <v>0.2611554592824808</v>
      </c>
      <c r="K37" s="41">
        <f t="shared" si="3"/>
        <v>83.021462267906699</v>
      </c>
      <c r="L37" s="41">
        <f t="shared" si="3"/>
        <v>4.8030488505604056</v>
      </c>
      <c r="M37" s="41">
        <f t="shared" si="3"/>
        <v>25.671824218306991</v>
      </c>
      <c r="N37" s="41">
        <f t="shared" si="3"/>
        <v>243.92481018822647</v>
      </c>
      <c r="O37" s="41">
        <f t="shared" si="3"/>
        <v>0</v>
      </c>
      <c r="P37" s="41">
        <f t="shared" si="3"/>
        <v>0.12021644127831788</v>
      </c>
      <c r="Q37" s="41">
        <f t="shared" si="3"/>
        <v>0.43138805288732163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708</v>
      </c>
      <c r="B9" s="51">
        <v>11.53</v>
      </c>
      <c r="C9" s="51">
        <v>23.85</v>
      </c>
      <c r="D9" s="51">
        <v>23.03</v>
      </c>
      <c r="E9" s="51">
        <v>5.09</v>
      </c>
      <c r="F9" s="51">
        <v>2.72</v>
      </c>
      <c r="G9" s="51">
        <v>78.69</v>
      </c>
      <c r="H9" s="51">
        <v>27.42</v>
      </c>
      <c r="I9" s="51">
        <v>8.3699999999999992</v>
      </c>
      <c r="J9" s="51">
        <v>0.26</v>
      </c>
      <c r="K9" s="51">
        <v>252.25</v>
      </c>
      <c r="L9" s="51">
        <v>19.34</v>
      </c>
      <c r="M9" s="51">
        <v>90.75</v>
      </c>
      <c r="N9" s="51">
        <v>0</v>
      </c>
      <c r="O9" s="51">
        <v>0</v>
      </c>
      <c r="P9" s="51">
        <v>0.82</v>
      </c>
      <c r="Q9" s="51">
        <v>4.76</v>
      </c>
    </row>
    <row r="10" spans="1:21" customFormat="1">
      <c r="A10" s="50" t="s">
        <v>709</v>
      </c>
      <c r="B10" s="51">
        <v>10.89</v>
      </c>
      <c r="C10" s="51">
        <v>23.13</v>
      </c>
      <c r="D10" s="51">
        <v>22.17</v>
      </c>
      <c r="E10" s="51">
        <v>5.44</v>
      </c>
      <c r="F10" s="51">
        <v>2.69</v>
      </c>
      <c r="G10" s="51">
        <v>66.28</v>
      </c>
      <c r="H10" s="51">
        <v>23.44</v>
      </c>
      <c r="I10" s="51">
        <v>8.17</v>
      </c>
      <c r="J10" s="51">
        <v>0.2</v>
      </c>
      <c r="K10" s="51">
        <v>252.65</v>
      </c>
      <c r="L10" s="51">
        <v>18.739999999999998</v>
      </c>
      <c r="M10" s="51">
        <v>90.83</v>
      </c>
      <c r="N10" s="51">
        <v>0</v>
      </c>
      <c r="O10" s="51">
        <v>0</v>
      </c>
      <c r="P10" s="51">
        <v>0.8</v>
      </c>
      <c r="Q10" s="51">
        <v>4.75</v>
      </c>
    </row>
    <row r="11" spans="1:21" customFormat="1">
      <c r="A11" s="50" t="s">
        <v>710</v>
      </c>
      <c r="B11" s="51">
        <v>11.41</v>
      </c>
      <c r="C11" s="51">
        <v>23.58</v>
      </c>
      <c r="D11" s="51">
        <v>22.82</v>
      </c>
      <c r="E11" s="51">
        <v>5.58</v>
      </c>
      <c r="F11" s="51">
        <v>2.58</v>
      </c>
      <c r="G11" s="51">
        <v>57.58</v>
      </c>
      <c r="H11" s="51">
        <v>24.37</v>
      </c>
      <c r="I11" s="51">
        <v>8.75</v>
      </c>
      <c r="J11" s="51">
        <v>0.13</v>
      </c>
      <c r="K11" s="51">
        <v>216.04</v>
      </c>
      <c r="L11" s="51">
        <v>18.87</v>
      </c>
      <c r="M11" s="51">
        <v>89.7</v>
      </c>
      <c r="N11" s="51">
        <v>0</v>
      </c>
      <c r="O11" s="51">
        <v>0</v>
      </c>
      <c r="P11" s="51">
        <v>0.8</v>
      </c>
      <c r="Q11" s="51">
        <v>4.76</v>
      </c>
    </row>
    <row r="12" spans="1:21" customFormat="1">
      <c r="A12" s="50" t="s">
        <v>711</v>
      </c>
      <c r="B12" s="51">
        <v>11.93</v>
      </c>
      <c r="C12" s="51">
        <v>23.68</v>
      </c>
      <c r="D12" s="51">
        <v>23.02</v>
      </c>
      <c r="E12" s="51">
        <v>6.02</v>
      </c>
      <c r="F12" s="51">
        <v>2.78</v>
      </c>
      <c r="G12" s="51">
        <v>57.58</v>
      </c>
      <c r="H12" s="51">
        <v>27.44</v>
      </c>
      <c r="I12" s="51">
        <v>9.16</v>
      </c>
      <c r="J12" s="51">
        <v>0.2</v>
      </c>
      <c r="K12" s="51">
        <v>181.54</v>
      </c>
      <c r="L12" s="51">
        <v>18.48</v>
      </c>
      <c r="M12" s="51">
        <v>92.65</v>
      </c>
      <c r="N12" s="51">
        <v>0</v>
      </c>
      <c r="O12" s="51">
        <v>0</v>
      </c>
      <c r="P12" s="51">
        <v>0.8</v>
      </c>
      <c r="Q12" s="51">
        <v>4.8</v>
      </c>
    </row>
    <row r="13" spans="1:21" customFormat="1">
      <c r="A13" s="50" t="s">
        <v>712</v>
      </c>
      <c r="B13" s="51">
        <v>12.8</v>
      </c>
      <c r="C13" s="51">
        <v>22.01</v>
      </c>
      <c r="D13" s="51">
        <v>23.1</v>
      </c>
      <c r="E13" s="51">
        <v>5.23</v>
      </c>
      <c r="F13" s="51">
        <v>2.62</v>
      </c>
      <c r="G13" s="51">
        <v>54.63</v>
      </c>
      <c r="H13" s="51">
        <v>27.55</v>
      </c>
      <c r="I13" s="51">
        <v>9.26</v>
      </c>
      <c r="J13" s="51">
        <v>0.1</v>
      </c>
      <c r="K13" s="51">
        <v>223.36</v>
      </c>
      <c r="L13" s="51">
        <v>18.05</v>
      </c>
      <c r="M13" s="51">
        <v>94.84</v>
      </c>
      <c r="N13" s="51">
        <v>0</v>
      </c>
      <c r="O13" s="51">
        <v>0</v>
      </c>
      <c r="P13" s="51">
        <v>0.75</v>
      </c>
      <c r="Q13" s="51">
        <v>4.79</v>
      </c>
    </row>
    <row r="14" spans="1:21" customFormat="1">
      <c r="A14" s="50" t="s">
        <v>713</v>
      </c>
      <c r="B14" s="51">
        <v>12.7</v>
      </c>
      <c r="C14" s="51">
        <v>22.15</v>
      </c>
      <c r="D14" s="51">
        <v>23.1</v>
      </c>
      <c r="E14" s="51">
        <v>5.01</v>
      </c>
      <c r="F14" s="51">
        <v>2.69</v>
      </c>
      <c r="G14" s="51">
        <v>54.63</v>
      </c>
      <c r="H14" s="51">
        <v>27.55</v>
      </c>
      <c r="I14" s="51">
        <v>9.0500000000000007</v>
      </c>
      <c r="J14" s="51">
        <v>0.22</v>
      </c>
      <c r="K14" s="51">
        <v>215.52</v>
      </c>
      <c r="L14" s="51">
        <v>17.54</v>
      </c>
      <c r="M14" s="51">
        <v>95.39</v>
      </c>
      <c r="N14" s="51">
        <v>0</v>
      </c>
      <c r="O14" s="51">
        <v>0</v>
      </c>
      <c r="P14" s="51">
        <v>0.72</v>
      </c>
      <c r="Q14" s="51">
        <v>4.7699999999999996</v>
      </c>
    </row>
    <row r="15" spans="1:21" customFormat="1">
      <c r="A15" s="50" t="s">
        <v>714</v>
      </c>
      <c r="B15" s="51">
        <v>12.05</v>
      </c>
      <c r="C15" s="51">
        <v>21.78</v>
      </c>
      <c r="D15" s="51">
        <v>22.39</v>
      </c>
      <c r="E15" s="51">
        <v>5.21</v>
      </c>
      <c r="F15" s="51">
        <v>2.61</v>
      </c>
      <c r="G15" s="51">
        <v>57.59</v>
      </c>
      <c r="H15" s="51">
        <v>25.44</v>
      </c>
      <c r="I15" s="51">
        <v>8.5</v>
      </c>
      <c r="J15" s="51">
        <v>0.26</v>
      </c>
      <c r="K15" s="51">
        <v>353.13</v>
      </c>
      <c r="L15" s="51">
        <v>18.43</v>
      </c>
      <c r="M15" s="51">
        <v>94.41</v>
      </c>
      <c r="N15" s="51">
        <v>31.4</v>
      </c>
      <c r="O15" s="51">
        <v>0</v>
      </c>
      <c r="P15" s="51">
        <v>0.7</v>
      </c>
      <c r="Q15" s="51">
        <v>4.75</v>
      </c>
    </row>
    <row r="16" spans="1:21" customFormat="1">
      <c r="A16" s="50" t="s">
        <v>715</v>
      </c>
      <c r="B16" s="51">
        <v>16.09</v>
      </c>
      <c r="C16" s="51">
        <v>23.96</v>
      </c>
      <c r="D16" s="51">
        <v>26.78</v>
      </c>
      <c r="E16" s="51">
        <v>5.85</v>
      </c>
      <c r="F16" s="51">
        <v>2.62</v>
      </c>
      <c r="G16" s="51">
        <v>83.35</v>
      </c>
      <c r="H16" s="51">
        <v>30.69</v>
      </c>
      <c r="I16" s="51">
        <v>8.39</v>
      </c>
      <c r="J16" s="51">
        <v>0.32</v>
      </c>
      <c r="K16" s="51">
        <v>310.62</v>
      </c>
      <c r="L16" s="51">
        <v>22.16</v>
      </c>
      <c r="M16" s="51">
        <v>86.95</v>
      </c>
      <c r="N16" s="51">
        <v>218.6</v>
      </c>
      <c r="O16" s="51">
        <v>0</v>
      </c>
      <c r="P16" s="51">
        <v>0.76</v>
      </c>
      <c r="Q16" s="51">
        <v>4.95</v>
      </c>
    </row>
    <row r="17" spans="1:17" customFormat="1">
      <c r="A17" s="50" t="s">
        <v>716</v>
      </c>
      <c r="B17" s="51">
        <v>16.239999999999998</v>
      </c>
      <c r="C17" s="51">
        <v>27.16</v>
      </c>
      <c r="D17" s="51">
        <v>27.52</v>
      </c>
      <c r="E17" s="51">
        <v>6.01</v>
      </c>
      <c r="F17" s="51">
        <v>3.32</v>
      </c>
      <c r="G17" s="51">
        <v>90.53</v>
      </c>
      <c r="H17" s="51">
        <v>41.52</v>
      </c>
      <c r="I17" s="51">
        <v>9.4</v>
      </c>
      <c r="J17" s="51">
        <v>0.25</v>
      </c>
      <c r="K17" s="51">
        <v>306.45</v>
      </c>
      <c r="L17" s="51">
        <v>25.72</v>
      </c>
      <c r="M17" s="51">
        <v>68.2</v>
      </c>
      <c r="N17" s="51">
        <v>380.6</v>
      </c>
      <c r="O17" s="51">
        <v>0</v>
      </c>
      <c r="P17" s="51">
        <v>0.86</v>
      </c>
      <c r="Q17" s="51">
        <v>4.97</v>
      </c>
    </row>
    <row r="18" spans="1:17" customFormat="1">
      <c r="A18" s="50" t="s">
        <v>717</v>
      </c>
      <c r="B18" s="51">
        <v>11.43</v>
      </c>
      <c r="C18" s="51">
        <v>27.44</v>
      </c>
      <c r="D18" s="51">
        <v>24.85</v>
      </c>
      <c r="E18" s="51">
        <v>5.93</v>
      </c>
      <c r="F18" s="51">
        <v>3.95</v>
      </c>
      <c r="G18" s="51">
        <v>90.53</v>
      </c>
      <c r="H18" s="51">
        <v>41.52</v>
      </c>
      <c r="I18" s="51">
        <v>9.41</v>
      </c>
      <c r="J18" s="51">
        <v>0.3</v>
      </c>
      <c r="K18" s="51">
        <v>256.27999999999997</v>
      </c>
      <c r="L18" s="51">
        <v>27.69</v>
      </c>
      <c r="M18" s="51">
        <v>53.39</v>
      </c>
      <c r="N18" s="51">
        <v>513.9</v>
      </c>
      <c r="O18" s="51">
        <v>0</v>
      </c>
      <c r="P18" s="51">
        <v>0.85</v>
      </c>
      <c r="Q18" s="51">
        <v>4.8</v>
      </c>
    </row>
    <row r="19" spans="1:17" customFormat="1">
      <c r="A19" s="50" t="s">
        <v>718</v>
      </c>
      <c r="B19" s="51">
        <v>6.26</v>
      </c>
      <c r="C19" s="51">
        <v>26.34</v>
      </c>
      <c r="D19" s="51">
        <v>20.13</v>
      </c>
      <c r="E19" s="51">
        <v>5.99</v>
      </c>
      <c r="F19" s="51">
        <v>4.8</v>
      </c>
      <c r="G19" s="51">
        <v>81.28</v>
      </c>
      <c r="H19" s="51">
        <v>36.590000000000003</v>
      </c>
      <c r="I19" s="51">
        <v>8.99</v>
      </c>
      <c r="J19" s="51">
        <v>0.41</v>
      </c>
      <c r="K19" s="51">
        <v>208.85</v>
      </c>
      <c r="L19" s="51">
        <v>30.08</v>
      </c>
      <c r="M19" s="51">
        <v>45.12</v>
      </c>
      <c r="N19" s="51">
        <v>557.20000000000005</v>
      </c>
      <c r="O19" s="51">
        <v>0</v>
      </c>
      <c r="P19" s="51">
        <v>0.8</v>
      </c>
      <c r="Q19" s="51">
        <v>4.53</v>
      </c>
    </row>
    <row r="20" spans="1:17" customFormat="1">
      <c r="A20" s="50" t="s">
        <v>719</v>
      </c>
      <c r="B20" s="51">
        <v>4.28</v>
      </c>
      <c r="C20" s="51">
        <v>24.5</v>
      </c>
      <c r="D20" s="51">
        <v>17.579999999999998</v>
      </c>
      <c r="E20" s="51">
        <v>6.57</v>
      </c>
      <c r="F20" s="51">
        <v>6.46</v>
      </c>
      <c r="G20" s="51">
        <v>67.510000000000005</v>
      </c>
      <c r="H20" s="51">
        <v>29.5</v>
      </c>
      <c r="I20" s="51">
        <v>8.2100000000000009</v>
      </c>
      <c r="J20" s="51">
        <v>0.23</v>
      </c>
      <c r="K20" s="51">
        <v>159.61000000000001</v>
      </c>
      <c r="L20" s="51">
        <v>30.67</v>
      </c>
      <c r="M20" s="51">
        <v>38.08</v>
      </c>
      <c r="N20" s="51">
        <v>602</v>
      </c>
      <c r="O20" s="51">
        <v>0</v>
      </c>
      <c r="P20" s="51">
        <v>0.74</v>
      </c>
      <c r="Q20" s="51">
        <v>4.3600000000000003</v>
      </c>
    </row>
    <row r="21" spans="1:17" customFormat="1">
      <c r="A21" s="50" t="s">
        <v>720</v>
      </c>
      <c r="B21" s="51">
        <v>4.08</v>
      </c>
      <c r="C21" s="51">
        <v>22.3</v>
      </c>
      <c r="D21" s="51">
        <v>16.27</v>
      </c>
      <c r="E21" s="51">
        <v>6.39</v>
      </c>
      <c r="F21" s="51">
        <v>6.78</v>
      </c>
      <c r="G21" s="51">
        <v>62.5</v>
      </c>
      <c r="H21" s="51">
        <v>27.48</v>
      </c>
      <c r="I21" s="51">
        <v>7.33</v>
      </c>
      <c r="J21" s="51">
        <v>0.28999999999999998</v>
      </c>
      <c r="K21" s="51">
        <v>181.41</v>
      </c>
      <c r="L21" s="51">
        <v>31.18</v>
      </c>
      <c r="M21" s="51">
        <v>35.369999999999997</v>
      </c>
      <c r="N21" s="51">
        <v>597.20000000000005</v>
      </c>
      <c r="O21" s="51">
        <v>0</v>
      </c>
      <c r="P21" s="51">
        <v>0.67</v>
      </c>
      <c r="Q21" s="51">
        <v>4.33</v>
      </c>
    </row>
    <row r="22" spans="1:17" customFormat="1">
      <c r="A22" s="50" t="s">
        <v>721</v>
      </c>
      <c r="B22" s="51">
        <v>4.2699999999999996</v>
      </c>
      <c r="C22" s="51">
        <v>20.69</v>
      </c>
      <c r="D22" s="51">
        <v>15.39</v>
      </c>
      <c r="E22" s="51">
        <v>6.46</v>
      </c>
      <c r="F22" s="51">
        <v>6.3</v>
      </c>
      <c r="G22" s="51">
        <v>55.15</v>
      </c>
      <c r="H22" s="51">
        <v>22.74</v>
      </c>
      <c r="I22" s="51">
        <v>6.57</v>
      </c>
      <c r="J22" s="51">
        <v>0.25</v>
      </c>
      <c r="K22" s="51">
        <v>142.33000000000001</v>
      </c>
      <c r="L22" s="51">
        <v>31.46</v>
      </c>
      <c r="M22" s="51">
        <v>32.75</v>
      </c>
      <c r="N22" s="51">
        <v>553.20000000000005</v>
      </c>
      <c r="O22" s="51">
        <v>0</v>
      </c>
      <c r="P22" s="51">
        <v>0.62</v>
      </c>
      <c r="Q22" s="51">
        <v>4.3</v>
      </c>
    </row>
    <row r="23" spans="1:17" customFormat="1">
      <c r="A23" s="50" t="s">
        <v>722</v>
      </c>
      <c r="B23" s="51">
        <v>4.5599999999999996</v>
      </c>
      <c r="C23" s="51">
        <v>18.190000000000001</v>
      </c>
      <c r="D23" s="51">
        <v>14.41</v>
      </c>
      <c r="E23" s="51">
        <v>6.13</v>
      </c>
      <c r="F23" s="51">
        <v>6.71</v>
      </c>
      <c r="G23" s="51">
        <v>51.16</v>
      </c>
      <c r="H23" s="51">
        <v>22.34</v>
      </c>
      <c r="I23" s="51">
        <v>5.96</v>
      </c>
      <c r="J23" s="51">
        <v>0.54</v>
      </c>
      <c r="K23" s="51">
        <v>122.68</v>
      </c>
      <c r="L23" s="51">
        <v>30.5</v>
      </c>
      <c r="M23" s="51">
        <v>37.24</v>
      </c>
      <c r="N23" s="51">
        <v>443.1</v>
      </c>
      <c r="O23" s="51">
        <v>0</v>
      </c>
      <c r="P23" s="51">
        <v>0.55000000000000004</v>
      </c>
      <c r="Q23" s="51">
        <v>4.26</v>
      </c>
    </row>
    <row r="24" spans="1:17" customFormat="1">
      <c r="A24" s="50" t="s">
        <v>723</v>
      </c>
      <c r="B24" s="51">
        <v>4.71</v>
      </c>
      <c r="C24" s="51">
        <v>18.11</v>
      </c>
      <c r="D24" s="51">
        <v>14.58</v>
      </c>
      <c r="E24" s="51">
        <v>6.52</v>
      </c>
      <c r="F24" s="51">
        <v>6.04</v>
      </c>
      <c r="G24" s="51">
        <v>51.16</v>
      </c>
      <c r="H24" s="51">
        <v>21.97</v>
      </c>
      <c r="I24" s="51">
        <v>5.56</v>
      </c>
      <c r="J24" s="51">
        <v>0.35</v>
      </c>
      <c r="K24" s="51">
        <v>151.04</v>
      </c>
      <c r="L24" s="51">
        <v>28.9</v>
      </c>
      <c r="M24" s="51">
        <v>41.16</v>
      </c>
      <c r="N24" s="51">
        <v>69.400000000000006</v>
      </c>
      <c r="O24" s="51">
        <v>0</v>
      </c>
      <c r="P24" s="51">
        <v>0.54</v>
      </c>
      <c r="Q24" s="51">
        <v>4.28</v>
      </c>
    </row>
    <row r="25" spans="1:17" customFormat="1">
      <c r="A25" s="50" t="s">
        <v>724</v>
      </c>
      <c r="B25" s="51">
        <v>4.9000000000000004</v>
      </c>
      <c r="C25" s="51">
        <v>18.12</v>
      </c>
      <c r="D25" s="51">
        <v>14.61</v>
      </c>
      <c r="E25" s="51">
        <v>5.98</v>
      </c>
      <c r="F25" s="51">
        <v>5.79</v>
      </c>
      <c r="G25" s="51">
        <v>53.47</v>
      </c>
      <c r="H25" s="51">
        <v>24.98</v>
      </c>
      <c r="I25" s="51">
        <v>5.28</v>
      </c>
      <c r="J25" s="51">
        <v>0.17</v>
      </c>
      <c r="K25" s="51">
        <v>123.13</v>
      </c>
      <c r="L25" s="51">
        <v>28.05</v>
      </c>
      <c r="M25" s="51">
        <v>48.2</v>
      </c>
      <c r="N25" s="51">
        <v>32</v>
      </c>
      <c r="O25" s="51">
        <v>0</v>
      </c>
      <c r="P25" s="51">
        <v>0.51</v>
      </c>
      <c r="Q25" s="51">
        <v>4.28</v>
      </c>
    </row>
    <row r="26" spans="1:17" customFormat="1">
      <c r="A26" s="50" t="s">
        <v>725</v>
      </c>
      <c r="B26" s="51">
        <v>5.79</v>
      </c>
      <c r="C26" s="51">
        <v>20.37</v>
      </c>
      <c r="D26" s="51">
        <v>16.34</v>
      </c>
      <c r="E26" s="51">
        <v>5.68</v>
      </c>
      <c r="F26" s="51">
        <v>3.92</v>
      </c>
      <c r="G26" s="51">
        <v>61.9</v>
      </c>
      <c r="H26" s="51">
        <v>24.98</v>
      </c>
      <c r="I26" s="51">
        <v>5.17</v>
      </c>
      <c r="J26" s="51">
        <v>0.26</v>
      </c>
      <c r="K26" s="51">
        <v>174.41</v>
      </c>
      <c r="L26" s="51">
        <v>26.31</v>
      </c>
      <c r="M26" s="51">
        <v>68.48</v>
      </c>
      <c r="N26" s="51">
        <v>0</v>
      </c>
      <c r="O26" s="51">
        <v>0</v>
      </c>
      <c r="P26" s="51">
        <v>0.54</v>
      </c>
      <c r="Q26" s="51">
        <v>4.34</v>
      </c>
    </row>
    <row r="27" spans="1:17" customFormat="1">
      <c r="A27" s="50" t="s">
        <v>726</v>
      </c>
      <c r="B27" s="51">
        <v>5.88</v>
      </c>
      <c r="C27" s="51">
        <v>20.48</v>
      </c>
      <c r="D27" s="51">
        <v>16.77</v>
      </c>
      <c r="E27" s="51">
        <v>5.9</v>
      </c>
      <c r="F27" s="51">
        <v>3.31</v>
      </c>
      <c r="G27" s="51">
        <v>63.54</v>
      </c>
      <c r="H27" s="51">
        <v>24.61</v>
      </c>
      <c r="I27" s="51">
        <v>5.28</v>
      </c>
      <c r="J27" s="51">
        <v>0.19</v>
      </c>
      <c r="K27" s="51">
        <v>200.27</v>
      </c>
      <c r="L27" s="51">
        <v>23.79</v>
      </c>
      <c r="M27" s="51">
        <v>71.099999999999994</v>
      </c>
      <c r="N27" s="51">
        <v>0</v>
      </c>
      <c r="O27" s="51">
        <v>0</v>
      </c>
      <c r="P27" s="51">
        <v>0.62</v>
      </c>
      <c r="Q27" s="51">
        <v>4.3600000000000003</v>
      </c>
    </row>
    <row r="28" spans="1:17" customFormat="1">
      <c r="A28" s="50" t="s">
        <v>727</v>
      </c>
      <c r="B28" s="51">
        <v>6.71</v>
      </c>
      <c r="C28" s="51">
        <v>22.11</v>
      </c>
      <c r="D28" s="51">
        <v>18.29</v>
      </c>
      <c r="E28" s="51">
        <v>6.15</v>
      </c>
      <c r="F28" s="51">
        <v>2.97</v>
      </c>
      <c r="G28" s="51">
        <v>75.02</v>
      </c>
      <c r="H28" s="51">
        <v>27.67</v>
      </c>
      <c r="I28" s="51">
        <v>5.75</v>
      </c>
      <c r="J28" s="51">
        <v>0.2</v>
      </c>
      <c r="K28" s="51">
        <v>212.52</v>
      </c>
      <c r="L28" s="51">
        <v>22.53</v>
      </c>
      <c r="M28" s="51">
        <v>76.22</v>
      </c>
      <c r="N28" s="51">
        <v>0</v>
      </c>
      <c r="O28" s="51">
        <v>0</v>
      </c>
      <c r="P28" s="51">
        <v>0.67</v>
      </c>
      <c r="Q28" s="51">
        <v>4.4400000000000004</v>
      </c>
    </row>
    <row r="29" spans="1:17" customFormat="1">
      <c r="A29" s="50" t="s">
        <v>728</v>
      </c>
      <c r="B29" s="51">
        <v>7.3</v>
      </c>
      <c r="C29" s="51">
        <v>23.64</v>
      </c>
      <c r="D29" s="51">
        <v>19.559999999999999</v>
      </c>
      <c r="E29" s="51">
        <v>6.49</v>
      </c>
      <c r="F29" s="51">
        <v>2.84</v>
      </c>
      <c r="G29" s="51">
        <v>87.92</v>
      </c>
      <c r="H29" s="51">
        <v>31.94</v>
      </c>
      <c r="I29" s="51">
        <v>6.14</v>
      </c>
      <c r="J29" s="51">
        <v>0.17</v>
      </c>
      <c r="K29" s="51">
        <v>214.57</v>
      </c>
      <c r="L29" s="51">
        <v>22.03</v>
      </c>
      <c r="M29" s="51">
        <v>78.84</v>
      </c>
      <c r="N29" s="51">
        <v>0</v>
      </c>
      <c r="O29" s="51">
        <v>0</v>
      </c>
      <c r="P29" s="51">
        <v>0.7</v>
      </c>
      <c r="Q29" s="51">
        <v>4.53</v>
      </c>
    </row>
    <row r="30" spans="1:17" customFormat="1">
      <c r="A30" s="50" t="s">
        <v>729</v>
      </c>
      <c r="B30" s="51">
        <v>8.15</v>
      </c>
      <c r="C30" s="51">
        <v>24.13</v>
      </c>
      <c r="D30" s="51">
        <v>20.440000000000001</v>
      </c>
      <c r="E30" s="51">
        <v>6.77</v>
      </c>
      <c r="F30" s="51">
        <v>2.7</v>
      </c>
      <c r="G30" s="51">
        <v>116.06</v>
      </c>
      <c r="H30" s="51">
        <v>31.94</v>
      </c>
      <c r="I30" s="51">
        <v>6.39</v>
      </c>
      <c r="J30" s="51">
        <v>0.23</v>
      </c>
      <c r="K30" s="51">
        <v>247.72</v>
      </c>
      <c r="L30" s="51">
        <v>21.37</v>
      </c>
      <c r="M30" s="51">
        <v>83.07</v>
      </c>
      <c r="N30" s="51">
        <v>0</v>
      </c>
      <c r="O30" s="51">
        <v>0</v>
      </c>
      <c r="P30" s="51">
        <v>0.72</v>
      </c>
      <c r="Q30" s="51">
        <v>4.5599999999999996</v>
      </c>
    </row>
    <row r="31" spans="1:17" customFormat="1">
      <c r="A31" s="50" t="s">
        <v>730</v>
      </c>
      <c r="B31" s="51">
        <v>8.6</v>
      </c>
      <c r="C31" s="51">
        <v>24.36</v>
      </c>
      <c r="D31" s="51">
        <v>20.97</v>
      </c>
      <c r="E31" s="51">
        <v>7.04</v>
      </c>
      <c r="F31" s="51">
        <v>2.64</v>
      </c>
      <c r="G31" s="51">
        <v>116.06</v>
      </c>
      <c r="H31" s="51">
        <v>34.340000000000003</v>
      </c>
      <c r="I31" s="51">
        <v>6.59</v>
      </c>
      <c r="J31" s="51">
        <v>0.17</v>
      </c>
      <c r="K31" s="51">
        <v>232.19</v>
      </c>
      <c r="L31" s="51">
        <v>20.8</v>
      </c>
      <c r="M31" s="51">
        <v>85.01</v>
      </c>
      <c r="N31" s="51">
        <v>0</v>
      </c>
      <c r="O31" s="51">
        <v>0</v>
      </c>
      <c r="P31" s="51">
        <v>0.73</v>
      </c>
      <c r="Q31" s="51">
        <v>4.6100000000000003</v>
      </c>
    </row>
    <row r="32" spans="1:17" customFormat="1">
      <c r="A32" s="50" t="s">
        <v>731</v>
      </c>
      <c r="B32" s="51">
        <v>9</v>
      </c>
      <c r="C32" s="51">
        <v>24.12</v>
      </c>
      <c r="D32" s="51">
        <v>20.9</v>
      </c>
      <c r="E32" s="51">
        <v>6.89</v>
      </c>
      <c r="F32" s="51">
        <v>2.88</v>
      </c>
      <c r="G32" s="51">
        <v>112.66</v>
      </c>
      <c r="H32" s="51">
        <v>34.340000000000003</v>
      </c>
      <c r="I32" s="51">
        <v>7.08</v>
      </c>
      <c r="J32" s="51">
        <v>0.21</v>
      </c>
      <c r="K32" s="51">
        <v>251.94</v>
      </c>
      <c r="L32" s="51">
        <v>20.14</v>
      </c>
      <c r="M32" s="51">
        <v>87.75</v>
      </c>
      <c r="N32" s="51">
        <v>0</v>
      </c>
      <c r="O32" s="51">
        <v>0</v>
      </c>
      <c r="P32" s="51">
        <v>0.72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4.08</v>
      </c>
      <c r="C34" s="41">
        <f t="shared" si="0"/>
        <v>18.11</v>
      </c>
      <c r="D34" s="41">
        <f t="shared" si="0"/>
        <v>14.41</v>
      </c>
      <c r="E34" s="41">
        <f t="shared" si="0"/>
        <v>5.01</v>
      </c>
      <c r="F34" s="41">
        <f t="shared" si="0"/>
        <v>2.58</v>
      </c>
      <c r="G34" s="41">
        <f t="shared" si="0"/>
        <v>51.16</v>
      </c>
      <c r="H34" s="41">
        <f t="shared" si="0"/>
        <v>21.97</v>
      </c>
      <c r="I34" s="41">
        <f t="shared" si="0"/>
        <v>5.17</v>
      </c>
      <c r="J34" s="41">
        <f t="shared" si="0"/>
        <v>0.1</v>
      </c>
      <c r="K34" s="41">
        <f t="shared" si="0"/>
        <v>122.68</v>
      </c>
      <c r="L34" s="41">
        <f t="shared" si="0"/>
        <v>17.54</v>
      </c>
      <c r="M34" s="41">
        <f t="shared" si="0"/>
        <v>32.75</v>
      </c>
      <c r="N34" s="41">
        <f t="shared" si="0"/>
        <v>0</v>
      </c>
      <c r="O34" s="41">
        <f t="shared" si="0"/>
        <v>0</v>
      </c>
      <c r="P34" s="41">
        <f t="shared" si="0"/>
        <v>0.51</v>
      </c>
      <c r="Q34" s="41">
        <f t="shared" si="0"/>
        <v>4.26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16.239999999999998</v>
      </c>
      <c r="C35" s="33">
        <f t="shared" si="1"/>
        <v>27.44</v>
      </c>
      <c r="D35" s="33">
        <f t="shared" si="1"/>
        <v>27.52</v>
      </c>
      <c r="E35" s="33">
        <f t="shared" si="1"/>
        <v>7.04</v>
      </c>
      <c r="F35" s="33">
        <f t="shared" si="1"/>
        <v>6.78</v>
      </c>
      <c r="G35" s="33">
        <f t="shared" si="1"/>
        <v>116.06</v>
      </c>
      <c r="H35" s="33">
        <f t="shared" si="1"/>
        <v>41.52</v>
      </c>
      <c r="I35" s="33">
        <f t="shared" si="1"/>
        <v>9.41</v>
      </c>
      <c r="J35" s="33">
        <f t="shared" si="1"/>
        <v>0.54</v>
      </c>
      <c r="K35" s="33">
        <f t="shared" si="1"/>
        <v>353.13</v>
      </c>
      <c r="L35" s="33">
        <f t="shared" si="1"/>
        <v>31.46</v>
      </c>
      <c r="M35" s="33">
        <f t="shared" si="1"/>
        <v>95.39</v>
      </c>
      <c r="N35" s="33">
        <f t="shared" si="1"/>
        <v>602</v>
      </c>
      <c r="O35" s="33">
        <f t="shared" si="1"/>
        <v>0</v>
      </c>
      <c r="P35" s="33">
        <f t="shared" si="1"/>
        <v>0.86</v>
      </c>
      <c r="Q35" s="33">
        <f t="shared" si="1"/>
        <v>4.97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8.8150000000000013</v>
      </c>
      <c r="C36" s="41">
        <f t="shared" si="2"/>
        <v>22.758333333333336</v>
      </c>
      <c r="D36" s="41">
        <f t="shared" si="2"/>
        <v>20.209166666666665</v>
      </c>
      <c r="E36" s="41">
        <f t="shared" si="2"/>
        <v>6.013749999999999</v>
      </c>
      <c r="F36" s="41">
        <f t="shared" si="2"/>
        <v>3.8633333333333337</v>
      </c>
      <c r="G36" s="41">
        <f t="shared" si="2"/>
        <v>72.782499999999999</v>
      </c>
      <c r="H36" s="41">
        <f t="shared" si="2"/>
        <v>28.84833333333334</v>
      </c>
      <c r="I36" s="41">
        <f t="shared" si="2"/>
        <v>7.4483333333333315</v>
      </c>
      <c r="J36" s="41">
        <f t="shared" si="2"/>
        <v>0.24625000000000005</v>
      </c>
      <c r="K36" s="41">
        <f t="shared" si="2"/>
        <v>216.27124999999992</v>
      </c>
      <c r="L36" s="41">
        <f t="shared" si="2"/>
        <v>23.867916666666662</v>
      </c>
      <c r="M36" s="41">
        <f t="shared" si="2"/>
        <v>70.229166666666671</v>
      </c>
      <c r="N36" s="41">
        <f t="shared" si="2"/>
        <v>166.60833333333332</v>
      </c>
      <c r="O36" s="41">
        <f t="shared" si="2"/>
        <v>0</v>
      </c>
      <c r="P36" s="41">
        <f t="shared" si="2"/>
        <v>0.70791666666666664</v>
      </c>
      <c r="Q36" s="41">
        <f t="shared" si="2"/>
        <v>4.5795833333333329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3.7873691683530502</v>
      </c>
      <c r="C37" s="41">
        <f t="shared" ref="C37:Q37" si="3">STDEV(C9:C32)</f>
        <v>2.5555781557496475</v>
      </c>
      <c r="D37" s="41">
        <f t="shared" si="3"/>
        <v>3.8475942982671878</v>
      </c>
      <c r="E37" s="41">
        <f t="shared" si="3"/>
        <v>0.56555330737098575</v>
      </c>
      <c r="F37" s="41">
        <f t="shared" si="3"/>
        <v>1.5664378494635154</v>
      </c>
      <c r="G37" s="41">
        <f t="shared" si="3"/>
        <v>20.609888350645829</v>
      </c>
      <c r="H37" s="41">
        <f t="shared" si="3"/>
        <v>5.5590769226449828</v>
      </c>
      <c r="I37" s="41">
        <f t="shared" si="3"/>
        <v>1.5064749140515781</v>
      </c>
      <c r="J37" s="41">
        <f t="shared" si="3"/>
        <v>9.3055032805511112E-2</v>
      </c>
      <c r="K37" s="41">
        <f t="shared" si="3"/>
        <v>58.017201895307821</v>
      </c>
      <c r="L37" s="41">
        <f t="shared" si="3"/>
        <v>4.8841856418504426</v>
      </c>
      <c r="M37" s="41">
        <f t="shared" si="3"/>
        <v>22.481595548488031</v>
      </c>
      <c r="N37" s="41">
        <f t="shared" si="3"/>
        <v>240.40304005288013</v>
      </c>
      <c r="O37" s="41">
        <f t="shared" si="3"/>
        <v>0</v>
      </c>
      <c r="P37" s="41">
        <f t="shared" si="3"/>
        <v>0.10112322086000639</v>
      </c>
      <c r="Q37" s="41">
        <f t="shared" si="3"/>
        <v>0.22791072177816754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29/10/2023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 t="s">
        <v>732</v>
      </c>
      <c r="B9" s="51">
        <v>9.57</v>
      </c>
      <c r="C9" s="51">
        <v>21.36</v>
      </c>
      <c r="D9" s="51">
        <v>20.100000000000001</v>
      </c>
      <c r="E9" s="51">
        <v>6.65</v>
      </c>
      <c r="F9" s="51">
        <v>2.77</v>
      </c>
      <c r="G9" s="51">
        <v>96.1</v>
      </c>
      <c r="H9" s="51">
        <v>33.049999999999997</v>
      </c>
      <c r="I9" s="51">
        <v>7.5</v>
      </c>
      <c r="J9" s="51">
        <v>0.14000000000000001</v>
      </c>
      <c r="K9" s="51">
        <v>234.37</v>
      </c>
      <c r="L9" s="51">
        <v>19.66</v>
      </c>
      <c r="M9" s="51">
        <v>89.11</v>
      </c>
      <c r="N9" s="51">
        <v>0</v>
      </c>
      <c r="O9" s="51">
        <v>0</v>
      </c>
      <c r="P9" s="51">
        <v>0.7</v>
      </c>
      <c r="Q9" s="51">
        <v>4.6100000000000003</v>
      </c>
    </row>
    <row r="10" spans="1:21">
      <c r="A10" s="50" t="s">
        <v>733</v>
      </c>
      <c r="B10" s="51">
        <v>9.85</v>
      </c>
      <c r="C10" s="51">
        <v>21.36</v>
      </c>
      <c r="D10" s="51">
        <v>20.25</v>
      </c>
      <c r="E10" s="51">
        <v>6.58</v>
      </c>
      <c r="F10" s="51">
        <v>2.72</v>
      </c>
      <c r="G10" s="51">
        <v>94.58</v>
      </c>
      <c r="H10" s="51">
        <v>31.15</v>
      </c>
      <c r="I10" s="51">
        <v>8.35</v>
      </c>
      <c r="J10" s="51">
        <v>0.17</v>
      </c>
      <c r="K10" s="51">
        <v>243.84</v>
      </c>
      <c r="L10" s="51">
        <v>19.059999999999999</v>
      </c>
      <c r="M10" s="51">
        <v>90.3</v>
      </c>
      <c r="N10" s="51">
        <v>0</v>
      </c>
      <c r="O10" s="51">
        <v>0</v>
      </c>
      <c r="P10" s="51">
        <v>0.7</v>
      </c>
      <c r="Q10" s="51">
        <v>4.63</v>
      </c>
    </row>
    <row r="11" spans="1:21">
      <c r="A11" s="50" t="s">
        <v>734</v>
      </c>
      <c r="B11" s="51">
        <v>9.44</v>
      </c>
      <c r="C11" s="51">
        <v>21.3</v>
      </c>
      <c r="D11" s="51">
        <v>20.04</v>
      </c>
      <c r="E11" s="51">
        <v>5.43</v>
      </c>
      <c r="F11" s="51">
        <v>2.77</v>
      </c>
      <c r="G11" s="51">
        <v>82.6</v>
      </c>
      <c r="H11" s="51">
        <v>34.33</v>
      </c>
      <c r="I11" s="51">
        <v>8.48</v>
      </c>
      <c r="J11" s="51">
        <v>0.12</v>
      </c>
      <c r="K11" s="51">
        <v>230.11</v>
      </c>
      <c r="L11" s="51">
        <v>18.93</v>
      </c>
      <c r="M11" s="51">
        <v>89.56</v>
      </c>
      <c r="N11" s="51">
        <v>0</v>
      </c>
      <c r="O11" s="51">
        <v>0</v>
      </c>
      <c r="P11" s="51">
        <v>0.69</v>
      </c>
      <c r="Q11" s="51">
        <v>4.63</v>
      </c>
    </row>
    <row r="12" spans="1:21">
      <c r="A12" s="50" t="s">
        <v>735</v>
      </c>
      <c r="B12" s="51">
        <v>10.67</v>
      </c>
      <c r="C12" s="51">
        <v>21.78</v>
      </c>
      <c r="D12" s="51">
        <v>20.96</v>
      </c>
      <c r="E12" s="51">
        <v>5.36</v>
      </c>
      <c r="F12" s="51">
        <v>2.7</v>
      </c>
      <c r="G12" s="51">
        <v>76.58</v>
      </c>
      <c r="H12" s="51">
        <v>34.33</v>
      </c>
      <c r="I12" s="51">
        <v>8.1300000000000008</v>
      </c>
      <c r="J12" s="51">
        <v>0.13</v>
      </c>
      <c r="K12" s="51">
        <v>206.42</v>
      </c>
      <c r="L12" s="51">
        <v>18.52</v>
      </c>
      <c r="M12" s="51">
        <v>90.85</v>
      </c>
      <c r="N12" s="51">
        <v>0</v>
      </c>
      <c r="O12" s="51">
        <v>0</v>
      </c>
      <c r="P12" s="51">
        <v>0.68</v>
      </c>
      <c r="Q12" s="51">
        <v>4.68</v>
      </c>
    </row>
    <row r="13" spans="1:21">
      <c r="A13" s="50" t="s">
        <v>736</v>
      </c>
      <c r="B13" s="51">
        <v>14</v>
      </c>
      <c r="C13" s="51">
        <v>23.35</v>
      </c>
      <c r="D13" s="51">
        <v>24.78</v>
      </c>
      <c r="E13" s="51">
        <v>5.3</v>
      </c>
      <c r="F13" s="51">
        <v>2.95</v>
      </c>
      <c r="G13" s="51">
        <v>71.03</v>
      </c>
      <c r="H13" s="51">
        <v>32.1</v>
      </c>
      <c r="I13" s="51">
        <v>7.7</v>
      </c>
      <c r="J13" s="51">
        <v>0.14000000000000001</v>
      </c>
      <c r="K13" s="51">
        <v>186.7</v>
      </c>
      <c r="L13" s="51">
        <v>18.28</v>
      </c>
      <c r="M13" s="51">
        <v>91.67</v>
      </c>
      <c r="N13" s="51">
        <v>0</v>
      </c>
      <c r="O13" s="51">
        <v>0</v>
      </c>
      <c r="P13" s="51">
        <v>0.71</v>
      </c>
      <c r="Q13" s="51">
        <v>4.83</v>
      </c>
    </row>
    <row r="14" spans="1:21">
      <c r="A14" s="50" t="s">
        <v>737</v>
      </c>
      <c r="B14" s="51">
        <v>21.38</v>
      </c>
      <c r="C14" s="51">
        <v>25.41</v>
      </c>
      <c r="D14" s="51">
        <v>31.77</v>
      </c>
      <c r="E14" s="51">
        <v>5.95</v>
      </c>
      <c r="F14" s="51">
        <v>2.78</v>
      </c>
      <c r="G14" s="51">
        <v>72.22</v>
      </c>
      <c r="H14" s="51">
        <v>31.9</v>
      </c>
      <c r="I14" s="51">
        <v>7.75</v>
      </c>
      <c r="J14" s="51">
        <v>0.13</v>
      </c>
      <c r="K14" s="51">
        <v>203.05</v>
      </c>
      <c r="L14" s="51">
        <v>18.149999999999999</v>
      </c>
      <c r="M14" s="51">
        <v>93.89</v>
      </c>
      <c r="N14" s="51">
        <v>0</v>
      </c>
      <c r="O14" s="51">
        <v>0</v>
      </c>
      <c r="P14" s="51">
        <v>0.74</v>
      </c>
      <c r="Q14" s="51">
        <v>5.2</v>
      </c>
    </row>
    <row r="15" spans="1:21">
      <c r="A15" s="50" t="s">
        <v>738</v>
      </c>
      <c r="B15" s="51">
        <v>27.85</v>
      </c>
      <c r="C15" s="51">
        <v>27.83</v>
      </c>
      <c r="D15" s="51">
        <v>38.229999999999997</v>
      </c>
      <c r="E15" s="51">
        <v>6.14</v>
      </c>
      <c r="F15" s="51">
        <v>2.68</v>
      </c>
      <c r="G15" s="51">
        <v>95.88</v>
      </c>
      <c r="H15" s="51">
        <v>41.57</v>
      </c>
      <c r="I15" s="51">
        <v>8.74</v>
      </c>
      <c r="J15" s="51">
        <v>0.28000000000000003</v>
      </c>
      <c r="K15" s="51">
        <v>184.26</v>
      </c>
      <c r="L15" s="51">
        <v>19.260000000000002</v>
      </c>
      <c r="M15" s="51">
        <v>90.95</v>
      </c>
      <c r="N15" s="51">
        <v>30.9</v>
      </c>
      <c r="O15" s="51">
        <v>0</v>
      </c>
      <c r="P15" s="51">
        <v>0.82</v>
      </c>
      <c r="Q15" s="51">
        <v>5.57</v>
      </c>
    </row>
    <row r="16" spans="1:21">
      <c r="A16" s="50" t="s">
        <v>739</v>
      </c>
      <c r="B16" s="51">
        <v>27.96</v>
      </c>
      <c r="C16" s="51">
        <v>29.78</v>
      </c>
      <c r="D16" s="51">
        <v>38.950000000000003</v>
      </c>
      <c r="E16" s="51">
        <v>6.74</v>
      </c>
      <c r="F16" s="51">
        <v>2.74</v>
      </c>
      <c r="G16" s="51">
        <v>102.84</v>
      </c>
      <c r="H16" s="51">
        <v>42.7</v>
      </c>
      <c r="I16" s="51">
        <v>9.11</v>
      </c>
      <c r="J16" s="51">
        <v>0.46</v>
      </c>
      <c r="K16" s="51">
        <v>77.23</v>
      </c>
      <c r="L16" s="51">
        <v>21.84</v>
      </c>
      <c r="M16" s="51">
        <v>82.67</v>
      </c>
      <c r="N16" s="51">
        <v>211.7</v>
      </c>
      <c r="O16" s="51">
        <v>0</v>
      </c>
      <c r="P16" s="51">
        <v>0.87</v>
      </c>
      <c r="Q16" s="51">
        <v>5.6</v>
      </c>
    </row>
    <row r="17" spans="1:17">
      <c r="A17" s="50" t="s">
        <v>740</v>
      </c>
      <c r="B17" s="51">
        <v>25.74</v>
      </c>
      <c r="C17" s="51">
        <v>31.06</v>
      </c>
      <c r="D17" s="51">
        <v>37.5</v>
      </c>
      <c r="E17" s="51">
        <v>6.67</v>
      </c>
      <c r="F17" s="51">
        <v>2.77</v>
      </c>
      <c r="G17" s="51">
        <v>107.31</v>
      </c>
      <c r="H17" s="51">
        <v>42.7</v>
      </c>
      <c r="I17" s="51">
        <v>9.09</v>
      </c>
      <c r="J17" s="51">
        <v>0.49</v>
      </c>
      <c r="K17" s="51">
        <v>42.27</v>
      </c>
      <c r="L17" s="51">
        <v>25.28</v>
      </c>
      <c r="M17" s="51">
        <v>70.260000000000005</v>
      </c>
      <c r="N17" s="51">
        <v>358.1</v>
      </c>
      <c r="O17" s="51">
        <v>0</v>
      </c>
      <c r="P17" s="51">
        <v>0.91</v>
      </c>
      <c r="Q17" s="51">
        <v>5.53</v>
      </c>
    </row>
    <row r="18" spans="1:17">
      <c r="A18" s="50" t="s">
        <v>741</v>
      </c>
      <c r="B18" s="51">
        <v>20.75</v>
      </c>
      <c r="C18" s="51">
        <v>31.26</v>
      </c>
      <c r="D18" s="51">
        <v>34.32</v>
      </c>
      <c r="E18" s="51">
        <v>6.68</v>
      </c>
      <c r="F18" s="51">
        <v>2.99</v>
      </c>
      <c r="G18" s="51">
        <v>107.31</v>
      </c>
      <c r="H18" s="51">
        <v>44.48</v>
      </c>
      <c r="I18" s="51">
        <v>9.2100000000000009</v>
      </c>
      <c r="J18" s="51">
        <v>0.28000000000000003</v>
      </c>
      <c r="K18" s="51">
        <v>100.49</v>
      </c>
      <c r="L18" s="51">
        <v>27.72</v>
      </c>
      <c r="M18" s="51">
        <v>56.06</v>
      </c>
      <c r="N18" s="51">
        <v>469</v>
      </c>
      <c r="O18" s="51">
        <v>0</v>
      </c>
      <c r="P18" s="51">
        <v>0.9</v>
      </c>
      <c r="Q18" s="51">
        <v>5.27</v>
      </c>
    </row>
    <row r="19" spans="1:17">
      <c r="A19" s="50" t="s">
        <v>742</v>
      </c>
      <c r="B19" s="51">
        <v>16.87</v>
      </c>
      <c r="C19" s="51">
        <v>27.14</v>
      </c>
      <c r="D19" s="51">
        <v>29.06</v>
      </c>
      <c r="E19" s="51">
        <v>6.71</v>
      </c>
      <c r="F19" s="51">
        <v>3.34</v>
      </c>
      <c r="G19" s="51">
        <v>107.2</v>
      </c>
      <c r="H19" s="51">
        <v>44.48</v>
      </c>
      <c r="I19" s="51">
        <v>9</v>
      </c>
      <c r="J19" s="51">
        <v>0.43</v>
      </c>
      <c r="K19" s="51">
        <v>192.43</v>
      </c>
      <c r="L19" s="51">
        <v>29.31</v>
      </c>
      <c r="M19" s="51">
        <v>49.69</v>
      </c>
      <c r="N19" s="51">
        <v>514.1</v>
      </c>
      <c r="O19" s="51">
        <v>0</v>
      </c>
      <c r="P19" s="51">
        <v>0.86</v>
      </c>
      <c r="Q19" s="51">
        <v>5.04</v>
      </c>
    </row>
    <row r="20" spans="1:17">
      <c r="A20" s="50" t="s">
        <v>743</v>
      </c>
      <c r="B20" s="51">
        <v>12.49</v>
      </c>
      <c r="C20" s="51">
        <v>26.29</v>
      </c>
      <c r="D20" s="51">
        <v>25.1</v>
      </c>
      <c r="E20" s="51">
        <v>7.14</v>
      </c>
      <c r="F20" s="51">
        <v>5.63</v>
      </c>
      <c r="G20" s="51">
        <v>107.2</v>
      </c>
      <c r="H20" s="51">
        <v>40.07</v>
      </c>
      <c r="I20" s="51">
        <v>8.81</v>
      </c>
      <c r="J20" s="51">
        <v>0.52</v>
      </c>
      <c r="K20" s="51">
        <v>87.1</v>
      </c>
      <c r="L20" s="51">
        <v>30.4</v>
      </c>
      <c r="M20" s="51">
        <v>39.32</v>
      </c>
      <c r="N20" s="51">
        <v>609.20000000000005</v>
      </c>
      <c r="O20" s="51">
        <v>0</v>
      </c>
      <c r="P20" s="51">
        <v>0.84</v>
      </c>
      <c r="Q20" s="51">
        <v>4.8099999999999996</v>
      </c>
    </row>
    <row r="21" spans="1:17">
      <c r="A21" s="50" t="s">
        <v>744</v>
      </c>
      <c r="B21" s="51">
        <v>8.25</v>
      </c>
      <c r="C21" s="51">
        <v>24.74</v>
      </c>
      <c r="D21" s="51">
        <v>20.9</v>
      </c>
      <c r="E21" s="51">
        <v>6.78</v>
      </c>
      <c r="F21" s="51">
        <v>5.0199999999999996</v>
      </c>
      <c r="G21" s="51">
        <v>90.74</v>
      </c>
      <c r="H21" s="51">
        <v>36.9</v>
      </c>
      <c r="I21" s="51">
        <v>8.26</v>
      </c>
      <c r="J21" s="51">
        <v>0.4</v>
      </c>
      <c r="K21" s="51">
        <v>122.89</v>
      </c>
      <c r="L21" s="51">
        <v>31.04</v>
      </c>
      <c r="M21" s="51">
        <v>33.36</v>
      </c>
      <c r="N21" s="51">
        <v>605.1</v>
      </c>
      <c r="O21" s="51">
        <v>0</v>
      </c>
      <c r="P21" s="51">
        <v>0.77</v>
      </c>
      <c r="Q21" s="51">
        <v>4.5199999999999996</v>
      </c>
    </row>
    <row r="22" spans="1:17">
      <c r="A22" s="50" t="s">
        <v>745</v>
      </c>
      <c r="B22" s="51">
        <v>6.18</v>
      </c>
      <c r="C22" s="51">
        <v>22.33</v>
      </c>
      <c r="D22" s="51">
        <v>17.97</v>
      </c>
      <c r="E22" s="51">
        <v>6.45</v>
      </c>
      <c r="F22" s="51">
        <v>5.74</v>
      </c>
      <c r="G22" s="51">
        <v>71.430000000000007</v>
      </c>
      <c r="H22" s="51">
        <v>32.57</v>
      </c>
      <c r="I22" s="51">
        <v>7.47</v>
      </c>
      <c r="J22" s="51">
        <v>0.38</v>
      </c>
      <c r="K22" s="51">
        <v>60.87</v>
      </c>
      <c r="L22" s="51">
        <v>31.04</v>
      </c>
      <c r="M22" s="51">
        <v>35.53</v>
      </c>
      <c r="N22" s="51">
        <v>549.1</v>
      </c>
      <c r="O22" s="51">
        <v>0</v>
      </c>
      <c r="P22" s="51">
        <v>0.71</v>
      </c>
      <c r="Q22" s="51">
        <v>4.3899999999999997</v>
      </c>
    </row>
    <row r="23" spans="1:17">
      <c r="A23" s="50" t="s">
        <v>746</v>
      </c>
      <c r="B23" s="51">
        <v>4.6900000000000004</v>
      </c>
      <c r="C23" s="51">
        <v>21.11</v>
      </c>
      <c r="D23" s="51">
        <v>16.14</v>
      </c>
      <c r="E23" s="51">
        <v>6.68</v>
      </c>
      <c r="F23" s="51">
        <v>7.53</v>
      </c>
      <c r="G23" s="51">
        <v>65.930000000000007</v>
      </c>
      <c r="H23" s="51">
        <v>27.54</v>
      </c>
      <c r="I23" s="51">
        <v>6.89</v>
      </c>
      <c r="J23" s="51">
        <v>0.37</v>
      </c>
      <c r="K23" s="51">
        <v>180.51</v>
      </c>
      <c r="L23" s="51">
        <v>30.47</v>
      </c>
      <c r="M23" s="51">
        <v>37.93</v>
      </c>
      <c r="N23" s="51">
        <v>438.9</v>
      </c>
      <c r="O23" s="51">
        <v>0</v>
      </c>
      <c r="P23" s="51">
        <v>0.66</v>
      </c>
      <c r="Q23" s="51">
        <v>4.32</v>
      </c>
    </row>
    <row r="24" spans="1:17">
      <c r="A24" s="50" t="s">
        <v>747</v>
      </c>
      <c r="B24" s="51">
        <v>4.21</v>
      </c>
      <c r="C24" s="51">
        <v>19.579999999999998</v>
      </c>
      <c r="D24" s="51">
        <v>14.95</v>
      </c>
      <c r="E24" s="51">
        <v>6.9</v>
      </c>
      <c r="F24" s="51">
        <v>8.49</v>
      </c>
      <c r="G24" s="51">
        <v>60.3</v>
      </c>
      <c r="H24" s="51">
        <v>27.54</v>
      </c>
      <c r="I24" s="51">
        <v>6.08</v>
      </c>
      <c r="J24" s="51">
        <v>0.28000000000000003</v>
      </c>
      <c r="K24" s="51">
        <v>162.97999999999999</v>
      </c>
      <c r="L24" s="51">
        <v>29.13</v>
      </c>
      <c r="M24" s="51">
        <v>41.91</v>
      </c>
      <c r="N24" s="51">
        <v>67.3</v>
      </c>
      <c r="O24" s="51">
        <v>0</v>
      </c>
      <c r="P24" s="51">
        <v>0.61</v>
      </c>
      <c r="Q24" s="51">
        <v>4.28</v>
      </c>
    </row>
    <row r="25" spans="1:17">
      <c r="A25" s="50" t="s">
        <v>748</v>
      </c>
      <c r="B25" s="51">
        <v>4.28</v>
      </c>
      <c r="C25" s="51">
        <v>19.57</v>
      </c>
      <c r="D25" s="51">
        <v>14.88</v>
      </c>
      <c r="E25" s="51">
        <v>7.11</v>
      </c>
      <c r="F25" s="51">
        <v>6.66</v>
      </c>
      <c r="G25" s="51">
        <v>54.95</v>
      </c>
      <c r="H25" s="51">
        <v>27.37</v>
      </c>
      <c r="I25" s="51">
        <v>5.47</v>
      </c>
      <c r="J25" s="51">
        <v>0.28000000000000003</v>
      </c>
      <c r="K25" s="51">
        <v>170.01</v>
      </c>
      <c r="L25" s="51">
        <v>28.22</v>
      </c>
      <c r="M25" s="51">
        <v>47.11</v>
      </c>
      <c r="N25" s="51">
        <v>32.6</v>
      </c>
      <c r="O25" s="51">
        <v>0</v>
      </c>
      <c r="P25" s="51">
        <v>0.57999999999999996</v>
      </c>
      <c r="Q25" s="51">
        <v>4.2699999999999996</v>
      </c>
    </row>
    <row r="26" spans="1:17">
      <c r="A26" s="50" t="s">
        <v>749</v>
      </c>
      <c r="B26" s="51">
        <v>4.76</v>
      </c>
      <c r="C26" s="51">
        <v>20.29</v>
      </c>
      <c r="D26" s="51">
        <v>15.77</v>
      </c>
      <c r="E26" s="51">
        <v>6.57</v>
      </c>
      <c r="F26" s="51">
        <v>4.59</v>
      </c>
      <c r="G26" s="51">
        <v>60.12</v>
      </c>
      <c r="H26" s="51">
        <v>31.71</v>
      </c>
      <c r="I26" s="51">
        <v>5.0599999999999996</v>
      </c>
      <c r="J26" s="51">
        <v>0.27</v>
      </c>
      <c r="K26" s="51">
        <v>187.16</v>
      </c>
      <c r="L26" s="51">
        <v>26.28</v>
      </c>
      <c r="M26" s="51">
        <v>62.35</v>
      </c>
      <c r="N26" s="51">
        <v>0</v>
      </c>
      <c r="O26" s="51">
        <v>0</v>
      </c>
      <c r="P26" s="51">
        <v>0.59</v>
      </c>
      <c r="Q26" s="51">
        <v>4.3</v>
      </c>
    </row>
    <row r="27" spans="1:17">
      <c r="A27" s="50" t="s">
        <v>750</v>
      </c>
      <c r="B27" s="51">
        <v>8.23</v>
      </c>
      <c r="C27" s="51">
        <v>26.38</v>
      </c>
      <c r="D27" s="51">
        <v>21.74</v>
      </c>
      <c r="E27" s="51">
        <v>7.86</v>
      </c>
      <c r="F27" s="51">
        <v>2.98</v>
      </c>
      <c r="G27" s="51">
        <v>85.96</v>
      </c>
      <c r="H27" s="51">
        <v>35.53</v>
      </c>
      <c r="I27" s="51">
        <v>5.51</v>
      </c>
      <c r="J27" s="51">
        <v>0.17</v>
      </c>
      <c r="K27" s="51">
        <v>197.5</v>
      </c>
      <c r="L27" s="51">
        <v>24.3</v>
      </c>
      <c r="M27" s="51">
        <v>78.92</v>
      </c>
      <c r="N27" s="51">
        <v>0</v>
      </c>
      <c r="O27" s="51">
        <v>0</v>
      </c>
      <c r="P27" s="51">
        <v>0.76</v>
      </c>
      <c r="Q27" s="51">
        <v>4.54</v>
      </c>
    </row>
    <row r="28" spans="1:17">
      <c r="A28" s="50" t="s">
        <v>751</v>
      </c>
      <c r="B28" s="51">
        <v>10.72</v>
      </c>
      <c r="C28" s="51">
        <v>25.42</v>
      </c>
      <c r="D28" s="51">
        <v>22.67</v>
      </c>
      <c r="E28" s="51">
        <v>7.29</v>
      </c>
      <c r="F28" s="51">
        <v>2.94</v>
      </c>
      <c r="G28" s="51">
        <v>99.94</v>
      </c>
      <c r="H28" s="51">
        <v>35.53</v>
      </c>
      <c r="I28" s="51">
        <v>6.27</v>
      </c>
      <c r="J28" s="51">
        <v>0.16</v>
      </c>
      <c r="K28" s="51">
        <v>168.23</v>
      </c>
      <c r="L28" s="51">
        <v>22.59</v>
      </c>
      <c r="M28" s="51">
        <v>77.38</v>
      </c>
      <c r="N28" s="51">
        <v>0</v>
      </c>
      <c r="O28" s="51">
        <v>0</v>
      </c>
      <c r="P28" s="51">
        <v>0.8</v>
      </c>
      <c r="Q28" s="51">
        <v>4.6399999999999997</v>
      </c>
    </row>
    <row r="29" spans="1:17">
      <c r="A29" s="50" t="s">
        <v>752</v>
      </c>
      <c r="B29" s="51">
        <v>17.489999999999998</v>
      </c>
      <c r="C29" s="51">
        <v>26.34</v>
      </c>
      <c r="D29" s="51">
        <v>29.14</v>
      </c>
      <c r="E29" s="51">
        <v>6.88</v>
      </c>
      <c r="F29" s="51">
        <v>2.63</v>
      </c>
      <c r="G29" s="51">
        <v>114.73</v>
      </c>
      <c r="H29" s="51">
        <v>39.799999999999997</v>
      </c>
      <c r="I29" s="51">
        <v>7.08</v>
      </c>
      <c r="J29" s="51">
        <v>0.14000000000000001</v>
      </c>
      <c r="K29" s="51">
        <v>204.77</v>
      </c>
      <c r="L29" s="51">
        <v>22.03</v>
      </c>
      <c r="M29" s="51">
        <v>87.53</v>
      </c>
      <c r="N29" s="51">
        <v>0</v>
      </c>
      <c r="O29" s="51">
        <v>0</v>
      </c>
      <c r="P29" s="51">
        <v>0.94</v>
      </c>
      <c r="Q29" s="51">
        <v>4.97</v>
      </c>
    </row>
    <row r="30" spans="1:17">
      <c r="A30" s="50" t="s">
        <v>753</v>
      </c>
      <c r="B30" s="51">
        <v>18.77</v>
      </c>
      <c r="C30" s="51">
        <v>27.29</v>
      </c>
      <c r="D30" s="51">
        <v>30.46</v>
      </c>
      <c r="E30" s="51">
        <v>7.19</v>
      </c>
      <c r="F30" s="51">
        <v>2.64</v>
      </c>
      <c r="G30" s="51">
        <v>114.73</v>
      </c>
      <c r="H30" s="51">
        <v>39.799999999999997</v>
      </c>
      <c r="I30" s="51">
        <v>7.87</v>
      </c>
      <c r="J30" s="51">
        <v>0.14000000000000001</v>
      </c>
      <c r="K30" s="51">
        <v>215.33</v>
      </c>
      <c r="L30" s="51">
        <v>21.16</v>
      </c>
      <c r="M30" s="51">
        <v>86.89</v>
      </c>
      <c r="N30" s="51">
        <v>0</v>
      </c>
      <c r="O30" s="51">
        <v>0</v>
      </c>
      <c r="P30" s="51">
        <v>1.01</v>
      </c>
      <c r="Q30" s="51">
        <v>5.05</v>
      </c>
    </row>
    <row r="31" spans="1:17">
      <c r="A31" s="50" t="s">
        <v>754</v>
      </c>
      <c r="B31" s="51">
        <v>18.62</v>
      </c>
      <c r="C31" s="51">
        <v>26.42</v>
      </c>
      <c r="D31" s="51">
        <v>29.92</v>
      </c>
      <c r="E31" s="51">
        <v>7</v>
      </c>
      <c r="F31" s="51">
        <v>2.75</v>
      </c>
      <c r="G31" s="51">
        <v>111.49</v>
      </c>
      <c r="H31" s="51">
        <v>39.520000000000003</v>
      </c>
      <c r="I31" s="51">
        <v>8.32</v>
      </c>
      <c r="J31" s="51">
        <v>0.17</v>
      </c>
      <c r="K31" s="51">
        <v>235.13</v>
      </c>
      <c r="L31" s="51">
        <v>20.54</v>
      </c>
      <c r="M31" s="51">
        <v>90.75</v>
      </c>
      <c r="N31" s="51">
        <v>0</v>
      </c>
      <c r="O31" s="51">
        <v>0</v>
      </c>
      <c r="P31" s="51">
        <v>1.02</v>
      </c>
      <c r="Q31" s="51">
        <v>5.07</v>
      </c>
    </row>
    <row r="32" spans="1:17">
      <c r="A32" s="50" t="s">
        <v>755</v>
      </c>
      <c r="B32" s="51">
        <v>18.36</v>
      </c>
      <c r="C32" s="51">
        <v>25.91</v>
      </c>
      <c r="D32" s="51">
        <v>29.61</v>
      </c>
      <c r="E32" s="51">
        <v>6.91</v>
      </c>
      <c r="F32" s="51">
        <v>2.6</v>
      </c>
      <c r="G32" s="51">
        <v>100.31</v>
      </c>
      <c r="H32" s="51">
        <v>39.520000000000003</v>
      </c>
      <c r="I32" s="51">
        <v>8.44</v>
      </c>
      <c r="J32" s="51">
        <v>0.17</v>
      </c>
      <c r="K32" s="51">
        <v>227.93</v>
      </c>
      <c r="L32" s="51">
        <v>19.809999999999999</v>
      </c>
      <c r="M32" s="51">
        <v>92.14</v>
      </c>
      <c r="N32" s="51">
        <v>0</v>
      </c>
      <c r="O32" s="51">
        <v>0</v>
      </c>
      <c r="P32" s="51">
        <v>1.05</v>
      </c>
      <c r="Q32" s="51">
        <v>5.0599999999999996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4.21</v>
      </c>
      <c r="C34" s="41">
        <f t="shared" si="0"/>
        <v>19.57</v>
      </c>
      <c r="D34" s="41">
        <f t="shared" si="0"/>
        <v>14.88</v>
      </c>
      <c r="E34" s="41">
        <f t="shared" si="0"/>
        <v>5.3</v>
      </c>
      <c r="F34" s="41">
        <f t="shared" si="0"/>
        <v>2.6</v>
      </c>
      <c r="G34" s="41">
        <f t="shared" si="0"/>
        <v>54.95</v>
      </c>
      <c r="H34" s="41">
        <f t="shared" si="0"/>
        <v>27.37</v>
      </c>
      <c r="I34" s="41">
        <f t="shared" si="0"/>
        <v>5.0599999999999996</v>
      </c>
      <c r="J34" s="41">
        <f t="shared" si="0"/>
        <v>0.12</v>
      </c>
      <c r="K34" s="41">
        <f t="shared" si="0"/>
        <v>42.27</v>
      </c>
      <c r="L34" s="41">
        <f t="shared" si="0"/>
        <v>18.149999999999999</v>
      </c>
      <c r="M34" s="41">
        <f t="shared" si="0"/>
        <v>33.36</v>
      </c>
      <c r="N34" s="41">
        <f t="shared" si="0"/>
        <v>0</v>
      </c>
      <c r="O34" s="41">
        <f t="shared" si="0"/>
        <v>0</v>
      </c>
      <c r="P34" s="41">
        <f t="shared" si="0"/>
        <v>0.57999999999999996</v>
      </c>
      <c r="Q34" s="41">
        <f t="shared" si="0"/>
        <v>4.2699999999999996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27.96</v>
      </c>
      <c r="C35" s="33">
        <f t="shared" si="1"/>
        <v>31.26</v>
      </c>
      <c r="D35" s="33">
        <f t="shared" si="1"/>
        <v>38.950000000000003</v>
      </c>
      <c r="E35" s="33">
        <f t="shared" si="1"/>
        <v>7.86</v>
      </c>
      <c r="F35" s="33">
        <f t="shared" si="1"/>
        <v>8.49</v>
      </c>
      <c r="G35" s="33">
        <f t="shared" si="1"/>
        <v>114.73</v>
      </c>
      <c r="H35" s="33">
        <f t="shared" si="1"/>
        <v>44.48</v>
      </c>
      <c r="I35" s="33">
        <f t="shared" si="1"/>
        <v>9.2100000000000009</v>
      </c>
      <c r="J35" s="33">
        <f t="shared" si="1"/>
        <v>0.52</v>
      </c>
      <c r="K35" s="33">
        <f t="shared" si="1"/>
        <v>243.84</v>
      </c>
      <c r="L35" s="33">
        <f t="shared" si="1"/>
        <v>31.04</v>
      </c>
      <c r="M35" s="33">
        <f t="shared" si="1"/>
        <v>93.89</v>
      </c>
      <c r="N35" s="33">
        <f t="shared" si="1"/>
        <v>609.20000000000005</v>
      </c>
      <c r="O35" s="33">
        <f t="shared" si="1"/>
        <v>0</v>
      </c>
      <c r="P35" s="33">
        <f t="shared" si="1"/>
        <v>1.05</v>
      </c>
      <c r="Q35" s="33">
        <f t="shared" si="1"/>
        <v>5.6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13.797083333333335</v>
      </c>
      <c r="C36" s="41">
        <f t="shared" si="2"/>
        <v>24.720833333333331</v>
      </c>
      <c r="D36" s="41">
        <f t="shared" si="2"/>
        <v>25.217083333333331</v>
      </c>
      <c r="E36" s="41">
        <f t="shared" si="2"/>
        <v>6.6237500000000011</v>
      </c>
      <c r="F36" s="41">
        <f t="shared" si="2"/>
        <v>3.8087499999999999</v>
      </c>
      <c r="G36" s="41">
        <f t="shared" si="2"/>
        <v>89.644999999999996</v>
      </c>
      <c r="H36" s="41">
        <f t="shared" si="2"/>
        <v>36.091249999999995</v>
      </c>
      <c r="I36" s="41">
        <f t="shared" si="2"/>
        <v>7.691250000000001</v>
      </c>
      <c r="J36" s="41">
        <f t="shared" si="2"/>
        <v>0.25916666666666671</v>
      </c>
      <c r="K36" s="41">
        <f t="shared" si="2"/>
        <v>171.73249999999999</v>
      </c>
      <c r="L36" s="41">
        <f t="shared" si="2"/>
        <v>23.875833333333329</v>
      </c>
      <c r="M36" s="41">
        <f t="shared" si="2"/>
        <v>71.088750000000019</v>
      </c>
      <c r="N36" s="41">
        <f t="shared" si="2"/>
        <v>161.91666666666666</v>
      </c>
      <c r="O36" s="41">
        <f t="shared" si="2"/>
        <v>0</v>
      </c>
      <c r="P36" s="41">
        <f t="shared" si="2"/>
        <v>0.78833333333333322</v>
      </c>
      <c r="Q36" s="41">
        <f t="shared" si="2"/>
        <v>4.8254166666666682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7.4563853459659741</v>
      </c>
      <c r="C37" s="41">
        <f t="shared" ref="C37:Q37" si="3">STDEV(C9:C32)</f>
        <v>3.4886710023043039</v>
      </c>
      <c r="D37" s="41">
        <f t="shared" si="3"/>
        <v>7.5276126356736546</v>
      </c>
      <c r="E37" s="41">
        <f t="shared" si="3"/>
        <v>0.61549423407038606</v>
      </c>
      <c r="F37" s="41">
        <f t="shared" si="3"/>
        <v>1.7513778737102226</v>
      </c>
      <c r="G37" s="41">
        <f t="shared" si="3"/>
        <v>18.871362246628554</v>
      </c>
      <c r="H37" s="41">
        <f t="shared" si="3"/>
        <v>5.3304509251298722</v>
      </c>
      <c r="I37" s="41">
        <f t="shared" si="3"/>
        <v>1.2377444861696867</v>
      </c>
      <c r="J37" s="41">
        <f t="shared" si="3"/>
        <v>0.13031455811984707</v>
      </c>
      <c r="K37" s="41">
        <f t="shared" si="3"/>
        <v>58.744182413165873</v>
      </c>
      <c r="L37" s="41">
        <f t="shared" si="3"/>
        <v>4.7143240713039383</v>
      </c>
      <c r="M37" s="41">
        <f t="shared" si="3"/>
        <v>22.196822395480815</v>
      </c>
      <c r="N37" s="41">
        <f t="shared" si="3"/>
        <v>234.61955081192278</v>
      </c>
      <c r="O37" s="41">
        <f t="shared" si="3"/>
        <v>0</v>
      </c>
      <c r="P37" s="41">
        <f t="shared" si="3"/>
        <v>0.13528284915451191</v>
      </c>
      <c r="Q37" s="41">
        <f t="shared" si="3"/>
        <v>0.41185665685659745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756</v>
      </c>
      <c r="B9" s="51">
        <v>17.489999999999998</v>
      </c>
      <c r="C9" s="51">
        <v>25.64</v>
      </c>
      <c r="D9" s="51">
        <v>28.77</v>
      </c>
      <c r="E9" s="51">
        <v>7.34</v>
      </c>
      <c r="F9" s="51">
        <v>2.67</v>
      </c>
      <c r="G9" s="51">
        <v>97.77</v>
      </c>
      <c r="H9" s="51">
        <v>39.81</v>
      </c>
      <c r="I9" s="51">
        <v>8.4499999999999993</v>
      </c>
      <c r="J9" s="51">
        <v>0.14000000000000001</v>
      </c>
      <c r="K9" s="51">
        <v>202.47</v>
      </c>
      <c r="L9" s="51">
        <v>19.690000000000001</v>
      </c>
      <c r="M9" s="51">
        <v>90.92</v>
      </c>
      <c r="N9" s="51">
        <v>0</v>
      </c>
      <c r="O9" s="51">
        <v>0</v>
      </c>
      <c r="P9" s="51">
        <v>1.04</v>
      </c>
      <c r="Q9" s="51">
        <v>5.03</v>
      </c>
    </row>
    <row r="10" spans="1:21" customFormat="1">
      <c r="A10" s="50" t="s">
        <v>757</v>
      </c>
      <c r="B10" s="51">
        <v>20.03</v>
      </c>
      <c r="C10" s="51">
        <v>26.68</v>
      </c>
      <c r="D10" s="51">
        <v>31.35</v>
      </c>
      <c r="E10" s="51">
        <v>7.49</v>
      </c>
      <c r="F10" s="51">
        <v>2.78</v>
      </c>
      <c r="G10" s="51">
        <v>87.27</v>
      </c>
      <c r="H10" s="51">
        <v>39.81</v>
      </c>
      <c r="I10" s="51">
        <v>8.34</v>
      </c>
      <c r="J10" s="51">
        <v>0.12</v>
      </c>
      <c r="K10" s="51">
        <v>266.85000000000002</v>
      </c>
      <c r="L10" s="51">
        <v>19.38</v>
      </c>
      <c r="M10" s="51">
        <v>90.3</v>
      </c>
      <c r="N10" s="51">
        <v>0</v>
      </c>
      <c r="O10" s="51">
        <v>0</v>
      </c>
      <c r="P10" s="51">
        <v>1.01</v>
      </c>
      <c r="Q10" s="51">
        <v>5.13</v>
      </c>
    </row>
    <row r="11" spans="1:21" customFormat="1">
      <c r="A11" s="50" t="s">
        <v>758</v>
      </c>
      <c r="B11" s="51">
        <v>23.51</v>
      </c>
      <c r="C11" s="51">
        <v>29.03</v>
      </c>
      <c r="D11" s="51">
        <v>35.369999999999997</v>
      </c>
      <c r="E11" s="51">
        <v>5.1100000000000003</v>
      </c>
      <c r="F11" s="51">
        <v>2.64</v>
      </c>
      <c r="G11" s="51">
        <v>81.37</v>
      </c>
      <c r="H11" s="51">
        <v>36.630000000000003</v>
      </c>
      <c r="I11" s="51">
        <v>8.1199999999999992</v>
      </c>
      <c r="J11" s="51">
        <v>0.11</v>
      </c>
      <c r="K11" s="51">
        <v>252.46</v>
      </c>
      <c r="L11" s="51">
        <v>19.21</v>
      </c>
      <c r="M11" s="51">
        <v>88.15</v>
      </c>
      <c r="N11" s="51">
        <v>0</v>
      </c>
      <c r="O11" s="51">
        <v>0</v>
      </c>
      <c r="P11" s="51">
        <v>1</v>
      </c>
      <c r="Q11" s="51">
        <v>5.34</v>
      </c>
    </row>
    <row r="12" spans="1:21" customFormat="1">
      <c r="A12" s="50" t="s">
        <v>759</v>
      </c>
      <c r="B12" s="51">
        <v>25.32</v>
      </c>
      <c r="C12" s="51">
        <v>29.26</v>
      </c>
      <c r="D12" s="51">
        <v>36.89</v>
      </c>
      <c r="E12" s="51">
        <v>5.68</v>
      </c>
      <c r="F12" s="51">
        <v>2.5</v>
      </c>
      <c r="G12" s="51">
        <v>95.99</v>
      </c>
      <c r="H12" s="51">
        <v>42.99</v>
      </c>
      <c r="I12" s="51">
        <v>8.6199999999999992</v>
      </c>
      <c r="J12" s="51">
        <v>0.17</v>
      </c>
      <c r="K12" s="51">
        <v>234.08</v>
      </c>
      <c r="L12" s="51">
        <v>19.149999999999999</v>
      </c>
      <c r="M12" s="51">
        <v>95.17</v>
      </c>
      <c r="N12" s="51">
        <v>0</v>
      </c>
      <c r="O12" s="51">
        <v>0</v>
      </c>
      <c r="P12" s="51">
        <v>1.03</v>
      </c>
      <c r="Q12" s="51">
        <v>5.44</v>
      </c>
    </row>
    <row r="13" spans="1:21" customFormat="1">
      <c r="A13" s="50" t="s">
        <v>760</v>
      </c>
      <c r="B13" s="51">
        <v>24.47</v>
      </c>
      <c r="C13" s="51">
        <v>28.46</v>
      </c>
      <c r="D13" s="51">
        <v>35.85</v>
      </c>
      <c r="E13" s="51">
        <v>5.58</v>
      </c>
      <c r="F13" s="51">
        <v>2.64</v>
      </c>
      <c r="G13" s="51">
        <v>95.99</v>
      </c>
      <c r="H13" s="51">
        <v>42.99</v>
      </c>
      <c r="I13" s="51">
        <v>9.1300000000000008</v>
      </c>
      <c r="J13" s="51">
        <v>0.11</v>
      </c>
      <c r="K13" s="51">
        <v>221.4</v>
      </c>
      <c r="L13" s="51">
        <v>18.52</v>
      </c>
      <c r="M13" s="51">
        <v>97.91</v>
      </c>
      <c r="N13" s="51">
        <v>0</v>
      </c>
      <c r="O13" s="51">
        <v>0</v>
      </c>
      <c r="P13" s="51">
        <v>1.05</v>
      </c>
      <c r="Q13" s="51">
        <v>5.41</v>
      </c>
    </row>
    <row r="14" spans="1:21" customFormat="1">
      <c r="A14" s="50" t="s">
        <v>761</v>
      </c>
      <c r="B14" s="51">
        <v>31.4</v>
      </c>
      <c r="C14" s="51">
        <v>26.83</v>
      </c>
      <c r="D14" s="51">
        <v>40.549999999999997</v>
      </c>
      <c r="E14" s="51">
        <v>5.2</v>
      </c>
      <c r="F14" s="51">
        <v>2.78</v>
      </c>
      <c r="G14" s="51">
        <v>105.2</v>
      </c>
      <c r="H14" s="51">
        <v>45.33</v>
      </c>
      <c r="I14" s="51">
        <v>9.44</v>
      </c>
      <c r="J14" s="51">
        <v>0.09</v>
      </c>
      <c r="K14" s="51">
        <v>218.63</v>
      </c>
      <c r="L14" s="51">
        <v>18.36</v>
      </c>
      <c r="M14" s="51">
        <v>96.07</v>
      </c>
      <c r="N14" s="51">
        <v>0</v>
      </c>
      <c r="O14" s="51">
        <v>0</v>
      </c>
      <c r="P14" s="51">
        <v>1.04</v>
      </c>
      <c r="Q14" s="51">
        <v>5.57</v>
      </c>
    </row>
    <row r="15" spans="1:21" customFormat="1">
      <c r="A15" s="50" t="s">
        <v>762</v>
      </c>
      <c r="B15" s="51">
        <v>36.75</v>
      </c>
      <c r="C15" s="51">
        <v>27.57</v>
      </c>
      <c r="D15" s="51">
        <v>45.23</v>
      </c>
      <c r="E15" s="51">
        <v>5.26</v>
      </c>
      <c r="F15" s="51">
        <v>2.69</v>
      </c>
      <c r="G15" s="51">
        <v>108.25</v>
      </c>
      <c r="H15" s="51">
        <v>49.73</v>
      </c>
      <c r="I15" s="51">
        <v>9.92</v>
      </c>
      <c r="J15" s="51">
        <v>0.19</v>
      </c>
      <c r="K15" s="51">
        <v>262.33999999999997</v>
      </c>
      <c r="L15" s="51">
        <v>19.03</v>
      </c>
      <c r="M15" s="51">
        <v>97.35</v>
      </c>
      <c r="N15" s="51">
        <v>30.9</v>
      </c>
      <c r="O15" s="51">
        <v>0</v>
      </c>
      <c r="P15" s="51">
        <v>1.06</v>
      </c>
      <c r="Q15" s="51">
        <v>5.86</v>
      </c>
    </row>
    <row r="16" spans="1:21" customFormat="1">
      <c r="A16" s="50" t="s">
        <v>763</v>
      </c>
      <c r="B16" s="51">
        <v>35.549999999999997</v>
      </c>
      <c r="C16" s="51">
        <v>27.35</v>
      </c>
      <c r="D16" s="51">
        <v>44.15</v>
      </c>
      <c r="E16" s="51">
        <v>4.8600000000000003</v>
      </c>
      <c r="F16" s="51">
        <v>2.68</v>
      </c>
      <c r="G16" s="51">
        <v>108.25</v>
      </c>
      <c r="H16" s="51">
        <v>49.73</v>
      </c>
      <c r="I16" s="51">
        <v>9.99</v>
      </c>
      <c r="J16" s="51">
        <v>0.19</v>
      </c>
      <c r="K16" s="51">
        <v>249.05</v>
      </c>
      <c r="L16" s="51">
        <v>22.68</v>
      </c>
      <c r="M16" s="51">
        <v>92.33</v>
      </c>
      <c r="N16" s="51">
        <v>199.5</v>
      </c>
      <c r="O16" s="51">
        <v>0</v>
      </c>
      <c r="P16" s="51">
        <v>1.06</v>
      </c>
      <c r="Q16" s="51">
        <v>5.8</v>
      </c>
    </row>
    <row r="17" spans="1:17" customFormat="1">
      <c r="A17" s="50" t="s">
        <v>764</v>
      </c>
      <c r="B17" s="51">
        <v>32.83</v>
      </c>
      <c r="C17" s="51">
        <v>27.65</v>
      </c>
      <c r="D17" s="51">
        <v>41.96</v>
      </c>
      <c r="E17" s="51">
        <v>5.19</v>
      </c>
      <c r="F17" s="51">
        <v>2.79</v>
      </c>
      <c r="G17" s="51">
        <v>106.47</v>
      </c>
      <c r="H17" s="51">
        <v>48.03</v>
      </c>
      <c r="I17" s="51">
        <v>10.01</v>
      </c>
      <c r="J17" s="51">
        <v>0.27</v>
      </c>
      <c r="K17" s="51">
        <v>196.21</v>
      </c>
      <c r="L17" s="51">
        <v>26.56</v>
      </c>
      <c r="M17" s="51">
        <v>66.37</v>
      </c>
      <c r="N17" s="51">
        <v>332.9</v>
      </c>
      <c r="O17" s="51">
        <v>0</v>
      </c>
      <c r="P17" s="51">
        <v>1.07</v>
      </c>
      <c r="Q17" s="51">
        <v>5.69</v>
      </c>
    </row>
    <row r="18" spans="1:17" customFormat="1">
      <c r="A18" s="50" t="s">
        <v>765</v>
      </c>
      <c r="B18" s="51">
        <v>27.44</v>
      </c>
      <c r="C18" s="51">
        <v>28.09</v>
      </c>
      <c r="D18" s="51">
        <v>37.479999999999997</v>
      </c>
      <c r="E18" s="51">
        <v>5.4</v>
      </c>
      <c r="F18" s="51">
        <v>3.31</v>
      </c>
      <c r="G18" s="51">
        <v>107.58</v>
      </c>
      <c r="H18" s="51">
        <v>48.03</v>
      </c>
      <c r="I18" s="51">
        <v>10.130000000000001</v>
      </c>
      <c r="J18" s="51">
        <v>0.32</v>
      </c>
      <c r="K18" s="51">
        <v>201.57</v>
      </c>
      <c r="L18" s="51">
        <v>28.4</v>
      </c>
      <c r="M18" s="51">
        <v>59.33</v>
      </c>
      <c r="N18" s="51">
        <v>445.7</v>
      </c>
      <c r="O18" s="51">
        <v>0</v>
      </c>
      <c r="P18" s="51">
        <v>1.02</v>
      </c>
      <c r="Q18" s="51">
        <v>5.48</v>
      </c>
    </row>
    <row r="19" spans="1:17" customFormat="1">
      <c r="A19" s="50" t="s">
        <v>766</v>
      </c>
      <c r="B19" s="51">
        <v>18.02</v>
      </c>
      <c r="C19" s="51">
        <v>29.7</v>
      </c>
      <c r="D19" s="51">
        <v>30.81</v>
      </c>
      <c r="E19" s="51">
        <v>11.6</v>
      </c>
      <c r="F19" s="51">
        <v>11.79</v>
      </c>
      <c r="G19" s="51">
        <v>107.58</v>
      </c>
      <c r="H19" s="51">
        <v>46.84</v>
      </c>
      <c r="I19" s="51">
        <v>10.15</v>
      </c>
      <c r="J19" s="51">
        <v>0.46</v>
      </c>
      <c r="K19" s="51">
        <v>169.59</v>
      </c>
      <c r="L19" s="51">
        <v>29.94</v>
      </c>
      <c r="M19" s="51">
        <v>49.14</v>
      </c>
      <c r="N19" s="51">
        <v>504.1</v>
      </c>
      <c r="O19" s="51">
        <v>0</v>
      </c>
      <c r="P19" s="51">
        <v>0.99</v>
      </c>
      <c r="Q19" s="51">
        <v>5.05</v>
      </c>
    </row>
    <row r="20" spans="1:17" customFormat="1">
      <c r="A20" s="50" t="s">
        <v>767</v>
      </c>
      <c r="B20" s="51">
        <v>5.42</v>
      </c>
      <c r="C20" s="51">
        <v>26.51</v>
      </c>
      <c r="D20" s="51">
        <v>19.55</v>
      </c>
      <c r="E20" s="51">
        <v>15.15</v>
      </c>
      <c r="F20" s="51">
        <v>21.6</v>
      </c>
      <c r="G20" s="51">
        <v>97.15</v>
      </c>
      <c r="H20" s="51">
        <v>44.51</v>
      </c>
      <c r="I20" s="51">
        <v>9.16</v>
      </c>
      <c r="J20" s="51">
        <v>0.66</v>
      </c>
      <c r="K20" s="51">
        <v>125.84</v>
      </c>
      <c r="L20" s="51">
        <v>30.24</v>
      </c>
      <c r="M20" s="51">
        <v>44</v>
      </c>
      <c r="N20" s="51">
        <v>543.5</v>
      </c>
      <c r="O20" s="51">
        <v>0</v>
      </c>
      <c r="P20" s="51">
        <v>0.83</v>
      </c>
      <c r="Q20" s="51">
        <v>4.51</v>
      </c>
    </row>
    <row r="21" spans="1:17" customFormat="1">
      <c r="A21" s="50" t="s">
        <v>768</v>
      </c>
      <c r="B21" s="51">
        <v>2.77</v>
      </c>
      <c r="C21" s="51">
        <v>23.5</v>
      </c>
      <c r="D21" s="51">
        <v>15.78</v>
      </c>
      <c r="E21" s="51">
        <v>17.829999999999998</v>
      </c>
      <c r="F21" s="51">
        <v>19.68</v>
      </c>
      <c r="G21" s="51">
        <v>83.24</v>
      </c>
      <c r="H21" s="51">
        <v>35.71</v>
      </c>
      <c r="I21" s="51">
        <v>5.98</v>
      </c>
      <c r="J21" s="51">
        <v>0.56000000000000005</v>
      </c>
      <c r="K21" s="51">
        <v>72.08</v>
      </c>
      <c r="L21" s="51">
        <v>30.39</v>
      </c>
      <c r="M21" s="51">
        <v>41.45</v>
      </c>
      <c r="N21" s="51">
        <v>538.70000000000005</v>
      </c>
      <c r="O21" s="51">
        <v>0</v>
      </c>
      <c r="P21" s="51">
        <v>0.68</v>
      </c>
      <c r="Q21" s="51">
        <v>4.3099999999999996</v>
      </c>
    </row>
    <row r="22" spans="1:17" customFormat="1">
      <c r="A22" s="50" t="s">
        <v>769</v>
      </c>
      <c r="B22" s="51">
        <v>2.41</v>
      </c>
      <c r="C22" s="51">
        <v>23.84</v>
      </c>
      <c r="D22" s="51">
        <v>15.74</v>
      </c>
      <c r="E22" s="51">
        <v>12.67</v>
      </c>
      <c r="F22" s="51">
        <v>17.079999999999998</v>
      </c>
      <c r="G22" s="51">
        <v>67.099999999999994</v>
      </c>
      <c r="H22" s="51">
        <v>31.2</v>
      </c>
      <c r="I22" s="51">
        <v>4.05</v>
      </c>
      <c r="J22" s="51">
        <v>0.48</v>
      </c>
      <c r="K22" s="51">
        <v>116.23</v>
      </c>
      <c r="L22" s="51">
        <v>30.93</v>
      </c>
      <c r="M22" s="51">
        <v>40.75</v>
      </c>
      <c r="N22" s="51">
        <v>506.2</v>
      </c>
      <c r="O22" s="51">
        <v>0</v>
      </c>
      <c r="P22" s="51">
        <v>0.62</v>
      </c>
      <c r="Q22" s="51">
        <v>4.32</v>
      </c>
    </row>
    <row r="23" spans="1:17" customFormat="1">
      <c r="A23" s="50" t="s">
        <v>770</v>
      </c>
      <c r="B23" s="51">
        <v>3.78</v>
      </c>
      <c r="C23" s="51">
        <v>24.69</v>
      </c>
      <c r="D23" s="51">
        <v>17.28</v>
      </c>
      <c r="E23" s="51">
        <v>9.86</v>
      </c>
      <c r="F23" s="51">
        <v>8.7899999999999991</v>
      </c>
      <c r="G23" s="51">
        <v>72.209999999999994</v>
      </c>
      <c r="H23" s="51">
        <v>29.01</v>
      </c>
      <c r="I23" s="51">
        <v>3.63</v>
      </c>
      <c r="J23" s="51">
        <v>0.5</v>
      </c>
      <c r="K23" s="51">
        <v>142.33000000000001</v>
      </c>
      <c r="L23" s="51">
        <v>30.63</v>
      </c>
      <c r="M23" s="51">
        <v>42.8</v>
      </c>
      <c r="N23" s="51">
        <v>470.6</v>
      </c>
      <c r="O23" s="51">
        <v>0</v>
      </c>
      <c r="P23" s="51">
        <v>0.54</v>
      </c>
      <c r="Q23" s="51">
        <v>4.29</v>
      </c>
    </row>
    <row r="24" spans="1:17" customFormat="1">
      <c r="A24" s="50" t="s">
        <v>771</v>
      </c>
      <c r="B24" s="51">
        <v>3.57</v>
      </c>
      <c r="C24" s="51">
        <v>21.17</v>
      </c>
      <c r="D24" s="51">
        <v>15.13</v>
      </c>
      <c r="E24" s="51">
        <v>8.02</v>
      </c>
      <c r="F24" s="51">
        <v>8.49</v>
      </c>
      <c r="G24" s="51">
        <v>72.209999999999994</v>
      </c>
      <c r="H24" s="51">
        <v>29.98</v>
      </c>
      <c r="I24" s="51">
        <v>4.0999999999999996</v>
      </c>
      <c r="J24" s="51">
        <v>0.42</v>
      </c>
      <c r="K24" s="51">
        <v>160.15</v>
      </c>
      <c r="L24" s="51">
        <v>29.04</v>
      </c>
      <c r="M24" s="51">
        <v>44.68</v>
      </c>
      <c r="N24" s="51">
        <v>74.5</v>
      </c>
      <c r="O24" s="51">
        <v>0</v>
      </c>
      <c r="P24" s="51">
        <v>0.51</v>
      </c>
      <c r="Q24" s="51">
        <v>4.28</v>
      </c>
    </row>
    <row r="25" spans="1:17" customFormat="1">
      <c r="A25" s="50" t="s">
        <v>772</v>
      </c>
      <c r="B25" s="51">
        <v>4.5599999999999996</v>
      </c>
      <c r="C25" s="51">
        <v>21.04</v>
      </c>
      <c r="D25" s="51">
        <v>16.010000000000002</v>
      </c>
      <c r="E25" s="51">
        <v>8.23</v>
      </c>
      <c r="F25" s="51">
        <v>7.66</v>
      </c>
      <c r="G25" s="51">
        <v>71.900000000000006</v>
      </c>
      <c r="H25" s="51">
        <v>32.130000000000003</v>
      </c>
      <c r="I25" s="51">
        <v>4.12</v>
      </c>
      <c r="J25" s="51">
        <v>0.36</v>
      </c>
      <c r="K25" s="51">
        <v>67.36</v>
      </c>
      <c r="L25" s="51">
        <v>28.21</v>
      </c>
      <c r="M25" s="51">
        <v>49.55</v>
      </c>
      <c r="N25" s="51">
        <v>41.9</v>
      </c>
      <c r="O25" s="51">
        <v>0</v>
      </c>
      <c r="P25" s="51">
        <v>0.5</v>
      </c>
      <c r="Q25" s="51">
        <v>4.26</v>
      </c>
    </row>
    <row r="26" spans="1:17" customFormat="1">
      <c r="A26" s="50" t="s">
        <v>773</v>
      </c>
      <c r="B26" s="51">
        <v>5.32</v>
      </c>
      <c r="C26" s="51">
        <v>22.64</v>
      </c>
      <c r="D26" s="51">
        <v>17.16</v>
      </c>
      <c r="E26" s="51">
        <v>6.72</v>
      </c>
      <c r="F26" s="51">
        <v>5.27</v>
      </c>
      <c r="G26" s="51">
        <v>86.64</v>
      </c>
      <c r="H26" s="51">
        <v>32.130000000000003</v>
      </c>
      <c r="I26" s="51">
        <v>4.28</v>
      </c>
      <c r="J26" s="51">
        <v>0.2</v>
      </c>
      <c r="K26" s="51">
        <v>169.03</v>
      </c>
      <c r="L26" s="51">
        <v>26.87</v>
      </c>
      <c r="M26" s="51">
        <v>63.28</v>
      </c>
      <c r="N26" s="51">
        <v>0.3</v>
      </c>
      <c r="O26" s="51">
        <v>0</v>
      </c>
      <c r="P26" s="51">
        <v>0.54</v>
      </c>
      <c r="Q26" s="51">
        <v>4.3600000000000003</v>
      </c>
    </row>
    <row r="27" spans="1:17" customFormat="1">
      <c r="A27" s="50" t="s">
        <v>774</v>
      </c>
      <c r="B27" s="51">
        <v>6.84</v>
      </c>
      <c r="C27" s="51">
        <v>23.46</v>
      </c>
      <c r="D27" s="51">
        <v>18.84</v>
      </c>
      <c r="E27" s="51">
        <v>6.1</v>
      </c>
      <c r="F27" s="51">
        <v>2.82</v>
      </c>
      <c r="G27" s="51">
        <v>102.22</v>
      </c>
      <c r="H27" s="51">
        <v>35.83</v>
      </c>
      <c r="I27" s="51">
        <v>4.8</v>
      </c>
      <c r="J27" s="51">
        <v>0.26</v>
      </c>
      <c r="K27" s="51">
        <v>174.66</v>
      </c>
      <c r="L27" s="51">
        <v>24.75</v>
      </c>
      <c r="M27" s="51">
        <v>79.78</v>
      </c>
      <c r="N27" s="51">
        <v>0</v>
      </c>
      <c r="O27" s="51">
        <v>0</v>
      </c>
      <c r="P27" s="51">
        <v>0.62</v>
      </c>
      <c r="Q27" s="51">
        <v>4.42</v>
      </c>
    </row>
    <row r="28" spans="1:17" customFormat="1">
      <c r="A28" s="50" t="s">
        <v>775</v>
      </c>
      <c r="B28" s="51">
        <v>8.35</v>
      </c>
      <c r="C28" s="51">
        <v>24.39</v>
      </c>
      <c r="D28" s="51">
        <v>20.62</v>
      </c>
      <c r="E28" s="51">
        <v>7.08</v>
      </c>
      <c r="F28" s="51">
        <v>3.01</v>
      </c>
      <c r="G28" s="51">
        <v>102.22</v>
      </c>
      <c r="H28" s="51">
        <v>38.25</v>
      </c>
      <c r="I28" s="51">
        <v>5.59</v>
      </c>
      <c r="J28" s="51">
        <v>0.18</v>
      </c>
      <c r="K28" s="51">
        <v>181.85</v>
      </c>
      <c r="L28" s="51">
        <v>23.15</v>
      </c>
      <c r="M28" s="51">
        <v>83.9</v>
      </c>
      <c r="N28" s="51">
        <v>0</v>
      </c>
      <c r="O28" s="51">
        <v>0</v>
      </c>
      <c r="P28" s="51">
        <v>0.78</v>
      </c>
      <c r="Q28" s="51">
        <v>4.53</v>
      </c>
    </row>
    <row r="29" spans="1:17" customFormat="1">
      <c r="A29" s="50" t="s">
        <v>776</v>
      </c>
      <c r="B29" s="51">
        <v>11.6</v>
      </c>
      <c r="C29" s="51">
        <v>27.36</v>
      </c>
      <c r="D29" s="51">
        <v>24.94</v>
      </c>
      <c r="E29" s="51">
        <v>7.96</v>
      </c>
      <c r="F29" s="51">
        <v>2.94</v>
      </c>
      <c r="G29" s="51">
        <v>106.34</v>
      </c>
      <c r="H29" s="51">
        <v>42.46</v>
      </c>
      <c r="I29" s="51">
        <v>7.16</v>
      </c>
      <c r="J29" s="51">
        <v>0.19</v>
      </c>
      <c r="K29" s="51">
        <v>228.6</v>
      </c>
      <c r="L29" s="51">
        <v>22.85</v>
      </c>
      <c r="M29" s="51">
        <v>86.63</v>
      </c>
      <c r="N29" s="51">
        <v>0</v>
      </c>
      <c r="O29" s="51">
        <v>0</v>
      </c>
      <c r="P29" s="51">
        <v>0.91</v>
      </c>
      <c r="Q29" s="51">
        <v>4.72</v>
      </c>
    </row>
    <row r="30" spans="1:17" customFormat="1">
      <c r="A30" s="50" t="s">
        <v>777</v>
      </c>
      <c r="B30" s="51">
        <v>15.39</v>
      </c>
      <c r="C30" s="51">
        <v>28.68</v>
      </c>
      <c r="D30" s="51">
        <v>28.68</v>
      </c>
      <c r="E30" s="51">
        <v>8.66</v>
      </c>
      <c r="F30" s="51">
        <v>2.61</v>
      </c>
      <c r="G30" s="51">
        <v>109.64</v>
      </c>
      <c r="H30" s="51">
        <v>43.78</v>
      </c>
      <c r="I30" s="51">
        <v>8.61</v>
      </c>
      <c r="J30" s="51">
        <v>0.15</v>
      </c>
      <c r="K30" s="51">
        <v>188.28</v>
      </c>
      <c r="L30" s="51">
        <v>21.73</v>
      </c>
      <c r="M30" s="51">
        <v>89.78</v>
      </c>
      <c r="N30" s="51">
        <v>0</v>
      </c>
      <c r="O30" s="51">
        <v>0</v>
      </c>
      <c r="P30" s="51">
        <v>1</v>
      </c>
      <c r="Q30" s="51">
        <v>4.9000000000000004</v>
      </c>
    </row>
    <row r="31" spans="1:17" customFormat="1">
      <c r="A31" s="50" t="s">
        <v>778</v>
      </c>
      <c r="B31" s="51">
        <v>15.4</v>
      </c>
      <c r="C31" s="51">
        <v>28.46</v>
      </c>
      <c r="D31" s="51">
        <v>28.57</v>
      </c>
      <c r="E31" s="51">
        <v>8.9700000000000006</v>
      </c>
      <c r="F31" s="51">
        <v>2.62</v>
      </c>
      <c r="G31" s="51">
        <v>109.64</v>
      </c>
      <c r="H31" s="51">
        <v>43.78</v>
      </c>
      <c r="I31" s="51">
        <v>9.58</v>
      </c>
      <c r="J31" s="51">
        <v>0.18</v>
      </c>
      <c r="K31" s="51">
        <v>229.32</v>
      </c>
      <c r="L31" s="51">
        <v>21.11</v>
      </c>
      <c r="M31" s="51">
        <v>90.35</v>
      </c>
      <c r="N31" s="51">
        <v>0</v>
      </c>
      <c r="O31" s="51">
        <v>0</v>
      </c>
      <c r="P31" s="51">
        <v>1.02</v>
      </c>
      <c r="Q31" s="51">
        <v>4.95</v>
      </c>
    </row>
    <row r="32" spans="1:17" customFormat="1">
      <c r="A32" s="50" t="s">
        <v>779</v>
      </c>
      <c r="B32" s="51">
        <v>15.76</v>
      </c>
      <c r="C32" s="51">
        <v>27.64</v>
      </c>
      <c r="D32" s="51">
        <v>28.43</v>
      </c>
      <c r="E32" s="51">
        <v>9.33</v>
      </c>
      <c r="F32" s="51">
        <v>2.63</v>
      </c>
      <c r="G32" s="51">
        <v>97.42</v>
      </c>
      <c r="H32" s="51">
        <v>43.31</v>
      </c>
      <c r="I32" s="51">
        <v>10.24</v>
      </c>
      <c r="J32" s="51">
        <v>0.19</v>
      </c>
      <c r="K32" s="51">
        <v>234.5</v>
      </c>
      <c r="L32" s="51">
        <v>20.63</v>
      </c>
      <c r="M32" s="51">
        <v>92.8</v>
      </c>
      <c r="N32" s="51">
        <v>0</v>
      </c>
      <c r="O32" s="51">
        <v>0</v>
      </c>
      <c r="P32" s="51">
        <v>1.02</v>
      </c>
      <c r="Q32" s="51">
        <v>4.96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2.41</v>
      </c>
      <c r="C34" s="41">
        <f t="shared" si="0"/>
        <v>21.04</v>
      </c>
      <c r="D34" s="41">
        <f t="shared" si="0"/>
        <v>15.13</v>
      </c>
      <c r="E34" s="41">
        <f t="shared" si="0"/>
        <v>4.8600000000000003</v>
      </c>
      <c r="F34" s="41">
        <f t="shared" si="0"/>
        <v>2.5</v>
      </c>
      <c r="G34" s="41">
        <f t="shared" si="0"/>
        <v>67.099999999999994</v>
      </c>
      <c r="H34" s="41">
        <f t="shared" si="0"/>
        <v>29.01</v>
      </c>
      <c r="I34" s="41">
        <f t="shared" si="0"/>
        <v>3.63</v>
      </c>
      <c r="J34" s="41">
        <f t="shared" si="0"/>
        <v>0.09</v>
      </c>
      <c r="K34" s="41">
        <f t="shared" si="0"/>
        <v>67.36</v>
      </c>
      <c r="L34" s="41">
        <f t="shared" si="0"/>
        <v>18.36</v>
      </c>
      <c r="M34" s="41">
        <f t="shared" si="0"/>
        <v>40.75</v>
      </c>
      <c r="N34" s="41">
        <f t="shared" si="0"/>
        <v>0</v>
      </c>
      <c r="O34" s="41">
        <f t="shared" si="0"/>
        <v>0</v>
      </c>
      <c r="P34" s="41">
        <f t="shared" si="0"/>
        <v>0.5</v>
      </c>
      <c r="Q34" s="41">
        <f t="shared" si="0"/>
        <v>4.26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36.75</v>
      </c>
      <c r="C35" s="33">
        <f t="shared" si="1"/>
        <v>29.7</v>
      </c>
      <c r="D35" s="33">
        <f t="shared" si="1"/>
        <v>45.23</v>
      </c>
      <c r="E35" s="33">
        <f t="shared" si="1"/>
        <v>17.829999999999998</v>
      </c>
      <c r="F35" s="33">
        <f t="shared" si="1"/>
        <v>21.6</v>
      </c>
      <c r="G35" s="33">
        <f t="shared" si="1"/>
        <v>109.64</v>
      </c>
      <c r="H35" s="33">
        <f t="shared" si="1"/>
        <v>49.73</v>
      </c>
      <c r="I35" s="33">
        <f t="shared" si="1"/>
        <v>10.24</v>
      </c>
      <c r="J35" s="33">
        <f t="shared" si="1"/>
        <v>0.66</v>
      </c>
      <c r="K35" s="33">
        <f t="shared" si="1"/>
        <v>266.85000000000002</v>
      </c>
      <c r="L35" s="33">
        <f t="shared" si="1"/>
        <v>30.93</v>
      </c>
      <c r="M35" s="33">
        <f t="shared" si="1"/>
        <v>97.91</v>
      </c>
      <c r="N35" s="33">
        <f t="shared" si="1"/>
        <v>543.5</v>
      </c>
      <c r="O35" s="33">
        <f t="shared" si="1"/>
        <v>0</v>
      </c>
      <c r="P35" s="33">
        <f t="shared" si="1"/>
        <v>1.07</v>
      </c>
      <c r="Q35" s="33">
        <f t="shared" si="1"/>
        <v>5.86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16.415833333333328</v>
      </c>
      <c r="C36" s="41">
        <f t="shared" si="2"/>
        <v>26.234999999999996</v>
      </c>
      <c r="D36" s="41">
        <f t="shared" si="2"/>
        <v>28.130833333333332</v>
      </c>
      <c r="E36" s="41">
        <f t="shared" si="2"/>
        <v>8.1370833333333348</v>
      </c>
      <c r="F36" s="41">
        <f t="shared" si="2"/>
        <v>6.0195833333333324</v>
      </c>
      <c r="G36" s="41">
        <f t="shared" si="2"/>
        <v>94.985416666666666</v>
      </c>
      <c r="H36" s="41">
        <f t="shared" si="2"/>
        <v>40.500000000000007</v>
      </c>
      <c r="I36" s="41">
        <f t="shared" si="2"/>
        <v>7.6500000000000021</v>
      </c>
      <c r="J36" s="41">
        <f t="shared" si="2"/>
        <v>0.27083333333333337</v>
      </c>
      <c r="K36" s="41">
        <f t="shared" si="2"/>
        <v>190.20333333333335</v>
      </c>
      <c r="L36" s="41">
        <f t="shared" si="2"/>
        <v>24.227083333333336</v>
      </c>
      <c r="M36" s="41">
        <f t="shared" si="2"/>
        <v>73.866249999999994</v>
      </c>
      <c r="N36" s="41">
        <f t="shared" si="2"/>
        <v>153.70000000000002</v>
      </c>
      <c r="O36" s="41">
        <f t="shared" si="2"/>
        <v>0</v>
      </c>
      <c r="P36" s="41">
        <f t="shared" si="2"/>
        <v>0.87250000000000005</v>
      </c>
      <c r="Q36" s="41">
        <f t="shared" si="2"/>
        <v>4.9420833333333336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11.190925639403858</v>
      </c>
      <c r="C37" s="41">
        <f t="shared" ref="C37:Q37" si="3">STDEV(C9:C32)</f>
        <v>2.5521721353968423</v>
      </c>
      <c r="D37" s="41">
        <f t="shared" si="3"/>
        <v>9.9472246147471548</v>
      </c>
      <c r="E37" s="41">
        <f t="shared" si="3"/>
        <v>3.3295377393823022</v>
      </c>
      <c r="F37" s="41">
        <f t="shared" si="3"/>
        <v>5.7969988331044631</v>
      </c>
      <c r="G37" s="41">
        <f t="shared" si="3"/>
        <v>13.81455186740051</v>
      </c>
      <c r="H37" s="41">
        <f t="shared" si="3"/>
        <v>6.4068095566866399</v>
      </c>
      <c r="I37" s="41">
        <f t="shared" si="3"/>
        <v>2.3851114275310246</v>
      </c>
      <c r="J37" s="41">
        <f t="shared" si="3"/>
        <v>0.16105404619909869</v>
      </c>
      <c r="K37" s="41">
        <f t="shared" si="3"/>
        <v>55.343872420465424</v>
      </c>
      <c r="L37" s="41">
        <f t="shared" si="3"/>
        <v>4.5930642222023428</v>
      </c>
      <c r="M37" s="41">
        <f t="shared" si="3"/>
        <v>21.672425640711591</v>
      </c>
      <c r="N37" s="41">
        <f t="shared" si="3"/>
        <v>219.48288038616747</v>
      </c>
      <c r="O37" s="41">
        <f t="shared" si="3"/>
        <v>0</v>
      </c>
      <c r="P37" s="41">
        <f t="shared" si="3"/>
        <v>0.21057375037697801</v>
      </c>
      <c r="Q37" s="41">
        <f t="shared" si="3"/>
        <v>0.53715012205451729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31/10/2023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780</v>
      </c>
      <c r="B9" s="51">
        <v>14.6</v>
      </c>
      <c r="C9" s="51">
        <v>27.09</v>
      </c>
      <c r="D9" s="51">
        <v>27.13</v>
      </c>
      <c r="E9" s="51">
        <v>9.77</v>
      </c>
      <c r="F9" s="51">
        <v>2.89</v>
      </c>
      <c r="G9" s="51">
        <v>96.93</v>
      </c>
      <c r="H9" s="51">
        <v>44.64</v>
      </c>
      <c r="I9" s="51">
        <v>11.26</v>
      </c>
      <c r="J9" s="51">
        <v>0.14000000000000001</v>
      </c>
      <c r="K9" s="51">
        <v>228.77</v>
      </c>
      <c r="L9" s="51">
        <v>20.04</v>
      </c>
      <c r="M9" s="51">
        <v>90.9</v>
      </c>
      <c r="N9" s="51">
        <v>0</v>
      </c>
      <c r="O9" s="51">
        <v>0</v>
      </c>
      <c r="P9" s="51">
        <v>1.01</v>
      </c>
      <c r="Q9" s="51">
        <v>4.9800000000000004</v>
      </c>
    </row>
    <row r="10" spans="1:21" customFormat="1">
      <c r="A10" s="50" t="s">
        <v>781</v>
      </c>
      <c r="B10" s="51">
        <v>14.11</v>
      </c>
      <c r="C10" s="51">
        <v>23.75</v>
      </c>
      <c r="D10" s="51">
        <v>24.96</v>
      </c>
      <c r="E10" s="51">
        <v>7.69</v>
      </c>
      <c r="F10" s="51">
        <v>2.68</v>
      </c>
      <c r="G10" s="51">
        <v>114.45</v>
      </c>
      <c r="H10" s="51">
        <v>44.64</v>
      </c>
      <c r="I10" s="51">
        <v>11.47</v>
      </c>
      <c r="J10" s="51">
        <v>0.14000000000000001</v>
      </c>
      <c r="K10" s="51">
        <v>246.68</v>
      </c>
      <c r="L10" s="51">
        <v>19.78</v>
      </c>
      <c r="M10" s="51">
        <v>94.45</v>
      </c>
      <c r="N10" s="51">
        <v>0</v>
      </c>
      <c r="O10" s="51">
        <v>0</v>
      </c>
      <c r="P10" s="51">
        <v>0.92</v>
      </c>
      <c r="Q10" s="51">
        <v>4.88</v>
      </c>
    </row>
    <row r="11" spans="1:21" customFormat="1">
      <c r="A11" s="50" t="s">
        <v>782</v>
      </c>
      <c r="B11" s="51">
        <v>13.45</v>
      </c>
      <c r="C11" s="51">
        <v>23.27</v>
      </c>
      <c r="D11" s="51">
        <v>24.3</v>
      </c>
      <c r="E11" s="51">
        <v>5.87</v>
      </c>
      <c r="F11" s="51">
        <v>2.81</v>
      </c>
      <c r="G11" s="51">
        <v>119.94</v>
      </c>
      <c r="H11" s="51">
        <v>42.7</v>
      </c>
      <c r="I11" s="51">
        <v>11.5</v>
      </c>
      <c r="J11" s="51">
        <v>0.09</v>
      </c>
      <c r="K11" s="51">
        <v>244.38</v>
      </c>
      <c r="L11" s="51">
        <v>19.32</v>
      </c>
      <c r="M11" s="51">
        <v>94.11</v>
      </c>
      <c r="N11" s="51">
        <v>0</v>
      </c>
      <c r="O11" s="51">
        <v>0</v>
      </c>
      <c r="P11" s="51">
        <v>0.88</v>
      </c>
      <c r="Q11" s="51">
        <v>4.8</v>
      </c>
    </row>
    <row r="12" spans="1:21" customFormat="1">
      <c r="A12" s="50" t="s">
        <v>783</v>
      </c>
      <c r="B12" s="51">
        <v>13.38</v>
      </c>
      <c r="C12" s="51">
        <v>22.67</v>
      </c>
      <c r="D12" s="51">
        <v>23.65</v>
      </c>
      <c r="E12" s="51">
        <v>5.42</v>
      </c>
      <c r="F12" s="51">
        <v>2.73</v>
      </c>
      <c r="G12" s="51">
        <v>119.94</v>
      </c>
      <c r="H12" s="51">
        <v>42.7</v>
      </c>
      <c r="I12" s="51">
        <v>11.22</v>
      </c>
      <c r="J12" s="51">
        <v>0.28999999999999998</v>
      </c>
      <c r="K12" s="51">
        <v>37.82</v>
      </c>
      <c r="L12" s="51">
        <v>19.440000000000001</v>
      </c>
      <c r="M12" s="51">
        <v>92.14</v>
      </c>
      <c r="N12" s="51">
        <v>0</v>
      </c>
      <c r="O12" s="51">
        <v>0</v>
      </c>
      <c r="P12" s="51">
        <v>0.84</v>
      </c>
      <c r="Q12" s="51">
        <v>4.79</v>
      </c>
    </row>
    <row r="13" spans="1:21" customFormat="1">
      <c r="A13" s="50" t="s">
        <v>784</v>
      </c>
      <c r="B13" s="51">
        <v>14.89</v>
      </c>
      <c r="C13" s="51">
        <v>24.03</v>
      </c>
      <c r="D13" s="51">
        <v>25.76</v>
      </c>
      <c r="E13" s="51">
        <v>4.97</v>
      </c>
      <c r="F13" s="51">
        <v>2.76</v>
      </c>
      <c r="G13" s="51">
        <v>104.6</v>
      </c>
      <c r="H13" s="51">
        <v>39.39</v>
      </c>
      <c r="I13" s="51">
        <v>10.52</v>
      </c>
      <c r="J13" s="51">
        <v>0.25</v>
      </c>
      <c r="K13" s="51">
        <v>125.22</v>
      </c>
      <c r="L13" s="51">
        <v>19.37</v>
      </c>
      <c r="M13" s="51">
        <v>89.12</v>
      </c>
      <c r="N13" s="51">
        <v>0</v>
      </c>
      <c r="O13" s="51">
        <v>0</v>
      </c>
      <c r="P13" s="51">
        <v>0.81</v>
      </c>
      <c r="Q13" s="51">
        <v>4.88</v>
      </c>
    </row>
    <row r="14" spans="1:21" customFormat="1">
      <c r="A14" s="50" t="s">
        <v>785</v>
      </c>
      <c r="B14" s="51">
        <v>15.4</v>
      </c>
      <c r="C14" s="51">
        <v>25.92</v>
      </c>
      <c r="D14" s="51">
        <v>27.06</v>
      </c>
      <c r="E14" s="51">
        <v>5.45</v>
      </c>
      <c r="F14" s="51">
        <v>2.69</v>
      </c>
      <c r="G14" s="51">
        <v>104.6</v>
      </c>
      <c r="H14" s="51">
        <v>40.47</v>
      </c>
      <c r="I14" s="51">
        <v>9.81</v>
      </c>
      <c r="J14" s="51">
        <v>0.14000000000000001</v>
      </c>
      <c r="K14" s="51">
        <v>212.42</v>
      </c>
      <c r="L14" s="51">
        <v>18.97</v>
      </c>
      <c r="M14" s="51">
        <v>92.74</v>
      </c>
      <c r="N14" s="51">
        <v>0</v>
      </c>
      <c r="O14" s="51">
        <v>0</v>
      </c>
      <c r="P14" s="51">
        <v>0.83</v>
      </c>
      <c r="Q14" s="51">
        <v>4.9400000000000004</v>
      </c>
    </row>
    <row r="15" spans="1:21" customFormat="1">
      <c r="A15" s="50" t="s">
        <v>786</v>
      </c>
      <c r="B15" s="51">
        <v>16.440000000000001</v>
      </c>
      <c r="C15" s="51">
        <v>26.58</v>
      </c>
      <c r="D15" s="51">
        <v>28.42</v>
      </c>
      <c r="E15" s="51">
        <v>5.54</v>
      </c>
      <c r="F15" s="51">
        <v>2.78</v>
      </c>
      <c r="G15" s="51">
        <v>95.57</v>
      </c>
      <c r="H15" s="51">
        <v>40.47</v>
      </c>
      <c r="I15" s="51">
        <v>9.08</v>
      </c>
      <c r="J15" s="51">
        <v>0.33</v>
      </c>
      <c r="K15" s="51">
        <v>206.36</v>
      </c>
      <c r="L15" s="51">
        <v>19.82</v>
      </c>
      <c r="M15" s="51">
        <v>92.69</v>
      </c>
      <c r="N15" s="51">
        <v>31</v>
      </c>
      <c r="O15" s="51">
        <v>0</v>
      </c>
      <c r="P15" s="51">
        <v>0.83</v>
      </c>
      <c r="Q15" s="51">
        <v>5</v>
      </c>
    </row>
    <row r="16" spans="1:21" customFormat="1">
      <c r="A16" s="50" t="s">
        <v>787</v>
      </c>
      <c r="B16" s="51">
        <v>16.86</v>
      </c>
      <c r="C16" s="51">
        <v>27.69</v>
      </c>
      <c r="D16" s="51">
        <v>29.28</v>
      </c>
      <c r="E16" s="51">
        <v>6.03</v>
      </c>
      <c r="F16" s="51">
        <v>2.72</v>
      </c>
      <c r="G16" s="51">
        <v>100.08</v>
      </c>
      <c r="H16" s="51">
        <v>41.17</v>
      </c>
      <c r="I16" s="51">
        <v>8.73</v>
      </c>
      <c r="J16" s="51">
        <v>0.45</v>
      </c>
      <c r="K16" s="51">
        <v>65.19</v>
      </c>
      <c r="L16" s="51">
        <v>22.71</v>
      </c>
      <c r="M16" s="51">
        <v>84.53</v>
      </c>
      <c r="N16" s="51">
        <v>183.6</v>
      </c>
      <c r="O16" s="51">
        <v>0</v>
      </c>
      <c r="P16" s="51">
        <v>0.86</v>
      </c>
      <c r="Q16" s="51">
        <v>5.03</v>
      </c>
    </row>
    <row r="17" spans="1:17" customFormat="1">
      <c r="A17" s="50" t="s">
        <v>788</v>
      </c>
      <c r="B17" s="51">
        <v>15.76</v>
      </c>
      <c r="C17" s="51">
        <v>29.07</v>
      </c>
      <c r="D17" s="51">
        <v>28.66</v>
      </c>
      <c r="E17" s="51">
        <v>6.29</v>
      </c>
      <c r="F17" s="51">
        <v>3.19</v>
      </c>
      <c r="G17" s="51">
        <v>101.51</v>
      </c>
      <c r="H17" s="51">
        <v>41.17</v>
      </c>
      <c r="I17" s="51">
        <v>8.73</v>
      </c>
      <c r="J17" s="51">
        <v>0.42</v>
      </c>
      <c r="K17" s="51">
        <v>100.1</v>
      </c>
      <c r="L17" s="51">
        <v>26.01</v>
      </c>
      <c r="M17" s="51">
        <v>76.430000000000007</v>
      </c>
      <c r="N17" s="51">
        <v>331.7</v>
      </c>
      <c r="O17" s="51">
        <v>0</v>
      </c>
      <c r="P17" s="51">
        <v>0.87</v>
      </c>
      <c r="Q17" s="51">
        <v>4.99</v>
      </c>
    </row>
    <row r="18" spans="1:17" customFormat="1">
      <c r="A18" s="50" t="s">
        <v>789</v>
      </c>
      <c r="B18" s="51">
        <v>11.51</v>
      </c>
      <c r="C18" s="51">
        <v>28.6</v>
      </c>
      <c r="D18" s="51">
        <v>25.52</v>
      </c>
      <c r="E18" s="51">
        <v>6.13</v>
      </c>
      <c r="F18" s="51">
        <v>3.88</v>
      </c>
      <c r="G18" s="51">
        <v>101.51</v>
      </c>
      <c r="H18" s="51">
        <v>40.46</v>
      </c>
      <c r="I18" s="51">
        <v>8.6</v>
      </c>
      <c r="J18" s="51">
        <v>0.52</v>
      </c>
      <c r="K18" s="51">
        <v>146.80000000000001</v>
      </c>
      <c r="L18" s="51">
        <v>28.24</v>
      </c>
      <c r="M18" s="51">
        <v>62.27</v>
      </c>
      <c r="N18" s="51">
        <v>434.8</v>
      </c>
      <c r="O18" s="51">
        <v>0</v>
      </c>
      <c r="P18" s="51">
        <v>0.83</v>
      </c>
      <c r="Q18" s="51">
        <v>4.8499999999999996</v>
      </c>
    </row>
    <row r="19" spans="1:17" customFormat="1">
      <c r="A19" s="50" t="s">
        <v>790</v>
      </c>
      <c r="B19" s="51">
        <v>7.09</v>
      </c>
      <c r="C19" s="51">
        <v>27.81</v>
      </c>
      <c r="D19" s="51">
        <v>21.56</v>
      </c>
      <c r="E19" s="51">
        <v>7.4</v>
      </c>
      <c r="F19" s="51">
        <v>5.0999999999999996</v>
      </c>
      <c r="G19" s="51">
        <v>87.23</v>
      </c>
      <c r="H19" s="51">
        <v>39.590000000000003</v>
      </c>
      <c r="I19" s="51">
        <v>7.86</v>
      </c>
      <c r="J19" s="51">
        <v>0.32</v>
      </c>
      <c r="K19" s="51">
        <v>126.83</v>
      </c>
      <c r="L19" s="51">
        <v>29.56</v>
      </c>
      <c r="M19" s="51">
        <v>57.76</v>
      </c>
      <c r="N19" s="51">
        <v>508.5</v>
      </c>
      <c r="O19" s="51">
        <v>0</v>
      </c>
      <c r="P19" s="51">
        <v>0.8</v>
      </c>
      <c r="Q19" s="51">
        <v>4.57</v>
      </c>
    </row>
    <row r="20" spans="1:17" customFormat="1">
      <c r="A20" s="50" t="s">
        <v>791</v>
      </c>
      <c r="B20" s="51">
        <v>5.54</v>
      </c>
      <c r="C20" s="51">
        <v>22.28</v>
      </c>
      <c r="D20" s="51">
        <v>17.440000000000001</v>
      </c>
      <c r="E20" s="51">
        <v>7.37</v>
      </c>
      <c r="F20" s="51">
        <v>7.33</v>
      </c>
      <c r="G20" s="51">
        <v>80.510000000000005</v>
      </c>
      <c r="H20" s="51">
        <v>35.799999999999997</v>
      </c>
      <c r="I20" s="51">
        <v>7.27</v>
      </c>
      <c r="J20" s="51">
        <v>0.47</v>
      </c>
      <c r="K20" s="51">
        <v>82.33</v>
      </c>
      <c r="L20" s="51">
        <v>30.3</v>
      </c>
      <c r="M20" s="51">
        <v>51</v>
      </c>
      <c r="N20" s="51">
        <v>551</v>
      </c>
      <c r="O20" s="51">
        <v>0</v>
      </c>
      <c r="P20" s="51">
        <v>0.72</v>
      </c>
      <c r="Q20" s="51">
        <v>4.41</v>
      </c>
    </row>
    <row r="21" spans="1:17" customFormat="1">
      <c r="A21" s="50" t="s">
        <v>792</v>
      </c>
      <c r="B21" s="51">
        <v>4.55</v>
      </c>
      <c r="C21" s="51">
        <v>20</v>
      </c>
      <c r="D21" s="51">
        <v>15.45</v>
      </c>
      <c r="E21" s="51">
        <v>7.5</v>
      </c>
      <c r="F21" s="51">
        <v>7.44</v>
      </c>
      <c r="G21" s="51">
        <v>78.37</v>
      </c>
      <c r="H21" s="51">
        <v>35</v>
      </c>
      <c r="I21" s="51">
        <v>6.73</v>
      </c>
      <c r="J21" s="51">
        <v>0.56999999999999995</v>
      </c>
      <c r="K21" s="51">
        <v>92.5</v>
      </c>
      <c r="L21" s="51">
        <v>30.19</v>
      </c>
      <c r="M21" s="51">
        <v>50.94</v>
      </c>
      <c r="N21" s="51">
        <v>445.2</v>
      </c>
      <c r="O21" s="51">
        <v>0</v>
      </c>
      <c r="P21" s="51">
        <v>0.68</v>
      </c>
      <c r="Q21" s="51">
        <v>4.3</v>
      </c>
    </row>
    <row r="22" spans="1:17" customFormat="1">
      <c r="A22" s="50" t="s">
        <v>793</v>
      </c>
      <c r="B22" s="51">
        <v>4.1900000000000004</v>
      </c>
      <c r="C22" s="51">
        <v>18.32</v>
      </c>
      <c r="D22" s="51">
        <v>14.29</v>
      </c>
      <c r="E22" s="51">
        <v>7.99</v>
      </c>
      <c r="F22" s="51">
        <v>8.5399999999999991</v>
      </c>
      <c r="G22" s="51">
        <v>73.760000000000005</v>
      </c>
      <c r="H22" s="51">
        <v>28.55</v>
      </c>
      <c r="I22" s="51">
        <v>6.31</v>
      </c>
      <c r="J22" s="51">
        <v>0.71</v>
      </c>
      <c r="K22" s="51">
        <v>59.3</v>
      </c>
      <c r="L22" s="51">
        <v>30.4</v>
      </c>
      <c r="M22" s="51">
        <v>49.22</v>
      </c>
      <c r="N22" s="51">
        <v>467.7</v>
      </c>
      <c r="O22" s="51">
        <v>0</v>
      </c>
      <c r="P22" s="51">
        <v>0.65</v>
      </c>
      <c r="Q22" s="51">
        <v>4.25</v>
      </c>
    </row>
    <row r="23" spans="1:17" customFormat="1">
      <c r="A23" s="50" t="s">
        <v>794</v>
      </c>
      <c r="B23" s="51">
        <v>4.26</v>
      </c>
      <c r="C23" s="51">
        <v>17.5</v>
      </c>
      <c r="D23" s="51">
        <v>13.91</v>
      </c>
      <c r="E23" s="51">
        <v>7.57</v>
      </c>
      <c r="F23" s="51">
        <v>10.76</v>
      </c>
      <c r="G23" s="51">
        <v>68.33</v>
      </c>
      <c r="H23" s="51">
        <v>28.55</v>
      </c>
      <c r="I23" s="51">
        <v>5.9</v>
      </c>
      <c r="J23" s="51">
        <v>0.68</v>
      </c>
      <c r="K23" s="51">
        <v>161.66</v>
      </c>
      <c r="L23" s="51">
        <v>30.45</v>
      </c>
      <c r="M23" s="51">
        <v>47.04</v>
      </c>
      <c r="N23" s="51">
        <v>424.5</v>
      </c>
      <c r="O23" s="51">
        <v>0</v>
      </c>
      <c r="P23" s="51">
        <v>0.69</v>
      </c>
      <c r="Q23" s="51">
        <v>4.24</v>
      </c>
    </row>
    <row r="24" spans="1:17" customFormat="1">
      <c r="A24" s="50" t="s">
        <v>795</v>
      </c>
      <c r="B24" s="51">
        <v>4.26</v>
      </c>
      <c r="C24" s="51">
        <v>18.62</v>
      </c>
      <c r="D24" s="51">
        <v>14.41</v>
      </c>
      <c r="E24" s="51">
        <v>6.96</v>
      </c>
      <c r="F24" s="51">
        <v>8.91</v>
      </c>
      <c r="G24" s="51">
        <v>65.37</v>
      </c>
      <c r="H24" s="51">
        <v>25.17</v>
      </c>
      <c r="I24" s="51">
        <v>5.62</v>
      </c>
      <c r="J24" s="51">
        <v>0.6</v>
      </c>
      <c r="K24" s="51">
        <v>141.97999999999999</v>
      </c>
      <c r="L24" s="51">
        <v>29.53</v>
      </c>
      <c r="M24" s="51">
        <v>51.06</v>
      </c>
      <c r="N24" s="51">
        <v>103</v>
      </c>
      <c r="O24" s="51">
        <v>0</v>
      </c>
      <c r="P24" s="51">
        <v>0.72</v>
      </c>
      <c r="Q24" s="51">
        <v>4.25</v>
      </c>
    </row>
    <row r="25" spans="1:17" customFormat="1">
      <c r="A25" s="50" t="s">
        <v>796</v>
      </c>
      <c r="B25" s="51">
        <v>4.1399999999999997</v>
      </c>
      <c r="C25" s="51">
        <v>18.97</v>
      </c>
      <c r="D25" s="51">
        <v>14.58</v>
      </c>
      <c r="E25" s="51">
        <v>6.65</v>
      </c>
      <c r="F25" s="51">
        <v>7.86</v>
      </c>
      <c r="G25" s="51">
        <v>59.19</v>
      </c>
      <c r="H25" s="51">
        <v>26.32</v>
      </c>
      <c r="I25" s="51">
        <v>5.41</v>
      </c>
      <c r="J25" s="51">
        <v>0.2</v>
      </c>
      <c r="K25" s="51">
        <v>162.34</v>
      </c>
      <c r="L25" s="51">
        <v>28.59</v>
      </c>
      <c r="M25" s="51">
        <v>57.49</v>
      </c>
      <c r="N25" s="51">
        <v>42.2</v>
      </c>
      <c r="O25" s="51">
        <v>0</v>
      </c>
      <c r="P25" s="51">
        <v>0.7</v>
      </c>
      <c r="Q25" s="51">
        <v>4.26</v>
      </c>
    </row>
    <row r="26" spans="1:17" customFormat="1">
      <c r="A26" s="50" t="s">
        <v>797</v>
      </c>
      <c r="B26" s="51">
        <v>4.9400000000000004</v>
      </c>
      <c r="C26" s="51">
        <v>20.88</v>
      </c>
      <c r="D26" s="51">
        <v>16.23</v>
      </c>
      <c r="E26" s="51">
        <v>6.04</v>
      </c>
      <c r="F26" s="51">
        <v>5.43</v>
      </c>
      <c r="G26" s="51">
        <v>60.71</v>
      </c>
      <c r="H26" s="51">
        <v>26.32</v>
      </c>
      <c r="I26" s="51">
        <v>5.32</v>
      </c>
      <c r="J26" s="51">
        <v>0.22</v>
      </c>
      <c r="K26" s="51">
        <v>162.71</v>
      </c>
      <c r="L26" s="51">
        <v>26.7</v>
      </c>
      <c r="M26" s="51">
        <v>66.16</v>
      </c>
      <c r="N26" s="51">
        <v>0.2</v>
      </c>
      <c r="O26" s="51">
        <v>0</v>
      </c>
      <c r="P26" s="51">
        <v>0.74</v>
      </c>
      <c r="Q26" s="51">
        <v>4.3099999999999996</v>
      </c>
    </row>
    <row r="27" spans="1:17" customFormat="1">
      <c r="A27" s="50" t="s">
        <v>798</v>
      </c>
      <c r="B27" s="51">
        <v>6.35</v>
      </c>
      <c r="C27" s="51">
        <v>24.22</v>
      </c>
      <c r="D27" s="51">
        <v>19.100000000000001</v>
      </c>
      <c r="E27" s="51">
        <v>5.17</v>
      </c>
      <c r="F27" s="51">
        <v>3.16</v>
      </c>
      <c r="G27" s="51">
        <v>81.36</v>
      </c>
      <c r="H27" s="51">
        <v>25.72</v>
      </c>
      <c r="I27" s="51">
        <v>5.79</v>
      </c>
      <c r="J27" s="51">
        <v>0.16</v>
      </c>
      <c r="K27" s="51">
        <v>145.78</v>
      </c>
      <c r="L27" s="51">
        <v>25.26</v>
      </c>
      <c r="M27" s="51">
        <v>71.39</v>
      </c>
      <c r="N27" s="51">
        <v>0</v>
      </c>
      <c r="O27" s="51">
        <v>0</v>
      </c>
      <c r="P27" s="51">
        <v>0.83</v>
      </c>
      <c r="Q27" s="51">
        <v>4.46</v>
      </c>
    </row>
    <row r="28" spans="1:17" customFormat="1">
      <c r="A28" s="50" t="s">
        <v>799</v>
      </c>
      <c r="B28" s="51">
        <v>7.71</v>
      </c>
      <c r="C28" s="51">
        <v>25.64</v>
      </c>
      <c r="D28" s="51">
        <v>20.93</v>
      </c>
      <c r="E28" s="51">
        <v>5.25</v>
      </c>
      <c r="F28" s="51">
        <v>2.66</v>
      </c>
      <c r="G28" s="51">
        <v>112.59</v>
      </c>
      <c r="H28" s="51">
        <v>30.75</v>
      </c>
      <c r="I28" s="51">
        <v>6.67</v>
      </c>
      <c r="J28" s="51">
        <v>0.18</v>
      </c>
      <c r="K28" s="51">
        <v>141.11000000000001</v>
      </c>
      <c r="L28" s="51">
        <v>25.02</v>
      </c>
      <c r="M28" s="51">
        <v>72.209999999999994</v>
      </c>
      <c r="N28" s="51">
        <v>0</v>
      </c>
      <c r="O28" s="51">
        <v>0</v>
      </c>
      <c r="P28" s="51">
        <v>0.88</v>
      </c>
      <c r="Q28" s="51">
        <v>4.5599999999999996</v>
      </c>
    </row>
    <row r="29" spans="1:17" customFormat="1">
      <c r="A29" s="50" t="s">
        <v>800</v>
      </c>
      <c r="B29" s="51">
        <v>8.35</v>
      </c>
      <c r="C29" s="51">
        <v>26.84</v>
      </c>
      <c r="D29" s="51">
        <v>21.62</v>
      </c>
      <c r="E29" s="51">
        <v>5.28</v>
      </c>
      <c r="F29" s="51">
        <v>3.1</v>
      </c>
      <c r="G29" s="51">
        <v>112.59</v>
      </c>
      <c r="H29" s="51">
        <v>30.75</v>
      </c>
      <c r="I29" s="51">
        <v>7</v>
      </c>
      <c r="J29" s="51">
        <v>0.28999999999999998</v>
      </c>
      <c r="K29" s="51">
        <v>163.77000000000001</v>
      </c>
      <c r="L29" s="51">
        <v>24.43</v>
      </c>
      <c r="M29" s="51">
        <v>73.87</v>
      </c>
      <c r="N29" s="51">
        <v>0</v>
      </c>
      <c r="O29" s="51">
        <v>0</v>
      </c>
      <c r="P29" s="51">
        <v>0.9</v>
      </c>
      <c r="Q29" s="51">
        <v>4.57</v>
      </c>
    </row>
    <row r="30" spans="1:17" customFormat="1">
      <c r="A30" s="50" t="s">
        <v>801</v>
      </c>
      <c r="B30" s="51">
        <v>8.23</v>
      </c>
      <c r="C30" s="51">
        <v>22.3</v>
      </c>
      <c r="D30" s="51">
        <v>19.41</v>
      </c>
      <c r="E30" s="51">
        <v>4.13</v>
      </c>
      <c r="F30" s="51">
        <v>3.08</v>
      </c>
      <c r="G30" s="51">
        <v>102.25</v>
      </c>
      <c r="H30" s="51">
        <v>32.65</v>
      </c>
      <c r="I30" s="51">
        <v>7</v>
      </c>
      <c r="J30" s="51">
        <v>0.2</v>
      </c>
      <c r="K30" s="51">
        <v>232.68</v>
      </c>
      <c r="L30" s="51">
        <v>23.48</v>
      </c>
      <c r="M30" s="51">
        <v>84.13</v>
      </c>
      <c r="N30" s="51">
        <v>0</v>
      </c>
      <c r="O30" s="51">
        <v>0</v>
      </c>
      <c r="P30" s="51">
        <v>0.84</v>
      </c>
      <c r="Q30" s="51">
        <v>4.55</v>
      </c>
    </row>
    <row r="31" spans="1:17" customFormat="1">
      <c r="A31" s="50" t="s">
        <v>802</v>
      </c>
      <c r="B31" s="51">
        <v>8.0500000000000007</v>
      </c>
      <c r="C31" s="51">
        <v>21.09</v>
      </c>
      <c r="D31" s="51">
        <v>18.72</v>
      </c>
      <c r="E31" s="51">
        <v>4.0999999999999996</v>
      </c>
      <c r="F31" s="51">
        <v>2.97</v>
      </c>
      <c r="G31" s="51">
        <v>79.430000000000007</v>
      </c>
      <c r="H31" s="51">
        <v>32.65</v>
      </c>
      <c r="I31" s="51">
        <v>6.98</v>
      </c>
      <c r="J31" s="51">
        <v>0.16</v>
      </c>
      <c r="K31" s="51">
        <v>150.01</v>
      </c>
      <c r="L31" s="51">
        <v>22.1</v>
      </c>
      <c r="M31" s="51">
        <v>87.47</v>
      </c>
      <c r="N31" s="51">
        <v>0</v>
      </c>
      <c r="O31" s="51">
        <v>0</v>
      </c>
      <c r="P31" s="51">
        <v>0.83</v>
      </c>
      <c r="Q31" s="51">
        <v>4.51</v>
      </c>
    </row>
    <row r="32" spans="1:17" customFormat="1">
      <c r="A32" s="50" t="s">
        <v>803</v>
      </c>
      <c r="B32" s="51">
        <v>8.11</v>
      </c>
      <c r="C32" s="51">
        <v>20.03</v>
      </c>
      <c r="D32" s="51">
        <v>18.29</v>
      </c>
      <c r="E32" s="51">
        <v>4.03</v>
      </c>
      <c r="F32" s="51">
        <v>2.81</v>
      </c>
      <c r="G32" s="51">
        <v>69.25</v>
      </c>
      <c r="H32" s="51">
        <v>29.97</v>
      </c>
      <c r="I32" s="51">
        <v>6.96</v>
      </c>
      <c r="J32" s="51">
        <v>0.08</v>
      </c>
      <c r="K32" s="51">
        <v>162.08000000000001</v>
      </c>
      <c r="L32" s="51">
        <v>21.57</v>
      </c>
      <c r="M32" s="51">
        <v>91.61</v>
      </c>
      <c r="N32" s="51">
        <v>0</v>
      </c>
      <c r="O32" s="51">
        <v>0</v>
      </c>
      <c r="P32" s="51">
        <v>0.81</v>
      </c>
      <c r="Q32" s="51">
        <v>4.51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4.1399999999999997</v>
      </c>
      <c r="C34" s="41">
        <f t="shared" si="0"/>
        <v>17.5</v>
      </c>
      <c r="D34" s="41">
        <f t="shared" si="0"/>
        <v>13.91</v>
      </c>
      <c r="E34" s="41">
        <f t="shared" si="0"/>
        <v>4.03</v>
      </c>
      <c r="F34" s="41">
        <f t="shared" si="0"/>
        <v>2.66</v>
      </c>
      <c r="G34" s="41">
        <f t="shared" si="0"/>
        <v>59.19</v>
      </c>
      <c r="H34" s="41">
        <f t="shared" si="0"/>
        <v>25.17</v>
      </c>
      <c r="I34" s="41">
        <f t="shared" si="0"/>
        <v>5.32</v>
      </c>
      <c r="J34" s="41">
        <f t="shared" si="0"/>
        <v>0.08</v>
      </c>
      <c r="K34" s="41">
        <f t="shared" si="0"/>
        <v>37.82</v>
      </c>
      <c r="L34" s="41">
        <f t="shared" si="0"/>
        <v>18.97</v>
      </c>
      <c r="M34" s="41">
        <f t="shared" si="0"/>
        <v>47.04</v>
      </c>
      <c r="N34" s="41">
        <f t="shared" si="0"/>
        <v>0</v>
      </c>
      <c r="O34" s="41">
        <f t="shared" si="0"/>
        <v>0</v>
      </c>
      <c r="P34" s="41">
        <f t="shared" si="0"/>
        <v>0.65</v>
      </c>
      <c r="Q34" s="41">
        <f t="shared" si="0"/>
        <v>4.24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16.86</v>
      </c>
      <c r="C35" s="33">
        <f t="shared" si="1"/>
        <v>29.07</v>
      </c>
      <c r="D35" s="33">
        <f t="shared" si="1"/>
        <v>29.28</v>
      </c>
      <c r="E35" s="33">
        <f t="shared" si="1"/>
        <v>9.77</v>
      </c>
      <c r="F35" s="33">
        <f t="shared" si="1"/>
        <v>10.76</v>
      </c>
      <c r="G35" s="33">
        <f t="shared" si="1"/>
        <v>119.94</v>
      </c>
      <c r="H35" s="33">
        <f t="shared" si="1"/>
        <v>44.64</v>
      </c>
      <c r="I35" s="33">
        <f t="shared" si="1"/>
        <v>11.5</v>
      </c>
      <c r="J35" s="33">
        <f t="shared" si="1"/>
        <v>0.71</v>
      </c>
      <c r="K35" s="33">
        <f t="shared" si="1"/>
        <v>246.68</v>
      </c>
      <c r="L35" s="33">
        <f t="shared" si="1"/>
        <v>30.45</v>
      </c>
      <c r="M35" s="33">
        <f t="shared" si="1"/>
        <v>94.45</v>
      </c>
      <c r="N35" s="33">
        <f t="shared" si="1"/>
        <v>551</v>
      </c>
      <c r="O35" s="33">
        <f t="shared" si="1"/>
        <v>0</v>
      </c>
      <c r="P35" s="33">
        <f t="shared" si="1"/>
        <v>1.01</v>
      </c>
      <c r="Q35" s="33">
        <f t="shared" si="1"/>
        <v>5.03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9.6737499999999983</v>
      </c>
      <c r="C36" s="41">
        <f t="shared" si="2"/>
        <v>23.465416666666666</v>
      </c>
      <c r="D36" s="41">
        <f t="shared" si="2"/>
        <v>21.27833333333334</v>
      </c>
      <c r="E36" s="41">
        <f t="shared" si="2"/>
        <v>6.1916666666666664</v>
      </c>
      <c r="F36" s="41">
        <f t="shared" si="2"/>
        <v>4.5116666666666658</v>
      </c>
      <c r="G36" s="41">
        <f t="shared" si="2"/>
        <v>91.252916666666678</v>
      </c>
      <c r="H36" s="41">
        <f t="shared" si="2"/>
        <v>35.233333333333334</v>
      </c>
      <c r="I36" s="41">
        <f t="shared" si="2"/>
        <v>7.9891666666666659</v>
      </c>
      <c r="J36" s="41">
        <f t="shared" si="2"/>
        <v>0.31708333333333333</v>
      </c>
      <c r="K36" s="41">
        <f t="shared" si="2"/>
        <v>149.95083333333332</v>
      </c>
      <c r="L36" s="41">
        <f t="shared" si="2"/>
        <v>24.636666666666667</v>
      </c>
      <c r="M36" s="41">
        <f t="shared" si="2"/>
        <v>74.197083333333353</v>
      </c>
      <c r="N36" s="41">
        <f t="shared" si="2"/>
        <v>146.80833333333331</v>
      </c>
      <c r="O36" s="41">
        <f t="shared" si="2"/>
        <v>0</v>
      </c>
      <c r="P36" s="41">
        <f t="shared" si="2"/>
        <v>0.8112499999999998</v>
      </c>
      <c r="Q36" s="41">
        <f t="shared" si="2"/>
        <v>4.6204166666666664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4.5936665402060601</v>
      </c>
      <c r="C37" s="41">
        <f t="shared" ref="C37:Q37" si="3">STDEV(C9:C32)</f>
        <v>3.5248656825062548</v>
      </c>
      <c r="D37" s="41">
        <f t="shared" si="3"/>
        <v>5.0945961709371366</v>
      </c>
      <c r="E37" s="41">
        <f t="shared" si="3"/>
        <v>1.3961551759608661</v>
      </c>
      <c r="F37" s="41">
        <f t="shared" si="3"/>
        <v>2.5099812344122134</v>
      </c>
      <c r="G37" s="41">
        <f t="shared" si="3"/>
        <v>19.102242180973931</v>
      </c>
      <c r="H37" s="41">
        <f t="shared" si="3"/>
        <v>6.5905463695565816</v>
      </c>
      <c r="I37" s="41">
        <f t="shared" si="3"/>
        <v>2.0564234817351967</v>
      </c>
      <c r="J37" s="41">
        <f t="shared" si="3"/>
        <v>0.19063918039440181</v>
      </c>
      <c r="K37" s="41">
        <f t="shared" si="3"/>
        <v>58.553071572546123</v>
      </c>
      <c r="L37" s="41">
        <f t="shared" si="3"/>
        <v>4.2598690188750057</v>
      </c>
      <c r="M37" s="41">
        <f t="shared" si="3"/>
        <v>17.130867507454727</v>
      </c>
      <c r="N37" s="41">
        <f t="shared" si="3"/>
        <v>207.27959675733661</v>
      </c>
      <c r="O37" s="41">
        <f t="shared" si="3"/>
        <v>0</v>
      </c>
      <c r="P37" s="41">
        <f t="shared" si="3"/>
        <v>8.5988497714118178E-2</v>
      </c>
      <c r="Q37" s="41">
        <f t="shared" si="3"/>
        <v>0.2785440276909934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01/10/2023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01/10/2023 01:00</v>
      </c>
      <c r="B9" s="17">
        <f>'01'!B36</f>
        <v>12.719166666666668</v>
      </c>
      <c r="C9" s="17">
        <f>'01'!C36</f>
        <v>23.771666666666665</v>
      </c>
      <c r="D9" s="17">
        <f>'01'!D36</f>
        <v>23.852916666666669</v>
      </c>
      <c r="E9" s="17">
        <f>'01'!E36</f>
        <v>7.7166666666666677</v>
      </c>
      <c r="F9" s="17">
        <f>'01'!F36</f>
        <v>4.6916666666666673</v>
      </c>
      <c r="G9" s="17">
        <f>'01'!G36</f>
        <v>33.143333333333324</v>
      </c>
      <c r="H9" s="17">
        <f>'01'!H36</f>
        <v>14.334166666666663</v>
      </c>
      <c r="I9" s="17">
        <f>'01'!I36</f>
        <v>6.1675000000000004</v>
      </c>
      <c r="J9" s="17">
        <f>'01'!J36</f>
        <v>0.46625</v>
      </c>
      <c r="K9" s="17">
        <f>'01'!K36</f>
        <v>262.41833333333335</v>
      </c>
      <c r="L9" s="17">
        <f>'01'!L36</f>
        <v>27.990416666666661</v>
      </c>
      <c r="M9" s="17">
        <f>'01'!M36</f>
        <v>87.521666666666661</v>
      </c>
      <c r="N9" s="17">
        <f>'01'!N36</f>
        <v>176.59583333333333</v>
      </c>
      <c r="O9" s="17">
        <f>'01'!O36</f>
        <v>8.3333333333333332E-3</v>
      </c>
      <c r="P9" s="17">
        <f>'01'!P36</f>
        <v>0.71291666666666698</v>
      </c>
      <c r="Q9" s="17">
        <f>'01'!Q36</f>
        <v>3.8733333333333344</v>
      </c>
      <c r="R9" s="34"/>
      <c r="S9" s="34"/>
      <c r="T9" s="34"/>
      <c r="U9" s="35"/>
    </row>
    <row r="10" spans="1:21" s="2" customFormat="1">
      <c r="A10" s="16" t="str">
        <f>'02'!$B$2</f>
        <v>02/10/2023 01:00</v>
      </c>
      <c r="B10" s="17">
        <f>'02'!B36</f>
        <v>14.013750000000003</v>
      </c>
      <c r="C10" s="17">
        <f>'02'!C36</f>
        <v>23.927916666666665</v>
      </c>
      <c r="D10" s="17">
        <f>'02'!D36</f>
        <v>24.892500000000002</v>
      </c>
      <c r="E10" s="17">
        <f>'02'!E36</f>
        <v>8.1162499999999991</v>
      </c>
      <c r="F10" s="17">
        <f>'02'!F36</f>
        <v>4.2620833333333348</v>
      </c>
      <c r="G10" s="17">
        <f>'02'!G36</f>
        <v>32.30833333333333</v>
      </c>
      <c r="H10" s="17">
        <f>'02'!H36</f>
        <v>13.014583333333336</v>
      </c>
      <c r="I10" s="17">
        <f>'02'!I36</f>
        <v>5.535000000000001</v>
      </c>
      <c r="J10" s="17">
        <f>'02'!J36</f>
        <v>0.37000000000000005</v>
      </c>
      <c r="K10" s="17">
        <f>'02'!K36</f>
        <v>286.74708333333331</v>
      </c>
      <c r="L10" s="17">
        <f>'02'!L36</f>
        <v>28.15166666666666</v>
      </c>
      <c r="M10" s="17">
        <f>'02'!M36</f>
        <v>87.429166666666688</v>
      </c>
      <c r="N10" s="17">
        <f>'02'!N36</f>
        <v>166.85416666666669</v>
      </c>
      <c r="O10" s="17">
        <f>'02'!O36</f>
        <v>0.15</v>
      </c>
      <c r="P10" s="17">
        <f>'02'!P36</f>
        <v>0.66750000000000009</v>
      </c>
      <c r="Q10" s="17">
        <f>'02'!Q36</f>
        <v>3.9671428571428571</v>
      </c>
      <c r="R10" s="36"/>
      <c r="S10" s="36"/>
      <c r="T10" s="36"/>
      <c r="U10" s="36"/>
    </row>
    <row r="11" spans="1:21" s="2" customFormat="1">
      <c r="A11" s="16" t="str">
        <f>'03'!$B$2</f>
        <v>03/10/2023 01:00</v>
      </c>
      <c r="B11" s="17">
        <f>'03'!B36</f>
        <v>19.220416666666662</v>
      </c>
      <c r="C11" s="17">
        <f>'03'!C36</f>
        <v>25.995000000000005</v>
      </c>
      <c r="D11" s="17">
        <f>'03'!D36</f>
        <v>30.208749999999995</v>
      </c>
      <c r="E11" s="17">
        <f>'03'!E36</f>
        <v>8.2370833333333326</v>
      </c>
      <c r="F11" s="17">
        <f>'03'!F36</f>
        <v>4.324583333333333</v>
      </c>
      <c r="G11" s="17">
        <f>'03'!G36</f>
        <v>37.112083333333331</v>
      </c>
      <c r="H11" s="17">
        <f>'03'!H36</f>
        <v>11.990833333333333</v>
      </c>
      <c r="I11" s="17">
        <f>'03'!I36</f>
        <v>4.6045833333333341</v>
      </c>
      <c r="J11" s="17">
        <f>'03'!J36</f>
        <v>0.64958333333333329</v>
      </c>
      <c r="K11" s="17">
        <f>'03'!K36</f>
        <v>232.3541666666666</v>
      </c>
      <c r="L11" s="17">
        <f>'03'!L36</f>
        <v>27.652500000000007</v>
      </c>
      <c r="M11" s="17">
        <f>'03'!M36</f>
        <v>84.041250000000005</v>
      </c>
      <c r="N11" s="17">
        <f>'03'!N36</f>
        <v>186.15416666666667</v>
      </c>
      <c r="O11" s="17">
        <f>'03'!O36</f>
        <v>8.3333333333333329E-2</v>
      </c>
      <c r="P11" s="17">
        <f>'03'!P36</f>
        <v>0.65249999999999997</v>
      </c>
      <c r="Q11" s="17">
        <f>'03'!Q36</f>
        <v>4.3279999999999994</v>
      </c>
      <c r="R11" s="36"/>
      <c r="S11" s="36"/>
      <c r="T11" s="36"/>
      <c r="U11" s="36"/>
    </row>
    <row r="12" spans="1:21" s="2" customFormat="1">
      <c r="A12" s="16" t="str">
        <f>'04'!$B$2</f>
        <v>04/10/2023 01:00</v>
      </c>
      <c r="B12" s="17">
        <f>'04'!B36</f>
        <v>10.835416666666667</v>
      </c>
      <c r="C12" s="17">
        <f>'04'!C36</f>
        <v>26.217916666666664</v>
      </c>
      <c r="D12" s="17">
        <f>'04'!D36</f>
        <v>23.532500000000002</v>
      </c>
      <c r="E12" s="17">
        <f>'04'!E36</f>
        <v>7.0758333333333345</v>
      </c>
      <c r="F12" s="17">
        <f>'04'!F36</f>
        <v>5.8595833333333323</v>
      </c>
      <c r="G12" s="17">
        <f>'04'!G36</f>
        <v>50.560833333333335</v>
      </c>
      <c r="H12" s="17">
        <f>'04'!H36</f>
        <v>14.335416666666662</v>
      </c>
      <c r="I12" s="17">
        <f>'04'!I36</f>
        <v>4.5750000000000002</v>
      </c>
      <c r="J12" s="17">
        <f>'04'!J36</f>
        <v>0.54708333333333325</v>
      </c>
      <c r="K12" s="17">
        <f>'04'!K36</f>
        <v>291.10666666666663</v>
      </c>
      <c r="L12" s="17">
        <f>'04'!L36</f>
        <v>28.061666666666667</v>
      </c>
      <c r="M12" s="17">
        <f>'04'!M36</f>
        <v>61.437916666666673</v>
      </c>
      <c r="N12" s="17">
        <f>'04'!N36</f>
        <v>235.93749999999997</v>
      </c>
      <c r="O12" s="17">
        <f>'04'!O36</f>
        <v>0</v>
      </c>
      <c r="P12" s="17">
        <f>'04'!P36</f>
        <v>0.61875000000000002</v>
      </c>
      <c r="Q12" s="17">
        <f>'04'!Q36</f>
        <v>3.7483333333333335</v>
      </c>
      <c r="R12" s="36"/>
      <c r="S12" s="36"/>
      <c r="T12" s="36"/>
      <c r="U12" s="36"/>
    </row>
    <row r="13" spans="1:21" s="2" customFormat="1">
      <c r="A13" s="16" t="str">
        <f>'05'!$B$2</f>
        <v>05/10/2023 01:00</v>
      </c>
      <c r="B13" s="17">
        <f>'05'!B36</f>
        <v>9.2520833333333332</v>
      </c>
      <c r="C13" s="17">
        <f>'05'!C36</f>
        <v>27.049166666666661</v>
      </c>
      <c r="D13" s="17">
        <f>'05'!D36</f>
        <v>22.721249999999998</v>
      </c>
      <c r="E13" s="17">
        <f>'05'!E36</f>
        <v>7.1970833333333344</v>
      </c>
      <c r="F13" s="17">
        <f>'05'!F36</f>
        <v>5.7116666666666669</v>
      </c>
      <c r="G13" s="17">
        <f>'05'!G36</f>
        <v>62.758749999999999</v>
      </c>
      <c r="H13" s="17">
        <f>'05'!H36</f>
        <v>18.884166666666669</v>
      </c>
      <c r="I13" s="17">
        <f>'05'!I36</f>
        <v>6.8037500000000009</v>
      </c>
      <c r="J13" s="17">
        <f>'05'!J36</f>
        <v>0.39708333333333323</v>
      </c>
      <c r="K13" s="17">
        <f>'05'!K36</f>
        <v>246.49541666666664</v>
      </c>
      <c r="L13" s="17">
        <f>'05'!L36</f>
        <v>27.494583333333335</v>
      </c>
      <c r="M13" s="17">
        <f>'05'!M36</f>
        <v>69.757500000000007</v>
      </c>
      <c r="N13" s="17">
        <f>'05'!N36</f>
        <v>229.06666666666663</v>
      </c>
      <c r="O13" s="17">
        <f>'05'!O36</f>
        <v>0</v>
      </c>
      <c r="P13" s="17">
        <f>'05'!P36</f>
        <v>0.72791666666666643</v>
      </c>
      <c r="Q13" s="17">
        <f>'05'!Q36</f>
        <v>3.7691666666666666</v>
      </c>
      <c r="R13" s="36"/>
      <c r="S13" s="36"/>
      <c r="T13" s="36"/>
      <c r="U13" s="36"/>
    </row>
    <row r="14" spans="1:21" s="2" customFormat="1">
      <c r="A14" s="16" t="str">
        <f>'06'!$B$2</f>
        <v>06/10/2023 01:00</v>
      </c>
      <c r="B14" s="18">
        <f>'06'!B36</f>
        <v>10.847083333333336</v>
      </c>
      <c r="C14" s="18">
        <f>'06'!C36</f>
        <v>26.227916666666669</v>
      </c>
      <c r="D14" s="18">
        <f>'06'!D36</f>
        <v>23.53</v>
      </c>
      <c r="E14" s="18">
        <f>'06'!E36</f>
        <v>8.6254166666666681</v>
      </c>
      <c r="F14" s="18">
        <f>'06'!F36</f>
        <v>7.4520833333333343</v>
      </c>
      <c r="G14" s="18">
        <f>'06'!G36</f>
        <v>62.769130434782603</v>
      </c>
      <c r="H14" s="18">
        <f>'06'!H36</f>
        <v>17.894347826086957</v>
      </c>
      <c r="I14" s="18">
        <f>'06'!I36</f>
        <v>6.1262499999999989</v>
      </c>
      <c r="J14" s="18">
        <f>'06'!J36</f>
        <v>0.29083333333333339</v>
      </c>
      <c r="K14" s="18">
        <f>'06'!K36</f>
        <v>248.70000000000002</v>
      </c>
      <c r="L14" s="18">
        <f>'06'!L36</f>
        <v>27.75</v>
      </c>
      <c r="M14" s="18">
        <f>'06'!M36</f>
        <v>77.57416666666667</v>
      </c>
      <c r="N14" s="18">
        <f>'06'!N36</f>
        <v>198.4666666666667</v>
      </c>
      <c r="O14" s="18">
        <f>'06'!O36</f>
        <v>0</v>
      </c>
      <c r="P14" s="18">
        <f>'06'!P36</f>
        <v>0.78291666666666682</v>
      </c>
      <c r="Q14" s="18">
        <f>'06'!Q36</f>
        <v>3.773750000000001</v>
      </c>
      <c r="R14" s="36"/>
      <c r="S14" s="36"/>
      <c r="T14" s="36"/>
      <c r="U14" s="36"/>
    </row>
    <row r="15" spans="1:21" s="2" customFormat="1">
      <c r="A15" s="16" t="str">
        <f>'07'!$B$2</f>
        <v>07/10/2023 01:00</v>
      </c>
      <c r="B15" s="18">
        <f>'07'!B36</f>
        <v>14.580416666666666</v>
      </c>
      <c r="C15" s="18">
        <f>'07'!C36</f>
        <v>29.886249999999993</v>
      </c>
      <c r="D15" s="18">
        <f>'07'!D36</f>
        <v>28.434166666666666</v>
      </c>
      <c r="E15" s="18">
        <f>'07'!E36</f>
        <v>9.4933333333333323</v>
      </c>
      <c r="F15" s="18">
        <f>'07'!F36</f>
        <v>6.4116666666666662</v>
      </c>
      <c r="G15" s="18">
        <f>'07'!G36</f>
        <v>78.317083333333315</v>
      </c>
      <c r="H15" s="18">
        <f>'07'!H36</f>
        <v>26.193750000000005</v>
      </c>
      <c r="I15" s="18">
        <f>'07'!I36</f>
        <v>6.3604166666666657</v>
      </c>
      <c r="J15" s="18">
        <f>'07'!J36</f>
        <v>0.27708333333333329</v>
      </c>
      <c r="K15" s="18">
        <f>'07'!K36</f>
        <v>212.48625000000001</v>
      </c>
      <c r="L15" s="18">
        <f>'07'!L36</f>
        <v>27.695000000000004</v>
      </c>
      <c r="M15" s="18">
        <f>'07'!M36</f>
        <v>69.893749999999997</v>
      </c>
      <c r="N15" s="18">
        <f>'07'!N36</f>
        <v>217.97916666666671</v>
      </c>
      <c r="O15" s="18">
        <f>'07'!O36</f>
        <v>0</v>
      </c>
      <c r="P15" s="18">
        <f>'07'!P36</f>
        <v>0.87124999999999986</v>
      </c>
      <c r="Q15" s="18">
        <f>'07'!Q36</f>
        <v>4.117916666666666</v>
      </c>
      <c r="R15" s="36"/>
      <c r="S15" s="36"/>
      <c r="T15" s="36"/>
      <c r="U15" s="36"/>
    </row>
    <row r="16" spans="1:21" s="2" customFormat="1">
      <c r="A16" s="16" t="str">
        <f>'08'!$B$2</f>
        <v>08/10/2023 01:00</v>
      </c>
      <c r="B16" s="18">
        <f>'08'!B36</f>
        <v>10.343333333333332</v>
      </c>
      <c r="C16" s="18">
        <f>'08'!C36</f>
        <v>25.915000000000006</v>
      </c>
      <c r="D16" s="18">
        <f>'08'!D36</f>
        <v>23.019166666666667</v>
      </c>
      <c r="E16" s="18">
        <f>'08'!E36</f>
        <v>8.2045833333333338</v>
      </c>
      <c r="F16" s="18">
        <f>'08'!F36</f>
        <v>6.1766666666666685</v>
      </c>
      <c r="G16" s="18">
        <f>'08'!G36</f>
        <v>62.198333333333323</v>
      </c>
      <c r="H16" s="18">
        <f>'08'!H36</f>
        <v>21.552916666666665</v>
      </c>
      <c r="I16" s="18">
        <f>'08'!I36</f>
        <v>6.2183333333333328</v>
      </c>
      <c r="J16" s="18">
        <f>'08'!J36</f>
        <v>0.26291666666666669</v>
      </c>
      <c r="K16" s="18">
        <f>'08'!K36</f>
        <v>233.35541666666668</v>
      </c>
      <c r="L16" s="18">
        <f>'08'!L36</f>
        <v>28.152083333333337</v>
      </c>
      <c r="M16" s="18">
        <f>'08'!M36</f>
        <v>75.080833333333331</v>
      </c>
      <c r="N16" s="18">
        <f>'08'!N36</f>
        <v>208.92500000000007</v>
      </c>
      <c r="O16" s="18">
        <f>'08'!O36</f>
        <v>0</v>
      </c>
      <c r="P16" s="18">
        <f>'08'!P36</f>
        <v>0.71166666666666689</v>
      </c>
      <c r="Q16" s="18">
        <f>'08'!Q36</f>
        <v>3.7287499999999998</v>
      </c>
      <c r="R16" s="36"/>
      <c r="S16" s="36"/>
      <c r="T16" s="36"/>
      <c r="U16" s="36"/>
    </row>
    <row r="17" spans="1:24" s="2" customFormat="1">
      <c r="A17" s="16" t="str">
        <f>'09'!$B$2</f>
        <v>09/10/2023 01:00</v>
      </c>
      <c r="B17" s="18">
        <f>'09'!B36</f>
        <v>10.029999999999998</v>
      </c>
      <c r="C17" s="18">
        <f>'09'!C36</f>
        <v>25.297499999999996</v>
      </c>
      <c r="D17" s="18">
        <f>'09'!D36</f>
        <v>22.329583333333332</v>
      </c>
      <c r="E17" s="18">
        <f>'09'!E36</f>
        <v>8.5075000000000003</v>
      </c>
      <c r="F17" s="18">
        <f>'09'!F36</f>
        <v>7.6691666666666665</v>
      </c>
      <c r="G17" s="18">
        <f>'09'!G36</f>
        <v>56.342500000000001</v>
      </c>
      <c r="H17" s="18">
        <f>'09'!H36</f>
        <v>18.589583333333334</v>
      </c>
      <c r="I17" s="18">
        <f>'09'!I36</f>
        <v>5.2250000000000005</v>
      </c>
      <c r="J17" s="18">
        <f>'09'!J36</f>
        <v>0.29458333333333325</v>
      </c>
      <c r="K17" s="18">
        <f>'09'!K36</f>
        <v>223.24166666666659</v>
      </c>
      <c r="L17" s="18">
        <f>'09'!L36</f>
        <v>28.607499999999998</v>
      </c>
      <c r="M17" s="18">
        <f>'09'!M36</f>
        <v>75.871250000000003</v>
      </c>
      <c r="N17" s="18">
        <f>'09'!N36</f>
        <v>200.2583333333333</v>
      </c>
      <c r="O17" s="18">
        <f>'09'!O36</f>
        <v>0</v>
      </c>
      <c r="P17" s="18">
        <f>'09'!P36</f>
        <v>0.61875000000000002</v>
      </c>
      <c r="Q17" s="18">
        <f>'09'!Q36</f>
        <v>3.7179166666666661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10/10/2023 01:00</v>
      </c>
      <c r="B18" s="18">
        <f>'10'!B36</f>
        <v>9.3545833333333306</v>
      </c>
      <c r="C18" s="18">
        <f>'10'!C36</f>
        <v>26.094166666666666</v>
      </c>
      <c r="D18" s="18">
        <f>'10'!D36</f>
        <v>21.981666666666666</v>
      </c>
      <c r="E18" s="18">
        <f>'10'!E36</f>
        <v>8.3833333333333311</v>
      </c>
      <c r="F18" s="18">
        <f>'10'!F36</f>
        <v>7.236250000000001</v>
      </c>
      <c r="G18" s="18">
        <f>'10'!G36</f>
        <v>61.344999999999992</v>
      </c>
      <c r="H18" s="18">
        <f>'10'!H36</f>
        <v>19.567500000000003</v>
      </c>
      <c r="I18" s="18">
        <f>'10'!I36</f>
        <v>35.363750000000003</v>
      </c>
      <c r="J18" s="18">
        <f>'10'!J36</f>
        <v>0.32708333333333334</v>
      </c>
      <c r="K18" s="18">
        <f>'10'!K36</f>
        <v>194.16416666666672</v>
      </c>
      <c r="L18" s="18">
        <f>'10'!L36</f>
        <v>28.664166666666663</v>
      </c>
      <c r="M18" s="18">
        <f>'10'!M36</f>
        <v>76.518749999999997</v>
      </c>
      <c r="N18" s="18">
        <f>'10'!N36</f>
        <v>194.7416666666667</v>
      </c>
      <c r="O18" s="18">
        <f>'10'!O36</f>
        <v>0</v>
      </c>
      <c r="P18" s="18">
        <f>'10'!P36</f>
        <v>0.68374999999999997</v>
      </c>
      <c r="Q18" s="18">
        <f>'10'!Q36</f>
        <v>3.6962500000000009</v>
      </c>
      <c r="R18" s="36"/>
      <c r="S18" s="36"/>
      <c r="T18" s="36"/>
      <c r="U18" s="36"/>
    </row>
    <row r="19" spans="1:24" s="2" customFormat="1">
      <c r="A19" s="16" t="str">
        <f>'11'!$B$2</f>
        <v>11/10/2023 01:00</v>
      </c>
      <c r="B19" s="18">
        <f>'11'!B36</f>
        <v>10.762500000000001</v>
      </c>
      <c r="C19" s="18">
        <f>'11'!C36</f>
        <v>23.666666666666671</v>
      </c>
      <c r="D19" s="18">
        <f>'11'!D36</f>
        <v>21.44875</v>
      </c>
      <c r="E19" s="18">
        <f>'11'!E36</f>
        <v>9.0900000000000016</v>
      </c>
      <c r="F19" s="18">
        <f>'11'!F36</f>
        <v>6.8770833333333341</v>
      </c>
      <c r="G19" s="18">
        <f>'11'!G36</f>
        <v>60.247083333333343</v>
      </c>
      <c r="H19" s="18">
        <f>'11'!H36</f>
        <v>20.291666666666664</v>
      </c>
      <c r="I19" s="18">
        <f>'11'!I36</f>
        <v>14.355833333333331</v>
      </c>
      <c r="J19" s="18">
        <f>'11'!J36</f>
        <v>0.29625000000000001</v>
      </c>
      <c r="K19" s="18">
        <f>'11'!K36</f>
        <v>204.54374999999996</v>
      </c>
      <c r="L19" s="18">
        <f>'11'!L36</f>
        <v>28.589166666666671</v>
      </c>
      <c r="M19" s="18">
        <f>'11'!M36</f>
        <v>76.247916666666669</v>
      </c>
      <c r="N19" s="18">
        <f>'11'!N36</f>
        <v>199.67083333333335</v>
      </c>
      <c r="O19" s="18">
        <f>'11'!O36</f>
        <v>0</v>
      </c>
      <c r="P19" s="18">
        <f>'11'!P36</f>
        <v>0.67208333333333325</v>
      </c>
      <c r="Q19" s="18">
        <f>'11'!Q36</f>
        <v>3.7124999999999999</v>
      </c>
      <c r="R19" s="36"/>
      <c r="S19" s="36"/>
      <c r="T19" s="36"/>
      <c r="U19" s="36"/>
    </row>
    <row r="20" spans="1:24" s="2" customFormat="1">
      <c r="A20" s="16" t="str">
        <f>'12'!$B$2</f>
        <v>12/10/2023 01:00</v>
      </c>
      <c r="B20" s="18">
        <f>'12'!B36</f>
        <v>8.8913043478260878</v>
      </c>
      <c r="C20" s="18">
        <f>'12'!C36</f>
        <v>23.420434782608687</v>
      </c>
      <c r="D20" s="18">
        <f>'12'!D36</f>
        <v>20.089565217391304</v>
      </c>
      <c r="E20" s="18">
        <f>'12'!E36</f>
        <v>7.8673913043478247</v>
      </c>
      <c r="F20" s="18">
        <f>'12'!F36</f>
        <v>8.7462500000000016</v>
      </c>
      <c r="G20" s="18">
        <f>'12'!G36</f>
        <v>47.870869565217411</v>
      </c>
      <c r="H20" s="18">
        <f>'12'!H36</f>
        <v>16.995652173913044</v>
      </c>
      <c r="I20" s="18">
        <f>'12'!I36</f>
        <v>24.416249999999994</v>
      </c>
      <c r="J20" s="18">
        <f>'12'!J36</f>
        <v>0.23041666666666671</v>
      </c>
      <c r="K20" s="18">
        <f>'12'!K36</f>
        <v>232.05833333333331</v>
      </c>
      <c r="L20" s="18">
        <f>'12'!L36</f>
        <v>28.308749999999993</v>
      </c>
      <c r="M20" s="18">
        <f>'12'!M36</f>
        <v>77.720833333333346</v>
      </c>
      <c r="N20" s="18">
        <f>'12'!N36</f>
        <v>157.12083333333334</v>
      </c>
      <c r="O20" s="18">
        <f>'12'!O36</f>
        <v>0</v>
      </c>
      <c r="P20" s="18">
        <f>'12'!P36</f>
        <v>0.67499999999999993</v>
      </c>
      <c r="Q20" s="18">
        <f>'12'!Q36</f>
        <v>4.5704166666666657</v>
      </c>
      <c r="R20" s="36"/>
      <c r="S20" s="36"/>
      <c r="T20" s="36"/>
      <c r="U20" s="36"/>
    </row>
    <row r="21" spans="1:24" s="2" customFormat="1">
      <c r="A21" s="16" t="str">
        <f>'13'!$B$2</f>
        <v>13/10/2023 01:00</v>
      </c>
      <c r="B21" s="18">
        <f>'13'!B36</f>
        <v>11.830416666666665</v>
      </c>
      <c r="C21" s="18">
        <f>'13'!C36</f>
        <v>23.239166666666673</v>
      </c>
      <c r="D21" s="18">
        <f>'13'!D36</f>
        <v>22.753749999999997</v>
      </c>
      <c r="E21" s="18">
        <f>'13'!E36</f>
        <v>7.8195833333333331</v>
      </c>
      <c r="F21" s="18">
        <f>'13'!F36</f>
        <v>5.1179166666666669</v>
      </c>
      <c r="G21" s="18">
        <f>'13'!G36</f>
        <v>59.249999999999993</v>
      </c>
      <c r="H21" s="18">
        <f>'13'!H36</f>
        <v>21.517083333333332</v>
      </c>
      <c r="I21" s="18">
        <f>'13'!I36</f>
        <v>11.026249999999999</v>
      </c>
      <c r="J21" s="18">
        <f>'13'!J36</f>
        <v>0.22166666666666671</v>
      </c>
      <c r="K21" s="18">
        <f>'13'!K36</f>
        <v>208.67708333333337</v>
      </c>
      <c r="L21" s="18">
        <f>'13'!L36</f>
        <v>28.341666666666672</v>
      </c>
      <c r="M21" s="18">
        <f>'13'!M36</f>
        <v>78.122500000000016</v>
      </c>
      <c r="N21" s="18">
        <f>'13'!N36</f>
        <v>167.26666666666668</v>
      </c>
      <c r="O21" s="18">
        <f>'13'!O36</f>
        <v>0</v>
      </c>
      <c r="P21" s="18">
        <f>'13'!P36</f>
        <v>0.69458333333333344</v>
      </c>
      <c r="Q21" s="18">
        <f>'13'!Q36</f>
        <v>5.4391666666666678</v>
      </c>
      <c r="R21" s="36"/>
      <c r="S21" s="36"/>
      <c r="T21" s="36"/>
      <c r="U21" s="36"/>
    </row>
    <row r="22" spans="1:24" s="2" customFormat="1">
      <c r="A22" s="16" t="str">
        <f>'14'!$B$2</f>
        <v>14/10/2023 01:00</v>
      </c>
      <c r="B22" s="18">
        <f>'14'!B36</f>
        <v>10.663333333333332</v>
      </c>
      <c r="C22" s="18">
        <f>'14'!C36</f>
        <v>25.783333333333335</v>
      </c>
      <c r="D22" s="18">
        <f>'14'!D36</f>
        <v>23.110833333333332</v>
      </c>
      <c r="E22" s="18">
        <f>'14'!E36</f>
        <v>7.742916666666666</v>
      </c>
      <c r="F22" s="18">
        <f>'14'!F36</f>
        <v>6.0029166666666667</v>
      </c>
      <c r="G22" s="18">
        <f>'14'!G36</f>
        <v>67.613749999999996</v>
      </c>
      <c r="H22" s="18">
        <f>'14'!H36</f>
        <v>22.878333333333341</v>
      </c>
      <c r="I22" s="18">
        <f>'14'!I36</f>
        <v>7.9670833333333348</v>
      </c>
      <c r="J22" s="18">
        <f>'14'!J36</f>
        <v>0.29541666666666666</v>
      </c>
      <c r="K22" s="18">
        <f>'14'!K36</f>
        <v>191.8770833333333</v>
      </c>
      <c r="L22" s="18">
        <f>'14'!L36</f>
        <v>28.092083333333331</v>
      </c>
      <c r="M22" s="18">
        <f>'14'!M36</f>
        <v>75.484166666666667</v>
      </c>
      <c r="N22" s="18">
        <f>'14'!N36</f>
        <v>161.04999999999998</v>
      </c>
      <c r="O22" s="18">
        <f>'14'!O36</f>
        <v>0</v>
      </c>
      <c r="P22" s="18">
        <f>'14'!P36</f>
        <v>0.82875000000000021</v>
      </c>
      <c r="Q22" s="18">
        <f>'14'!Q36</f>
        <v>5.4899999999999993</v>
      </c>
      <c r="R22" s="38"/>
      <c r="S22" s="38"/>
      <c r="T22" s="38"/>
      <c r="U22" s="38"/>
    </row>
    <row r="23" spans="1:24" s="2" customFormat="1">
      <c r="A23" s="16" t="str">
        <f>'15'!$B$2</f>
        <v>15/10/2023 01:00</v>
      </c>
      <c r="B23" s="19">
        <f>'15'!B36</f>
        <v>10.929583333333333</v>
      </c>
      <c r="C23" s="19">
        <f>'15'!C36</f>
        <v>23.478750000000009</v>
      </c>
      <c r="D23" s="19">
        <f>'15'!D36</f>
        <v>22.174583333333334</v>
      </c>
      <c r="E23" s="19">
        <f>'15'!E36</f>
        <v>7.145833333333333</v>
      </c>
      <c r="F23" s="19">
        <f>'15'!F36</f>
        <v>5.705000000000001</v>
      </c>
      <c r="G23" s="19">
        <f>'15'!G36</f>
        <v>47.780833333333334</v>
      </c>
      <c r="H23" s="19">
        <f>'15'!H36</f>
        <v>19.674166666666668</v>
      </c>
      <c r="I23" s="19">
        <f>'15'!I36</f>
        <v>6.9804166666666667</v>
      </c>
      <c r="J23" s="19">
        <f>'15'!J36</f>
        <v>0.21333333333333335</v>
      </c>
      <c r="K23" s="19">
        <f>'15'!K36</f>
        <v>220.22666666666669</v>
      </c>
      <c r="L23" s="19">
        <f>'15'!L36</f>
        <v>27.640833333333333</v>
      </c>
      <c r="M23" s="19">
        <f>'15'!M36</f>
        <v>76.992499999999964</v>
      </c>
      <c r="N23" s="19">
        <f>'15'!N36</f>
        <v>159.79583333333335</v>
      </c>
      <c r="O23" s="19">
        <f>'15'!O36</f>
        <v>0</v>
      </c>
      <c r="P23" s="19">
        <f>'15'!P36</f>
        <v>0.68166666666666675</v>
      </c>
      <c r="Q23" s="19">
        <f>'15'!Q36</f>
        <v>5.407916666666666</v>
      </c>
      <c r="R23" s="38"/>
      <c r="S23" s="38"/>
      <c r="T23" s="38"/>
      <c r="U23" s="36"/>
    </row>
    <row r="24" spans="1:24" s="2" customFormat="1">
      <c r="A24" s="16" t="str">
        <f>'16'!$B$2</f>
        <v>16/10/2023 01:00</v>
      </c>
      <c r="B24" s="18">
        <f>'16'!B36</f>
        <v>11.005416666666669</v>
      </c>
      <c r="C24" s="18">
        <f>'16'!C36</f>
        <v>23.529166666666669</v>
      </c>
      <c r="D24" s="18">
        <f>'16'!D36</f>
        <v>22.346250000000001</v>
      </c>
      <c r="E24" s="18">
        <f>'16'!E36</f>
        <v>7.2629166666666665</v>
      </c>
      <c r="F24" s="18">
        <f>'16'!F36</f>
        <v>4.4241666666666664</v>
      </c>
      <c r="G24" s="18">
        <f>'16'!G36</f>
        <v>41.670833333333341</v>
      </c>
      <c r="H24" s="18">
        <f>'16'!H36</f>
        <v>17.940833333333334</v>
      </c>
      <c r="I24" s="18">
        <f>'16'!I36</f>
        <v>5.4608333333333334</v>
      </c>
      <c r="J24" s="18">
        <f>'16'!J36</f>
        <v>0.23833333333333337</v>
      </c>
      <c r="K24" s="18">
        <f>'16'!K36</f>
        <v>214.17499999999998</v>
      </c>
      <c r="L24" s="18">
        <f>'16'!L36</f>
        <v>27.324999999999999</v>
      </c>
      <c r="M24" s="18">
        <f>'16'!M36</f>
        <v>72.699583333333337</v>
      </c>
      <c r="N24" s="18">
        <f>'16'!N36</f>
        <v>192.03333333333333</v>
      </c>
      <c r="O24" s="18">
        <f>'16'!O36</f>
        <v>0</v>
      </c>
      <c r="P24" s="18">
        <f>'16'!P36</f>
        <v>0.56833333333333336</v>
      </c>
      <c r="Q24" s="18">
        <f>'16'!Q36</f>
        <v>5.387083333333333</v>
      </c>
      <c r="R24" s="38"/>
      <c r="S24" s="38"/>
      <c r="T24" s="38"/>
      <c r="U24" s="36"/>
    </row>
    <row r="25" spans="1:24" s="2" customFormat="1">
      <c r="A25" s="16" t="str">
        <f>'17'!$B$2</f>
        <v>17/10/2023 01:00</v>
      </c>
      <c r="B25" s="18">
        <f>'17'!B36</f>
        <v>11.444166666666668</v>
      </c>
      <c r="C25" s="18">
        <f>'17'!C36</f>
        <v>24.9175</v>
      </c>
      <c r="D25" s="18">
        <f>'17'!D36</f>
        <v>23.375833333333329</v>
      </c>
      <c r="E25" s="18">
        <f>'17'!E36</f>
        <v>7.6920833333333336</v>
      </c>
      <c r="F25" s="18">
        <f>'17'!F36</f>
        <v>4.4658333333333333</v>
      </c>
      <c r="G25" s="18">
        <f>'17'!G36</f>
        <v>52.089999999999982</v>
      </c>
      <c r="H25" s="18">
        <f>'17'!H36</f>
        <v>21.287916666666664</v>
      </c>
      <c r="I25" s="18">
        <f>'17'!I36</f>
        <v>6.4900000000000011</v>
      </c>
      <c r="J25" s="18">
        <f>'17'!J36</f>
        <v>0.29208333333333331</v>
      </c>
      <c r="K25" s="18">
        <f>'17'!K36</f>
        <v>183.84833333333336</v>
      </c>
      <c r="L25" s="18">
        <f>'17'!L36</f>
        <v>27.119583333333335</v>
      </c>
      <c r="M25" s="18">
        <f>'17'!M36</f>
        <v>74.145416666666648</v>
      </c>
      <c r="N25" s="18">
        <f>'17'!N36</f>
        <v>179.87083333333339</v>
      </c>
      <c r="O25" s="18">
        <f>'17'!O36</f>
        <v>0</v>
      </c>
      <c r="P25" s="18">
        <f>'17'!P36</f>
        <v>0.69208333333333327</v>
      </c>
      <c r="Q25" s="18">
        <f>'17'!Q36</f>
        <v>5.4604166666666663</v>
      </c>
      <c r="R25" s="38"/>
      <c r="S25" s="38"/>
      <c r="T25" s="38"/>
      <c r="U25" s="36"/>
    </row>
    <row r="26" spans="1:24" s="2" customFormat="1">
      <c r="A26" s="16" t="str">
        <f>'18'!$B$2</f>
        <v>18/10/2023 01:00</v>
      </c>
      <c r="B26" s="18">
        <f>'18'!B36</f>
        <v>12.669583333333334</v>
      </c>
      <c r="C26" s="18">
        <f>'18'!C36</f>
        <v>28.827499999999997</v>
      </c>
      <c r="D26" s="18">
        <f>'18'!D36</f>
        <v>26.150833333333338</v>
      </c>
      <c r="E26" s="18">
        <f>'18'!E36</f>
        <v>12.033809523809524</v>
      </c>
      <c r="F26" s="18">
        <f>'18'!F36</f>
        <v>6.2158333333333315</v>
      </c>
      <c r="G26" s="18">
        <f>'18'!G36</f>
        <v>74.032499999999999</v>
      </c>
      <c r="H26" s="18">
        <f>'18'!H36</f>
        <v>26.752916666666668</v>
      </c>
      <c r="I26" s="18">
        <f>'18'!I36</f>
        <v>5.4349999999999996</v>
      </c>
      <c r="J26" s="18">
        <f>'18'!J36</f>
        <v>0.32875000000000004</v>
      </c>
      <c r="K26" s="18">
        <f>'18'!K36</f>
        <v>166.18375</v>
      </c>
      <c r="L26" s="18">
        <f>'18'!L36</f>
        <v>26.808333333333334</v>
      </c>
      <c r="M26" s="18">
        <f>'18'!M36</f>
        <v>78.296666666666681</v>
      </c>
      <c r="N26" s="18">
        <f>'18'!N36</f>
        <v>160.79583333333335</v>
      </c>
      <c r="O26" s="18">
        <f>'18'!O36</f>
        <v>0</v>
      </c>
      <c r="P26" s="18">
        <f>'18'!P36</f>
        <v>0.72458333333333336</v>
      </c>
      <c r="Q26" s="18">
        <f>'18'!Q36</f>
        <v>5.3478260869565233</v>
      </c>
      <c r="R26" s="38"/>
      <c r="S26" s="38"/>
      <c r="T26" s="38"/>
      <c r="U26" s="36"/>
    </row>
    <row r="27" spans="1:24" s="2" customFormat="1">
      <c r="A27" s="16" t="str">
        <f>'19'!$B$2</f>
        <v>19/10/2023 01:00</v>
      </c>
      <c r="B27" s="18">
        <f>'19'!B36</f>
        <v>21.623333333333331</v>
      </c>
      <c r="C27" s="18">
        <f>'19'!C36</f>
        <v>26.856249999999999</v>
      </c>
      <c r="D27" s="18">
        <f>'19'!D36</f>
        <v>32.382499999999993</v>
      </c>
      <c r="E27" s="18">
        <f>'19'!E36</f>
        <v>12.218571428571432</v>
      </c>
      <c r="F27" s="18">
        <f>'19'!F36</f>
        <v>6.1745833333333335</v>
      </c>
      <c r="G27" s="18">
        <f>'19'!G36</f>
        <v>84.148260869565206</v>
      </c>
      <c r="H27" s="18">
        <f>'19'!H36</f>
        <v>30.371739130434776</v>
      </c>
      <c r="I27" s="18">
        <f>'19'!I36</f>
        <v>7.6954166666666657</v>
      </c>
      <c r="J27" s="18">
        <f>'19'!J36</f>
        <v>0.34958333333333336</v>
      </c>
      <c r="K27" s="18">
        <f>'19'!K36</f>
        <v>113.68583333333332</v>
      </c>
      <c r="L27" s="18">
        <f>'19'!L36</f>
        <v>27.15625</v>
      </c>
      <c r="M27" s="18">
        <f>'19'!M36</f>
        <v>81.927500000000009</v>
      </c>
      <c r="N27" s="18">
        <f>'19'!N36</f>
        <v>160.30833333333331</v>
      </c>
      <c r="O27" s="18">
        <f>'19'!O36</f>
        <v>0</v>
      </c>
      <c r="P27" s="18">
        <f>'19'!P36</f>
        <v>0.79666666666666686</v>
      </c>
      <c r="Q27" s="18">
        <f>'19'!Q36</f>
        <v>5.3454166666666678</v>
      </c>
      <c r="R27" s="38"/>
      <c r="S27" s="38"/>
      <c r="T27" s="38"/>
      <c r="U27" s="36"/>
    </row>
    <row r="28" spans="1:24" s="2" customFormat="1">
      <c r="A28" s="16" t="str">
        <f>'20'!$B$2</f>
        <v>20/10/2023 01:00</v>
      </c>
      <c r="B28" s="18">
        <f>'20'!B36</f>
        <v>17.842916666666667</v>
      </c>
      <c r="C28" s="18">
        <f>'20'!C36</f>
        <v>22.729166666666668</v>
      </c>
      <c r="D28" s="18">
        <f>'20'!D36</f>
        <v>27.266666666666662</v>
      </c>
      <c r="E28" s="18">
        <f>'20'!E36</f>
        <v>8.2249999999999996</v>
      </c>
      <c r="F28" s="18">
        <f>'20'!F36</f>
        <v>4.2354166666666666</v>
      </c>
      <c r="G28" s="18">
        <f>'20'!G36</f>
        <v>83.125000000000014</v>
      </c>
      <c r="H28" s="18">
        <f>'20'!H36</f>
        <v>31.983750000000001</v>
      </c>
      <c r="I28" s="18">
        <f>'20'!I36</f>
        <v>6.0895833333333327</v>
      </c>
      <c r="J28" s="18">
        <f>'20'!J36</f>
        <v>0.42541666666666672</v>
      </c>
      <c r="K28" s="18">
        <f>'20'!K36</f>
        <v>119.40541666666668</v>
      </c>
      <c r="L28" s="18">
        <f>'20'!L36</f>
        <v>26.397916666666671</v>
      </c>
      <c r="M28" s="18">
        <f>'20'!M36</f>
        <v>79.904999999999987</v>
      </c>
      <c r="N28" s="18">
        <f>'20'!N36</f>
        <v>167.22083333333333</v>
      </c>
      <c r="O28" s="18">
        <f>'20'!O36</f>
        <v>0</v>
      </c>
      <c r="P28" s="18">
        <f>'20'!P36</f>
        <v>0.7629166666666668</v>
      </c>
      <c r="Q28" s="18">
        <f>'20'!Q36</f>
        <v>5.1016666666666675</v>
      </c>
      <c r="R28" s="38"/>
      <c r="S28" s="38"/>
      <c r="T28" s="38"/>
      <c r="U28" s="36"/>
    </row>
    <row r="29" spans="1:24" s="2" customFormat="1">
      <c r="A29" s="16" t="str">
        <f>'21'!$B$2</f>
        <v>21/10/2023 01:00</v>
      </c>
      <c r="B29" s="18">
        <f>'21'!B36</f>
        <v>16.233750000000001</v>
      </c>
      <c r="C29" s="18">
        <f>'21'!C36</f>
        <v>23.065833333333334</v>
      </c>
      <c r="D29" s="18">
        <f>'21'!D36</f>
        <v>26.236666666666675</v>
      </c>
      <c r="E29" s="18">
        <f>'21'!E36</f>
        <v>6.5179166666666681</v>
      </c>
      <c r="F29" s="18">
        <f>'21'!F36</f>
        <v>4.03125</v>
      </c>
      <c r="G29" s="18">
        <f>'21'!G36</f>
        <v>75.155416666666667</v>
      </c>
      <c r="H29" s="18">
        <f>'21'!H36</f>
        <v>24.9575</v>
      </c>
      <c r="I29" s="18">
        <f>'21'!I36</f>
        <v>6.0412499999999989</v>
      </c>
      <c r="J29" s="18">
        <f>'21'!J36</f>
        <v>0.37500000000000006</v>
      </c>
      <c r="K29" s="18">
        <f>'21'!K36</f>
        <v>124.92583333333333</v>
      </c>
      <c r="L29" s="18">
        <f>'21'!L36</f>
        <v>25.349583333333339</v>
      </c>
      <c r="M29" s="18">
        <f>'21'!M36</f>
        <v>70.866249999999994</v>
      </c>
      <c r="N29" s="18">
        <f>'21'!N36</f>
        <v>193.17499999999998</v>
      </c>
      <c r="O29" s="18">
        <f>'21'!O36</f>
        <v>0</v>
      </c>
      <c r="P29" s="18">
        <f>'21'!P36</f>
        <v>0.71416666666666651</v>
      </c>
      <c r="Q29" s="18">
        <f>'21'!Q36</f>
        <v>5.0283333333333333</v>
      </c>
      <c r="R29" s="38"/>
      <c r="S29" s="38"/>
      <c r="T29" s="38"/>
      <c r="U29" s="36"/>
    </row>
    <row r="30" spans="1:24" s="2" customFormat="1">
      <c r="A30" s="16" t="str">
        <f>'22'!$B$2</f>
        <v>22/10/2023 01:00</v>
      </c>
      <c r="B30" s="18">
        <f>'22'!B36</f>
        <v>21.442083333333333</v>
      </c>
      <c r="C30" s="18">
        <f>'22'!C36</f>
        <v>24.494583333333335</v>
      </c>
      <c r="D30" s="18">
        <f>'22'!D36</f>
        <v>31.174583333333334</v>
      </c>
      <c r="E30" s="18">
        <f>'22'!E36</f>
        <v>5.666666666666667</v>
      </c>
      <c r="F30" s="18">
        <f>'22'!F36</f>
        <v>4.1695833333333336</v>
      </c>
      <c r="G30" s="18">
        <f>'22'!G36</f>
        <v>80.617499999999978</v>
      </c>
      <c r="H30" s="18">
        <f>'22'!H36</f>
        <v>26.241666666666671</v>
      </c>
      <c r="I30" s="18">
        <f>'22'!I36</f>
        <v>6.9849999999999994</v>
      </c>
      <c r="J30" s="18">
        <f>'22'!J36</f>
        <v>0.36749999999999999</v>
      </c>
      <c r="K30" s="18">
        <f>'22'!K36</f>
        <v>168.1945833333333</v>
      </c>
      <c r="L30" s="18">
        <f>'22'!L36</f>
        <v>25.242499999999996</v>
      </c>
      <c r="M30" s="18">
        <f>'22'!M36</f>
        <v>71.242083333333341</v>
      </c>
      <c r="N30" s="18">
        <f>'22'!N36</f>
        <v>186.09583333333339</v>
      </c>
      <c r="O30" s="18">
        <f>'22'!O36</f>
        <v>0</v>
      </c>
      <c r="P30" s="18">
        <f>'22'!P36</f>
        <v>0.8025000000000001</v>
      </c>
      <c r="Q30" s="18">
        <f>'22'!Q36</f>
        <v>5.2599999999999989</v>
      </c>
      <c r="R30" s="38"/>
      <c r="S30" s="36"/>
      <c r="T30" s="36"/>
      <c r="U30" s="36"/>
    </row>
    <row r="31" spans="1:24" s="2" customFormat="1">
      <c r="A31" s="16" t="str">
        <f>'23'!$B$2</f>
        <v>23/10/2023 01:00</v>
      </c>
      <c r="B31" s="18">
        <f>'23'!B36</f>
        <v>20.7</v>
      </c>
      <c r="C31" s="18">
        <f>'23'!C36</f>
        <v>28.079166666666666</v>
      </c>
      <c r="D31" s="18">
        <f>'23'!D36</f>
        <v>32.304999999999993</v>
      </c>
      <c r="E31" s="18">
        <f>'23'!E36</f>
        <v>7.6675000000000004</v>
      </c>
      <c r="F31" s="18">
        <f>'23'!F36</f>
        <v>5.5895833333333336</v>
      </c>
      <c r="G31" s="18">
        <f>'23'!G36</f>
        <v>88.448749999999976</v>
      </c>
      <c r="H31" s="18">
        <f>'23'!H36</f>
        <v>30.170416666666668</v>
      </c>
      <c r="I31" s="18">
        <f>'23'!I36</f>
        <v>6.5741666666666676</v>
      </c>
      <c r="J31" s="18">
        <f>'23'!J36</f>
        <v>0.40958333333333335</v>
      </c>
      <c r="K31" s="18">
        <f>'23'!K36</f>
        <v>112.46749999999999</v>
      </c>
      <c r="L31" s="18">
        <f>'23'!L36</f>
        <v>24.357083333333332</v>
      </c>
      <c r="M31" s="18">
        <f>'23'!M36</f>
        <v>69.64458333333333</v>
      </c>
      <c r="N31" s="18">
        <f>'23'!N36</f>
        <v>185.00416666666663</v>
      </c>
      <c r="O31" s="18">
        <f>'23'!O36</f>
        <v>0</v>
      </c>
      <c r="P31" s="18">
        <f>'23'!P36</f>
        <v>0.91500000000000004</v>
      </c>
      <c r="Q31" s="18">
        <f>'23'!Q36</f>
        <v>5.2124999999999995</v>
      </c>
      <c r="R31" s="36"/>
      <c r="S31" s="36"/>
      <c r="T31" s="36"/>
      <c r="U31" s="36"/>
    </row>
    <row r="32" spans="1:24" s="2" customFormat="1">
      <c r="A32" s="16" t="str">
        <f>'24'!$B$2</f>
        <v>24/10/2023 01:00</v>
      </c>
      <c r="B32" s="18">
        <f>'24'!B36</f>
        <v>22.484166666666667</v>
      </c>
      <c r="C32" s="18">
        <f>'24'!C36</f>
        <v>26.415416666666662</v>
      </c>
      <c r="D32" s="18">
        <f>'24'!D36</f>
        <v>33.022083333333335</v>
      </c>
      <c r="E32" s="18">
        <f>'24'!E36</f>
        <v>6.498333333333334</v>
      </c>
      <c r="F32" s="18">
        <f>'24'!F36</f>
        <v>4.0595833333333342</v>
      </c>
      <c r="G32" s="18">
        <f>'24'!G36</f>
        <v>93.865416666666647</v>
      </c>
      <c r="H32" s="18">
        <f>'24'!H36</f>
        <v>36.577916666666667</v>
      </c>
      <c r="I32" s="18">
        <f>'24'!I36</f>
        <v>7.3674999999999997</v>
      </c>
      <c r="J32" s="18">
        <f>'24'!J36</f>
        <v>0.35583333333333339</v>
      </c>
      <c r="K32" s="18">
        <f>'24'!K36</f>
        <v>146.47875000000002</v>
      </c>
      <c r="L32" s="18">
        <f>'24'!L36</f>
        <v>24.320833333333329</v>
      </c>
      <c r="M32" s="18">
        <f>'24'!M36</f>
        <v>72.801666666666662</v>
      </c>
      <c r="N32" s="18">
        <f>'24'!N36</f>
        <v>171.9041666666667</v>
      </c>
      <c r="O32" s="18">
        <f>'24'!O36</f>
        <v>0</v>
      </c>
      <c r="P32" s="18">
        <f>'24'!P36</f>
        <v>0.94333333333333347</v>
      </c>
      <c r="Q32" s="18">
        <f>'24'!Q36</f>
        <v>5.2599999999999989</v>
      </c>
      <c r="R32" s="36"/>
      <c r="S32" s="36"/>
      <c r="T32" s="36"/>
      <c r="U32" s="36"/>
    </row>
    <row r="33" spans="1:21" s="2" customFormat="1">
      <c r="A33" s="16" t="str">
        <f>'25'!$B$2</f>
        <v>25/10/2023 01:00</v>
      </c>
      <c r="B33" s="18">
        <f>'25'!B36</f>
        <v>14.719166666666666</v>
      </c>
      <c r="C33" s="18">
        <f>'25'!C36</f>
        <v>23.587916666666672</v>
      </c>
      <c r="D33" s="18">
        <f>'25'!D36</f>
        <v>25.223333333333329</v>
      </c>
      <c r="E33" s="18">
        <f>'25'!E36</f>
        <v>6.5066666666666677</v>
      </c>
      <c r="F33" s="18">
        <f>'25'!F36</f>
        <v>3.9837499999999988</v>
      </c>
      <c r="G33" s="18">
        <f>'25'!G36</f>
        <v>78.880416666666662</v>
      </c>
      <c r="H33" s="18">
        <f>'25'!H36</f>
        <v>31.998749999999998</v>
      </c>
      <c r="I33" s="18">
        <f>'25'!I36</f>
        <v>7.88</v>
      </c>
      <c r="J33" s="18">
        <f>'25'!J36</f>
        <v>0.34416666666666673</v>
      </c>
      <c r="K33" s="18">
        <f>'25'!K36</f>
        <v>178.30708333333334</v>
      </c>
      <c r="L33" s="18">
        <f>'25'!L36</f>
        <v>24.178333333333331</v>
      </c>
      <c r="M33" s="18">
        <f>'25'!M36</f>
        <v>73.960833333333326</v>
      </c>
      <c r="N33" s="18">
        <f>'25'!N36</f>
        <v>162.84583333333333</v>
      </c>
      <c r="O33" s="18">
        <f>'25'!O36</f>
        <v>0</v>
      </c>
      <c r="P33" s="18">
        <f>'25'!P36</f>
        <v>0.87583333333333346</v>
      </c>
      <c r="Q33" s="18">
        <f>'25'!Q36</f>
        <v>4.888749999999999</v>
      </c>
      <c r="R33" s="36"/>
      <c r="S33" s="36"/>
      <c r="T33" s="36"/>
      <c r="U33" s="36"/>
    </row>
    <row r="34" spans="1:21" s="2" customFormat="1">
      <c r="A34" s="16" t="str">
        <f>'26'!$B$2</f>
        <v>26/10/2023 01:00</v>
      </c>
      <c r="B34" s="18">
        <f>'26'!B36</f>
        <v>11.131250000000001</v>
      </c>
      <c r="C34" s="18">
        <f>'26'!C36</f>
        <v>23.859166666666667</v>
      </c>
      <c r="D34" s="18">
        <f>'26'!D36</f>
        <v>22.557916666666671</v>
      </c>
      <c r="E34" s="18">
        <f>'26'!E36</f>
        <v>6.5291666666666686</v>
      </c>
      <c r="F34" s="18">
        <f>'26'!F36</f>
        <v>4.2508333333333335</v>
      </c>
      <c r="G34" s="18">
        <f>'26'!G36</f>
        <v>76.898333333333326</v>
      </c>
      <c r="H34" s="18">
        <f>'26'!H36</f>
        <v>31.127500000000001</v>
      </c>
      <c r="I34" s="18">
        <f>'26'!I36</f>
        <v>7.6520833333333345</v>
      </c>
      <c r="J34" s="18">
        <f>'26'!J36</f>
        <v>0.3125</v>
      </c>
      <c r="K34" s="18">
        <f>'26'!K36</f>
        <v>182.54416666666668</v>
      </c>
      <c r="L34" s="18">
        <f>'26'!L36</f>
        <v>24.018750000000001</v>
      </c>
      <c r="M34" s="18">
        <f>'26'!M36</f>
        <v>70.30916666666667</v>
      </c>
      <c r="N34" s="18">
        <f>'26'!N36</f>
        <v>156.03749999999999</v>
      </c>
      <c r="O34" s="18">
        <f>'26'!O36</f>
        <v>0</v>
      </c>
      <c r="P34" s="18">
        <f>'26'!P36</f>
        <v>0.8404166666666667</v>
      </c>
      <c r="Q34" s="18">
        <f>'26'!Q36</f>
        <v>4.6745833333333335</v>
      </c>
      <c r="R34" s="36"/>
      <c r="S34" s="36"/>
      <c r="T34" s="36"/>
      <c r="U34" s="36"/>
    </row>
    <row r="35" spans="1:21" s="2" customFormat="1">
      <c r="A35" s="16" t="str">
        <f>'27'!$B$2</f>
        <v>27/10/2023 01:00</v>
      </c>
      <c r="B35" s="18">
        <f>'27'!B36</f>
        <v>15.450416666666664</v>
      </c>
      <c r="C35" s="18">
        <f>'27'!C36</f>
        <v>24.907499999999999</v>
      </c>
      <c r="D35" s="18">
        <f>'27'!D36</f>
        <v>26.618749999999995</v>
      </c>
      <c r="E35" s="18">
        <f>'27'!E36</f>
        <v>6.125</v>
      </c>
      <c r="F35" s="18">
        <f>'27'!F36</f>
        <v>4.1754166666666679</v>
      </c>
      <c r="G35" s="18">
        <f>'27'!G36</f>
        <v>80.631250000000009</v>
      </c>
      <c r="H35" s="18">
        <f>'27'!H36</f>
        <v>30.561666666666664</v>
      </c>
      <c r="I35" s="18">
        <f>'27'!I36</f>
        <v>7.9816666666666665</v>
      </c>
      <c r="J35" s="18">
        <f>'27'!J36</f>
        <v>0.35250000000000004</v>
      </c>
      <c r="K35" s="18">
        <f>'27'!K36</f>
        <v>170.95333333333335</v>
      </c>
      <c r="L35" s="18">
        <f>'27'!L36</f>
        <v>24.015000000000001</v>
      </c>
      <c r="M35" s="18">
        <f>'27'!M36</f>
        <v>69.662499999999994</v>
      </c>
      <c r="N35" s="18">
        <f>'27'!N36</f>
        <v>169.42083333333335</v>
      </c>
      <c r="O35" s="18">
        <f>'27'!O36</f>
        <v>0</v>
      </c>
      <c r="P35" s="18">
        <f>'27'!P36</f>
        <v>0.81541666666666668</v>
      </c>
      <c r="Q35" s="18">
        <f>'27'!Q36</f>
        <v>4.8749999999999991</v>
      </c>
      <c r="R35" s="36"/>
      <c r="S35" s="36"/>
      <c r="T35" s="36"/>
      <c r="U35" s="36"/>
    </row>
    <row r="36" spans="1:21" s="2" customFormat="1">
      <c r="A36" s="16" t="str">
        <f>'28'!$B$2</f>
        <v>28/10/2023 01:00</v>
      </c>
      <c r="B36" s="18">
        <f>'28'!B36</f>
        <v>8.8150000000000013</v>
      </c>
      <c r="C36" s="18">
        <f>'28'!C36</f>
        <v>22.758333333333336</v>
      </c>
      <c r="D36" s="18">
        <f>'28'!D36</f>
        <v>20.209166666666665</v>
      </c>
      <c r="E36" s="18">
        <f>'28'!E36</f>
        <v>6.013749999999999</v>
      </c>
      <c r="F36" s="18">
        <f>'28'!F36</f>
        <v>3.8633333333333337</v>
      </c>
      <c r="G36" s="18">
        <f>'28'!G36</f>
        <v>72.782499999999999</v>
      </c>
      <c r="H36" s="18">
        <f>'28'!H36</f>
        <v>28.84833333333334</v>
      </c>
      <c r="I36" s="18">
        <f>'28'!I36</f>
        <v>7.4483333333333315</v>
      </c>
      <c r="J36" s="18">
        <f>'28'!J36</f>
        <v>0.24625000000000005</v>
      </c>
      <c r="K36" s="18">
        <f>'28'!K36</f>
        <v>216.27124999999992</v>
      </c>
      <c r="L36" s="18">
        <f>'28'!L36</f>
        <v>23.867916666666662</v>
      </c>
      <c r="M36" s="18">
        <f>'28'!M36</f>
        <v>70.229166666666671</v>
      </c>
      <c r="N36" s="18">
        <f>'28'!N36</f>
        <v>166.60833333333332</v>
      </c>
      <c r="O36" s="18">
        <f>'28'!O36</f>
        <v>0</v>
      </c>
      <c r="P36" s="18">
        <f>'28'!P36</f>
        <v>0.70791666666666664</v>
      </c>
      <c r="Q36" s="18">
        <f>'28'!Q36</f>
        <v>4.5795833333333329</v>
      </c>
      <c r="R36" s="36"/>
      <c r="S36" s="36"/>
      <c r="T36" s="36"/>
      <c r="U36" s="36"/>
    </row>
    <row r="37" spans="1:21" s="2" customFormat="1">
      <c r="A37" s="16" t="str">
        <f>'29'!$B$2</f>
        <v>29/10/2023 01:00</v>
      </c>
      <c r="B37" s="18">
        <f>'29'!B36</f>
        <v>13.797083333333335</v>
      </c>
      <c r="C37" s="18">
        <f>'29'!C36</f>
        <v>24.720833333333331</v>
      </c>
      <c r="D37" s="18">
        <f>'29'!D36</f>
        <v>25.217083333333331</v>
      </c>
      <c r="E37" s="18">
        <f>'29'!E36</f>
        <v>6.6237500000000011</v>
      </c>
      <c r="F37" s="18">
        <f>'29'!F36</f>
        <v>3.8087499999999999</v>
      </c>
      <c r="G37" s="18">
        <f>'29'!G36</f>
        <v>89.644999999999996</v>
      </c>
      <c r="H37" s="18">
        <f>'29'!H36</f>
        <v>36.091249999999995</v>
      </c>
      <c r="I37" s="18">
        <f>'29'!I36</f>
        <v>7.691250000000001</v>
      </c>
      <c r="J37" s="18">
        <f>'29'!J36</f>
        <v>0.25916666666666671</v>
      </c>
      <c r="K37" s="18">
        <f>'29'!K36</f>
        <v>171.73249999999999</v>
      </c>
      <c r="L37" s="18">
        <f>'29'!L36</f>
        <v>23.875833333333329</v>
      </c>
      <c r="M37" s="18">
        <f>'29'!M36</f>
        <v>71.088750000000019</v>
      </c>
      <c r="N37" s="18">
        <f>'29'!N36</f>
        <v>161.91666666666666</v>
      </c>
      <c r="O37" s="18">
        <f>'29'!O36</f>
        <v>0</v>
      </c>
      <c r="P37" s="18">
        <f>'29'!P36</f>
        <v>0.78833333333333322</v>
      </c>
      <c r="Q37" s="18">
        <f>'29'!Q36</f>
        <v>4.8254166666666682</v>
      </c>
      <c r="R37" s="36"/>
      <c r="S37" s="36"/>
      <c r="T37" s="36"/>
      <c r="U37" s="36"/>
    </row>
    <row r="38" spans="1:21" s="2" customFormat="1">
      <c r="A38" s="16" t="str">
        <f>'30'!$B$2</f>
        <v>30/10/2023 01:00</v>
      </c>
      <c r="B38" s="18">
        <f>'30'!B36</f>
        <v>16.415833333333328</v>
      </c>
      <c r="C38" s="18">
        <f>'30'!C36</f>
        <v>26.234999999999996</v>
      </c>
      <c r="D38" s="18">
        <f>'30'!D36</f>
        <v>28.130833333333332</v>
      </c>
      <c r="E38" s="18">
        <f>'30'!E36</f>
        <v>8.1370833333333348</v>
      </c>
      <c r="F38" s="18">
        <f>'30'!F36</f>
        <v>6.0195833333333324</v>
      </c>
      <c r="G38" s="18">
        <f>'30'!G36</f>
        <v>94.985416666666666</v>
      </c>
      <c r="H38" s="18">
        <f>'30'!H36</f>
        <v>40.500000000000007</v>
      </c>
      <c r="I38" s="18">
        <f>'30'!I36</f>
        <v>7.6500000000000021</v>
      </c>
      <c r="J38" s="18">
        <f>'30'!J36</f>
        <v>0.27083333333333337</v>
      </c>
      <c r="K38" s="18">
        <f>'30'!K36</f>
        <v>190.20333333333335</v>
      </c>
      <c r="L38" s="18">
        <f>'30'!L36</f>
        <v>24.227083333333336</v>
      </c>
      <c r="M38" s="18">
        <f>'30'!M36</f>
        <v>73.866249999999994</v>
      </c>
      <c r="N38" s="18">
        <f>'30'!N36</f>
        <v>153.70000000000002</v>
      </c>
      <c r="O38" s="18">
        <f>'30'!O36</f>
        <v>0</v>
      </c>
      <c r="P38" s="18">
        <f>'30'!P36</f>
        <v>0.87250000000000005</v>
      </c>
      <c r="Q38" s="18">
        <f>'30'!Q36</f>
        <v>4.9420833333333336</v>
      </c>
      <c r="R38" s="36"/>
      <c r="S38" s="36"/>
      <c r="T38" s="36"/>
      <c r="U38" s="36"/>
    </row>
    <row r="39" spans="1:21">
      <c r="A39" s="16" t="str">
        <f>'31'!$B$2</f>
        <v>31/10/2023 01:00</v>
      </c>
      <c r="B39" s="18">
        <f>'31'!B36</f>
        <v>9.6737499999999983</v>
      </c>
      <c r="C39" s="18">
        <f>'31'!C36</f>
        <v>23.465416666666666</v>
      </c>
      <c r="D39" s="18">
        <f>'31'!D36</f>
        <v>21.27833333333334</v>
      </c>
      <c r="E39" s="18">
        <f>'31'!E36</f>
        <v>6.1916666666666664</v>
      </c>
      <c r="F39" s="18">
        <f>'31'!F36</f>
        <v>4.5116666666666658</v>
      </c>
      <c r="G39" s="18">
        <f>'31'!G36</f>
        <v>91.252916666666678</v>
      </c>
      <c r="H39" s="18">
        <f>'31'!H36</f>
        <v>35.233333333333334</v>
      </c>
      <c r="I39" s="18">
        <f>'31'!I36</f>
        <v>7.9891666666666659</v>
      </c>
      <c r="J39" s="18">
        <f>'31'!J36</f>
        <v>0.31708333333333333</v>
      </c>
      <c r="K39" s="18">
        <f>'31'!K36</f>
        <v>149.95083333333332</v>
      </c>
      <c r="L39" s="18">
        <f>'31'!L36</f>
        <v>24.636666666666667</v>
      </c>
      <c r="M39" s="18">
        <f>'31'!M36</f>
        <v>74.197083333333353</v>
      </c>
      <c r="N39" s="18">
        <f>'31'!N36</f>
        <v>146.80833333333331</v>
      </c>
      <c r="O39" s="18">
        <f>'31'!O36</f>
        <v>0</v>
      </c>
      <c r="P39" s="18">
        <f>'31'!P36</f>
        <v>0.8112499999999998</v>
      </c>
      <c r="Q39" s="18">
        <f>'31'!Q36</f>
        <v>4.6204166666666664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8.8150000000000013</v>
      </c>
      <c r="C41" s="20">
        <f t="shared" si="0"/>
        <v>22.729166666666668</v>
      </c>
      <c r="D41" s="20">
        <f t="shared" si="0"/>
        <v>20.089565217391304</v>
      </c>
      <c r="E41" s="20">
        <f t="shared" si="0"/>
        <v>5.666666666666667</v>
      </c>
      <c r="F41" s="20">
        <f t="shared" si="0"/>
        <v>3.8087499999999999</v>
      </c>
      <c r="G41" s="20">
        <f t="shared" si="0"/>
        <v>32.30833333333333</v>
      </c>
      <c r="H41" s="20">
        <f t="shared" si="0"/>
        <v>11.990833333333333</v>
      </c>
      <c r="I41" s="20">
        <f t="shared" si="0"/>
        <v>4.5750000000000002</v>
      </c>
      <c r="J41" s="20">
        <f t="shared" si="0"/>
        <v>0.21333333333333335</v>
      </c>
      <c r="K41" s="20">
        <f t="shared" si="0"/>
        <v>112.46749999999999</v>
      </c>
      <c r="L41" s="20">
        <f t="shared" si="0"/>
        <v>23.867916666666662</v>
      </c>
      <c r="M41" s="20">
        <f t="shared" si="0"/>
        <v>61.437916666666673</v>
      </c>
      <c r="N41" s="20">
        <f t="shared" si="0"/>
        <v>153.70000000000002</v>
      </c>
      <c r="O41" s="20">
        <f t="shared" si="0"/>
        <v>0</v>
      </c>
      <c r="P41" s="20">
        <f t="shared" si="0"/>
        <v>0.56833333333333336</v>
      </c>
      <c r="Q41" s="20">
        <f t="shared" si="0"/>
        <v>3.6962500000000009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22.484166666666667</v>
      </c>
      <c r="C42" s="20">
        <f t="shared" si="1"/>
        <v>29.886249999999993</v>
      </c>
      <c r="D42" s="20">
        <f t="shared" si="1"/>
        <v>33.022083333333335</v>
      </c>
      <c r="E42" s="20">
        <f t="shared" si="1"/>
        <v>12.218571428571432</v>
      </c>
      <c r="F42" s="20">
        <f t="shared" si="1"/>
        <v>8.7462500000000016</v>
      </c>
      <c r="G42" s="20">
        <f t="shared" si="1"/>
        <v>94.985416666666666</v>
      </c>
      <c r="H42" s="20">
        <f t="shared" si="1"/>
        <v>40.500000000000007</v>
      </c>
      <c r="I42" s="20">
        <f t="shared" si="1"/>
        <v>35.363750000000003</v>
      </c>
      <c r="J42" s="20">
        <f t="shared" si="1"/>
        <v>0.64958333333333329</v>
      </c>
      <c r="K42" s="20">
        <f t="shared" si="1"/>
        <v>291.10666666666663</v>
      </c>
      <c r="L42" s="20">
        <f t="shared" si="1"/>
        <v>28.664166666666663</v>
      </c>
      <c r="M42" s="20">
        <f t="shared" si="1"/>
        <v>87.521666666666661</v>
      </c>
      <c r="N42" s="20">
        <f t="shared" si="1"/>
        <v>235.93749999999997</v>
      </c>
      <c r="O42" s="20">
        <f t="shared" si="1"/>
        <v>0.15</v>
      </c>
      <c r="P42" s="20">
        <f t="shared" si="1"/>
        <v>0.94333333333333347</v>
      </c>
      <c r="Q42" s="20">
        <f t="shared" si="1"/>
        <v>5.4899999999999993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13.668251811594205</v>
      </c>
      <c r="C43" s="20">
        <f t="shared" si="2"/>
        <v>25.165139492753624</v>
      </c>
      <c r="D43" s="20">
        <f t="shared" si="2"/>
        <v>25.209916062801927</v>
      </c>
      <c r="E43" s="20">
        <f t="shared" si="2"/>
        <v>7.8313674085576244</v>
      </c>
      <c r="F43" s="20">
        <f t="shared" si="2"/>
        <v>5.390402777777779</v>
      </c>
      <c r="G43" s="20">
        <f t="shared" si="2"/>
        <v>66.219817028985503</v>
      </c>
      <c r="H43" s="20">
        <f t="shared" si="2"/>
        <v>24.104210748792266</v>
      </c>
      <c r="I43" s="20">
        <f t="shared" si="2"/>
        <v>8.5389166666666654</v>
      </c>
      <c r="J43" s="20">
        <f t="shared" si="2"/>
        <v>0.33556944444444442</v>
      </c>
      <c r="K43" s="20">
        <f t="shared" si="2"/>
        <v>198.26095833333329</v>
      </c>
      <c r="L43" s="20">
        <f t="shared" si="2"/>
        <v>26.648402777777772</v>
      </c>
      <c r="M43" s="20">
        <f t="shared" si="2"/>
        <v>75.011319444444453</v>
      </c>
      <c r="N43" s="20">
        <f t="shared" si="2"/>
        <v>180.89402777777786</v>
      </c>
      <c r="O43" s="20">
        <f t="shared" si="2"/>
        <v>8.0555555555555554E-3</v>
      </c>
      <c r="P43" s="20">
        <f t="shared" si="2"/>
        <v>0.7473333333333334</v>
      </c>
      <c r="Q43" s="20">
        <f t="shared" si="2"/>
        <v>4.6509739648033124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4.1189116816322109</v>
      </c>
      <c r="C44" s="20">
        <f t="shared" si="3"/>
        <v>1.8303514781265797</v>
      </c>
      <c r="D44" s="20">
        <f t="shared" si="3"/>
        <v>3.6736453322956302</v>
      </c>
      <c r="E44" s="20">
        <f t="shared" si="3"/>
        <v>1.490515503879849</v>
      </c>
      <c r="F44" s="20">
        <f t="shared" si="3"/>
        <v>1.3300593851222517</v>
      </c>
      <c r="G44" s="20">
        <f t="shared" si="3"/>
        <v>17.931370259163053</v>
      </c>
      <c r="H44" s="20">
        <f t="shared" si="3"/>
        <v>7.4776076465025376</v>
      </c>
      <c r="I44" s="20">
        <f t="shared" si="3"/>
        <v>6.265275332753597</v>
      </c>
      <c r="J44" s="20">
        <f t="shared" si="3"/>
        <v>9.5951855951827564E-2</v>
      </c>
      <c r="K44" s="20">
        <f t="shared" si="3"/>
        <v>47.035029804407756</v>
      </c>
      <c r="L44" s="20">
        <f t="shared" si="3"/>
        <v>1.7548224130064376</v>
      </c>
      <c r="M44" s="20">
        <f t="shared" si="3"/>
        <v>5.5946308822702537</v>
      </c>
      <c r="N44" s="20">
        <f t="shared" si="3"/>
        <v>22.257832409020075</v>
      </c>
      <c r="O44" s="20">
        <f t="shared" si="3"/>
        <v>3.0831650570214048E-2</v>
      </c>
      <c r="P44" s="20">
        <f t="shared" si="3"/>
        <v>9.3628535618112615E-2</v>
      </c>
      <c r="Q44" s="20">
        <f t="shared" si="3"/>
        <v>0.67045506059434801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31</v>
      </c>
      <c r="F45" s="6">
        <f t="shared" si="4"/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f t="shared" si="4"/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2023-11-16T15:16:05Z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